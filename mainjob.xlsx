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rstpy\"/>
    </mc:Choice>
  </mc:AlternateContent>
  <xr:revisionPtr revIDLastSave="0" documentId="13_ncr:1_{DB4BC581-9D63-4C0D-BFD9-2C03E3E999BC}" xr6:coauthVersionLast="47" xr6:coauthVersionMax="47" xr10:uidLastSave="{00000000-0000-0000-0000-000000000000}"/>
  <bookViews>
    <workbookView xWindow="-120" yWindow="-120" windowWidth="19440" windowHeight="15000" tabRatio="707" xr2:uid="{721B3625-A000-4E5B-B6E4-652D2762691A}"/>
  </bookViews>
  <sheets>
    <sheet name="my_job - 2025" sheetId="1" r:id="rId1"/>
    <sheet name="my_job2 - 2026" sheetId="4" r:id="rId2"/>
    <sheet name="my_job - 2027" sheetId="5" r:id="rId3"/>
    <sheet name="my_job - 2028" sheetId="6" r:id="rId4"/>
    <sheet name="my_job - 2029" sheetId="7" r:id="rId5"/>
    <sheet name="my_job - 2030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66" i="1" l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D2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D264" i="4"/>
  <c r="AD263" i="4"/>
  <c r="AD262" i="4"/>
  <c r="AD261" i="4"/>
  <c r="AD260" i="4"/>
  <c r="AD259" i="4"/>
  <c r="AD258" i="4"/>
  <c r="AD257" i="4"/>
  <c r="AD256" i="4"/>
  <c r="AD255" i="4"/>
  <c r="AD254" i="4"/>
  <c r="AD253" i="4"/>
  <c r="AD252" i="4"/>
  <c r="AD251" i="4"/>
  <c r="AD250" i="4"/>
  <c r="AD249" i="4"/>
  <c r="AD248" i="4"/>
  <c r="AD247" i="4"/>
  <c r="AD246" i="4"/>
  <c r="AD245" i="4"/>
  <c r="AD244" i="4"/>
  <c r="AD243" i="4"/>
  <c r="AD242" i="4"/>
  <c r="AD241" i="4"/>
  <c r="AD240" i="4"/>
  <c r="AD239" i="4"/>
  <c r="AD238" i="4"/>
  <c r="AD237" i="4"/>
  <c r="AD236" i="4"/>
  <c r="AD235" i="4"/>
  <c r="AD234" i="4"/>
  <c r="AD233" i="4"/>
  <c r="AD232" i="4"/>
  <c r="AD231" i="4"/>
  <c r="AD230" i="4"/>
  <c r="AD229" i="4"/>
  <c r="AD228" i="4"/>
  <c r="AD227" i="4"/>
  <c r="AD226" i="4"/>
  <c r="AD225" i="4"/>
  <c r="AD224" i="4"/>
  <c r="AD223" i="4"/>
  <c r="AD222" i="4"/>
  <c r="AD221" i="4"/>
  <c r="AD220" i="4"/>
  <c r="AD219" i="4"/>
  <c r="AD218" i="4"/>
  <c r="AD217" i="4"/>
  <c r="AD216" i="4"/>
  <c r="AD215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P366" i="8"/>
  <c r="AN366" i="8"/>
  <c r="AJ366" i="8"/>
  <c r="AH366" i="8"/>
  <c r="AD366" i="8"/>
  <c r="AB366" i="8"/>
  <c r="AA366" i="8"/>
  <c r="X366" i="8"/>
  <c r="W366" i="8"/>
  <c r="T366" i="8"/>
  <c r="S366" i="8"/>
  <c r="R366" i="8"/>
  <c r="P366" i="8"/>
  <c r="K366" i="8"/>
  <c r="AP365" i="8"/>
  <c r="AN365" i="8"/>
  <c r="AJ365" i="8"/>
  <c r="AH365" i="8"/>
  <c r="AD365" i="8"/>
  <c r="AB365" i="8"/>
  <c r="AA365" i="8"/>
  <c r="W365" i="8"/>
  <c r="T365" i="8"/>
  <c r="X365" i="8" s="1"/>
  <c r="S365" i="8"/>
  <c r="R365" i="8"/>
  <c r="P365" i="8"/>
  <c r="K365" i="8"/>
  <c r="AP364" i="8"/>
  <c r="AN364" i="8"/>
  <c r="AJ364" i="8"/>
  <c r="AH364" i="8"/>
  <c r="AD364" i="8"/>
  <c r="AB364" i="8"/>
  <c r="AA364" i="8"/>
  <c r="X364" i="8"/>
  <c r="W364" i="8"/>
  <c r="T364" i="8"/>
  <c r="S364" i="8"/>
  <c r="R364" i="8"/>
  <c r="P364" i="8"/>
  <c r="K364" i="8"/>
  <c r="AP363" i="8"/>
  <c r="AN363" i="8"/>
  <c r="AJ363" i="8"/>
  <c r="AH363" i="8"/>
  <c r="AD363" i="8"/>
  <c r="AB363" i="8"/>
  <c r="AA363" i="8"/>
  <c r="W363" i="8"/>
  <c r="T363" i="8"/>
  <c r="X363" i="8" s="1"/>
  <c r="S363" i="8"/>
  <c r="R363" i="8"/>
  <c r="P363" i="8"/>
  <c r="K363" i="8"/>
  <c r="AP362" i="8"/>
  <c r="AN362" i="8"/>
  <c r="AJ362" i="8"/>
  <c r="AH362" i="8"/>
  <c r="AD362" i="8"/>
  <c r="AB362" i="8"/>
  <c r="AA362" i="8"/>
  <c r="X362" i="8"/>
  <c r="W362" i="8"/>
  <c r="T362" i="8"/>
  <c r="S362" i="8"/>
  <c r="R362" i="8"/>
  <c r="P362" i="8"/>
  <c r="K362" i="8"/>
  <c r="AP361" i="8"/>
  <c r="AN361" i="8"/>
  <c r="AJ361" i="8"/>
  <c r="AH361" i="8"/>
  <c r="AD361" i="8"/>
  <c r="AB361" i="8"/>
  <c r="AA361" i="8"/>
  <c r="W361" i="8"/>
  <c r="T361" i="8"/>
  <c r="X361" i="8" s="1"/>
  <c r="S361" i="8"/>
  <c r="R361" i="8"/>
  <c r="P361" i="8"/>
  <c r="K361" i="8"/>
  <c r="AP360" i="8"/>
  <c r="AN360" i="8"/>
  <c r="AJ360" i="8"/>
  <c r="AH360" i="8"/>
  <c r="AD360" i="8"/>
  <c r="AB360" i="8"/>
  <c r="AA360" i="8"/>
  <c r="X360" i="8"/>
  <c r="W360" i="8"/>
  <c r="T360" i="8"/>
  <c r="S360" i="8"/>
  <c r="R360" i="8"/>
  <c r="P360" i="8"/>
  <c r="K360" i="8"/>
  <c r="AP359" i="8"/>
  <c r="AN359" i="8"/>
  <c r="AJ359" i="8"/>
  <c r="AH359" i="8"/>
  <c r="AD359" i="8"/>
  <c r="AB359" i="8"/>
  <c r="AA359" i="8"/>
  <c r="W359" i="8"/>
  <c r="T359" i="8"/>
  <c r="X359" i="8" s="1"/>
  <c r="S359" i="8"/>
  <c r="R359" i="8"/>
  <c r="P359" i="8"/>
  <c r="K359" i="8"/>
  <c r="AP358" i="8"/>
  <c r="AN358" i="8"/>
  <c r="AJ358" i="8"/>
  <c r="AH358" i="8"/>
  <c r="AD358" i="8"/>
  <c r="AB358" i="8"/>
  <c r="AA358" i="8"/>
  <c r="X358" i="8"/>
  <c r="W358" i="8"/>
  <c r="T358" i="8"/>
  <c r="S358" i="8"/>
  <c r="R358" i="8"/>
  <c r="P358" i="8"/>
  <c r="K358" i="8"/>
  <c r="AP357" i="8"/>
  <c r="AN357" i="8"/>
  <c r="AJ357" i="8"/>
  <c r="AH357" i="8"/>
  <c r="AD357" i="8"/>
  <c r="AB357" i="8"/>
  <c r="AA357" i="8"/>
  <c r="W357" i="8"/>
  <c r="T357" i="8"/>
  <c r="X357" i="8" s="1"/>
  <c r="S357" i="8"/>
  <c r="R357" i="8"/>
  <c r="P357" i="8"/>
  <c r="K357" i="8"/>
  <c r="AP356" i="8"/>
  <c r="AN356" i="8"/>
  <c r="AJ356" i="8"/>
  <c r="AH356" i="8"/>
  <c r="AD356" i="8"/>
  <c r="AB356" i="8"/>
  <c r="AA356" i="8"/>
  <c r="X356" i="8"/>
  <c r="W356" i="8"/>
  <c r="T356" i="8"/>
  <c r="S356" i="8"/>
  <c r="R356" i="8"/>
  <c r="P356" i="8"/>
  <c r="K356" i="8"/>
  <c r="AP355" i="8"/>
  <c r="AN355" i="8"/>
  <c r="AJ355" i="8"/>
  <c r="AH355" i="8"/>
  <c r="AD355" i="8"/>
  <c r="AB355" i="8"/>
  <c r="AA355" i="8"/>
  <c r="W355" i="8"/>
  <c r="T355" i="8"/>
  <c r="X355" i="8" s="1"/>
  <c r="S355" i="8"/>
  <c r="R355" i="8"/>
  <c r="P355" i="8"/>
  <c r="K355" i="8"/>
  <c r="AP354" i="8"/>
  <c r="AN354" i="8"/>
  <c r="AJ354" i="8"/>
  <c r="AH354" i="8"/>
  <c r="AD354" i="8"/>
  <c r="AB354" i="8"/>
  <c r="AA354" i="8"/>
  <c r="X354" i="8"/>
  <c r="W354" i="8"/>
  <c r="T354" i="8"/>
  <c r="S354" i="8"/>
  <c r="R354" i="8"/>
  <c r="P354" i="8"/>
  <c r="K354" i="8"/>
  <c r="AP353" i="8"/>
  <c r="AN353" i="8"/>
  <c r="AJ353" i="8"/>
  <c r="AH353" i="8"/>
  <c r="AD353" i="8"/>
  <c r="AB353" i="8"/>
  <c r="AA353" i="8"/>
  <c r="W353" i="8"/>
  <c r="T353" i="8"/>
  <c r="X353" i="8" s="1"/>
  <c r="S353" i="8"/>
  <c r="R353" i="8"/>
  <c r="P353" i="8"/>
  <c r="K353" i="8"/>
  <c r="AP352" i="8"/>
  <c r="AN352" i="8"/>
  <c r="AJ352" i="8"/>
  <c r="AH352" i="8"/>
  <c r="AD352" i="8"/>
  <c r="AB352" i="8"/>
  <c r="AA352" i="8"/>
  <c r="X352" i="8"/>
  <c r="W352" i="8"/>
  <c r="T352" i="8"/>
  <c r="S352" i="8"/>
  <c r="R352" i="8"/>
  <c r="P352" i="8"/>
  <c r="K352" i="8"/>
  <c r="AP351" i="8"/>
  <c r="AN351" i="8"/>
  <c r="AJ351" i="8"/>
  <c r="AH351" i="8"/>
  <c r="AD351" i="8"/>
  <c r="AB351" i="8"/>
  <c r="AA351" i="8"/>
  <c r="W351" i="8"/>
  <c r="T351" i="8"/>
  <c r="X351" i="8" s="1"/>
  <c r="S351" i="8"/>
  <c r="R351" i="8"/>
  <c r="P351" i="8"/>
  <c r="K351" i="8"/>
  <c r="AP350" i="8"/>
  <c r="AN350" i="8"/>
  <c r="AJ350" i="8"/>
  <c r="AH350" i="8"/>
  <c r="AD350" i="8"/>
  <c r="AB350" i="8"/>
  <c r="AA350" i="8"/>
  <c r="X350" i="8"/>
  <c r="W350" i="8"/>
  <c r="T350" i="8"/>
  <c r="S350" i="8"/>
  <c r="R350" i="8"/>
  <c r="P350" i="8"/>
  <c r="K350" i="8"/>
  <c r="AP349" i="8"/>
  <c r="AN349" i="8"/>
  <c r="AJ349" i="8"/>
  <c r="AH349" i="8"/>
  <c r="AD349" i="8"/>
  <c r="AB349" i="8"/>
  <c r="AA349" i="8"/>
  <c r="W349" i="8"/>
  <c r="T349" i="8"/>
  <c r="X349" i="8" s="1"/>
  <c r="S349" i="8"/>
  <c r="R349" i="8"/>
  <c r="P349" i="8"/>
  <c r="K349" i="8"/>
  <c r="AP348" i="8"/>
  <c r="AN348" i="8"/>
  <c r="AJ348" i="8"/>
  <c r="AH348" i="8"/>
  <c r="AD348" i="8"/>
  <c r="AB348" i="8"/>
  <c r="AA348" i="8"/>
  <c r="X348" i="8"/>
  <c r="W348" i="8"/>
  <c r="T348" i="8"/>
  <c r="S348" i="8"/>
  <c r="R348" i="8"/>
  <c r="P348" i="8"/>
  <c r="K348" i="8"/>
  <c r="AP347" i="8"/>
  <c r="AN347" i="8"/>
  <c r="AJ347" i="8"/>
  <c r="AH347" i="8"/>
  <c r="AD347" i="8"/>
  <c r="AB347" i="8"/>
  <c r="AA347" i="8"/>
  <c r="W347" i="8"/>
  <c r="T347" i="8"/>
  <c r="X347" i="8" s="1"/>
  <c r="S347" i="8"/>
  <c r="R347" i="8"/>
  <c r="P347" i="8"/>
  <c r="K347" i="8"/>
  <c r="AP346" i="8"/>
  <c r="AN346" i="8"/>
  <c r="AJ346" i="8"/>
  <c r="AH346" i="8"/>
  <c r="AD346" i="8"/>
  <c r="AB346" i="8"/>
  <c r="AA346" i="8"/>
  <c r="X346" i="8"/>
  <c r="W346" i="8"/>
  <c r="T346" i="8"/>
  <c r="S346" i="8"/>
  <c r="R346" i="8"/>
  <c r="P346" i="8"/>
  <c r="K346" i="8"/>
  <c r="AP345" i="8"/>
  <c r="AN345" i="8"/>
  <c r="AJ345" i="8"/>
  <c r="AH345" i="8"/>
  <c r="AD345" i="8"/>
  <c r="AB345" i="8"/>
  <c r="AA345" i="8"/>
  <c r="W345" i="8"/>
  <c r="T345" i="8"/>
  <c r="X345" i="8" s="1"/>
  <c r="S345" i="8"/>
  <c r="R345" i="8"/>
  <c r="P345" i="8"/>
  <c r="K345" i="8"/>
  <c r="AP344" i="8"/>
  <c r="AN344" i="8"/>
  <c r="AJ344" i="8"/>
  <c r="AH344" i="8"/>
  <c r="AD344" i="8"/>
  <c r="AB344" i="8"/>
  <c r="AA344" i="8"/>
  <c r="X344" i="8"/>
  <c r="W344" i="8"/>
  <c r="T344" i="8"/>
  <c r="S344" i="8"/>
  <c r="R344" i="8"/>
  <c r="P344" i="8"/>
  <c r="K344" i="8"/>
  <c r="AP343" i="8"/>
  <c r="AN343" i="8"/>
  <c r="AJ343" i="8"/>
  <c r="AH343" i="8"/>
  <c r="AD343" i="8"/>
  <c r="AB343" i="8"/>
  <c r="AA343" i="8"/>
  <c r="W343" i="8"/>
  <c r="T343" i="8"/>
  <c r="X343" i="8" s="1"/>
  <c r="S343" i="8"/>
  <c r="R343" i="8"/>
  <c r="P343" i="8"/>
  <c r="K343" i="8"/>
  <c r="AP342" i="8"/>
  <c r="AN342" i="8"/>
  <c r="AJ342" i="8"/>
  <c r="AH342" i="8"/>
  <c r="AD342" i="8"/>
  <c r="AB342" i="8"/>
  <c r="AA342" i="8"/>
  <c r="X342" i="8"/>
  <c r="W342" i="8"/>
  <c r="T342" i="8"/>
  <c r="S342" i="8"/>
  <c r="R342" i="8"/>
  <c r="P342" i="8"/>
  <c r="K342" i="8"/>
  <c r="AP341" i="8"/>
  <c r="AN341" i="8"/>
  <c r="AJ341" i="8"/>
  <c r="AH341" i="8"/>
  <c r="AD341" i="8"/>
  <c r="AB341" i="8"/>
  <c r="AA341" i="8"/>
  <c r="W341" i="8"/>
  <c r="T341" i="8"/>
  <c r="X341" i="8" s="1"/>
  <c r="S341" i="8"/>
  <c r="R341" i="8"/>
  <c r="P341" i="8"/>
  <c r="K341" i="8"/>
  <c r="AP340" i="8"/>
  <c r="AN340" i="8"/>
  <c r="AJ340" i="8"/>
  <c r="AH340" i="8"/>
  <c r="AD340" i="8"/>
  <c r="AB340" i="8"/>
  <c r="AA340" i="8"/>
  <c r="X340" i="8"/>
  <c r="W340" i="8"/>
  <c r="T340" i="8"/>
  <c r="S340" i="8"/>
  <c r="R340" i="8"/>
  <c r="P340" i="8"/>
  <c r="K340" i="8"/>
  <c r="AP339" i="8"/>
  <c r="AN339" i="8"/>
  <c r="AJ339" i="8"/>
  <c r="AH339" i="8"/>
  <c r="AD339" i="8"/>
  <c r="AB339" i="8"/>
  <c r="AA339" i="8"/>
  <c r="W339" i="8"/>
  <c r="T339" i="8"/>
  <c r="X339" i="8" s="1"/>
  <c r="S339" i="8"/>
  <c r="R339" i="8"/>
  <c r="P339" i="8"/>
  <c r="K339" i="8"/>
  <c r="AP338" i="8"/>
  <c r="AN338" i="8"/>
  <c r="AJ338" i="8"/>
  <c r="AH338" i="8"/>
  <c r="AD338" i="8"/>
  <c r="AB338" i="8"/>
  <c r="AA338" i="8"/>
  <c r="X338" i="8"/>
  <c r="W338" i="8"/>
  <c r="T338" i="8"/>
  <c r="S338" i="8"/>
  <c r="R338" i="8"/>
  <c r="P338" i="8"/>
  <c r="K338" i="8"/>
  <c r="AP337" i="8"/>
  <c r="AN337" i="8"/>
  <c r="AJ337" i="8"/>
  <c r="AH337" i="8"/>
  <c r="AD337" i="8"/>
  <c r="AB337" i="8"/>
  <c r="AA337" i="8"/>
  <c r="W337" i="8"/>
  <c r="T337" i="8"/>
  <c r="X337" i="8" s="1"/>
  <c r="S337" i="8"/>
  <c r="R337" i="8"/>
  <c r="P337" i="8"/>
  <c r="K337" i="8"/>
  <c r="AP336" i="8"/>
  <c r="AN336" i="8"/>
  <c r="AJ336" i="8"/>
  <c r="AH336" i="8"/>
  <c r="AD336" i="8"/>
  <c r="AB336" i="8"/>
  <c r="AA336" i="8"/>
  <c r="X336" i="8"/>
  <c r="W336" i="8"/>
  <c r="T336" i="8"/>
  <c r="S336" i="8"/>
  <c r="R336" i="8"/>
  <c r="P336" i="8"/>
  <c r="K336" i="8"/>
  <c r="AP335" i="8"/>
  <c r="AN335" i="8"/>
  <c r="AJ335" i="8"/>
  <c r="AH335" i="8"/>
  <c r="AD335" i="8"/>
  <c r="AB335" i="8"/>
  <c r="AA335" i="8"/>
  <c r="W335" i="8"/>
  <c r="T335" i="8"/>
  <c r="X335" i="8" s="1"/>
  <c r="S335" i="8"/>
  <c r="R335" i="8"/>
  <c r="P335" i="8"/>
  <c r="K335" i="8"/>
  <c r="AP334" i="8"/>
  <c r="AN334" i="8"/>
  <c r="AJ334" i="8"/>
  <c r="AH334" i="8"/>
  <c r="AD334" i="8"/>
  <c r="AB334" i="8"/>
  <c r="AA334" i="8"/>
  <c r="X334" i="8"/>
  <c r="W334" i="8"/>
  <c r="T334" i="8"/>
  <c r="S334" i="8"/>
  <c r="R334" i="8"/>
  <c r="P334" i="8"/>
  <c r="K334" i="8"/>
  <c r="AP333" i="8"/>
  <c r="AN333" i="8"/>
  <c r="AJ333" i="8"/>
  <c r="AH333" i="8"/>
  <c r="AD333" i="8"/>
  <c r="AB333" i="8"/>
  <c r="AA333" i="8"/>
  <c r="W333" i="8"/>
  <c r="T333" i="8"/>
  <c r="X333" i="8" s="1"/>
  <c r="S333" i="8"/>
  <c r="R333" i="8"/>
  <c r="P333" i="8"/>
  <c r="K333" i="8"/>
  <c r="AP332" i="8"/>
  <c r="AN332" i="8"/>
  <c r="AJ332" i="8"/>
  <c r="AH332" i="8"/>
  <c r="AD332" i="8"/>
  <c r="AB332" i="8"/>
  <c r="AA332" i="8"/>
  <c r="X332" i="8"/>
  <c r="W332" i="8"/>
  <c r="T332" i="8"/>
  <c r="S332" i="8"/>
  <c r="R332" i="8"/>
  <c r="P332" i="8"/>
  <c r="K332" i="8"/>
  <c r="AP331" i="8"/>
  <c r="AN331" i="8"/>
  <c r="AJ331" i="8"/>
  <c r="AH331" i="8"/>
  <c r="AD331" i="8"/>
  <c r="AB331" i="8"/>
  <c r="AA331" i="8"/>
  <c r="W331" i="8"/>
  <c r="T331" i="8"/>
  <c r="X331" i="8" s="1"/>
  <c r="S331" i="8"/>
  <c r="R331" i="8"/>
  <c r="P331" i="8"/>
  <c r="K331" i="8"/>
  <c r="AP330" i="8"/>
  <c r="AN330" i="8"/>
  <c r="AJ330" i="8"/>
  <c r="AH330" i="8"/>
  <c r="AD330" i="8"/>
  <c r="AB330" i="8"/>
  <c r="AA330" i="8"/>
  <c r="X330" i="8"/>
  <c r="W330" i="8"/>
  <c r="T330" i="8"/>
  <c r="S330" i="8"/>
  <c r="R330" i="8"/>
  <c r="P330" i="8"/>
  <c r="K330" i="8"/>
  <c r="AP329" i="8"/>
  <c r="AN329" i="8"/>
  <c r="AJ329" i="8"/>
  <c r="AH329" i="8"/>
  <c r="AD329" i="8"/>
  <c r="AB329" i="8"/>
  <c r="AA329" i="8"/>
  <c r="W329" i="8"/>
  <c r="T329" i="8"/>
  <c r="X329" i="8" s="1"/>
  <c r="S329" i="8"/>
  <c r="R329" i="8"/>
  <c r="P329" i="8"/>
  <c r="K329" i="8"/>
  <c r="AP328" i="8"/>
  <c r="AN328" i="8"/>
  <c r="AJ328" i="8"/>
  <c r="AH328" i="8"/>
  <c r="AD328" i="8"/>
  <c r="AB328" i="8"/>
  <c r="AA328" i="8"/>
  <c r="X328" i="8"/>
  <c r="W328" i="8"/>
  <c r="T328" i="8"/>
  <c r="S328" i="8"/>
  <c r="R328" i="8"/>
  <c r="P328" i="8"/>
  <c r="K328" i="8"/>
  <c r="AP327" i="8"/>
  <c r="AN327" i="8"/>
  <c r="AJ327" i="8"/>
  <c r="AH327" i="8"/>
  <c r="AD327" i="8"/>
  <c r="AB327" i="8"/>
  <c r="AA327" i="8"/>
  <c r="W327" i="8"/>
  <c r="T327" i="8"/>
  <c r="X327" i="8" s="1"/>
  <c r="S327" i="8"/>
  <c r="R327" i="8"/>
  <c r="P327" i="8"/>
  <c r="K327" i="8"/>
  <c r="AP326" i="8"/>
  <c r="AN326" i="8"/>
  <c r="AJ326" i="8"/>
  <c r="AH326" i="8"/>
  <c r="AD326" i="8"/>
  <c r="AB326" i="8"/>
  <c r="AA326" i="8"/>
  <c r="X326" i="8"/>
  <c r="W326" i="8"/>
  <c r="T326" i="8"/>
  <c r="S326" i="8"/>
  <c r="R326" i="8"/>
  <c r="P326" i="8"/>
  <c r="K326" i="8"/>
  <c r="AP325" i="8"/>
  <c r="AN325" i="8"/>
  <c r="AJ325" i="8"/>
  <c r="AH325" i="8"/>
  <c r="AD325" i="8"/>
  <c r="AB325" i="8"/>
  <c r="AA325" i="8"/>
  <c r="W325" i="8"/>
  <c r="T325" i="8"/>
  <c r="X325" i="8" s="1"/>
  <c r="S325" i="8"/>
  <c r="R325" i="8"/>
  <c r="P325" i="8"/>
  <c r="K325" i="8"/>
  <c r="AP324" i="8"/>
  <c r="AN324" i="8"/>
  <c r="AJ324" i="8"/>
  <c r="AH324" i="8"/>
  <c r="AD324" i="8"/>
  <c r="AB324" i="8"/>
  <c r="AA324" i="8"/>
  <c r="X324" i="8"/>
  <c r="W324" i="8"/>
  <c r="T324" i="8"/>
  <c r="S324" i="8"/>
  <c r="R324" i="8"/>
  <c r="P324" i="8"/>
  <c r="K324" i="8"/>
  <c r="AP323" i="8"/>
  <c r="AN323" i="8"/>
  <c r="AJ323" i="8"/>
  <c r="AH323" i="8"/>
  <c r="AD323" i="8"/>
  <c r="AB323" i="8"/>
  <c r="AA323" i="8"/>
  <c r="W323" i="8"/>
  <c r="T323" i="8"/>
  <c r="X323" i="8" s="1"/>
  <c r="S323" i="8"/>
  <c r="R323" i="8"/>
  <c r="P323" i="8"/>
  <c r="K323" i="8"/>
  <c r="AP322" i="8"/>
  <c r="AN322" i="8"/>
  <c r="AJ322" i="8"/>
  <c r="AH322" i="8"/>
  <c r="AD322" i="8"/>
  <c r="AB322" i="8"/>
  <c r="AA322" i="8"/>
  <c r="X322" i="8"/>
  <c r="W322" i="8"/>
  <c r="T322" i="8"/>
  <c r="S322" i="8"/>
  <c r="R322" i="8"/>
  <c r="P322" i="8"/>
  <c r="K322" i="8"/>
  <c r="AP321" i="8"/>
  <c r="AN321" i="8"/>
  <c r="AJ321" i="8"/>
  <c r="AH321" i="8"/>
  <c r="AD321" i="8"/>
  <c r="AB321" i="8"/>
  <c r="AA321" i="8"/>
  <c r="W321" i="8"/>
  <c r="T321" i="8"/>
  <c r="X321" i="8" s="1"/>
  <c r="S321" i="8"/>
  <c r="R321" i="8"/>
  <c r="P321" i="8"/>
  <c r="K321" i="8"/>
  <c r="AP320" i="8"/>
  <c r="AN320" i="8"/>
  <c r="AJ320" i="8"/>
  <c r="AH320" i="8"/>
  <c r="AD320" i="8"/>
  <c r="AB320" i="8"/>
  <c r="AA320" i="8"/>
  <c r="X320" i="8"/>
  <c r="W320" i="8"/>
  <c r="T320" i="8"/>
  <c r="S320" i="8"/>
  <c r="R320" i="8"/>
  <c r="P320" i="8"/>
  <c r="K320" i="8"/>
  <c r="AP319" i="8"/>
  <c r="AN319" i="8"/>
  <c r="AJ319" i="8"/>
  <c r="AH319" i="8"/>
  <c r="AD319" i="8"/>
  <c r="AB319" i="8"/>
  <c r="AA319" i="8"/>
  <c r="W319" i="8"/>
  <c r="T319" i="8"/>
  <c r="X319" i="8" s="1"/>
  <c r="S319" i="8"/>
  <c r="R319" i="8"/>
  <c r="P319" i="8"/>
  <c r="K319" i="8"/>
  <c r="AP318" i="8"/>
  <c r="AN318" i="8"/>
  <c r="AJ318" i="8"/>
  <c r="AH318" i="8"/>
  <c r="AD318" i="8"/>
  <c r="AB318" i="8"/>
  <c r="AA318" i="8"/>
  <c r="X318" i="8"/>
  <c r="W318" i="8"/>
  <c r="T318" i="8"/>
  <c r="S318" i="8"/>
  <c r="R318" i="8"/>
  <c r="P318" i="8"/>
  <c r="K318" i="8"/>
  <c r="AP317" i="8"/>
  <c r="AN317" i="8"/>
  <c r="AJ317" i="8"/>
  <c r="AH317" i="8"/>
  <c r="AD317" i="8"/>
  <c r="AB317" i="8"/>
  <c r="AA317" i="8"/>
  <c r="W317" i="8"/>
  <c r="T317" i="8"/>
  <c r="X317" i="8" s="1"/>
  <c r="S317" i="8"/>
  <c r="R317" i="8"/>
  <c r="P317" i="8"/>
  <c r="K317" i="8"/>
  <c r="AP316" i="8"/>
  <c r="AN316" i="8"/>
  <c r="AJ316" i="8"/>
  <c r="AH316" i="8"/>
  <c r="AD316" i="8"/>
  <c r="AB316" i="8"/>
  <c r="AA316" i="8"/>
  <c r="X316" i="8"/>
  <c r="W316" i="8"/>
  <c r="T316" i="8"/>
  <c r="S316" i="8"/>
  <c r="R316" i="8"/>
  <c r="P316" i="8"/>
  <c r="K316" i="8"/>
  <c r="AP315" i="8"/>
  <c r="AN315" i="8"/>
  <c r="AJ315" i="8"/>
  <c r="AH315" i="8"/>
  <c r="AD315" i="8"/>
  <c r="AB315" i="8"/>
  <c r="AA315" i="8"/>
  <c r="W315" i="8"/>
  <c r="T315" i="8"/>
  <c r="X315" i="8" s="1"/>
  <c r="S315" i="8"/>
  <c r="R315" i="8"/>
  <c r="P315" i="8"/>
  <c r="K315" i="8"/>
  <c r="AP314" i="8"/>
  <c r="AN314" i="8"/>
  <c r="AJ314" i="8"/>
  <c r="AH314" i="8"/>
  <c r="AD314" i="8"/>
  <c r="AB314" i="8"/>
  <c r="AA314" i="8"/>
  <c r="X314" i="8"/>
  <c r="W314" i="8"/>
  <c r="T314" i="8"/>
  <c r="S314" i="8"/>
  <c r="R314" i="8"/>
  <c r="P314" i="8"/>
  <c r="K314" i="8"/>
  <c r="AP313" i="8"/>
  <c r="AN313" i="8"/>
  <c r="AJ313" i="8"/>
  <c r="AH313" i="8"/>
  <c r="AD313" i="8"/>
  <c r="AB313" i="8"/>
  <c r="AA313" i="8"/>
  <c r="W313" i="8"/>
  <c r="T313" i="8"/>
  <c r="X313" i="8" s="1"/>
  <c r="S313" i="8"/>
  <c r="R313" i="8"/>
  <c r="P313" i="8"/>
  <c r="K313" i="8"/>
  <c r="AP312" i="8"/>
  <c r="AN312" i="8"/>
  <c r="AJ312" i="8"/>
  <c r="AH312" i="8"/>
  <c r="AD312" i="8"/>
  <c r="AB312" i="8"/>
  <c r="AA312" i="8"/>
  <c r="X312" i="8"/>
  <c r="W312" i="8"/>
  <c r="T312" i="8"/>
  <c r="S312" i="8"/>
  <c r="R312" i="8"/>
  <c r="P312" i="8"/>
  <c r="K312" i="8"/>
  <c r="AP311" i="8"/>
  <c r="AN311" i="8"/>
  <c r="AJ311" i="8"/>
  <c r="AH311" i="8"/>
  <c r="AD311" i="8"/>
  <c r="AB311" i="8"/>
  <c r="AA311" i="8"/>
  <c r="W311" i="8"/>
  <c r="T311" i="8"/>
  <c r="X311" i="8" s="1"/>
  <c r="S311" i="8"/>
  <c r="R311" i="8"/>
  <c r="P311" i="8"/>
  <c r="K311" i="8"/>
  <c r="AP310" i="8"/>
  <c r="AN310" i="8"/>
  <c r="AJ310" i="8"/>
  <c r="AH310" i="8"/>
  <c r="AD310" i="8"/>
  <c r="AB310" i="8"/>
  <c r="AA310" i="8"/>
  <c r="X310" i="8"/>
  <c r="W310" i="8"/>
  <c r="T310" i="8"/>
  <c r="S310" i="8"/>
  <c r="R310" i="8"/>
  <c r="P310" i="8"/>
  <c r="K310" i="8"/>
  <c r="AP309" i="8"/>
  <c r="AN309" i="8"/>
  <c r="AJ309" i="8"/>
  <c r="AH309" i="8"/>
  <c r="AD309" i="8"/>
  <c r="AB309" i="8"/>
  <c r="AA309" i="8"/>
  <c r="W309" i="8"/>
  <c r="T309" i="8"/>
  <c r="X309" i="8" s="1"/>
  <c r="S309" i="8"/>
  <c r="R309" i="8"/>
  <c r="P309" i="8"/>
  <c r="K309" i="8"/>
  <c r="AP308" i="8"/>
  <c r="AN308" i="8"/>
  <c r="AJ308" i="8"/>
  <c r="AH308" i="8"/>
  <c r="AD308" i="8"/>
  <c r="AB308" i="8"/>
  <c r="AA308" i="8"/>
  <c r="X308" i="8"/>
  <c r="W308" i="8"/>
  <c r="T308" i="8"/>
  <c r="S308" i="8"/>
  <c r="R308" i="8"/>
  <c r="P308" i="8"/>
  <c r="K308" i="8"/>
  <c r="AP307" i="8"/>
  <c r="AN307" i="8"/>
  <c r="AJ307" i="8"/>
  <c r="AH307" i="8"/>
  <c r="AD307" i="8"/>
  <c r="AB307" i="8"/>
  <c r="AA307" i="8"/>
  <c r="W307" i="8"/>
  <c r="T307" i="8"/>
  <c r="X307" i="8" s="1"/>
  <c r="S307" i="8"/>
  <c r="R307" i="8"/>
  <c r="P307" i="8"/>
  <c r="K307" i="8"/>
  <c r="AP306" i="8"/>
  <c r="AN306" i="8"/>
  <c r="AJ306" i="8"/>
  <c r="AH306" i="8"/>
  <c r="AD306" i="8"/>
  <c r="AB306" i="8"/>
  <c r="AA306" i="8"/>
  <c r="X306" i="8"/>
  <c r="W306" i="8"/>
  <c r="T306" i="8"/>
  <c r="S306" i="8"/>
  <c r="R306" i="8"/>
  <c r="P306" i="8"/>
  <c r="K306" i="8"/>
  <c r="AP305" i="8"/>
  <c r="AN305" i="8"/>
  <c r="AJ305" i="8"/>
  <c r="AH305" i="8"/>
  <c r="AD305" i="8"/>
  <c r="AB305" i="8"/>
  <c r="AA305" i="8"/>
  <c r="W305" i="8"/>
  <c r="T305" i="8"/>
  <c r="X305" i="8" s="1"/>
  <c r="S305" i="8"/>
  <c r="R305" i="8"/>
  <c r="P305" i="8"/>
  <c r="K305" i="8"/>
  <c r="AP304" i="8"/>
  <c r="AN304" i="8"/>
  <c r="AJ304" i="8"/>
  <c r="AH304" i="8"/>
  <c r="AD304" i="8"/>
  <c r="AB304" i="8"/>
  <c r="AA304" i="8"/>
  <c r="X304" i="8"/>
  <c r="W304" i="8"/>
  <c r="T304" i="8"/>
  <c r="S304" i="8"/>
  <c r="R304" i="8"/>
  <c r="P304" i="8"/>
  <c r="K304" i="8"/>
  <c r="AP303" i="8"/>
  <c r="AN303" i="8"/>
  <c r="AJ303" i="8"/>
  <c r="AH303" i="8"/>
  <c r="AD303" i="8"/>
  <c r="AB303" i="8"/>
  <c r="AA303" i="8"/>
  <c r="W303" i="8"/>
  <c r="T303" i="8"/>
  <c r="X303" i="8" s="1"/>
  <c r="S303" i="8"/>
  <c r="R303" i="8"/>
  <c r="P303" i="8"/>
  <c r="K303" i="8"/>
  <c r="AP302" i="8"/>
  <c r="AN302" i="8"/>
  <c r="AJ302" i="8"/>
  <c r="AH302" i="8"/>
  <c r="AD302" i="8"/>
  <c r="AB302" i="8"/>
  <c r="AA302" i="8"/>
  <c r="X302" i="8"/>
  <c r="W302" i="8"/>
  <c r="T302" i="8"/>
  <c r="S302" i="8"/>
  <c r="R302" i="8"/>
  <c r="P302" i="8"/>
  <c r="K302" i="8"/>
  <c r="AP301" i="8"/>
  <c r="AN301" i="8"/>
  <c r="AJ301" i="8"/>
  <c r="AH301" i="8"/>
  <c r="AD301" i="8"/>
  <c r="AB301" i="8"/>
  <c r="AA301" i="8"/>
  <c r="W301" i="8"/>
  <c r="T301" i="8"/>
  <c r="X301" i="8" s="1"/>
  <c r="S301" i="8"/>
  <c r="R301" i="8"/>
  <c r="P301" i="8"/>
  <c r="K301" i="8"/>
  <c r="AP300" i="8"/>
  <c r="AN300" i="8"/>
  <c r="AJ300" i="8"/>
  <c r="AH300" i="8"/>
  <c r="AD300" i="8"/>
  <c r="AB300" i="8"/>
  <c r="AA300" i="8"/>
  <c r="X300" i="8"/>
  <c r="W300" i="8"/>
  <c r="T300" i="8"/>
  <c r="S300" i="8"/>
  <c r="R300" i="8"/>
  <c r="P300" i="8"/>
  <c r="K300" i="8"/>
  <c r="AP299" i="8"/>
  <c r="AN299" i="8"/>
  <c r="AJ299" i="8"/>
  <c r="AH299" i="8"/>
  <c r="AD299" i="8"/>
  <c r="AB299" i="8"/>
  <c r="AA299" i="8"/>
  <c r="W299" i="8"/>
  <c r="T299" i="8"/>
  <c r="X299" i="8" s="1"/>
  <c r="S299" i="8"/>
  <c r="R299" i="8"/>
  <c r="P299" i="8"/>
  <c r="K299" i="8"/>
  <c r="AP298" i="8"/>
  <c r="AN298" i="8"/>
  <c r="AJ298" i="8"/>
  <c r="AH298" i="8"/>
  <c r="AD298" i="8"/>
  <c r="AB298" i="8"/>
  <c r="AA298" i="8"/>
  <c r="X298" i="8"/>
  <c r="W298" i="8"/>
  <c r="T298" i="8"/>
  <c r="S298" i="8"/>
  <c r="R298" i="8"/>
  <c r="P298" i="8"/>
  <c r="K298" i="8"/>
  <c r="AP297" i="8"/>
  <c r="AN297" i="8"/>
  <c r="AJ297" i="8"/>
  <c r="AH297" i="8"/>
  <c r="AD297" i="8"/>
  <c r="AB297" i="8"/>
  <c r="AA297" i="8"/>
  <c r="W297" i="8"/>
  <c r="T297" i="8"/>
  <c r="X297" i="8" s="1"/>
  <c r="S297" i="8"/>
  <c r="R297" i="8"/>
  <c r="P297" i="8"/>
  <c r="K297" i="8"/>
  <c r="AP296" i="8"/>
  <c r="AN296" i="8"/>
  <c r="AJ296" i="8"/>
  <c r="AH296" i="8"/>
  <c r="AD296" i="8"/>
  <c r="AB296" i="8"/>
  <c r="AA296" i="8"/>
  <c r="X296" i="8"/>
  <c r="W296" i="8"/>
  <c r="T296" i="8"/>
  <c r="S296" i="8"/>
  <c r="R296" i="8"/>
  <c r="P296" i="8"/>
  <c r="K296" i="8"/>
  <c r="AP295" i="8"/>
  <c r="AN295" i="8"/>
  <c r="AJ295" i="8"/>
  <c r="AH295" i="8"/>
  <c r="AD295" i="8"/>
  <c r="AB295" i="8"/>
  <c r="AA295" i="8"/>
  <c r="W295" i="8"/>
  <c r="T295" i="8"/>
  <c r="X295" i="8" s="1"/>
  <c r="S295" i="8"/>
  <c r="R295" i="8"/>
  <c r="P295" i="8"/>
  <c r="K295" i="8"/>
  <c r="AP294" i="8"/>
  <c r="AN294" i="8"/>
  <c r="AJ294" i="8"/>
  <c r="AH294" i="8"/>
  <c r="AD294" i="8"/>
  <c r="AB294" i="8"/>
  <c r="AA294" i="8"/>
  <c r="X294" i="8"/>
  <c r="W294" i="8"/>
  <c r="T294" i="8"/>
  <c r="S294" i="8"/>
  <c r="R294" i="8"/>
  <c r="P294" i="8"/>
  <c r="K294" i="8"/>
  <c r="AP293" i="8"/>
  <c r="AN293" i="8"/>
  <c r="AJ293" i="8"/>
  <c r="AH293" i="8"/>
  <c r="AD293" i="8"/>
  <c r="AB293" i="8"/>
  <c r="AA293" i="8"/>
  <c r="W293" i="8"/>
  <c r="T293" i="8"/>
  <c r="X293" i="8" s="1"/>
  <c r="S293" i="8"/>
  <c r="R293" i="8"/>
  <c r="P293" i="8"/>
  <c r="K293" i="8"/>
  <c r="AP292" i="8"/>
  <c r="AN292" i="8"/>
  <c r="AJ292" i="8"/>
  <c r="AH292" i="8"/>
  <c r="AD292" i="8"/>
  <c r="AB292" i="8"/>
  <c r="AA292" i="8"/>
  <c r="X292" i="8"/>
  <c r="W292" i="8"/>
  <c r="T292" i="8"/>
  <c r="S292" i="8"/>
  <c r="R292" i="8"/>
  <c r="P292" i="8"/>
  <c r="K292" i="8"/>
  <c r="AP291" i="8"/>
  <c r="AN291" i="8"/>
  <c r="AJ291" i="8"/>
  <c r="AH291" i="8"/>
  <c r="AD291" i="8"/>
  <c r="AB291" i="8"/>
  <c r="AA291" i="8"/>
  <c r="W291" i="8"/>
  <c r="T291" i="8"/>
  <c r="X291" i="8" s="1"/>
  <c r="S291" i="8"/>
  <c r="R291" i="8"/>
  <c r="P291" i="8"/>
  <c r="K291" i="8"/>
  <c r="AP290" i="8"/>
  <c r="AN290" i="8"/>
  <c r="AJ290" i="8"/>
  <c r="AH290" i="8"/>
  <c r="AD290" i="8"/>
  <c r="AB290" i="8"/>
  <c r="AA290" i="8"/>
  <c r="X290" i="8"/>
  <c r="W290" i="8"/>
  <c r="T290" i="8"/>
  <c r="S290" i="8"/>
  <c r="R290" i="8"/>
  <c r="P290" i="8"/>
  <c r="K290" i="8"/>
  <c r="AP289" i="8"/>
  <c r="AN289" i="8"/>
  <c r="AJ289" i="8"/>
  <c r="AH289" i="8"/>
  <c r="AD289" i="8"/>
  <c r="AB289" i="8"/>
  <c r="AA289" i="8"/>
  <c r="W289" i="8"/>
  <c r="T289" i="8"/>
  <c r="X289" i="8" s="1"/>
  <c r="S289" i="8"/>
  <c r="R289" i="8"/>
  <c r="P289" i="8"/>
  <c r="K289" i="8"/>
  <c r="AP288" i="8"/>
  <c r="AN288" i="8"/>
  <c r="AJ288" i="8"/>
  <c r="AH288" i="8"/>
  <c r="AD288" i="8"/>
  <c r="AB288" i="8"/>
  <c r="AA288" i="8"/>
  <c r="X288" i="8"/>
  <c r="W288" i="8"/>
  <c r="T288" i="8"/>
  <c r="S288" i="8"/>
  <c r="R288" i="8"/>
  <c r="P288" i="8"/>
  <c r="K288" i="8"/>
  <c r="AP287" i="8"/>
  <c r="AN287" i="8"/>
  <c r="AJ287" i="8"/>
  <c r="AH287" i="8"/>
  <c r="AD287" i="8"/>
  <c r="AB287" i="8"/>
  <c r="AA287" i="8"/>
  <c r="W287" i="8"/>
  <c r="T287" i="8"/>
  <c r="X287" i="8" s="1"/>
  <c r="S287" i="8"/>
  <c r="R287" i="8"/>
  <c r="P287" i="8"/>
  <c r="K287" i="8"/>
  <c r="AP286" i="8"/>
  <c r="AN286" i="8"/>
  <c r="AJ286" i="8"/>
  <c r="AH286" i="8"/>
  <c r="AD286" i="8"/>
  <c r="AB286" i="8"/>
  <c r="AA286" i="8"/>
  <c r="X286" i="8"/>
  <c r="W286" i="8"/>
  <c r="T286" i="8"/>
  <c r="S286" i="8"/>
  <c r="R286" i="8"/>
  <c r="P286" i="8"/>
  <c r="K286" i="8"/>
  <c r="AP285" i="8"/>
  <c r="AN285" i="8"/>
  <c r="AJ285" i="8"/>
  <c r="AH285" i="8"/>
  <c r="AD285" i="8"/>
  <c r="AB285" i="8"/>
  <c r="AA285" i="8"/>
  <c r="W285" i="8"/>
  <c r="T285" i="8"/>
  <c r="X285" i="8" s="1"/>
  <c r="S285" i="8"/>
  <c r="R285" i="8"/>
  <c r="P285" i="8"/>
  <c r="K285" i="8"/>
  <c r="AP284" i="8"/>
  <c r="AN284" i="8"/>
  <c r="AJ284" i="8"/>
  <c r="AH284" i="8"/>
  <c r="AD284" i="8"/>
  <c r="AB284" i="8"/>
  <c r="AA284" i="8"/>
  <c r="X284" i="8"/>
  <c r="W284" i="8"/>
  <c r="T284" i="8"/>
  <c r="S284" i="8"/>
  <c r="R284" i="8"/>
  <c r="P284" i="8"/>
  <c r="K284" i="8"/>
  <c r="AP283" i="8"/>
  <c r="AN283" i="8"/>
  <c r="AJ283" i="8"/>
  <c r="AH283" i="8"/>
  <c r="AD283" i="8"/>
  <c r="AB283" i="8"/>
  <c r="AA283" i="8"/>
  <c r="W283" i="8"/>
  <c r="T283" i="8"/>
  <c r="X283" i="8" s="1"/>
  <c r="S283" i="8"/>
  <c r="R283" i="8"/>
  <c r="P283" i="8"/>
  <c r="K283" i="8"/>
  <c r="AP282" i="8"/>
  <c r="AN282" i="8"/>
  <c r="AJ282" i="8"/>
  <c r="AH282" i="8"/>
  <c r="AD282" i="8"/>
  <c r="AB282" i="8"/>
  <c r="AA282" i="8"/>
  <c r="X282" i="8"/>
  <c r="W282" i="8"/>
  <c r="T282" i="8"/>
  <c r="S282" i="8"/>
  <c r="R282" i="8"/>
  <c r="P282" i="8"/>
  <c r="K282" i="8"/>
  <c r="AP281" i="8"/>
  <c r="AN281" i="8"/>
  <c r="AJ281" i="8"/>
  <c r="AH281" i="8"/>
  <c r="AD281" i="8"/>
  <c r="AB281" i="8"/>
  <c r="AA281" i="8"/>
  <c r="W281" i="8"/>
  <c r="T281" i="8"/>
  <c r="X281" i="8" s="1"/>
  <c r="S281" i="8"/>
  <c r="R281" i="8"/>
  <c r="P281" i="8"/>
  <c r="K281" i="8"/>
  <c r="AP280" i="8"/>
  <c r="AN280" i="8"/>
  <c r="AJ280" i="8"/>
  <c r="AH280" i="8"/>
  <c r="AD280" i="8"/>
  <c r="AB280" i="8"/>
  <c r="AA280" i="8"/>
  <c r="X280" i="8"/>
  <c r="W280" i="8"/>
  <c r="T280" i="8"/>
  <c r="S280" i="8"/>
  <c r="R280" i="8"/>
  <c r="P280" i="8"/>
  <c r="K280" i="8"/>
  <c r="AP279" i="8"/>
  <c r="AN279" i="8"/>
  <c r="AJ279" i="8"/>
  <c r="AH279" i="8"/>
  <c r="AD279" i="8"/>
  <c r="AB279" i="8"/>
  <c r="AA279" i="8"/>
  <c r="W279" i="8"/>
  <c r="T279" i="8"/>
  <c r="X279" i="8" s="1"/>
  <c r="S279" i="8"/>
  <c r="R279" i="8"/>
  <c r="P279" i="8"/>
  <c r="K279" i="8"/>
  <c r="AP278" i="8"/>
  <c r="AN278" i="8"/>
  <c r="AJ278" i="8"/>
  <c r="AH278" i="8"/>
  <c r="AD278" i="8"/>
  <c r="AB278" i="8"/>
  <c r="AA278" i="8"/>
  <c r="X278" i="8"/>
  <c r="W278" i="8"/>
  <c r="T278" i="8"/>
  <c r="S278" i="8"/>
  <c r="R278" i="8"/>
  <c r="P278" i="8"/>
  <c r="K278" i="8"/>
  <c r="AP277" i="8"/>
  <c r="AN277" i="8"/>
  <c r="AJ277" i="8"/>
  <c r="AH277" i="8"/>
  <c r="AD277" i="8"/>
  <c r="AB277" i="8"/>
  <c r="AA277" i="8"/>
  <c r="W277" i="8"/>
  <c r="T277" i="8"/>
  <c r="X277" i="8" s="1"/>
  <c r="S277" i="8"/>
  <c r="R277" i="8"/>
  <c r="P277" i="8"/>
  <c r="K277" i="8"/>
  <c r="AP276" i="8"/>
  <c r="AN276" i="8"/>
  <c r="AJ276" i="8"/>
  <c r="AH276" i="8"/>
  <c r="AD276" i="8"/>
  <c r="AB276" i="8"/>
  <c r="AA276" i="8"/>
  <c r="X276" i="8"/>
  <c r="W276" i="8"/>
  <c r="T276" i="8"/>
  <c r="S276" i="8"/>
  <c r="R276" i="8"/>
  <c r="P276" i="8"/>
  <c r="K276" i="8"/>
  <c r="AP275" i="8"/>
  <c r="AN275" i="8"/>
  <c r="AJ275" i="8"/>
  <c r="AH275" i="8"/>
  <c r="AD275" i="8"/>
  <c r="AB275" i="8"/>
  <c r="AA275" i="8"/>
  <c r="W275" i="8"/>
  <c r="T275" i="8"/>
  <c r="X275" i="8" s="1"/>
  <c r="S275" i="8"/>
  <c r="R275" i="8"/>
  <c r="P275" i="8"/>
  <c r="K275" i="8"/>
  <c r="AP274" i="8"/>
  <c r="AN274" i="8"/>
  <c r="AJ274" i="8"/>
  <c r="AH274" i="8"/>
  <c r="AD274" i="8"/>
  <c r="AB274" i="8"/>
  <c r="AA274" i="8"/>
  <c r="X274" i="8"/>
  <c r="W274" i="8"/>
  <c r="T274" i="8"/>
  <c r="S274" i="8"/>
  <c r="R274" i="8"/>
  <c r="P274" i="8"/>
  <c r="K274" i="8"/>
  <c r="AP273" i="8"/>
  <c r="AN273" i="8"/>
  <c r="AJ273" i="8"/>
  <c r="AH273" i="8"/>
  <c r="AD273" i="8"/>
  <c r="AB273" i="8"/>
  <c r="AA273" i="8"/>
  <c r="W273" i="8"/>
  <c r="T273" i="8"/>
  <c r="X273" i="8" s="1"/>
  <c r="S273" i="8"/>
  <c r="R273" i="8"/>
  <c r="P273" i="8"/>
  <c r="K273" i="8"/>
  <c r="AP272" i="8"/>
  <c r="AN272" i="8"/>
  <c r="AJ272" i="8"/>
  <c r="AH272" i="8"/>
  <c r="AD272" i="8"/>
  <c r="AB272" i="8"/>
  <c r="AA272" i="8"/>
  <c r="X272" i="8"/>
  <c r="W272" i="8"/>
  <c r="T272" i="8"/>
  <c r="S272" i="8"/>
  <c r="R272" i="8"/>
  <c r="P272" i="8"/>
  <c r="K272" i="8"/>
  <c r="AP271" i="8"/>
  <c r="AN271" i="8"/>
  <c r="AJ271" i="8"/>
  <c r="AH271" i="8"/>
  <c r="AD271" i="8"/>
  <c r="AB271" i="8"/>
  <c r="AA271" i="8"/>
  <c r="W271" i="8"/>
  <c r="T271" i="8"/>
  <c r="X271" i="8" s="1"/>
  <c r="S271" i="8"/>
  <c r="R271" i="8"/>
  <c r="P271" i="8"/>
  <c r="K271" i="8"/>
  <c r="AP270" i="8"/>
  <c r="AN270" i="8"/>
  <c r="AJ270" i="8"/>
  <c r="AH270" i="8"/>
  <c r="AD270" i="8"/>
  <c r="AB270" i="8"/>
  <c r="AA270" i="8"/>
  <c r="X270" i="8"/>
  <c r="W270" i="8"/>
  <c r="T270" i="8"/>
  <c r="S270" i="8"/>
  <c r="R270" i="8"/>
  <c r="P270" i="8"/>
  <c r="K270" i="8"/>
  <c r="AP269" i="8"/>
  <c r="AN269" i="8"/>
  <c r="AJ269" i="8"/>
  <c r="AH269" i="8"/>
  <c r="AD269" i="8"/>
  <c r="AB269" i="8"/>
  <c r="AA269" i="8"/>
  <c r="W269" i="8"/>
  <c r="T269" i="8"/>
  <c r="X269" i="8" s="1"/>
  <c r="S269" i="8"/>
  <c r="R269" i="8"/>
  <c r="P269" i="8"/>
  <c r="K269" i="8"/>
  <c r="AP268" i="8"/>
  <c r="AN268" i="8"/>
  <c r="AJ268" i="8"/>
  <c r="AH268" i="8"/>
  <c r="AD268" i="8"/>
  <c r="AB268" i="8"/>
  <c r="AA268" i="8"/>
  <c r="X268" i="8"/>
  <c r="W268" i="8"/>
  <c r="T268" i="8"/>
  <c r="S268" i="8"/>
  <c r="R268" i="8"/>
  <c r="P268" i="8"/>
  <c r="K268" i="8"/>
  <c r="AP267" i="8"/>
  <c r="AN267" i="8"/>
  <c r="AJ267" i="8"/>
  <c r="AH267" i="8"/>
  <c r="AD267" i="8"/>
  <c r="AB267" i="8"/>
  <c r="AA267" i="8"/>
  <c r="W267" i="8"/>
  <c r="T267" i="8"/>
  <c r="X267" i="8" s="1"/>
  <c r="S267" i="8"/>
  <c r="R267" i="8"/>
  <c r="P267" i="8"/>
  <c r="K267" i="8"/>
  <c r="AP266" i="8"/>
  <c r="AN266" i="8"/>
  <c r="AJ266" i="8"/>
  <c r="AH266" i="8"/>
  <c r="AD266" i="8"/>
  <c r="AB266" i="8"/>
  <c r="AA266" i="8"/>
  <c r="X266" i="8"/>
  <c r="W266" i="8"/>
  <c r="T266" i="8"/>
  <c r="S266" i="8"/>
  <c r="R266" i="8"/>
  <c r="P266" i="8"/>
  <c r="K266" i="8"/>
  <c r="AP265" i="8"/>
  <c r="AN265" i="8"/>
  <c r="AJ265" i="8"/>
  <c r="AH265" i="8"/>
  <c r="AD265" i="8"/>
  <c r="AB265" i="8"/>
  <c r="AA265" i="8"/>
  <c r="W265" i="8"/>
  <c r="T265" i="8"/>
  <c r="X265" i="8" s="1"/>
  <c r="S265" i="8"/>
  <c r="R265" i="8"/>
  <c r="P265" i="8"/>
  <c r="K265" i="8"/>
  <c r="AP264" i="8"/>
  <c r="AN264" i="8"/>
  <c r="AJ264" i="8"/>
  <c r="AH264" i="8"/>
  <c r="AD264" i="8"/>
  <c r="AB264" i="8"/>
  <c r="AA264" i="8"/>
  <c r="X264" i="8"/>
  <c r="W264" i="8"/>
  <c r="T264" i="8"/>
  <c r="S264" i="8"/>
  <c r="R264" i="8"/>
  <c r="P264" i="8"/>
  <c r="K264" i="8"/>
  <c r="AP263" i="8"/>
  <c r="AN263" i="8"/>
  <c r="AJ263" i="8"/>
  <c r="AH263" i="8"/>
  <c r="AD263" i="8"/>
  <c r="AB263" i="8"/>
  <c r="AA263" i="8"/>
  <c r="W263" i="8"/>
  <c r="T263" i="8"/>
  <c r="X263" i="8" s="1"/>
  <c r="S263" i="8"/>
  <c r="R263" i="8"/>
  <c r="P263" i="8"/>
  <c r="K263" i="8"/>
  <c r="AP262" i="8"/>
  <c r="AN262" i="8"/>
  <c r="AJ262" i="8"/>
  <c r="AH262" i="8"/>
  <c r="AD262" i="8"/>
  <c r="AB262" i="8"/>
  <c r="AA262" i="8"/>
  <c r="X262" i="8"/>
  <c r="W262" i="8"/>
  <c r="T262" i="8"/>
  <c r="S262" i="8"/>
  <c r="R262" i="8"/>
  <c r="P262" i="8"/>
  <c r="K262" i="8"/>
  <c r="AP261" i="8"/>
  <c r="AN261" i="8"/>
  <c r="AJ261" i="8"/>
  <c r="AH261" i="8"/>
  <c r="AD261" i="8"/>
  <c r="AB261" i="8"/>
  <c r="AA261" i="8"/>
  <c r="W261" i="8"/>
  <c r="T261" i="8"/>
  <c r="X261" i="8" s="1"/>
  <c r="S261" i="8"/>
  <c r="R261" i="8"/>
  <c r="P261" i="8"/>
  <c r="K261" i="8"/>
  <c r="AP260" i="8"/>
  <c r="AN260" i="8"/>
  <c r="AJ260" i="8"/>
  <c r="AH260" i="8"/>
  <c r="AD260" i="8"/>
  <c r="AB260" i="8"/>
  <c r="AA260" i="8"/>
  <c r="X260" i="8"/>
  <c r="W260" i="8"/>
  <c r="T260" i="8"/>
  <c r="S260" i="8"/>
  <c r="R260" i="8"/>
  <c r="P260" i="8"/>
  <c r="K260" i="8"/>
  <c r="AP259" i="8"/>
  <c r="AN259" i="8"/>
  <c r="AJ259" i="8"/>
  <c r="AH259" i="8"/>
  <c r="AD259" i="8"/>
  <c r="AB259" i="8"/>
  <c r="AA259" i="8"/>
  <c r="W259" i="8"/>
  <c r="T259" i="8"/>
  <c r="X259" i="8" s="1"/>
  <c r="S259" i="8"/>
  <c r="R259" i="8"/>
  <c r="P259" i="8"/>
  <c r="K259" i="8"/>
  <c r="AP258" i="8"/>
  <c r="AN258" i="8"/>
  <c r="AJ258" i="8"/>
  <c r="AH258" i="8"/>
  <c r="AD258" i="8"/>
  <c r="AB258" i="8"/>
  <c r="AA258" i="8"/>
  <c r="X258" i="8"/>
  <c r="W258" i="8"/>
  <c r="T258" i="8"/>
  <c r="S258" i="8"/>
  <c r="R258" i="8"/>
  <c r="P258" i="8"/>
  <c r="K258" i="8"/>
  <c r="AP257" i="8"/>
  <c r="AN257" i="8"/>
  <c r="AJ257" i="8"/>
  <c r="AH257" i="8"/>
  <c r="AD257" i="8"/>
  <c r="AB257" i="8"/>
  <c r="AA257" i="8"/>
  <c r="W257" i="8"/>
  <c r="T257" i="8"/>
  <c r="X257" i="8" s="1"/>
  <c r="S257" i="8"/>
  <c r="R257" i="8"/>
  <c r="P257" i="8"/>
  <c r="K257" i="8"/>
  <c r="AP256" i="8"/>
  <c r="AN256" i="8"/>
  <c r="AJ256" i="8"/>
  <c r="AH256" i="8"/>
  <c r="AD256" i="8"/>
  <c r="AB256" i="8"/>
  <c r="AA256" i="8"/>
  <c r="X256" i="8"/>
  <c r="W256" i="8"/>
  <c r="T256" i="8"/>
  <c r="S256" i="8"/>
  <c r="R256" i="8"/>
  <c r="P256" i="8"/>
  <c r="K256" i="8"/>
  <c r="AP255" i="8"/>
  <c r="AN255" i="8"/>
  <c r="AJ255" i="8"/>
  <c r="AH255" i="8"/>
  <c r="AD255" i="8"/>
  <c r="AB255" i="8"/>
  <c r="AA255" i="8"/>
  <c r="W255" i="8"/>
  <c r="T255" i="8"/>
  <c r="X255" i="8" s="1"/>
  <c r="S255" i="8"/>
  <c r="R255" i="8"/>
  <c r="P255" i="8"/>
  <c r="K255" i="8"/>
  <c r="AP254" i="8"/>
  <c r="AN254" i="8"/>
  <c r="AJ254" i="8"/>
  <c r="AH254" i="8"/>
  <c r="AD254" i="8"/>
  <c r="AB254" i="8"/>
  <c r="AA254" i="8"/>
  <c r="X254" i="8"/>
  <c r="W254" i="8"/>
  <c r="T254" i="8"/>
  <c r="S254" i="8"/>
  <c r="R254" i="8"/>
  <c r="P254" i="8"/>
  <c r="K254" i="8"/>
  <c r="AP253" i="8"/>
  <c r="AN253" i="8"/>
  <c r="AJ253" i="8"/>
  <c r="AH253" i="8"/>
  <c r="AD253" i="8"/>
  <c r="AB253" i="8"/>
  <c r="AA253" i="8"/>
  <c r="W253" i="8"/>
  <c r="T253" i="8"/>
  <c r="X253" i="8" s="1"/>
  <c r="S253" i="8"/>
  <c r="R253" i="8"/>
  <c r="P253" i="8"/>
  <c r="K253" i="8"/>
  <c r="AP252" i="8"/>
  <c r="AN252" i="8"/>
  <c r="AJ252" i="8"/>
  <c r="AH252" i="8"/>
  <c r="AD252" i="8"/>
  <c r="AB252" i="8"/>
  <c r="AA252" i="8"/>
  <c r="X252" i="8"/>
  <c r="W252" i="8"/>
  <c r="T252" i="8"/>
  <c r="S252" i="8"/>
  <c r="R252" i="8"/>
  <c r="P252" i="8"/>
  <c r="K252" i="8"/>
  <c r="AP251" i="8"/>
  <c r="AN251" i="8"/>
  <c r="AJ251" i="8"/>
  <c r="AH251" i="8"/>
  <c r="AD251" i="8"/>
  <c r="AB251" i="8"/>
  <c r="AA251" i="8"/>
  <c r="W251" i="8"/>
  <c r="T251" i="8"/>
  <c r="X251" i="8" s="1"/>
  <c r="S251" i="8"/>
  <c r="R251" i="8"/>
  <c r="P251" i="8"/>
  <c r="K251" i="8"/>
  <c r="AP250" i="8"/>
  <c r="AN250" i="8"/>
  <c r="AJ250" i="8"/>
  <c r="AH250" i="8"/>
  <c r="AD250" i="8"/>
  <c r="AB250" i="8"/>
  <c r="AA250" i="8"/>
  <c r="X250" i="8"/>
  <c r="W250" i="8"/>
  <c r="T250" i="8"/>
  <c r="S250" i="8"/>
  <c r="R250" i="8"/>
  <c r="P250" i="8"/>
  <c r="K250" i="8"/>
  <c r="AP249" i="8"/>
  <c r="AN249" i="8"/>
  <c r="AJ249" i="8"/>
  <c r="AH249" i="8"/>
  <c r="AD249" i="8"/>
  <c r="AB249" i="8"/>
  <c r="AA249" i="8"/>
  <c r="W249" i="8"/>
  <c r="T249" i="8"/>
  <c r="X249" i="8" s="1"/>
  <c r="S249" i="8"/>
  <c r="R249" i="8"/>
  <c r="P249" i="8"/>
  <c r="K249" i="8"/>
  <c r="AP248" i="8"/>
  <c r="AN248" i="8"/>
  <c r="AJ248" i="8"/>
  <c r="AH248" i="8"/>
  <c r="AD248" i="8"/>
  <c r="AB248" i="8"/>
  <c r="AA248" i="8"/>
  <c r="X248" i="8"/>
  <c r="W248" i="8"/>
  <c r="T248" i="8"/>
  <c r="S248" i="8"/>
  <c r="R248" i="8"/>
  <c r="P248" i="8"/>
  <c r="K248" i="8"/>
  <c r="AP247" i="8"/>
  <c r="AN247" i="8"/>
  <c r="AJ247" i="8"/>
  <c r="AH247" i="8"/>
  <c r="AD247" i="8"/>
  <c r="AB247" i="8"/>
  <c r="AA247" i="8"/>
  <c r="W247" i="8"/>
  <c r="T247" i="8"/>
  <c r="X247" i="8" s="1"/>
  <c r="S247" i="8"/>
  <c r="R247" i="8"/>
  <c r="P247" i="8"/>
  <c r="K247" i="8"/>
  <c r="AP246" i="8"/>
  <c r="AN246" i="8"/>
  <c r="AJ246" i="8"/>
  <c r="AH246" i="8"/>
  <c r="AD246" i="8"/>
  <c r="AB246" i="8"/>
  <c r="AA246" i="8"/>
  <c r="X246" i="8"/>
  <c r="W246" i="8"/>
  <c r="T246" i="8"/>
  <c r="S246" i="8"/>
  <c r="R246" i="8"/>
  <c r="P246" i="8"/>
  <c r="K246" i="8"/>
  <c r="AP245" i="8"/>
  <c r="AN245" i="8"/>
  <c r="AJ245" i="8"/>
  <c r="AH245" i="8"/>
  <c r="AD245" i="8"/>
  <c r="AB245" i="8"/>
  <c r="AA245" i="8"/>
  <c r="W245" i="8"/>
  <c r="T245" i="8"/>
  <c r="X245" i="8" s="1"/>
  <c r="S245" i="8"/>
  <c r="R245" i="8"/>
  <c r="P245" i="8"/>
  <c r="K245" i="8"/>
  <c r="AP244" i="8"/>
  <c r="AN244" i="8"/>
  <c r="AJ244" i="8"/>
  <c r="AH244" i="8"/>
  <c r="AD244" i="8"/>
  <c r="AB244" i="8"/>
  <c r="AA244" i="8"/>
  <c r="X244" i="8"/>
  <c r="W244" i="8"/>
  <c r="T244" i="8"/>
  <c r="S244" i="8"/>
  <c r="R244" i="8"/>
  <c r="P244" i="8"/>
  <c r="K244" i="8"/>
  <c r="AP243" i="8"/>
  <c r="AN243" i="8"/>
  <c r="AJ243" i="8"/>
  <c r="AH243" i="8"/>
  <c r="AD243" i="8"/>
  <c r="AB243" i="8"/>
  <c r="AA243" i="8"/>
  <c r="W243" i="8"/>
  <c r="T243" i="8"/>
  <c r="X243" i="8" s="1"/>
  <c r="S243" i="8"/>
  <c r="R243" i="8"/>
  <c r="P243" i="8"/>
  <c r="K243" i="8"/>
  <c r="AP242" i="8"/>
  <c r="AN242" i="8"/>
  <c r="AJ242" i="8"/>
  <c r="AH242" i="8"/>
  <c r="AD242" i="8"/>
  <c r="AB242" i="8"/>
  <c r="AA242" i="8"/>
  <c r="X242" i="8"/>
  <c r="W242" i="8"/>
  <c r="T242" i="8"/>
  <c r="S242" i="8"/>
  <c r="R242" i="8"/>
  <c r="P242" i="8"/>
  <c r="K242" i="8"/>
  <c r="AP241" i="8"/>
  <c r="AN241" i="8"/>
  <c r="AJ241" i="8"/>
  <c r="AH241" i="8"/>
  <c r="AD241" i="8"/>
  <c r="AB241" i="8"/>
  <c r="AA241" i="8"/>
  <c r="W241" i="8"/>
  <c r="T241" i="8"/>
  <c r="X241" i="8" s="1"/>
  <c r="S241" i="8"/>
  <c r="R241" i="8"/>
  <c r="P241" i="8"/>
  <c r="K241" i="8"/>
  <c r="AP240" i="8"/>
  <c r="AN240" i="8"/>
  <c r="AJ240" i="8"/>
  <c r="AH240" i="8"/>
  <c r="AD240" i="8"/>
  <c r="AB240" i="8"/>
  <c r="AA240" i="8"/>
  <c r="X240" i="8"/>
  <c r="W240" i="8"/>
  <c r="T240" i="8"/>
  <c r="S240" i="8"/>
  <c r="R240" i="8"/>
  <c r="P240" i="8"/>
  <c r="K240" i="8"/>
  <c r="AP239" i="8"/>
  <c r="AN239" i="8"/>
  <c r="AJ239" i="8"/>
  <c r="AH239" i="8"/>
  <c r="AD239" i="8"/>
  <c r="AB239" i="8"/>
  <c r="AA239" i="8"/>
  <c r="W239" i="8"/>
  <c r="T239" i="8"/>
  <c r="X239" i="8" s="1"/>
  <c r="S239" i="8"/>
  <c r="R239" i="8"/>
  <c r="P239" i="8"/>
  <c r="K239" i="8"/>
  <c r="AP238" i="8"/>
  <c r="AN238" i="8"/>
  <c r="AJ238" i="8"/>
  <c r="AH238" i="8"/>
  <c r="AD238" i="8"/>
  <c r="AB238" i="8"/>
  <c r="AA238" i="8"/>
  <c r="X238" i="8"/>
  <c r="W238" i="8"/>
  <c r="T238" i="8"/>
  <c r="S238" i="8"/>
  <c r="R238" i="8"/>
  <c r="P238" i="8"/>
  <c r="K238" i="8"/>
  <c r="AP237" i="8"/>
  <c r="AN237" i="8"/>
  <c r="AJ237" i="8"/>
  <c r="AH237" i="8"/>
  <c r="AD237" i="8"/>
  <c r="AB237" i="8"/>
  <c r="AA237" i="8"/>
  <c r="W237" i="8"/>
  <c r="T237" i="8"/>
  <c r="X237" i="8" s="1"/>
  <c r="S237" i="8"/>
  <c r="R237" i="8"/>
  <c r="P237" i="8"/>
  <c r="K237" i="8"/>
  <c r="AP236" i="8"/>
  <c r="AN236" i="8"/>
  <c r="AJ236" i="8"/>
  <c r="AH236" i="8"/>
  <c r="AD236" i="8"/>
  <c r="AB236" i="8"/>
  <c r="AA236" i="8"/>
  <c r="X236" i="8"/>
  <c r="W236" i="8"/>
  <c r="T236" i="8"/>
  <c r="S236" i="8"/>
  <c r="R236" i="8"/>
  <c r="P236" i="8"/>
  <c r="K236" i="8"/>
  <c r="AP235" i="8"/>
  <c r="AN235" i="8"/>
  <c r="AJ235" i="8"/>
  <c r="AH235" i="8"/>
  <c r="AD235" i="8"/>
  <c r="AB235" i="8"/>
  <c r="AA235" i="8"/>
  <c r="W235" i="8"/>
  <c r="T235" i="8"/>
  <c r="X235" i="8" s="1"/>
  <c r="S235" i="8"/>
  <c r="R235" i="8"/>
  <c r="P235" i="8"/>
  <c r="K235" i="8"/>
  <c r="AP234" i="8"/>
  <c r="AN234" i="8"/>
  <c r="AJ234" i="8"/>
  <c r="AH234" i="8"/>
  <c r="AD234" i="8"/>
  <c r="AB234" i="8"/>
  <c r="AA234" i="8"/>
  <c r="X234" i="8"/>
  <c r="W234" i="8"/>
  <c r="T234" i="8"/>
  <c r="S234" i="8"/>
  <c r="R234" i="8"/>
  <c r="P234" i="8"/>
  <c r="K234" i="8"/>
  <c r="AP233" i="8"/>
  <c r="AN233" i="8"/>
  <c r="AJ233" i="8"/>
  <c r="AH233" i="8"/>
  <c r="AD233" i="8"/>
  <c r="AB233" i="8"/>
  <c r="AA233" i="8"/>
  <c r="W233" i="8"/>
  <c r="T233" i="8"/>
  <c r="S233" i="8"/>
  <c r="R233" i="8"/>
  <c r="P233" i="8"/>
  <c r="K233" i="8"/>
  <c r="AP232" i="8"/>
  <c r="AN232" i="8"/>
  <c r="AJ232" i="8"/>
  <c r="AH232" i="8"/>
  <c r="AD232" i="8"/>
  <c r="AB232" i="8"/>
  <c r="AA232" i="8"/>
  <c r="X232" i="8"/>
  <c r="W232" i="8"/>
  <c r="T232" i="8"/>
  <c r="S232" i="8"/>
  <c r="R232" i="8"/>
  <c r="P232" i="8"/>
  <c r="K232" i="8"/>
  <c r="AP231" i="8"/>
  <c r="AN231" i="8"/>
  <c r="AJ231" i="8"/>
  <c r="AH231" i="8"/>
  <c r="AD231" i="8"/>
  <c r="AB231" i="8"/>
  <c r="AA231" i="8"/>
  <c r="W231" i="8"/>
  <c r="T231" i="8"/>
  <c r="X231" i="8" s="1"/>
  <c r="S231" i="8"/>
  <c r="R231" i="8"/>
  <c r="P231" i="8"/>
  <c r="K231" i="8"/>
  <c r="AP230" i="8"/>
  <c r="AN230" i="8"/>
  <c r="AJ230" i="8"/>
  <c r="AH230" i="8"/>
  <c r="AD230" i="8"/>
  <c r="AB230" i="8"/>
  <c r="AA230" i="8"/>
  <c r="X230" i="8"/>
  <c r="W230" i="8"/>
  <c r="T230" i="8"/>
  <c r="S230" i="8"/>
  <c r="R230" i="8"/>
  <c r="P230" i="8"/>
  <c r="K230" i="8"/>
  <c r="AP229" i="8"/>
  <c r="AN229" i="8"/>
  <c r="AJ229" i="8"/>
  <c r="AH229" i="8"/>
  <c r="AD229" i="8"/>
  <c r="AB229" i="8"/>
  <c r="AA229" i="8"/>
  <c r="W229" i="8"/>
  <c r="T229" i="8"/>
  <c r="S229" i="8"/>
  <c r="R229" i="8"/>
  <c r="P229" i="8"/>
  <c r="K229" i="8"/>
  <c r="AP228" i="8"/>
  <c r="AN228" i="8"/>
  <c r="AJ228" i="8"/>
  <c r="AH228" i="8"/>
  <c r="AD228" i="8"/>
  <c r="AB228" i="8"/>
  <c r="AA228" i="8"/>
  <c r="W228" i="8"/>
  <c r="X228" i="8" s="1"/>
  <c r="T228" i="8"/>
  <c r="S228" i="8"/>
  <c r="R228" i="8"/>
  <c r="P228" i="8"/>
  <c r="K228" i="8"/>
  <c r="AP227" i="8"/>
  <c r="AN227" i="8"/>
  <c r="AJ227" i="8"/>
  <c r="AH227" i="8"/>
  <c r="AD227" i="8"/>
  <c r="AB227" i="8"/>
  <c r="AA227" i="8"/>
  <c r="W227" i="8"/>
  <c r="T227" i="8"/>
  <c r="S227" i="8"/>
  <c r="R227" i="8"/>
  <c r="P227" i="8"/>
  <c r="K227" i="8"/>
  <c r="AP226" i="8"/>
  <c r="AN226" i="8"/>
  <c r="AJ226" i="8"/>
  <c r="AH226" i="8"/>
  <c r="AD226" i="8"/>
  <c r="AB226" i="8"/>
  <c r="AA226" i="8"/>
  <c r="X226" i="8"/>
  <c r="W226" i="8"/>
  <c r="T226" i="8"/>
  <c r="S226" i="8"/>
  <c r="R226" i="8"/>
  <c r="P226" i="8"/>
  <c r="K226" i="8"/>
  <c r="AP225" i="8"/>
  <c r="AN225" i="8"/>
  <c r="AJ225" i="8"/>
  <c r="AH225" i="8"/>
  <c r="AD225" i="8"/>
  <c r="AB225" i="8"/>
  <c r="AA225" i="8"/>
  <c r="W225" i="8"/>
  <c r="T225" i="8"/>
  <c r="S225" i="8"/>
  <c r="R225" i="8"/>
  <c r="P225" i="8"/>
  <c r="K225" i="8"/>
  <c r="AP224" i="8"/>
  <c r="AN224" i="8"/>
  <c r="AJ224" i="8"/>
  <c r="AH224" i="8"/>
  <c r="AD224" i="8"/>
  <c r="AB224" i="8"/>
  <c r="AA224" i="8"/>
  <c r="W224" i="8"/>
  <c r="X224" i="8" s="1"/>
  <c r="T224" i="8"/>
  <c r="S224" i="8"/>
  <c r="R224" i="8"/>
  <c r="P224" i="8"/>
  <c r="K224" i="8"/>
  <c r="AP223" i="8"/>
  <c r="AN223" i="8"/>
  <c r="AJ223" i="8"/>
  <c r="AH223" i="8"/>
  <c r="AD223" i="8"/>
  <c r="AB223" i="8"/>
  <c r="AA223" i="8"/>
  <c r="W223" i="8"/>
  <c r="T223" i="8"/>
  <c r="X223" i="8" s="1"/>
  <c r="S223" i="8"/>
  <c r="R223" i="8"/>
  <c r="P223" i="8"/>
  <c r="K223" i="8"/>
  <c r="AP222" i="8"/>
  <c r="AN222" i="8"/>
  <c r="AJ222" i="8"/>
  <c r="AH222" i="8"/>
  <c r="AD222" i="8"/>
  <c r="AB222" i="8"/>
  <c r="AA222" i="8"/>
  <c r="X222" i="8"/>
  <c r="W222" i="8"/>
  <c r="T222" i="8"/>
  <c r="S222" i="8"/>
  <c r="R222" i="8"/>
  <c r="P222" i="8"/>
  <c r="K222" i="8"/>
  <c r="AP221" i="8"/>
  <c r="AN221" i="8"/>
  <c r="AJ221" i="8"/>
  <c r="AH221" i="8"/>
  <c r="AD221" i="8"/>
  <c r="AB221" i="8"/>
  <c r="AA221" i="8"/>
  <c r="W221" i="8"/>
  <c r="T221" i="8"/>
  <c r="S221" i="8"/>
  <c r="R221" i="8"/>
  <c r="P221" i="8"/>
  <c r="K221" i="8"/>
  <c r="AP220" i="8"/>
  <c r="AN220" i="8"/>
  <c r="AJ220" i="8"/>
  <c r="AH220" i="8"/>
  <c r="AD220" i="8"/>
  <c r="AB220" i="8"/>
  <c r="AA220" i="8"/>
  <c r="W220" i="8"/>
  <c r="X220" i="8" s="1"/>
  <c r="T220" i="8"/>
  <c r="S220" i="8"/>
  <c r="R220" i="8"/>
  <c r="P220" i="8"/>
  <c r="K220" i="8"/>
  <c r="AP219" i="8"/>
  <c r="AN219" i="8"/>
  <c r="AJ219" i="8"/>
  <c r="AH219" i="8"/>
  <c r="AD219" i="8"/>
  <c r="AB219" i="8"/>
  <c r="AA219" i="8"/>
  <c r="W219" i="8"/>
  <c r="T219" i="8"/>
  <c r="X219" i="8" s="1"/>
  <c r="S219" i="8"/>
  <c r="R219" i="8"/>
  <c r="P219" i="8"/>
  <c r="K219" i="8"/>
  <c r="AP218" i="8"/>
  <c r="AN218" i="8"/>
  <c r="AJ218" i="8"/>
  <c r="AH218" i="8"/>
  <c r="AD218" i="8"/>
  <c r="AB218" i="8"/>
  <c r="AA218" i="8"/>
  <c r="X218" i="8"/>
  <c r="W218" i="8"/>
  <c r="T218" i="8"/>
  <c r="S218" i="8"/>
  <c r="R218" i="8"/>
  <c r="P218" i="8"/>
  <c r="K218" i="8"/>
  <c r="AP217" i="8"/>
  <c r="AN217" i="8"/>
  <c r="AJ217" i="8"/>
  <c r="AH217" i="8"/>
  <c r="AD217" i="8"/>
  <c r="AB217" i="8"/>
  <c r="AA217" i="8"/>
  <c r="W217" i="8"/>
  <c r="T217" i="8"/>
  <c r="S217" i="8"/>
  <c r="R217" i="8"/>
  <c r="P217" i="8"/>
  <c r="K217" i="8"/>
  <c r="AP216" i="8"/>
  <c r="AN216" i="8"/>
  <c r="AJ216" i="8"/>
  <c r="AH216" i="8"/>
  <c r="AD216" i="8"/>
  <c r="AB216" i="8"/>
  <c r="AA216" i="8"/>
  <c r="W216" i="8"/>
  <c r="X216" i="8" s="1"/>
  <c r="T216" i="8"/>
  <c r="S216" i="8"/>
  <c r="R216" i="8"/>
  <c r="P216" i="8"/>
  <c r="K216" i="8"/>
  <c r="AP215" i="8"/>
  <c r="AN215" i="8"/>
  <c r="AJ215" i="8"/>
  <c r="AH215" i="8"/>
  <c r="AD215" i="8"/>
  <c r="AB215" i="8"/>
  <c r="AA215" i="8"/>
  <c r="W215" i="8"/>
  <c r="T215" i="8"/>
  <c r="X215" i="8" s="1"/>
  <c r="S215" i="8"/>
  <c r="R215" i="8"/>
  <c r="P215" i="8"/>
  <c r="K215" i="8"/>
  <c r="AP214" i="8"/>
  <c r="AN214" i="8"/>
  <c r="AJ214" i="8"/>
  <c r="AH214" i="8"/>
  <c r="AD214" i="8"/>
  <c r="AB214" i="8"/>
  <c r="AA214" i="8"/>
  <c r="X214" i="8"/>
  <c r="W214" i="8"/>
  <c r="T214" i="8"/>
  <c r="S214" i="8"/>
  <c r="R214" i="8"/>
  <c r="P214" i="8"/>
  <c r="K214" i="8"/>
  <c r="AP213" i="8"/>
  <c r="AN213" i="8"/>
  <c r="AJ213" i="8"/>
  <c r="AH213" i="8"/>
  <c r="AD213" i="8"/>
  <c r="AB213" i="8"/>
  <c r="AA213" i="8"/>
  <c r="W213" i="8"/>
  <c r="T213" i="8"/>
  <c r="S213" i="8"/>
  <c r="R213" i="8"/>
  <c r="P213" i="8"/>
  <c r="K213" i="8"/>
  <c r="AP212" i="8"/>
  <c r="AN212" i="8"/>
  <c r="AJ212" i="8"/>
  <c r="AH212" i="8"/>
  <c r="AD212" i="8"/>
  <c r="AB212" i="8"/>
  <c r="AA212" i="8"/>
  <c r="W212" i="8"/>
  <c r="X212" i="8" s="1"/>
  <c r="T212" i="8"/>
  <c r="S212" i="8"/>
  <c r="R212" i="8"/>
  <c r="P212" i="8"/>
  <c r="K212" i="8"/>
  <c r="AP211" i="8"/>
  <c r="AN211" i="8"/>
  <c r="AJ211" i="8"/>
  <c r="AH211" i="8"/>
  <c r="AD211" i="8"/>
  <c r="AB211" i="8"/>
  <c r="AA211" i="8"/>
  <c r="W211" i="8"/>
  <c r="T211" i="8"/>
  <c r="X211" i="8" s="1"/>
  <c r="S211" i="8"/>
  <c r="R211" i="8"/>
  <c r="P211" i="8"/>
  <c r="K211" i="8"/>
  <c r="AP210" i="8"/>
  <c r="AN210" i="8"/>
  <c r="AJ210" i="8"/>
  <c r="AH210" i="8"/>
  <c r="AD210" i="8"/>
  <c r="AB210" i="8"/>
  <c r="AA210" i="8"/>
  <c r="X210" i="8"/>
  <c r="W210" i="8"/>
  <c r="T210" i="8"/>
  <c r="S210" i="8"/>
  <c r="R210" i="8"/>
  <c r="P210" i="8"/>
  <c r="K210" i="8"/>
  <c r="AP209" i="8"/>
  <c r="AN209" i="8"/>
  <c r="AJ209" i="8"/>
  <c r="AH209" i="8"/>
  <c r="AD209" i="8"/>
  <c r="AB209" i="8"/>
  <c r="AA209" i="8"/>
  <c r="W209" i="8"/>
  <c r="T209" i="8"/>
  <c r="S209" i="8"/>
  <c r="R209" i="8"/>
  <c r="P209" i="8"/>
  <c r="K209" i="8"/>
  <c r="AP208" i="8"/>
  <c r="AN208" i="8"/>
  <c r="AJ208" i="8"/>
  <c r="AH208" i="8"/>
  <c r="AD208" i="8"/>
  <c r="AB208" i="8"/>
  <c r="AA208" i="8"/>
  <c r="W208" i="8"/>
  <c r="X208" i="8" s="1"/>
  <c r="T208" i="8"/>
  <c r="S208" i="8"/>
  <c r="R208" i="8"/>
  <c r="P208" i="8"/>
  <c r="K208" i="8"/>
  <c r="AP207" i="8"/>
  <c r="AN207" i="8"/>
  <c r="AJ207" i="8"/>
  <c r="AH207" i="8"/>
  <c r="AD207" i="8"/>
  <c r="AB207" i="8"/>
  <c r="AA207" i="8"/>
  <c r="W207" i="8"/>
  <c r="T207" i="8"/>
  <c r="X207" i="8" s="1"/>
  <c r="S207" i="8"/>
  <c r="R207" i="8"/>
  <c r="P207" i="8"/>
  <c r="K207" i="8"/>
  <c r="AP206" i="8"/>
  <c r="AN206" i="8"/>
  <c r="AJ206" i="8"/>
  <c r="AH206" i="8"/>
  <c r="AD206" i="8"/>
  <c r="AB206" i="8"/>
  <c r="AA206" i="8"/>
  <c r="X206" i="8"/>
  <c r="W206" i="8"/>
  <c r="T206" i="8"/>
  <c r="S206" i="8"/>
  <c r="R206" i="8"/>
  <c r="P206" i="8"/>
  <c r="K206" i="8"/>
  <c r="AP205" i="8"/>
  <c r="AN205" i="8"/>
  <c r="AJ205" i="8"/>
  <c r="AH205" i="8"/>
  <c r="AD205" i="8"/>
  <c r="AB205" i="8"/>
  <c r="AA205" i="8"/>
  <c r="W205" i="8"/>
  <c r="T205" i="8"/>
  <c r="S205" i="8"/>
  <c r="R205" i="8"/>
  <c r="P205" i="8"/>
  <c r="K205" i="8"/>
  <c r="AP204" i="8"/>
  <c r="AN204" i="8"/>
  <c r="AJ204" i="8"/>
  <c r="AH204" i="8"/>
  <c r="AD204" i="8"/>
  <c r="AB204" i="8"/>
  <c r="AA204" i="8"/>
  <c r="W204" i="8"/>
  <c r="X204" i="8" s="1"/>
  <c r="T204" i="8"/>
  <c r="S204" i="8"/>
  <c r="R204" i="8"/>
  <c r="P204" i="8"/>
  <c r="K204" i="8"/>
  <c r="AP203" i="8"/>
  <c r="AN203" i="8"/>
  <c r="AJ203" i="8"/>
  <c r="AH203" i="8"/>
  <c r="AD203" i="8"/>
  <c r="AB203" i="8"/>
  <c r="AA203" i="8"/>
  <c r="W203" i="8"/>
  <c r="T203" i="8"/>
  <c r="X203" i="8" s="1"/>
  <c r="S203" i="8"/>
  <c r="R203" i="8"/>
  <c r="P203" i="8"/>
  <c r="K203" i="8"/>
  <c r="AP202" i="8"/>
  <c r="AN202" i="8"/>
  <c r="AJ202" i="8"/>
  <c r="AH202" i="8"/>
  <c r="AD202" i="8"/>
  <c r="AB202" i="8"/>
  <c r="AA202" i="8"/>
  <c r="X202" i="8"/>
  <c r="W202" i="8"/>
  <c r="T202" i="8"/>
  <c r="S202" i="8"/>
  <c r="R202" i="8"/>
  <c r="P202" i="8"/>
  <c r="K202" i="8"/>
  <c r="AP201" i="8"/>
  <c r="AN201" i="8"/>
  <c r="AJ201" i="8"/>
  <c r="AH201" i="8"/>
  <c r="AD201" i="8"/>
  <c r="AB201" i="8"/>
  <c r="AA201" i="8"/>
  <c r="W201" i="8"/>
  <c r="T201" i="8"/>
  <c r="S201" i="8"/>
  <c r="R201" i="8"/>
  <c r="P201" i="8"/>
  <c r="K201" i="8"/>
  <c r="AP200" i="8"/>
  <c r="AN200" i="8"/>
  <c r="AJ200" i="8"/>
  <c r="AH200" i="8"/>
  <c r="AD200" i="8"/>
  <c r="AB200" i="8"/>
  <c r="AA200" i="8"/>
  <c r="W200" i="8"/>
  <c r="X200" i="8" s="1"/>
  <c r="T200" i="8"/>
  <c r="S200" i="8"/>
  <c r="R200" i="8"/>
  <c r="P200" i="8"/>
  <c r="K200" i="8"/>
  <c r="AP199" i="8"/>
  <c r="AN199" i="8"/>
  <c r="AJ199" i="8"/>
  <c r="AH199" i="8"/>
  <c r="AD199" i="8"/>
  <c r="AB199" i="8"/>
  <c r="AA199" i="8"/>
  <c r="W199" i="8"/>
  <c r="T199" i="8"/>
  <c r="X199" i="8" s="1"/>
  <c r="S199" i="8"/>
  <c r="R199" i="8"/>
  <c r="P199" i="8"/>
  <c r="K199" i="8"/>
  <c r="AP198" i="8"/>
  <c r="AN198" i="8"/>
  <c r="AJ198" i="8"/>
  <c r="AH198" i="8"/>
  <c r="AD198" i="8"/>
  <c r="AB198" i="8"/>
  <c r="AA198" i="8"/>
  <c r="X198" i="8"/>
  <c r="W198" i="8"/>
  <c r="T198" i="8"/>
  <c r="S198" i="8"/>
  <c r="R198" i="8"/>
  <c r="P198" i="8"/>
  <c r="K198" i="8"/>
  <c r="AP197" i="8"/>
  <c r="AN197" i="8"/>
  <c r="AJ197" i="8"/>
  <c r="AH197" i="8"/>
  <c r="AD197" i="8"/>
  <c r="AB197" i="8"/>
  <c r="AA197" i="8"/>
  <c r="W197" i="8"/>
  <c r="T197" i="8"/>
  <c r="S197" i="8"/>
  <c r="R197" i="8"/>
  <c r="P197" i="8"/>
  <c r="K197" i="8"/>
  <c r="AP196" i="8"/>
  <c r="AN196" i="8"/>
  <c r="AJ196" i="8"/>
  <c r="AH196" i="8"/>
  <c r="AD196" i="8"/>
  <c r="AB196" i="8"/>
  <c r="AA196" i="8"/>
  <c r="W196" i="8"/>
  <c r="T196" i="8"/>
  <c r="X196" i="8" s="1"/>
  <c r="S196" i="8"/>
  <c r="R196" i="8"/>
  <c r="P196" i="8"/>
  <c r="K196" i="8"/>
  <c r="AP195" i="8"/>
  <c r="AN195" i="8"/>
  <c r="AJ195" i="8"/>
  <c r="AH195" i="8"/>
  <c r="AD195" i="8"/>
  <c r="AB195" i="8"/>
  <c r="AA195" i="8"/>
  <c r="X195" i="8"/>
  <c r="W195" i="8"/>
  <c r="T195" i="8"/>
  <c r="S195" i="8"/>
  <c r="R195" i="8"/>
  <c r="P195" i="8"/>
  <c r="K195" i="8"/>
  <c r="AP194" i="8"/>
  <c r="AN194" i="8"/>
  <c r="AJ194" i="8"/>
  <c r="AH194" i="8"/>
  <c r="AD194" i="8"/>
  <c r="AB194" i="8"/>
  <c r="AA194" i="8"/>
  <c r="W194" i="8"/>
  <c r="T194" i="8"/>
  <c r="S194" i="8"/>
  <c r="R194" i="8"/>
  <c r="P194" i="8"/>
  <c r="K194" i="8"/>
  <c r="AP193" i="8"/>
  <c r="AN193" i="8"/>
  <c r="AJ193" i="8"/>
  <c r="AH193" i="8"/>
  <c r="AD193" i="8"/>
  <c r="AB193" i="8"/>
  <c r="AA193" i="8"/>
  <c r="W193" i="8"/>
  <c r="X193" i="8" s="1"/>
  <c r="T193" i="8"/>
  <c r="S193" i="8"/>
  <c r="R193" i="8"/>
  <c r="P193" i="8"/>
  <c r="K193" i="8"/>
  <c r="AP192" i="8"/>
  <c r="AN192" i="8"/>
  <c r="AJ192" i="8"/>
  <c r="AH192" i="8"/>
  <c r="AD192" i="8"/>
  <c r="AB192" i="8"/>
  <c r="AA192" i="8"/>
  <c r="W192" i="8"/>
  <c r="T192" i="8"/>
  <c r="S192" i="8"/>
  <c r="R192" i="8"/>
  <c r="P192" i="8"/>
  <c r="K192" i="8"/>
  <c r="AP191" i="8"/>
  <c r="AN191" i="8"/>
  <c r="AJ191" i="8"/>
  <c r="AH191" i="8"/>
  <c r="AD191" i="8"/>
  <c r="AB191" i="8"/>
  <c r="AA191" i="8"/>
  <c r="W191" i="8"/>
  <c r="X191" i="8" s="1"/>
  <c r="T191" i="8"/>
  <c r="S191" i="8"/>
  <c r="R191" i="8"/>
  <c r="P191" i="8"/>
  <c r="K191" i="8"/>
  <c r="AP190" i="8"/>
  <c r="AN190" i="8"/>
  <c r="AJ190" i="8"/>
  <c r="AH190" i="8"/>
  <c r="AD190" i="8"/>
  <c r="AB190" i="8"/>
  <c r="AA190" i="8"/>
  <c r="W190" i="8"/>
  <c r="T190" i="8"/>
  <c r="S190" i="8"/>
  <c r="R190" i="8"/>
  <c r="P190" i="8"/>
  <c r="K190" i="8"/>
  <c r="AP189" i="8"/>
  <c r="AN189" i="8"/>
  <c r="AJ189" i="8"/>
  <c r="AH189" i="8"/>
  <c r="AD189" i="8"/>
  <c r="AB189" i="8"/>
  <c r="AA189" i="8"/>
  <c r="W189" i="8"/>
  <c r="X189" i="8" s="1"/>
  <c r="T189" i="8"/>
  <c r="S189" i="8"/>
  <c r="R189" i="8"/>
  <c r="P189" i="8"/>
  <c r="K189" i="8"/>
  <c r="AP188" i="8"/>
  <c r="AN188" i="8"/>
  <c r="AJ188" i="8"/>
  <c r="AH188" i="8"/>
  <c r="AD188" i="8"/>
  <c r="AB188" i="8"/>
  <c r="AA188" i="8"/>
  <c r="W188" i="8"/>
  <c r="T188" i="8"/>
  <c r="S188" i="8"/>
  <c r="R188" i="8"/>
  <c r="P188" i="8"/>
  <c r="K188" i="8"/>
  <c r="AP187" i="8"/>
  <c r="AN187" i="8"/>
  <c r="AJ187" i="8"/>
  <c r="AH187" i="8"/>
  <c r="AD187" i="8"/>
  <c r="AB187" i="8"/>
  <c r="AA187" i="8"/>
  <c r="W187" i="8"/>
  <c r="X187" i="8" s="1"/>
  <c r="T187" i="8"/>
  <c r="S187" i="8"/>
  <c r="R187" i="8"/>
  <c r="P187" i="8"/>
  <c r="K187" i="8"/>
  <c r="AP186" i="8"/>
  <c r="AN186" i="8"/>
  <c r="AJ186" i="8"/>
  <c r="AH186" i="8"/>
  <c r="AD186" i="8"/>
  <c r="AB186" i="8"/>
  <c r="AA186" i="8"/>
  <c r="W186" i="8"/>
  <c r="T186" i="8"/>
  <c r="S186" i="8"/>
  <c r="R186" i="8"/>
  <c r="P186" i="8"/>
  <c r="K186" i="8"/>
  <c r="AP185" i="8"/>
  <c r="AN185" i="8"/>
  <c r="AJ185" i="8"/>
  <c r="AH185" i="8"/>
  <c r="AD185" i="8"/>
  <c r="AB185" i="8"/>
  <c r="AA185" i="8"/>
  <c r="W185" i="8"/>
  <c r="X185" i="8" s="1"/>
  <c r="T185" i="8"/>
  <c r="S185" i="8"/>
  <c r="R185" i="8"/>
  <c r="P185" i="8"/>
  <c r="K185" i="8"/>
  <c r="AP184" i="8"/>
  <c r="AN184" i="8"/>
  <c r="AJ184" i="8"/>
  <c r="AH184" i="8"/>
  <c r="AD184" i="8"/>
  <c r="AB184" i="8"/>
  <c r="AA184" i="8"/>
  <c r="W184" i="8"/>
  <c r="T184" i="8"/>
  <c r="S184" i="8"/>
  <c r="R184" i="8"/>
  <c r="P184" i="8"/>
  <c r="K184" i="8"/>
  <c r="AP183" i="8"/>
  <c r="AN183" i="8"/>
  <c r="AJ183" i="8"/>
  <c r="AH183" i="8"/>
  <c r="AD183" i="8"/>
  <c r="AB183" i="8"/>
  <c r="AA183" i="8"/>
  <c r="W183" i="8"/>
  <c r="X183" i="8" s="1"/>
  <c r="T183" i="8"/>
  <c r="S183" i="8"/>
  <c r="R183" i="8"/>
  <c r="P183" i="8"/>
  <c r="K183" i="8"/>
  <c r="AP182" i="8"/>
  <c r="AN182" i="8"/>
  <c r="AJ182" i="8"/>
  <c r="AH182" i="8"/>
  <c r="AD182" i="8"/>
  <c r="AB182" i="8"/>
  <c r="AA182" i="8"/>
  <c r="W182" i="8"/>
  <c r="T182" i="8"/>
  <c r="S182" i="8"/>
  <c r="R182" i="8"/>
  <c r="P182" i="8"/>
  <c r="K182" i="8"/>
  <c r="AP181" i="8"/>
  <c r="AN181" i="8"/>
  <c r="AJ181" i="8"/>
  <c r="AH181" i="8"/>
  <c r="AD181" i="8"/>
  <c r="AB181" i="8"/>
  <c r="AA181" i="8"/>
  <c r="W181" i="8"/>
  <c r="X181" i="8" s="1"/>
  <c r="T181" i="8"/>
  <c r="S181" i="8"/>
  <c r="R181" i="8"/>
  <c r="P181" i="8"/>
  <c r="K181" i="8"/>
  <c r="AP180" i="8"/>
  <c r="AN180" i="8"/>
  <c r="AJ180" i="8"/>
  <c r="AH180" i="8"/>
  <c r="AD180" i="8"/>
  <c r="AB180" i="8"/>
  <c r="AA180" i="8"/>
  <c r="W180" i="8"/>
  <c r="T180" i="8"/>
  <c r="S180" i="8"/>
  <c r="R180" i="8"/>
  <c r="P180" i="8"/>
  <c r="K180" i="8"/>
  <c r="AP179" i="8"/>
  <c r="AN179" i="8"/>
  <c r="AJ179" i="8"/>
  <c r="AH179" i="8"/>
  <c r="AD179" i="8"/>
  <c r="AB179" i="8"/>
  <c r="AA179" i="8"/>
  <c r="W179" i="8"/>
  <c r="X179" i="8" s="1"/>
  <c r="T179" i="8"/>
  <c r="S179" i="8"/>
  <c r="R179" i="8"/>
  <c r="P179" i="8"/>
  <c r="K179" i="8"/>
  <c r="AP178" i="8"/>
  <c r="AN178" i="8"/>
  <c r="AJ178" i="8"/>
  <c r="AH178" i="8"/>
  <c r="AD178" i="8"/>
  <c r="AB178" i="8"/>
  <c r="AA178" i="8"/>
  <c r="W178" i="8"/>
  <c r="T178" i="8"/>
  <c r="S178" i="8"/>
  <c r="R178" i="8"/>
  <c r="P178" i="8"/>
  <c r="K178" i="8"/>
  <c r="AP177" i="8"/>
  <c r="AN177" i="8"/>
  <c r="AJ177" i="8"/>
  <c r="AH177" i="8"/>
  <c r="AD177" i="8"/>
  <c r="AB177" i="8"/>
  <c r="AA177" i="8"/>
  <c r="W177" i="8"/>
  <c r="X177" i="8" s="1"/>
  <c r="T177" i="8"/>
  <c r="S177" i="8"/>
  <c r="R177" i="8"/>
  <c r="P177" i="8"/>
  <c r="K177" i="8"/>
  <c r="AP176" i="8"/>
  <c r="AN176" i="8"/>
  <c r="AJ176" i="8"/>
  <c r="AH176" i="8"/>
  <c r="AD176" i="8"/>
  <c r="AB176" i="8"/>
  <c r="AA176" i="8"/>
  <c r="W176" i="8"/>
  <c r="T176" i="8"/>
  <c r="S176" i="8"/>
  <c r="R176" i="8"/>
  <c r="P176" i="8"/>
  <c r="K176" i="8"/>
  <c r="AP175" i="8"/>
  <c r="AN175" i="8"/>
  <c r="AJ175" i="8"/>
  <c r="AH175" i="8"/>
  <c r="AD175" i="8"/>
  <c r="AB175" i="8"/>
  <c r="AA175" i="8"/>
  <c r="W175" i="8"/>
  <c r="X175" i="8" s="1"/>
  <c r="T175" i="8"/>
  <c r="S175" i="8"/>
  <c r="R175" i="8"/>
  <c r="P175" i="8"/>
  <c r="K175" i="8"/>
  <c r="AP174" i="8"/>
  <c r="AN174" i="8"/>
  <c r="AJ174" i="8"/>
  <c r="AH174" i="8"/>
  <c r="AD174" i="8"/>
  <c r="AB174" i="8"/>
  <c r="AA174" i="8"/>
  <c r="W174" i="8"/>
  <c r="T174" i="8"/>
  <c r="S174" i="8"/>
  <c r="R174" i="8"/>
  <c r="P174" i="8"/>
  <c r="K174" i="8"/>
  <c r="AP173" i="8"/>
  <c r="AN173" i="8"/>
  <c r="AJ173" i="8"/>
  <c r="AH173" i="8"/>
  <c r="AD173" i="8"/>
  <c r="AB173" i="8"/>
  <c r="AA173" i="8"/>
  <c r="W173" i="8"/>
  <c r="X173" i="8" s="1"/>
  <c r="T173" i="8"/>
  <c r="S173" i="8"/>
  <c r="R173" i="8"/>
  <c r="P173" i="8"/>
  <c r="K173" i="8"/>
  <c r="AP172" i="8"/>
  <c r="AN172" i="8"/>
  <c r="AJ172" i="8"/>
  <c r="AH172" i="8"/>
  <c r="AD172" i="8"/>
  <c r="AB172" i="8"/>
  <c r="AA172" i="8"/>
  <c r="W172" i="8"/>
  <c r="T172" i="8"/>
  <c r="S172" i="8"/>
  <c r="R172" i="8"/>
  <c r="P172" i="8"/>
  <c r="K172" i="8"/>
  <c r="AP171" i="8"/>
  <c r="AN171" i="8"/>
  <c r="AJ171" i="8"/>
  <c r="AH171" i="8"/>
  <c r="AD171" i="8"/>
  <c r="AB171" i="8"/>
  <c r="AA171" i="8"/>
  <c r="W171" i="8"/>
  <c r="X171" i="8" s="1"/>
  <c r="T171" i="8"/>
  <c r="S171" i="8"/>
  <c r="R171" i="8"/>
  <c r="P171" i="8"/>
  <c r="K171" i="8"/>
  <c r="AP170" i="8"/>
  <c r="AN170" i="8"/>
  <c r="AJ170" i="8"/>
  <c r="AH170" i="8"/>
  <c r="AD170" i="8"/>
  <c r="AB170" i="8"/>
  <c r="AA170" i="8"/>
  <c r="W170" i="8"/>
  <c r="T170" i="8"/>
  <c r="S170" i="8"/>
  <c r="R170" i="8"/>
  <c r="P170" i="8"/>
  <c r="K170" i="8"/>
  <c r="AP169" i="8"/>
  <c r="AN169" i="8"/>
  <c r="AJ169" i="8"/>
  <c r="AH169" i="8"/>
  <c r="AD169" i="8"/>
  <c r="AB169" i="8"/>
  <c r="AA169" i="8"/>
  <c r="W169" i="8"/>
  <c r="X169" i="8" s="1"/>
  <c r="T169" i="8"/>
  <c r="S169" i="8"/>
  <c r="R169" i="8"/>
  <c r="P169" i="8"/>
  <c r="K169" i="8"/>
  <c r="AP168" i="8"/>
  <c r="AN168" i="8"/>
  <c r="AJ168" i="8"/>
  <c r="AH168" i="8"/>
  <c r="AD168" i="8"/>
  <c r="AB168" i="8"/>
  <c r="AA168" i="8"/>
  <c r="W168" i="8"/>
  <c r="T168" i="8"/>
  <c r="S168" i="8"/>
  <c r="R168" i="8"/>
  <c r="P168" i="8"/>
  <c r="K168" i="8"/>
  <c r="AP167" i="8"/>
  <c r="AN167" i="8"/>
  <c r="AJ167" i="8"/>
  <c r="AH167" i="8"/>
  <c r="AD167" i="8"/>
  <c r="AB167" i="8"/>
  <c r="AA167" i="8"/>
  <c r="W167" i="8"/>
  <c r="X167" i="8" s="1"/>
  <c r="T167" i="8"/>
  <c r="S167" i="8"/>
  <c r="R167" i="8"/>
  <c r="P167" i="8"/>
  <c r="K167" i="8"/>
  <c r="AP166" i="8"/>
  <c r="AN166" i="8"/>
  <c r="AJ166" i="8"/>
  <c r="AH166" i="8"/>
  <c r="AD166" i="8"/>
  <c r="AB166" i="8"/>
  <c r="AA166" i="8"/>
  <c r="W166" i="8"/>
  <c r="T166" i="8"/>
  <c r="S166" i="8"/>
  <c r="R166" i="8"/>
  <c r="P166" i="8"/>
  <c r="K166" i="8"/>
  <c r="AP165" i="8"/>
  <c r="AN165" i="8"/>
  <c r="AJ165" i="8"/>
  <c r="AH165" i="8"/>
  <c r="AD165" i="8"/>
  <c r="AB165" i="8"/>
  <c r="AA165" i="8"/>
  <c r="W165" i="8"/>
  <c r="X165" i="8" s="1"/>
  <c r="T165" i="8"/>
  <c r="S165" i="8"/>
  <c r="R165" i="8"/>
  <c r="P165" i="8"/>
  <c r="K165" i="8"/>
  <c r="AP164" i="8"/>
  <c r="AN164" i="8"/>
  <c r="AJ164" i="8"/>
  <c r="AH164" i="8"/>
  <c r="AD164" i="8"/>
  <c r="AB164" i="8"/>
  <c r="AA164" i="8"/>
  <c r="W164" i="8"/>
  <c r="T164" i="8"/>
  <c r="S164" i="8"/>
  <c r="R164" i="8"/>
  <c r="P164" i="8"/>
  <c r="K164" i="8"/>
  <c r="AP163" i="8"/>
  <c r="AN163" i="8"/>
  <c r="AJ163" i="8"/>
  <c r="AH163" i="8"/>
  <c r="AD163" i="8"/>
  <c r="AB163" i="8"/>
  <c r="AA163" i="8"/>
  <c r="W163" i="8"/>
  <c r="X163" i="8" s="1"/>
  <c r="T163" i="8"/>
  <c r="S163" i="8"/>
  <c r="R163" i="8"/>
  <c r="P163" i="8"/>
  <c r="K163" i="8"/>
  <c r="AP162" i="8"/>
  <c r="AN162" i="8"/>
  <c r="AJ162" i="8"/>
  <c r="AH162" i="8"/>
  <c r="AD162" i="8"/>
  <c r="AB162" i="8"/>
  <c r="AA162" i="8"/>
  <c r="W162" i="8"/>
  <c r="T162" i="8"/>
  <c r="S162" i="8"/>
  <c r="R162" i="8"/>
  <c r="P162" i="8"/>
  <c r="K162" i="8"/>
  <c r="AP161" i="8"/>
  <c r="AN161" i="8"/>
  <c r="AJ161" i="8"/>
  <c r="AH161" i="8"/>
  <c r="AD161" i="8"/>
  <c r="AB161" i="8"/>
  <c r="AA161" i="8"/>
  <c r="W161" i="8"/>
  <c r="X161" i="8" s="1"/>
  <c r="T161" i="8"/>
  <c r="S161" i="8"/>
  <c r="R161" i="8"/>
  <c r="P161" i="8"/>
  <c r="K161" i="8"/>
  <c r="AP160" i="8"/>
  <c r="AN160" i="8"/>
  <c r="AJ160" i="8"/>
  <c r="AH160" i="8"/>
  <c r="AD160" i="8"/>
  <c r="AB160" i="8"/>
  <c r="AA160" i="8"/>
  <c r="W160" i="8"/>
  <c r="T160" i="8"/>
  <c r="S160" i="8"/>
  <c r="R160" i="8"/>
  <c r="P160" i="8"/>
  <c r="K160" i="8"/>
  <c r="AP159" i="8"/>
  <c r="AN159" i="8"/>
  <c r="AJ159" i="8"/>
  <c r="AH159" i="8"/>
  <c r="AD159" i="8"/>
  <c r="AB159" i="8"/>
  <c r="AA159" i="8"/>
  <c r="W159" i="8"/>
  <c r="X159" i="8" s="1"/>
  <c r="T159" i="8"/>
  <c r="S159" i="8"/>
  <c r="R159" i="8"/>
  <c r="P159" i="8"/>
  <c r="K159" i="8"/>
  <c r="AP158" i="8"/>
  <c r="AN158" i="8"/>
  <c r="AJ158" i="8"/>
  <c r="AH158" i="8"/>
  <c r="AD158" i="8"/>
  <c r="AB158" i="8"/>
  <c r="AA158" i="8"/>
  <c r="W158" i="8"/>
  <c r="T158" i="8"/>
  <c r="S158" i="8"/>
  <c r="R158" i="8"/>
  <c r="P158" i="8"/>
  <c r="K158" i="8"/>
  <c r="AP157" i="8"/>
  <c r="AN157" i="8"/>
  <c r="AJ157" i="8"/>
  <c r="AH157" i="8"/>
  <c r="AD157" i="8"/>
  <c r="AB157" i="8"/>
  <c r="AA157" i="8"/>
  <c r="W157" i="8"/>
  <c r="X157" i="8" s="1"/>
  <c r="T157" i="8"/>
  <c r="S157" i="8"/>
  <c r="R157" i="8"/>
  <c r="P157" i="8"/>
  <c r="K157" i="8"/>
  <c r="AP156" i="8"/>
  <c r="AN156" i="8"/>
  <c r="AJ156" i="8"/>
  <c r="AH156" i="8"/>
  <c r="AD156" i="8"/>
  <c r="AB156" i="8"/>
  <c r="AA156" i="8"/>
  <c r="W156" i="8"/>
  <c r="T156" i="8"/>
  <c r="S156" i="8"/>
  <c r="R156" i="8"/>
  <c r="P156" i="8"/>
  <c r="K156" i="8"/>
  <c r="AP155" i="8"/>
  <c r="AN155" i="8"/>
  <c r="AJ155" i="8"/>
  <c r="AH155" i="8"/>
  <c r="AD155" i="8"/>
  <c r="AB155" i="8"/>
  <c r="AA155" i="8"/>
  <c r="W155" i="8"/>
  <c r="X155" i="8" s="1"/>
  <c r="T155" i="8"/>
  <c r="S155" i="8"/>
  <c r="R155" i="8"/>
  <c r="P155" i="8"/>
  <c r="K155" i="8"/>
  <c r="AP154" i="8"/>
  <c r="AN154" i="8"/>
  <c r="AJ154" i="8"/>
  <c r="AH154" i="8"/>
  <c r="AD154" i="8"/>
  <c r="AB154" i="8"/>
  <c r="AA154" i="8"/>
  <c r="W154" i="8"/>
  <c r="T154" i="8"/>
  <c r="S154" i="8"/>
  <c r="R154" i="8"/>
  <c r="P154" i="8"/>
  <c r="K154" i="8"/>
  <c r="AP153" i="8"/>
  <c r="AN153" i="8"/>
  <c r="AJ153" i="8"/>
  <c r="AH153" i="8"/>
  <c r="AD153" i="8"/>
  <c r="AB153" i="8"/>
  <c r="AA153" i="8"/>
  <c r="W153" i="8"/>
  <c r="X153" i="8" s="1"/>
  <c r="T153" i="8"/>
  <c r="S153" i="8"/>
  <c r="R153" i="8"/>
  <c r="P153" i="8"/>
  <c r="K153" i="8"/>
  <c r="AP152" i="8"/>
  <c r="AN152" i="8"/>
  <c r="AJ152" i="8"/>
  <c r="AH152" i="8"/>
  <c r="AD152" i="8"/>
  <c r="AB152" i="8"/>
  <c r="AA152" i="8"/>
  <c r="W152" i="8"/>
  <c r="T152" i="8"/>
  <c r="S152" i="8"/>
  <c r="R152" i="8"/>
  <c r="P152" i="8"/>
  <c r="K152" i="8"/>
  <c r="AP151" i="8"/>
  <c r="AN151" i="8"/>
  <c r="AJ151" i="8"/>
  <c r="AH151" i="8"/>
  <c r="AD151" i="8"/>
  <c r="AB151" i="8"/>
  <c r="AA151" i="8"/>
  <c r="W151" i="8"/>
  <c r="X151" i="8" s="1"/>
  <c r="T151" i="8"/>
  <c r="S151" i="8"/>
  <c r="R151" i="8"/>
  <c r="P151" i="8"/>
  <c r="K151" i="8"/>
  <c r="AP150" i="8"/>
  <c r="AN150" i="8"/>
  <c r="AJ150" i="8"/>
  <c r="AH150" i="8"/>
  <c r="AD150" i="8"/>
  <c r="AB150" i="8"/>
  <c r="AA150" i="8"/>
  <c r="W150" i="8"/>
  <c r="T150" i="8"/>
  <c r="S150" i="8"/>
  <c r="R150" i="8"/>
  <c r="P150" i="8"/>
  <c r="K150" i="8"/>
  <c r="AP149" i="8"/>
  <c r="AN149" i="8"/>
  <c r="AJ149" i="8"/>
  <c r="AH149" i="8"/>
  <c r="AD149" i="8"/>
  <c r="AB149" i="8"/>
  <c r="AA149" i="8"/>
  <c r="W149" i="8"/>
  <c r="X149" i="8" s="1"/>
  <c r="T149" i="8"/>
  <c r="S149" i="8"/>
  <c r="R149" i="8"/>
  <c r="P149" i="8"/>
  <c r="K149" i="8"/>
  <c r="AP148" i="8"/>
  <c r="AN148" i="8"/>
  <c r="AJ148" i="8"/>
  <c r="AH148" i="8"/>
  <c r="AD148" i="8"/>
  <c r="AB148" i="8"/>
  <c r="AA148" i="8"/>
  <c r="W148" i="8"/>
  <c r="T148" i="8"/>
  <c r="S148" i="8"/>
  <c r="R148" i="8"/>
  <c r="P148" i="8"/>
  <c r="K148" i="8"/>
  <c r="AP147" i="8"/>
  <c r="AN147" i="8"/>
  <c r="AJ147" i="8"/>
  <c r="AH147" i="8"/>
  <c r="AD147" i="8"/>
  <c r="AB147" i="8"/>
  <c r="AA147" i="8"/>
  <c r="W147" i="8"/>
  <c r="X147" i="8" s="1"/>
  <c r="T147" i="8"/>
  <c r="S147" i="8"/>
  <c r="R147" i="8"/>
  <c r="P147" i="8"/>
  <c r="K147" i="8"/>
  <c r="AP146" i="8"/>
  <c r="AN146" i="8"/>
  <c r="AJ146" i="8"/>
  <c r="AH146" i="8"/>
  <c r="AD146" i="8"/>
  <c r="AB146" i="8"/>
  <c r="AA146" i="8"/>
  <c r="W146" i="8"/>
  <c r="T146" i="8"/>
  <c r="S146" i="8"/>
  <c r="R146" i="8"/>
  <c r="P146" i="8"/>
  <c r="K146" i="8"/>
  <c r="AP145" i="8"/>
  <c r="AN145" i="8"/>
  <c r="AJ145" i="8"/>
  <c r="AH145" i="8"/>
  <c r="AD145" i="8"/>
  <c r="AB145" i="8"/>
  <c r="AA145" i="8"/>
  <c r="W145" i="8"/>
  <c r="X145" i="8" s="1"/>
  <c r="T145" i="8"/>
  <c r="S145" i="8"/>
  <c r="R145" i="8"/>
  <c r="P145" i="8"/>
  <c r="K145" i="8"/>
  <c r="AP144" i="8"/>
  <c r="AN144" i="8"/>
  <c r="AJ144" i="8"/>
  <c r="AH144" i="8"/>
  <c r="AD144" i="8"/>
  <c r="AB144" i="8"/>
  <c r="AA144" i="8"/>
  <c r="W144" i="8"/>
  <c r="T144" i="8"/>
  <c r="S144" i="8"/>
  <c r="R144" i="8"/>
  <c r="P144" i="8"/>
  <c r="K144" i="8"/>
  <c r="AP143" i="8"/>
  <c r="AN143" i="8"/>
  <c r="AJ143" i="8"/>
  <c r="AH143" i="8"/>
  <c r="AD143" i="8"/>
  <c r="AB143" i="8"/>
  <c r="AA143" i="8"/>
  <c r="W143" i="8"/>
  <c r="X143" i="8" s="1"/>
  <c r="T143" i="8"/>
  <c r="S143" i="8"/>
  <c r="R143" i="8"/>
  <c r="P143" i="8"/>
  <c r="K143" i="8"/>
  <c r="AP142" i="8"/>
  <c r="AN142" i="8"/>
  <c r="AJ142" i="8"/>
  <c r="AH142" i="8"/>
  <c r="AD142" i="8"/>
  <c r="AB142" i="8"/>
  <c r="AA142" i="8"/>
  <c r="W142" i="8"/>
  <c r="T142" i="8"/>
  <c r="S142" i="8"/>
  <c r="R142" i="8"/>
  <c r="P142" i="8"/>
  <c r="K142" i="8"/>
  <c r="AP141" i="8"/>
  <c r="AN141" i="8"/>
  <c r="AJ141" i="8"/>
  <c r="AH141" i="8"/>
  <c r="AD141" i="8"/>
  <c r="AB141" i="8"/>
  <c r="AA141" i="8"/>
  <c r="W141" i="8"/>
  <c r="X141" i="8" s="1"/>
  <c r="T141" i="8"/>
  <c r="S141" i="8"/>
  <c r="R141" i="8"/>
  <c r="P141" i="8"/>
  <c r="K141" i="8"/>
  <c r="AP140" i="8"/>
  <c r="AN140" i="8"/>
  <c r="AJ140" i="8"/>
  <c r="AH140" i="8"/>
  <c r="AD140" i="8"/>
  <c r="AB140" i="8"/>
  <c r="AA140" i="8"/>
  <c r="W140" i="8"/>
  <c r="T140" i="8"/>
  <c r="S140" i="8"/>
  <c r="R140" i="8"/>
  <c r="P140" i="8"/>
  <c r="K140" i="8"/>
  <c r="AP139" i="8"/>
  <c r="AN139" i="8"/>
  <c r="AJ139" i="8"/>
  <c r="AH139" i="8"/>
  <c r="AD139" i="8"/>
  <c r="AB139" i="8"/>
  <c r="AA139" i="8"/>
  <c r="W139" i="8"/>
  <c r="X139" i="8" s="1"/>
  <c r="T139" i="8"/>
  <c r="S139" i="8"/>
  <c r="R139" i="8"/>
  <c r="P139" i="8"/>
  <c r="K139" i="8"/>
  <c r="AP138" i="8"/>
  <c r="AN138" i="8"/>
  <c r="AJ138" i="8"/>
  <c r="AH138" i="8"/>
  <c r="AD138" i="8"/>
  <c r="AB138" i="8"/>
  <c r="AA138" i="8"/>
  <c r="W138" i="8"/>
  <c r="T138" i="8"/>
  <c r="S138" i="8"/>
  <c r="R138" i="8"/>
  <c r="P138" i="8"/>
  <c r="K138" i="8"/>
  <c r="AP137" i="8"/>
  <c r="AN137" i="8"/>
  <c r="AJ137" i="8"/>
  <c r="AH137" i="8"/>
  <c r="AD137" i="8"/>
  <c r="AB137" i="8"/>
  <c r="AA137" i="8"/>
  <c r="W137" i="8"/>
  <c r="T137" i="8"/>
  <c r="X137" i="8" s="1"/>
  <c r="S137" i="8"/>
  <c r="R137" i="8"/>
  <c r="P137" i="8"/>
  <c r="K137" i="8"/>
  <c r="AP136" i="8"/>
  <c r="AN136" i="8"/>
  <c r="AJ136" i="8"/>
  <c r="AH136" i="8"/>
  <c r="AD136" i="8"/>
  <c r="AB136" i="8"/>
  <c r="AA136" i="8"/>
  <c r="W136" i="8"/>
  <c r="T136" i="8"/>
  <c r="S136" i="8"/>
  <c r="R136" i="8"/>
  <c r="P136" i="8"/>
  <c r="K136" i="8"/>
  <c r="AP135" i="8"/>
  <c r="AN135" i="8"/>
  <c r="AJ135" i="8"/>
  <c r="AH135" i="8"/>
  <c r="AD135" i="8"/>
  <c r="AB135" i="8"/>
  <c r="AA135" i="8"/>
  <c r="W135" i="8"/>
  <c r="T135" i="8"/>
  <c r="X135" i="8" s="1"/>
  <c r="S135" i="8"/>
  <c r="R135" i="8"/>
  <c r="P135" i="8"/>
  <c r="K135" i="8"/>
  <c r="AP134" i="8"/>
  <c r="AN134" i="8"/>
  <c r="AJ134" i="8"/>
  <c r="AH134" i="8"/>
  <c r="AD134" i="8"/>
  <c r="AB134" i="8"/>
  <c r="AA134" i="8"/>
  <c r="W134" i="8"/>
  <c r="T134" i="8"/>
  <c r="S134" i="8"/>
  <c r="R134" i="8"/>
  <c r="P134" i="8"/>
  <c r="K134" i="8"/>
  <c r="AP133" i="8"/>
  <c r="AN133" i="8"/>
  <c r="AJ133" i="8"/>
  <c r="AH133" i="8"/>
  <c r="AD133" i="8"/>
  <c r="AB133" i="8"/>
  <c r="AA133" i="8"/>
  <c r="W133" i="8"/>
  <c r="T133" i="8"/>
  <c r="X133" i="8" s="1"/>
  <c r="S133" i="8"/>
  <c r="R133" i="8"/>
  <c r="P133" i="8"/>
  <c r="K133" i="8"/>
  <c r="AP132" i="8"/>
  <c r="AN132" i="8"/>
  <c r="AJ132" i="8"/>
  <c r="AH132" i="8"/>
  <c r="AD132" i="8"/>
  <c r="AB132" i="8"/>
  <c r="AA132" i="8"/>
  <c r="W132" i="8"/>
  <c r="T132" i="8"/>
  <c r="S132" i="8"/>
  <c r="R132" i="8"/>
  <c r="P132" i="8"/>
  <c r="K132" i="8"/>
  <c r="AP131" i="8"/>
  <c r="AN131" i="8"/>
  <c r="AJ131" i="8"/>
  <c r="AH131" i="8"/>
  <c r="AD131" i="8"/>
  <c r="AB131" i="8"/>
  <c r="AA131" i="8"/>
  <c r="W131" i="8"/>
  <c r="T131" i="8"/>
  <c r="X131" i="8" s="1"/>
  <c r="S131" i="8"/>
  <c r="R131" i="8"/>
  <c r="P131" i="8"/>
  <c r="K131" i="8"/>
  <c r="AP130" i="8"/>
  <c r="AN130" i="8"/>
  <c r="AJ130" i="8"/>
  <c r="AH130" i="8"/>
  <c r="AD130" i="8"/>
  <c r="AB130" i="8"/>
  <c r="AA130" i="8"/>
  <c r="W130" i="8"/>
  <c r="T130" i="8"/>
  <c r="S130" i="8"/>
  <c r="R130" i="8"/>
  <c r="P130" i="8"/>
  <c r="K130" i="8"/>
  <c r="AP129" i="8"/>
  <c r="AN129" i="8"/>
  <c r="AJ129" i="8"/>
  <c r="AH129" i="8"/>
  <c r="AD129" i="8"/>
  <c r="AB129" i="8"/>
  <c r="AA129" i="8"/>
  <c r="W129" i="8"/>
  <c r="T129" i="8"/>
  <c r="X129" i="8" s="1"/>
  <c r="S129" i="8"/>
  <c r="R129" i="8"/>
  <c r="P129" i="8"/>
  <c r="K129" i="8"/>
  <c r="AP128" i="8"/>
  <c r="AN128" i="8"/>
  <c r="AJ128" i="8"/>
  <c r="AH128" i="8"/>
  <c r="AD128" i="8"/>
  <c r="AB128" i="8"/>
  <c r="AA128" i="8"/>
  <c r="W128" i="8"/>
  <c r="T128" i="8"/>
  <c r="S128" i="8"/>
  <c r="R128" i="8"/>
  <c r="P128" i="8"/>
  <c r="K128" i="8"/>
  <c r="AP127" i="8"/>
  <c r="AN127" i="8"/>
  <c r="AJ127" i="8"/>
  <c r="AH127" i="8"/>
  <c r="AD127" i="8"/>
  <c r="AB127" i="8"/>
  <c r="AA127" i="8"/>
  <c r="W127" i="8"/>
  <c r="X127" i="8" s="1"/>
  <c r="T127" i="8"/>
  <c r="S127" i="8"/>
  <c r="R127" i="8"/>
  <c r="P127" i="8"/>
  <c r="K127" i="8"/>
  <c r="AP126" i="8"/>
  <c r="AN126" i="8"/>
  <c r="AJ126" i="8"/>
  <c r="AH126" i="8"/>
  <c r="AD126" i="8"/>
  <c r="AB126" i="8"/>
  <c r="AA126" i="8"/>
  <c r="W126" i="8"/>
  <c r="T126" i="8"/>
  <c r="S126" i="8"/>
  <c r="R126" i="8"/>
  <c r="P126" i="8"/>
  <c r="K126" i="8"/>
  <c r="AP125" i="8"/>
  <c r="AN125" i="8"/>
  <c r="AJ125" i="8"/>
  <c r="AH125" i="8"/>
  <c r="AD125" i="8"/>
  <c r="AB125" i="8"/>
  <c r="AA125" i="8"/>
  <c r="W125" i="8"/>
  <c r="T125" i="8"/>
  <c r="X125" i="8" s="1"/>
  <c r="S125" i="8"/>
  <c r="R125" i="8"/>
  <c r="P125" i="8"/>
  <c r="K125" i="8"/>
  <c r="AP124" i="8"/>
  <c r="AN124" i="8"/>
  <c r="AJ124" i="8"/>
  <c r="AH124" i="8"/>
  <c r="AD124" i="8"/>
  <c r="AB124" i="8"/>
  <c r="AA124" i="8"/>
  <c r="W124" i="8"/>
  <c r="T124" i="8"/>
  <c r="S124" i="8"/>
  <c r="R124" i="8"/>
  <c r="P124" i="8"/>
  <c r="K124" i="8"/>
  <c r="AP123" i="8"/>
  <c r="AN123" i="8"/>
  <c r="AJ123" i="8"/>
  <c r="AH123" i="8"/>
  <c r="AD123" i="8"/>
  <c r="AB123" i="8"/>
  <c r="AA123" i="8"/>
  <c r="W123" i="8"/>
  <c r="T123" i="8"/>
  <c r="X123" i="8" s="1"/>
  <c r="S123" i="8"/>
  <c r="R123" i="8"/>
  <c r="P123" i="8"/>
  <c r="K123" i="8"/>
  <c r="AP122" i="8"/>
  <c r="AN122" i="8"/>
  <c r="AJ122" i="8"/>
  <c r="AH122" i="8"/>
  <c r="AD122" i="8"/>
  <c r="AB122" i="8"/>
  <c r="AA122" i="8"/>
  <c r="W122" i="8"/>
  <c r="T122" i="8"/>
  <c r="S122" i="8"/>
  <c r="R122" i="8"/>
  <c r="P122" i="8"/>
  <c r="K122" i="8"/>
  <c r="AP121" i="8"/>
  <c r="AN121" i="8"/>
  <c r="AJ121" i="8"/>
  <c r="AH121" i="8"/>
  <c r="AD121" i="8"/>
  <c r="AB121" i="8"/>
  <c r="AA121" i="8"/>
  <c r="W121" i="8"/>
  <c r="T121" i="8"/>
  <c r="X121" i="8" s="1"/>
  <c r="S121" i="8"/>
  <c r="R121" i="8"/>
  <c r="P121" i="8"/>
  <c r="K121" i="8"/>
  <c r="AP120" i="8"/>
  <c r="AN120" i="8"/>
  <c r="AJ120" i="8"/>
  <c r="AH120" i="8"/>
  <c r="AD120" i="8"/>
  <c r="AB120" i="8"/>
  <c r="AA120" i="8"/>
  <c r="W120" i="8"/>
  <c r="T120" i="8"/>
  <c r="S120" i="8"/>
  <c r="R120" i="8"/>
  <c r="P120" i="8"/>
  <c r="K120" i="8"/>
  <c r="AP119" i="8"/>
  <c r="AN119" i="8"/>
  <c r="AJ119" i="8"/>
  <c r="AH119" i="8"/>
  <c r="AD119" i="8"/>
  <c r="AB119" i="8"/>
  <c r="AA119" i="8"/>
  <c r="W119" i="8"/>
  <c r="T119" i="8"/>
  <c r="X119" i="8" s="1"/>
  <c r="S119" i="8"/>
  <c r="R119" i="8"/>
  <c r="P119" i="8"/>
  <c r="K119" i="8"/>
  <c r="AP118" i="8"/>
  <c r="AN118" i="8"/>
  <c r="AJ118" i="8"/>
  <c r="AH118" i="8"/>
  <c r="AD118" i="8"/>
  <c r="AB118" i="8"/>
  <c r="AA118" i="8"/>
  <c r="W118" i="8"/>
  <c r="T118" i="8"/>
  <c r="S118" i="8"/>
  <c r="R118" i="8"/>
  <c r="P118" i="8"/>
  <c r="K118" i="8"/>
  <c r="AP117" i="8"/>
  <c r="AN117" i="8"/>
  <c r="AJ117" i="8"/>
  <c r="AH117" i="8"/>
  <c r="AD117" i="8"/>
  <c r="AB117" i="8"/>
  <c r="AA117" i="8"/>
  <c r="W117" i="8"/>
  <c r="T117" i="8"/>
  <c r="X117" i="8" s="1"/>
  <c r="S117" i="8"/>
  <c r="R117" i="8"/>
  <c r="P117" i="8"/>
  <c r="K117" i="8"/>
  <c r="AP116" i="8"/>
  <c r="AN116" i="8"/>
  <c r="AJ116" i="8"/>
  <c r="AH116" i="8"/>
  <c r="AD116" i="8"/>
  <c r="AB116" i="8"/>
  <c r="AA116" i="8"/>
  <c r="W116" i="8"/>
  <c r="T116" i="8"/>
  <c r="S116" i="8"/>
  <c r="R116" i="8"/>
  <c r="P116" i="8"/>
  <c r="K116" i="8"/>
  <c r="AP115" i="8"/>
  <c r="AN115" i="8"/>
  <c r="AJ115" i="8"/>
  <c r="AH115" i="8"/>
  <c r="AD115" i="8"/>
  <c r="AB115" i="8"/>
  <c r="AA115" i="8"/>
  <c r="W115" i="8"/>
  <c r="T115" i="8"/>
  <c r="X115" i="8" s="1"/>
  <c r="S115" i="8"/>
  <c r="R115" i="8"/>
  <c r="P115" i="8"/>
  <c r="K115" i="8"/>
  <c r="AP114" i="8"/>
  <c r="AN114" i="8"/>
  <c r="AJ114" i="8"/>
  <c r="AH114" i="8"/>
  <c r="AD114" i="8"/>
  <c r="AB114" i="8"/>
  <c r="AA114" i="8"/>
  <c r="W114" i="8"/>
  <c r="T114" i="8"/>
  <c r="S114" i="8"/>
  <c r="R114" i="8"/>
  <c r="P114" i="8"/>
  <c r="K114" i="8"/>
  <c r="AP113" i="8"/>
  <c r="AN113" i="8"/>
  <c r="AJ113" i="8"/>
  <c r="AH113" i="8"/>
  <c r="AD113" i="8"/>
  <c r="AB113" i="8"/>
  <c r="AA113" i="8"/>
  <c r="W113" i="8"/>
  <c r="T113" i="8"/>
  <c r="X113" i="8" s="1"/>
  <c r="S113" i="8"/>
  <c r="R113" i="8"/>
  <c r="P113" i="8"/>
  <c r="K113" i="8"/>
  <c r="AP112" i="8"/>
  <c r="AN112" i="8"/>
  <c r="AJ112" i="8"/>
  <c r="AH112" i="8"/>
  <c r="AD112" i="8"/>
  <c r="AB112" i="8"/>
  <c r="AA112" i="8"/>
  <c r="W112" i="8"/>
  <c r="T112" i="8"/>
  <c r="S112" i="8"/>
  <c r="R112" i="8"/>
  <c r="P112" i="8"/>
  <c r="K112" i="8"/>
  <c r="AP111" i="8"/>
  <c r="AN111" i="8"/>
  <c r="AJ111" i="8"/>
  <c r="AH111" i="8"/>
  <c r="AD111" i="8"/>
  <c r="AB111" i="8"/>
  <c r="AA111" i="8"/>
  <c r="W111" i="8"/>
  <c r="T111" i="8"/>
  <c r="X111" i="8" s="1"/>
  <c r="S111" i="8"/>
  <c r="R111" i="8"/>
  <c r="P111" i="8"/>
  <c r="K111" i="8"/>
  <c r="AP110" i="8"/>
  <c r="AN110" i="8"/>
  <c r="AJ110" i="8"/>
  <c r="AH110" i="8"/>
  <c r="AD110" i="8"/>
  <c r="AB110" i="8"/>
  <c r="AA110" i="8"/>
  <c r="W110" i="8"/>
  <c r="T110" i="8"/>
  <c r="S110" i="8"/>
  <c r="R110" i="8"/>
  <c r="P110" i="8"/>
  <c r="K110" i="8"/>
  <c r="AP109" i="8"/>
  <c r="AN109" i="8"/>
  <c r="AJ109" i="8"/>
  <c r="AH109" i="8"/>
  <c r="AD109" i="8"/>
  <c r="AB109" i="8"/>
  <c r="AA109" i="8"/>
  <c r="W109" i="8"/>
  <c r="T109" i="8"/>
  <c r="X109" i="8" s="1"/>
  <c r="S109" i="8"/>
  <c r="R109" i="8"/>
  <c r="P109" i="8"/>
  <c r="K109" i="8"/>
  <c r="AP108" i="8"/>
  <c r="AN108" i="8"/>
  <c r="AJ108" i="8"/>
  <c r="AH108" i="8"/>
  <c r="AD108" i="8"/>
  <c r="AB108" i="8"/>
  <c r="AA108" i="8"/>
  <c r="W108" i="8"/>
  <c r="T108" i="8"/>
  <c r="S108" i="8"/>
  <c r="R108" i="8"/>
  <c r="P108" i="8"/>
  <c r="K108" i="8"/>
  <c r="AP107" i="8"/>
  <c r="AN107" i="8"/>
  <c r="AJ107" i="8"/>
  <c r="AH107" i="8"/>
  <c r="AD107" i="8"/>
  <c r="AB107" i="8"/>
  <c r="AA107" i="8"/>
  <c r="W107" i="8"/>
  <c r="T107" i="8"/>
  <c r="X107" i="8" s="1"/>
  <c r="S107" i="8"/>
  <c r="R107" i="8"/>
  <c r="P107" i="8"/>
  <c r="K107" i="8"/>
  <c r="AP106" i="8"/>
  <c r="AN106" i="8"/>
  <c r="AJ106" i="8"/>
  <c r="AH106" i="8"/>
  <c r="AD106" i="8"/>
  <c r="AB106" i="8"/>
  <c r="AA106" i="8"/>
  <c r="W106" i="8"/>
  <c r="T106" i="8"/>
  <c r="S106" i="8"/>
  <c r="R106" i="8"/>
  <c r="P106" i="8"/>
  <c r="K106" i="8"/>
  <c r="AP105" i="8"/>
  <c r="AN105" i="8"/>
  <c r="AJ105" i="8"/>
  <c r="AH105" i="8"/>
  <c r="AD105" i="8"/>
  <c r="AB105" i="8"/>
  <c r="AA105" i="8"/>
  <c r="W105" i="8"/>
  <c r="T105" i="8"/>
  <c r="X105" i="8" s="1"/>
  <c r="S105" i="8"/>
  <c r="R105" i="8"/>
  <c r="P105" i="8"/>
  <c r="K105" i="8"/>
  <c r="AP104" i="8"/>
  <c r="AN104" i="8"/>
  <c r="AJ104" i="8"/>
  <c r="AH104" i="8"/>
  <c r="AD104" i="8"/>
  <c r="AB104" i="8"/>
  <c r="AA104" i="8"/>
  <c r="W104" i="8"/>
  <c r="T104" i="8"/>
  <c r="S104" i="8"/>
  <c r="R104" i="8"/>
  <c r="P104" i="8"/>
  <c r="K104" i="8"/>
  <c r="AP103" i="8"/>
  <c r="AN103" i="8"/>
  <c r="AJ103" i="8"/>
  <c r="AH103" i="8"/>
  <c r="AD103" i="8"/>
  <c r="AB103" i="8"/>
  <c r="AA103" i="8"/>
  <c r="W103" i="8"/>
  <c r="T103" i="8"/>
  <c r="X103" i="8" s="1"/>
  <c r="S103" i="8"/>
  <c r="R103" i="8"/>
  <c r="P103" i="8"/>
  <c r="K103" i="8"/>
  <c r="AP102" i="8"/>
  <c r="AN102" i="8"/>
  <c r="AJ102" i="8"/>
  <c r="AH102" i="8"/>
  <c r="AD102" i="8"/>
  <c r="AB102" i="8"/>
  <c r="AA102" i="8"/>
  <c r="W102" i="8"/>
  <c r="X102" i="8" s="1"/>
  <c r="T102" i="8"/>
  <c r="S102" i="8"/>
  <c r="R102" i="8"/>
  <c r="P102" i="8"/>
  <c r="K102" i="8"/>
  <c r="AP101" i="8"/>
  <c r="AN101" i="8"/>
  <c r="AJ101" i="8"/>
  <c r="AH101" i="8"/>
  <c r="AD101" i="8"/>
  <c r="AB101" i="8"/>
  <c r="AA101" i="8"/>
  <c r="W101" i="8"/>
  <c r="T101" i="8"/>
  <c r="X101" i="8" s="1"/>
  <c r="S101" i="8"/>
  <c r="R101" i="8"/>
  <c r="P101" i="8"/>
  <c r="K101" i="8"/>
  <c r="AP100" i="8"/>
  <c r="AN100" i="8"/>
  <c r="AJ100" i="8"/>
  <c r="AH100" i="8"/>
  <c r="AD100" i="8"/>
  <c r="AB100" i="8"/>
  <c r="AA100" i="8"/>
  <c r="W100" i="8"/>
  <c r="T100" i="8"/>
  <c r="S100" i="8"/>
  <c r="R100" i="8"/>
  <c r="P100" i="8"/>
  <c r="K100" i="8"/>
  <c r="AP99" i="8"/>
  <c r="AN99" i="8"/>
  <c r="AJ99" i="8"/>
  <c r="AH99" i="8"/>
  <c r="AD99" i="8"/>
  <c r="AB99" i="8"/>
  <c r="AA99" i="8"/>
  <c r="W99" i="8"/>
  <c r="T99" i="8"/>
  <c r="X99" i="8" s="1"/>
  <c r="S99" i="8"/>
  <c r="R99" i="8"/>
  <c r="P99" i="8"/>
  <c r="K99" i="8"/>
  <c r="AP98" i="8"/>
  <c r="AN98" i="8"/>
  <c r="AJ98" i="8"/>
  <c r="AH98" i="8"/>
  <c r="AD98" i="8"/>
  <c r="AB98" i="8"/>
  <c r="AA98" i="8"/>
  <c r="W98" i="8"/>
  <c r="T98" i="8"/>
  <c r="S98" i="8"/>
  <c r="R98" i="8"/>
  <c r="P98" i="8"/>
  <c r="K98" i="8"/>
  <c r="AP97" i="8"/>
  <c r="AN97" i="8"/>
  <c r="AJ97" i="8"/>
  <c r="AH97" i="8"/>
  <c r="AD97" i="8"/>
  <c r="AB97" i="8"/>
  <c r="AA97" i="8"/>
  <c r="W97" i="8"/>
  <c r="T97" i="8"/>
  <c r="X97" i="8" s="1"/>
  <c r="S97" i="8"/>
  <c r="R97" i="8"/>
  <c r="P97" i="8"/>
  <c r="K97" i="8"/>
  <c r="AP96" i="8"/>
  <c r="AN96" i="8"/>
  <c r="AJ96" i="8"/>
  <c r="AH96" i="8"/>
  <c r="AD96" i="8"/>
  <c r="AB96" i="8"/>
  <c r="AA96" i="8"/>
  <c r="W96" i="8"/>
  <c r="T96" i="8"/>
  <c r="S96" i="8"/>
  <c r="R96" i="8"/>
  <c r="P96" i="8"/>
  <c r="K96" i="8"/>
  <c r="AP95" i="8"/>
  <c r="AN95" i="8"/>
  <c r="AJ95" i="8"/>
  <c r="AH95" i="8"/>
  <c r="AD95" i="8"/>
  <c r="AB95" i="8"/>
  <c r="AA95" i="8"/>
  <c r="W95" i="8"/>
  <c r="T95" i="8"/>
  <c r="X95" i="8" s="1"/>
  <c r="S95" i="8"/>
  <c r="R95" i="8"/>
  <c r="P95" i="8"/>
  <c r="K95" i="8"/>
  <c r="AP94" i="8"/>
  <c r="AN94" i="8"/>
  <c r="AJ94" i="8"/>
  <c r="AH94" i="8"/>
  <c r="AD94" i="8"/>
  <c r="AB94" i="8"/>
  <c r="AA94" i="8"/>
  <c r="W94" i="8"/>
  <c r="T94" i="8"/>
  <c r="S94" i="8"/>
  <c r="R94" i="8"/>
  <c r="P94" i="8"/>
  <c r="K94" i="8"/>
  <c r="AP93" i="8"/>
  <c r="AN93" i="8"/>
  <c r="AJ93" i="8"/>
  <c r="AH93" i="8"/>
  <c r="AD93" i="8"/>
  <c r="AB93" i="8"/>
  <c r="AA93" i="8"/>
  <c r="W93" i="8"/>
  <c r="T93" i="8"/>
  <c r="X93" i="8" s="1"/>
  <c r="S93" i="8"/>
  <c r="R93" i="8"/>
  <c r="P93" i="8"/>
  <c r="K93" i="8"/>
  <c r="AP92" i="8"/>
  <c r="AN92" i="8"/>
  <c r="AJ92" i="8"/>
  <c r="AH92" i="8"/>
  <c r="AD92" i="8"/>
  <c r="AB92" i="8"/>
  <c r="AA92" i="8"/>
  <c r="W92" i="8"/>
  <c r="T92" i="8"/>
  <c r="S92" i="8"/>
  <c r="R92" i="8"/>
  <c r="P92" i="8"/>
  <c r="K92" i="8"/>
  <c r="AP91" i="8"/>
  <c r="AN91" i="8"/>
  <c r="AJ91" i="8"/>
  <c r="AH91" i="8"/>
  <c r="AD91" i="8"/>
  <c r="AB91" i="8"/>
  <c r="AA91" i="8"/>
  <c r="W91" i="8"/>
  <c r="T91" i="8"/>
  <c r="X91" i="8" s="1"/>
  <c r="S91" i="8"/>
  <c r="R91" i="8"/>
  <c r="P91" i="8"/>
  <c r="K91" i="8"/>
  <c r="AP90" i="8"/>
  <c r="AN90" i="8"/>
  <c r="AJ90" i="8"/>
  <c r="AH90" i="8"/>
  <c r="AD90" i="8"/>
  <c r="AB90" i="8"/>
  <c r="AA90" i="8"/>
  <c r="W90" i="8"/>
  <c r="T90" i="8"/>
  <c r="S90" i="8"/>
  <c r="R90" i="8"/>
  <c r="P90" i="8"/>
  <c r="K90" i="8"/>
  <c r="AP89" i="8"/>
  <c r="AN89" i="8"/>
  <c r="AJ89" i="8"/>
  <c r="AH89" i="8"/>
  <c r="AD89" i="8"/>
  <c r="AB89" i="8"/>
  <c r="AA89" i="8"/>
  <c r="W89" i="8"/>
  <c r="T89" i="8"/>
  <c r="X89" i="8" s="1"/>
  <c r="S89" i="8"/>
  <c r="R89" i="8"/>
  <c r="P89" i="8"/>
  <c r="K89" i="8"/>
  <c r="AP88" i="8"/>
  <c r="AN88" i="8"/>
  <c r="AJ88" i="8"/>
  <c r="AH88" i="8"/>
  <c r="AD88" i="8"/>
  <c r="AB88" i="8"/>
  <c r="AA88" i="8"/>
  <c r="W88" i="8"/>
  <c r="T88" i="8"/>
  <c r="S88" i="8"/>
  <c r="R88" i="8"/>
  <c r="P88" i="8"/>
  <c r="K88" i="8"/>
  <c r="AP87" i="8"/>
  <c r="AN87" i="8"/>
  <c r="AJ87" i="8"/>
  <c r="AH87" i="8"/>
  <c r="AD87" i="8"/>
  <c r="AB87" i="8"/>
  <c r="AA87" i="8"/>
  <c r="W87" i="8"/>
  <c r="T87" i="8"/>
  <c r="X87" i="8" s="1"/>
  <c r="S87" i="8"/>
  <c r="R87" i="8"/>
  <c r="P87" i="8"/>
  <c r="K87" i="8"/>
  <c r="AP86" i="8"/>
  <c r="AN86" i="8"/>
  <c r="AJ86" i="8"/>
  <c r="AH86" i="8"/>
  <c r="AD86" i="8"/>
  <c r="AB86" i="8"/>
  <c r="AA86" i="8"/>
  <c r="W86" i="8"/>
  <c r="T86" i="8"/>
  <c r="S86" i="8"/>
  <c r="R86" i="8"/>
  <c r="P86" i="8"/>
  <c r="K86" i="8"/>
  <c r="AP85" i="8"/>
  <c r="AN85" i="8"/>
  <c r="AJ85" i="8"/>
  <c r="AH85" i="8"/>
  <c r="AD85" i="8"/>
  <c r="AB85" i="8"/>
  <c r="AA85" i="8"/>
  <c r="W85" i="8"/>
  <c r="T85" i="8"/>
  <c r="X85" i="8" s="1"/>
  <c r="S85" i="8"/>
  <c r="R85" i="8"/>
  <c r="P85" i="8"/>
  <c r="K85" i="8"/>
  <c r="AP84" i="8"/>
  <c r="AN84" i="8"/>
  <c r="AJ84" i="8"/>
  <c r="AH84" i="8"/>
  <c r="AD84" i="8"/>
  <c r="AB84" i="8"/>
  <c r="AA84" i="8"/>
  <c r="W84" i="8"/>
  <c r="T84" i="8"/>
  <c r="S84" i="8"/>
  <c r="R84" i="8"/>
  <c r="P84" i="8"/>
  <c r="K84" i="8"/>
  <c r="AP83" i="8"/>
  <c r="AN83" i="8"/>
  <c r="AJ83" i="8"/>
  <c r="AH83" i="8"/>
  <c r="AD83" i="8"/>
  <c r="AB83" i="8"/>
  <c r="AA83" i="8"/>
  <c r="W83" i="8"/>
  <c r="T83" i="8"/>
  <c r="X83" i="8" s="1"/>
  <c r="S83" i="8"/>
  <c r="R83" i="8"/>
  <c r="P83" i="8"/>
  <c r="K83" i="8"/>
  <c r="AP82" i="8"/>
  <c r="AN82" i="8"/>
  <c r="AJ82" i="8"/>
  <c r="AH82" i="8"/>
  <c r="AD82" i="8"/>
  <c r="AB82" i="8"/>
  <c r="AA82" i="8"/>
  <c r="W82" i="8"/>
  <c r="T82" i="8"/>
  <c r="S82" i="8"/>
  <c r="R82" i="8"/>
  <c r="P82" i="8"/>
  <c r="K82" i="8"/>
  <c r="AP81" i="8"/>
  <c r="AN81" i="8"/>
  <c r="AJ81" i="8"/>
  <c r="AH81" i="8"/>
  <c r="AD81" i="8"/>
  <c r="AB81" i="8"/>
  <c r="AA81" i="8"/>
  <c r="W81" i="8"/>
  <c r="T81" i="8"/>
  <c r="X81" i="8" s="1"/>
  <c r="S81" i="8"/>
  <c r="R81" i="8"/>
  <c r="P81" i="8"/>
  <c r="K81" i="8"/>
  <c r="AP80" i="8"/>
  <c r="AN80" i="8"/>
  <c r="AJ80" i="8"/>
  <c r="AH80" i="8"/>
  <c r="AD80" i="8"/>
  <c r="AB80" i="8"/>
  <c r="AA80" i="8"/>
  <c r="W80" i="8"/>
  <c r="X80" i="8" s="1"/>
  <c r="T80" i="8"/>
  <c r="S80" i="8"/>
  <c r="R80" i="8"/>
  <c r="P80" i="8"/>
  <c r="K80" i="8"/>
  <c r="AP79" i="8"/>
  <c r="AN79" i="8"/>
  <c r="AJ79" i="8"/>
  <c r="AH79" i="8"/>
  <c r="AD79" i="8"/>
  <c r="AB79" i="8"/>
  <c r="AA79" i="8"/>
  <c r="W79" i="8"/>
  <c r="T79" i="8"/>
  <c r="S79" i="8"/>
  <c r="R79" i="8"/>
  <c r="P79" i="8"/>
  <c r="K79" i="8"/>
  <c r="AP78" i="8"/>
  <c r="AN78" i="8"/>
  <c r="AJ78" i="8"/>
  <c r="AH78" i="8"/>
  <c r="AD78" i="8"/>
  <c r="AB78" i="8"/>
  <c r="AA78" i="8"/>
  <c r="W78" i="8"/>
  <c r="T78" i="8"/>
  <c r="S78" i="8"/>
  <c r="R78" i="8"/>
  <c r="P78" i="8"/>
  <c r="K78" i="8"/>
  <c r="AP77" i="8"/>
  <c r="AN77" i="8"/>
  <c r="AJ77" i="8"/>
  <c r="AH77" i="8"/>
  <c r="AD77" i="8"/>
  <c r="AB77" i="8"/>
  <c r="AA77" i="8"/>
  <c r="W77" i="8"/>
  <c r="T77" i="8"/>
  <c r="X77" i="8" s="1"/>
  <c r="S77" i="8"/>
  <c r="R77" i="8"/>
  <c r="P77" i="8"/>
  <c r="K77" i="8"/>
  <c r="AP76" i="8"/>
  <c r="AN76" i="8"/>
  <c r="AJ76" i="8"/>
  <c r="AH76" i="8"/>
  <c r="AD76" i="8"/>
  <c r="AB76" i="8"/>
  <c r="AA76" i="8"/>
  <c r="W76" i="8"/>
  <c r="T76" i="8"/>
  <c r="S76" i="8"/>
  <c r="R76" i="8"/>
  <c r="P76" i="8"/>
  <c r="K76" i="8"/>
  <c r="AP75" i="8"/>
  <c r="AN75" i="8"/>
  <c r="AJ75" i="8"/>
  <c r="AH75" i="8"/>
  <c r="AD75" i="8"/>
  <c r="AB75" i="8"/>
  <c r="AA75" i="8"/>
  <c r="W75" i="8"/>
  <c r="T75" i="8"/>
  <c r="S75" i="8"/>
  <c r="R75" i="8"/>
  <c r="P75" i="8"/>
  <c r="K75" i="8"/>
  <c r="AP74" i="8"/>
  <c r="AN74" i="8"/>
  <c r="AJ74" i="8"/>
  <c r="AH74" i="8"/>
  <c r="AD74" i="8"/>
  <c r="AB74" i="8"/>
  <c r="AA74" i="8"/>
  <c r="W74" i="8"/>
  <c r="T74" i="8"/>
  <c r="S74" i="8"/>
  <c r="R74" i="8"/>
  <c r="P74" i="8"/>
  <c r="K74" i="8"/>
  <c r="AP73" i="8"/>
  <c r="AN73" i="8"/>
  <c r="AJ73" i="8"/>
  <c r="AH73" i="8"/>
  <c r="AD73" i="8"/>
  <c r="AB73" i="8"/>
  <c r="AA73" i="8"/>
  <c r="W73" i="8"/>
  <c r="T73" i="8"/>
  <c r="X73" i="8" s="1"/>
  <c r="S73" i="8"/>
  <c r="R73" i="8"/>
  <c r="P73" i="8"/>
  <c r="K73" i="8"/>
  <c r="AP72" i="8"/>
  <c r="AN72" i="8"/>
  <c r="AJ72" i="8"/>
  <c r="AH72" i="8"/>
  <c r="AD72" i="8"/>
  <c r="AB72" i="8"/>
  <c r="AA72" i="8"/>
  <c r="W72" i="8"/>
  <c r="T72" i="8"/>
  <c r="S72" i="8"/>
  <c r="R72" i="8"/>
  <c r="P72" i="8"/>
  <c r="K72" i="8"/>
  <c r="AP71" i="8"/>
  <c r="AN71" i="8"/>
  <c r="AJ71" i="8"/>
  <c r="AH71" i="8"/>
  <c r="AD71" i="8"/>
  <c r="AB71" i="8"/>
  <c r="AA71" i="8"/>
  <c r="W71" i="8"/>
  <c r="T71" i="8"/>
  <c r="S71" i="8"/>
  <c r="R71" i="8"/>
  <c r="P71" i="8"/>
  <c r="K71" i="8"/>
  <c r="AP70" i="8"/>
  <c r="AN70" i="8"/>
  <c r="AJ70" i="8"/>
  <c r="AH70" i="8"/>
  <c r="AD70" i="8"/>
  <c r="AB70" i="8"/>
  <c r="AA70" i="8"/>
  <c r="W70" i="8"/>
  <c r="T70" i="8"/>
  <c r="S70" i="8"/>
  <c r="R70" i="8"/>
  <c r="P70" i="8"/>
  <c r="K70" i="8"/>
  <c r="AP69" i="8"/>
  <c r="AN69" i="8"/>
  <c r="AJ69" i="8"/>
  <c r="AH69" i="8"/>
  <c r="AD69" i="8"/>
  <c r="AB69" i="8"/>
  <c r="AA69" i="8"/>
  <c r="W69" i="8"/>
  <c r="T69" i="8"/>
  <c r="X69" i="8" s="1"/>
  <c r="S69" i="8"/>
  <c r="R69" i="8"/>
  <c r="P69" i="8"/>
  <c r="K69" i="8"/>
  <c r="AP68" i="8"/>
  <c r="AN68" i="8"/>
  <c r="AJ68" i="8"/>
  <c r="AH68" i="8"/>
  <c r="AD68" i="8"/>
  <c r="AB68" i="8"/>
  <c r="AA68" i="8"/>
  <c r="W68" i="8"/>
  <c r="T68" i="8"/>
  <c r="S68" i="8"/>
  <c r="R68" i="8"/>
  <c r="P68" i="8"/>
  <c r="K68" i="8"/>
  <c r="AP67" i="8"/>
  <c r="AN67" i="8"/>
  <c r="AJ67" i="8"/>
  <c r="AH67" i="8"/>
  <c r="AD67" i="8"/>
  <c r="AB67" i="8"/>
  <c r="AA67" i="8"/>
  <c r="W67" i="8"/>
  <c r="T67" i="8"/>
  <c r="S67" i="8"/>
  <c r="R67" i="8"/>
  <c r="P67" i="8"/>
  <c r="K67" i="8"/>
  <c r="AP66" i="8"/>
  <c r="AN66" i="8"/>
  <c r="AJ66" i="8"/>
  <c r="AH66" i="8"/>
  <c r="AD66" i="8"/>
  <c r="AB66" i="8"/>
  <c r="AA66" i="8"/>
  <c r="W66" i="8"/>
  <c r="T66" i="8"/>
  <c r="S66" i="8"/>
  <c r="R66" i="8"/>
  <c r="P66" i="8"/>
  <c r="K66" i="8"/>
  <c r="AP65" i="8"/>
  <c r="AN65" i="8"/>
  <c r="AJ65" i="8"/>
  <c r="AH65" i="8"/>
  <c r="AD65" i="8"/>
  <c r="AB65" i="8"/>
  <c r="AA65" i="8"/>
  <c r="W65" i="8"/>
  <c r="T65" i="8"/>
  <c r="X65" i="8" s="1"/>
  <c r="S65" i="8"/>
  <c r="R65" i="8"/>
  <c r="P65" i="8"/>
  <c r="K65" i="8"/>
  <c r="AP64" i="8"/>
  <c r="AN64" i="8"/>
  <c r="AJ64" i="8"/>
  <c r="AH64" i="8"/>
  <c r="AD64" i="8"/>
  <c r="AB64" i="8"/>
  <c r="AA64" i="8"/>
  <c r="W64" i="8"/>
  <c r="T64" i="8"/>
  <c r="S64" i="8"/>
  <c r="R64" i="8"/>
  <c r="P64" i="8"/>
  <c r="K64" i="8"/>
  <c r="AP63" i="8"/>
  <c r="AN63" i="8"/>
  <c r="AJ63" i="8"/>
  <c r="AH63" i="8"/>
  <c r="AD63" i="8"/>
  <c r="AB63" i="8"/>
  <c r="AA63" i="8"/>
  <c r="W63" i="8"/>
  <c r="T63" i="8"/>
  <c r="S63" i="8"/>
  <c r="R63" i="8"/>
  <c r="P63" i="8"/>
  <c r="K63" i="8"/>
  <c r="AP62" i="8"/>
  <c r="AN62" i="8"/>
  <c r="AJ62" i="8"/>
  <c r="AH62" i="8"/>
  <c r="AD62" i="8"/>
  <c r="AB62" i="8"/>
  <c r="AA62" i="8"/>
  <c r="W62" i="8"/>
  <c r="T62" i="8"/>
  <c r="S62" i="8"/>
  <c r="R62" i="8"/>
  <c r="P62" i="8"/>
  <c r="K62" i="8"/>
  <c r="AP61" i="8"/>
  <c r="AN61" i="8"/>
  <c r="AJ61" i="8"/>
  <c r="AH61" i="8"/>
  <c r="AD61" i="8"/>
  <c r="AB61" i="8"/>
  <c r="AA61" i="8"/>
  <c r="W61" i="8"/>
  <c r="T61" i="8"/>
  <c r="X61" i="8" s="1"/>
  <c r="S61" i="8"/>
  <c r="R61" i="8"/>
  <c r="P61" i="8"/>
  <c r="K61" i="8"/>
  <c r="AP60" i="8"/>
  <c r="AN60" i="8"/>
  <c r="AJ60" i="8"/>
  <c r="AH60" i="8"/>
  <c r="AD60" i="8"/>
  <c r="AB60" i="8"/>
  <c r="AA60" i="8"/>
  <c r="W60" i="8"/>
  <c r="T60" i="8"/>
  <c r="S60" i="8"/>
  <c r="R60" i="8"/>
  <c r="P60" i="8"/>
  <c r="K60" i="8"/>
  <c r="AP59" i="8"/>
  <c r="AN59" i="8"/>
  <c r="AJ59" i="8"/>
  <c r="AH59" i="8"/>
  <c r="AD59" i="8"/>
  <c r="AB59" i="8"/>
  <c r="AA59" i="8"/>
  <c r="W59" i="8"/>
  <c r="T59" i="8"/>
  <c r="S59" i="8"/>
  <c r="R59" i="8"/>
  <c r="P59" i="8"/>
  <c r="K59" i="8"/>
  <c r="AP58" i="8"/>
  <c r="AN58" i="8"/>
  <c r="AJ58" i="8"/>
  <c r="AH58" i="8"/>
  <c r="AD58" i="8"/>
  <c r="AB58" i="8"/>
  <c r="AA58" i="8"/>
  <c r="W58" i="8"/>
  <c r="T58" i="8"/>
  <c r="S58" i="8"/>
  <c r="R58" i="8"/>
  <c r="P58" i="8"/>
  <c r="K58" i="8"/>
  <c r="AP57" i="8"/>
  <c r="AN57" i="8"/>
  <c r="AJ57" i="8"/>
  <c r="AH57" i="8"/>
  <c r="AD57" i="8"/>
  <c r="AB57" i="8"/>
  <c r="AA57" i="8"/>
  <c r="W57" i="8"/>
  <c r="T57" i="8"/>
  <c r="X57" i="8" s="1"/>
  <c r="S57" i="8"/>
  <c r="R57" i="8"/>
  <c r="P57" i="8"/>
  <c r="K57" i="8"/>
  <c r="AP56" i="8"/>
  <c r="AN56" i="8"/>
  <c r="AJ56" i="8"/>
  <c r="AH56" i="8"/>
  <c r="AD56" i="8"/>
  <c r="AB56" i="8"/>
  <c r="AA56" i="8"/>
  <c r="W56" i="8"/>
  <c r="T56" i="8"/>
  <c r="S56" i="8"/>
  <c r="R56" i="8"/>
  <c r="P56" i="8"/>
  <c r="K56" i="8"/>
  <c r="AP55" i="8"/>
  <c r="AN55" i="8"/>
  <c r="AJ55" i="8"/>
  <c r="AH55" i="8"/>
  <c r="AD55" i="8"/>
  <c r="AB55" i="8"/>
  <c r="AA55" i="8"/>
  <c r="W55" i="8"/>
  <c r="T55" i="8"/>
  <c r="S55" i="8"/>
  <c r="R55" i="8"/>
  <c r="P55" i="8"/>
  <c r="K55" i="8"/>
  <c r="AP54" i="8"/>
  <c r="AN54" i="8"/>
  <c r="AJ54" i="8"/>
  <c r="AH54" i="8"/>
  <c r="AD54" i="8"/>
  <c r="AB54" i="8"/>
  <c r="AA54" i="8"/>
  <c r="W54" i="8"/>
  <c r="T54" i="8"/>
  <c r="S54" i="8"/>
  <c r="R54" i="8"/>
  <c r="P54" i="8"/>
  <c r="K54" i="8"/>
  <c r="AP53" i="8"/>
  <c r="AN53" i="8"/>
  <c r="AJ53" i="8"/>
  <c r="AH53" i="8"/>
  <c r="AD53" i="8"/>
  <c r="AB53" i="8"/>
  <c r="AA53" i="8"/>
  <c r="W53" i="8"/>
  <c r="T53" i="8"/>
  <c r="X53" i="8" s="1"/>
  <c r="S53" i="8"/>
  <c r="R53" i="8"/>
  <c r="P53" i="8"/>
  <c r="K53" i="8"/>
  <c r="AP52" i="8"/>
  <c r="AN52" i="8"/>
  <c r="AJ52" i="8"/>
  <c r="AH52" i="8"/>
  <c r="AD52" i="8"/>
  <c r="AB52" i="8"/>
  <c r="AA52" i="8"/>
  <c r="W52" i="8"/>
  <c r="T52" i="8"/>
  <c r="S52" i="8"/>
  <c r="R52" i="8"/>
  <c r="P52" i="8"/>
  <c r="K52" i="8"/>
  <c r="AP51" i="8"/>
  <c r="AN51" i="8"/>
  <c r="AJ51" i="8"/>
  <c r="AH51" i="8"/>
  <c r="AD51" i="8"/>
  <c r="AB51" i="8"/>
  <c r="AA51" i="8"/>
  <c r="W51" i="8"/>
  <c r="T51" i="8"/>
  <c r="S51" i="8"/>
  <c r="R51" i="8"/>
  <c r="P51" i="8"/>
  <c r="K51" i="8"/>
  <c r="AP50" i="8"/>
  <c r="AN50" i="8"/>
  <c r="AJ50" i="8"/>
  <c r="AH50" i="8"/>
  <c r="AD50" i="8"/>
  <c r="AB50" i="8"/>
  <c r="AA50" i="8"/>
  <c r="W50" i="8"/>
  <c r="T50" i="8"/>
  <c r="S50" i="8"/>
  <c r="R50" i="8"/>
  <c r="P50" i="8"/>
  <c r="K50" i="8"/>
  <c r="AP49" i="8"/>
  <c r="AN49" i="8"/>
  <c r="AJ49" i="8"/>
  <c r="AH49" i="8"/>
  <c r="AD49" i="8"/>
  <c r="AB49" i="8"/>
  <c r="AA49" i="8"/>
  <c r="W49" i="8"/>
  <c r="T49" i="8"/>
  <c r="X49" i="8" s="1"/>
  <c r="S49" i="8"/>
  <c r="R49" i="8"/>
  <c r="P49" i="8"/>
  <c r="K49" i="8"/>
  <c r="AP48" i="8"/>
  <c r="AN48" i="8"/>
  <c r="AJ48" i="8"/>
  <c r="AH48" i="8"/>
  <c r="AD48" i="8"/>
  <c r="AB48" i="8"/>
  <c r="AA48" i="8"/>
  <c r="W48" i="8"/>
  <c r="T48" i="8"/>
  <c r="S48" i="8"/>
  <c r="R48" i="8"/>
  <c r="P48" i="8"/>
  <c r="K48" i="8"/>
  <c r="AP47" i="8"/>
  <c r="AN47" i="8"/>
  <c r="AJ47" i="8"/>
  <c r="AH47" i="8"/>
  <c r="AD47" i="8"/>
  <c r="AB47" i="8"/>
  <c r="AA47" i="8"/>
  <c r="W47" i="8"/>
  <c r="T47" i="8"/>
  <c r="S47" i="8"/>
  <c r="R47" i="8"/>
  <c r="P47" i="8"/>
  <c r="K47" i="8"/>
  <c r="AP46" i="8"/>
  <c r="AN46" i="8"/>
  <c r="AJ46" i="8"/>
  <c r="AH46" i="8"/>
  <c r="AD46" i="8"/>
  <c r="AB46" i="8"/>
  <c r="AA46" i="8"/>
  <c r="W46" i="8"/>
  <c r="T46" i="8"/>
  <c r="S46" i="8"/>
  <c r="R46" i="8"/>
  <c r="P46" i="8"/>
  <c r="K46" i="8"/>
  <c r="AP45" i="8"/>
  <c r="AN45" i="8"/>
  <c r="AJ45" i="8"/>
  <c r="AH45" i="8"/>
  <c r="AD45" i="8"/>
  <c r="AB45" i="8"/>
  <c r="AA45" i="8"/>
  <c r="W45" i="8"/>
  <c r="T45" i="8"/>
  <c r="X45" i="8" s="1"/>
  <c r="S45" i="8"/>
  <c r="R45" i="8"/>
  <c r="P45" i="8"/>
  <c r="K45" i="8"/>
  <c r="AP44" i="8"/>
  <c r="AN44" i="8"/>
  <c r="AJ44" i="8"/>
  <c r="AH44" i="8"/>
  <c r="AD44" i="8"/>
  <c r="AB44" i="8"/>
  <c r="AA44" i="8"/>
  <c r="X44" i="8"/>
  <c r="W44" i="8"/>
  <c r="T44" i="8"/>
  <c r="S44" i="8"/>
  <c r="R44" i="8"/>
  <c r="P44" i="8"/>
  <c r="K44" i="8"/>
  <c r="AP43" i="8"/>
  <c r="AN43" i="8"/>
  <c r="AJ43" i="8"/>
  <c r="AH43" i="8"/>
  <c r="AD43" i="8"/>
  <c r="AB43" i="8"/>
  <c r="AA43" i="8"/>
  <c r="W43" i="8"/>
  <c r="T43" i="8"/>
  <c r="X43" i="8" s="1"/>
  <c r="S43" i="8"/>
  <c r="R43" i="8"/>
  <c r="P43" i="8"/>
  <c r="K43" i="8"/>
  <c r="AP42" i="8"/>
  <c r="AN42" i="8"/>
  <c r="AJ42" i="8"/>
  <c r="AH42" i="8"/>
  <c r="AD42" i="8"/>
  <c r="AB42" i="8"/>
  <c r="AA42" i="8"/>
  <c r="X42" i="8"/>
  <c r="W42" i="8"/>
  <c r="T42" i="8"/>
  <c r="S42" i="8"/>
  <c r="R42" i="8"/>
  <c r="P42" i="8"/>
  <c r="K42" i="8"/>
  <c r="AP41" i="8"/>
  <c r="AN41" i="8"/>
  <c r="AJ41" i="8"/>
  <c r="AH41" i="8"/>
  <c r="AD41" i="8"/>
  <c r="AB41" i="8"/>
  <c r="AA41" i="8"/>
  <c r="W41" i="8"/>
  <c r="T41" i="8"/>
  <c r="X41" i="8" s="1"/>
  <c r="S41" i="8"/>
  <c r="R41" i="8"/>
  <c r="P41" i="8"/>
  <c r="K41" i="8"/>
  <c r="AP40" i="8"/>
  <c r="AN40" i="8"/>
  <c r="AJ40" i="8"/>
  <c r="AH40" i="8"/>
  <c r="AD40" i="8"/>
  <c r="AB40" i="8"/>
  <c r="AA40" i="8"/>
  <c r="X40" i="8"/>
  <c r="W40" i="8"/>
  <c r="T40" i="8"/>
  <c r="S40" i="8"/>
  <c r="R40" i="8"/>
  <c r="P40" i="8"/>
  <c r="K40" i="8"/>
  <c r="AP39" i="8"/>
  <c r="AN39" i="8"/>
  <c r="AJ39" i="8"/>
  <c r="AH39" i="8"/>
  <c r="AD39" i="8"/>
  <c r="AB39" i="8"/>
  <c r="AA39" i="8"/>
  <c r="W39" i="8"/>
  <c r="T39" i="8"/>
  <c r="X39" i="8" s="1"/>
  <c r="S39" i="8"/>
  <c r="R39" i="8"/>
  <c r="P39" i="8"/>
  <c r="K39" i="8"/>
  <c r="AP38" i="8"/>
  <c r="AN38" i="8"/>
  <c r="AJ38" i="8"/>
  <c r="AH38" i="8"/>
  <c r="AD38" i="8"/>
  <c r="AB38" i="8"/>
  <c r="AA38" i="8"/>
  <c r="X38" i="8"/>
  <c r="W38" i="8"/>
  <c r="T38" i="8"/>
  <c r="S38" i="8"/>
  <c r="R38" i="8"/>
  <c r="P38" i="8"/>
  <c r="K38" i="8"/>
  <c r="AP37" i="8"/>
  <c r="AN37" i="8"/>
  <c r="AJ37" i="8"/>
  <c r="AH37" i="8"/>
  <c r="AD37" i="8"/>
  <c r="AB37" i="8"/>
  <c r="AA37" i="8"/>
  <c r="W37" i="8"/>
  <c r="T37" i="8"/>
  <c r="X37" i="8" s="1"/>
  <c r="S37" i="8"/>
  <c r="R37" i="8"/>
  <c r="P37" i="8"/>
  <c r="K37" i="8"/>
  <c r="AP36" i="8"/>
  <c r="AN36" i="8"/>
  <c r="AJ36" i="8"/>
  <c r="AH36" i="8"/>
  <c r="AD36" i="8"/>
  <c r="AB36" i="8"/>
  <c r="AA36" i="8"/>
  <c r="X36" i="8"/>
  <c r="W36" i="8"/>
  <c r="T36" i="8"/>
  <c r="S36" i="8"/>
  <c r="R36" i="8"/>
  <c r="P36" i="8"/>
  <c r="K36" i="8"/>
  <c r="AP35" i="8"/>
  <c r="AN35" i="8"/>
  <c r="AJ35" i="8"/>
  <c r="AH35" i="8"/>
  <c r="AD35" i="8"/>
  <c r="AB35" i="8"/>
  <c r="AA35" i="8"/>
  <c r="W35" i="8"/>
  <c r="T35" i="8"/>
  <c r="X35" i="8" s="1"/>
  <c r="S35" i="8"/>
  <c r="R35" i="8"/>
  <c r="P35" i="8"/>
  <c r="K35" i="8"/>
  <c r="AP34" i="8"/>
  <c r="AN34" i="8"/>
  <c r="AJ34" i="8"/>
  <c r="AH34" i="8"/>
  <c r="AD34" i="8"/>
  <c r="AB34" i="8"/>
  <c r="AA34" i="8"/>
  <c r="X34" i="8"/>
  <c r="W34" i="8"/>
  <c r="T34" i="8"/>
  <c r="S34" i="8"/>
  <c r="R34" i="8"/>
  <c r="P34" i="8"/>
  <c r="K34" i="8"/>
  <c r="AP33" i="8"/>
  <c r="AN33" i="8"/>
  <c r="AJ33" i="8"/>
  <c r="AH33" i="8"/>
  <c r="AD33" i="8"/>
  <c r="AB33" i="8"/>
  <c r="AA33" i="8"/>
  <c r="W33" i="8"/>
  <c r="T33" i="8"/>
  <c r="X33" i="8" s="1"/>
  <c r="S33" i="8"/>
  <c r="R33" i="8"/>
  <c r="P33" i="8"/>
  <c r="K33" i="8"/>
  <c r="AP32" i="8"/>
  <c r="AN32" i="8"/>
  <c r="AJ32" i="8"/>
  <c r="AH32" i="8"/>
  <c r="AD32" i="8"/>
  <c r="AB32" i="8"/>
  <c r="AA32" i="8"/>
  <c r="X32" i="8"/>
  <c r="W32" i="8"/>
  <c r="T32" i="8"/>
  <c r="S32" i="8"/>
  <c r="R32" i="8"/>
  <c r="P32" i="8"/>
  <c r="K32" i="8"/>
  <c r="AP31" i="8"/>
  <c r="AN31" i="8"/>
  <c r="AJ31" i="8"/>
  <c r="AH31" i="8"/>
  <c r="AD31" i="8"/>
  <c r="AB31" i="8"/>
  <c r="AA31" i="8"/>
  <c r="W31" i="8"/>
  <c r="T31" i="8"/>
  <c r="X31" i="8" s="1"/>
  <c r="S31" i="8"/>
  <c r="R31" i="8"/>
  <c r="P31" i="8"/>
  <c r="K31" i="8"/>
  <c r="AP30" i="8"/>
  <c r="AN30" i="8"/>
  <c r="AJ30" i="8"/>
  <c r="AH30" i="8"/>
  <c r="AD30" i="8"/>
  <c r="AB30" i="8"/>
  <c r="AA30" i="8"/>
  <c r="X30" i="8"/>
  <c r="W30" i="8"/>
  <c r="T30" i="8"/>
  <c r="S30" i="8"/>
  <c r="R30" i="8"/>
  <c r="P30" i="8"/>
  <c r="K30" i="8"/>
  <c r="AP29" i="8"/>
  <c r="AN29" i="8"/>
  <c r="AJ29" i="8"/>
  <c r="AH29" i="8"/>
  <c r="AD29" i="8"/>
  <c r="AB29" i="8"/>
  <c r="AA29" i="8"/>
  <c r="W29" i="8"/>
  <c r="T29" i="8"/>
  <c r="X29" i="8" s="1"/>
  <c r="S29" i="8"/>
  <c r="R29" i="8"/>
  <c r="P29" i="8"/>
  <c r="K29" i="8"/>
  <c r="AP28" i="8"/>
  <c r="AN28" i="8"/>
  <c r="AJ28" i="8"/>
  <c r="AH28" i="8"/>
  <c r="AD28" i="8"/>
  <c r="AB28" i="8"/>
  <c r="AA28" i="8"/>
  <c r="X28" i="8"/>
  <c r="W28" i="8"/>
  <c r="T28" i="8"/>
  <c r="S28" i="8"/>
  <c r="R28" i="8"/>
  <c r="P28" i="8"/>
  <c r="K28" i="8"/>
  <c r="AP27" i="8"/>
  <c r="AN27" i="8"/>
  <c r="AJ27" i="8"/>
  <c r="AH27" i="8"/>
  <c r="AD27" i="8"/>
  <c r="AB27" i="8"/>
  <c r="AA27" i="8"/>
  <c r="W27" i="8"/>
  <c r="T27" i="8"/>
  <c r="X27" i="8" s="1"/>
  <c r="S27" i="8"/>
  <c r="R27" i="8"/>
  <c r="P27" i="8"/>
  <c r="K27" i="8"/>
  <c r="AP26" i="8"/>
  <c r="AN26" i="8"/>
  <c r="AJ26" i="8"/>
  <c r="AH26" i="8"/>
  <c r="AD26" i="8"/>
  <c r="AB26" i="8"/>
  <c r="AA26" i="8"/>
  <c r="X26" i="8"/>
  <c r="W26" i="8"/>
  <c r="T26" i="8"/>
  <c r="S26" i="8"/>
  <c r="R26" i="8"/>
  <c r="P26" i="8"/>
  <c r="K26" i="8"/>
  <c r="AP25" i="8"/>
  <c r="AN25" i="8"/>
  <c r="AJ25" i="8"/>
  <c r="AH25" i="8"/>
  <c r="AD25" i="8"/>
  <c r="AB25" i="8"/>
  <c r="AA25" i="8"/>
  <c r="W25" i="8"/>
  <c r="T25" i="8"/>
  <c r="X25" i="8" s="1"/>
  <c r="S25" i="8"/>
  <c r="R25" i="8"/>
  <c r="P25" i="8"/>
  <c r="K25" i="8"/>
  <c r="AP24" i="8"/>
  <c r="AN24" i="8"/>
  <c r="AJ24" i="8"/>
  <c r="AH24" i="8"/>
  <c r="AD24" i="8"/>
  <c r="AB24" i="8"/>
  <c r="AA24" i="8"/>
  <c r="X24" i="8"/>
  <c r="W24" i="8"/>
  <c r="T24" i="8"/>
  <c r="S24" i="8"/>
  <c r="R24" i="8"/>
  <c r="P24" i="8"/>
  <c r="K24" i="8"/>
  <c r="AP23" i="8"/>
  <c r="AN23" i="8"/>
  <c r="AJ23" i="8"/>
  <c r="AH23" i="8"/>
  <c r="AD23" i="8"/>
  <c r="AB23" i="8"/>
  <c r="AA23" i="8"/>
  <c r="W23" i="8"/>
  <c r="T23" i="8"/>
  <c r="X23" i="8" s="1"/>
  <c r="S23" i="8"/>
  <c r="R23" i="8"/>
  <c r="P23" i="8"/>
  <c r="K23" i="8"/>
  <c r="AP22" i="8"/>
  <c r="AN22" i="8"/>
  <c r="AJ22" i="8"/>
  <c r="AH22" i="8"/>
  <c r="AD22" i="8"/>
  <c r="AB22" i="8"/>
  <c r="AA22" i="8"/>
  <c r="X22" i="8"/>
  <c r="W22" i="8"/>
  <c r="T22" i="8"/>
  <c r="S22" i="8"/>
  <c r="R22" i="8"/>
  <c r="P22" i="8"/>
  <c r="K22" i="8"/>
  <c r="AP21" i="8"/>
  <c r="AN21" i="8"/>
  <c r="AJ21" i="8"/>
  <c r="AH21" i="8"/>
  <c r="AD21" i="8"/>
  <c r="AB21" i="8"/>
  <c r="AA21" i="8"/>
  <c r="W21" i="8"/>
  <c r="T21" i="8"/>
  <c r="X21" i="8" s="1"/>
  <c r="S21" i="8"/>
  <c r="R21" i="8"/>
  <c r="P21" i="8"/>
  <c r="K21" i="8"/>
  <c r="AP20" i="8"/>
  <c r="AN20" i="8"/>
  <c r="AJ20" i="8"/>
  <c r="AH20" i="8"/>
  <c r="AD20" i="8"/>
  <c r="AB20" i="8"/>
  <c r="AA20" i="8"/>
  <c r="X20" i="8"/>
  <c r="W20" i="8"/>
  <c r="T20" i="8"/>
  <c r="S20" i="8"/>
  <c r="R20" i="8"/>
  <c r="P20" i="8"/>
  <c r="K20" i="8"/>
  <c r="AP19" i="8"/>
  <c r="AN19" i="8"/>
  <c r="AJ19" i="8"/>
  <c r="AH19" i="8"/>
  <c r="AD19" i="8"/>
  <c r="AB19" i="8"/>
  <c r="AA19" i="8"/>
  <c r="W19" i="8"/>
  <c r="T19" i="8"/>
  <c r="X19" i="8" s="1"/>
  <c r="S19" i="8"/>
  <c r="R19" i="8"/>
  <c r="P19" i="8"/>
  <c r="K19" i="8"/>
  <c r="AP18" i="8"/>
  <c r="AN18" i="8"/>
  <c r="AJ18" i="8"/>
  <c r="AH18" i="8"/>
  <c r="AD18" i="8"/>
  <c r="AB18" i="8"/>
  <c r="AA18" i="8"/>
  <c r="X18" i="8"/>
  <c r="W18" i="8"/>
  <c r="T18" i="8"/>
  <c r="S18" i="8"/>
  <c r="R18" i="8"/>
  <c r="P18" i="8"/>
  <c r="K18" i="8"/>
  <c r="AP17" i="8"/>
  <c r="AN17" i="8"/>
  <c r="AJ17" i="8"/>
  <c r="AH17" i="8"/>
  <c r="AD17" i="8"/>
  <c r="AB17" i="8"/>
  <c r="AA17" i="8"/>
  <c r="W17" i="8"/>
  <c r="T17" i="8"/>
  <c r="X17" i="8" s="1"/>
  <c r="S17" i="8"/>
  <c r="R17" i="8"/>
  <c r="P17" i="8"/>
  <c r="K17" i="8"/>
  <c r="AP16" i="8"/>
  <c r="AN16" i="8"/>
  <c r="AJ16" i="8"/>
  <c r="AH16" i="8"/>
  <c r="AD16" i="8"/>
  <c r="AB16" i="8"/>
  <c r="AA16" i="8"/>
  <c r="X16" i="8"/>
  <c r="W16" i="8"/>
  <c r="T16" i="8"/>
  <c r="S16" i="8"/>
  <c r="R16" i="8"/>
  <c r="P16" i="8"/>
  <c r="K16" i="8"/>
  <c r="AP15" i="8"/>
  <c r="AN15" i="8"/>
  <c r="AJ15" i="8"/>
  <c r="AH15" i="8"/>
  <c r="AD15" i="8"/>
  <c r="AB15" i="8"/>
  <c r="AA15" i="8"/>
  <c r="W15" i="8"/>
  <c r="T15" i="8"/>
  <c r="X15" i="8" s="1"/>
  <c r="S15" i="8"/>
  <c r="R15" i="8"/>
  <c r="P15" i="8"/>
  <c r="K15" i="8"/>
  <c r="AP14" i="8"/>
  <c r="AN14" i="8"/>
  <c r="AJ14" i="8"/>
  <c r="AH14" i="8"/>
  <c r="AD14" i="8"/>
  <c r="AB14" i="8"/>
  <c r="AA14" i="8"/>
  <c r="X14" i="8"/>
  <c r="W14" i="8"/>
  <c r="T14" i="8"/>
  <c r="S14" i="8"/>
  <c r="R14" i="8"/>
  <c r="P14" i="8"/>
  <c r="K14" i="8"/>
  <c r="AP13" i="8"/>
  <c r="AN13" i="8"/>
  <c r="AJ13" i="8"/>
  <c r="AH13" i="8"/>
  <c r="AD13" i="8"/>
  <c r="AB13" i="8"/>
  <c r="AA13" i="8"/>
  <c r="W13" i="8"/>
  <c r="T13" i="8"/>
  <c r="X13" i="8" s="1"/>
  <c r="S13" i="8"/>
  <c r="R13" i="8"/>
  <c r="P13" i="8"/>
  <c r="K13" i="8"/>
  <c r="AP12" i="8"/>
  <c r="AN12" i="8"/>
  <c r="AJ12" i="8"/>
  <c r="AH12" i="8"/>
  <c r="AD12" i="8"/>
  <c r="AB12" i="8"/>
  <c r="AA12" i="8"/>
  <c r="X12" i="8"/>
  <c r="W12" i="8"/>
  <c r="T12" i="8"/>
  <c r="S12" i="8"/>
  <c r="R12" i="8"/>
  <c r="P12" i="8"/>
  <c r="K12" i="8"/>
  <c r="AP11" i="8"/>
  <c r="AN11" i="8"/>
  <c r="AJ11" i="8"/>
  <c r="AH11" i="8"/>
  <c r="AD11" i="8"/>
  <c r="AB11" i="8"/>
  <c r="AA11" i="8"/>
  <c r="W11" i="8"/>
  <c r="T11" i="8"/>
  <c r="X11" i="8" s="1"/>
  <c r="S11" i="8"/>
  <c r="R11" i="8"/>
  <c r="P11" i="8"/>
  <c r="K11" i="8"/>
  <c r="AP10" i="8"/>
  <c r="AN10" i="8"/>
  <c r="AJ10" i="8"/>
  <c r="AH10" i="8"/>
  <c r="AD10" i="8"/>
  <c r="AB10" i="8"/>
  <c r="AA10" i="8"/>
  <c r="X10" i="8"/>
  <c r="W10" i="8"/>
  <c r="T10" i="8"/>
  <c r="S10" i="8"/>
  <c r="R10" i="8"/>
  <c r="P10" i="8"/>
  <c r="K10" i="8"/>
  <c r="AP9" i="8"/>
  <c r="AN9" i="8"/>
  <c r="AJ9" i="8"/>
  <c r="AH9" i="8"/>
  <c r="AD9" i="8"/>
  <c r="AB9" i="8"/>
  <c r="AA9" i="8"/>
  <c r="W9" i="8"/>
  <c r="T9" i="8"/>
  <c r="X9" i="8" s="1"/>
  <c r="S9" i="8"/>
  <c r="R9" i="8"/>
  <c r="P9" i="8"/>
  <c r="K9" i="8"/>
  <c r="AP8" i="8"/>
  <c r="AN8" i="8"/>
  <c r="AJ8" i="8"/>
  <c r="AH8" i="8"/>
  <c r="AD8" i="8"/>
  <c r="AB8" i="8"/>
  <c r="AA8" i="8"/>
  <c r="X8" i="8"/>
  <c r="W8" i="8"/>
  <c r="T8" i="8"/>
  <c r="S8" i="8"/>
  <c r="R8" i="8"/>
  <c r="P8" i="8"/>
  <c r="K8" i="8"/>
  <c r="AP7" i="8"/>
  <c r="AN7" i="8"/>
  <c r="AJ7" i="8"/>
  <c r="AH7" i="8"/>
  <c r="AD7" i="8"/>
  <c r="AB7" i="8"/>
  <c r="AA7" i="8"/>
  <c r="W7" i="8"/>
  <c r="T7" i="8"/>
  <c r="X7" i="8" s="1"/>
  <c r="S7" i="8"/>
  <c r="R7" i="8"/>
  <c r="P7" i="8"/>
  <c r="K7" i="8"/>
  <c r="AP6" i="8"/>
  <c r="AN6" i="8"/>
  <c r="AJ6" i="8"/>
  <c r="AH6" i="8"/>
  <c r="AD6" i="8"/>
  <c r="AB6" i="8"/>
  <c r="AA6" i="8"/>
  <c r="X6" i="8"/>
  <c r="W6" i="8"/>
  <c r="T6" i="8"/>
  <c r="S6" i="8"/>
  <c r="R6" i="8"/>
  <c r="P6" i="8"/>
  <c r="K6" i="8"/>
  <c r="AP5" i="8"/>
  <c r="AN5" i="8"/>
  <c r="AJ5" i="8"/>
  <c r="AH5" i="8"/>
  <c r="AD5" i="8"/>
  <c r="AB5" i="8"/>
  <c r="AA5" i="8"/>
  <c r="W5" i="8"/>
  <c r="T5" i="8"/>
  <c r="X5" i="8" s="1"/>
  <c r="S5" i="8"/>
  <c r="R5" i="8"/>
  <c r="P5" i="8"/>
  <c r="K5" i="8"/>
  <c r="AP4" i="8"/>
  <c r="AN4" i="8"/>
  <c r="AJ4" i="8"/>
  <c r="AH4" i="8"/>
  <c r="AD4" i="8"/>
  <c r="AB4" i="8"/>
  <c r="AA4" i="8"/>
  <c r="X4" i="8"/>
  <c r="W4" i="8"/>
  <c r="T4" i="8"/>
  <c r="S4" i="8"/>
  <c r="R4" i="8"/>
  <c r="P4" i="8"/>
  <c r="K4" i="8"/>
  <c r="AP3" i="8"/>
  <c r="AN3" i="8"/>
  <c r="AJ3" i="8"/>
  <c r="AH3" i="8"/>
  <c r="AD3" i="8"/>
  <c r="AB3" i="8"/>
  <c r="AA3" i="8"/>
  <c r="W3" i="8"/>
  <c r="T3" i="8"/>
  <c r="X3" i="8" s="1"/>
  <c r="S3" i="8"/>
  <c r="R3" i="8"/>
  <c r="P3" i="8"/>
  <c r="K3" i="8"/>
  <c r="AP2" i="8"/>
  <c r="AN2" i="8"/>
  <c r="AJ2" i="8"/>
  <c r="AH2" i="8"/>
  <c r="AD2" i="8"/>
  <c r="AA2" i="8"/>
  <c r="X2" i="8"/>
  <c r="W2" i="8"/>
  <c r="T2" i="8"/>
  <c r="S2" i="8"/>
  <c r="R2" i="8"/>
  <c r="P2" i="8"/>
  <c r="K2" i="8"/>
  <c r="AP366" i="7"/>
  <c r="AN366" i="7"/>
  <c r="AJ366" i="7"/>
  <c r="AH366" i="7"/>
  <c r="AD366" i="7"/>
  <c r="AB366" i="7"/>
  <c r="AA366" i="7"/>
  <c r="W366" i="7"/>
  <c r="T366" i="7"/>
  <c r="X366" i="7" s="1"/>
  <c r="S366" i="7"/>
  <c r="R366" i="7"/>
  <c r="P366" i="7"/>
  <c r="K366" i="7"/>
  <c r="AP365" i="7"/>
  <c r="AN365" i="7"/>
  <c r="AJ365" i="7"/>
  <c r="AH365" i="7"/>
  <c r="AD365" i="7"/>
  <c r="AB365" i="7"/>
  <c r="AA365" i="7"/>
  <c r="X365" i="7"/>
  <c r="W365" i="7"/>
  <c r="T365" i="7"/>
  <c r="S365" i="7"/>
  <c r="R365" i="7"/>
  <c r="P365" i="7"/>
  <c r="K365" i="7"/>
  <c r="AP364" i="7"/>
  <c r="AN364" i="7"/>
  <c r="AJ364" i="7"/>
  <c r="AH364" i="7"/>
  <c r="AD364" i="7"/>
  <c r="AB364" i="7"/>
  <c r="AA364" i="7"/>
  <c r="W364" i="7"/>
  <c r="T364" i="7"/>
  <c r="X364" i="7" s="1"/>
  <c r="S364" i="7"/>
  <c r="R364" i="7"/>
  <c r="P364" i="7"/>
  <c r="K364" i="7"/>
  <c r="AP363" i="7"/>
  <c r="AN363" i="7"/>
  <c r="AJ363" i="7"/>
  <c r="AH363" i="7"/>
  <c r="AD363" i="7"/>
  <c r="AB363" i="7"/>
  <c r="AA363" i="7"/>
  <c r="X363" i="7"/>
  <c r="W363" i="7"/>
  <c r="T363" i="7"/>
  <c r="S363" i="7"/>
  <c r="R363" i="7"/>
  <c r="P363" i="7"/>
  <c r="K363" i="7"/>
  <c r="AP362" i="7"/>
  <c r="AN362" i="7"/>
  <c r="AJ362" i="7"/>
  <c r="AH362" i="7"/>
  <c r="AD362" i="7"/>
  <c r="AB362" i="7"/>
  <c r="AA362" i="7"/>
  <c r="W362" i="7"/>
  <c r="T362" i="7"/>
  <c r="X362" i="7" s="1"/>
  <c r="S362" i="7"/>
  <c r="R362" i="7"/>
  <c r="P362" i="7"/>
  <c r="K362" i="7"/>
  <c r="AP361" i="7"/>
  <c r="AN361" i="7"/>
  <c r="AJ361" i="7"/>
  <c r="AH361" i="7"/>
  <c r="AD361" i="7"/>
  <c r="AB361" i="7"/>
  <c r="AA361" i="7"/>
  <c r="X361" i="7"/>
  <c r="W361" i="7"/>
  <c r="T361" i="7"/>
  <c r="S361" i="7"/>
  <c r="R361" i="7"/>
  <c r="P361" i="7"/>
  <c r="K361" i="7"/>
  <c r="AP360" i="7"/>
  <c r="AN360" i="7"/>
  <c r="AJ360" i="7"/>
  <c r="AH360" i="7"/>
  <c r="AD360" i="7"/>
  <c r="AB360" i="7"/>
  <c r="AA360" i="7"/>
  <c r="W360" i="7"/>
  <c r="T360" i="7"/>
  <c r="X360" i="7" s="1"/>
  <c r="S360" i="7"/>
  <c r="R360" i="7"/>
  <c r="P360" i="7"/>
  <c r="K360" i="7"/>
  <c r="AP359" i="7"/>
  <c r="AN359" i="7"/>
  <c r="AJ359" i="7"/>
  <c r="AH359" i="7"/>
  <c r="AD359" i="7"/>
  <c r="AB359" i="7"/>
  <c r="AA359" i="7"/>
  <c r="X359" i="7"/>
  <c r="W359" i="7"/>
  <c r="T359" i="7"/>
  <c r="S359" i="7"/>
  <c r="R359" i="7"/>
  <c r="P359" i="7"/>
  <c r="K359" i="7"/>
  <c r="AP358" i="7"/>
  <c r="AN358" i="7"/>
  <c r="AJ358" i="7"/>
  <c r="AH358" i="7"/>
  <c r="AD358" i="7"/>
  <c r="AB358" i="7"/>
  <c r="AA358" i="7"/>
  <c r="W358" i="7"/>
  <c r="T358" i="7"/>
  <c r="X358" i="7" s="1"/>
  <c r="S358" i="7"/>
  <c r="R358" i="7"/>
  <c r="P358" i="7"/>
  <c r="K358" i="7"/>
  <c r="AP357" i="7"/>
  <c r="AN357" i="7"/>
  <c r="AJ357" i="7"/>
  <c r="AH357" i="7"/>
  <c r="AD357" i="7"/>
  <c r="AB357" i="7"/>
  <c r="AA357" i="7"/>
  <c r="X357" i="7"/>
  <c r="W357" i="7"/>
  <c r="T357" i="7"/>
  <c r="S357" i="7"/>
  <c r="R357" i="7"/>
  <c r="P357" i="7"/>
  <c r="K357" i="7"/>
  <c r="AP356" i="7"/>
  <c r="AN356" i="7"/>
  <c r="AJ356" i="7"/>
  <c r="AH356" i="7"/>
  <c r="AD356" i="7"/>
  <c r="AB356" i="7"/>
  <c r="AA356" i="7"/>
  <c r="W356" i="7"/>
  <c r="T356" i="7"/>
  <c r="X356" i="7" s="1"/>
  <c r="S356" i="7"/>
  <c r="R356" i="7"/>
  <c r="P356" i="7"/>
  <c r="K356" i="7"/>
  <c r="AP355" i="7"/>
  <c r="AN355" i="7"/>
  <c r="AJ355" i="7"/>
  <c r="AH355" i="7"/>
  <c r="AD355" i="7"/>
  <c r="AB355" i="7"/>
  <c r="AA355" i="7"/>
  <c r="X355" i="7"/>
  <c r="W355" i="7"/>
  <c r="T355" i="7"/>
  <c r="S355" i="7"/>
  <c r="R355" i="7"/>
  <c r="P355" i="7"/>
  <c r="K355" i="7"/>
  <c r="AP354" i="7"/>
  <c r="AN354" i="7"/>
  <c r="AJ354" i="7"/>
  <c r="AH354" i="7"/>
  <c r="AD354" i="7"/>
  <c r="AB354" i="7"/>
  <c r="AA354" i="7"/>
  <c r="W354" i="7"/>
  <c r="T354" i="7"/>
  <c r="X354" i="7" s="1"/>
  <c r="S354" i="7"/>
  <c r="R354" i="7"/>
  <c r="P354" i="7"/>
  <c r="K354" i="7"/>
  <c r="AP353" i="7"/>
  <c r="AN353" i="7"/>
  <c r="AJ353" i="7"/>
  <c r="AH353" i="7"/>
  <c r="AD353" i="7"/>
  <c r="AB353" i="7"/>
  <c r="AA353" i="7"/>
  <c r="X353" i="7"/>
  <c r="W353" i="7"/>
  <c r="T353" i="7"/>
  <c r="S353" i="7"/>
  <c r="R353" i="7"/>
  <c r="P353" i="7"/>
  <c r="K353" i="7"/>
  <c r="AP352" i="7"/>
  <c r="AN352" i="7"/>
  <c r="AJ352" i="7"/>
  <c r="AH352" i="7"/>
  <c r="AD352" i="7"/>
  <c r="AB352" i="7"/>
  <c r="AA352" i="7"/>
  <c r="W352" i="7"/>
  <c r="T352" i="7"/>
  <c r="X352" i="7" s="1"/>
  <c r="S352" i="7"/>
  <c r="R352" i="7"/>
  <c r="P352" i="7"/>
  <c r="K352" i="7"/>
  <c r="AP351" i="7"/>
  <c r="AN351" i="7"/>
  <c r="AJ351" i="7"/>
  <c r="AH351" i="7"/>
  <c r="AD351" i="7"/>
  <c r="AB351" i="7"/>
  <c r="AA351" i="7"/>
  <c r="X351" i="7"/>
  <c r="W351" i="7"/>
  <c r="T351" i="7"/>
  <c r="S351" i="7"/>
  <c r="R351" i="7"/>
  <c r="P351" i="7"/>
  <c r="K351" i="7"/>
  <c r="AP350" i="7"/>
  <c r="AN350" i="7"/>
  <c r="AJ350" i="7"/>
  <c r="AH350" i="7"/>
  <c r="AD350" i="7"/>
  <c r="AB350" i="7"/>
  <c r="AA350" i="7"/>
  <c r="W350" i="7"/>
  <c r="T350" i="7"/>
  <c r="X350" i="7" s="1"/>
  <c r="S350" i="7"/>
  <c r="R350" i="7"/>
  <c r="P350" i="7"/>
  <c r="K350" i="7"/>
  <c r="AP349" i="7"/>
  <c r="AN349" i="7"/>
  <c r="AJ349" i="7"/>
  <c r="AH349" i="7"/>
  <c r="AD349" i="7"/>
  <c r="AB349" i="7"/>
  <c r="AA349" i="7"/>
  <c r="X349" i="7"/>
  <c r="W349" i="7"/>
  <c r="T349" i="7"/>
  <c r="S349" i="7"/>
  <c r="R349" i="7"/>
  <c r="P349" i="7"/>
  <c r="K349" i="7"/>
  <c r="AP348" i="7"/>
  <c r="AN348" i="7"/>
  <c r="AJ348" i="7"/>
  <c r="AH348" i="7"/>
  <c r="AD348" i="7"/>
  <c r="AB348" i="7"/>
  <c r="AA348" i="7"/>
  <c r="W348" i="7"/>
  <c r="T348" i="7"/>
  <c r="X348" i="7" s="1"/>
  <c r="S348" i="7"/>
  <c r="R348" i="7"/>
  <c r="P348" i="7"/>
  <c r="K348" i="7"/>
  <c r="AP347" i="7"/>
  <c r="AN347" i="7"/>
  <c r="AJ347" i="7"/>
  <c r="AH347" i="7"/>
  <c r="AD347" i="7"/>
  <c r="AB347" i="7"/>
  <c r="AA347" i="7"/>
  <c r="X347" i="7"/>
  <c r="W347" i="7"/>
  <c r="T347" i="7"/>
  <c r="S347" i="7"/>
  <c r="R347" i="7"/>
  <c r="P347" i="7"/>
  <c r="K347" i="7"/>
  <c r="AP346" i="7"/>
  <c r="AN346" i="7"/>
  <c r="AJ346" i="7"/>
  <c r="AH346" i="7"/>
  <c r="AD346" i="7"/>
  <c r="AB346" i="7"/>
  <c r="AA346" i="7"/>
  <c r="W346" i="7"/>
  <c r="T346" i="7"/>
  <c r="X346" i="7" s="1"/>
  <c r="S346" i="7"/>
  <c r="R346" i="7"/>
  <c r="P346" i="7"/>
  <c r="K346" i="7"/>
  <c r="AP345" i="7"/>
  <c r="AN345" i="7"/>
  <c r="AJ345" i="7"/>
  <c r="AH345" i="7"/>
  <c r="AD345" i="7"/>
  <c r="AB345" i="7"/>
  <c r="AA345" i="7"/>
  <c r="X345" i="7"/>
  <c r="W345" i="7"/>
  <c r="T345" i="7"/>
  <c r="S345" i="7"/>
  <c r="R345" i="7"/>
  <c r="P345" i="7"/>
  <c r="K345" i="7"/>
  <c r="AP344" i="7"/>
  <c r="AN344" i="7"/>
  <c r="AJ344" i="7"/>
  <c r="AH344" i="7"/>
  <c r="AD344" i="7"/>
  <c r="AB344" i="7"/>
  <c r="AA344" i="7"/>
  <c r="W344" i="7"/>
  <c r="T344" i="7"/>
  <c r="X344" i="7" s="1"/>
  <c r="S344" i="7"/>
  <c r="R344" i="7"/>
  <c r="P344" i="7"/>
  <c r="K344" i="7"/>
  <c r="AP343" i="7"/>
  <c r="AN343" i="7"/>
  <c r="AJ343" i="7"/>
  <c r="AH343" i="7"/>
  <c r="AD343" i="7"/>
  <c r="AB343" i="7"/>
  <c r="AA343" i="7"/>
  <c r="X343" i="7"/>
  <c r="W343" i="7"/>
  <c r="T343" i="7"/>
  <c r="S343" i="7"/>
  <c r="R343" i="7"/>
  <c r="P343" i="7"/>
  <c r="K343" i="7"/>
  <c r="AP342" i="7"/>
  <c r="AN342" i="7"/>
  <c r="AJ342" i="7"/>
  <c r="AH342" i="7"/>
  <c r="AD342" i="7"/>
  <c r="AB342" i="7"/>
  <c r="AA342" i="7"/>
  <c r="W342" i="7"/>
  <c r="T342" i="7"/>
  <c r="X342" i="7" s="1"/>
  <c r="S342" i="7"/>
  <c r="R342" i="7"/>
  <c r="P342" i="7"/>
  <c r="K342" i="7"/>
  <c r="AP341" i="7"/>
  <c r="AN341" i="7"/>
  <c r="AJ341" i="7"/>
  <c r="AH341" i="7"/>
  <c r="AD341" i="7"/>
  <c r="AB341" i="7"/>
  <c r="AA341" i="7"/>
  <c r="X341" i="7"/>
  <c r="W341" i="7"/>
  <c r="T341" i="7"/>
  <c r="S341" i="7"/>
  <c r="R341" i="7"/>
  <c r="P341" i="7"/>
  <c r="K341" i="7"/>
  <c r="AP340" i="7"/>
  <c r="AN340" i="7"/>
  <c r="AJ340" i="7"/>
  <c r="AH340" i="7"/>
  <c r="AD340" i="7"/>
  <c r="AB340" i="7"/>
  <c r="AA340" i="7"/>
  <c r="W340" i="7"/>
  <c r="T340" i="7"/>
  <c r="X340" i="7" s="1"/>
  <c r="S340" i="7"/>
  <c r="R340" i="7"/>
  <c r="P340" i="7"/>
  <c r="K340" i="7"/>
  <c r="AP339" i="7"/>
  <c r="AN339" i="7"/>
  <c r="AJ339" i="7"/>
  <c r="AH339" i="7"/>
  <c r="AD339" i="7"/>
  <c r="AB339" i="7"/>
  <c r="AA339" i="7"/>
  <c r="X339" i="7"/>
  <c r="W339" i="7"/>
  <c r="T339" i="7"/>
  <c r="S339" i="7"/>
  <c r="R339" i="7"/>
  <c r="P339" i="7"/>
  <c r="K339" i="7"/>
  <c r="AP338" i="7"/>
  <c r="AN338" i="7"/>
  <c r="AJ338" i="7"/>
  <c r="AH338" i="7"/>
  <c r="AD338" i="7"/>
  <c r="AB338" i="7"/>
  <c r="AA338" i="7"/>
  <c r="W338" i="7"/>
  <c r="T338" i="7"/>
  <c r="X338" i="7" s="1"/>
  <c r="S338" i="7"/>
  <c r="R338" i="7"/>
  <c r="P338" i="7"/>
  <c r="K338" i="7"/>
  <c r="AP337" i="7"/>
  <c r="AN337" i="7"/>
  <c r="AJ337" i="7"/>
  <c r="AH337" i="7"/>
  <c r="AD337" i="7"/>
  <c r="AB337" i="7"/>
  <c r="AA337" i="7"/>
  <c r="X337" i="7"/>
  <c r="W337" i="7"/>
  <c r="T337" i="7"/>
  <c r="S337" i="7"/>
  <c r="R337" i="7"/>
  <c r="P337" i="7"/>
  <c r="K337" i="7"/>
  <c r="AP336" i="7"/>
  <c r="AN336" i="7"/>
  <c r="AJ336" i="7"/>
  <c r="AH336" i="7"/>
  <c r="AD336" i="7"/>
  <c r="AB336" i="7"/>
  <c r="AA336" i="7"/>
  <c r="W336" i="7"/>
  <c r="T336" i="7"/>
  <c r="X336" i="7" s="1"/>
  <c r="S336" i="7"/>
  <c r="R336" i="7"/>
  <c r="P336" i="7"/>
  <c r="K336" i="7"/>
  <c r="AP335" i="7"/>
  <c r="AN335" i="7"/>
  <c r="AJ335" i="7"/>
  <c r="AH335" i="7"/>
  <c r="AD335" i="7"/>
  <c r="AB335" i="7"/>
  <c r="AA335" i="7"/>
  <c r="X335" i="7"/>
  <c r="W335" i="7"/>
  <c r="T335" i="7"/>
  <c r="S335" i="7"/>
  <c r="R335" i="7"/>
  <c r="P335" i="7"/>
  <c r="K335" i="7"/>
  <c r="AP334" i="7"/>
  <c r="AN334" i="7"/>
  <c r="AJ334" i="7"/>
  <c r="AH334" i="7"/>
  <c r="AD334" i="7"/>
  <c r="AB334" i="7"/>
  <c r="AA334" i="7"/>
  <c r="W334" i="7"/>
  <c r="T334" i="7"/>
  <c r="X334" i="7" s="1"/>
  <c r="S334" i="7"/>
  <c r="R334" i="7"/>
  <c r="P334" i="7"/>
  <c r="K334" i="7"/>
  <c r="AP333" i="7"/>
  <c r="AN333" i="7"/>
  <c r="AJ333" i="7"/>
  <c r="AH333" i="7"/>
  <c r="AD333" i="7"/>
  <c r="AB333" i="7"/>
  <c r="AA333" i="7"/>
  <c r="X333" i="7"/>
  <c r="W333" i="7"/>
  <c r="T333" i="7"/>
  <c r="S333" i="7"/>
  <c r="R333" i="7"/>
  <c r="P333" i="7"/>
  <c r="K333" i="7"/>
  <c r="AP332" i="7"/>
  <c r="AN332" i="7"/>
  <c r="AJ332" i="7"/>
  <c r="AH332" i="7"/>
  <c r="AD332" i="7"/>
  <c r="AB332" i="7"/>
  <c r="AA332" i="7"/>
  <c r="W332" i="7"/>
  <c r="T332" i="7"/>
  <c r="X332" i="7" s="1"/>
  <c r="S332" i="7"/>
  <c r="R332" i="7"/>
  <c r="P332" i="7"/>
  <c r="K332" i="7"/>
  <c r="AP331" i="7"/>
  <c r="AN331" i="7"/>
  <c r="AJ331" i="7"/>
  <c r="AH331" i="7"/>
  <c r="AD331" i="7"/>
  <c r="AB331" i="7"/>
  <c r="AA331" i="7"/>
  <c r="X331" i="7"/>
  <c r="W331" i="7"/>
  <c r="T331" i="7"/>
  <c r="S331" i="7"/>
  <c r="R331" i="7"/>
  <c r="P331" i="7"/>
  <c r="K331" i="7"/>
  <c r="AP330" i="7"/>
  <c r="AN330" i="7"/>
  <c r="AJ330" i="7"/>
  <c r="AH330" i="7"/>
  <c r="AD330" i="7"/>
  <c r="AB330" i="7"/>
  <c r="AA330" i="7"/>
  <c r="W330" i="7"/>
  <c r="T330" i="7"/>
  <c r="X330" i="7" s="1"/>
  <c r="S330" i="7"/>
  <c r="R330" i="7"/>
  <c r="P330" i="7"/>
  <c r="K330" i="7"/>
  <c r="AP329" i="7"/>
  <c r="AN329" i="7"/>
  <c r="AJ329" i="7"/>
  <c r="AH329" i="7"/>
  <c r="AD329" i="7"/>
  <c r="AB329" i="7"/>
  <c r="AA329" i="7"/>
  <c r="X329" i="7"/>
  <c r="W329" i="7"/>
  <c r="T329" i="7"/>
  <c r="S329" i="7"/>
  <c r="R329" i="7"/>
  <c r="P329" i="7"/>
  <c r="K329" i="7"/>
  <c r="AP328" i="7"/>
  <c r="AN328" i="7"/>
  <c r="AJ328" i="7"/>
  <c r="AH328" i="7"/>
  <c r="AD328" i="7"/>
  <c r="AB328" i="7"/>
  <c r="AA328" i="7"/>
  <c r="W328" i="7"/>
  <c r="T328" i="7"/>
  <c r="X328" i="7" s="1"/>
  <c r="S328" i="7"/>
  <c r="R328" i="7"/>
  <c r="P328" i="7"/>
  <c r="K328" i="7"/>
  <c r="AP327" i="7"/>
  <c r="AN327" i="7"/>
  <c r="AJ327" i="7"/>
  <c r="AH327" i="7"/>
  <c r="AD327" i="7"/>
  <c r="AB327" i="7"/>
  <c r="AA327" i="7"/>
  <c r="X327" i="7"/>
  <c r="W327" i="7"/>
  <c r="T327" i="7"/>
  <c r="S327" i="7"/>
  <c r="R327" i="7"/>
  <c r="P327" i="7"/>
  <c r="K327" i="7"/>
  <c r="AP326" i="7"/>
  <c r="AN326" i="7"/>
  <c r="AJ326" i="7"/>
  <c r="AH326" i="7"/>
  <c r="AD326" i="7"/>
  <c r="AB326" i="7"/>
  <c r="AA326" i="7"/>
  <c r="W326" i="7"/>
  <c r="T326" i="7"/>
  <c r="S326" i="7"/>
  <c r="R326" i="7"/>
  <c r="P326" i="7"/>
  <c r="K326" i="7"/>
  <c r="AP325" i="7"/>
  <c r="AN325" i="7"/>
  <c r="AJ325" i="7"/>
  <c r="AH325" i="7"/>
  <c r="AD325" i="7"/>
  <c r="AB325" i="7"/>
  <c r="AA325" i="7"/>
  <c r="X325" i="7"/>
  <c r="W325" i="7"/>
  <c r="T325" i="7"/>
  <c r="S325" i="7"/>
  <c r="R325" i="7"/>
  <c r="P325" i="7"/>
  <c r="K325" i="7"/>
  <c r="AP324" i="7"/>
  <c r="AN324" i="7"/>
  <c r="AJ324" i="7"/>
  <c r="AH324" i="7"/>
  <c r="AD324" i="7"/>
  <c r="AB324" i="7"/>
  <c r="AA324" i="7"/>
  <c r="W324" i="7"/>
  <c r="T324" i="7"/>
  <c r="X324" i="7" s="1"/>
  <c r="S324" i="7"/>
  <c r="R324" i="7"/>
  <c r="P324" i="7"/>
  <c r="K324" i="7"/>
  <c r="AP323" i="7"/>
  <c r="AN323" i="7"/>
  <c r="AJ323" i="7"/>
  <c r="AH323" i="7"/>
  <c r="AD323" i="7"/>
  <c r="AB323" i="7"/>
  <c r="AA323" i="7"/>
  <c r="X323" i="7"/>
  <c r="W323" i="7"/>
  <c r="T323" i="7"/>
  <c r="S323" i="7"/>
  <c r="R323" i="7"/>
  <c r="P323" i="7"/>
  <c r="K323" i="7"/>
  <c r="AP322" i="7"/>
  <c r="AN322" i="7"/>
  <c r="AJ322" i="7"/>
  <c r="AH322" i="7"/>
  <c r="AD322" i="7"/>
  <c r="AB322" i="7"/>
  <c r="AA322" i="7"/>
  <c r="W322" i="7"/>
  <c r="T322" i="7"/>
  <c r="S322" i="7"/>
  <c r="R322" i="7"/>
  <c r="P322" i="7"/>
  <c r="K322" i="7"/>
  <c r="AP321" i="7"/>
  <c r="AN321" i="7"/>
  <c r="AJ321" i="7"/>
  <c r="AH321" i="7"/>
  <c r="AD321" i="7"/>
  <c r="AB321" i="7"/>
  <c r="AA321" i="7"/>
  <c r="X321" i="7"/>
  <c r="W321" i="7"/>
  <c r="T321" i="7"/>
  <c r="S321" i="7"/>
  <c r="R321" i="7"/>
  <c r="P321" i="7"/>
  <c r="K321" i="7"/>
  <c r="AP320" i="7"/>
  <c r="AN320" i="7"/>
  <c r="AJ320" i="7"/>
  <c r="AH320" i="7"/>
  <c r="AD320" i="7"/>
  <c r="AB320" i="7"/>
  <c r="AA320" i="7"/>
  <c r="W320" i="7"/>
  <c r="T320" i="7"/>
  <c r="X320" i="7" s="1"/>
  <c r="S320" i="7"/>
  <c r="R320" i="7"/>
  <c r="P320" i="7"/>
  <c r="K320" i="7"/>
  <c r="AP319" i="7"/>
  <c r="AN319" i="7"/>
  <c r="AJ319" i="7"/>
  <c r="AH319" i="7"/>
  <c r="AD319" i="7"/>
  <c r="AB319" i="7"/>
  <c r="AA319" i="7"/>
  <c r="X319" i="7"/>
  <c r="W319" i="7"/>
  <c r="T319" i="7"/>
  <c r="S319" i="7"/>
  <c r="R319" i="7"/>
  <c r="P319" i="7"/>
  <c r="K319" i="7"/>
  <c r="AP318" i="7"/>
  <c r="AN318" i="7"/>
  <c r="AJ318" i="7"/>
  <c r="AH318" i="7"/>
  <c r="AD318" i="7"/>
  <c r="AB318" i="7"/>
  <c r="AA318" i="7"/>
  <c r="W318" i="7"/>
  <c r="T318" i="7"/>
  <c r="S318" i="7"/>
  <c r="R318" i="7"/>
  <c r="P318" i="7"/>
  <c r="K318" i="7"/>
  <c r="AP317" i="7"/>
  <c r="AN317" i="7"/>
  <c r="AJ317" i="7"/>
  <c r="AH317" i="7"/>
  <c r="AD317" i="7"/>
  <c r="AB317" i="7"/>
  <c r="AA317" i="7"/>
  <c r="X317" i="7"/>
  <c r="W317" i="7"/>
  <c r="T317" i="7"/>
  <c r="S317" i="7"/>
  <c r="R317" i="7"/>
  <c r="P317" i="7"/>
  <c r="K317" i="7"/>
  <c r="AP316" i="7"/>
  <c r="AN316" i="7"/>
  <c r="AJ316" i="7"/>
  <c r="AH316" i="7"/>
  <c r="AD316" i="7"/>
  <c r="AB316" i="7"/>
  <c r="AA316" i="7"/>
  <c r="W316" i="7"/>
  <c r="T316" i="7"/>
  <c r="X316" i="7" s="1"/>
  <c r="S316" i="7"/>
  <c r="R316" i="7"/>
  <c r="P316" i="7"/>
  <c r="K316" i="7"/>
  <c r="AP315" i="7"/>
  <c r="AN315" i="7"/>
  <c r="AJ315" i="7"/>
  <c r="AH315" i="7"/>
  <c r="AD315" i="7"/>
  <c r="AB315" i="7"/>
  <c r="AA315" i="7"/>
  <c r="X315" i="7"/>
  <c r="W315" i="7"/>
  <c r="T315" i="7"/>
  <c r="S315" i="7"/>
  <c r="R315" i="7"/>
  <c r="P315" i="7"/>
  <c r="K315" i="7"/>
  <c r="AP314" i="7"/>
  <c r="AN314" i="7"/>
  <c r="AJ314" i="7"/>
  <c r="AH314" i="7"/>
  <c r="AD314" i="7"/>
  <c r="AB314" i="7"/>
  <c r="AA314" i="7"/>
  <c r="W314" i="7"/>
  <c r="T314" i="7"/>
  <c r="S314" i="7"/>
  <c r="R314" i="7"/>
  <c r="P314" i="7"/>
  <c r="K314" i="7"/>
  <c r="AP313" i="7"/>
  <c r="AN313" i="7"/>
  <c r="AJ313" i="7"/>
  <c r="AH313" i="7"/>
  <c r="AD313" i="7"/>
  <c r="AB313" i="7"/>
  <c r="AA313" i="7"/>
  <c r="X313" i="7"/>
  <c r="W313" i="7"/>
  <c r="T313" i="7"/>
  <c r="S313" i="7"/>
  <c r="R313" i="7"/>
  <c r="P313" i="7"/>
  <c r="K313" i="7"/>
  <c r="AP312" i="7"/>
  <c r="AN312" i="7"/>
  <c r="AJ312" i="7"/>
  <c r="AH312" i="7"/>
  <c r="AD312" i="7"/>
  <c r="AB312" i="7"/>
  <c r="AA312" i="7"/>
  <c r="W312" i="7"/>
  <c r="T312" i="7"/>
  <c r="X312" i="7" s="1"/>
  <c r="S312" i="7"/>
  <c r="R312" i="7"/>
  <c r="P312" i="7"/>
  <c r="K312" i="7"/>
  <c r="AP311" i="7"/>
  <c r="AN311" i="7"/>
  <c r="AJ311" i="7"/>
  <c r="AH311" i="7"/>
  <c r="AD311" i="7"/>
  <c r="AB311" i="7"/>
  <c r="AA311" i="7"/>
  <c r="X311" i="7"/>
  <c r="W311" i="7"/>
  <c r="T311" i="7"/>
  <c r="S311" i="7"/>
  <c r="R311" i="7"/>
  <c r="P311" i="7"/>
  <c r="K311" i="7"/>
  <c r="AP310" i="7"/>
  <c r="AN310" i="7"/>
  <c r="AJ310" i="7"/>
  <c r="AH310" i="7"/>
  <c r="AD310" i="7"/>
  <c r="AB310" i="7"/>
  <c r="AA310" i="7"/>
  <c r="W310" i="7"/>
  <c r="T310" i="7"/>
  <c r="S310" i="7"/>
  <c r="R310" i="7"/>
  <c r="P310" i="7"/>
  <c r="K310" i="7"/>
  <c r="AP309" i="7"/>
  <c r="AN309" i="7"/>
  <c r="AJ309" i="7"/>
  <c r="AH309" i="7"/>
  <c r="AD309" i="7"/>
  <c r="AB309" i="7"/>
  <c r="AA309" i="7"/>
  <c r="X309" i="7"/>
  <c r="W309" i="7"/>
  <c r="T309" i="7"/>
  <c r="S309" i="7"/>
  <c r="R309" i="7"/>
  <c r="P309" i="7"/>
  <c r="K309" i="7"/>
  <c r="AP308" i="7"/>
  <c r="AN308" i="7"/>
  <c r="AJ308" i="7"/>
  <c r="AH308" i="7"/>
  <c r="AD308" i="7"/>
  <c r="AB308" i="7"/>
  <c r="AA308" i="7"/>
  <c r="W308" i="7"/>
  <c r="T308" i="7"/>
  <c r="X308" i="7" s="1"/>
  <c r="S308" i="7"/>
  <c r="R308" i="7"/>
  <c r="P308" i="7"/>
  <c r="K308" i="7"/>
  <c r="AP307" i="7"/>
  <c r="AN307" i="7"/>
  <c r="AJ307" i="7"/>
  <c r="AH307" i="7"/>
  <c r="AD307" i="7"/>
  <c r="AB307" i="7"/>
  <c r="AA307" i="7"/>
  <c r="X307" i="7"/>
  <c r="W307" i="7"/>
  <c r="T307" i="7"/>
  <c r="S307" i="7"/>
  <c r="R307" i="7"/>
  <c r="P307" i="7"/>
  <c r="K307" i="7"/>
  <c r="AP306" i="7"/>
  <c r="AN306" i="7"/>
  <c r="AJ306" i="7"/>
  <c r="AH306" i="7"/>
  <c r="AD306" i="7"/>
  <c r="AB306" i="7"/>
  <c r="AA306" i="7"/>
  <c r="W306" i="7"/>
  <c r="T306" i="7"/>
  <c r="S306" i="7"/>
  <c r="R306" i="7"/>
  <c r="P306" i="7"/>
  <c r="K306" i="7"/>
  <c r="AP305" i="7"/>
  <c r="AN305" i="7"/>
  <c r="AJ305" i="7"/>
  <c r="AH305" i="7"/>
  <c r="AD305" i="7"/>
  <c r="AB305" i="7"/>
  <c r="AA305" i="7"/>
  <c r="X305" i="7"/>
  <c r="W305" i="7"/>
  <c r="T305" i="7"/>
  <c r="S305" i="7"/>
  <c r="R305" i="7"/>
  <c r="P305" i="7"/>
  <c r="K305" i="7"/>
  <c r="AP304" i="7"/>
  <c r="AN304" i="7"/>
  <c r="AJ304" i="7"/>
  <c r="AH304" i="7"/>
  <c r="AD304" i="7"/>
  <c r="AB304" i="7"/>
  <c r="AA304" i="7"/>
  <c r="W304" i="7"/>
  <c r="T304" i="7"/>
  <c r="X304" i="7" s="1"/>
  <c r="S304" i="7"/>
  <c r="R304" i="7"/>
  <c r="P304" i="7"/>
  <c r="K304" i="7"/>
  <c r="AP303" i="7"/>
  <c r="AN303" i="7"/>
  <c r="AJ303" i="7"/>
  <c r="AH303" i="7"/>
  <c r="AD303" i="7"/>
  <c r="AB303" i="7"/>
  <c r="AA303" i="7"/>
  <c r="X303" i="7"/>
  <c r="W303" i="7"/>
  <c r="T303" i="7"/>
  <c r="S303" i="7"/>
  <c r="R303" i="7"/>
  <c r="P303" i="7"/>
  <c r="K303" i="7"/>
  <c r="AP302" i="7"/>
  <c r="AN302" i="7"/>
  <c r="AJ302" i="7"/>
  <c r="AH302" i="7"/>
  <c r="AD302" i="7"/>
  <c r="AB302" i="7"/>
  <c r="AA302" i="7"/>
  <c r="W302" i="7"/>
  <c r="T302" i="7"/>
  <c r="S302" i="7"/>
  <c r="R302" i="7"/>
  <c r="P302" i="7"/>
  <c r="K302" i="7"/>
  <c r="AP301" i="7"/>
  <c r="AN301" i="7"/>
  <c r="AJ301" i="7"/>
  <c r="AH301" i="7"/>
  <c r="AD301" i="7"/>
  <c r="AB301" i="7"/>
  <c r="AA301" i="7"/>
  <c r="X301" i="7"/>
  <c r="W301" i="7"/>
  <c r="T301" i="7"/>
  <c r="S301" i="7"/>
  <c r="R301" i="7"/>
  <c r="P301" i="7"/>
  <c r="K301" i="7"/>
  <c r="AP300" i="7"/>
  <c r="AN300" i="7"/>
  <c r="AJ300" i="7"/>
  <c r="AH300" i="7"/>
  <c r="AD300" i="7"/>
  <c r="AB300" i="7"/>
  <c r="AA300" i="7"/>
  <c r="W300" i="7"/>
  <c r="T300" i="7"/>
  <c r="X300" i="7" s="1"/>
  <c r="S300" i="7"/>
  <c r="R300" i="7"/>
  <c r="P300" i="7"/>
  <c r="K300" i="7"/>
  <c r="AP299" i="7"/>
  <c r="AN299" i="7"/>
  <c r="AJ299" i="7"/>
  <c r="AH299" i="7"/>
  <c r="AD299" i="7"/>
  <c r="AB299" i="7"/>
  <c r="AA299" i="7"/>
  <c r="X299" i="7"/>
  <c r="W299" i="7"/>
  <c r="T299" i="7"/>
  <c r="S299" i="7"/>
  <c r="R299" i="7"/>
  <c r="P299" i="7"/>
  <c r="K299" i="7"/>
  <c r="AP298" i="7"/>
  <c r="AN298" i="7"/>
  <c r="AJ298" i="7"/>
  <c r="AH298" i="7"/>
  <c r="AD298" i="7"/>
  <c r="AB298" i="7"/>
  <c r="AA298" i="7"/>
  <c r="W298" i="7"/>
  <c r="T298" i="7"/>
  <c r="S298" i="7"/>
  <c r="R298" i="7"/>
  <c r="P298" i="7"/>
  <c r="K298" i="7"/>
  <c r="AP297" i="7"/>
  <c r="AN297" i="7"/>
  <c r="AJ297" i="7"/>
  <c r="AH297" i="7"/>
  <c r="AD297" i="7"/>
  <c r="AB297" i="7"/>
  <c r="AA297" i="7"/>
  <c r="X297" i="7"/>
  <c r="W297" i="7"/>
  <c r="T297" i="7"/>
  <c r="S297" i="7"/>
  <c r="R297" i="7"/>
  <c r="P297" i="7"/>
  <c r="K297" i="7"/>
  <c r="AP296" i="7"/>
  <c r="AN296" i="7"/>
  <c r="AJ296" i="7"/>
  <c r="AH296" i="7"/>
  <c r="AD296" i="7"/>
  <c r="AB296" i="7"/>
  <c r="AA296" i="7"/>
  <c r="W296" i="7"/>
  <c r="T296" i="7"/>
  <c r="X296" i="7" s="1"/>
  <c r="S296" i="7"/>
  <c r="R296" i="7"/>
  <c r="P296" i="7"/>
  <c r="K296" i="7"/>
  <c r="AP295" i="7"/>
  <c r="AN295" i="7"/>
  <c r="AJ295" i="7"/>
  <c r="AH295" i="7"/>
  <c r="AD295" i="7"/>
  <c r="AB295" i="7"/>
  <c r="AA295" i="7"/>
  <c r="X295" i="7"/>
  <c r="W295" i="7"/>
  <c r="T295" i="7"/>
  <c r="S295" i="7"/>
  <c r="R295" i="7"/>
  <c r="P295" i="7"/>
  <c r="K295" i="7"/>
  <c r="AP294" i="7"/>
  <c r="AN294" i="7"/>
  <c r="AJ294" i="7"/>
  <c r="AH294" i="7"/>
  <c r="AD294" i="7"/>
  <c r="AB294" i="7"/>
  <c r="AA294" i="7"/>
  <c r="W294" i="7"/>
  <c r="T294" i="7"/>
  <c r="S294" i="7"/>
  <c r="R294" i="7"/>
  <c r="P294" i="7"/>
  <c r="K294" i="7"/>
  <c r="AP293" i="7"/>
  <c r="AN293" i="7"/>
  <c r="AJ293" i="7"/>
  <c r="AH293" i="7"/>
  <c r="AD293" i="7"/>
  <c r="AB293" i="7"/>
  <c r="AA293" i="7"/>
  <c r="X293" i="7"/>
  <c r="W293" i="7"/>
  <c r="T293" i="7"/>
  <c r="S293" i="7"/>
  <c r="R293" i="7"/>
  <c r="P293" i="7"/>
  <c r="K293" i="7"/>
  <c r="AP292" i="7"/>
  <c r="AN292" i="7"/>
  <c r="AJ292" i="7"/>
  <c r="AH292" i="7"/>
  <c r="AD292" i="7"/>
  <c r="AB292" i="7"/>
  <c r="AA292" i="7"/>
  <c r="W292" i="7"/>
  <c r="T292" i="7"/>
  <c r="X292" i="7" s="1"/>
  <c r="S292" i="7"/>
  <c r="R292" i="7"/>
  <c r="P292" i="7"/>
  <c r="K292" i="7"/>
  <c r="AP291" i="7"/>
  <c r="AN291" i="7"/>
  <c r="AJ291" i="7"/>
  <c r="AH291" i="7"/>
  <c r="AD291" i="7"/>
  <c r="AB291" i="7"/>
  <c r="AA291" i="7"/>
  <c r="X291" i="7"/>
  <c r="W291" i="7"/>
  <c r="T291" i="7"/>
  <c r="S291" i="7"/>
  <c r="R291" i="7"/>
  <c r="P291" i="7"/>
  <c r="K291" i="7"/>
  <c r="AP290" i="7"/>
  <c r="AN290" i="7"/>
  <c r="AJ290" i="7"/>
  <c r="AH290" i="7"/>
  <c r="AD290" i="7"/>
  <c r="AB290" i="7"/>
  <c r="AA290" i="7"/>
  <c r="W290" i="7"/>
  <c r="T290" i="7"/>
  <c r="S290" i="7"/>
  <c r="R290" i="7"/>
  <c r="P290" i="7"/>
  <c r="K290" i="7"/>
  <c r="AP289" i="7"/>
  <c r="AN289" i="7"/>
  <c r="AJ289" i="7"/>
  <c r="AH289" i="7"/>
  <c r="AD289" i="7"/>
  <c r="AB289" i="7"/>
  <c r="AA289" i="7"/>
  <c r="X289" i="7"/>
  <c r="W289" i="7"/>
  <c r="T289" i="7"/>
  <c r="S289" i="7"/>
  <c r="R289" i="7"/>
  <c r="P289" i="7"/>
  <c r="K289" i="7"/>
  <c r="AP288" i="7"/>
  <c r="AN288" i="7"/>
  <c r="AJ288" i="7"/>
  <c r="AH288" i="7"/>
  <c r="AD288" i="7"/>
  <c r="AB288" i="7"/>
  <c r="AA288" i="7"/>
  <c r="W288" i="7"/>
  <c r="T288" i="7"/>
  <c r="X288" i="7" s="1"/>
  <c r="S288" i="7"/>
  <c r="R288" i="7"/>
  <c r="P288" i="7"/>
  <c r="K288" i="7"/>
  <c r="AP287" i="7"/>
  <c r="AN287" i="7"/>
  <c r="AJ287" i="7"/>
  <c r="AH287" i="7"/>
  <c r="AD287" i="7"/>
  <c r="AB287" i="7"/>
  <c r="AA287" i="7"/>
  <c r="X287" i="7"/>
  <c r="W287" i="7"/>
  <c r="T287" i="7"/>
  <c r="S287" i="7"/>
  <c r="R287" i="7"/>
  <c r="P287" i="7"/>
  <c r="K287" i="7"/>
  <c r="AP286" i="7"/>
  <c r="AN286" i="7"/>
  <c r="AJ286" i="7"/>
  <c r="AH286" i="7"/>
  <c r="AD286" i="7"/>
  <c r="AB286" i="7"/>
  <c r="AA286" i="7"/>
  <c r="W286" i="7"/>
  <c r="T286" i="7"/>
  <c r="S286" i="7"/>
  <c r="R286" i="7"/>
  <c r="P286" i="7"/>
  <c r="K286" i="7"/>
  <c r="AP285" i="7"/>
  <c r="AN285" i="7"/>
  <c r="AJ285" i="7"/>
  <c r="AH285" i="7"/>
  <c r="AD285" i="7"/>
  <c r="AB285" i="7"/>
  <c r="AA285" i="7"/>
  <c r="X285" i="7"/>
  <c r="W285" i="7"/>
  <c r="T285" i="7"/>
  <c r="S285" i="7"/>
  <c r="R285" i="7"/>
  <c r="P285" i="7"/>
  <c r="K285" i="7"/>
  <c r="AP284" i="7"/>
  <c r="AN284" i="7"/>
  <c r="AJ284" i="7"/>
  <c r="AH284" i="7"/>
  <c r="AD284" i="7"/>
  <c r="AB284" i="7"/>
  <c r="AA284" i="7"/>
  <c r="W284" i="7"/>
  <c r="T284" i="7"/>
  <c r="X284" i="7" s="1"/>
  <c r="S284" i="7"/>
  <c r="R284" i="7"/>
  <c r="P284" i="7"/>
  <c r="K284" i="7"/>
  <c r="AP283" i="7"/>
  <c r="AN283" i="7"/>
  <c r="AJ283" i="7"/>
  <c r="AH283" i="7"/>
  <c r="AD283" i="7"/>
  <c r="AB283" i="7"/>
  <c r="AA283" i="7"/>
  <c r="X283" i="7"/>
  <c r="W283" i="7"/>
  <c r="T283" i="7"/>
  <c r="S283" i="7"/>
  <c r="R283" i="7"/>
  <c r="P283" i="7"/>
  <c r="K283" i="7"/>
  <c r="AP282" i="7"/>
  <c r="AN282" i="7"/>
  <c r="AJ282" i="7"/>
  <c r="AH282" i="7"/>
  <c r="AD282" i="7"/>
  <c r="AB282" i="7"/>
  <c r="AA282" i="7"/>
  <c r="W282" i="7"/>
  <c r="T282" i="7"/>
  <c r="S282" i="7"/>
  <c r="R282" i="7"/>
  <c r="P282" i="7"/>
  <c r="K282" i="7"/>
  <c r="AP281" i="7"/>
  <c r="AN281" i="7"/>
  <c r="AJ281" i="7"/>
  <c r="AH281" i="7"/>
  <c r="AD281" i="7"/>
  <c r="AB281" i="7"/>
  <c r="AA281" i="7"/>
  <c r="X281" i="7"/>
  <c r="W281" i="7"/>
  <c r="T281" i="7"/>
  <c r="S281" i="7"/>
  <c r="R281" i="7"/>
  <c r="P281" i="7"/>
  <c r="K281" i="7"/>
  <c r="AP280" i="7"/>
  <c r="AN280" i="7"/>
  <c r="AJ280" i="7"/>
  <c r="AH280" i="7"/>
  <c r="AD280" i="7"/>
  <c r="AB280" i="7"/>
  <c r="AA280" i="7"/>
  <c r="W280" i="7"/>
  <c r="T280" i="7"/>
  <c r="X280" i="7" s="1"/>
  <c r="S280" i="7"/>
  <c r="R280" i="7"/>
  <c r="P280" i="7"/>
  <c r="K280" i="7"/>
  <c r="AP279" i="7"/>
  <c r="AN279" i="7"/>
  <c r="AJ279" i="7"/>
  <c r="AH279" i="7"/>
  <c r="AD279" i="7"/>
  <c r="AB279" i="7"/>
  <c r="AA279" i="7"/>
  <c r="X279" i="7"/>
  <c r="W279" i="7"/>
  <c r="T279" i="7"/>
  <c r="S279" i="7"/>
  <c r="R279" i="7"/>
  <c r="P279" i="7"/>
  <c r="K279" i="7"/>
  <c r="AP278" i="7"/>
  <c r="AN278" i="7"/>
  <c r="AJ278" i="7"/>
  <c r="AH278" i="7"/>
  <c r="AD278" i="7"/>
  <c r="AB278" i="7"/>
  <c r="AA278" i="7"/>
  <c r="W278" i="7"/>
  <c r="T278" i="7"/>
  <c r="S278" i="7"/>
  <c r="R278" i="7"/>
  <c r="P278" i="7"/>
  <c r="K278" i="7"/>
  <c r="AP277" i="7"/>
  <c r="AN277" i="7"/>
  <c r="AJ277" i="7"/>
  <c r="AH277" i="7"/>
  <c r="AD277" i="7"/>
  <c r="AB277" i="7"/>
  <c r="AA277" i="7"/>
  <c r="X277" i="7"/>
  <c r="W277" i="7"/>
  <c r="T277" i="7"/>
  <c r="S277" i="7"/>
  <c r="R277" i="7"/>
  <c r="P277" i="7"/>
  <c r="K277" i="7"/>
  <c r="AP276" i="7"/>
  <c r="AN276" i="7"/>
  <c r="AJ276" i="7"/>
  <c r="AH276" i="7"/>
  <c r="AD276" i="7"/>
  <c r="AB276" i="7"/>
  <c r="AA276" i="7"/>
  <c r="W276" i="7"/>
  <c r="T276" i="7"/>
  <c r="X276" i="7" s="1"/>
  <c r="S276" i="7"/>
  <c r="R276" i="7"/>
  <c r="P276" i="7"/>
  <c r="K276" i="7"/>
  <c r="AP275" i="7"/>
  <c r="AN275" i="7"/>
  <c r="AJ275" i="7"/>
  <c r="AH275" i="7"/>
  <c r="AD275" i="7"/>
  <c r="AB275" i="7"/>
  <c r="AA275" i="7"/>
  <c r="W275" i="7"/>
  <c r="X275" i="7" s="1"/>
  <c r="T275" i="7"/>
  <c r="S275" i="7"/>
  <c r="R275" i="7"/>
  <c r="P275" i="7"/>
  <c r="K275" i="7"/>
  <c r="AP274" i="7"/>
  <c r="AN274" i="7"/>
  <c r="AJ274" i="7"/>
  <c r="AH274" i="7"/>
  <c r="AD274" i="7"/>
  <c r="AB274" i="7"/>
  <c r="AA274" i="7"/>
  <c r="W274" i="7"/>
  <c r="T274" i="7"/>
  <c r="X274" i="7" s="1"/>
  <c r="S274" i="7"/>
  <c r="R274" i="7"/>
  <c r="P274" i="7"/>
  <c r="K274" i="7"/>
  <c r="AP273" i="7"/>
  <c r="AN273" i="7"/>
  <c r="AJ273" i="7"/>
  <c r="AH273" i="7"/>
  <c r="AD273" i="7"/>
  <c r="AB273" i="7"/>
  <c r="AA273" i="7"/>
  <c r="W273" i="7"/>
  <c r="X273" i="7" s="1"/>
  <c r="T273" i="7"/>
  <c r="S273" i="7"/>
  <c r="R273" i="7"/>
  <c r="P273" i="7"/>
  <c r="K273" i="7"/>
  <c r="AP272" i="7"/>
  <c r="AN272" i="7"/>
  <c r="AJ272" i="7"/>
  <c r="AH272" i="7"/>
  <c r="AD272" i="7"/>
  <c r="AB272" i="7"/>
  <c r="AA272" i="7"/>
  <c r="W272" i="7"/>
  <c r="T272" i="7"/>
  <c r="X272" i="7" s="1"/>
  <c r="S272" i="7"/>
  <c r="R272" i="7"/>
  <c r="P272" i="7"/>
  <c r="K272" i="7"/>
  <c r="AP271" i="7"/>
  <c r="AN271" i="7"/>
  <c r="AJ271" i="7"/>
  <c r="AH271" i="7"/>
  <c r="AD271" i="7"/>
  <c r="AB271" i="7"/>
  <c r="AA271" i="7"/>
  <c r="W271" i="7"/>
  <c r="X271" i="7" s="1"/>
  <c r="T271" i="7"/>
  <c r="S271" i="7"/>
  <c r="R271" i="7"/>
  <c r="P271" i="7"/>
  <c r="K271" i="7"/>
  <c r="AP270" i="7"/>
  <c r="AN270" i="7"/>
  <c r="AJ270" i="7"/>
  <c r="AH270" i="7"/>
  <c r="AD270" i="7"/>
  <c r="AB270" i="7"/>
  <c r="AA270" i="7"/>
  <c r="W270" i="7"/>
  <c r="T270" i="7"/>
  <c r="X270" i="7" s="1"/>
  <c r="S270" i="7"/>
  <c r="R270" i="7"/>
  <c r="P270" i="7"/>
  <c r="K270" i="7"/>
  <c r="AP269" i="7"/>
  <c r="AN269" i="7"/>
  <c r="AJ269" i="7"/>
  <c r="AH269" i="7"/>
  <c r="AD269" i="7"/>
  <c r="AB269" i="7"/>
  <c r="AA269" i="7"/>
  <c r="W269" i="7"/>
  <c r="X269" i="7" s="1"/>
  <c r="T269" i="7"/>
  <c r="S269" i="7"/>
  <c r="R269" i="7"/>
  <c r="P269" i="7"/>
  <c r="K269" i="7"/>
  <c r="AP268" i="7"/>
  <c r="AN268" i="7"/>
  <c r="AJ268" i="7"/>
  <c r="AH268" i="7"/>
  <c r="AD268" i="7"/>
  <c r="AB268" i="7"/>
  <c r="AA268" i="7"/>
  <c r="W268" i="7"/>
  <c r="T268" i="7"/>
  <c r="X268" i="7" s="1"/>
  <c r="S268" i="7"/>
  <c r="R268" i="7"/>
  <c r="P268" i="7"/>
  <c r="K268" i="7"/>
  <c r="AP267" i="7"/>
  <c r="AN267" i="7"/>
  <c r="AJ267" i="7"/>
  <c r="AH267" i="7"/>
  <c r="AD267" i="7"/>
  <c r="AB267" i="7"/>
  <c r="AA267" i="7"/>
  <c r="W267" i="7"/>
  <c r="X267" i="7" s="1"/>
  <c r="T267" i="7"/>
  <c r="S267" i="7"/>
  <c r="R267" i="7"/>
  <c r="P267" i="7"/>
  <c r="K267" i="7"/>
  <c r="AP266" i="7"/>
  <c r="AN266" i="7"/>
  <c r="AJ266" i="7"/>
  <c r="AH266" i="7"/>
  <c r="AD266" i="7"/>
  <c r="AB266" i="7"/>
  <c r="AA266" i="7"/>
  <c r="W266" i="7"/>
  <c r="T266" i="7"/>
  <c r="X266" i="7" s="1"/>
  <c r="S266" i="7"/>
  <c r="R266" i="7"/>
  <c r="P266" i="7"/>
  <c r="K266" i="7"/>
  <c r="AP265" i="7"/>
  <c r="AN265" i="7"/>
  <c r="AJ265" i="7"/>
  <c r="AH265" i="7"/>
  <c r="AD265" i="7"/>
  <c r="AB265" i="7"/>
  <c r="AA265" i="7"/>
  <c r="W265" i="7"/>
  <c r="X265" i="7" s="1"/>
  <c r="T265" i="7"/>
  <c r="S265" i="7"/>
  <c r="R265" i="7"/>
  <c r="P265" i="7"/>
  <c r="K265" i="7"/>
  <c r="AP264" i="7"/>
  <c r="AN264" i="7"/>
  <c r="AJ264" i="7"/>
  <c r="AH264" i="7"/>
  <c r="AD264" i="7"/>
  <c r="AB264" i="7"/>
  <c r="AA264" i="7"/>
  <c r="W264" i="7"/>
  <c r="T264" i="7"/>
  <c r="X264" i="7" s="1"/>
  <c r="S264" i="7"/>
  <c r="R264" i="7"/>
  <c r="P264" i="7"/>
  <c r="K264" i="7"/>
  <c r="AP263" i="7"/>
  <c r="AN263" i="7"/>
  <c r="AJ263" i="7"/>
  <c r="AH263" i="7"/>
  <c r="AD263" i="7"/>
  <c r="AB263" i="7"/>
  <c r="AA263" i="7"/>
  <c r="W263" i="7"/>
  <c r="X263" i="7" s="1"/>
  <c r="T263" i="7"/>
  <c r="S263" i="7"/>
  <c r="R263" i="7"/>
  <c r="P263" i="7"/>
  <c r="K263" i="7"/>
  <c r="AP262" i="7"/>
  <c r="AN262" i="7"/>
  <c r="AJ262" i="7"/>
  <c r="AH262" i="7"/>
  <c r="AD262" i="7"/>
  <c r="AB262" i="7"/>
  <c r="AA262" i="7"/>
  <c r="W262" i="7"/>
  <c r="T262" i="7"/>
  <c r="X262" i="7" s="1"/>
  <c r="S262" i="7"/>
  <c r="R262" i="7"/>
  <c r="P262" i="7"/>
  <c r="K262" i="7"/>
  <c r="AP261" i="7"/>
  <c r="AN261" i="7"/>
  <c r="AJ261" i="7"/>
  <c r="AH261" i="7"/>
  <c r="AD261" i="7"/>
  <c r="AB261" i="7"/>
  <c r="AA261" i="7"/>
  <c r="W261" i="7"/>
  <c r="X261" i="7" s="1"/>
  <c r="T261" i="7"/>
  <c r="S261" i="7"/>
  <c r="R261" i="7"/>
  <c r="P261" i="7"/>
  <c r="K261" i="7"/>
  <c r="AP260" i="7"/>
  <c r="AN260" i="7"/>
  <c r="AJ260" i="7"/>
  <c r="AH260" i="7"/>
  <c r="AD260" i="7"/>
  <c r="AB260" i="7"/>
  <c r="AA260" i="7"/>
  <c r="W260" i="7"/>
  <c r="T260" i="7"/>
  <c r="X260" i="7" s="1"/>
  <c r="S260" i="7"/>
  <c r="R260" i="7"/>
  <c r="P260" i="7"/>
  <c r="K260" i="7"/>
  <c r="AP259" i="7"/>
  <c r="AN259" i="7"/>
  <c r="AJ259" i="7"/>
  <c r="AH259" i="7"/>
  <c r="AD259" i="7"/>
  <c r="AB259" i="7"/>
  <c r="AA259" i="7"/>
  <c r="W259" i="7"/>
  <c r="X259" i="7" s="1"/>
  <c r="T259" i="7"/>
  <c r="S259" i="7"/>
  <c r="R259" i="7"/>
  <c r="P259" i="7"/>
  <c r="K259" i="7"/>
  <c r="AP258" i="7"/>
  <c r="AN258" i="7"/>
  <c r="AJ258" i="7"/>
  <c r="AH258" i="7"/>
  <c r="AD258" i="7"/>
  <c r="AB258" i="7"/>
  <c r="AA258" i="7"/>
  <c r="W258" i="7"/>
  <c r="T258" i="7"/>
  <c r="X258" i="7" s="1"/>
  <c r="S258" i="7"/>
  <c r="R258" i="7"/>
  <c r="P258" i="7"/>
  <c r="K258" i="7"/>
  <c r="AP257" i="7"/>
  <c r="AN257" i="7"/>
  <c r="AJ257" i="7"/>
  <c r="AH257" i="7"/>
  <c r="AD257" i="7"/>
  <c r="AB257" i="7"/>
  <c r="AA257" i="7"/>
  <c r="W257" i="7"/>
  <c r="X257" i="7" s="1"/>
  <c r="T257" i="7"/>
  <c r="S257" i="7"/>
  <c r="R257" i="7"/>
  <c r="P257" i="7"/>
  <c r="K257" i="7"/>
  <c r="AP256" i="7"/>
  <c r="AN256" i="7"/>
  <c r="AJ256" i="7"/>
  <c r="AH256" i="7"/>
  <c r="AD256" i="7"/>
  <c r="AB256" i="7"/>
  <c r="AA256" i="7"/>
  <c r="W256" i="7"/>
  <c r="T256" i="7"/>
  <c r="X256" i="7" s="1"/>
  <c r="S256" i="7"/>
  <c r="R256" i="7"/>
  <c r="P256" i="7"/>
  <c r="K256" i="7"/>
  <c r="AP255" i="7"/>
  <c r="AN255" i="7"/>
  <c r="AJ255" i="7"/>
  <c r="AH255" i="7"/>
  <c r="AD255" i="7"/>
  <c r="AB255" i="7"/>
  <c r="AA255" i="7"/>
  <c r="W255" i="7"/>
  <c r="X255" i="7" s="1"/>
  <c r="T255" i="7"/>
  <c r="S255" i="7"/>
  <c r="R255" i="7"/>
  <c r="P255" i="7"/>
  <c r="K255" i="7"/>
  <c r="AP254" i="7"/>
  <c r="AN254" i="7"/>
  <c r="AJ254" i="7"/>
  <c r="AH254" i="7"/>
  <c r="AD254" i="7"/>
  <c r="AB254" i="7"/>
  <c r="AA254" i="7"/>
  <c r="W254" i="7"/>
  <c r="T254" i="7"/>
  <c r="X254" i="7" s="1"/>
  <c r="S254" i="7"/>
  <c r="R254" i="7"/>
  <c r="P254" i="7"/>
  <c r="K254" i="7"/>
  <c r="AP253" i="7"/>
  <c r="AN253" i="7"/>
  <c r="AJ253" i="7"/>
  <c r="AH253" i="7"/>
  <c r="AD253" i="7"/>
  <c r="AB253" i="7"/>
  <c r="AA253" i="7"/>
  <c r="W253" i="7"/>
  <c r="X253" i="7" s="1"/>
  <c r="T253" i="7"/>
  <c r="S253" i="7"/>
  <c r="R253" i="7"/>
  <c r="P253" i="7"/>
  <c r="K253" i="7"/>
  <c r="AP252" i="7"/>
  <c r="AN252" i="7"/>
  <c r="AJ252" i="7"/>
  <c r="AH252" i="7"/>
  <c r="AD252" i="7"/>
  <c r="AB252" i="7"/>
  <c r="AA252" i="7"/>
  <c r="W252" i="7"/>
  <c r="T252" i="7"/>
  <c r="X252" i="7" s="1"/>
  <c r="S252" i="7"/>
  <c r="R252" i="7"/>
  <c r="P252" i="7"/>
  <c r="K252" i="7"/>
  <c r="AP251" i="7"/>
  <c r="AN251" i="7"/>
  <c r="AJ251" i="7"/>
  <c r="AH251" i="7"/>
  <c r="AD251" i="7"/>
  <c r="AB251" i="7"/>
  <c r="AA251" i="7"/>
  <c r="W251" i="7"/>
  <c r="X251" i="7" s="1"/>
  <c r="T251" i="7"/>
  <c r="S251" i="7"/>
  <c r="R251" i="7"/>
  <c r="P251" i="7"/>
  <c r="K251" i="7"/>
  <c r="AP250" i="7"/>
  <c r="AN250" i="7"/>
  <c r="AJ250" i="7"/>
  <c r="AH250" i="7"/>
  <c r="AD250" i="7"/>
  <c r="AB250" i="7"/>
  <c r="AA250" i="7"/>
  <c r="W250" i="7"/>
  <c r="T250" i="7"/>
  <c r="X250" i="7" s="1"/>
  <c r="S250" i="7"/>
  <c r="R250" i="7"/>
  <c r="P250" i="7"/>
  <c r="K250" i="7"/>
  <c r="AP249" i="7"/>
  <c r="AN249" i="7"/>
  <c r="AJ249" i="7"/>
  <c r="AH249" i="7"/>
  <c r="AD249" i="7"/>
  <c r="AB249" i="7"/>
  <c r="AA249" i="7"/>
  <c r="W249" i="7"/>
  <c r="X249" i="7" s="1"/>
  <c r="T249" i="7"/>
  <c r="S249" i="7"/>
  <c r="R249" i="7"/>
  <c r="P249" i="7"/>
  <c r="K249" i="7"/>
  <c r="AP248" i="7"/>
  <c r="AN248" i="7"/>
  <c r="AJ248" i="7"/>
  <c r="AH248" i="7"/>
  <c r="AD248" i="7"/>
  <c r="AB248" i="7"/>
  <c r="AA248" i="7"/>
  <c r="W248" i="7"/>
  <c r="T248" i="7"/>
  <c r="X248" i="7" s="1"/>
  <c r="S248" i="7"/>
  <c r="R248" i="7"/>
  <c r="P248" i="7"/>
  <c r="K248" i="7"/>
  <c r="AP247" i="7"/>
  <c r="AN247" i="7"/>
  <c r="AJ247" i="7"/>
  <c r="AH247" i="7"/>
  <c r="AD247" i="7"/>
  <c r="AB247" i="7"/>
  <c r="AA247" i="7"/>
  <c r="W247" i="7"/>
  <c r="X247" i="7" s="1"/>
  <c r="T247" i="7"/>
  <c r="S247" i="7"/>
  <c r="R247" i="7"/>
  <c r="P247" i="7"/>
  <c r="K247" i="7"/>
  <c r="AP246" i="7"/>
  <c r="AN246" i="7"/>
  <c r="AJ246" i="7"/>
  <c r="AH246" i="7"/>
  <c r="AD246" i="7"/>
  <c r="AB246" i="7"/>
  <c r="AA246" i="7"/>
  <c r="W246" i="7"/>
  <c r="T246" i="7"/>
  <c r="X246" i="7" s="1"/>
  <c r="S246" i="7"/>
  <c r="R246" i="7"/>
  <c r="P246" i="7"/>
  <c r="K246" i="7"/>
  <c r="AP245" i="7"/>
  <c r="AN245" i="7"/>
  <c r="AJ245" i="7"/>
  <c r="AH245" i="7"/>
  <c r="AD245" i="7"/>
  <c r="AB245" i="7"/>
  <c r="AA245" i="7"/>
  <c r="W245" i="7"/>
  <c r="X245" i="7" s="1"/>
  <c r="T245" i="7"/>
  <c r="S245" i="7"/>
  <c r="R245" i="7"/>
  <c r="P245" i="7"/>
  <c r="K245" i="7"/>
  <c r="AP244" i="7"/>
  <c r="AN244" i="7"/>
  <c r="AJ244" i="7"/>
  <c r="AH244" i="7"/>
  <c r="AD244" i="7"/>
  <c r="AB244" i="7"/>
  <c r="AA244" i="7"/>
  <c r="W244" i="7"/>
  <c r="T244" i="7"/>
  <c r="X244" i="7" s="1"/>
  <c r="S244" i="7"/>
  <c r="R244" i="7"/>
  <c r="P244" i="7"/>
  <c r="K244" i="7"/>
  <c r="AP243" i="7"/>
  <c r="AN243" i="7"/>
  <c r="AJ243" i="7"/>
  <c r="AH243" i="7"/>
  <c r="AD243" i="7"/>
  <c r="AB243" i="7"/>
  <c r="AA243" i="7"/>
  <c r="W243" i="7"/>
  <c r="X243" i="7" s="1"/>
  <c r="T243" i="7"/>
  <c r="S243" i="7"/>
  <c r="R243" i="7"/>
  <c r="P243" i="7"/>
  <c r="K243" i="7"/>
  <c r="AP242" i="7"/>
  <c r="AN242" i="7"/>
  <c r="AJ242" i="7"/>
  <c r="AH242" i="7"/>
  <c r="AD242" i="7"/>
  <c r="AB242" i="7"/>
  <c r="AA242" i="7"/>
  <c r="W242" i="7"/>
  <c r="T242" i="7"/>
  <c r="X242" i="7" s="1"/>
  <c r="S242" i="7"/>
  <c r="R242" i="7"/>
  <c r="P242" i="7"/>
  <c r="K242" i="7"/>
  <c r="AP241" i="7"/>
  <c r="AN241" i="7"/>
  <c r="AJ241" i="7"/>
  <c r="AH241" i="7"/>
  <c r="AD241" i="7"/>
  <c r="AB241" i="7"/>
  <c r="AA241" i="7"/>
  <c r="W241" i="7"/>
  <c r="X241" i="7" s="1"/>
  <c r="T241" i="7"/>
  <c r="S241" i="7"/>
  <c r="R241" i="7"/>
  <c r="P241" i="7"/>
  <c r="K241" i="7"/>
  <c r="AP240" i="7"/>
  <c r="AN240" i="7"/>
  <c r="AJ240" i="7"/>
  <c r="AH240" i="7"/>
  <c r="AD240" i="7"/>
  <c r="AB240" i="7"/>
  <c r="AA240" i="7"/>
  <c r="W240" i="7"/>
  <c r="T240" i="7"/>
  <c r="X240" i="7" s="1"/>
  <c r="S240" i="7"/>
  <c r="R240" i="7"/>
  <c r="P240" i="7"/>
  <c r="K240" i="7"/>
  <c r="AP239" i="7"/>
  <c r="AN239" i="7"/>
  <c r="AJ239" i="7"/>
  <c r="AH239" i="7"/>
  <c r="AD239" i="7"/>
  <c r="AB239" i="7"/>
  <c r="AA239" i="7"/>
  <c r="W239" i="7"/>
  <c r="X239" i="7" s="1"/>
  <c r="T239" i="7"/>
  <c r="S239" i="7"/>
  <c r="R239" i="7"/>
  <c r="P239" i="7"/>
  <c r="K239" i="7"/>
  <c r="AP238" i="7"/>
  <c r="AN238" i="7"/>
  <c r="AJ238" i="7"/>
  <c r="AH238" i="7"/>
  <c r="AD238" i="7"/>
  <c r="AB238" i="7"/>
  <c r="AA238" i="7"/>
  <c r="W238" i="7"/>
  <c r="T238" i="7"/>
  <c r="X238" i="7" s="1"/>
  <c r="S238" i="7"/>
  <c r="R238" i="7"/>
  <c r="P238" i="7"/>
  <c r="K238" i="7"/>
  <c r="AP237" i="7"/>
  <c r="AN237" i="7"/>
  <c r="AJ237" i="7"/>
  <c r="AH237" i="7"/>
  <c r="AD237" i="7"/>
  <c r="AB237" i="7"/>
  <c r="AA237" i="7"/>
  <c r="W237" i="7"/>
  <c r="X237" i="7" s="1"/>
  <c r="T237" i="7"/>
  <c r="S237" i="7"/>
  <c r="R237" i="7"/>
  <c r="P237" i="7"/>
  <c r="K237" i="7"/>
  <c r="AP236" i="7"/>
  <c r="AN236" i="7"/>
  <c r="AJ236" i="7"/>
  <c r="AH236" i="7"/>
  <c r="AD236" i="7"/>
  <c r="AB236" i="7"/>
  <c r="AA236" i="7"/>
  <c r="W236" i="7"/>
  <c r="T236" i="7"/>
  <c r="X236" i="7" s="1"/>
  <c r="S236" i="7"/>
  <c r="R236" i="7"/>
  <c r="P236" i="7"/>
  <c r="K236" i="7"/>
  <c r="AP235" i="7"/>
  <c r="AN235" i="7"/>
  <c r="AJ235" i="7"/>
  <c r="AH235" i="7"/>
  <c r="AD235" i="7"/>
  <c r="AB235" i="7"/>
  <c r="AA235" i="7"/>
  <c r="W235" i="7"/>
  <c r="X235" i="7" s="1"/>
  <c r="T235" i="7"/>
  <c r="S235" i="7"/>
  <c r="R235" i="7"/>
  <c r="P235" i="7"/>
  <c r="K235" i="7"/>
  <c r="AP234" i="7"/>
  <c r="AN234" i="7"/>
  <c r="AJ234" i="7"/>
  <c r="AH234" i="7"/>
  <c r="AD234" i="7"/>
  <c r="AB234" i="7"/>
  <c r="AA234" i="7"/>
  <c r="W234" i="7"/>
  <c r="T234" i="7"/>
  <c r="X234" i="7" s="1"/>
  <c r="S234" i="7"/>
  <c r="R234" i="7"/>
  <c r="P234" i="7"/>
  <c r="K234" i="7"/>
  <c r="AP233" i="7"/>
  <c r="AN233" i="7"/>
  <c r="AJ233" i="7"/>
  <c r="AH233" i="7"/>
  <c r="AD233" i="7"/>
  <c r="AB233" i="7"/>
  <c r="AA233" i="7"/>
  <c r="W233" i="7"/>
  <c r="X233" i="7" s="1"/>
  <c r="T233" i="7"/>
  <c r="S233" i="7"/>
  <c r="R233" i="7"/>
  <c r="P233" i="7"/>
  <c r="K233" i="7"/>
  <c r="AP232" i="7"/>
  <c r="AN232" i="7"/>
  <c r="AJ232" i="7"/>
  <c r="AH232" i="7"/>
  <c r="AD232" i="7"/>
  <c r="AB232" i="7"/>
  <c r="AA232" i="7"/>
  <c r="W232" i="7"/>
  <c r="T232" i="7"/>
  <c r="X232" i="7" s="1"/>
  <c r="S232" i="7"/>
  <c r="R232" i="7"/>
  <c r="P232" i="7"/>
  <c r="K232" i="7"/>
  <c r="AP231" i="7"/>
  <c r="AN231" i="7"/>
  <c r="AJ231" i="7"/>
  <c r="AH231" i="7"/>
  <c r="AD231" i="7"/>
  <c r="AB231" i="7"/>
  <c r="AA231" i="7"/>
  <c r="W231" i="7"/>
  <c r="X231" i="7" s="1"/>
  <c r="T231" i="7"/>
  <c r="S231" i="7"/>
  <c r="R231" i="7"/>
  <c r="P231" i="7"/>
  <c r="K231" i="7"/>
  <c r="AP230" i="7"/>
  <c r="AN230" i="7"/>
  <c r="AJ230" i="7"/>
  <c r="AH230" i="7"/>
  <c r="AD230" i="7"/>
  <c r="AB230" i="7"/>
  <c r="AA230" i="7"/>
  <c r="W230" i="7"/>
  <c r="T230" i="7"/>
  <c r="X230" i="7" s="1"/>
  <c r="S230" i="7"/>
  <c r="R230" i="7"/>
  <c r="P230" i="7"/>
  <c r="K230" i="7"/>
  <c r="AP229" i="7"/>
  <c r="AN229" i="7"/>
  <c r="AJ229" i="7"/>
  <c r="AH229" i="7"/>
  <c r="AD229" i="7"/>
  <c r="AB229" i="7"/>
  <c r="AA229" i="7"/>
  <c r="W229" i="7"/>
  <c r="X229" i="7" s="1"/>
  <c r="T229" i="7"/>
  <c r="S229" i="7"/>
  <c r="R229" i="7"/>
  <c r="P229" i="7"/>
  <c r="K229" i="7"/>
  <c r="AP228" i="7"/>
  <c r="AN228" i="7"/>
  <c r="AJ228" i="7"/>
  <c r="AH228" i="7"/>
  <c r="AD228" i="7"/>
  <c r="AB228" i="7"/>
  <c r="AA228" i="7"/>
  <c r="W228" i="7"/>
  <c r="T228" i="7"/>
  <c r="X228" i="7" s="1"/>
  <c r="S228" i="7"/>
  <c r="R228" i="7"/>
  <c r="P228" i="7"/>
  <c r="K228" i="7"/>
  <c r="AP227" i="7"/>
  <c r="AN227" i="7"/>
  <c r="AJ227" i="7"/>
  <c r="AH227" i="7"/>
  <c r="AD227" i="7"/>
  <c r="AB227" i="7"/>
  <c r="AA227" i="7"/>
  <c r="W227" i="7"/>
  <c r="X227" i="7" s="1"/>
  <c r="T227" i="7"/>
  <c r="S227" i="7"/>
  <c r="R227" i="7"/>
  <c r="P227" i="7"/>
  <c r="K227" i="7"/>
  <c r="AP226" i="7"/>
  <c r="AN226" i="7"/>
  <c r="AJ226" i="7"/>
  <c r="AH226" i="7"/>
  <c r="AD226" i="7"/>
  <c r="AB226" i="7"/>
  <c r="AA226" i="7"/>
  <c r="W226" i="7"/>
  <c r="T226" i="7"/>
  <c r="X226" i="7" s="1"/>
  <c r="S226" i="7"/>
  <c r="R226" i="7"/>
  <c r="P226" i="7"/>
  <c r="K226" i="7"/>
  <c r="AP225" i="7"/>
  <c r="AN225" i="7"/>
  <c r="AJ225" i="7"/>
  <c r="AH225" i="7"/>
  <c r="AD225" i="7"/>
  <c r="AB225" i="7"/>
  <c r="AA225" i="7"/>
  <c r="W225" i="7"/>
  <c r="X225" i="7" s="1"/>
  <c r="T225" i="7"/>
  <c r="S225" i="7"/>
  <c r="R225" i="7"/>
  <c r="P225" i="7"/>
  <c r="K225" i="7"/>
  <c r="AP224" i="7"/>
  <c r="AN224" i="7"/>
  <c r="AJ224" i="7"/>
  <c r="AH224" i="7"/>
  <c r="AD224" i="7"/>
  <c r="AB224" i="7"/>
  <c r="AA224" i="7"/>
  <c r="W224" i="7"/>
  <c r="T224" i="7"/>
  <c r="X224" i="7" s="1"/>
  <c r="S224" i="7"/>
  <c r="R224" i="7"/>
  <c r="P224" i="7"/>
  <c r="K224" i="7"/>
  <c r="AP223" i="7"/>
  <c r="AN223" i="7"/>
  <c r="AJ223" i="7"/>
  <c r="AH223" i="7"/>
  <c r="AD223" i="7"/>
  <c r="AB223" i="7"/>
  <c r="AA223" i="7"/>
  <c r="W223" i="7"/>
  <c r="X223" i="7" s="1"/>
  <c r="T223" i="7"/>
  <c r="S223" i="7"/>
  <c r="R223" i="7"/>
  <c r="P223" i="7"/>
  <c r="K223" i="7"/>
  <c r="AP222" i="7"/>
  <c r="AN222" i="7"/>
  <c r="AJ222" i="7"/>
  <c r="AH222" i="7"/>
  <c r="AD222" i="7"/>
  <c r="AB222" i="7"/>
  <c r="AA222" i="7"/>
  <c r="W222" i="7"/>
  <c r="T222" i="7"/>
  <c r="X222" i="7" s="1"/>
  <c r="S222" i="7"/>
  <c r="R222" i="7"/>
  <c r="P222" i="7"/>
  <c r="K222" i="7"/>
  <c r="AP221" i="7"/>
  <c r="AN221" i="7"/>
  <c r="AJ221" i="7"/>
  <c r="AH221" i="7"/>
  <c r="AD221" i="7"/>
  <c r="AB221" i="7"/>
  <c r="AA221" i="7"/>
  <c r="W221" i="7"/>
  <c r="X221" i="7" s="1"/>
  <c r="T221" i="7"/>
  <c r="S221" i="7"/>
  <c r="R221" i="7"/>
  <c r="P221" i="7"/>
  <c r="K221" i="7"/>
  <c r="AP220" i="7"/>
  <c r="AN220" i="7"/>
  <c r="AJ220" i="7"/>
  <c r="AH220" i="7"/>
  <c r="AD220" i="7"/>
  <c r="AB220" i="7"/>
  <c r="AA220" i="7"/>
  <c r="W220" i="7"/>
  <c r="T220" i="7"/>
  <c r="X220" i="7" s="1"/>
  <c r="S220" i="7"/>
  <c r="R220" i="7"/>
  <c r="P220" i="7"/>
  <c r="K220" i="7"/>
  <c r="AP219" i="7"/>
  <c r="AN219" i="7"/>
  <c r="AJ219" i="7"/>
  <c r="AH219" i="7"/>
  <c r="AD219" i="7"/>
  <c r="AB219" i="7"/>
  <c r="AA219" i="7"/>
  <c r="W219" i="7"/>
  <c r="X219" i="7" s="1"/>
  <c r="T219" i="7"/>
  <c r="S219" i="7"/>
  <c r="R219" i="7"/>
  <c r="P219" i="7"/>
  <c r="K219" i="7"/>
  <c r="AP218" i="7"/>
  <c r="AN218" i="7"/>
  <c r="AJ218" i="7"/>
  <c r="AH218" i="7"/>
  <c r="AD218" i="7"/>
  <c r="AB218" i="7"/>
  <c r="AA218" i="7"/>
  <c r="W218" i="7"/>
  <c r="T218" i="7"/>
  <c r="X218" i="7" s="1"/>
  <c r="S218" i="7"/>
  <c r="R218" i="7"/>
  <c r="P218" i="7"/>
  <c r="K218" i="7"/>
  <c r="AP217" i="7"/>
  <c r="AN217" i="7"/>
  <c r="AJ217" i="7"/>
  <c r="AH217" i="7"/>
  <c r="AD217" i="7"/>
  <c r="AB217" i="7"/>
  <c r="AA217" i="7"/>
  <c r="W217" i="7"/>
  <c r="X217" i="7" s="1"/>
  <c r="T217" i="7"/>
  <c r="S217" i="7"/>
  <c r="R217" i="7"/>
  <c r="P217" i="7"/>
  <c r="K217" i="7"/>
  <c r="AP216" i="7"/>
  <c r="AN216" i="7"/>
  <c r="AJ216" i="7"/>
  <c r="AH216" i="7"/>
  <c r="AD216" i="7"/>
  <c r="AB216" i="7"/>
  <c r="AA216" i="7"/>
  <c r="W216" i="7"/>
  <c r="T216" i="7"/>
  <c r="X216" i="7" s="1"/>
  <c r="S216" i="7"/>
  <c r="R216" i="7"/>
  <c r="P216" i="7"/>
  <c r="K216" i="7"/>
  <c r="AP215" i="7"/>
  <c r="AN215" i="7"/>
  <c r="AJ215" i="7"/>
  <c r="AH215" i="7"/>
  <c r="AD215" i="7"/>
  <c r="AB215" i="7"/>
  <c r="AA215" i="7"/>
  <c r="W215" i="7"/>
  <c r="X215" i="7" s="1"/>
  <c r="T215" i="7"/>
  <c r="S215" i="7"/>
  <c r="R215" i="7"/>
  <c r="P215" i="7"/>
  <c r="K215" i="7"/>
  <c r="AP214" i="7"/>
  <c r="AN214" i="7"/>
  <c r="AJ214" i="7"/>
  <c r="AH214" i="7"/>
  <c r="AD214" i="7"/>
  <c r="AB214" i="7"/>
  <c r="AA214" i="7"/>
  <c r="W214" i="7"/>
  <c r="T214" i="7"/>
  <c r="X214" i="7" s="1"/>
  <c r="S214" i="7"/>
  <c r="R214" i="7"/>
  <c r="P214" i="7"/>
  <c r="K214" i="7"/>
  <c r="AP213" i="7"/>
  <c r="AN213" i="7"/>
  <c r="AJ213" i="7"/>
  <c r="AH213" i="7"/>
  <c r="AD213" i="7"/>
  <c r="AB213" i="7"/>
  <c r="AA213" i="7"/>
  <c r="X213" i="7"/>
  <c r="W213" i="7"/>
  <c r="T213" i="7"/>
  <c r="S213" i="7"/>
  <c r="R213" i="7"/>
  <c r="P213" i="7"/>
  <c r="K213" i="7"/>
  <c r="AP212" i="7"/>
  <c r="AN212" i="7"/>
  <c r="AJ212" i="7"/>
  <c r="AH212" i="7"/>
  <c r="AD212" i="7"/>
  <c r="AB212" i="7"/>
  <c r="AA212" i="7"/>
  <c r="W212" i="7"/>
  <c r="T212" i="7"/>
  <c r="S212" i="7"/>
  <c r="R212" i="7"/>
  <c r="P212" i="7"/>
  <c r="K212" i="7"/>
  <c r="AP211" i="7"/>
  <c r="AN211" i="7"/>
  <c r="AJ211" i="7"/>
  <c r="AH211" i="7"/>
  <c r="AD211" i="7"/>
  <c r="AB211" i="7"/>
  <c r="AA211" i="7"/>
  <c r="W211" i="7"/>
  <c r="X211" i="7" s="1"/>
  <c r="T211" i="7"/>
  <c r="S211" i="7"/>
  <c r="R211" i="7"/>
  <c r="P211" i="7"/>
  <c r="K211" i="7"/>
  <c r="AP210" i="7"/>
  <c r="AN210" i="7"/>
  <c r="AJ210" i="7"/>
  <c r="AH210" i="7"/>
  <c r="AD210" i="7"/>
  <c r="AB210" i="7"/>
  <c r="AA210" i="7"/>
  <c r="W210" i="7"/>
  <c r="T210" i="7"/>
  <c r="X210" i="7" s="1"/>
  <c r="S210" i="7"/>
  <c r="R210" i="7"/>
  <c r="P210" i="7"/>
  <c r="K210" i="7"/>
  <c r="AP209" i="7"/>
  <c r="AN209" i="7"/>
  <c r="AJ209" i="7"/>
  <c r="AH209" i="7"/>
  <c r="AD209" i="7"/>
  <c r="AB209" i="7"/>
  <c r="AA209" i="7"/>
  <c r="X209" i="7"/>
  <c r="W209" i="7"/>
  <c r="T209" i="7"/>
  <c r="S209" i="7"/>
  <c r="R209" i="7"/>
  <c r="P209" i="7"/>
  <c r="K209" i="7"/>
  <c r="AP208" i="7"/>
  <c r="AN208" i="7"/>
  <c r="AJ208" i="7"/>
  <c r="AH208" i="7"/>
  <c r="AD208" i="7"/>
  <c r="AB208" i="7"/>
  <c r="AA208" i="7"/>
  <c r="W208" i="7"/>
  <c r="T208" i="7"/>
  <c r="S208" i="7"/>
  <c r="R208" i="7"/>
  <c r="P208" i="7"/>
  <c r="K208" i="7"/>
  <c r="AP207" i="7"/>
  <c r="AN207" i="7"/>
  <c r="AJ207" i="7"/>
  <c r="AH207" i="7"/>
  <c r="AD207" i="7"/>
  <c r="AB207" i="7"/>
  <c r="AA207" i="7"/>
  <c r="W207" i="7"/>
  <c r="X207" i="7" s="1"/>
  <c r="T207" i="7"/>
  <c r="S207" i="7"/>
  <c r="R207" i="7"/>
  <c r="P207" i="7"/>
  <c r="K207" i="7"/>
  <c r="AP206" i="7"/>
  <c r="AN206" i="7"/>
  <c r="AJ206" i="7"/>
  <c r="AH206" i="7"/>
  <c r="AD206" i="7"/>
  <c r="AB206" i="7"/>
  <c r="AA206" i="7"/>
  <c r="W206" i="7"/>
  <c r="T206" i="7"/>
  <c r="X206" i="7" s="1"/>
  <c r="S206" i="7"/>
  <c r="R206" i="7"/>
  <c r="P206" i="7"/>
  <c r="K206" i="7"/>
  <c r="AP205" i="7"/>
  <c r="AN205" i="7"/>
  <c r="AJ205" i="7"/>
  <c r="AH205" i="7"/>
  <c r="AD205" i="7"/>
  <c r="AB205" i="7"/>
  <c r="AA205" i="7"/>
  <c r="X205" i="7"/>
  <c r="W205" i="7"/>
  <c r="T205" i="7"/>
  <c r="S205" i="7"/>
  <c r="R205" i="7"/>
  <c r="P205" i="7"/>
  <c r="K205" i="7"/>
  <c r="AP204" i="7"/>
  <c r="AN204" i="7"/>
  <c r="AJ204" i="7"/>
  <c r="AH204" i="7"/>
  <c r="AD204" i="7"/>
  <c r="AB204" i="7"/>
  <c r="AA204" i="7"/>
  <c r="W204" i="7"/>
  <c r="T204" i="7"/>
  <c r="S204" i="7"/>
  <c r="R204" i="7"/>
  <c r="P204" i="7"/>
  <c r="K204" i="7"/>
  <c r="AP203" i="7"/>
  <c r="AN203" i="7"/>
  <c r="AJ203" i="7"/>
  <c r="AH203" i="7"/>
  <c r="AD203" i="7"/>
  <c r="AB203" i="7"/>
  <c r="AA203" i="7"/>
  <c r="W203" i="7"/>
  <c r="X203" i="7" s="1"/>
  <c r="T203" i="7"/>
  <c r="S203" i="7"/>
  <c r="R203" i="7"/>
  <c r="P203" i="7"/>
  <c r="K203" i="7"/>
  <c r="AP202" i="7"/>
  <c r="AN202" i="7"/>
  <c r="AJ202" i="7"/>
  <c r="AH202" i="7"/>
  <c r="AD202" i="7"/>
  <c r="AB202" i="7"/>
  <c r="AA202" i="7"/>
  <c r="W202" i="7"/>
  <c r="T202" i="7"/>
  <c r="X202" i="7" s="1"/>
  <c r="S202" i="7"/>
  <c r="R202" i="7"/>
  <c r="P202" i="7"/>
  <c r="K202" i="7"/>
  <c r="AP201" i="7"/>
  <c r="AN201" i="7"/>
  <c r="AJ201" i="7"/>
  <c r="AH201" i="7"/>
  <c r="AD201" i="7"/>
  <c r="AB201" i="7"/>
  <c r="AA201" i="7"/>
  <c r="X201" i="7"/>
  <c r="W201" i="7"/>
  <c r="T201" i="7"/>
  <c r="S201" i="7"/>
  <c r="R201" i="7"/>
  <c r="P201" i="7"/>
  <c r="K201" i="7"/>
  <c r="AP200" i="7"/>
  <c r="AN200" i="7"/>
  <c r="AJ200" i="7"/>
  <c r="AH200" i="7"/>
  <c r="AD200" i="7"/>
  <c r="AB200" i="7"/>
  <c r="AA200" i="7"/>
  <c r="W200" i="7"/>
  <c r="T200" i="7"/>
  <c r="S200" i="7"/>
  <c r="R200" i="7"/>
  <c r="P200" i="7"/>
  <c r="K200" i="7"/>
  <c r="AP199" i="7"/>
  <c r="AN199" i="7"/>
  <c r="AJ199" i="7"/>
  <c r="AH199" i="7"/>
  <c r="AD199" i="7"/>
  <c r="AB199" i="7"/>
  <c r="AA199" i="7"/>
  <c r="W199" i="7"/>
  <c r="X199" i="7" s="1"/>
  <c r="T199" i="7"/>
  <c r="S199" i="7"/>
  <c r="R199" i="7"/>
  <c r="P199" i="7"/>
  <c r="K199" i="7"/>
  <c r="AP198" i="7"/>
  <c r="AN198" i="7"/>
  <c r="AJ198" i="7"/>
  <c r="AH198" i="7"/>
  <c r="AD198" i="7"/>
  <c r="AB198" i="7"/>
  <c r="AA198" i="7"/>
  <c r="W198" i="7"/>
  <c r="T198" i="7"/>
  <c r="X198" i="7" s="1"/>
  <c r="S198" i="7"/>
  <c r="R198" i="7"/>
  <c r="P198" i="7"/>
  <c r="K198" i="7"/>
  <c r="AP197" i="7"/>
  <c r="AN197" i="7"/>
  <c r="AJ197" i="7"/>
  <c r="AH197" i="7"/>
  <c r="AD197" i="7"/>
  <c r="AB197" i="7"/>
  <c r="AA197" i="7"/>
  <c r="W197" i="7"/>
  <c r="T197" i="7"/>
  <c r="X197" i="7" s="1"/>
  <c r="S197" i="7"/>
  <c r="R197" i="7"/>
  <c r="P197" i="7"/>
  <c r="K197" i="7"/>
  <c r="AP196" i="7"/>
  <c r="AN196" i="7"/>
  <c r="AJ196" i="7"/>
  <c r="AH196" i="7"/>
  <c r="AD196" i="7"/>
  <c r="AB196" i="7"/>
  <c r="AA196" i="7"/>
  <c r="X196" i="7"/>
  <c r="W196" i="7"/>
  <c r="T196" i="7"/>
  <c r="S196" i="7"/>
  <c r="R196" i="7"/>
  <c r="P196" i="7"/>
  <c r="K196" i="7"/>
  <c r="AP195" i="7"/>
  <c r="AN195" i="7"/>
  <c r="AJ195" i="7"/>
  <c r="AH195" i="7"/>
  <c r="AD195" i="7"/>
  <c r="AB195" i="7"/>
  <c r="AA195" i="7"/>
  <c r="W195" i="7"/>
  <c r="T195" i="7"/>
  <c r="X195" i="7" s="1"/>
  <c r="S195" i="7"/>
  <c r="R195" i="7"/>
  <c r="P195" i="7"/>
  <c r="K195" i="7"/>
  <c r="AP194" i="7"/>
  <c r="AN194" i="7"/>
  <c r="AJ194" i="7"/>
  <c r="AH194" i="7"/>
  <c r="AD194" i="7"/>
  <c r="AB194" i="7"/>
  <c r="AA194" i="7"/>
  <c r="X194" i="7"/>
  <c r="W194" i="7"/>
  <c r="T194" i="7"/>
  <c r="S194" i="7"/>
  <c r="R194" i="7"/>
  <c r="P194" i="7"/>
  <c r="K194" i="7"/>
  <c r="AP193" i="7"/>
  <c r="AN193" i="7"/>
  <c r="AJ193" i="7"/>
  <c r="AH193" i="7"/>
  <c r="AD193" i="7"/>
  <c r="AB193" i="7"/>
  <c r="AA193" i="7"/>
  <c r="W193" i="7"/>
  <c r="T193" i="7"/>
  <c r="X193" i="7" s="1"/>
  <c r="S193" i="7"/>
  <c r="R193" i="7"/>
  <c r="P193" i="7"/>
  <c r="K193" i="7"/>
  <c r="AP192" i="7"/>
  <c r="AN192" i="7"/>
  <c r="AJ192" i="7"/>
  <c r="AH192" i="7"/>
  <c r="AD192" i="7"/>
  <c r="AB192" i="7"/>
  <c r="AA192" i="7"/>
  <c r="X192" i="7"/>
  <c r="W192" i="7"/>
  <c r="T192" i="7"/>
  <c r="S192" i="7"/>
  <c r="R192" i="7"/>
  <c r="P192" i="7"/>
  <c r="K192" i="7"/>
  <c r="AP191" i="7"/>
  <c r="AN191" i="7"/>
  <c r="AJ191" i="7"/>
  <c r="AH191" i="7"/>
  <c r="AD191" i="7"/>
  <c r="AB191" i="7"/>
  <c r="AA191" i="7"/>
  <c r="W191" i="7"/>
  <c r="T191" i="7"/>
  <c r="X191" i="7" s="1"/>
  <c r="S191" i="7"/>
  <c r="R191" i="7"/>
  <c r="P191" i="7"/>
  <c r="K191" i="7"/>
  <c r="AP190" i="7"/>
  <c r="AN190" i="7"/>
  <c r="AJ190" i="7"/>
  <c r="AH190" i="7"/>
  <c r="AD190" i="7"/>
  <c r="AB190" i="7"/>
  <c r="AA190" i="7"/>
  <c r="X190" i="7"/>
  <c r="W190" i="7"/>
  <c r="T190" i="7"/>
  <c r="S190" i="7"/>
  <c r="R190" i="7"/>
  <c r="P190" i="7"/>
  <c r="K190" i="7"/>
  <c r="AP189" i="7"/>
  <c r="AN189" i="7"/>
  <c r="AJ189" i="7"/>
  <c r="AH189" i="7"/>
  <c r="AD189" i="7"/>
  <c r="AB189" i="7"/>
  <c r="AA189" i="7"/>
  <c r="W189" i="7"/>
  <c r="T189" i="7"/>
  <c r="X189" i="7" s="1"/>
  <c r="S189" i="7"/>
  <c r="R189" i="7"/>
  <c r="P189" i="7"/>
  <c r="K189" i="7"/>
  <c r="AP188" i="7"/>
  <c r="AN188" i="7"/>
  <c r="AJ188" i="7"/>
  <c r="AH188" i="7"/>
  <c r="AD188" i="7"/>
  <c r="AB188" i="7"/>
  <c r="AA188" i="7"/>
  <c r="X188" i="7"/>
  <c r="W188" i="7"/>
  <c r="T188" i="7"/>
  <c r="S188" i="7"/>
  <c r="R188" i="7"/>
  <c r="P188" i="7"/>
  <c r="K188" i="7"/>
  <c r="AP187" i="7"/>
  <c r="AN187" i="7"/>
  <c r="AJ187" i="7"/>
  <c r="AH187" i="7"/>
  <c r="AD187" i="7"/>
  <c r="AB187" i="7"/>
  <c r="AA187" i="7"/>
  <c r="W187" i="7"/>
  <c r="T187" i="7"/>
  <c r="X187" i="7" s="1"/>
  <c r="S187" i="7"/>
  <c r="R187" i="7"/>
  <c r="P187" i="7"/>
  <c r="K187" i="7"/>
  <c r="AP186" i="7"/>
  <c r="AN186" i="7"/>
  <c r="AJ186" i="7"/>
  <c r="AH186" i="7"/>
  <c r="AD186" i="7"/>
  <c r="AB186" i="7"/>
  <c r="AA186" i="7"/>
  <c r="X186" i="7"/>
  <c r="W186" i="7"/>
  <c r="T186" i="7"/>
  <c r="S186" i="7"/>
  <c r="R186" i="7"/>
  <c r="P186" i="7"/>
  <c r="K186" i="7"/>
  <c r="AP185" i="7"/>
  <c r="AN185" i="7"/>
  <c r="AJ185" i="7"/>
  <c r="AH185" i="7"/>
  <c r="AD185" i="7"/>
  <c r="AB185" i="7"/>
  <c r="AA185" i="7"/>
  <c r="W185" i="7"/>
  <c r="T185" i="7"/>
  <c r="X185" i="7" s="1"/>
  <c r="S185" i="7"/>
  <c r="R185" i="7"/>
  <c r="P185" i="7"/>
  <c r="K185" i="7"/>
  <c r="AP184" i="7"/>
  <c r="AN184" i="7"/>
  <c r="AJ184" i="7"/>
  <c r="AH184" i="7"/>
  <c r="AD184" i="7"/>
  <c r="AB184" i="7"/>
  <c r="AA184" i="7"/>
  <c r="X184" i="7"/>
  <c r="W184" i="7"/>
  <c r="T184" i="7"/>
  <c r="S184" i="7"/>
  <c r="R184" i="7"/>
  <c r="P184" i="7"/>
  <c r="K184" i="7"/>
  <c r="AP183" i="7"/>
  <c r="AN183" i="7"/>
  <c r="AJ183" i="7"/>
  <c r="AH183" i="7"/>
  <c r="AD183" i="7"/>
  <c r="AB183" i="7"/>
  <c r="AA183" i="7"/>
  <c r="W183" i="7"/>
  <c r="T183" i="7"/>
  <c r="X183" i="7" s="1"/>
  <c r="S183" i="7"/>
  <c r="R183" i="7"/>
  <c r="P183" i="7"/>
  <c r="K183" i="7"/>
  <c r="AP182" i="7"/>
  <c r="AN182" i="7"/>
  <c r="AJ182" i="7"/>
  <c r="AH182" i="7"/>
  <c r="AD182" i="7"/>
  <c r="AB182" i="7"/>
  <c r="AA182" i="7"/>
  <c r="X182" i="7"/>
  <c r="W182" i="7"/>
  <c r="T182" i="7"/>
  <c r="S182" i="7"/>
  <c r="R182" i="7"/>
  <c r="P182" i="7"/>
  <c r="K182" i="7"/>
  <c r="AP181" i="7"/>
  <c r="AN181" i="7"/>
  <c r="AJ181" i="7"/>
  <c r="AH181" i="7"/>
  <c r="AD181" i="7"/>
  <c r="AB181" i="7"/>
  <c r="AA181" i="7"/>
  <c r="W181" i="7"/>
  <c r="T181" i="7"/>
  <c r="X181" i="7" s="1"/>
  <c r="S181" i="7"/>
  <c r="R181" i="7"/>
  <c r="P181" i="7"/>
  <c r="K181" i="7"/>
  <c r="AP180" i="7"/>
  <c r="AN180" i="7"/>
  <c r="AJ180" i="7"/>
  <c r="AH180" i="7"/>
  <c r="AD180" i="7"/>
  <c r="AB180" i="7"/>
  <c r="AA180" i="7"/>
  <c r="X180" i="7"/>
  <c r="W180" i="7"/>
  <c r="T180" i="7"/>
  <c r="S180" i="7"/>
  <c r="R180" i="7"/>
  <c r="P180" i="7"/>
  <c r="K180" i="7"/>
  <c r="AP179" i="7"/>
  <c r="AN179" i="7"/>
  <c r="AJ179" i="7"/>
  <c r="AH179" i="7"/>
  <c r="AD179" i="7"/>
  <c r="AB179" i="7"/>
  <c r="AA179" i="7"/>
  <c r="W179" i="7"/>
  <c r="T179" i="7"/>
  <c r="X179" i="7" s="1"/>
  <c r="S179" i="7"/>
  <c r="R179" i="7"/>
  <c r="P179" i="7"/>
  <c r="K179" i="7"/>
  <c r="AP178" i="7"/>
  <c r="AN178" i="7"/>
  <c r="AJ178" i="7"/>
  <c r="AH178" i="7"/>
  <c r="AD178" i="7"/>
  <c r="AB178" i="7"/>
  <c r="AA178" i="7"/>
  <c r="X178" i="7"/>
  <c r="W178" i="7"/>
  <c r="T178" i="7"/>
  <c r="S178" i="7"/>
  <c r="R178" i="7"/>
  <c r="P178" i="7"/>
  <c r="K178" i="7"/>
  <c r="AP177" i="7"/>
  <c r="AN177" i="7"/>
  <c r="AJ177" i="7"/>
  <c r="AH177" i="7"/>
  <c r="AD177" i="7"/>
  <c r="AB177" i="7"/>
  <c r="AA177" i="7"/>
  <c r="W177" i="7"/>
  <c r="T177" i="7"/>
  <c r="X177" i="7" s="1"/>
  <c r="S177" i="7"/>
  <c r="R177" i="7"/>
  <c r="P177" i="7"/>
  <c r="K177" i="7"/>
  <c r="AP176" i="7"/>
  <c r="AN176" i="7"/>
  <c r="AJ176" i="7"/>
  <c r="AH176" i="7"/>
  <c r="AD176" i="7"/>
  <c r="AB176" i="7"/>
  <c r="AA176" i="7"/>
  <c r="X176" i="7"/>
  <c r="W176" i="7"/>
  <c r="T176" i="7"/>
  <c r="S176" i="7"/>
  <c r="R176" i="7"/>
  <c r="P176" i="7"/>
  <c r="K176" i="7"/>
  <c r="AP175" i="7"/>
  <c r="AN175" i="7"/>
  <c r="AJ175" i="7"/>
  <c r="AH175" i="7"/>
  <c r="AD175" i="7"/>
  <c r="AB175" i="7"/>
  <c r="AA175" i="7"/>
  <c r="W175" i="7"/>
  <c r="T175" i="7"/>
  <c r="X175" i="7" s="1"/>
  <c r="S175" i="7"/>
  <c r="R175" i="7"/>
  <c r="P175" i="7"/>
  <c r="K175" i="7"/>
  <c r="AP174" i="7"/>
  <c r="AN174" i="7"/>
  <c r="AJ174" i="7"/>
  <c r="AH174" i="7"/>
  <c r="AD174" i="7"/>
  <c r="AB174" i="7"/>
  <c r="AA174" i="7"/>
  <c r="X174" i="7"/>
  <c r="W174" i="7"/>
  <c r="T174" i="7"/>
  <c r="S174" i="7"/>
  <c r="R174" i="7"/>
  <c r="P174" i="7"/>
  <c r="K174" i="7"/>
  <c r="AP173" i="7"/>
  <c r="AN173" i="7"/>
  <c r="AJ173" i="7"/>
  <c r="AH173" i="7"/>
  <c r="AD173" i="7"/>
  <c r="AB173" i="7"/>
  <c r="AA173" i="7"/>
  <c r="W173" i="7"/>
  <c r="T173" i="7"/>
  <c r="X173" i="7" s="1"/>
  <c r="S173" i="7"/>
  <c r="R173" i="7"/>
  <c r="P173" i="7"/>
  <c r="K173" i="7"/>
  <c r="AP172" i="7"/>
  <c r="AN172" i="7"/>
  <c r="AJ172" i="7"/>
  <c r="AH172" i="7"/>
  <c r="AD172" i="7"/>
  <c r="AB172" i="7"/>
  <c r="AA172" i="7"/>
  <c r="X172" i="7"/>
  <c r="W172" i="7"/>
  <c r="T172" i="7"/>
  <c r="S172" i="7"/>
  <c r="R172" i="7"/>
  <c r="P172" i="7"/>
  <c r="K172" i="7"/>
  <c r="AP171" i="7"/>
  <c r="AN171" i="7"/>
  <c r="AJ171" i="7"/>
  <c r="AH171" i="7"/>
  <c r="AD171" i="7"/>
  <c r="AB171" i="7"/>
  <c r="AA171" i="7"/>
  <c r="W171" i="7"/>
  <c r="T171" i="7"/>
  <c r="X171" i="7" s="1"/>
  <c r="S171" i="7"/>
  <c r="R171" i="7"/>
  <c r="P171" i="7"/>
  <c r="K171" i="7"/>
  <c r="AP170" i="7"/>
  <c r="AN170" i="7"/>
  <c r="AJ170" i="7"/>
  <c r="AH170" i="7"/>
  <c r="AD170" i="7"/>
  <c r="AB170" i="7"/>
  <c r="AA170" i="7"/>
  <c r="X170" i="7"/>
  <c r="W170" i="7"/>
  <c r="T170" i="7"/>
  <c r="S170" i="7"/>
  <c r="R170" i="7"/>
  <c r="P170" i="7"/>
  <c r="K170" i="7"/>
  <c r="AP169" i="7"/>
  <c r="AN169" i="7"/>
  <c r="AJ169" i="7"/>
  <c r="AH169" i="7"/>
  <c r="AD169" i="7"/>
  <c r="AB169" i="7"/>
  <c r="AA169" i="7"/>
  <c r="W169" i="7"/>
  <c r="T169" i="7"/>
  <c r="X169" i="7" s="1"/>
  <c r="S169" i="7"/>
  <c r="R169" i="7"/>
  <c r="P169" i="7"/>
  <c r="K169" i="7"/>
  <c r="AP168" i="7"/>
  <c r="AN168" i="7"/>
  <c r="AJ168" i="7"/>
  <c r="AH168" i="7"/>
  <c r="AD168" i="7"/>
  <c r="AB168" i="7"/>
  <c r="AA168" i="7"/>
  <c r="X168" i="7"/>
  <c r="W168" i="7"/>
  <c r="T168" i="7"/>
  <c r="S168" i="7"/>
  <c r="R168" i="7"/>
  <c r="P168" i="7"/>
  <c r="K168" i="7"/>
  <c r="AP167" i="7"/>
  <c r="AN167" i="7"/>
  <c r="AJ167" i="7"/>
  <c r="AH167" i="7"/>
  <c r="AD167" i="7"/>
  <c r="AB167" i="7"/>
  <c r="AA167" i="7"/>
  <c r="W167" i="7"/>
  <c r="T167" i="7"/>
  <c r="X167" i="7" s="1"/>
  <c r="S167" i="7"/>
  <c r="R167" i="7"/>
  <c r="P167" i="7"/>
  <c r="K167" i="7"/>
  <c r="AP166" i="7"/>
  <c r="AN166" i="7"/>
  <c r="AJ166" i="7"/>
  <c r="AH166" i="7"/>
  <c r="AD166" i="7"/>
  <c r="AB166" i="7"/>
  <c r="AA166" i="7"/>
  <c r="X166" i="7"/>
  <c r="W166" i="7"/>
  <c r="T166" i="7"/>
  <c r="S166" i="7"/>
  <c r="R166" i="7"/>
  <c r="P166" i="7"/>
  <c r="K166" i="7"/>
  <c r="AP165" i="7"/>
  <c r="AN165" i="7"/>
  <c r="AJ165" i="7"/>
  <c r="AH165" i="7"/>
  <c r="AD165" i="7"/>
  <c r="AB165" i="7"/>
  <c r="AA165" i="7"/>
  <c r="W165" i="7"/>
  <c r="T165" i="7"/>
  <c r="X165" i="7" s="1"/>
  <c r="S165" i="7"/>
  <c r="R165" i="7"/>
  <c r="P165" i="7"/>
  <c r="K165" i="7"/>
  <c r="AP164" i="7"/>
  <c r="AN164" i="7"/>
  <c r="AJ164" i="7"/>
  <c r="AH164" i="7"/>
  <c r="AD164" i="7"/>
  <c r="AB164" i="7"/>
  <c r="AA164" i="7"/>
  <c r="X164" i="7"/>
  <c r="W164" i="7"/>
  <c r="T164" i="7"/>
  <c r="S164" i="7"/>
  <c r="R164" i="7"/>
  <c r="P164" i="7"/>
  <c r="K164" i="7"/>
  <c r="AP163" i="7"/>
  <c r="AN163" i="7"/>
  <c r="AJ163" i="7"/>
  <c r="AH163" i="7"/>
  <c r="AD163" i="7"/>
  <c r="AB163" i="7"/>
  <c r="AA163" i="7"/>
  <c r="W163" i="7"/>
  <c r="T163" i="7"/>
  <c r="X163" i="7" s="1"/>
  <c r="S163" i="7"/>
  <c r="R163" i="7"/>
  <c r="P163" i="7"/>
  <c r="K163" i="7"/>
  <c r="AP162" i="7"/>
  <c r="AN162" i="7"/>
  <c r="AJ162" i="7"/>
  <c r="AH162" i="7"/>
  <c r="AD162" i="7"/>
  <c r="AB162" i="7"/>
  <c r="AA162" i="7"/>
  <c r="X162" i="7"/>
  <c r="W162" i="7"/>
  <c r="T162" i="7"/>
  <c r="S162" i="7"/>
  <c r="R162" i="7"/>
  <c r="P162" i="7"/>
  <c r="K162" i="7"/>
  <c r="AP161" i="7"/>
  <c r="AN161" i="7"/>
  <c r="AJ161" i="7"/>
  <c r="AH161" i="7"/>
  <c r="AD161" i="7"/>
  <c r="AB161" i="7"/>
  <c r="AA161" i="7"/>
  <c r="W161" i="7"/>
  <c r="T161" i="7"/>
  <c r="X161" i="7" s="1"/>
  <c r="S161" i="7"/>
  <c r="R161" i="7"/>
  <c r="P161" i="7"/>
  <c r="K161" i="7"/>
  <c r="AP160" i="7"/>
  <c r="AN160" i="7"/>
  <c r="AJ160" i="7"/>
  <c r="AH160" i="7"/>
  <c r="AD160" i="7"/>
  <c r="AB160" i="7"/>
  <c r="AA160" i="7"/>
  <c r="X160" i="7"/>
  <c r="W160" i="7"/>
  <c r="T160" i="7"/>
  <c r="S160" i="7"/>
  <c r="R160" i="7"/>
  <c r="P160" i="7"/>
  <c r="K160" i="7"/>
  <c r="AP159" i="7"/>
  <c r="AN159" i="7"/>
  <c r="AJ159" i="7"/>
  <c r="AH159" i="7"/>
  <c r="AD159" i="7"/>
  <c r="AB159" i="7"/>
  <c r="AA159" i="7"/>
  <c r="W159" i="7"/>
  <c r="T159" i="7"/>
  <c r="X159" i="7" s="1"/>
  <c r="S159" i="7"/>
  <c r="R159" i="7"/>
  <c r="P159" i="7"/>
  <c r="K159" i="7"/>
  <c r="AP158" i="7"/>
  <c r="AN158" i="7"/>
  <c r="AJ158" i="7"/>
  <c r="AH158" i="7"/>
  <c r="AD158" i="7"/>
  <c r="AB158" i="7"/>
  <c r="AA158" i="7"/>
  <c r="X158" i="7"/>
  <c r="W158" i="7"/>
  <c r="T158" i="7"/>
  <c r="S158" i="7"/>
  <c r="R158" i="7"/>
  <c r="P158" i="7"/>
  <c r="K158" i="7"/>
  <c r="AP157" i="7"/>
  <c r="AN157" i="7"/>
  <c r="AJ157" i="7"/>
  <c r="AH157" i="7"/>
  <c r="AD157" i="7"/>
  <c r="AB157" i="7"/>
  <c r="AA157" i="7"/>
  <c r="W157" i="7"/>
  <c r="T157" i="7"/>
  <c r="X157" i="7" s="1"/>
  <c r="S157" i="7"/>
  <c r="R157" i="7"/>
  <c r="P157" i="7"/>
  <c r="K157" i="7"/>
  <c r="AP156" i="7"/>
  <c r="AN156" i="7"/>
  <c r="AJ156" i="7"/>
  <c r="AH156" i="7"/>
  <c r="AD156" i="7"/>
  <c r="AB156" i="7"/>
  <c r="AA156" i="7"/>
  <c r="X156" i="7"/>
  <c r="W156" i="7"/>
  <c r="T156" i="7"/>
  <c r="S156" i="7"/>
  <c r="R156" i="7"/>
  <c r="P156" i="7"/>
  <c r="K156" i="7"/>
  <c r="AP155" i="7"/>
  <c r="AN155" i="7"/>
  <c r="AJ155" i="7"/>
  <c r="AH155" i="7"/>
  <c r="AD155" i="7"/>
  <c r="AB155" i="7"/>
  <c r="AA155" i="7"/>
  <c r="W155" i="7"/>
  <c r="T155" i="7"/>
  <c r="X155" i="7" s="1"/>
  <c r="S155" i="7"/>
  <c r="R155" i="7"/>
  <c r="P155" i="7"/>
  <c r="K155" i="7"/>
  <c r="AP154" i="7"/>
  <c r="AN154" i="7"/>
  <c r="AJ154" i="7"/>
  <c r="AH154" i="7"/>
  <c r="AD154" i="7"/>
  <c r="AB154" i="7"/>
  <c r="AA154" i="7"/>
  <c r="X154" i="7"/>
  <c r="W154" i="7"/>
  <c r="T154" i="7"/>
  <c r="S154" i="7"/>
  <c r="R154" i="7"/>
  <c r="P154" i="7"/>
  <c r="K154" i="7"/>
  <c r="AP153" i="7"/>
  <c r="AN153" i="7"/>
  <c r="AJ153" i="7"/>
  <c r="AH153" i="7"/>
  <c r="AD153" i="7"/>
  <c r="AB153" i="7"/>
  <c r="AA153" i="7"/>
  <c r="W153" i="7"/>
  <c r="T153" i="7"/>
  <c r="X153" i="7" s="1"/>
  <c r="S153" i="7"/>
  <c r="R153" i="7"/>
  <c r="P153" i="7"/>
  <c r="K153" i="7"/>
  <c r="AP152" i="7"/>
  <c r="AN152" i="7"/>
  <c r="AJ152" i="7"/>
  <c r="AH152" i="7"/>
  <c r="AD152" i="7"/>
  <c r="AB152" i="7"/>
  <c r="AA152" i="7"/>
  <c r="X152" i="7"/>
  <c r="W152" i="7"/>
  <c r="T152" i="7"/>
  <c r="S152" i="7"/>
  <c r="R152" i="7"/>
  <c r="P152" i="7"/>
  <c r="K152" i="7"/>
  <c r="AP151" i="7"/>
  <c r="AN151" i="7"/>
  <c r="AJ151" i="7"/>
  <c r="AH151" i="7"/>
  <c r="AD151" i="7"/>
  <c r="AB151" i="7"/>
  <c r="AA151" i="7"/>
  <c r="W151" i="7"/>
  <c r="T151" i="7"/>
  <c r="X151" i="7" s="1"/>
  <c r="S151" i="7"/>
  <c r="R151" i="7"/>
  <c r="P151" i="7"/>
  <c r="K151" i="7"/>
  <c r="AP150" i="7"/>
  <c r="AN150" i="7"/>
  <c r="AJ150" i="7"/>
  <c r="AH150" i="7"/>
  <c r="AD150" i="7"/>
  <c r="AB150" i="7"/>
  <c r="AA150" i="7"/>
  <c r="X150" i="7"/>
  <c r="W150" i="7"/>
  <c r="T150" i="7"/>
  <c r="S150" i="7"/>
  <c r="R150" i="7"/>
  <c r="P150" i="7"/>
  <c r="K150" i="7"/>
  <c r="AP149" i="7"/>
  <c r="AN149" i="7"/>
  <c r="AJ149" i="7"/>
  <c r="AH149" i="7"/>
  <c r="AD149" i="7"/>
  <c r="AB149" i="7"/>
  <c r="AA149" i="7"/>
  <c r="W149" i="7"/>
  <c r="T149" i="7"/>
  <c r="X149" i="7" s="1"/>
  <c r="S149" i="7"/>
  <c r="R149" i="7"/>
  <c r="P149" i="7"/>
  <c r="K149" i="7"/>
  <c r="AP148" i="7"/>
  <c r="AN148" i="7"/>
  <c r="AJ148" i="7"/>
  <c r="AH148" i="7"/>
  <c r="AD148" i="7"/>
  <c r="AB148" i="7"/>
  <c r="AA148" i="7"/>
  <c r="X148" i="7"/>
  <c r="W148" i="7"/>
  <c r="T148" i="7"/>
  <c r="S148" i="7"/>
  <c r="R148" i="7"/>
  <c r="P148" i="7"/>
  <c r="K148" i="7"/>
  <c r="AP147" i="7"/>
  <c r="AN147" i="7"/>
  <c r="AJ147" i="7"/>
  <c r="AH147" i="7"/>
  <c r="AD147" i="7"/>
  <c r="AB147" i="7"/>
  <c r="AA147" i="7"/>
  <c r="W147" i="7"/>
  <c r="T147" i="7"/>
  <c r="X147" i="7" s="1"/>
  <c r="S147" i="7"/>
  <c r="R147" i="7"/>
  <c r="P147" i="7"/>
  <c r="K147" i="7"/>
  <c r="AP146" i="7"/>
  <c r="AN146" i="7"/>
  <c r="AJ146" i="7"/>
  <c r="AH146" i="7"/>
  <c r="AD146" i="7"/>
  <c r="AB146" i="7"/>
  <c r="AA146" i="7"/>
  <c r="X146" i="7"/>
  <c r="W146" i="7"/>
  <c r="T146" i="7"/>
  <c r="S146" i="7"/>
  <c r="R146" i="7"/>
  <c r="P146" i="7"/>
  <c r="K146" i="7"/>
  <c r="AP145" i="7"/>
  <c r="AN145" i="7"/>
  <c r="AJ145" i="7"/>
  <c r="AH145" i="7"/>
  <c r="AD145" i="7"/>
  <c r="AB145" i="7"/>
  <c r="AA145" i="7"/>
  <c r="W145" i="7"/>
  <c r="T145" i="7"/>
  <c r="X145" i="7" s="1"/>
  <c r="S145" i="7"/>
  <c r="R145" i="7"/>
  <c r="P145" i="7"/>
  <c r="K145" i="7"/>
  <c r="AP144" i="7"/>
  <c r="AN144" i="7"/>
  <c r="AJ144" i="7"/>
  <c r="AH144" i="7"/>
  <c r="AD144" i="7"/>
  <c r="AB144" i="7"/>
  <c r="AA144" i="7"/>
  <c r="X144" i="7"/>
  <c r="W144" i="7"/>
  <c r="T144" i="7"/>
  <c r="S144" i="7"/>
  <c r="R144" i="7"/>
  <c r="P144" i="7"/>
  <c r="K144" i="7"/>
  <c r="AP143" i="7"/>
  <c r="AN143" i="7"/>
  <c r="AJ143" i="7"/>
  <c r="AH143" i="7"/>
  <c r="AD143" i="7"/>
  <c r="AB143" i="7"/>
  <c r="AA143" i="7"/>
  <c r="W143" i="7"/>
  <c r="T143" i="7"/>
  <c r="X143" i="7" s="1"/>
  <c r="S143" i="7"/>
  <c r="R143" i="7"/>
  <c r="P143" i="7"/>
  <c r="K143" i="7"/>
  <c r="AP142" i="7"/>
  <c r="AN142" i="7"/>
  <c r="AJ142" i="7"/>
  <c r="AH142" i="7"/>
  <c r="AD142" i="7"/>
  <c r="AB142" i="7"/>
  <c r="AA142" i="7"/>
  <c r="X142" i="7"/>
  <c r="W142" i="7"/>
  <c r="T142" i="7"/>
  <c r="S142" i="7"/>
  <c r="R142" i="7"/>
  <c r="P142" i="7"/>
  <c r="K142" i="7"/>
  <c r="AP141" i="7"/>
  <c r="AN141" i="7"/>
  <c r="AJ141" i="7"/>
  <c r="AH141" i="7"/>
  <c r="AD141" i="7"/>
  <c r="AB141" i="7"/>
  <c r="AA141" i="7"/>
  <c r="W141" i="7"/>
  <c r="T141" i="7"/>
  <c r="X141" i="7" s="1"/>
  <c r="S141" i="7"/>
  <c r="R141" i="7"/>
  <c r="P141" i="7"/>
  <c r="K141" i="7"/>
  <c r="AP140" i="7"/>
  <c r="AN140" i="7"/>
  <c r="AJ140" i="7"/>
  <c r="AH140" i="7"/>
  <c r="AD140" i="7"/>
  <c r="AB140" i="7"/>
  <c r="AA140" i="7"/>
  <c r="X140" i="7"/>
  <c r="W140" i="7"/>
  <c r="T140" i="7"/>
  <c r="S140" i="7"/>
  <c r="R140" i="7"/>
  <c r="P140" i="7"/>
  <c r="K140" i="7"/>
  <c r="AP139" i="7"/>
  <c r="AN139" i="7"/>
  <c r="AJ139" i="7"/>
  <c r="AH139" i="7"/>
  <c r="AD139" i="7"/>
  <c r="AB139" i="7"/>
  <c r="AA139" i="7"/>
  <c r="W139" i="7"/>
  <c r="T139" i="7"/>
  <c r="X139" i="7" s="1"/>
  <c r="S139" i="7"/>
  <c r="R139" i="7"/>
  <c r="P139" i="7"/>
  <c r="K139" i="7"/>
  <c r="AP138" i="7"/>
  <c r="AN138" i="7"/>
  <c r="AJ138" i="7"/>
  <c r="AH138" i="7"/>
  <c r="AD138" i="7"/>
  <c r="AB138" i="7"/>
  <c r="AA138" i="7"/>
  <c r="X138" i="7"/>
  <c r="W138" i="7"/>
  <c r="T138" i="7"/>
  <c r="S138" i="7"/>
  <c r="R138" i="7"/>
  <c r="P138" i="7"/>
  <c r="K138" i="7"/>
  <c r="AP137" i="7"/>
  <c r="AN137" i="7"/>
  <c r="AJ137" i="7"/>
  <c r="AH137" i="7"/>
  <c r="AD137" i="7"/>
  <c r="AB137" i="7"/>
  <c r="AA137" i="7"/>
  <c r="W137" i="7"/>
  <c r="T137" i="7"/>
  <c r="X137" i="7" s="1"/>
  <c r="S137" i="7"/>
  <c r="R137" i="7"/>
  <c r="P137" i="7"/>
  <c r="K137" i="7"/>
  <c r="AP136" i="7"/>
  <c r="AN136" i="7"/>
  <c r="AJ136" i="7"/>
  <c r="AH136" i="7"/>
  <c r="AD136" i="7"/>
  <c r="AB136" i="7"/>
  <c r="AA136" i="7"/>
  <c r="X136" i="7"/>
  <c r="W136" i="7"/>
  <c r="T136" i="7"/>
  <c r="S136" i="7"/>
  <c r="R136" i="7"/>
  <c r="P136" i="7"/>
  <c r="K136" i="7"/>
  <c r="AP135" i="7"/>
  <c r="AN135" i="7"/>
  <c r="AJ135" i="7"/>
  <c r="AH135" i="7"/>
  <c r="AD135" i="7"/>
  <c r="AB135" i="7"/>
  <c r="AA135" i="7"/>
  <c r="W135" i="7"/>
  <c r="T135" i="7"/>
  <c r="X135" i="7" s="1"/>
  <c r="S135" i="7"/>
  <c r="R135" i="7"/>
  <c r="P135" i="7"/>
  <c r="K135" i="7"/>
  <c r="AP134" i="7"/>
  <c r="AN134" i="7"/>
  <c r="AJ134" i="7"/>
  <c r="AH134" i="7"/>
  <c r="AD134" i="7"/>
  <c r="AB134" i="7"/>
  <c r="AA134" i="7"/>
  <c r="X134" i="7"/>
  <c r="W134" i="7"/>
  <c r="T134" i="7"/>
  <c r="S134" i="7"/>
  <c r="R134" i="7"/>
  <c r="P134" i="7"/>
  <c r="K134" i="7"/>
  <c r="AP133" i="7"/>
  <c r="AN133" i="7"/>
  <c r="AJ133" i="7"/>
  <c r="AH133" i="7"/>
  <c r="AD133" i="7"/>
  <c r="AB133" i="7"/>
  <c r="AA133" i="7"/>
  <c r="W133" i="7"/>
  <c r="T133" i="7"/>
  <c r="X133" i="7" s="1"/>
  <c r="S133" i="7"/>
  <c r="R133" i="7"/>
  <c r="P133" i="7"/>
  <c r="K133" i="7"/>
  <c r="AP132" i="7"/>
  <c r="AN132" i="7"/>
  <c r="AJ132" i="7"/>
  <c r="AH132" i="7"/>
  <c r="AD132" i="7"/>
  <c r="AB132" i="7"/>
  <c r="AA132" i="7"/>
  <c r="X132" i="7"/>
  <c r="W132" i="7"/>
  <c r="T132" i="7"/>
  <c r="S132" i="7"/>
  <c r="R132" i="7"/>
  <c r="P132" i="7"/>
  <c r="K132" i="7"/>
  <c r="AP131" i="7"/>
  <c r="AN131" i="7"/>
  <c r="AJ131" i="7"/>
  <c r="AH131" i="7"/>
  <c r="AD131" i="7"/>
  <c r="AB131" i="7"/>
  <c r="AA131" i="7"/>
  <c r="W131" i="7"/>
  <c r="T131" i="7"/>
  <c r="X131" i="7" s="1"/>
  <c r="S131" i="7"/>
  <c r="R131" i="7"/>
  <c r="P131" i="7"/>
  <c r="K131" i="7"/>
  <c r="AP130" i="7"/>
  <c r="AN130" i="7"/>
  <c r="AJ130" i="7"/>
  <c r="AH130" i="7"/>
  <c r="AD130" i="7"/>
  <c r="AB130" i="7"/>
  <c r="AA130" i="7"/>
  <c r="X130" i="7"/>
  <c r="W130" i="7"/>
  <c r="T130" i="7"/>
  <c r="S130" i="7"/>
  <c r="R130" i="7"/>
  <c r="P130" i="7"/>
  <c r="K130" i="7"/>
  <c r="AP129" i="7"/>
  <c r="AN129" i="7"/>
  <c r="AJ129" i="7"/>
  <c r="AH129" i="7"/>
  <c r="AD129" i="7"/>
  <c r="AB129" i="7"/>
  <c r="AA129" i="7"/>
  <c r="W129" i="7"/>
  <c r="T129" i="7"/>
  <c r="X129" i="7" s="1"/>
  <c r="S129" i="7"/>
  <c r="R129" i="7"/>
  <c r="P129" i="7"/>
  <c r="K129" i="7"/>
  <c r="AP128" i="7"/>
  <c r="AN128" i="7"/>
  <c r="AJ128" i="7"/>
  <c r="AH128" i="7"/>
  <c r="AD128" i="7"/>
  <c r="AB128" i="7"/>
  <c r="AA128" i="7"/>
  <c r="X128" i="7"/>
  <c r="W128" i="7"/>
  <c r="T128" i="7"/>
  <c r="S128" i="7"/>
  <c r="R128" i="7"/>
  <c r="P128" i="7"/>
  <c r="K128" i="7"/>
  <c r="AP127" i="7"/>
  <c r="AN127" i="7"/>
  <c r="AJ127" i="7"/>
  <c r="AH127" i="7"/>
  <c r="AD127" i="7"/>
  <c r="AB127" i="7"/>
  <c r="AA127" i="7"/>
  <c r="W127" i="7"/>
  <c r="T127" i="7"/>
  <c r="X127" i="7" s="1"/>
  <c r="S127" i="7"/>
  <c r="R127" i="7"/>
  <c r="P127" i="7"/>
  <c r="K127" i="7"/>
  <c r="AP126" i="7"/>
  <c r="AN126" i="7"/>
  <c r="AJ126" i="7"/>
  <c r="AH126" i="7"/>
  <c r="AD126" i="7"/>
  <c r="AB126" i="7"/>
  <c r="AA126" i="7"/>
  <c r="X126" i="7"/>
  <c r="W126" i="7"/>
  <c r="T126" i="7"/>
  <c r="S126" i="7"/>
  <c r="R126" i="7"/>
  <c r="P126" i="7"/>
  <c r="K126" i="7"/>
  <c r="AP125" i="7"/>
  <c r="AN125" i="7"/>
  <c r="AJ125" i="7"/>
  <c r="AH125" i="7"/>
  <c r="AD125" i="7"/>
  <c r="AB125" i="7"/>
  <c r="AA125" i="7"/>
  <c r="W125" i="7"/>
  <c r="T125" i="7"/>
  <c r="X125" i="7" s="1"/>
  <c r="S125" i="7"/>
  <c r="R125" i="7"/>
  <c r="P125" i="7"/>
  <c r="K125" i="7"/>
  <c r="AP124" i="7"/>
  <c r="AN124" i="7"/>
  <c r="AJ124" i="7"/>
  <c r="AH124" i="7"/>
  <c r="AD124" i="7"/>
  <c r="AB124" i="7"/>
  <c r="AA124" i="7"/>
  <c r="X124" i="7"/>
  <c r="W124" i="7"/>
  <c r="T124" i="7"/>
  <c r="S124" i="7"/>
  <c r="R124" i="7"/>
  <c r="P124" i="7"/>
  <c r="K124" i="7"/>
  <c r="AP123" i="7"/>
  <c r="AN123" i="7"/>
  <c r="AJ123" i="7"/>
  <c r="AH123" i="7"/>
  <c r="AD123" i="7"/>
  <c r="AB123" i="7"/>
  <c r="AA123" i="7"/>
  <c r="W123" i="7"/>
  <c r="T123" i="7"/>
  <c r="X123" i="7" s="1"/>
  <c r="S123" i="7"/>
  <c r="R123" i="7"/>
  <c r="P123" i="7"/>
  <c r="K123" i="7"/>
  <c r="AP122" i="7"/>
  <c r="AN122" i="7"/>
  <c r="AJ122" i="7"/>
  <c r="AH122" i="7"/>
  <c r="AD122" i="7"/>
  <c r="AB122" i="7"/>
  <c r="AA122" i="7"/>
  <c r="X122" i="7"/>
  <c r="W122" i="7"/>
  <c r="T122" i="7"/>
  <c r="S122" i="7"/>
  <c r="R122" i="7"/>
  <c r="P122" i="7"/>
  <c r="K122" i="7"/>
  <c r="AP121" i="7"/>
  <c r="AN121" i="7"/>
  <c r="AJ121" i="7"/>
  <c r="AH121" i="7"/>
  <c r="AD121" i="7"/>
  <c r="AB121" i="7"/>
  <c r="AA121" i="7"/>
  <c r="W121" i="7"/>
  <c r="T121" i="7"/>
  <c r="X121" i="7" s="1"/>
  <c r="S121" i="7"/>
  <c r="R121" i="7"/>
  <c r="P121" i="7"/>
  <c r="K121" i="7"/>
  <c r="AP120" i="7"/>
  <c r="AN120" i="7"/>
  <c r="AJ120" i="7"/>
  <c r="AH120" i="7"/>
  <c r="AD120" i="7"/>
  <c r="AB120" i="7"/>
  <c r="AA120" i="7"/>
  <c r="X120" i="7"/>
  <c r="W120" i="7"/>
  <c r="T120" i="7"/>
  <c r="S120" i="7"/>
  <c r="R120" i="7"/>
  <c r="P120" i="7"/>
  <c r="K120" i="7"/>
  <c r="AP119" i="7"/>
  <c r="AN119" i="7"/>
  <c r="AJ119" i="7"/>
  <c r="AH119" i="7"/>
  <c r="AD119" i="7"/>
  <c r="AB119" i="7"/>
  <c r="AA119" i="7"/>
  <c r="W119" i="7"/>
  <c r="T119" i="7"/>
  <c r="X119" i="7" s="1"/>
  <c r="S119" i="7"/>
  <c r="R119" i="7"/>
  <c r="P119" i="7"/>
  <c r="K119" i="7"/>
  <c r="AP118" i="7"/>
  <c r="AN118" i="7"/>
  <c r="AJ118" i="7"/>
  <c r="AH118" i="7"/>
  <c r="AD118" i="7"/>
  <c r="AB118" i="7"/>
  <c r="AA118" i="7"/>
  <c r="X118" i="7"/>
  <c r="W118" i="7"/>
  <c r="T118" i="7"/>
  <c r="S118" i="7"/>
  <c r="R118" i="7"/>
  <c r="P118" i="7"/>
  <c r="K118" i="7"/>
  <c r="AP117" i="7"/>
  <c r="AN117" i="7"/>
  <c r="AJ117" i="7"/>
  <c r="AH117" i="7"/>
  <c r="AD117" i="7"/>
  <c r="AB117" i="7"/>
  <c r="AA117" i="7"/>
  <c r="W117" i="7"/>
  <c r="T117" i="7"/>
  <c r="X117" i="7" s="1"/>
  <c r="S117" i="7"/>
  <c r="R117" i="7"/>
  <c r="P117" i="7"/>
  <c r="K117" i="7"/>
  <c r="AP116" i="7"/>
  <c r="AN116" i="7"/>
  <c r="AJ116" i="7"/>
  <c r="AH116" i="7"/>
  <c r="AD116" i="7"/>
  <c r="AB116" i="7"/>
  <c r="AA116" i="7"/>
  <c r="X116" i="7"/>
  <c r="W116" i="7"/>
  <c r="T116" i="7"/>
  <c r="S116" i="7"/>
  <c r="R116" i="7"/>
  <c r="P116" i="7"/>
  <c r="K116" i="7"/>
  <c r="AP115" i="7"/>
  <c r="AN115" i="7"/>
  <c r="AJ115" i="7"/>
  <c r="AH115" i="7"/>
  <c r="AD115" i="7"/>
  <c r="AB115" i="7"/>
  <c r="AA115" i="7"/>
  <c r="W115" i="7"/>
  <c r="T115" i="7"/>
  <c r="X115" i="7" s="1"/>
  <c r="S115" i="7"/>
  <c r="R115" i="7"/>
  <c r="P115" i="7"/>
  <c r="K115" i="7"/>
  <c r="AP114" i="7"/>
  <c r="AN114" i="7"/>
  <c r="AJ114" i="7"/>
  <c r="AH114" i="7"/>
  <c r="AD114" i="7"/>
  <c r="AB114" i="7"/>
  <c r="AA114" i="7"/>
  <c r="X114" i="7"/>
  <c r="W114" i="7"/>
  <c r="T114" i="7"/>
  <c r="S114" i="7"/>
  <c r="R114" i="7"/>
  <c r="P114" i="7"/>
  <c r="K114" i="7"/>
  <c r="AP113" i="7"/>
  <c r="AN113" i="7"/>
  <c r="AJ113" i="7"/>
  <c r="AH113" i="7"/>
  <c r="AD113" i="7"/>
  <c r="AB113" i="7"/>
  <c r="AA113" i="7"/>
  <c r="W113" i="7"/>
  <c r="T113" i="7"/>
  <c r="X113" i="7" s="1"/>
  <c r="S113" i="7"/>
  <c r="R113" i="7"/>
  <c r="P113" i="7"/>
  <c r="K113" i="7"/>
  <c r="AP112" i="7"/>
  <c r="AN112" i="7"/>
  <c r="AJ112" i="7"/>
  <c r="AH112" i="7"/>
  <c r="AD112" i="7"/>
  <c r="AB112" i="7"/>
  <c r="AA112" i="7"/>
  <c r="X112" i="7"/>
  <c r="W112" i="7"/>
  <c r="T112" i="7"/>
  <c r="S112" i="7"/>
  <c r="R112" i="7"/>
  <c r="P112" i="7"/>
  <c r="K112" i="7"/>
  <c r="AP111" i="7"/>
  <c r="AN111" i="7"/>
  <c r="AJ111" i="7"/>
  <c r="AH111" i="7"/>
  <c r="AD111" i="7"/>
  <c r="AB111" i="7"/>
  <c r="AA111" i="7"/>
  <c r="W111" i="7"/>
  <c r="T111" i="7"/>
  <c r="X111" i="7" s="1"/>
  <c r="S111" i="7"/>
  <c r="R111" i="7"/>
  <c r="P111" i="7"/>
  <c r="K111" i="7"/>
  <c r="AP110" i="7"/>
  <c r="AN110" i="7"/>
  <c r="AJ110" i="7"/>
  <c r="AH110" i="7"/>
  <c r="AD110" i="7"/>
  <c r="AB110" i="7"/>
  <c r="AA110" i="7"/>
  <c r="X110" i="7"/>
  <c r="W110" i="7"/>
  <c r="T110" i="7"/>
  <c r="S110" i="7"/>
  <c r="R110" i="7"/>
  <c r="P110" i="7"/>
  <c r="K110" i="7"/>
  <c r="AP109" i="7"/>
  <c r="AN109" i="7"/>
  <c r="AJ109" i="7"/>
  <c r="AH109" i="7"/>
  <c r="AD109" i="7"/>
  <c r="AB109" i="7"/>
  <c r="AA109" i="7"/>
  <c r="W109" i="7"/>
  <c r="T109" i="7"/>
  <c r="X109" i="7" s="1"/>
  <c r="S109" i="7"/>
  <c r="R109" i="7"/>
  <c r="P109" i="7"/>
  <c r="K109" i="7"/>
  <c r="AP108" i="7"/>
  <c r="AN108" i="7"/>
  <c r="AJ108" i="7"/>
  <c r="AH108" i="7"/>
  <c r="AD108" i="7"/>
  <c r="AB108" i="7"/>
  <c r="AA108" i="7"/>
  <c r="X108" i="7"/>
  <c r="W108" i="7"/>
  <c r="T108" i="7"/>
  <c r="S108" i="7"/>
  <c r="R108" i="7"/>
  <c r="P108" i="7"/>
  <c r="K108" i="7"/>
  <c r="AP107" i="7"/>
  <c r="AN107" i="7"/>
  <c r="AJ107" i="7"/>
  <c r="AH107" i="7"/>
  <c r="AD107" i="7"/>
  <c r="AB107" i="7"/>
  <c r="AA107" i="7"/>
  <c r="W107" i="7"/>
  <c r="T107" i="7"/>
  <c r="X107" i="7" s="1"/>
  <c r="S107" i="7"/>
  <c r="R107" i="7"/>
  <c r="P107" i="7"/>
  <c r="K107" i="7"/>
  <c r="AP106" i="7"/>
  <c r="AN106" i="7"/>
  <c r="AJ106" i="7"/>
  <c r="AH106" i="7"/>
  <c r="AD106" i="7"/>
  <c r="AB106" i="7"/>
  <c r="AA106" i="7"/>
  <c r="X106" i="7"/>
  <c r="W106" i="7"/>
  <c r="T106" i="7"/>
  <c r="S106" i="7"/>
  <c r="R106" i="7"/>
  <c r="P106" i="7"/>
  <c r="K106" i="7"/>
  <c r="AP105" i="7"/>
  <c r="AN105" i="7"/>
  <c r="AJ105" i="7"/>
  <c r="AH105" i="7"/>
  <c r="AD105" i="7"/>
  <c r="AB105" i="7"/>
  <c r="AA105" i="7"/>
  <c r="W105" i="7"/>
  <c r="T105" i="7"/>
  <c r="X105" i="7" s="1"/>
  <c r="S105" i="7"/>
  <c r="R105" i="7"/>
  <c r="P105" i="7"/>
  <c r="K105" i="7"/>
  <c r="AP104" i="7"/>
  <c r="AN104" i="7"/>
  <c r="AJ104" i="7"/>
  <c r="AH104" i="7"/>
  <c r="AD104" i="7"/>
  <c r="AB104" i="7"/>
  <c r="AA104" i="7"/>
  <c r="X104" i="7"/>
  <c r="W104" i="7"/>
  <c r="T104" i="7"/>
  <c r="S104" i="7"/>
  <c r="R104" i="7"/>
  <c r="P104" i="7"/>
  <c r="K104" i="7"/>
  <c r="AP103" i="7"/>
  <c r="AN103" i="7"/>
  <c r="AJ103" i="7"/>
  <c r="AH103" i="7"/>
  <c r="AD103" i="7"/>
  <c r="AB103" i="7"/>
  <c r="AA103" i="7"/>
  <c r="W103" i="7"/>
  <c r="T103" i="7"/>
  <c r="X103" i="7" s="1"/>
  <c r="S103" i="7"/>
  <c r="R103" i="7"/>
  <c r="P103" i="7"/>
  <c r="K103" i="7"/>
  <c r="AP102" i="7"/>
  <c r="AN102" i="7"/>
  <c r="AJ102" i="7"/>
  <c r="AH102" i="7"/>
  <c r="AD102" i="7"/>
  <c r="AB102" i="7"/>
  <c r="AA102" i="7"/>
  <c r="X102" i="7"/>
  <c r="W102" i="7"/>
  <c r="T102" i="7"/>
  <c r="S102" i="7"/>
  <c r="R102" i="7"/>
  <c r="P102" i="7"/>
  <c r="K102" i="7"/>
  <c r="AP101" i="7"/>
  <c r="AN101" i="7"/>
  <c r="AJ101" i="7"/>
  <c r="AH101" i="7"/>
  <c r="AD101" i="7"/>
  <c r="AB101" i="7"/>
  <c r="AA101" i="7"/>
  <c r="W101" i="7"/>
  <c r="T101" i="7"/>
  <c r="X101" i="7" s="1"/>
  <c r="S101" i="7"/>
  <c r="R101" i="7"/>
  <c r="P101" i="7"/>
  <c r="K101" i="7"/>
  <c r="AP100" i="7"/>
  <c r="AN100" i="7"/>
  <c r="AJ100" i="7"/>
  <c r="AH100" i="7"/>
  <c r="AD100" i="7"/>
  <c r="AB100" i="7"/>
  <c r="AA100" i="7"/>
  <c r="X100" i="7"/>
  <c r="W100" i="7"/>
  <c r="T100" i="7"/>
  <c r="S100" i="7"/>
  <c r="R100" i="7"/>
  <c r="P100" i="7"/>
  <c r="K100" i="7"/>
  <c r="AP99" i="7"/>
  <c r="AN99" i="7"/>
  <c r="AJ99" i="7"/>
  <c r="AH99" i="7"/>
  <c r="AD99" i="7"/>
  <c r="AB99" i="7"/>
  <c r="AA99" i="7"/>
  <c r="W99" i="7"/>
  <c r="T99" i="7"/>
  <c r="X99" i="7" s="1"/>
  <c r="S99" i="7"/>
  <c r="R99" i="7"/>
  <c r="P99" i="7"/>
  <c r="K99" i="7"/>
  <c r="AP98" i="7"/>
  <c r="AN98" i="7"/>
  <c r="AJ98" i="7"/>
  <c r="AH98" i="7"/>
  <c r="AD98" i="7"/>
  <c r="AB98" i="7"/>
  <c r="AA98" i="7"/>
  <c r="X98" i="7"/>
  <c r="W98" i="7"/>
  <c r="T98" i="7"/>
  <c r="S98" i="7"/>
  <c r="R98" i="7"/>
  <c r="P98" i="7"/>
  <c r="K98" i="7"/>
  <c r="AP97" i="7"/>
  <c r="AN97" i="7"/>
  <c r="AJ97" i="7"/>
  <c r="AH97" i="7"/>
  <c r="AD97" i="7"/>
  <c r="AB97" i="7"/>
  <c r="AA97" i="7"/>
  <c r="W97" i="7"/>
  <c r="T97" i="7"/>
  <c r="X97" i="7" s="1"/>
  <c r="S97" i="7"/>
  <c r="R97" i="7"/>
  <c r="P97" i="7"/>
  <c r="K97" i="7"/>
  <c r="AP96" i="7"/>
  <c r="AN96" i="7"/>
  <c r="AJ96" i="7"/>
  <c r="AH96" i="7"/>
  <c r="AD96" i="7"/>
  <c r="AB96" i="7"/>
  <c r="AA96" i="7"/>
  <c r="X96" i="7"/>
  <c r="W96" i="7"/>
  <c r="T96" i="7"/>
  <c r="S96" i="7"/>
  <c r="R96" i="7"/>
  <c r="P96" i="7"/>
  <c r="K96" i="7"/>
  <c r="AP95" i="7"/>
  <c r="AN95" i="7"/>
  <c r="AJ95" i="7"/>
  <c r="AH95" i="7"/>
  <c r="AD95" i="7"/>
  <c r="AB95" i="7"/>
  <c r="AA95" i="7"/>
  <c r="W95" i="7"/>
  <c r="T95" i="7"/>
  <c r="X95" i="7" s="1"/>
  <c r="S95" i="7"/>
  <c r="R95" i="7"/>
  <c r="P95" i="7"/>
  <c r="K95" i="7"/>
  <c r="AP94" i="7"/>
  <c r="AN94" i="7"/>
  <c r="AJ94" i="7"/>
  <c r="AH94" i="7"/>
  <c r="AD94" i="7"/>
  <c r="AB94" i="7"/>
  <c r="AA94" i="7"/>
  <c r="X94" i="7"/>
  <c r="W94" i="7"/>
  <c r="T94" i="7"/>
  <c r="S94" i="7"/>
  <c r="R94" i="7"/>
  <c r="P94" i="7"/>
  <c r="K94" i="7"/>
  <c r="AP93" i="7"/>
  <c r="AN93" i="7"/>
  <c r="AJ93" i="7"/>
  <c r="AH93" i="7"/>
  <c r="AD93" i="7"/>
  <c r="AB93" i="7"/>
  <c r="AA93" i="7"/>
  <c r="W93" i="7"/>
  <c r="T93" i="7"/>
  <c r="X93" i="7" s="1"/>
  <c r="S93" i="7"/>
  <c r="R93" i="7"/>
  <c r="P93" i="7"/>
  <c r="K93" i="7"/>
  <c r="AP92" i="7"/>
  <c r="AN92" i="7"/>
  <c r="AJ92" i="7"/>
  <c r="AH92" i="7"/>
  <c r="AD92" i="7"/>
  <c r="AB92" i="7"/>
  <c r="AA92" i="7"/>
  <c r="X92" i="7"/>
  <c r="W92" i="7"/>
  <c r="T92" i="7"/>
  <c r="S92" i="7"/>
  <c r="R92" i="7"/>
  <c r="P92" i="7"/>
  <c r="K92" i="7"/>
  <c r="AP91" i="7"/>
  <c r="AN91" i="7"/>
  <c r="AJ91" i="7"/>
  <c r="AH91" i="7"/>
  <c r="AD91" i="7"/>
  <c r="AB91" i="7"/>
  <c r="AA91" i="7"/>
  <c r="W91" i="7"/>
  <c r="T91" i="7"/>
  <c r="X91" i="7" s="1"/>
  <c r="S91" i="7"/>
  <c r="R91" i="7"/>
  <c r="P91" i="7"/>
  <c r="K91" i="7"/>
  <c r="AP90" i="7"/>
  <c r="AN90" i="7"/>
  <c r="AJ90" i="7"/>
  <c r="AH90" i="7"/>
  <c r="AD90" i="7"/>
  <c r="AB90" i="7"/>
  <c r="AA90" i="7"/>
  <c r="X90" i="7"/>
  <c r="W90" i="7"/>
  <c r="T90" i="7"/>
  <c r="S90" i="7"/>
  <c r="R90" i="7"/>
  <c r="P90" i="7"/>
  <c r="K90" i="7"/>
  <c r="AP89" i="7"/>
  <c r="AN89" i="7"/>
  <c r="AJ89" i="7"/>
  <c r="AH89" i="7"/>
  <c r="AD89" i="7"/>
  <c r="AB89" i="7"/>
  <c r="AA89" i="7"/>
  <c r="W89" i="7"/>
  <c r="T89" i="7"/>
  <c r="X89" i="7" s="1"/>
  <c r="S89" i="7"/>
  <c r="R89" i="7"/>
  <c r="P89" i="7"/>
  <c r="K89" i="7"/>
  <c r="AP88" i="7"/>
  <c r="AN88" i="7"/>
  <c r="AJ88" i="7"/>
  <c r="AH88" i="7"/>
  <c r="AD88" i="7"/>
  <c r="AB88" i="7"/>
  <c r="AA88" i="7"/>
  <c r="X88" i="7"/>
  <c r="W88" i="7"/>
  <c r="T88" i="7"/>
  <c r="S88" i="7"/>
  <c r="R88" i="7"/>
  <c r="P88" i="7"/>
  <c r="K88" i="7"/>
  <c r="AP87" i="7"/>
  <c r="AN87" i="7"/>
  <c r="AJ87" i="7"/>
  <c r="AH87" i="7"/>
  <c r="AD87" i="7"/>
  <c r="AB87" i="7"/>
  <c r="AA87" i="7"/>
  <c r="W87" i="7"/>
  <c r="T87" i="7"/>
  <c r="X87" i="7" s="1"/>
  <c r="S87" i="7"/>
  <c r="R87" i="7"/>
  <c r="P87" i="7"/>
  <c r="K87" i="7"/>
  <c r="AP86" i="7"/>
  <c r="AN86" i="7"/>
  <c r="AJ86" i="7"/>
  <c r="AH86" i="7"/>
  <c r="AD86" i="7"/>
  <c r="AB86" i="7"/>
  <c r="AA86" i="7"/>
  <c r="X86" i="7"/>
  <c r="W86" i="7"/>
  <c r="T86" i="7"/>
  <c r="S86" i="7"/>
  <c r="R86" i="7"/>
  <c r="P86" i="7"/>
  <c r="K86" i="7"/>
  <c r="AP85" i="7"/>
  <c r="AN85" i="7"/>
  <c r="AJ85" i="7"/>
  <c r="AH85" i="7"/>
  <c r="AD85" i="7"/>
  <c r="AB85" i="7"/>
  <c r="AA85" i="7"/>
  <c r="W85" i="7"/>
  <c r="T85" i="7"/>
  <c r="X85" i="7" s="1"/>
  <c r="S85" i="7"/>
  <c r="R85" i="7"/>
  <c r="P85" i="7"/>
  <c r="K85" i="7"/>
  <c r="AP84" i="7"/>
  <c r="AN84" i="7"/>
  <c r="AJ84" i="7"/>
  <c r="AH84" i="7"/>
  <c r="AD84" i="7"/>
  <c r="AB84" i="7"/>
  <c r="AA84" i="7"/>
  <c r="X84" i="7"/>
  <c r="W84" i="7"/>
  <c r="T84" i="7"/>
  <c r="S84" i="7"/>
  <c r="R84" i="7"/>
  <c r="P84" i="7"/>
  <c r="K84" i="7"/>
  <c r="AP83" i="7"/>
  <c r="AN83" i="7"/>
  <c r="AJ83" i="7"/>
  <c r="AH83" i="7"/>
  <c r="AD83" i="7"/>
  <c r="AB83" i="7"/>
  <c r="AA83" i="7"/>
  <c r="W83" i="7"/>
  <c r="T83" i="7"/>
  <c r="X83" i="7" s="1"/>
  <c r="S83" i="7"/>
  <c r="R83" i="7"/>
  <c r="P83" i="7"/>
  <c r="K83" i="7"/>
  <c r="AP82" i="7"/>
  <c r="AN82" i="7"/>
  <c r="AJ82" i="7"/>
  <c r="AH82" i="7"/>
  <c r="AD82" i="7"/>
  <c r="AB82" i="7"/>
  <c r="AA82" i="7"/>
  <c r="X82" i="7"/>
  <c r="W82" i="7"/>
  <c r="T82" i="7"/>
  <c r="S82" i="7"/>
  <c r="R82" i="7"/>
  <c r="P82" i="7"/>
  <c r="K82" i="7"/>
  <c r="AP81" i="7"/>
  <c r="AN81" i="7"/>
  <c r="AJ81" i="7"/>
  <c r="AH81" i="7"/>
  <c r="AD81" i="7"/>
  <c r="AB81" i="7"/>
  <c r="AA81" i="7"/>
  <c r="W81" i="7"/>
  <c r="T81" i="7"/>
  <c r="X81" i="7" s="1"/>
  <c r="S81" i="7"/>
  <c r="R81" i="7"/>
  <c r="P81" i="7"/>
  <c r="K81" i="7"/>
  <c r="AP80" i="7"/>
  <c r="AN80" i="7"/>
  <c r="AJ80" i="7"/>
  <c r="AH80" i="7"/>
  <c r="AD80" i="7"/>
  <c r="AB80" i="7"/>
  <c r="AA80" i="7"/>
  <c r="X80" i="7"/>
  <c r="W80" i="7"/>
  <c r="T80" i="7"/>
  <c r="S80" i="7"/>
  <c r="R80" i="7"/>
  <c r="P80" i="7"/>
  <c r="K80" i="7"/>
  <c r="AP79" i="7"/>
  <c r="AN79" i="7"/>
  <c r="AJ79" i="7"/>
  <c r="AH79" i="7"/>
  <c r="AD79" i="7"/>
  <c r="AB79" i="7"/>
  <c r="AA79" i="7"/>
  <c r="W79" i="7"/>
  <c r="T79" i="7"/>
  <c r="X79" i="7" s="1"/>
  <c r="S79" i="7"/>
  <c r="R79" i="7"/>
  <c r="P79" i="7"/>
  <c r="K79" i="7"/>
  <c r="AP78" i="7"/>
  <c r="AN78" i="7"/>
  <c r="AJ78" i="7"/>
  <c r="AH78" i="7"/>
  <c r="AD78" i="7"/>
  <c r="AB78" i="7"/>
  <c r="AA78" i="7"/>
  <c r="X78" i="7"/>
  <c r="W78" i="7"/>
  <c r="T78" i="7"/>
  <c r="S78" i="7"/>
  <c r="R78" i="7"/>
  <c r="P78" i="7"/>
  <c r="K78" i="7"/>
  <c r="AP77" i="7"/>
  <c r="AN77" i="7"/>
  <c r="AJ77" i="7"/>
  <c r="AH77" i="7"/>
  <c r="AD77" i="7"/>
  <c r="AB77" i="7"/>
  <c r="AA77" i="7"/>
  <c r="W77" i="7"/>
  <c r="T77" i="7"/>
  <c r="X77" i="7" s="1"/>
  <c r="S77" i="7"/>
  <c r="R77" i="7"/>
  <c r="P77" i="7"/>
  <c r="K77" i="7"/>
  <c r="AP76" i="7"/>
  <c r="AN76" i="7"/>
  <c r="AJ76" i="7"/>
  <c r="AH76" i="7"/>
  <c r="AD76" i="7"/>
  <c r="AB76" i="7"/>
  <c r="AA76" i="7"/>
  <c r="X76" i="7"/>
  <c r="W76" i="7"/>
  <c r="T76" i="7"/>
  <c r="S76" i="7"/>
  <c r="R76" i="7"/>
  <c r="P76" i="7"/>
  <c r="K76" i="7"/>
  <c r="AP75" i="7"/>
  <c r="AN75" i="7"/>
  <c r="AJ75" i="7"/>
  <c r="AH75" i="7"/>
  <c r="AD75" i="7"/>
  <c r="AB75" i="7"/>
  <c r="AA75" i="7"/>
  <c r="W75" i="7"/>
  <c r="T75" i="7"/>
  <c r="X75" i="7" s="1"/>
  <c r="S75" i="7"/>
  <c r="R75" i="7"/>
  <c r="P75" i="7"/>
  <c r="K75" i="7"/>
  <c r="AP74" i="7"/>
  <c r="AN74" i="7"/>
  <c r="AJ74" i="7"/>
  <c r="AH74" i="7"/>
  <c r="AD74" i="7"/>
  <c r="AB74" i="7"/>
  <c r="AA74" i="7"/>
  <c r="X74" i="7"/>
  <c r="W74" i="7"/>
  <c r="T74" i="7"/>
  <c r="S74" i="7"/>
  <c r="R74" i="7"/>
  <c r="P74" i="7"/>
  <c r="K74" i="7"/>
  <c r="AP73" i="7"/>
  <c r="AN73" i="7"/>
  <c r="AJ73" i="7"/>
  <c r="AH73" i="7"/>
  <c r="AD73" i="7"/>
  <c r="AB73" i="7"/>
  <c r="AA73" i="7"/>
  <c r="W73" i="7"/>
  <c r="T73" i="7"/>
  <c r="X73" i="7" s="1"/>
  <c r="S73" i="7"/>
  <c r="R73" i="7"/>
  <c r="P73" i="7"/>
  <c r="K73" i="7"/>
  <c r="AP72" i="7"/>
  <c r="AN72" i="7"/>
  <c r="AJ72" i="7"/>
  <c r="AH72" i="7"/>
  <c r="AD72" i="7"/>
  <c r="AB72" i="7"/>
  <c r="AA72" i="7"/>
  <c r="X72" i="7"/>
  <c r="W72" i="7"/>
  <c r="T72" i="7"/>
  <c r="S72" i="7"/>
  <c r="R72" i="7"/>
  <c r="P72" i="7"/>
  <c r="K72" i="7"/>
  <c r="AP71" i="7"/>
  <c r="AN71" i="7"/>
  <c r="AJ71" i="7"/>
  <c r="AH71" i="7"/>
  <c r="AD71" i="7"/>
  <c r="AB71" i="7"/>
  <c r="AA71" i="7"/>
  <c r="W71" i="7"/>
  <c r="T71" i="7"/>
  <c r="X71" i="7" s="1"/>
  <c r="S71" i="7"/>
  <c r="R71" i="7"/>
  <c r="P71" i="7"/>
  <c r="K71" i="7"/>
  <c r="AP70" i="7"/>
  <c r="AN70" i="7"/>
  <c r="AJ70" i="7"/>
  <c r="AH70" i="7"/>
  <c r="AD70" i="7"/>
  <c r="AB70" i="7"/>
  <c r="AA70" i="7"/>
  <c r="X70" i="7"/>
  <c r="W70" i="7"/>
  <c r="T70" i="7"/>
  <c r="S70" i="7"/>
  <c r="R70" i="7"/>
  <c r="P70" i="7"/>
  <c r="K70" i="7"/>
  <c r="AP69" i="7"/>
  <c r="AN69" i="7"/>
  <c r="AJ69" i="7"/>
  <c r="AH69" i="7"/>
  <c r="AD69" i="7"/>
  <c r="AB69" i="7"/>
  <c r="AA69" i="7"/>
  <c r="W69" i="7"/>
  <c r="T69" i="7"/>
  <c r="S69" i="7"/>
  <c r="R69" i="7"/>
  <c r="P69" i="7"/>
  <c r="K69" i="7"/>
  <c r="AP68" i="7"/>
  <c r="AN68" i="7"/>
  <c r="AJ68" i="7"/>
  <c r="AH68" i="7"/>
  <c r="AD68" i="7"/>
  <c r="AB68" i="7"/>
  <c r="AA68" i="7"/>
  <c r="X68" i="7"/>
  <c r="W68" i="7"/>
  <c r="T68" i="7"/>
  <c r="S68" i="7"/>
  <c r="R68" i="7"/>
  <c r="P68" i="7"/>
  <c r="K68" i="7"/>
  <c r="AP67" i="7"/>
  <c r="AN67" i="7"/>
  <c r="AJ67" i="7"/>
  <c r="AH67" i="7"/>
  <c r="AD67" i="7"/>
  <c r="AB67" i="7"/>
  <c r="AA67" i="7"/>
  <c r="W67" i="7"/>
  <c r="T67" i="7"/>
  <c r="X67" i="7" s="1"/>
  <c r="S67" i="7"/>
  <c r="R67" i="7"/>
  <c r="P67" i="7"/>
  <c r="K67" i="7"/>
  <c r="AP66" i="7"/>
  <c r="AN66" i="7"/>
  <c r="AJ66" i="7"/>
  <c r="AH66" i="7"/>
  <c r="AD66" i="7"/>
  <c r="AB66" i="7"/>
  <c r="AA66" i="7"/>
  <c r="X66" i="7"/>
  <c r="W66" i="7"/>
  <c r="T66" i="7"/>
  <c r="S66" i="7"/>
  <c r="R66" i="7"/>
  <c r="P66" i="7"/>
  <c r="K66" i="7"/>
  <c r="AP65" i="7"/>
  <c r="AN65" i="7"/>
  <c r="AJ65" i="7"/>
  <c r="AH65" i="7"/>
  <c r="AD65" i="7"/>
  <c r="AB65" i="7"/>
  <c r="AA65" i="7"/>
  <c r="W65" i="7"/>
  <c r="T65" i="7"/>
  <c r="S65" i="7"/>
  <c r="R65" i="7"/>
  <c r="P65" i="7"/>
  <c r="K65" i="7"/>
  <c r="AP64" i="7"/>
  <c r="AN64" i="7"/>
  <c r="AJ64" i="7"/>
  <c r="AH64" i="7"/>
  <c r="AD64" i="7"/>
  <c r="AB64" i="7"/>
  <c r="AA64" i="7"/>
  <c r="X64" i="7"/>
  <c r="W64" i="7"/>
  <c r="T64" i="7"/>
  <c r="S64" i="7"/>
  <c r="R64" i="7"/>
  <c r="P64" i="7"/>
  <c r="K64" i="7"/>
  <c r="AP63" i="7"/>
  <c r="AN63" i="7"/>
  <c r="AJ63" i="7"/>
  <c r="AH63" i="7"/>
  <c r="AD63" i="7"/>
  <c r="AB63" i="7"/>
  <c r="AA63" i="7"/>
  <c r="W63" i="7"/>
  <c r="T63" i="7"/>
  <c r="X63" i="7" s="1"/>
  <c r="S63" i="7"/>
  <c r="R63" i="7"/>
  <c r="P63" i="7"/>
  <c r="K63" i="7"/>
  <c r="AP62" i="7"/>
  <c r="AN62" i="7"/>
  <c r="AJ62" i="7"/>
  <c r="AH62" i="7"/>
  <c r="AD62" i="7"/>
  <c r="AB62" i="7"/>
  <c r="AA62" i="7"/>
  <c r="X62" i="7"/>
  <c r="W62" i="7"/>
  <c r="T62" i="7"/>
  <c r="S62" i="7"/>
  <c r="R62" i="7"/>
  <c r="P62" i="7"/>
  <c r="K62" i="7"/>
  <c r="AP61" i="7"/>
  <c r="AN61" i="7"/>
  <c r="AJ61" i="7"/>
  <c r="AH61" i="7"/>
  <c r="AD61" i="7"/>
  <c r="AB61" i="7"/>
  <c r="AA61" i="7"/>
  <c r="W61" i="7"/>
  <c r="T61" i="7"/>
  <c r="S61" i="7"/>
  <c r="R61" i="7"/>
  <c r="P61" i="7"/>
  <c r="K61" i="7"/>
  <c r="AP60" i="7"/>
  <c r="AN60" i="7"/>
  <c r="AJ60" i="7"/>
  <c r="AH60" i="7"/>
  <c r="AD60" i="7"/>
  <c r="AB60" i="7"/>
  <c r="AA60" i="7"/>
  <c r="W60" i="7"/>
  <c r="X60" i="7" s="1"/>
  <c r="T60" i="7"/>
  <c r="S60" i="7"/>
  <c r="R60" i="7"/>
  <c r="P60" i="7"/>
  <c r="K60" i="7"/>
  <c r="AP59" i="7"/>
  <c r="AN59" i="7"/>
  <c r="AJ59" i="7"/>
  <c r="AH59" i="7"/>
  <c r="AD59" i="7"/>
  <c r="AB59" i="7"/>
  <c r="AA59" i="7"/>
  <c r="W59" i="7"/>
  <c r="T59" i="7"/>
  <c r="X59" i="7" s="1"/>
  <c r="S59" i="7"/>
  <c r="R59" i="7"/>
  <c r="P59" i="7"/>
  <c r="K59" i="7"/>
  <c r="AP58" i="7"/>
  <c r="AN58" i="7"/>
  <c r="AJ58" i="7"/>
  <c r="AH58" i="7"/>
  <c r="AD58" i="7"/>
  <c r="AB58" i="7"/>
  <c r="AA58" i="7"/>
  <c r="X58" i="7"/>
  <c r="W58" i="7"/>
  <c r="T58" i="7"/>
  <c r="S58" i="7"/>
  <c r="R58" i="7"/>
  <c r="P58" i="7"/>
  <c r="K58" i="7"/>
  <c r="AP57" i="7"/>
  <c r="AN57" i="7"/>
  <c r="AJ57" i="7"/>
  <c r="AH57" i="7"/>
  <c r="AD57" i="7"/>
  <c r="AB57" i="7"/>
  <c r="AA57" i="7"/>
  <c r="W57" i="7"/>
  <c r="T57" i="7"/>
  <c r="S57" i="7"/>
  <c r="R57" i="7"/>
  <c r="P57" i="7"/>
  <c r="K57" i="7"/>
  <c r="AP56" i="7"/>
  <c r="AN56" i="7"/>
  <c r="AJ56" i="7"/>
  <c r="AH56" i="7"/>
  <c r="AD56" i="7"/>
  <c r="AB56" i="7"/>
  <c r="AA56" i="7"/>
  <c r="W56" i="7"/>
  <c r="X56" i="7" s="1"/>
  <c r="T56" i="7"/>
  <c r="S56" i="7"/>
  <c r="R56" i="7"/>
  <c r="P56" i="7"/>
  <c r="K56" i="7"/>
  <c r="AP55" i="7"/>
  <c r="AN55" i="7"/>
  <c r="AJ55" i="7"/>
  <c r="AH55" i="7"/>
  <c r="AD55" i="7"/>
  <c r="AB55" i="7"/>
  <c r="AA55" i="7"/>
  <c r="W55" i="7"/>
  <c r="T55" i="7"/>
  <c r="X55" i="7" s="1"/>
  <c r="S55" i="7"/>
  <c r="R55" i="7"/>
  <c r="P55" i="7"/>
  <c r="K55" i="7"/>
  <c r="AP54" i="7"/>
  <c r="AN54" i="7"/>
  <c r="AJ54" i="7"/>
  <c r="AH54" i="7"/>
  <c r="AD54" i="7"/>
  <c r="AB54" i="7"/>
  <c r="AA54" i="7"/>
  <c r="X54" i="7"/>
  <c r="W54" i="7"/>
  <c r="T54" i="7"/>
  <c r="S54" i="7"/>
  <c r="R54" i="7"/>
  <c r="P54" i="7"/>
  <c r="K54" i="7"/>
  <c r="AP53" i="7"/>
  <c r="AN53" i="7"/>
  <c r="AJ53" i="7"/>
  <c r="AH53" i="7"/>
  <c r="AD53" i="7"/>
  <c r="AB53" i="7"/>
  <c r="AA53" i="7"/>
  <c r="W53" i="7"/>
  <c r="T53" i="7"/>
  <c r="S53" i="7"/>
  <c r="R53" i="7"/>
  <c r="P53" i="7"/>
  <c r="K53" i="7"/>
  <c r="AP52" i="7"/>
  <c r="AN52" i="7"/>
  <c r="AJ52" i="7"/>
  <c r="AH52" i="7"/>
  <c r="AD52" i="7"/>
  <c r="AB52" i="7"/>
  <c r="AA52" i="7"/>
  <c r="W52" i="7"/>
  <c r="X52" i="7" s="1"/>
  <c r="T52" i="7"/>
  <c r="S52" i="7"/>
  <c r="R52" i="7"/>
  <c r="P52" i="7"/>
  <c r="K52" i="7"/>
  <c r="AP51" i="7"/>
  <c r="AN51" i="7"/>
  <c r="AJ51" i="7"/>
  <c r="AH51" i="7"/>
  <c r="AD51" i="7"/>
  <c r="AB51" i="7"/>
  <c r="AA51" i="7"/>
  <c r="W51" i="7"/>
  <c r="T51" i="7"/>
  <c r="X51" i="7" s="1"/>
  <c r="S51" i="7"/>
  <c r="R51" i="7"/>
  <c r="P51" i="7"/>
  <c r="K51" i="7"/>
  <c r="AP50" i="7"/>
  <c r="AN50" i="7"/>
  <c r="AJ50" i="7"/>
  <c r="AH50" i="7"/>
  <c r="AD50" i="7"/>
  <c r="AB50" i="7"/>
  <c r="AA50" i="7"/>
  <c r="X50" i="7"/>
  <c r="W50" i="7"/>
  <c r="T50" i="7"/>
  <c r="S50" i="7"/>
  <c r="R50" i="7"/>
  <c r="P50" i="7"/>
  <c r="K50" i="7"/>
  <c r="AP49" i="7"/>
  <c r="AN49" i="7"/>
  <c r="AJ49" i="7"/>
  <c r="AH49" i="7"/>
  <c r="AD49" i="7"/>
  <c r="AB49" i="7"/>
  <c r="AA49" i="7"/>
  <c r="W49" i="7"/>
  <c r="T49" i="7"/>
  <c r="S49" i="7"/>
  <c r="R49" i="7"/>
  <c r="P49" i="7"/>
  <c r="K49" i="7"/>
  <c r="AP48" i="7"/>
  <c r="AN48" i="7"/>
  <c r="AJ48" i="7"/>
  <c r="AH48" i="7"/>
  <c r="AD48" i="7"/>
  <c r="AB48" i="7"/>
  <c r="AA48" i="7"/>
  <c r="W48" i="7"/>
  <c r="X48" i="7" s="1"/>
  <c r="T48" i="7"/>
  <c r="S48" i="7"/>
  <c r="R48" i="7"/>
  <c r="P48" i="7"/>
  <c r="K48" i="7"/>
  <c r="AP47" i="7"/>
  <c r="AN47" i="7"/>
  <c r="AJ47" i="7"/>
  <c r="AH47" i="7"/>
  <c r="AD47" i="7"/>
  <c r="AB47" i="7"/>
  <c r="AA47" i="7"/>
  <c r="W47" i="7"/>
  <c r="T47" i="7"/>
  <c r="X47" i="7" s="1"/>
  <c r="S47" i="7"/>
  <c r="R47" i="7"/>
  <c r="P47" i="7"/>
  <c r="K47" i="7"/>
  <c r="AP46" i="7"/>
  <c r="AN46" i="7"/>
  <c r="AJ46" i="7"/>
  <c r="AH46" i="7"/>
  <c r="AD46" i="7"/>
  <c r="AB46" i="7"/>
  <c r="AA46" i="7"/>
  <c r="X46" i="7"/>
  <c r="W46" i="7"/>
  <c r="T46" i="7"/>
  <c r="S46" i="7"/>
  <c r="R46" i="7"/>
  <c r="P46" i="7"/>
  <c r="K46" i="7"/>
  <c r="AP45" i="7"/>
  <c r="AN45" i="7"/>
  <c r="AJ45" i="7"/>
  <c r="AH45" i="7"/>
  <c r="AD45" i="7"/>
  <c r="AB45" i="7"/>
  <c r="AA45" i="7"/>
  <c r="W45" i="7"/>
  <c r="T45" i="7"/>
  <c r="S45" i="7"/>
  <c r="R45" i="7"/>
  <c r="P45" i="7"/>
  <c r="K45" i="7"/>
  <c r="AP44" i="7"/>
  <c r="AN44" i="7"/>
  <c r="AJ44" i="7"/>
  <c r="AH44" i="7"/>
  <c r="AD44" i="7"/>
  <c r="AB44" i="7"/>
  <c r="AA44" i="7"/>
  <c r="W44" i="7"/>
  <c r="X44" i="7" s="1"/>
  <c r="T44" i="7"/>
  <c r="S44" i="7"/>
  <c r="R44" i="7"/>
  <c r="P44" i="7"/>
  <c r="K44" i="7"/>
  <c r="AP43" i="7"/>
  <c r="AN43" i="7"/>
  <c r="AJ43" i="7"/>
  <c r="AH43" i="7"/>
  <c r="AD43" i="7"/>
  <c r="AB43" i="7"/>
  <c r="AA43" i="7"/>
  <c r="W43" i="7"/>
  <c r="T43" i="7"/>
  <c r="X43" i="7" s="1"/>
  <c r="S43" i="7"/>
  <c r="R43" i="7"/>
  <c r="P43" i="7"/>
  <c r="K43" i="7"/>
  <c r="AP42" i="7"/>
  <c r="AN42" i="7"/>
  <c r="AJ42" i="7"/>
  <c r="AH42" i="7"/>
  <c r="AD42" i="7"/>
  <c r="AB42" i="7"/>
  <c r="AA42" i="7"/>
  <c r="X42" i="7"/>
  <c r="W42" i="7"/>
  <c r="T42" i="7"/>
  <c r="S42" i="7"/>
  <c r="R42" i="7"/>
  <c r="P42" i="7"/>
  <c r="K42" i="7"/>
  <c r="AP41" i="7"/>
  <c r="AN41" i="7"/>
  <c r="AJ41" i="7"/>
  <c r="AH41" i="7"/>
  <c r="AD41" i="7"/>
  <c r="AB41" i="7"/>
  <c r="AA41" i="7"/>
  <c r="W41" i="7"/>
  <c r="T41" i="7"/>
  <c r="S41" i="7"/>
  <c r="R41" i="7"/>
  <c r="P41" i="7"/>
  <c r="K41" i="7"/>
  <c r="AP40" i="7"/>
  <c r="AN40" i="7"/>
  <c r="AJ40" i="7"/>
  <c r="AH40" i="7"/>
  <c r="AD40" i="7"/>
  <c r="AB40" i="7"/>
  <c r="AA40" i="7"/>
  <c r="W40" i="7"/>
  <c r="X40" i="7" s="1"/>
  <c r="T40" i="7"/>
  <c r="S40" i="7"/>
  <c r="R40" i="7"/>
  <c r="P40" i="7"/>
  <c r="K40" i="7"/>
  <c r="AP39" i="7"/>
  <c r="AN39" i="7"/>
  <c r="AJ39" i="7"/>
  <c r="AH39" i="7"/>
  <c r="AD39" i="7"/>
  <c r="AB39" i="7"/>
  <c r="AA39" i="7"/>
  <c r="W39" i="7"/>
  <c r="T39" i="7"/>
  <c r="X39" i="7" s="1"/>
  <c r="S39" i="7"/>
  <c r="R39" i="7"/>
  <c r="P39" i="7"/>
  <c r="K39" i="7"/>
  <c r="AP38" i="7"/>
  <c r="AN38" i="7"/>
  <c r="AJ38" i="7"/>
  <c r="AH38" i="7"/>
  <c r="AD38" i="7"/>
  <c r="AB38" i="7"/>
  <c r="AA38" i="7"/>
  <c r="X38" i="7"/>
  <c r="W38" i="7"/>
  <c r="T38" i="7"/>
  <c r="S38" i="7"/>
  <c r="R38" i="7"/>
  <c r="P38" i="7"/>
  <c r="K38" i="7"/>
  <c r="AP37" i="7"/>
  <c r="AN37" i="7"/>
  <c r="AJ37" i="7"/>
  <c r="AH37" i="7"/>
  <c r="AD37" i="7"/>
  <c r="AB37" i="7"/>
  <c r="AA37" i="7"/>
  <c r="W37" i="7"/>
  <c r="T37" i="7"/>
  <c r="S37" i="7"/>
  <c r="R37" i="7"/>
  <c r="P37" i="7"/>
  <c r="K37" i="7"/>
  <c r="AP36" i="7"/>
  <c r="AN36" i="7"/>
  <c r="AJ36" i="7"/>
  <c r="AH36" i="7"/>
  <c r="AD36" i="7"/>
  <c r="AB36" i="7"/>
  <c r="AA36" i="7"/>
  <c r="W36" i="7"/>
  <c r="X36" i="7" s="1"/>
  <c r="T36" i="7"/>
  <c r="S36" i="7"/>
  <c r="R36" i="7"/>
  <c r="P36" i="7"/>
  <c r="K36" i="7"/>
  <c r="AP35" i="7"/>
  <c r="AN35" i="7"/>
  <c r="AJ35" i="7"/>
  <c r="AH35" i="7"/>
  <c r="AD35" i="7"/>
  <c r="AB35" i="7"/>
  <c r="AA35" i="7"/>
  <c r="W35" i="7"/>
  <c r="T35" i="7"/>
  <c r="X35" i="7" s="1"/>
  <c r="S35" i="7"/>
  <c r="R35" i="7"/>
  <c r="P35" i="7"/>
  <c r="K35" i="7"/>
  <c r="AP34" i="7"/>
  <c r="AN34" i="7"/>
  <c r="AJ34" i="7"/>
  <c r="AH34" i="7"/>
  <c r="AD34" i="7"/>
  <c r="AB34" i="7"/>
  <c r="AA34" i="7"/>
  <c r="X34" i="7"/>
  <c r="W34" i="7"/>
  <c r="T34" i="7"/>
  <c r="S34" i="7"/>
  <c r="R34" i="7"/>
  <c r="P34" i="7"/>
  <c r="K34" i="7"/>
  <c r="AP33" i="7"/>
  <c r="AN33" i="7"/>
  <c r="AJ33" i="7"/>
  <c r="AH33" i="7"/>
  <c r="AD33" i="7"/>
  <c r="AB33" i="7"/>
  <c r="AA33" i="7"/>
  <c r="W33" i="7"/>
  <c r="T33" i="7"/>
  <c r="S33" i="7"/>
  <c r="R33" i="7"/>
  <c r="P33" i="7"/>
  <c r="K33" i="7"/>
  <c r="AP32" i="7"/>
  <c r="AN32" i="7"/>
  <c r="AJ32" i="7"/>
  <c r="AH32" i="7"/>
  <c r="AD32" i="7"/>
  <c r="AB32" i="7"/>
  <c r="AA32" i="7"/>
  <c r="W32" i="7"/>
  <c r="X32" i="7" s="1"/>
  <c r="T32" i="7"/>
  <c r="S32" i="7"/>
  <c r="R32" i="7"/>
  <c r="P32" i="7"/>
  <c r="K32" i="7"/>
  <c r="AP31" i="7"/>
  <c r="AN31" i="7"/>
  <c r="AJ31" i="7"/>
  <c r="AH31" i="7"/>
  <c r="AD31" i="7"/>
  <c r="AB31" i="7"/>
  <c r="AA31" i="7"/>
  <c r="W31" i="7"/>
  <c r="T31" i="7"/>
  <c r="X31" i="7" s="1"/>
  <c r="S31" i="7"/>
  <c r="R31" i="7"/>
  <c r="P31" i="7"/>
  <c r="K31" i="7"/>
  <c r="AP30" i="7"/>
  <c r="AN30" i="7"/>
  <c r="AJ30" i="7"/>
  <c r="AH30" i="7"/>
  <c r="AD30" i="7"/>
  <c r="AB30" i="7"/>
  <c r="AA30" i="7"/>
  <c r="X30" i="7"/>
  <c r="W30" i="7"/>
  <c r="T30" i="7"/>
  <c r="S30" i="7"/>
  <c r="R30" i="7"/>
  <c r="P30" i="7"/>
  <c r="K30" i="7"/>
  <c r="AP29" i="7"/>
  <c r="AN29" i="7"/>
  <c r="AJ29" i="7"/>
  <c r="AH29" i="7"/>
  <c r="AD29" i="7"/>
  <c r="AB29" i="7"/>
  <c r="AA29" i="7"/>
  <c r="W29" i="7"/>
  <c r="T29" i="7"/>
  <c r="S29" i="7"/>
  <c r="R29" i="7"/>
  <c r="P29" i="7"/>
  <c r="K29" i="7"/>
  <c r="AP28" i="7"/>
  <c r="AN28" i="7"/>
  <c r="AJ28" i="7"/>
  <c r="AH28" i="7"/>
  <c r="AD28" i="7"/>
  <c r="AB28" i="7"/>
  <c r="AA28" i="7"/>
  <c r="W28" i="7"/>
  <c r="T28" i="7"/>
  <c r="X28" i="7" s="1"/>
  <c r="S28" i="7"/>
  <c r="R28" i="7"/>
  <c r="P28" i="7"/>
  <c r="K28" i="7"/>
  <c r="AP27" i="7"/>
  <c r="AN27" i="7"/>
  <c r="AJ27" i="7"/>
  <c r="AH27" i="7"/>
  <c r="AD27" i="7"/>
  <c r="AB27" i="7"/>
  <c r="AA27" i="7"/>
  <c r="W27" i="7"/>
  <c r="X27" i="7" s="1"/>
  <c r="T27" i="7"/>
  <c r="S27" i="7"/>
  <c r="R27" i="7"/>
  <c r="P27" i="7"/>
  <c r="K27" i="7"/>
  <c r="AP26" i="7"/>
  <c r="AN26" i="7"/>
  <c r="AJ26" i="7"/>
  <c r="AH26" i="7"/>
  <c r="AD26" i="7"/>
  <c r="AB26" i="7"/>
  <c r="AA26" i="7"/>
  <c r="W26" i="7"/>
  <c r="T26" i="7"/>
  <c r="X26" i="7" s="1"/>
  <c r="S26" i="7"/>
  <c r="R26" i="7"/>
  <c r="P26" i="7"/>
  <c r="K26" i="7"/>
  <c r="AP25" i="7"/>
  <c r="AN25" i="7"/>
  <c r="AJ25" i="7"/>
  <c r="AH25" i="7"/>
  <c r="AD25" i="7"/>
  <c r="AB25" i="7"/>
  <c r="AA25" i="7"/>
  <c r="W25" i="7"/>
  <c r="X25" i="7" s="1"/>
  <c r="T25" i="7"/>
  <c r="S25" i="7"/>
  <c r="R25" i="7"/>
  <c r="P25" i="7"/>
  <c r="K25" i="7"/>
  <c r="AP24" i="7"/>
  <c r="AN24" i="7"/>
  <c r="AJ24" i="7"/>
  <c r="AH24" i="7"/>
  <c r="AD24" i="7"/>
  <c r="AB24" i="7"/>
  <c r="AA24" i="7"/>
  <c r="W24" i="7"/>
  <c r="T24" i="7"/>
  <c r="X24" i="7" s="1"/>
  <c r="S24" i="7"/>
  <c r="R24" i="7"/>
  <c r="P24" i="7"/>
  <c r="K24" i="7"/>
  <c r="AP23" i="7"/>
  <c r="AN23" i="7"/>
  <c r="AJ23" i="7"/>
  <c r="AH23" i="7"/>
  <c r="AD23" i="7"/>
  <c r="AB23" i="7"/>
  <c r="AA23" i="7"/>
  <c r="W23" i="7"/>
  <c r="X23" i="7" s="1"/>
  <c r="T23" i="7"/>
  <c r="S23" i="7"/>
  <c r="R23" i="7"/>
  <c r="P23" i="7"/>
  <c r="K23" i="7"/>
  <c r="AP22" i="7"/>
  <c r="AN22" i="7"/>
  <c r="AJ22" i="7"/>
  <c r="AH22" i="7"/>
  <c r="AD22" i="7"/>
  <c r="AB22" i="7"/>
  <c r="AA22" i="7"/>
  <c r="W22" i="7"/>
  <c r="T22" i="7"/>
  <c r="X22" i="7" s="1"/>
  <c r="S22" i="7"/>
  <c r="R22" i="7"/>
  <c r="P22" i="7"/>
  <c r="K22" i="7"/>
  <c r="AP21" i="7"/>
  <c r="AN21" i="7"/>
  <c r="AJ21" i="7"/>
  <c r="AH21" i="7"/>
  <c r="AD21" i="7"/>
  <c r="AB21" i="7"/>
  <c r="AA21" i="7"/>
  <c r="W21" i="7"/>
  <c r="T21" i="7"/>
  <c r="X21" i="7" s="1"/>
  <c r="S21" i="7"/>
  <c r="R21" i="7"/>
  <c r="P21" i="7"/>
  <c r="K21" i="7"/>
  <c r="AP20" i="7"/>
  <c r="AN20" i="7"/>
  <c r="AJ20" i="7"/>
  <c r="AH20" i="7"/>
  <c r="AD20" i="7"/>
  <c r="AB20" i="7"/>
  <c r="AA20" i="7"/>
  <c r="W20" i="7"/>
  <c r="X20" i="7" s="1"/>
  <c r="T20" i="7"/>
  <c r="S20" i="7"/>
  <c r="R20" i="7"/>
  <c r="P20" i="7"/>
  <c r="K20" i="7"/>
  <c r="AP19" i="7"/>
  <c r="AN19" i="7"/>
  <c r="AJ19" i="7"/>
  <c r="AH19" i="7"/>
  <c r="AD19" i="7"/>
  <c r="AB19" i="7"/>
  <c r="AA19" i="7"/>
  <c r="W19" i="7"/>
  <c r="T19" i="7"/>
  <c r="X19" i="7" s="1"/>
  <c r="S19" i="7"/>
  <c r="R19" i="7"/>
  <c r="P19" i="7"/>
  <c r="K19" i="7"/>
  <c r="AP18" i="7"/>
  <c r="AN18" i="7"/>
  <c r="AJ18" i="7"/>
  <c r="AH18" i="7"/>
  <c r="AD18" i="7"/>
  <c r="AB18" i="7"/>
  <c r="AA18" i="7"/>
  <c r="W18" i="7"/>
  <c r="X18" i="7" s="1"/>
  <c r="T18" i="7"/>
  <c r="S18" i="7"/>
  <c r="R18" i="7"/>
  <c r="P18" i="7"/>
  <c r="K18" i="7"/>
  <c r="AP17" i="7"/>
  <c r="AN17" i="7"/>
  <c r="AJ17" i="7"/>
  <c r="AH17" i="7"/>
  <c r="AD17" i="7"/>
  <c r="AB17" i="7"/>
  <c r="AA17" i="7"/>
  <c r="W17" i="7"/>
  <c r="T17" i="7"/>
  <c r="X17" i="7" s="1"/>
  <c r="S17" i="7"/>
  <c r="R17" i="7"/>
  <c r="P17" i="7"/>
  <c r="K17" i="7"/>
  <c r="AP16" i="7"/>
  <c r="AN16" i="7"/>
  <c r="AJ16" i="7"/>
  <c r="AH16" i="7"/>
  <c r="AD16" i="7"/>
  <c r="AB16" i="7"/>
  <c r="AA16" i="7"/>
  <c r="W16" i="7"/>
  <c r="X16" i="7" s="1"/>
  <c r="T16" i="7"/>
  <c r="S16" i="7"/>
  <c r="R16" i="7"/>
  <c r="P16" i="7"/>
  <c r="K16" i="7"/>
  <c r="AP15" i="7"/>
  <c r="AN15" i="7"/>
  <c r="AJ15" i="7"/>
  <c r="AH15" i="7"/>
  <c r="AD15" i="7"/>
  <c r="AB15" i="7"/>
  <c r="AA15" i="7"/>
  <c r="W15" i="7"/>
  <c r="T15" i="7"/>
  <c r="X15" i="7" s="1"/>
  <c r="S15" i="7"/>
  <c r="R15" i="7"/>
  <c r="P15" i="7"/>
  <c r="K15" i="7"/>
  <c r="AP14" i="7"/>
  <c r="AN14" i="7"/>
  <c r="AJ14" i="7"/>
  <c r="AH14" i="7"/>
  <c r="AD14" i="7"/>
  <c r="AB14" i="7"/>
  <c r="AA14" i="7"/>
  <c r="W14" i="7"/>
  <c r="X14" i="7" s="1"/>
  <c r="T14" i="7"/>
  <c r="S14" i="7"/>
  <c r="R14" i="7"/>
  <c r="P14" i="7"/>
  <c r="K14" i="7"/>
  <c r="AP13" i="7"/>
  <c r="AN13" i="7"/>
  <c r="AJ13" i="7"/>
  <c r="AH13" i="7"/>
  <c r="AD13" i="7"/>
  <c r="AB13" i="7"/>
  <c r="AA13" i="7"/>
  <c r="W13" i="7"/>
  <c r="T13" i="7"/>
  <c r="X13" i="7" s="1"/>
  <c r="S13" i="7"/>
  <c r="R13" i="7"/>
  <c r="P13" i="7"/>
  <c r="K13" i="7"/>
  <c r="AP12" i="7"/>
  <c r="AN12" i="7"/>
  <c r="AJ12" i="7"/>
  <c r="AH12" i="7"/>
  <c r="AD12" i="7"/>
  <c r="AB12" i="7"/>
  <c r="AA12" i="7"/>
  <c r="W12" i="7"/>
  <c r="X12" i="7" s="1"/>
  <c r="T12" i="7"/>
  <c r="S12" i="7"/>
  <c r="R12" i="7"/>
  <c r="P12" i="7"/>
  <c r="K12" i="7"/>
  <c r="AP11" i="7"/>
  <c r="AN11" i="7"/>
  <c r="AJ11" i="7"/>
  <c r="AH11" i="7"/>
  <c r="AD11" i="7"/>
  <c r="AB11" i="7"/>
  <c r="AA11" i="7"/>
  <c r="W11" i="7"/>
  <c r="T11" i="7"/>
  <c r="X11" i="7" s="1"/>
  <c r="S11" i="7"/>
  <c r="R11" i="7"/>
  <c r="P11" i="7"/>
  <c r="K11" i="7"/>
  <c r="AP10" i="7"/>
  <c r="AN10" i="7"/>
  <c r="AJ10" i="7"/>
  <c r="AH10" i="7"/>
  <c r="AD10" i="7"/>
  <c r="AB10" i="7"/>
  <c r="AA10" i="7"/>
  <c r="W10" i="7"/>
  <c r="X10" i="7" s="1"/>
  <c r="T10" i="7"/>
  <c r="S10" i="7"/>
  <c r="R10" i="7"/>
  <c r="P10" i="7"/>
  <c r="K10" i="7"/>
  <c r="AP9" i="7"/>
  <c r="AN9" i="7"/>
  <c r="AJ9" i="7"/>
  <c r="AH9" i="7"/>
  <c r="AD9" i="7"/>
  <c r="AB9" i="7"/>
  <c r="AA9" i="7"/>
  <c r="W9" i="7"/>
  <c r="T9" i="7"/>
  <c r="X9" i="7" s="1"/>
  <c r="S9" i="7"/>
  <c r="R9" i="7"/>
  <c r="P9" i="7"/>
  <c r="K9" i="7"/>
  <c r="AP8" i="7"/>
  <c r="AN8" i="7"/>
  <c r="AJ8" i="7"/>
  <c r="AH8" i="7"/>
  <c r="AD8" i="7"/>
  <c r="AB8" i="7"/>
  <c r="AA8" i="7"/>
  <c r="W8" i="7"/>
  <c r="X8" i="7" s="1"/>
  <c r="T8" i="7"/>
  <c r="S8" i="7"/>
  <c r="R8" i="7"/>
  <c r="P8" i="7"/>
  <c r="K8" i="7"/>
  <c r="AP7" i="7"/>
  <c r="AN7" i="7"/>
  <c r="AJ7" i="7"/>
  <c r="AH7" i="7"/>
  <c r="AD7" i="7"/>
  <c r="AB7" i="7"/>
  <c r="AA7" i="7"/>
  <c r="W7" i="7"/>
  <c r="T7" i="7"/>
  <c r="X7" i="7" s="1"/>
  <c r="S7" i="7"/>
  <c r="R7" i="7"/>
  <c r="P7" i="7"/>
  <c r="K7" i="7"/>
  <c r="AP6" i="7"/>
  <c r="AN6" i="7"/>
  <c r="AJ6" i="7"/>
  <c r="AH6" i="7"/>
  <c r="AD6" i="7"/>
  <c r="AB6" i="7"/>
  <c r="AA6" i="7"/>
  <c r="W6" i="7"/>
  <c r="X6" i="7" s="1"/>
  <c r="T6" i="7"/>
  <c r="S6" i="7"/>
  <c r="R6" i="7"/>
  <c r="P6" i="7"/>
  <c r="K6" i="7"/>
  <c r="AP5" i="7"/>
  <c r="AN5" i="7"/>
  <c r="AJ5" i="7"/>
  <c r="AH5" i="7"/>
  <c r="AD5" i="7"/>
  <c r="AB5" i="7"/>
  <c r="AA5" i="7"/>
  <c r="W5" i="7"/>
  <c r="T5" i="7"/>
  <c r="X5" i="7" s="1"/>
  <c r="S5" i="7"/>
  <c r="R5" i="7"/>
  <c r="P5" i="7"/>
  <c r="K5" i="7"/>
  <c r="AP4" i="7"/>
  <c r="AN4" i="7"/>
  <c r="AJ4" i="7"/>
  <c r="AH4" i="7"/>
  <c r="AD4" i="7"/>
  <c r="AB4" i="7"/>
  <c r="AA4" i="7"/>
  <c r="W4" i="7"/>
  <c r="X4" i="7" s="1"/>
  <c r="T4" i="7"/>
  <c r="S4" i="7"/>
  <c r="R4" i="7"/>
  <c r="P4" i="7"/>
  <c r="K4" i="7"/>
  <c r="AP3" i="7"/>
  <c r="AN3" i="7"/>
  <c r="AJ3" i="7"/>
  <c r="AH3" i="7"/>
  <c r="AD3" i="7"/>
  <c r="AB3" i="7"/>
  <c r="AA3" i="7"/>
  <c r="W3" i="7"/>
  <c r="T3" i="7"/>
  <c r="X3" i="7" s="1"/>
  <c r="S3" i="7"/>
  <c r="R3" i="7"/>
  <c r="P3" i="7"/>
  <c r="K3" i="7"/>
  <c r="AP2" i="7"/>
  <c r="AN2" i="7"/>
  <c r="AJ2" i="7"/>
  <c r="AH2" i="7"/>
  <c r="AD2" i="7"/>
  <c r="AA2" i="7"/>
  <c r="W2" i="7"/>
  <c r="T2" i="7"/>
  <c r="X2" i="7" s="1"/>
  <c r="S2" i="7"/>
  <c r="R2" i="7"/>
  <c r="P2" i="7"/>
  <c r="K2" i="7"/>
  <c r="AP2" i="5"/>
  <c r="AP3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137" i="5"/>
  <c r="AP138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53" i="5"/>
  <c r="AP154" i="5"/>
  <c r="AP155" i="5"/>
  <c r="AP156" i="5"/>
  <c r="AP157" i="5"/>
  <c r="AP158" i="5"/>
  <c r="AP159" i="5"/>
  <c r="AP160" i="5"/>
  <c r="AP161" i="5"/>
  <c r="AP162" i="5"/>
  <c r="AP163" i="5"/>
  <c r="AP164" i="5"/>
  <c r="AP165" i="5"/>
  <c r="AP166" i="5"/>
  <c r="AP167" i="5"/>
  <c r="AP168" i="5"/>
  <c r="AP169" i="5"/>
  <c r="AP170" i="5"/>
  <c r="AP171" i="5"/>
  <c r="AP172" i="5"/>
  <c r="AP173" i="5"/>
  <c r="AP174" i="5"/>
  <c r="AP175" i="5"/>
  <c r="AP176" i="5"/>
  <c r="AP177" i="5"/>
  <c r="AP178" i="5"/>
  <c r="AP179" i="5"/>
  <c r="AP180" i="5"/>
  <c r="AP181" i="5"/>
  <c r="AP182" i="5"/>
  <c r="AP183" i="5"/>
  <c r="AP184" i="5"/>
  <c r="AP185" i="5"/>
  <c r="AP186" i="5"/>
  <c r="AP187" i="5"/>
  <c r="AP188" i="5"/>
  <c r="AP189" i="5"/>
  <c r="AP190" i="5"/>
  <c r="AP191" i="5"/>
  <c r="AP192" i="5"/>
  <c r="AP193" i="5"/>
  <c r="AP194" i="5"/>
  <c r="AP195" i="5"/>
  <c r="AP196" i="5"/>
  <c r="AP197" i="5"/>
  <c r="AP198" i="5"/>
  <c r="AP199" i="5"/>
  <c r="AP200" i="5"/>
  <c r="AP201" i="5"/>
  <c r="AP202" i="5"/>
  <c r="AP203" i="5"/>
  <c r="AP204" i="5"/>
  <c r="AP205" i="5"/>
  <c r="AP206" i="5"/>
  <c r="AP207" i="5"/>
  <c r="AP208" i="5"/>
  <c r="AP209" i="5"/>
  <c r="AP210" i="5"/>
  <c r="AP211" i="5"/>
  <c r="AP212" i="5"/>
  <c r="AP213" i="5"/>
  <c r="AP214" i="5"/>
  <c r="AP215" i="5"/>
  <c r="AP216" i="5"/>
  <c r="AP217" i="5"/>
  <c r="AP218" i="5"/>
  <c r="AP219" i="5"/>
  <c r="AP220" i="5"/>
  <c r="AP221" i="5"/>
  <c r="AP222" i="5"/>
  <c r="AP223" i="5"/>
  <c r="AP224" i="5"/>
  <c r="AP225" i="5"/>
  <c r="AP226" i="5"/>
  <c r="AP227" i="5"/>
  <c r="AP228" i="5"/>
  <c r="AP229" i="5"/>
  <c r="AP230" i="5"/>
  <c r="AP231" i="5"/>
  <c r="AP232" i="5"/>
  <c r="AP233" i="5"/>
  <c r="AP234" i="5"/>
  <c r="AP235" i="5"/>
  <c r="AP236" i="5"/>
  <c r="AP237" i="5"/>
  <c r="AP238" i="5"/>
  <c r="AP239" i="5"/>
  <c r="AP240" i="5"/>
  <c r="AP241" i="5"/>
  <c r="AP242" i="5"/>
  <c r="AP243" i="5"/>
  <c r="AP244" i="5"/>
  <c r="AP245" i="5"/>
  <c r="AP246" i="5"/>
  <c r="AP247" i="5"/>
  <c r="AP248" i="5"/>
  <c r="AP249" i="5"/>
  <c r="AP250" i="5"/>
  <c r="AP251" i="5"/>
  <c r="AP252" i="5"/>
  <c r="AP253" i="5"/>
  <c r="AP254" i="5"/>
  <c r="AP255" i="5"/>
  <c r="AP256" i="5"/>
  <c r="AP257" i="5"/>
  <c r="AP258" i="5"/>
  <c r="AP259" i="5"/>
  <c r="AP260" i="5"/>
  <c r="AP261" i="5"/>
  <c r="AP262" i="5"/>
  <c r="AP263" i="5"/>
  <c r="AP264" i="5"/>
  <c r="AP265" i="5"/>
  <c r="AP266" i="5"/>
  <c r="AP267" i="5"/>
  <c r="AP268" i="5"/>
  <c r="AP269" i="5"/>
  <c r="AP270" i="5"/>
  <c r="AP271" i="5"/>
  <c r="AP272" i="5"/>
  <c r="AP273" i="5"/>
  <c r="AP274" i="5"/>
  <c r="AP275" i="5"/>
  <c r="AP276" i="5"/>
  <c r="AP277" i="5"/>
  <c r="AP278" i="5"/>
  <c r="AP279" i="5"/>
  <c r="AP280" i="5"/>
  <c r="AP281" i="5"/>
  <c r="AP282" i="5"/>
  <c r="AP283" i="5"/>
  <c r="AP284" i="5"/>
  <c r="AP285" i="5"/>
  <c r="AP286" i="5"/>
  <c r="AP287" i="5"/>
  <c r="AP288" i="5"/>
  <c r="AP289" i="5"/>
  <c r="AP290" i="5"/>
  <c r="AP291" i="5"/>
  <c r="AP292" i="5"/>
  <c r="AP293" i="5"/>
  <c r="AP294" i="5"/>
  <c r="AP295" i="5"/>
  <c r="AP296" i="5"/>
  <c r="AP297" i="5"/>
  <c r="AP298" i="5"/>
  <c r="AP299" i="5"/>
  <c r="AP300" i="5"/>
  <c r="AP301" i="5"/>
  <c r="AP302" i="5"/>
  <c r="AP303" i="5"/>
  <c r="AP304" i="5"/>
  <c r="AP305" i="5"/>
  <c r="AP306" i="5"/>
  <c r="AP307" i="5"/>
  <c r="AP308" i="5"/>
  <c r="AP309" i="5"/>
  <c r="AP310" i="5"/>
  <c r="AP311" i="5"/>
  <c r="AP312" i="5"/>
  <c r="AP313" i="5"/>
  <c r="AP314" i="5"/>
  <c r="AP315" i="5"/>
  <c r="AP316" i="5"/>
  <c r="AP317" i="5"/>
  <c r="AP318" i="5"/>
  <c r="AP319" i="5"/>
  <c r="AP320" i="5"/>
  <c r="AP321" i="5"/>
  <c r="AP322" i="5"/>
  <c r="AP323" i="5"/>
  <c r="AP324" i="5"/>
  <c r="AP325" i="5"/>
  <c r="AP326" i="5"/>
  <c r="AP327" i="5"/>
  <c r="AP328" i="5"/>
  <c r="AP329" i="5"/>
  <c r="AP330" i="5"/>
  <c r="AP331" i="5"/>
  <c r="AP332" i="5"/>
  <c r="AP333" i="5"/>
  <c r="AP334" i="5"/>
  <c r="AP335" i="5"/>
  <c r="AP336" i="5"/>
  <c r="AP337" i="5"/>
  <c r="AP338" i="5"/>
  <c r="AP339" i="5"/>
  <c r="AP340" i="5"/>
  <c r="AP341" i="5"/>
  <c r="AP342" i="5"/>
  <c r="AP343" i="5"/>
  <c r="AP344" i="5"/>
  <c r="AP345" i="5"/>
  <c r="AP346" i="5"/>
  <c r="AP347" i="5"/>
  <c r="AP348" i="5"/>
  <c r="AP349" i="5"/>
  <c r="AP350" i="5"/>
  <c r="AP351" i="5"/>
  <c r="AP352" i="5"/>
  <c r="AP353" i="5"/>
  <c r="AP354" i="5"/>
  <c r="AP355" i="5"/>
  <c r="AP356" i="5"/>
  <c r="AP357" i="5"/>
  <c r="AP358" i="5"/>
  <c r="AP359" i="5"/>
  <c r="AP360" i="5"/>
  <c r="AP361" i="5"/>
  <c r="AP362" i="5"/>
  <c r="AP363" i="5"/>
  <c r="AP364" i="5"/>
  <c r="AP365" i="5"/>
  <c r="AP366" i="5"/>
  <c r="AN2" i="5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5" i="5"/>
  <c r="AN186" i="5"/>
  <c r="AN187" i="5"/>
  <c r="AN188" i="5"/>
  <c r="AN189" i="5"/>
  <c r="AN190" i="5"/>
  <c r="AN191" i="5"/>
  <c r="AN192" i="5"/>
  <c r="AN193" i="5"/>
  <c r="AN194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39" i="5"/>
  <c r="AN240" i="5"/>
  <c r="AN241" i="5"/>
  <c r="AN242" i="5"/>
  <c r="AN243" i="5"/>
  <c r="AN244" i="5"/>
  <c r="AN245" i="5"/>
  <c r="AN246" i="5"/>
  <c r="AN247" i="5"/>
  <c r="AN24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72" i="5"/>
  <c r="AN273" i="5"/>
  <c r="AN274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301" i="5"/>
  <c r="AN302" i="5"/>
  <c r="AN303" i="5"/>
  <c r="AN304" i="5"/>
  <c r="AN305" i="5"/>
  <c r="AN306" i="5"/>
  <c r="AN307" i="5"/>
  <c r="AN308" i="5"/>
  <c r="AN309" i="5"/>
  <c r="AN310" i="5"/>
  <c r="AN311" i="5"/>
  <c r="AN312" i="5"/>
  <c r="AN313" i="5"/>
  <c r="AN314" i="5"/>
  <c r="AN315" i="5"/>
  <c r="AN316" i="5"/>
  <c r="AN317" i="5"/>
  <c r="AN318" i="5"/>
  <c r="AN319" i="5"/>
  <c r="AN320" i="5"/>
  <c r="AN321" i="5"/>
  <c r="AN322" i="5"/>
  <c r="AN323" i="5"/>
  <c r="AN324" i="5"/>
  <c r="AN325" i="5"/>
  <c r="AN326" i="5"/>
  <c r="AN327" i="5"/>
  <c r="AN328" i="5"/>
  <c r="AN329" i="5"/>
  <c r="AN330" i="5"/>
  <c r="AN331" i="5"/>
  <c r="AN332" i="5"/>
  <c r="AN333" i="5"/>
  <c r="AN334" i="5"/>
  <c r="AN335" i="5"/>
  <c r="AN336" i="5"/>
  <c r="AN337" i="5"/>
  <c r="AN338" i="5"/>
  <c r="AN339" i="5"/>
  <c r="AN340" i="5"/>
  <c r="AN341" i="5"/>
  <c r="AN342" i="5"/>
  <c r="AN343" i="5"/>
  <c r="AN344" i="5"/>
  <c r="AN345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J2" i="5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B4" i="6"/>
  <c r="AB5" i="6"/>
  <c r="AB6" i="6"/>
  <c r="AB7" i="6"/>
  <c r="AD7" i="6" s="1"/>
  <c r="AB8" i="6"/>
  <c r="AB9" i="6"/>
  <c r="AB10" i="6"/>
  <c r="AB11" i="6"/>
  <c r="AD11" i="6" s="1"/>
  <c r="AB12" i="6"/>
  <c r="AB13" i="6"/>
  <c r="AB14" i="6"/>
  <c r="AB15" i="6"/>
  <c r="AD15" i="6" s="1"/>
  <c r="AB16" i="6"/>
  <c r="AB17" i="6"/>
  <c r="AB18" i="6"/>
  <c r="AB19" i="6"/>
  <c r="AD19" i="6" s="1"/>
  <c r="AB20" i="6"/>
  <c r="AB21" i="6"/>
  <c r="AB22" i="6"/>
  <c r="AB23" i="6"/>
  <c r="AD23" i="6" s="1"/>
  <c r="AB24" i="6"/>
  <c r="AB25" i="6"/>
  <c r="AB26" i="6"/>
  <c r="AB27" i="6"/>
  <c r="AD27" i="6" s="1"/>
  <c r="AB28" i="6"/>
  <c r="AB29" i="6"/>
  <c r="AB30" i="6"/>
  <c r="AB31" i="6"/>
  <c r="AD31" i="6" s="1"/>
  <c r="AB32" i="6"/>
  <c r="AB33" i="6"/>
  <c r="AB34" i="6"/>
  <c r="AB35" i="6"/>
  <c r="AD35" i="6" s="1"/>
  <c r="AB36" i="6"/>
  <c r="AB37" i="6"/>
  <c r="AB38" i="6"/>
  <c r="AB39" i="6"/>
  <c r="AD39" i="6" s="1"/>
  <c r="AB40" i="6"/>
  <c r="AB41" i="6"/>
  <c r="AB42" i="6"/>
  <c r="AB43" i="6"/>
  <c r="AD43" i="6" s="1"/>
  <c r="AB44" i="6"/>
  <c r="AB45" i="6"/>
  <c r="AB46" i="6"/>
  <c r="AB47" i="6"/>
  <c r="AD47" i="6" s="1"/>
  <c r="AB48" i="6"/>
  <c r="AB49" i="6"/>
  <c r="AB50" i="6"/>
  <c r="AB51" i="6"/>
  <c r="AD51" i="6" s="1"/>
  <c r="AB52" i="6"/>
  <c r="AB53" i="6"/>
  <c r="AB54" i="6"/>
  <c r="AB55" i="6"/>
  <c r="AD55" i="6" s="1"/>
  <c r="AB56" i="6"/>
  <c r="AB57" i="6"/>
  <c r="AB58" i="6"/>
  <c r="AB59" i="6"/>
  <c r="AD59" i="6" s="1"/>
  <c r="AB60" i="6"/>
  <c r="AB61" i="6"/>
  <c r="AB62" i="6"/>
  <c r="AB63" i="6"/>
  <c r="AD63" i="6" s="1"/>
  <c r="AB64" i="6"/>
  <c r="AB65" i="6"/>
  <c r="AB66" i="6"/>
  <c r="AB67" i="6"/>
  <c r="AD67" i="6" s="1"/>
  <c r="AB68" i="6"/>
  <c r="AB69" i="6"/>
  <c r="AB70" i="6"/>
  <c r="AB71" i="6"/>
  <c r="AD71" i="6" s="1"/>
  <c r="AB72" i="6"/>
  <c r="AB73" i="6"/>
  <c r="AB74" i="6"/>
  <c r="AB75" i="6"/>
  <c r="AD75" i="6" s="1"/>
  <c r="AB76" i="6"/>
  <c r="AB77" i="6"/>
  <c r="AB78" i="6"/>
  <c r="AB79" i="6"/>
  <c r="AD79" i="6" s="1"/>
  <c r="AB80" i="6"/>
  <c r="AB81" i="6"/>
  <c r="AB82" i="6"/>
  <c r="AB83" i="6"/>
  <c r="AD83" i="6" s="1"/>
  <c r="AB84" i="6"/>
  <c r="AB85" i="6"/>
  <c r="AB86" i="6"/>
  <c r="AB87" i="6"/>
  <c r="AD87" i="6" s="1"/>
  <c r="AB88" i="6"/>
  <c r="AB89" i="6"/>
  <c r="AB90" i="6"/>
  <c r="AB91" i="6"/>
  <c r="AD91" i="6" s="1"/>
  <c r="AB92" i="6"/>
  <c r="AB93" i="6"/>
  <c r="AB94" i="6"/>
  <c r="AB95" i="6"/>
  <c r="AD95" i="6" s="1"/>
  <c r="AB96" i="6"/>
  <c r="AB97" i="6"/>
  <c r="AB98" i="6"/>
  <c r="AB99" i="6"/>
  <c r="AD99" i="6" s="1"/>
  <c r="AB100" i="6"/>
  <c r="AB101" i="6"/>
  <c r="AB102" i="6"/>
  <c r="AB103" i="6"/>
  <c r="AD103" i="6" s="1"/>
  <c r="AB104" i="6"/>
  <c r="AB105" i="6"/>
  <c r="AB106" i="6"/>
  <c r="AB107" i="6"/>
  <c r="AD107" i="6" s="1"/>
  <c r="AB108" i="6"/>
  <c r="AB109" i="6"/>
  <c r="AB110" i="6"/>
  <c r="AB111" i="6"/>
  <c r="AD111" i="6" s="1"/>
  <c r="AB112" i="6"/>
  <c r="AB113" i="6"/>
  <c r="AB114" i="6"/>
  <c r="AB115" i="6"/>
  <c r="AD115" i="6" s="1"/>
  <c r="AB116" i="6"/>
  <c r="AB117" i="6"/>
  <c r="AB118" i="6"/>
  <c r="AB119" i="6"/>
  <c r="AD119" i="6" s="1"/>
  <c r="AB120" i="6"/>
  <c r="AB121" i="6"/>
  <c r="AB122" i="6"/>
  <c r="AB123" i="6"/>
  <c r="AD123" i="6" s="1"/>
  <c r="AB124" i="6"/>
  <c r="AB125" i="6"/>
  <c r="AB126" i="6"/>
  <c r="AB127" i="6"/>
  <c r="AD127" i="6" s="1"/>
  <c r="AB128" i="6"/>
  <c r="AB129" i="6"/>
  <c r="AB130" i="6"/>
  <c r="AB131" i="6"/>
  <c r="AD131" i="6" s="1"/>
  <c r="AB132" i="6"/>
  <c r="AB133" i="6"/>
  <c r="AB134" i="6"/>
  <c r="AB135" i="6"/>
  <c r="AD135" i="6" s="1"/>
  <c r="AB136" i="6"/>
  <c r="AB137" i="6"/>
  <c r="AB138" i="6"/>
  <c r="AB139" i="6"/>
  <c r="AD139" i="6" s="1"/>
  <c r="AB140" i="6"/>
  <c r="AB141" i="6"/>
  <c r="AB142" i="6"/>
  <c r="AB143" i="6"/>
  <c r="AD143" i="6" s="1"/>
  <c r="AB144" i="6"/>
  <c r="AB145" i="6"/>
  <c r="AB146" i="6"/>
  <c r="AB147" i="6"/>
  <c r="AD147" i="6" s="1"/>
  <c r="AB148" i="6"/>
  <c r="AB149" i="6"/>
  <c r="AB150" i="6"/>
  <c r="AB151" i="6"/>
  <c r="AD151" i="6" s="1"/>
  <c r="AB152" i="6"/>
  <c r="AB153" i="6"/>
  <c r="AB154" i="6"/>
  <c r="AB155" i="6"/>
  <c r="AD155" i="6" s="1"/>
  <c r="AB156" i="6"/>
  <c r="AB157" i="6"/>
  <c r="AB158" i="6"/>
  <c r="AB159" i="6"/>
  <c r="AD159" i="6" s="1"/>
  <c r="AB160" i="6"/>
  <c r="AB161" i="6"/>
  <c r="AB162" i="6"/>
  <c r="AB163" i="6"/>
  <c r="AD163" i="6" s="1"/>
  <c r="AB164" i="6"/>
  <c r="AB165" i="6"/>
  <c r="AB166" i="6"/>
  <c r="AB167" i="6"/>
  <c r="AD167" i="6" s="1"/>
  <c r="AB168" i="6"/>
  <c r="AB169" i="6"/>
  <c r="AB170" i="6"/>
  <c r="AB171" i="6"/>
  <c r="AD171" i="6" s="1"/>
  <c r="AB172" i="6"/>
  <c r="AB173" i="6"/>
  <c r="AB174" i="6"/>
  <c r="AB175" i="6"/>
  <c r="AD175" i="6" s="1"/>
  <c r="AB176" i="6"/>
  <c r="AB177" i="6"/>
  <c r="AB178" i="6"/>
  <c r="AB179" i="6"/>
  <c r="AD179" i="6" s="1"/>
  <c r="AB180" i="6"/>
  <c r="AB181" i="6"/>
  <c r="AB182" i="6"/>
  <c r="AB183" i="6"/>
  <c r="AD183" i="6" s="1"/>
  <c r="AB184" i="6"/>
  <c r="AB185" i="6"/>
  <c r="AB186" i="6"/>
  <c r="AB187" i="6"/>
  <c r="AD187" i="6" s="1"/>
  <c r="AB188" i="6"/>
  <c r="AB189" i="6"/>
  <c r="AB190" i="6"/>
  <c r="AB191" i="6"/>
  <c r="AD191" i="6" s="1"/>
  <c r="AB192" i="6"/>
  <c r="AB193" i="6"/>
  <c r="AB194" i="6"/>
  <c r="AB195" i="6"/>
  <c r="AD195" i="6" s="1"/>
  <c r="AB196" i="6"/>
  <c r="AB197" i="6"/>
  <c r="AB198" i="6"/>
  <c r="AB199" i="6"/>
  <c r="AD199" i="6" s="1"/>
  <c r="AB200" i="6"/>
  <c r="AB201" i="6"/>
  <c r="AB202" i="6"/>
  <c r="AB203" i="6"/>
  <c r="AD203" i="6" s="1"/>
  <c r="AB204" i="6"/>
  <c r="AB205" i="6"/>
  <c r="AB206" i="6"/>
  <c r="AB207" i="6"/>
  <c r="AD207" i="6" s="1"/>
  <c r="AB208" i="6"/>
  <c r="AB209" i="6"/>
  <c r="AB210" i="6"/>
  <c r="AB211" i="6"/>
  <c r="AD211" i="6" s="1"/>
  <c r="AB212" i="6"/>
  <c r="AB213" i="6"/>
  <c r="AB214" i="6"/>
  <c r="AB215" i="6"/>
  <c r="AD215" i="6" s="1"/>
  <c r="AB216" i="6"/>
  <c r="AB217" i="6"/>
  <c r="AB218" i="6"/>
  <c r="AB219" i="6"/>
  <c r="AD219" i="6" s="1"/>
  <c r="AB220" i="6"/>
  <c r="AB221" i="6"/>
  <c r="AB222" i="6"/>
  <c r="AB223" i="6"/>
  <c r="AD223" i="6" s="1"/>
  <c r="AB224" i="6"/>
  <c r="AB225" i="6"/>
  <c r="AB226" i="6"/>
  <c r="AB227" i="6"/>
  <c r="AD227" i="6" s="1"/>
  <c r="AB228" i="6"/>
  <c r="AB229" i="6"/>
  <c r="AB230" i="6"/>
  <c r="AB231" i="6"/>
  <c r="AD231" i="6" s="1"/>
  <c r="AB232" i="6"/>
  <c r="AB233" i="6"/>
  <c r="AB234" i="6"/>
  <c r="AB235" i="6"/>
  <c r="AD235" i="6" s="1"/>
  <c r="AB236" i="6"/>
  <c r="AB237" i="6"/>
  <c r="AB238" i="6"/>
  <c r="AB239" i="6"/>
  <c r="AD239" i="6" s="1"/>
  <c r="AB240" i="6"/>
  <c r="AB241" i="6"/>
  <c r="AB242" i="6"/>
  <c r="AB243" i="6"/>
  <c r="AD243" i="6" s="1"/>
  <c r="AB244" i="6"/>
  <c r="AB245" i="6"/>
  <c r="AB246" i="6"/>
  <c r="AB247" i="6"/>
  <c r="AD247" i="6" s="1"/>
  <c r="AB248" i="6"/>
  <c r="AB249" i="6"/>
  <c r="AB250" i="6"/>
  <c r="AB251" i="6"/>
  <c r="AD251" i="6" s="1"/>
  <c r="AB252" i="6"/>
  <c r="AB253" i="6"/>
  <c r="AB254" i="6"/>
  <c r="AB255" i="6"/>
  <c r="AD255" i="6" s="1"/>
  <c r="AB256" i="6"/>
  <c r="AB257" i="6"/>
  <c r="AB258" i="6"/>
  <c r="AB259" i="6"/>
  <c r="AD259" i="6" s="1"/>
  <c r="AB260" i="6"/>
  <c r="AB261" i="6"/>
  <c r="AB262" i="6"/>
  <c r="AB263" i="6"/>
  <c r="AD263" i="6" s="1"/>
  <c r="AB264" i="6"/>
  <c r="AB265" i="6"/>
  <c r="AB266" i="6"/>
  <c r="AB267" i="6"/>
  <c r="AD267" i="6" s="1"/>
  <c r="AB268" i="6"/>
  <c r="AB269" i="6"/>
  <c r="AB270" i="6"/>
  <c r="AB271" i="6"/>
  <c r="AD271" i="6" s="1"/>
  <c r="AB272" i="6"/>
  <c r="AB273" i="6"/>
  <c r="AB274" i="6"/>
  <c r="AB275" i="6"/>
  <c r="AD275" i="6" s="1"/>
  <c r="AB276" i="6"/>
  <c r="AB277" i="6"/>
  <c r="AB278" i="6"/>
  <c r="AB279" i="6"/>
  <c r="AD279" i="6" s="1"/>
  <c r="AB280" i="6"/>
  <c r="AB281" i="6"/>
  <c r="AB282" i="6"/>
  <c r="AB283" i="6"/>
  <c r="AD283" i="6" s="1"/>
  <c r="AB284" i="6"/>
  <c r="AB285" i="6"/>
  <c r="AB286" i="6"/>
  <c r="AB287" i="6"/>
  <c r="AD287" i="6" s="1"/>
  <c r="AB288" i="6"/>
  <c r="AB289" i="6"/>
  <c r="AB290" i="6"/>
  <c r="AB291" i="6"/>
  <c r="AD291" i="6" s="1"/>
  <c r="AB292" i="6"/>
  <c r="AB293" i="6"/>
  <c r="AB294" i="6"/>
  <c r="AB295" i="6"/>
  <c r="AD295" i="6" s="1"/>
  <c r="AB296" i="6"/>
  <c r="AB297" i="6"/>
  <c r="AB298" i="6"/>
  <c r="AB299" i="6"/>
  <c r="AD299" i="6" s="1"/>
  <c r="AB300" i="6"/>
  <c r="AB301" i="6"/>
  <c r="AB302" i="6"/>
  <c r="AB303" i="6"/>
  <c r="AD303" i="6" s="1"/>
  <c r="AB304" i="6"/>
  <c r="AB305" i="6"/>
  <c r="AB306" i="6"/>
  <c r="AB307" i="6"/>
  <c r="AD307" i="6" s="1"/>
  <c r="AB308" i="6"/>
  <c r="AB309" i="6"/>
  <c r="AB310" i="6"/>
  <c r="AB311" i="6"/>
  <c r="AD311" i="6" s="1"/>
  <c r="AB312" i="6"/>
  <c r="AB313" i="6"/>
  <c r="AB314" i="6"/>
  <c r="AB315" i="6"/>
  <c r="AD315" i="6" s="1"/>
  <c r="AB316" i="6"/>
  <c r="AB317" i="6"/>
  <c r="AB318" i="6"/>
  <c r="AB319" i="6"/>
  <c r="AD319" i="6" s="1"/>
  <c r="AB320" i="6"/>
  <c r="AB321" i="6"/>
  <c r="AB322" i="6"/>
  <c r="AB323" i="6"/>
  <c r="AD323" i="6" s="1"/>
  <c r="AB324" i="6"/>
  <c r="AB325" i="6"/>
  <c r="AB326" i="6"/>
  <c r="AB327" i="6"/>
  <c r="AD327" i="6" s="1"/>
  <c r="AB328" i="6"/>
  <c r="AB329" i="6"/>
  <c r="AB330" i="6"/>
  <c r="AB331" i="6"/>
  <c r="AD331" i="6" s="1"/>
  <c r="AB332" i="6"/>
  <c r="AB333" i="6"/>
  <c r="AB334" i="6"/>
  <c r="AB335" i="6"/>
  <c r="AD335" i="6" s="1"/>
  <c r="AB336" i="6"/>
  <c r="AB337" i="6"/>
  <c r="AB338" i="6"/>
  <c r="AB339" i="6"/>
  <c r="AD339" i="6" s="1"/>
  <c r="AB340" i="6"/>
  <c r="AB341" i="6"/>
  <c r="AB342" i="6"/>
  <c r="AB343" i="6"/>
  <c r="AD343" i="6" s="1"/>
  <c r="AB344" i="6"/>
  <c r="AB345" i="6"/>
  <c r="AB346" i="6"/>
  <c r="AB347" i="6"/>
  <c r="AD347" i="6" s="1"/>
  <c r="AB348" i="6"/>
  <c r="AB349" i="6"/>
  <c r="AB350" i="6"/>
  <c r="AB351" i="6"/>
  <c r="AD351" i="6" s="1"/>
  <c r="AB352" i="6"/>
  <c r="AB353" i="6"/>
  <c r="AB354" i="6"/>
  <c r="AB355" i="6"/>
  <c r="AD355" i="6" s="1"/>
  <c r="AB356" i="6"/>
  <c r="AB357" i="6"/>
  <c r="AB358" i="6"/>
  <c r="AB359" i="6"/>
  <c r="AD359" i="6" s="1"/>
  <c r="AB360" i="6"/>
  <c r="AB361" i="6"/>
  <c r="AB362" i="6"/>
  <c r="AB363" i="6"/>
  <c r="AD363" i="6" s="1"/>
  <c r="AB364" i="6"/>
  <c r="AB365" i="6"/>
  <c r="AB366" i="6"/>
  <c r="AB3" i="6"/>
  <c r="AP2" i="6"/>
  <c r="AP3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P160" i="6"/>
  <c r="AP161" i="6"/>
  <c r="AP162" i="6"/>
  <c r="AP163" i="6"/>
  <c r="AP164" i="6"/>
  <c r="AP165" i="6"/>
  <c r="AP166" i="6"/>
  <c r="AP167" i="6"/>
  <c r="AP168" i="6"/>
  <c r="AP169" i="6"/>
  <c r="AP170" i="6"/>
  <c r="AP171" i="6"/>
  <c r="AP172" i="6"/>
  <c r="AP173" i="6"/>
  <c r="AP174" i="6"/>
  <c r="AP175" i="6"/>
  <c r="AP176" i="6"/>
  <c r="AP177" i="6"/>
  <c r="AP178" i="6"/>
  <c r="AP179" i="6"/>
  <c r="AP180" i="6"/>
  <c r="AP181" i="6"/>
  <c r="AP182" i="6"/>
  <c r="AP183" i="6"/>
  <c r="AP184" i="6"/>
  <c r="AP185" i="6"/>
  <c r="AP186" i="6"/>
  <c r="AP187" i="6"/>
  <c r="AP188" i="6"/>
  <c r="AP189" i="6"/>
  <c r="AP190" i="6"/>
  <c r="AP191" i="6"/>
  <c r="AP192" i="6"/>
  <c r="AP193" i="6"/>
  <c r="AP194" i="6"/>
  <c r="AP195" i="6"/>
  <c r="AP196" i="6"/>
  <c r="AP197" i="6"/>
  <c r="AP198" i="6"/>
  <c r="AP199" i="6"/>
  <c r="AP200" i="6"/>
  <c r="AP201" i="6"/>
  <c r="AP202" i="6"/>
  <c r="AP203" i="6"/>
  <c r="AP204" i="6"/>
  <c r="AP205" i="6"/>
  <c r="AP206" i="6"/>
  <c r="AP207" i="6"/>
  <c r="AP208" i="6"/>
  <c r="AP209" i="6"/>
  <c r="AP210" i="6"/>
  <c r="AP211" i="6"/>
  <c r="AP212" i="6"/>
  <c r="AP213" i="6"/>
  <c r="AP214" i="6"/>
  <c r="AP215" i="6"/>
  <c r="AP216" i="6"/>
  <c r="AP217" i="6"/>
  <c r="AP218" i="6"/>
  <c r="AP219" i="6"/>
  <c r="AP220" i="6"/>
  <c r="AP221" i="6"/>
  <c r="AP222" i="6"/>
  <c r="AP223" i="6"/>
  <c r="AP224" i="6"/>
  <c r="AP225" i="6"/>
  <c r="AP226" i="6"/>
  <c r="AP227" i="6"/>
  <c r="AP228" i="6"/>
  <c r="AP229" i="6"/>
  <c r="AP230" i="6"/>
  <c r="AP231" i="6"/>
  <c r="AP232" i="6"/>
  <c r="AP233" i="6"/>
  <c r="AP234" i="6"/>
  <c r="AP235" i="6"/>
  <c r="AP236" i="6"/>
  <c r="AP237" i="6"/>
  <c r="AP238" i="6"/>
  <c r="AP239" i="6"/>
  <c r="AP240" i="6"/>
  <c r="AP241" i="6"/>
  <c r="AP242" i="6"/>
  <c r="AP243" i="6"/>
  <c r="AP244" i="6"/>
  <c r="AP245" i="6"/>
  <c r="AP246" i="6"/>
  <c r="AP247" i="6"/>
  <c r="AP248" i="6"/>
  <c r="AP249" i="6"/>
  <c r="AP250" i="6"/>
  <c r="AP251" i="6"/>
  <c r="AP252" i="6"/>
  <c r="AP253" i="6"/>
  <c r="AP254" i="6"/>
  <c r="AP255" i="6"/>
  <c r="AP256" i="6"/>
  <c r="AP257" i="6"/>
  <c r="AP258" i="6"/>
  <c r="AP259" i="6"/>
  <c r="AP260" i="6"/>
  <c r="AP261" i="6"/>
  <c r="AP262" i="6"/>
  <c r="AP263" i="6"/>
  <c r="AP264" i="6"/>
  <c r="AP265" i="6"/>
  <c r="AP266" i="6"/>
  <c r="AP267" i="6"/>
  <c r="AP268" i="6"/>
  <c r="AP269" i="6"/>
  <c r="AP270" i="6"/>
  <c r="AP271" i="6"/>
  <c r="AP272" i="6"/>
  <c r="AP273" i="6"/>
  <c r="AP274" i="6"/>
  <c r="AP275" i="6"/>
  <c r="AP276" i="6"/>
  <c r="AP277" i="6"/>
  <c r="AP278" i="6"/>
  <c r="AP279" i="6"/>
  <c r="AP280" i="6"/>
  <c r="AP281" i="6"/>
  <c r="AP282" i="6"/>
  <c r="AP283" i="6"/>
  <c r="AP284" i="6"/>
  <c r="AP285" i="6"/>
  <c r="AP286" i="6"/>
  <c r="AP287" i="6"/>
  <c r="AP288" i="6"/>
  <c r="AP289" i="6"/>
  <c r="AP290" i="6"/>
  <c r="AP291" i="6"/>
  <c r="AP292" i="6"/>
  <c r="AP293" i="6"/>
  <c r="AP294" i="6"/>
  <c r="AP295" i="6"/>
  <c r="AP296" i="6"/>
  <c r="AP297" i="6"/>
  <c r="AP298" i="6"/>
  <c r="AP299" i="6"/>
  <c r="AP300" i="6"/>
  <c r="AP301" i="6"/>
  <c r="AP302" i="6"/>
  <c r="AP303" i="6"/>
  <c r="AP304" i="6"/>
  <c r="AP305" i="6"/>
  <c r="AP306" i="6"/>
  <c r="AP307" i="6"/>
  <c r="AP308" i="6"/>
  <c r="AP309" i="6"/>
  <c r="AP310" i="6"/>
  <c r="AP311" i="6"/>
  <c r="AP312" i="6"/>
  <c r="AP313" i="6"/>
  <c r="AP314" i="6"/>
  <c r="AP315" i="6"/>
  <c r="AP316" i="6"/>
  <c r="AP317" i="6"/>
  <c r="AP318" i="6"/>
  <c r="AP319" i="6"/>
  <c r="AP320" i="6"/>
  <c r="AP321" i="6"/>
  <c r="AP322" i="6"/>
  <c r="AP323" i="6"/>
  <c r="AP324" i="6"/>
  <c r="AP325" i="6"/>
  <c r="AP326" i="6"/>
  <c r="AP327" i="6"/>
  <c r="AP328" i="6"/>
  <c r="AP329" i="6"/>
  <c r="AP330" i="6"/>
  <c r="AP331" i="6"/>
  <c r="AP332" i="6"/>
  <c r="AP333" i="6"/>
  <c r="AP334" i="6"/>
  <c r="AP335" i="6"/>
  <c r="AP336" i="6"/>
  <c r="AP337" i="6"/>
  <c r="AP338" i="6"/>
  <c r="AP339" i="6"/>
  <c r="AP340" i="6"/>
  <c r="AP341" i="6"/>
  <c r="AP342" i="6"/>
  <c r="AP343" i="6"/>
  <c r="AP344" i="6"/>
  <c r="AP345" i="6"/>
  <c r="AP346" i="6"/>
  <c r="AP347" i="6"/>
  <c r="AP348" i="6"/>
  <c r="AP349" i="6"/>
  <c r="AP350" i="6"/>
  <c r="AP351" i="6"/>
  <c r="AP352" i="6"/>
  <c r="AP353" i="6"/>
  <c r="AP354" i="6"/>
  <c r="AP355" i="6"/>
  <c r="AP356" i="6"/>
  <c r="AP357" i="6"/>
  <c r="AP358" i="6"/>
  <c r="AP359" i="6"/>
  <c r="AP360" i="6"/>
  <c r="AP361" i="6"/>
  <c r="AP362" i="6"/>
  <c r="AP363" i="6"/>
  <c r="AP364" i="6"/>
  <c r="AP365" i="6"/>
  <c r="AP366" i="6"/>
  <c r="AN2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N160" i="6"/>
  <c r="AN161" i="6"/>
  <c r="AN162" i="6"/>
  <c r="AN163" i="6"/>
  <c r="AN164" i="6"/>
  <c r="AN165" i="6"/>
  <c r="AN166" i="6"/>
  <c r="AN167" i="6"/>
  <c r="AN168" i="6"/>
  <c r="AN169" i="6"/>
  <c r="AN170" i="6"/>
  <c r="AN171" i="6"/>
  <c r="AN172" i="6"/>
  <c r="AN173" i="6"/>
  <c r="AN174" i="6"/>
  <c r="AN175" i="6"/>
  <c r="AN176" i="6"/>
  <c r="AN177" i="6"/>
  <c r="AN178" i="6"/>
  <c r="AN179" i="6"/>
  <c r="AN180" i="6"/>
  <c r="AN181" i="6"/>
  <c r="AN182" i="6"/>
  <c r="AN183" i="6"/>
  <c r="AN184" i="6"/>
  <c r="AN185" i="6"/>
  <c r="AN186" i="6"/>
  <c r="AN187" i="6"/>
  <c r="AN188" i="6"/>
  <c r="AN189" i="6"/>
  <c r="AN190" i="6"/>
  <c r="AN191" i="6"/>
  <c r="AN192" i="6"/>
  <c r="AN193" i="6"/>
  <c r="AN194" i="6"/>
  <c r="AN195" i="6"/>
  <c r="AN196" i="6"/>
  <c r="AN197" i="6"/>
  <c r="AN198" i="6"/>
  <c r="AN199" i="6"/>
  <c r="AN200" i="6"/>
  <c r="AN201" i="6"/>
  <c r="AN202" i="6"/>
  <c r="AN203" i="6"/>
  <c r="AN204" i="6"/>
  <c r="AN205" i="6"/>
  <c r="AN206" i="6"/>
  <c r="AN207" i="6"/>
  <c r="AN208" i="6"/>
  <c r="AN209" i="6"/>
  <c r="AN210" i="6"/>
  <c r="AN211" i="6"/>
  <c r="AN212" i="6"/>
  <c r="AN213" i="6"/>
  <c r="AN214" i="6"/>
  <c r="AN215" i="6"/>
  <c r="AN216" i="6"/>
  <c r="AN217" i="6"/>
  <c r="AN218" i="6"/>
  <c r="AN219" i="6"/>
  <c r="AN220" i="6"/>
  <c r="AN221" i="6"/>
  <c r="AN222" i="6"/>
  <c r="AN223" i="6"/>
  <c r="AN224" i="6"/>
  <c r="AN225" i="6"/>
  <c r="AN226" i="6"/>
  <c r="AN227" i="6"/>
  <c r="AN228" i="6"/>
  <c r="AN229" i="6"/>
  <c r="AN230" i="6"/>
  <c r="AN231" i="6"/>
  <c r="AN232" i="6"/>
  <c r="AN233" i="6"/>
  <c r="AN234" i="6"/>
  <c r="AN235" i="6"/>
  <c r="AN236" i="6"/>
  <c r="AN237" i="6"/>
  <c r="AN238" i="6"/>
  <c r="AN239" i="6"/>
  <c r="AN240" i="6"/>
  <c r="AN241" i="6"/>
  <c r="AN242" i="6"/>
  <c r="AN243" i="6"/>
  <c r="AN244" i="6"/>
  <c r="AN245" i="6"/>
  <c r="AN246" i="6"/>
  <c r="AN247" i="6"/>
  <c r="AN248" i="6"/>
  <c r="AN249" i="6"/>
  <c r="AN250" i="6"/>
  <c r="AN251" i="6"/>
  <c r="AN252" i="6"/>
  <c r="AN253" i="6"/>
  <c r="AN254" i="6"/>
  <c r="AN255" i="6"/>
  <c r="AN256" i="6"/>
  <c r="AN257" i="6"/>
  <c r="AN258" i="6"/>
  <c r="AN259" i="6"/>
  <c r="AN260" i="6"/>
  <c r="AN261" i="6"/>
  <c r="AN262" i="6"/>
  <c r="AN263" i="6"/>
  <c r="AN264" i="6"/>
  <c r="AN265" i="6"/>
  <c r="AN266" i="6"/>
  <c r="AN267" i="6"/>
  <c r="AN268" i="6"/>
  <c r="AN269" i="6"/>
  <c r="AN270" i="6"/>
  <c r="AN271" i="6"/>
  <c r="AN272" i="6"/>
  <c r="AN273" i="6"/>
  <c r="AN274" i="6"/>
  <c r="AN275" i="6"/>
  <c r="AN276" i="6"/>
  <c r="AN277" i="6"/>
  <c r="AN278" i="6"/>
  <c r="AN279" i="6"/>
  <c r="AN280" i="6"/>
  <c r="AN281" i="6"/>
  <c r="AN282" i="6"/>
  <c r="AN283" i="6"/>
  <c r="AN284" i="6"/>
  <c r="AN285" i="6"/>
  <c r="AN286" i="6"/>
  <c r="AN287" i="6"/>
  <c r="AN288" i="6"/>
  <c r="AN289" i="6"/>
  <c r="AN290" i="6"/>
  <c r="AN291" i="6"/>
  <c r="AN292" i="6"/>
  <c r="AN293" i="6"/>
  <c r="AN294" i="6"/>
  <c r="AN295" i="6"/>
  <c r="AN296" i="6"/>
  <c r="AN297" i="6"/>
  <c r="AN298" i="6"/>
  <c r="AN299" i="6"/>
  <c r="AN300" i="6"/>
  <c r="AN301" i="6"/>
  <c r="AN302" i="6"/>
  <c r="AN303" i="6"/>
  <c r="AN304" i="6"/>
  <c r="AN305" i="6"/>
  <c r="AN306" i="6"/>
  <c r="AN307" i="6"/>
  <c r="AN308" i="6"/>
  <c r="AN309" i="6"/>
  <c r="AN310" i="6"/>
  <c r="AN311" i="6"/>
  <c r="AN312" i="6"/>
  <c r="AN313" i="6"/>
  <c r="AN314" i="6"/>
  <c r="AN315" i="6"/>
  <c r="AN316" i="6"/>
  <c r="AN317" i="6"/>
  <c r="AN318" i="6"/>
  <c r="AN319" i="6"/>
  <c r="AN320" i="6"/>
  <c r="AN321" i="6"/>
  <c r="AN322" i="6"/>
  <c r="AN323" i="6"/>
  <c r="AN324" i="6"/>
  <c r="AN325" i="6"/>
  <c r="AN326" i="6"/>
  <c r="AN327" i="6"/>
  <c r="AN328" i="6"/>
  <c r="AN329" i="6"/>
  <c r="AN330" i="6"/>
  <c r="AN331" i="6"/>
  <c r="AN332" i="6"/>
  <c r="AN333" i="6"/>
  <c r="AN334" i="6"/>
  <c r="AN335" i="6"/>
  <c r="AN336" i="6"/>
  <c r="AN337" i="6"/>
  <c r="AN338" i="6"/>
  <c r="AN339" i="6"/>
  <c r="AN340" i="6"/>
  <c r="AN341" i="6"/>
  <c r="AN342" i="6"/>
  <c r="AN343" i="6"/>
  <c r="AN344" i="6"/>
  <c r="AN345" i="6"/>
  <c r="AN346" i="6"/>
  <c r="AN347" i="6"/>
  <c r="AN348" i="6"/>
  <c r="AN349" i="6"/>
  <c r="AN350" i="6"/>
  <c r="AN351" i="6"/>
  <c r="AN352" i="6"/>
  <c r="AN353" i="6"/>
  <c r="AN354" i="6"/>
  <c r="AN355" i="6"/>
  <c r="AN356" i="6"/>
  <c r="AN357" i="6"/>
  <c r="AN358" i="6"/>
  <c r="AN359" i="6"/>
  <c r="AN360" i="6"/>
  <c r="AN361" i="6"/>
  <c r="AN362" i="6"/>
  <c r="AN363" i="6"/>
  <c r="AN364" i="6"/>
  <c r="AN365" i="6"/>
  <c r="AN366" i="6"/>
  <c r="AA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J2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H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D2" i="6"/>
  <c r="AD3" i="6"/>
  <c r="AD4" i="6"/>
  <c r="AD5" i="6"/>
  <c r="AD6" i="6"/>
  <c r="AD8" i="6"/>
  <c r="AD9" i="6"/>
  <c r="AD10" i="6"/>
  <c r="AD12" i="6"/>
  <c r="AD13" i="6"/>
  <c r="AD14" i="6"/>
  <c r="AD16" i="6"/>
  <c r="AD17" i="6"/>
  <c r="AD18" i="6"/>
  <c r="AD20" i="6"/>
  <c r="AD21" i="6"/>
  <c r="AD22" i="6"/>
  <c r="AD24" i="6"/>
  <c r="AD25" i="6"/>
  <c r="AD26" i="6"/>
  <c r="AD28" i="6"/>
  <c r="AD29" i="6"/>
  <c r="AD30" i="6"/>
  <c r="AD32" i="6"/>
  <c r="AD33" i="6"/>
  <c r="AD34" i="6"/>
  <c r="AD36" i="6"/>
  <c r="AD37" i="6"/>
  <c r="AD38" i="6"/>
  <c r="AD40" i="6"/>
  <c r="AD41" i="6"/>
  <c r="AD42" i="6"/>
  <c r="AD44" i="6"/>
  <c r="AD45" i="6"/>
  <c r="AD46" i="6"/>
  <c r="AD48" i="6"/>
  <c r="AD49" i="6"/>
  <c r="AD50" i="6"/>
  <c r="AD52" i="6"/>
  <c r="AD53" i="6"/>
  <c r="AD54" i="6"/>
  <c r="AD56" i="6"/>
  <c r="AD57" i="6"/>
  <c r="AD58" i="6"/>
  <c r="AD60" i="6"/>
  <c r="AD61" i="6"/>
  <c r="AD62" i="6"/>
  <c r="AD64" i="6"/>
  <c r="AD65" i="6"/>
  <c r="AD66" i="6"/>
  <c r="AD68" i="6"/>
  <c r="AD69" i="6"/>
  <c r="AD70" i="6"/>
  <c r="AD72" i="6"/>
  <c r="AD73" i="6"/>
  <c r="AD74" i="6"/>
  <c r="AD76" i="6"/>
  <c r="AD77" i="6"/>
  <c r="AD78" i="6"/>
  <c r="AD80" i="6"/>
  <c r="AD81" i="6"/>
  <c r="AD82" i="6"/>
  <c r="AD84" i="6"/>
  <c r="AD85" i="6"/>
  <c r="AD86" i="6"/>
  <c r="AD88" i="6"/>
  <c r="AD89" i="6"/>
  <c r="AD90" i="6"/>
  <c r="AD92" i="6"/>
  <c r="AD93" i="6"/>
  <c r="AD94" i="6"/>
  <c r="AD96" i="6"/>
  <c r="AD97" i="6"/>
  <c r="AD98" i="6"/>
  <c r="AD100" i="6"/>
  <c r="AD101" i="6"/>
  <c r="AD102" i="6"/>
  <c r="AD104" i="6"/>
  <c r="AD105" i="6"/>
  <c r="AD106" i="6"/>
  <c r="AD108" i="6"/>
  <c r="AD109" i="6"/>
  <c r="AD110" i="6"/>
  <c r="AD112" i="6"/>
  <c r="AD113" i="6"/>
  <c r="AD114" i="6"/>
  <c r="AD116" i="6"/>
  <c r="AD117" i="6"/>
  <c r="AD118" i="6"/>
  <c r="AD120" i="6"/>
  <c r="AD121" i="6"/>
  <c r="AD122" i="6"/>
  <c r="AD124" i="6"/>
  <c r="AD125" i="6"/>
  <c r="AD126" i="6"/>
  <c r="AD128" i="6"/>
  <c r="AD129" i="6"/>
  <c r="AD130" i="6"/>
  <c r="AD132" i="6"/>
  <c r="AD133" i="6"/>
  <c r="AD134" i="6"/>
  <c r="AD136" i="6"/>
  <c r="AD137" i="6"/>
  <c r="AD138" i="6"/>
  <c r="AD140" i="6"/>
  <c r="AD141" i="6"/>
  <c r="AD142" i="6"/>
  <c r="AD144" i="6"/>
  <c r="AD145" i="6"/>
  <c r="AD146" i="6"/>
  <c r="AD148" i="6"/>
  <c r="AD149" i="6"/>
  <c r="AD150" i="6"/>
  <c r="AD152" i="6"/>
  <c r="AD153" i="6"/>
  <c r="AD154" i="6"/>
  <c r="AD156" i="6"/>
  <c r="AD157" i="6"/>
  <c r="AD158" i="6"/>
  <c r="AD160" i="6"/>
  <c r="AD161" i="6"/>
  <c r="AD162" i="6"/>
  <c r="AD164" i="6"/>
  <c r="AD165" i="6"/>
  <c r="AD166" i="6"/>
  <c r="AD168" i="6"/>
  <c r="AD169" i="6"/>
  <c r="AD170" i="6"/>
  <c r="AD172" i="6"/>
  <c r="AD173" i="6"/>
  <c r="AD174" i="6"/>
  <c r="AD176" i="6"/>
  <c r="AD177" i="6"/>
  <c r="AD178" i="6"/>
  <c r="AD180" i="6"/>
  <c r="AD181" i="6"/>
  <c r="AD182" i="6"/>
  <c r="AD184" i="6"/>
  <c r="AD185" i="6"/>
  <c r="AD186" i="6"/>
  <c r="AD188" i="6"/>
  <c r="AD189" i="6"/>
  <c r="AD190" i="6"/>
  <c r="AD192" i="6"/>
  <c r="AD193" i="6"/>
  <c r="AD194" i="6"/>
  <c r="AD196" i="6"/>
  <c r="AD197" i="6"/>
  <c r="AD198" i="6"/>
  <c r="AD200" i="6"/>
  <c r="AD201" i="6"/>
  <c r="AD202" i="6"/>
  <c r="AD204" i="6"/>
  <c r="AD205" i="6"/>
  <c r="AD206" i="6"/>
  <c r="AD208" i="6"/>
  <c r="AD209" i="6"/>
  <c r="AD210" i="6"/>
  <c r="AD212" i="6"/>
  <c r="AD213" i="6"/>
  <c r="AD214" i="6"/>
  <c r="AD216" i="6"/>
  <c r="AD217" i="6"/>
  <c r="AD218" i="6"/>
  <c r="AD220" i="6"/>
  <c r="AD221" i="6"/>
  <c r="AD222" i="6"/>
  <c r="AD224" i="6"/>
  <c r="AD225" i="6"/>
  <c r="AD226" i="6"/>
  <c r="AD228" i="6"/>
  <c r="AD229" i="6"/>
  <c r="AD230" i="6"/>
  <c r="AD232" i="6"/>
  <c r="AD233" i="6"/>
  <c r="AD234" i="6"/>
  <c r="AD236" i="6"/>
  <c r="AD237" i="6"/>
  <c r="AD238" i="6"/>
  <c r="AD240" i="6"/>
  <c r="AD241" i="6"/>
  <c r="AD242" i="6"/>
  <c r="AD244" i="6"/>
  <c r="AD245" i="6"/>
  <c r="AD246" i="6"/>
  <c r="AD248" i="6"/>
  <c r="AD249" i="6"/>
  <c r="AD250" i="6"/>
  <c r="AD252" i="6"/>
  <c r="AD253" i="6"/>
  <c r="AD254" i="6"/>
  <c r="AD256" i="6"/>
  <c r="AD257" i="6"/>
  <c r="AD258" i="6"/>
  <c r="AD260" i="6"/>
  <c r="AD261" i="6"/>
  <c r="AD262" i="6"/>
  <c r="AD264" i="6"/>
  <c r="AD265" i="6"/>
  <c r="AD266" i="6"/>
  <c r="AD268" i="6"/>
  <c r="AD269" i="6"/>
  <c r="AD270" i="6"/>
  <c r="AD272" i="6"/>
  <c r="AD273" i="6"/>
  <c r="AD274" i="6"/>
  <c r="AD276" i="6"/>
  <c r="AD277" i="6"/>
  <c r="AD278" i="6"/>
  <c r="AD280" i="6"/>
  <c r="AD281" i="6"/>
  <c r="AD282" i="6"/>
  <c r="AD284" i="6"/>
  <c r="AD285" i="6"/>
  <c r="AD286" i="6"/>
  <c r="AD288" i="6"/>
  <c r="AD289" i="6"/>
  <c r="AD290" i="6"/>
  <c r="AD292" i="6"/>
  <c r="AD293" i="6"/>
  <c r="AD294" i="6"/>
  <c r="AD296" i="6"/>
  <c r="AD297" i="6"/>
  <c r="AD298" i="6"/>
  <c r="AD300" i="6"/>
  <c r="AD301" i="6"/>
  <c r="AD302" i="6"/>
  <c r="AD304" i="6"/>
  <c r="AD305" i="6"/>
  <c r="AD306" i="6"/>
  <c r="AD308" i="6"/>
  <c r="AD309" i="6"/>
  <c r="AD310" i="6"/>
  <c r="AD312" i="6"/>
  <c r="AD313" i="6"/>
  <c r="AD314" i="6"/>
  <c r="AD316" i="6"/>
  <c r="AD317" i="6"/>
  <c r="AD318" i="6"/>
  <c r="AD320" i="6"/>
  <c r="AD321" i="6"/>
  <c r="AD322" i="6"/>
  <c r="AD324" i="6"/>
  <c r="AD325" i="6"/>
  <c r="AD326" i="6"/>
  <c r="AD328" i="6"/>
  <c r="AD329" i="6"/>
  <c r="AD330" i="6"/>
  <c r="AD332" i="6"/>
  <c r="AD333" i="6"/>
  <c r="AD334" i="6"/>
  <c r="AD336" i="6"/>
  <c r="AD337" i="6"/>
  <c r="AD338" i="6"/>
  <c r="AD340" i="6"/>
  <c r="AD341" i="6"/>
  <c r="AD342" i="6"/>
  <c r="AD344" i="6"/>
  <c r="AD345" i="6"/>
  <c r="AD346" i="6"/>
  <c r="AD348" i="6"/>
  <c r="AD349" i="6"/>
  <c r="AD350" i="6"/>
  <c r="AD352" i="6"/>
  <c r="AD353" i="6"/>
  <c r="AD354" i="6"/>
  <c r="AD356" i="6"/>
  <c r="AD357" i="6"/>
  <c r="AD358" i="6"/>
  <c r="AD360" i="6"/>
  <c r="AD361" i="6"/>
  <c r="AD362" i="6"/>
  <c r="AD364" i="6"/>
  <c r="AD365" i="6"/>
  <c r="AD366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P2" i="6"/>
  <c r="S2" i="6" s="1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T2" i="6"/>
  <c r="T3" i="6"/>
  <c r="T4" i="6"/>
  <c r="T5" i="6"/>
  <c r="X5" i="6" s="1"/>
  <c r="T6" i="6"/>
  <c r="T7" i="6"/>
  <c r="T8" i="6"/>
  <c r="T9" i="6"/>
  <c r="X9" i="6" s="1"/>
  <c r="T10" i="6"/>
  <c r="T11" i="6"/>
  <c r="T12" i="6"/>
  <c r="T13" i="6"/>
  <c r="X13" i="6" s="1"/>
  <c r="T14" i="6"/>
  <c r="T15" i="6"/>
  <c r="T16" i="6"/>
  <c r="T17" i="6"/>
  <c r="X17" i="6" s="1"/>
  <c r="T18" i="6"/>
  <c r="T19" i="6"/>
  <c r="T20" i="6"/>
  <c r="T21" i="6"/>
  <c r="X21" i="6" s="1"/>
  <c r="T22" i="6"/>
  <c r="T23" i="6"/>
  <c r="T24" i="6"/>
  <c r="T25" i="6"/>
  <c r="X25" i="6" s="1"/>
  <c r="T26" i="6"/>
  <c r="T27" i="6"/>
  <c r="T28" i="6"/>
  <c r="T29" i="6"/>
  <c r="X29" i="6" s="1"/>
  <c r="T30" i="6"/>
  <c r="T31" i="6"/>
  <c r="T32" i="6"/>
  <c r="T33" i="6"/>
  <c r="X33" i="6" s="1"/>
  <c r="T34" i="6"/>
  <c r="T35" i="6"/>
  <c r="T36" i="6"/>
  <c r="T37" i="6"/>
  <c r="X37" i="6" s="1"/>
  <c r="T38" i="6"/>
  <c r="T39" i="6"/>
  <c r="T40" i="6"/>
  <c r="T41" i="6"/>
  <c r="X41" i="6" s="1"/>
  <c r="T42" i="6"/>
  <c r="T43" i="6"/>
  <c r="T44" i="6"/>
  <c r="T45" i="6"/>
  <c r="X45" i="6" s="1"/>
  <c r="T46" i="6"/>
  <c r="T47" i="6"/>
  <c r="T48" i="6"/>
  <c r="T49" i="6"/>
  <c r="X49" i="6" s="1"/>
  <c r="T50" i="6"/>
  <c r="T51" i="6"/>
  <c r="T52" i="6"/>
  <c r="T53" i="6"/>
  <c r="X53" i="6" s="1"/>
  <c r="T54" i="6"/>
  <c r="T55" i="6"/>
  <c r="T56" i="6"/>
  <c r="T57" i="6"/>
  <c r="X57" i="6" s="1"/>
  <c r="T58" i="6"/>
  <c r="T59" i="6"/>
  <c r="T60" i="6"/>
  <c r="T61" i="6"/>
  <c r="X61" i="6" s="1"/>
  <c r="T62" i="6"/>
  <c r="T63" i="6"/>
  <c r="T64" i="6"/>
  <c r="T65" i="6"/>
  <c r="X65" i="6" s="1"/>
  <c r="T66" i="6"/>
  <c r="T67" i="6"/>
  <c r="T68" i="6"/>
  <c r="T69" i="6"/>
  <c r="X69" i="6" s="1"/>
  <c r="T70" i="6"/>
  <c r="T71" i="6"/>
  <c r="T72" i="6"/>
  <c r="T73" i="6"/>
  <c r="X73" i="6" s="1"/>
  <c r="T74" i="6"/>
  <c r="T75" i="6"/>
  <c r="T76" i="6"/>
  <c r="T77" i="6"/>
  <c r="X77" i="6" s="1"/>
  <c r="T78" i="6"/>
  <c r="T79" i="6"/>
  <c r="T80" i="6"/>
  <c r="T81" i="6"/>
  <c r="X81" i="6" s="1"/>
  <c r="T82" i="6"/>
  <c r="T83" i="6"/>
  <c r="T84" i="6"/>
  <c r="T85" i="6"/>
  <c r="X85" i="6" s="1"/>
  <c r="T86" i="6"/>
  <c r="T87" i="6"/>
  <c r="T88" i="6"/>
  <c r="T89" i="6"/>
  <c r="X89" i="6" s="1"/>
  <c r="T90" i="6"/>
  <c r="T91" i="6"/>
  <c r="T92" i="6"/>
  <c r="T93" i="6"/>
  <c r="X93" i="6" s="1"/>
  <c r="T94" i="6"/>
  <c r="T95" i="6"/>
  <c r="T96" i="6"/>
  <c r="T97" i="6"/>
  <c r="X97" i="6" s="1"/>
  <c r="T98" i="6"/>
  <c r="T99" i="6"/>
  <c r="T100" i="6"/>
  <c r="T101" i="6"/>
  <c r="X101" i="6" s="1"/>
  <c r="T102" i="6"/>
  <c r="T103" i="6"/>
  <c r="T104" i="6"/>
  <c r="T105" i="6"/>
  <c r="X105" i="6" s="1"/>
  <c r="T106" i="6"/>
  <c r="T107" i="6"/>
  <c r="T108" i="6"/>
  <c r="T109" i="6"/>
  <c r="X109" i="6" s="1"/>
  <c r="T110" i="6"/>
  <c r="T111" i="6"/>
  <c r="T112" i="6"/>
  <c r="T113" i="6"/>
  <c r="X113" i="6" s="1"/>
  <c r="T114" i="6"/>
  <c r="T115" i="6"/>
  <c r="T116" i="6"/>
  <c r="T117" i="6"/>
  <c r="X117" i="6" s="1"/>
  <c r="T118" i="6"/>
  <c r="T119" i="6"/>
  <c r="T120" i="6"/>
  <c r="T121" i="6"/>
  <c r="X121" i="6" s="1"/>
  <c r="T122" i="6"/>
  <c r="T123" i="6"/>
  <c r="T124" i="6"/>
  <c r="T125" i="6"/>
  <c r="X125" i="6" s="1"/>
  <c r="T126" i="6"/>
  <c r="T127" i="6"/>
  <c r="T128" i="6"/>
  <c r="T129" i="6"/>
  <c r="X129" i="6" s="1"/>
  <c r="T130" i="6"/>
  <c r="T131" i="6"/>
  <c r="T132" i="6"/>
  <c r="T133" i="6"/>
  <c r="X133" i="6" s="1"/>
  <c r="T134" i="6"/>
  <c r="T135" i="6"/>
  <c r="T136" i="6"/>
  <c r="T137" i="6"/>
  <c r="X137" i="6" s="1"/>
  <c r="T138" i="6"/>
  <c r="T139" i="6"/>
  <c r="T140" i="6"/>
  <c r="T141" i="6"/>
  <c r="X141" i="6" s="1"/>
  <c r="T142" i="6"/>
  <c r="T143" i="6"/>
  <c r="T144" i="6"/>
  <c r="T145" i="6"/>
  <c r="X145" i="6" s="1"/>
  <c r="T146" i="6"/>
  <c r="T147" i="6"/>
  <c r="T148" i="6"/>
  <c r="T149" i="6"/>
  <c r="X149" i="6" s="1"/>
  <c r="T150" i="6"/>
  <c r="T151" i="6"/>
  <c r="T152" i="6"/>
  <c r="T153" i="6"/>
  <c r="X153" i="6" s="1"/>
  <c r="T154" i="6"/>
  <c r="T155" i="6"/>
  <c r="T156" i="6"/>
  <c r="T157" i="6"/>
  <c r="X157" i="6" s="1"/>
  <c r="T158" i="6"/>
  <c r="T159" i="6"/>
  <c r="T160" i="6"/>
  <c r="T161" i="6"/>
  <c r="X161" i="6" s="1"/>
  <c r="T162" i="6"/>
  <c r="T163" i="6"/>
  <c r="T164" i="6"/>
  <c r="T165" i="6"/>
  <c r="X165" i="6" s="1"/>
  <c r="T166" i="6"/>
  <c r="T167" i="6"/>
  <c r="T168" i="6"/>
  <c r="T169" i="6"/>
  <c r="X169" i="6" s="1"/>
  <c r="T170" i="6"/>
  <c r="T171" i="6"/>
  <c r="T172" i="6"/>
  <c r="T173" i="6"/>
  <c r="X173" i="6" s="1"/>
  <c r="T174" i="6"/>
  <c r="T175" i="6"/>
  <c r="T176" i="6"/>
  <c r="T177" i="6"/>
  <c r="X177" i="6" s="1"/>
  <c r="T178" i="6"/>
  <c r="T179" i="6"/>
  <c r="T180" i="6"/>
  <c r="T181" i="6"/>
  <c r="X181" i="6" s="1"/>
  <c r="T182" i="6"/>
  <c r="T183" i="6"/>
  <c r="T184" i="6"/>
  <c r="T185" i="6"/>
  <c r="X185" i="6" s="1"/>
  <c r="T186" i="6"/>
  <c r="T187" i="6"/>
  <c r="T188" i="6"/>
  <c r="T189" i="6"/>
  <c r="X189" i="6" s="1"/>
  <c r="T190" i="6"/>
  <c r="T191" i="6"/>
  <c r="T192" i="6"/>
  <c r="T193" i="6"/>
  <c r="X193" i="6" s="1"/>
  <c r="T194" i="6"/>
  <c r="T195" i="6"/>
  <c r="T196" i="6"/>
  <c r="T197" i="6"/>
  <c r="X197" i="6" s="1"/>
  <c r="T198" i="6"/>
  <c r="T199" i="6"/>
  <c r="T200" i="6"/>
  <c r="T201" i="6"/>
  <c r="X201" i="6" s="1"/>
  <c r="T202" i="6"/>
  <c r="T203" i="6"/>
  <c r="T204" i="6"/>
  <c r="T205" i="6"/>
  <c r="X205" i="6" s="1"/>
  <c r="T206" i="6"/>
  <c r="T207" i="6"/>
  <c r="T208" i="6"/>
  <c r="T209" i="6"/>
  <c r="X209" i="6" s="1"/>
  <c r="T210" i="6"/>
  <c r="T211" i="6"/>
  <c r="T212" i="6"/>
  <c r="T213" i="6"/>
  <c r="X213" i="6" s="1"/>
  <c r="T214" i="6"/>
  <c r="T215" i="6"/>
  <c r="T216" i="6"/>
  <c r="T217" i="6"/>
  <c r="X217" i="6" s="1"/>
  <c r="T218" i="6"/>
  <c r="T219" i="6"/>
  <c r="T220" i="6"/>
  <c r="T221" i="6"/>
  <c r="X221" i="6" s="1"/>
  <c r="T222" i="6"/>
  <c r="T223" i="6"/>
  <c r="T224" i="6"/>
  <c r="T225" i="6"/>
  <c r="X225" i="6" s="1"/>
  <c r="T226" i="6"/>
  <c r="T227" i="6"/>
  <c r="T228" i="6"/>
  <c r="T229" i="6"/>
  <c r="X229" i="6" s="1"/>
  <c r="T230" i="6"/>
  <c r="T231" i="6"/>
  <c r="T232" i="6"/>
  <c r="T233" i="6"/>
  <c r="X233" i="6" s="1"/>
  <c r="T234" i="6"/>
  <c r="T235" i="6"/>
  <c r="T236" i="6"/>
  <c r="T237" i="6"/>
  <c r="X237" i="6" s="1"/>
  <c r="T238" i="6"/>
  <c r="T239" i="6"/>
  <c r="T240" i="6"/>
  <c r="T241" i="6"/>
  <c r="X241" i="6" s="1"/>
  <c r="T242" i="6"/>
  <c r="T243" i="6"/>
  <c r="T244" i="6"/>
  <c r="T245" i="6"/>
  <c r="X245" i="6" s="1"/>
  <c r="T246" i="6"/>
  <c r="T247" i="6"/>
  <c r="T248" i="6"/>
  <c r="T249" i="6"/>
  <c r="X249" i="6" s="1"/>
  <c r="T250" i="6"/>
  <c r="T251" i="6"/>
  <c r="T252" i="6"/>
  <c r="T253" i="6"/>
  <c r="X253" i="6" s="1"/>
  <c r="T254" i="6"/>
  <c r="T255" i="6"/>
  <c r="T256" i="6"/>
  <c r="T257" i="6"/>
  <c r="X257" i="6" s="1"/>
  <c r="T258" i="6"/>
  <c r="T259" i="6"/>
  <c r="T260" i="6"/>
  <c r="T261" i="6"/>
  <c r="X261" i="6" s="1"/>
  <c r="T262" i="6"/>
  <c r="T263" i="6"/>
  <c r="T264" i="6"/>
  <c r="T265" i="6"/>
  <c r="X265" i="6" s="1"/>
  <c r="T266" i="6"/>
  <c r="T267" i="6"/>
  <c r="T268" i="6"/>
  <c r="T269" i="6"/>
  <c r="X269" i="6" s="1"/>
  <c r="T270" i="6"/>
  <c r="T271" i="6"/>
  <c r="T272" i="6"/>
  <c r="T273" i="6"/>
  <c r="X273" i="6" s="1"/>
  <c r="T274" i="6"/>
  <c r="T275" i="6"/>
  <c r="T276" i="6"/>
  <c r="T277" i="6"/>
  <c r="X277" i="6" s="1"/>
  <c r="T278" i="6"/>
  <c r="T279" i="6"/>
  <c r="T280" i="6"/>
  <c r="T281" i="6"/>
  <c r="X281" i="6" s="1"/>
  <c r="T282" i="6"/>
  <c r="T283" i="6"/>
  <c r="T284" i="6"/>
  <c r="T285" i="6"/>
  <c r="X285" i="6" s="1"/>
  <c r="T286" i="6"/>
  <c r="T287" i="6"/>
  <c r="T288" i="6"/>
  <c r="T289" i="6"/>
  <c r="X289" i="6" s="1"/>
  <c r="T290" i="6"/>
  <c r="T291" i="6"/>
  <c r="T292" i="6"/>
  <c r="T293" i="6"/>
  <c r="X293" i="6" s="1"/>
  <c r="T294" i="6"/>
  <c r="T295" i="6"/>
  <c r="T296" i="6"/>
  <c r="T297" i="6"/>
  <c r="X297" i="6" s="1"/>
  <c r="T298" i="6"/>
  <c r="T299" i="6"/>
  <c r="T300" i="6"/>
  <c r="T301" i="6"/>
  <c r="X301" i="6" s="1"/>
  <c r="T302" i="6"/>
  <c r="T303" i="6"/>
  <c r="T304" i="6"/>
  <c r="T305" i="6"/>
  <c r="X305" i="6" s="1"/>
  <c r="T306" i="6"/>
  <c r="T307" i="6"/>
  <c r="T308" i="6"/>
  <c r="T309" i="6"/>
  <c r="X309" i="6" s="1"/>
  <c r="T310" i="6"/>
  <c r="T311" i="6"/>
  <c r="T312" i="6"/>
  <c r="T313" i="6"/>
  <c r="X313" i="6" s="1"/>
  <c r="T314" i="6"/>
  <c r="T315" i="6"/>
  <c r="T316" i="6"/>
  <c r="T317" i="6"/>
  <c r="X317" i="6" s="1"/>
  <c r="T318" i="6"/>
  <c r="T319" i="6"/>
  <c r="T320" i="6"/>
  <c r="T321" i="6"/>
  <c r="X321" i="6" s="1"/>
  <c r="T322" i="6"/>
  <c r="T323" i="6"/>
  <c r="T324" i="6"/>
  <c r="T325" i="6"/>
  <c r="X325" i="6" s="1"/>
  <c r="T326" i="6"/>
  <c r="T327" i="6"/>
  <c r="T328" i="6"/>
  <c r="T329" i="6"/>
  <c r="X329" i="6" s="1"/>
  <c r="T330" i="6"/>
  <c r="T331" i="6"/>
  <c r="T332" i="6"/>
  <c r="T333" i="6"/>
  <c r="X333" i="6" s="1"/>
  <c r="T334" i="6"/>
  <c r="T335" i="6"/>
  <c r="T336" i="6"/>
  <c r="T337" i="6"/>
  <c r="X337" i="6" s="1"/>
  <c r="T338" i="6"/>
  <c r="T339" i="6"/>
  <c r="T340" i="6"/>
  <c r="T341" i="6"/>
  <c r="X341" i="6" s="1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W2" i="6"/>
  <c r="W3" i="6"/>
  <c r="W4" i="6"/>
  <c r="X4" i="6" s="1"/>
  <c r="W5" i="6"/>
  <c r="W6" i="6"/>
  <c r="W7" i="6"/>
  <c r="W8" i="6"/>
  <c r="X8" i="6" s="1"/>
  <c r="W9" i="6"/>
  <c r="W10" i="6"/>
  <c r="W11" i="6"/>
  <c r="W12" i="6"/>
  <c r="X12" i="6" s="1"/>
  <c r="W13" i="6"/>
  <c r="W14" i="6"/>
  <c r="W15" i="6"/>
  <c r="W16" i="6"/>
  <c r="X16" i="6" s="1"/>
  <c r="W17" i="6"/>
  <c r="W18" i="6"/>
  <c r="W19" i="6"/>
  <c r="W20" i="6"/>
  <c r="X20" i="6" s="1"/>
  <c r="W21" i="6"/>
  <c r="W22" i="6"/>
  <c r="W23" i="6"/>
  <c r="W24" i="6"/>
  <c r="X24" i="6" s="1"/>
  <c r="W25" i="6"/>
  <c r="W26" i="6"/>
  <c r="W27" i="6"/>
  <c r="W28" i="6"/>
  <c r="X28" i="6" s="1"/>
  <c r="W29" i="6"/>
  <c r="W30" i="6"/>
  <c r="W31" i="6"/>
  <c r="W32" i="6"/>
  <c r="X32" i="6" s="1"/>
  <c r="W33" i="6"/>
  <c r="W34" i="6"/>
  <c r="W35" i="6"/>
  <c r="W36" i="6"/>
  <c r="X36" i="6" s="1"/>
  <c r="W37" i="6"/>
  <c r="W38" i="6"/>
  <c r="W39" i="6"/>
  <c r="W40" i="6"/>
  <c r="X40" i="6" s="1"/>
  <c r="W41" i="6"/>
  <c r="W42" i="6"/>
  <c r="W43" i="6"/>
  <c r="W44" i="6"/>
  <c r="X44" i="6" s="1"/>
  <c r="W45" i="6"/>
  <c r="W46" i="6"/>
  <c r="W47" i="6"/>
  <c r="W48" i="6"/>
  <c r="X48" i="6" s="1"/>
  <c r="W49" i="6"/>
  <c r="W50" i="6"/>
  <c r="W51" i="6"/>
  <c r="W52" i="6"/>
  <c r="X52" i="6" s="1"/>
  <c r="W53" i="6"/>
  <c r="W54" i="6"/>
  <c r="W55" i="6"/>
  <c r="W56" i="6"/>
  <c r="X56" i="6" s="1"/>
  <c r="W57" i="6"/>
  <c r="W58" i="6"/>
  <c r="W59" i="6"/>
  <c r="W60" i="6"/>
  <c r="X60" i="6" s="1"/>
  <c r="W61" i="6"/>
  <c r="W62" i="6"/>
  <c r="W63" i="6"/>
  <c r="W64" i="6"/>
  <c r="X64" i="6" s="1"/>
  <c r="W65" i="6"/>
  <c r="W66" i="6"/>
  <c r="W67" i="6"/>
  <c r="W68" i="6"/>
  <c r="X68" i="6" s="1"/>
  <c r="W69" i="6"/>
  <c r="W70" i="6"/>
  <c r="W71" i="6"/>
  <c r="W72" i="6"/>
  <c r="X72" i="6" s="1"/>
  <c r="W73" i="6"/>
  <c r="W74" i="6"/>
  <c r="W75" i="6"/>
  <c r="W76" i="6"/>
  <c r="X76" i="6" s="1"/>
  <c r="W77" i="6"/>
  <c r="W78" i="6"/>
  <c r="W79" i="6"/>
  <c r="W80" i="6"/>
  <c r="X80" i="6" s="1"/>
  <c r="W81" i="6"/>
  <c r="W82" i="6"/>
  <c r="W83" i="6"/>
  <c r="W84" i="6"/>
  <c r="X84" i="6" s="1"/>
  <c r="W85" i="6"/>
  <c r="W86" i="6"/>
  <c r="W87" i="6"/>
  <c r="W88" i="6"/>
  <c r="X88" i="6" s="1"/>
  <c r="W89" i="6"/>
  <c r="W90" i="6"/>
  <c r="W91" i="6"/>
  <c r="W92" i="6"/>
  <c r="X92" i="6" s="1"/>
  <c r="W93" i="6"/>
  <c r="W94" i="6"/>
  <c r="W95" i="6"/>
  <c r="W96" i="6"/>
  <c r="X96" i="6" s="1"/>
  <c r="W97" i="6"/>
  <c r="W98" i="6"/>
  <c r="W99" i="6"/>
  <c r="W100" i="6"/>
  <c r="X100" i="6" s="1"/>
  <c r="W101" i="6"/>
  <c r="W102" i="6"/>
  <c r="W103" i="6"/>
  <c r="W104" i="6"/>
  <c r="X104" i="6" s="1"/>
  <c r="W105" i="6"/>
  <c r="W106" i="6"/>
  <c r="W107" i="6"/>
  <c r="W108" i="6"/>
  <c r="X108" i="6" s="1"/>
  <c r="W109" i="6"/>
  <c r="W110" i="6"/>
  <c r="W111" i="6"/>
  <c r="W112" i="6"/>
  <c r="X112" i="6" s="1"/>
  <c r="W113" i="6"/>
  <c r="W114" i="6"/>
  <c r="W115" i="6"/>
  <c r="W116" i="6"/>
  <c r="X116" i="6" s="1"/>
  <c r="W117" i="6"/>
  <c r="W118" i="6"/>
  <c r="W119" i="6"/>
  <c r="W120" i="6"/>
  <c r="X120" i="6" s="1"/>
  <c r="W121" i="6"/>
  <c r="W122" i="6"/>
  <c r="W123" i="6"/>
  <c r="W124" i="6"/>
  <c r="X124" i="6" s="1"/>
  <c r="W125" i="6"/>
  <c r="W126" i="6"/>
  <c r="W127" i="6"/>
  <c r="W128" i="6"/>
  <c r="X128" i="6" s="1"/>
  <c r="W129" i="6"/>
  <c r="W130" i="6"/>
  <c r="W131" i="6"/>
  <c r="W132" i="6"/>
  <c r="X132" i="6" s="1"/>
  <c r="W133" i="6"/>
  <c r="W134" i="6"/>
  <c r="W135" i="6"/>
  <c r="W136" i="6"/>
  <c r="X136" i="6" s="1"/>
  <c r="W137" i="6"/>
  <c r="W138" i="6"/>
  <c r="W139" i="6"/>
  <c r="W140" i="6"/>
  <c r="X140" i="6" s="1"/>
  <c r="W141" i="6"/>
  <c r="W142" i="6"/>
  <c r="W143" i="6"/>
  <c r="W144" i="6"/>
  <c r="X144" i="6" s="1"/>
  <c r="W145" i="6"/>
  <c r="W146" i="6"/>
  <c r="W147" i="6"/>
  <c r="W148" i="6"/>
  <c r="X148" i="6" s="1"/>
  <c r="W149" i="6"/>
  <c r="W150" i="6"/>
  <c r="W151" i="6"/>
  <c r="W152" i="6"/>
  <c r="X152" i="6" s="1"/>
  <c r="W153" i="6"/>
  <c r="W154" i="6"/>
  <c r="W155" i="6"/>
  <c r="W156" i="6"/>
  <c r="X156" i="6" s="1"/>
  <c r="W157" i="6"/>
  <c r="W158" i="6"/>
  <c r="W159" i="6"/>
  <c r="W160" i="6"/>
  <c r="X160" i="6" s="1"/>
  <c r="W161" i="6"/>
  <c r="W162" i="6"/>
  <c r="W163" i="6"/>
  <c r="W164" i="6"/>
  <c r="X164" i="6" s="1"/>
  <c r="W165" i="6"/>
  <c r="W166" i="6"/>
  <c r="W167" i="6"/>
  <c r="W168" i="6"/>
  <c r="X168" i="6" s="1"/>
  <c r="W169" i="6"/>
  <c r="W170" i="6"/>
  <c r="W171" i="6"/>
  <c r="W172" i="6"/>
  <c r="X172" i="6" s="1"/>
  <c r="W173" i="6"/>
  <c r="W174" i="6"/>
  <c r="W175" i="6"/>
  <c r="W176" i="6"/>
  <c r="X176" i="6" s="1"/>
  <c r="W177" i="6"/>
  <c r="W178" i="6"/>
  <c r="W179" i="6"/>
  <c r="W180" i="6"/>
  <c r="X180" i="6" s="1"/>
  <c r="W181" i="6"/>
  <c r="W182" i="6"/>
  <c r="W183" i="6"/>
  <c r="W184" i="6"/>
  <c r="X184" i="6" s="1"/>
  <c r="W185" i="6"/>
  <c r="W186" i="6"/>
  <c r="W187" i="6"/>
  <c r="W188" i="6"/>
  <c r="X188" i="6" s="1"/>
  <c r="W189" i="6"/>
  <c r="W190" i="6"/>
  <c r="W191" i="6"/>
  <c r="W192" i="6"/>
  <c r="X192" i="6" s="1"/>
  <c r="W193" i="6"/>
  <c r="W194" i="6"/>
  <c r="W195" i="6"/>
  <c r="W196" i="6"/>
  <c r="X196" i="6" s="1"/>
  <c r="W197" i="6"/>
  <c r="W198" i="6"/>
  <c r="W199" i="6"/>
  <c r="W200" i="6"/>
  <c r="X200" i="6" s="1"/>
  <c r="W201" i="6"/>
  <c r="W202" i="6"/>
  <c r="W203" i="6"/>
  <c r="W204" i="6"/>
  <c r="X204" i="6" s="1"/>
  <c r="W205" i="6"/>
  <c r="W206" i="6"/>
  <c r="W207" i="6"/>
  <c r="W208" i="6"/>
  <c r="X208" i="6" s="1"/>
  <c r="W209" i="6"/>
  <c r="W210" i="6"/>
  <c r="W211" i="6"/>
  <c r="W212" i="6"/>
  <c r="X212" i="6" s="1"/>
  <c r="W213" i="6"/>
  <c r="W214" i="6"/>
  <c r="W215" i="6"/>
  <c r="W216" i="6"/>
  <c r="X216" i="6" s="1"/>
  <c r="W217" i="6"/>
  <c r="W218" i="6"/>
  <c r="W219" i="6"/>
  <c r="W220" i="6"/>
  <c r="X220" i="6" s="1"/>
  <c r="W221" i="6"/>
  <c r="W222" i="6"/>
  <c r="W223" i="6"/>
  <c r="W224" i="6"/>
  <c r="X224" i="6" s="1"/>
  <c r="W225" i="6"/>
  <c r="W226" i="6"/>
  <c r="W227" i="6"/>
  <c r="W228" i="6"/>
  <c r="X228" i="6" s="1"/>
  <c r="W229" i="6"/>
  <c r="W230" i="6"/>
  <c r="W231" i="6"/>
  <c r="W232" i="6"/>
  <c r="X232" i="6" s="1"/>
  <c r="W233" i="6"/>
  <c r="W234" i="6"/>
  <c r="W235" i="6"/>
  <c r="W236" i="6"/>
  <c r="X236" i="6" s="1"/>
  <c r="W237" i="6"/>
  <c r="W238" i="6"/>
  <c r="W239" i="6"/>
  <c r="W240" i="6"/>
  <c r="X240" i="6" s="1"/>
  <c r="W241" i="6"/>
  <c r="W242" i="6"/>
  <c r="W243" i="6"/>
  <c r="W244" i="6"/>
  <c r="X244" i="6" s="1"/>
  <c r="W245" i="6"/>
  <c r="W246" i="6"/>
  <c r="W247" i="6"/>
  <c r="W248" i="6"/>
  <c r="X248" i="6" s="1"/>
  <c r="W249" i="6"/>
  <c r="W250" i="6"/>
  <c r="W251" i="6"/>
  <c r="W252" i="6"/>
  <c r="X252" i="6" s="1"/>
  <c r="W253" i="6"/>
  <c r="W254" i="6"/>
  <c r="W255" i="6"/>
  <c r="W256" i="6"/>
  <c r="X256" i="6" s="1"/>
  <c r="W257" i="6"/>
  <c r="W258" i="6"/>
  <c r="W259" i="6"/>
  <c r="W260" i="6"/>
  <c r="X260" i="6" s="1"/>
  <c r="W261" i="6"/>
  <c r="W262" i="6"/>
  <c r="W263" i="6"/>
  <c r="W264" i="6"/>
  <c r="X264" i="6" s="1"/>
  <c r="W265" i="6"/>
  <c r="W266" i="6"/>
  <c r="W267" i="6"/>
  <c r="W268" i="6"/>
  <c r="X268" i="6" s="1"/>
  <c r="W269" i="6"/>
  <c r="W270" i="6"/>
  <c r="W271" i="6"/>
  <c r="W272" i="6"/>
  <c r="X272" i="6" s="1"/>
  <c r="W273" i="6"/>
  <c r="W274" i="6"/>
  <c r="W275" i="6"/>
  <c r="W276" i="6"/>
  <c r="X276" i="6" s="1"/>
  <c r="W277" i="6"/>
  <c r="W278" i="6"/>
  <c r="W279" i="6"/>
  <c r="W280" i="6"/>
  <c r="X280" i="6" s="1"/>
  <c r="W281" i="6"/>
  <c r="W282" i="6"/>
  <c r="W283" i="6"/>
  <c r="W284" i="6"/>
  <c r="X284" i="6" s="1"/>
  <c r="W285" i="6"/>
  <c r="W286" i="6"/>
  <c r="W287" i="6"/>
  <c r="W288" i="6"/>
  <c r="X288" i="6" s="1"/>
  <c r="W289" i="6"/>
  <c r="W290" i="6"/>
  <c r="W291" i="6"/>
  <c r="W292" i="6"/>
  <c r="X292" i="6" s="1"/>
  <c r="W293" i="6"/>
  <c r="W294" i="6"/>
  <c r="W295" i="6"/>
  <c r="W296" i="6"/>
  <c r="X296" i="6" s="1"/>
  <c r="W297" i="6"/>
  <c r="W298" i="6"/>
  <c r="W299" i="6"/>
  <c r="W300" i="6"/>
  <c r="X300" i="6" s="1"/>
  <c r="W301" i="6"/>
  <c r="W302" i="6"/>
  <c r="W303" i="6"/>
  <c r="W304" i="6"/>
  <c r="X304" i="6" s="1"/>
  <c r="W305" i="6"/>
  <c r="W306" i="6"/>
  <c r="W307" i="6"/>
  <c r="W308" i="6"/>
  <c r="X308" i="6" s="1"/>
  <c r="W309" i="6"/>
  <c r="W310" i="6"/>
  <c r="W311" i="6"/>
  <c r="W312" i="6"/>
  <c r="X312" i="6" s="1"/>
  <c r="W313" i="6"/>
  <c r="W314" i="6"/>
  <c r="W315" i="6"/>
  <c r="W316" i="6"/>
  <c r="X316" i="6" s="1"/>
  <c r="W317" i="6"/>
  <c r="W318" i="6"/>
  <c r="W319" i="6"/>
  <c r="W320" i="6"/>
  <c r="X320" i="6" s="1"/>
  <c r="W321" i="6"/>
  <c r="W322" i="6"/>
  <c r="W323" i="6"/>
  <c r="W324" i="6"/>
  <c r="X324" i="6" s="1"/>
  <c r="W325" i="6"/>
  <c r="W326" i="6"/>
  <c r="W327" i="6"/>
  <c r="W328" i="6"/>
  <c r="X328" i="6" s="1"/>
  <c r="W329" i="6"/>
  <c r="W330" i="6"/>
  <c r="W331" i="6"/>
  <c r="W332" i="6"/>
  <c r="X332" i="6" s="1"/>
  <c r="W333" i="6"/>
  <c r="W334" i="6"/>
  <c r="W335" i="6"/>
  <c r="W336" i="6"/>
  <c r="X336" i="6" s="1"/>
  <c r="W337" i="6"/>
  <c r="W338" i="6"/>
  <c r="W339" i="6"/>
  <c r="W340" i="6"/>
  <c r="X340" i="6" s="1"/>
  <c r="W341" i="6"/>
  <c r="W342" i="6"/>
  <c r="W343" i="6"/>
  <c r="W344" i="6"/>
  <c r="X344" i="6" s="1"/>
  <c r="W345" i="6"/>
  <c r="W346" i="6"/>
  <c r="W347" i="6"/>
  <c r="W348" i="6"/>
  <c r="X348" i="6" s="1"/>
  <c r="W349" i="6"/>
  <c r="W350" i="6"/>
  <c r="W351" i="6"/>
  <c r="W352" i="6"/>
  <c r="X352" i="6" s="1"/>
  <c r="W353" i="6"/>
  <c r="W354" i="6"/>
  <c r="W355" i="6"/>
  <c r="W356" i="6"/>
  <c r="X356" i="6" s="1"/>
  <c r="W357" i="6"/>
  <c r="W358" i="6"/>
  <c r="W359" i="6"/>
  <c r="W360" i="6"/>
  <c r="X360" i="6" s="1"/>
  <c r="W361" i="6"/>
  <c r="W362" i="6"/>
  <c r="W363" i="6"/>
  <c r="W364" i="6"/>
  <c r="X364" i="6" s="1"/>
  <c r="W365" i="6"/>
  <c r="W366" i="6"/>
  <c r="X3" i="6"/>
  <c r="X6" i="6"/>
  <c r="X7" i="6"/>
  <c r="X10" i="6"/>
  <c r="X11" i="6"/>
  <c r="X14" i="6"/>
  <c r="X15" i="6"/>
  <c r="X18" i="6"/>
  <c r="X19" i="6"/>
  <c r="X22" i="6"/>
  <c r="X23" i="6"/>
  <c r="X26" i="6"/>
  <c r="X27" i="6"/>
  <c r="X30" i="6"/>
  <c r="X31" i="6"/>
  <c r="X34" i="6"/>
  <c r="X35" i="6"/>
  <c r="X38" i="6"/>
  <c r="X39" i="6"/>
  <c r="X42" i="6"/>
  <c r="X43" i="6"/>
  <c r="X46" i="6"/>
  <c r="X47" i="6"/>
  <c r="X50" i="6"/>
  <c r="X51" i="6"/>
  <c r="X54" i="6"/>
  <c r="X55" i="6"/>
  <c r="X58" i="6"/>
  <c r="X59" i="6"/>
  <c r="X62" i="6"/>
  <c r="X63" i="6"/>
  <c r="X66" i="6"/>
  <c r="X67" i="6"/>
  <c r="X70" i="6"/>
  <c r="X71" i="6"/>
  <c r="X74" i="6"/>
  <c r="X75" i="6"/>
  <c r="X78" i="6"/>
  <c r="X79" i="6"/>
  <c r="X82" i="6"/>
  <c r="X83" i="6"/>
  <c r="X86" i="6"/>
  <c r="X87" i="6"/>
  <c r="X90" i="6"/>
  <c r="X91" i="6"/>
  <c r="X94" i="6"/>
  <c r="X95" i="6"/>
  <c r="X98" i="6"/>
  <c r="X99" i="6"/>
  <c r="X102" i="6"/>
  <c r="X103" i="6"/>
  <c r="X106" i="6"/>
  <c r="X107" i="6"/>
  <c r="X110" i="6"/>
  <c r="X111" i="6"/>
  <c r="X114" i="6"/>
  <c r="X115" i="6"/>
  <c r="X118" i="6"/>
  <c r="X119" i="6"/>
  <c r="X122" i="6"/>
  <c r="X123" i="6"/>
  <c r="X126" i="6"/>
  <c r="X127" i="6"/>
  <c r="X130" i="6"/>
  <c r="X131" i="6"/>
  <c r="X134" i="6"/>
  <c r="X135" i="6"/>
  <c r="X138" i="6"/>
  <c r="X139" i="6"/>
  <c r="X142" i="6"/>
  <c r="X143" i="6"/>
  <c r="X146" i="6"/>
  <c r="X147" i="6"/>
  <c r="X150" i="6"/>
  <c r="X151" i="6"/>
  <c r="X154" i="6"/>
  <c r="X155" i="6"/>
  <c r="X158" i="6"/>
  <c r="X159" i="6"/>
  <c r="X162" i="6"/>
  <c r="X163" i="6"/>
  <c r="X166" i="6"/>
  <c r="X167" i="6"/>
  <c r="X170" i="6"/>
  <c r="X171" i="6"/>
  <c r="X174" i="6"/>
  <c r="X175" i="6"/>
  <c r="X178" i="6"/>
  <c r="X179" i="6"/>
  <c r="X182" i="6"/>
  <c r="X183" i="6"/>
  <c r="X186" i="6"/>
  <c r="X187" i="6"/>
  <c r="X190" i="6"/>
  <c r="X191" i="6"/>
  <c r="X194" i="6"/>
  <c r="X195" i="6"/>
  <c r="X198" i="6"/>
  <c r="X199" i="6"/>
  <c r="X202" i="6"/>
  <c r="X203" i="6"/>
  <c r="X206" i="6"/>
  <c r="X207" i="6"/>
  <c r="X210" i="6"/>
  <c r="X211" i="6"/>
  <c r="X214" i="6"/>
  <c r="X215" i="6"/>
  <c r="X218" i="6"/>
  <c r="X219" i="6"/>
  <c r="X222" i="6"/>
  <c r="X223" i="6"/>
  <c r="X226" i="6"/>
  <c r="X227" i="6"/>
  <c r="X230" i="6"/>
  <c r="X231" i="6"/>
  <c r="X234" i="6"/>
  <c r="X235" i="6"/>
  <c r="X238" i="6"/>
  <c r="X239" i="6"/>
  <c r="X242" i="6"/>
  <c r="X243" i="6"/>
  <c r="X246" i="6"/>
  <c r="X247" i="6"/>
  <c r="X250" i="6"/>
  <c r="X251" i="6"/>
  <c r="X254" i="6"/>
  <c r="X255" i="6"/>
  <c r="X258" i="6"/>
  <c r="X259" i="6"/>
  <c r="X262" i="6"/>
  <c r="X263" i="6"/>
  <c r="X266" i="6"/>
  <c r="X267" i="6"/>
  <c r="X270" i="6"/>
  <c r="X271" i="6"/>
  <c r="X274" i="6"/>
  <c r="X275" i="6"/>
  <c r="X278" i="6"/>
  <c r="X279" i="6"/>
  <c r="X282" i="6"/>
  <c r="X283" i="6"/>
  <c r="X286" i="6"/>
  <c r="X287" i="6"/>
  <c r="X290" i="6"/>
  <c r="X291" i="6"/>
  <c r="X294" i="6"/>
  <c r="X295" i="6"/>
  <c r="X298" i="6"/>
  <c r="X299" i="6"/>
  <c r="X302" i="6"/>
  <c r="X303" i="6"/>
  <c r="X306" i="6"/>
  <c r="X307" i="6"/>
  <c r="X310" i="6"/>
  <c r="X311" i="6"/>
  <c r="X314" i="6"/>
  <c r="X315" i="6"/>
  <c r="X318" i="6"/>
  <c r="X319" i="6"/>
  <c r="X322" i="6"/>
  <c r="X323" i="6"/>
  <c r="X326" i="6"/>
  <c r="X327" i="6"/>
  <c r="X330" i="6"/>
  <c r="X331" i="6"/>
  <c r="X334" i="6"/>
  <c r="X335" i="6"/>
  <c r="X338" i="6"/>
  <c r="X339" i="6"/>
  <c r="X342" i="6"/>
  <c r="X343" i="6"/>
  <c r="X345" i="6"/>
  <c r="X346" i="6"/>
  <c r="X347" i="6"/>
  <c r="X349" i="6"/>
  <c r="X350" i="6"/>
  <c r="X351" i="6"/>
  <c r="X353" i="6"/>
  <c r="X354" i="6"/>
  <c r="X355" i="6"/>
  <c r="X357" i="6"/>
  <c r="X358" i="6"/>
  <c r="X359" i="6"/>
  <c r="X361" i="6"/>
  <c r="X362" i="6"/>
  <c r="X363" i="6"/>
  <c r="X365" i="6"/>
  <c r="X366" i="6"/>
  <c r="AD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B2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" i="5"/>
  <c r="AB3" i="1"/>
  <c r="AA366" i="5"/>
  <c r="AA365" i="5"/>
  <c r="AA364" i="5"/>
  <c r="AA363" i="5"/>
  <c r="AA362" i="5"/>
  <c r="AA361" i="5"/>
  <c r="AA360" i="5"/>
  <c r="AA359" i="5"/>
  <c r="AA358" i="5"/>
  <c r="AA357" i="5"/>
  <c r="AA356" i="5"/>
  <c r="AA355" i="5"/>
  <c r="AA354" i="5"/>
  <c r="AA353" i="5"/>
  <c r="AA352" i="5"/>
  <c r="AA351" i="5"/>
  <c r="AA350" i="5"/>
  <c r="AA349" i="5"/>
  <c r="AA348" i="5"/>
  <c r="AA347" i="5"/>
  <c r="AA346" i="5"/>
  <c r="AA345" i="5"/>
  <c r="AA344" i="5"/>
  <c r="AA343" i="5"/>
  <c r="AA342" i="5"/>
  <c r="AA341" i="5"/>
  <c r="AA340" i="5"/>
  <c r="AA339" i="5"/>
  <c r="AA338" i="5"/>
  <c r="AA337" i="5"/>
  <c r="AA336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320" i="5"/>
  <c r="AA319" i="5"/>
  <c r="AA318" i="5"/>
  <c r="AA317" i="5"/>
  <c r="AA316" i="5"/>
  <c r="AA315" i="5"/>
  <c r="AA314" i="5"/>
  <c r="AA313" i="5"/>
  <c r="AA312" i="5"/>
  <c r="AA311" i="5"/>
  <c r="AA310" i="5"/>
  <c r="AA309" i="5"/>
  <c r="AA308" i="5"/>
  <c r="AA307" i="5"/>
  <c r="AA306" i="5"/>
  <c r="AA305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335" i="5"/>
  <c r="X334" i="5"/>
  <c r="X333" i="5"/>
  <c r="X332" i="5"/>
  <c r="X331" i="5"/>
  <c r="X330" i="5"/>
  <c r="X329" i="5"/>
  <c r="X328" i="5"/>
  <c r="X327" i="5"/>
  <c r="X326" i="5"/>
  <c r="X325" i="5"/>
  <c r="X324" i="5"/>
  <c r="X323" i="5"/>
  <c r="X322" i="5"/>
  <c r="X321" i="5"/>
  <c r="X320" i="5"/>
  <c r="X319" i="5"/>
  <c r="X318" i="5"/>
  <c r="X317" i="5"/>
  <c r="X316" i="5"/>
  <c r="X315" i="5"/>
  <c r="X314" i="5"/>
  <c r="X313" i="5"/>
  <c r="X312" i="5"/>
  <c r="X311" i="5"/>
  <c r="X310" i="5"/>
  <c r="X309" i="5"/>
  <c r="X308" i="5"/>
  <c r="X307" i="5"/>
  <c r="X306" i="5"/>
  <c r="X305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2" i="4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X46" i="8" l="1"/>
  <c r="X50" i="8"/>
  <c r="X54" i="8"/>
  <c r="X58" i="8"/>
  <c r="X62" i="8"/>
  <c r="X66" i="8"/>
  <c r="X70" i="8"/>
  <c r="X74" i="8"/>
  <c r="X78" i="8"/>
  <c r="X82" i="8"/>
  <c r="X86" i="8"/>
  <c r="X90" i="8"/>
  <c r="X94" i="8"/>
  <c r="X98" i="8"/>
  <c r="X106" i="8"/>
  <c r="X110" i="8"/>
  <c r="X114" i="8"/>
  <c r="X118" i="8"/>
  <c r="X122" i="8"/>
  <c r="X126" i="8"/>
  <c r="X130" i="8"/>
  <c r="X134" i="8"/>
  <c r="X138" i="8"/>
  <c r="X142" i="8"/>
  <c r="X146" i="8"/>
  <c r="X150" i="8"/>
  <c r="X154" i="8"/>
  <c r="X158" i="8"/>
  <c r="X162" i="8"/>
  <c r="X166" i="8"/>
  <c r="X170" i="8"/>
  <c r="X174" i="8"/>
  <c r="X178" i="8"/>
  <c r="X182" i="8"/>
  <c r="X186" i="8"/>
  <c r="X190" i="8"/>
  <c r="X194" i="8"/>
  <c r="X47" i="8"/>
  <c r="X51" i="8"/>
  <c r="X55" i="8"/>
  <c r="X59" i="8"/>
  <c r="X63" i="8"/>
  <c r="X67" i="8"/>
  <c r="X71" i="8"/>
  <c r="X75" i="8"/>
  <c r="X79" i="8"/>
  <c r="X48" i="8"/>
  <c r="X52" i="8"/>
  <c r="X56" i="8"/>
  <c r="X60" i="8"/>
  <c r="X64" i="8"/>
  <c r="X68" i="8"/>
  <c r="X72" i="8"/>
  <c r="X76" i="8"/>
  <c r="X84" i="8"/>
  <c r="X88" i="8"/>
  <c r="X92" i="8"/>
  <c r="X96" i="8"/>
  <c r="X100" i="8"/>
  <c r="X104" i="8"/>
  <c r="X108" i="8"/>
  <c r="X112" i="8"/>
  <c r="X116" i="8"/>
  <c r="X120" i="8"/>
  <c r="X124" i="8"/>
  <c r="X128" i="8"/>
  <c r="X132" i="8"/>
  <c r="X136" i="8"/>
  <c r="X140" i="8"/>
  <c r="X144" i="8"/>
  <c r="X148" i="8"/>
  <c r="X152" i="8"/>
  <c r="X156" i="8"/>
  <c r="X160" i="8"/>
  <c r="X164" i="8"/>
  <c r="X168" i="8"/>
  <c r="X172" i="8"/>
  <c r="X176" i="8"/>
  <c r="X180" i="8"/>
  <c r="X184" i="8"/>
  <c r="X188" i="8"/>
  <c r="X192" i="8"/>
  <c r="X197" i="8"/>
  <c r="X205" i="8"/>
  <c r="X213" i="8"/>
  <c r="X221" i="8"/>
  <c r="X229" i="8"/>
  <c r="X227" i="8"/>
  <c r="X201" i="8"/>
  <c r="X209" i="8"/>
  <c r="X217" i="8"/>
  <c r="X225" i="8"/>
  <c r="X233" i="8"/>
  <c r="X29" i="7"/>
  <c r="X37" i="7"/>
  <c r="X45" i="7"/>
  <c r="X53" i="7"/>
  <c r="X61" i="7"/>
  <c r="X69" i="7"/>
  <c r="X33" i="7"/>
  <c r="X41" i="7"/>
  <c r="X49" i="7"/>
  <c r="X57" i="7"/>
  <c r="X65" i="7"/>
  <c r="X200" i="7"/>
  <c r="X208" i="7"/>
  <c r="X282" i="7"/>
  <c r="X290" i="7"/>
  <c r="X298" i="7"/>
  <c r="X306" i="7"/>
  <c r="X314" i="7"/>
  <c r="X322" i="7"/>
  <c r="X204" i="7"/>
  <c r="X212" i="7"/>
  <c r="X278" i="7"/>
  <c r="X286" i="7"/>
  <c r="X294" i="7"/>
  <c r="X302" i="7"/>
  <c r="X310" i="7"/>
  <c r="X318" i="7"/>
  <c r="X326" i="7"/>
  <c r="X2" i="6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312" i="4"/>
  <c r="AN313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27" i="4"/>
  <c r="AN328" i="4"/>
  <c r="AN329" i="4"/>
  <c r="AN330" i="4"/>
  <c r="AN331" i="4"/>
  <c r="AN332" i="4"/>
  <c r="AN333" i="4"/>
  <c r="AN334" i="4"/>
  <c r="AN335" i="4"/>
  <c r="AN336" i="4"/>
  <c r="AN337" i="4"/>
  <c r="AN338" i="4"/>
  <c r="AN339" i="4"/>
  <c r="AN340" i="4"/>
  <c r="AN341" i="4"/>
  <c r="AN342" i="4"/>
  <c r="AN343" i="4"/>
  <c r="AN344" i="4"/>
  <c r="AN345" i="4"/>
  <c r="AN346" i="4"/>
  <c r="AN347" i="4"/>
  <c r="AN348" i="4"/>
  <c r="AN349" i="4"/>
  <c r="AN350" i="4"/>
  <c r="AN351" i="4"/>
  <c r="AN352" i="4"/>
  <c r="AN353" i="4"/>
  <c r="AN354" i="4"/>
  <c r="AN355" i="4"/>
  <c r="AN356" i="4"/>
  <c r="AN357" i="4"/>
  <c r="AN358" i="4"/>
  <c r="AN359" i="4"/>
  <c r="AN360" i="4"/>
  <c r="AN361" i="4"/>
  <c r="AN362" i="4"/>
  <c r="AN363" i="4"/>
  <c r="AN364" i="4"/>
  <c r="AN365" i="4"/>
  <c r="AN366" i="4"/>
  <c r="AP2" i="1" l="1"/>
  <c r="AJ2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X271" i="4" s="1"/>
  <c r="T272" i="4"/>
  <c r="T273" i="4"/>
  <c r="T274" i="4"/>
  <c r="T275" i="4"/>
  <c r="X275" i="4" s="1"/>
  <c r="T276" i="4"/>
  <c r="T277" i="4"/>
  <c r="T278" i="4"/>
  <c r="T279" i="4"/>
  <c r="X279" i="4" s="1"/>
  <c r="T280" i="4"/>
  <c r="T281" i="4"/>
  <c r="T282" i="4"/>
  <c r="T283" i="4"/>
  <c r="X283" i="4" s="1"/>
  <c r="T284" i="4"/>
  <c r="T285" i="4"/>
  <c r="T286" i="4"/>
  <c r="T287" i="4"/>
  <c r="X287" i="4" s="1"/>
  <c r="T288" i="4"/>
  <c r="T289" i="4"/>
  <c r="T290" i="4"/>
  <c r="T291" i="4"/>
  <c r="X291" i="4" s="1"/>
  <c r="T292" i="4"/>
  <c r="T293" i="4"/>
  <c r="T294" i="4"/>
  <c r="T295" i="4"/>
  <c r="X295" i="4" s="1"/>
  <c r="T296" i="4"/>
  <c r="T297" i="4"/>
  <c r="T298" i="4"/>
  <c r="T299" i="4"/>
  <c r="X299" i="4" s="1"/>
  <c r="T300" i="4"/>
  <c r="T301" i="4"/>
  <c r="T302" i="4"/>
  <c r="T303" i="4"/>
  <c r="X303" i="4" s="1"/>
  <c r="T304" i="4"/>
  <c r="T305" i="4"/>
  <c r="T306" i="4"/>
  <c r="T307" i="4"/>
  <c r="X307" i="4" s="1"/>
  <c r="T308" i="4"/>
  <c r="T309" i="4"/>
  <c r="T310" i="4"/>
  <c r="T311" i="4"/>
  <c r="X311" i="4" s="1"/>
  <c r="T312" i="4"/>
  <c r="T313" i="4"/>
  <c r="T314" i="4"/>
  <c r="T315" i="4"/>
  <c r="X315" i="4" s="1"/>
  <c r="T316" i="4"/>
  <c r="T317" i="4"/>
  <c r="T318" i="4"/>
  <c r="T319" i="4"/>
  <c r="X319" i="4" s="1"/>
  <c r="T320" i="4"/>
  <c r="T321" i="4"/>
  <c r="T322" i="4"/>
  <c r="T323" i="4"/>
  <c r="X323" i="4" s="1"/>
  <c r="T324" i="4"/>
  <c r="T325" i="4"/>
  <c r="T326" i="4"/>
  <c r="T327" i="4"/>
  <c r="X327" i="4" s="1"/>
  <c r="T328" i="4"/>
  <c r="T329" i="4"/>
  <c r="T330" i="4"/>
  <c r="T331" i="4"/>
  <c r="X331" i="4" s="1"/>
  <c r="T332" i="4"/>
  <c r="T333" i="4"/>
  <c r="T334" i="4"/>
  <c r="T335" i="4"/>
  <c r="X335" i="4" s="1"/>
  <c r="T336" i="4"/>
  <c r="T337" i="4"/>
  <c r="T338" i="4"/>
  <c r="T339" i="4"/>
  <c r="X339" i="4" s="1"/>
  <c r="T340" i="4"/>
  <c r="T341" i="4"/>
  <c r="T342" i="4"/>
  <c r="T343" i="4"/>
  <c r="X343" i="4" s="1"/>
  <c r="T344" i="4"/>
  <c r="T345" i="4"/>
  <c r="T346" i="4"/>
  <c r="T347" i="4"/>
  <c r="X347" i="4" s="1"/>
  <c r="T348" i="4"/>
  <c r="T349" i="4"/>
  <c r="T350" i="4"/>
  <c r="T351" i="4"/>
  <c r="X351" i="4" s="1"/>
  <c r="T352" i="4"/>
  <c r="T353" i="4"/>
  <c r="T354" i="4"/>
  <c r="T355" i="4"/>
  <c r="X355" i="4" s="1"/>
  <c r="T356" i="4"/>
  <c r="T357" i="4"/>
  <c r="T358" i="4"/>
  <c r="T359" i="4"/>
  <c r="X359" i="4" s="1"/>
  <c r="T360" i="4"/>
  <c r="T361" i="4"/>
  <c r="T362" i="4"/>
  <c r="T363" i="4"/>
  <c r="X363" i="4" s="1"/>
  <c r="T364" i="4"/>
  <c r="T365" i="4"/>
  <c r="T366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AB2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" i="4"/>
  <c r="AA366" i="4"/>
  <c r="AA365" i="4"/>
  <c r="AA364" i="4"/>
  <c r="AA363" i="4"/>
  <c r="AA362" i="4"/>
  <c r="AA361" i="4"/>
  <c r="AA360" i="4"/>
  <c r="AA359" i="4"/>
  <c r="AA358" i="4"/>
  <c r="AA357" i="4"/>
  <c r="AA356" i="4"/>
  <c r="AA355" i="4"/>
  <c r="AA354" i="4"/>
  <c r="AA353" i="4"/>
  <c r="AA352" i="4"/>
  <c r="AA351" i="4"/>
  <c r="AA350" i="4"/>
  <c r="AA349" i="4"/>
  <c r="AA348" i="4"/>
  <c r="AA347" i="4"/>
  <c r="AA346" i="4"/>
  <c r="AA345" i="4"/>
  <c r="AA344" i="4"/>
  <c r="AA343" i="4"/>
  <c r="AA342" i="4"/>
  <c r="AA341" i="4"/>
  <c r="AA340" i="4"/>
  <c r="AA339" i="4"/>
  <c r="AA338" i="4"/>
  <c r="AA337" i="4"/>
  <c r="AA336" i="4"/>
  <c r="AA335" i="4"/>
  <c r="AA334" i="4"/>
  <c r="AA333" i="4"/>
  <c r="AA332" i="4"/>
  <c r="AA331" i="4"/>
  <c r="AA330" i="4"/>
  <c r="AA329" i="4"/>
  <c r="AA328" i="4"/>
  <c r="AA327" i="4"/>
  <c r="AA326" i="4"/>
  <c r="AA325" i="4"/>
  <c r="AA324" i="4"/>
  <c r="AA323" i="4"/>
  <c r="AA322" i="4"/>
  <c r="AA321" i="4"/>
  <c r="AA320" i="4"/>
  <c r="AA319" i="4"/>
  <c r="AA318" i="4"/>
  <c r="AA317" i="4"/>
  <c r="AA316" i="4"/>
  <c r="AA315" i="4"/>
  <c r="AA314" i="4"/>
  <c r="AA313" i="4"/>
  <c r="AA312" i="4"/>
  <c r="AA311" i="4"/>
  <c r="AA310" i="4"/>
  <c r="AA309" i="4"/>
  <c r="AA308" i="4"/>
  <c r="AA307" i="4"/>
  <c r="AA306" i="4"/>
  <c r="AA305" i="4"/>
  <c r="AA304" i="4"/>
  <c r="AA303" i="4"/>
  <c r="AA302" i="4"/>
  <c r="AA301" i="4"/>
  <c r="AA300" i="4"/>
  <c r="AA299" i="4"/>
  <c r="AA298" i="4"/>
  <c r="AA297" i="4"/>
  <c r="AA296" i="4"/>
  <c r="AA295" i="4"/>
  <c r="AA294" i="4"/>
  <c r="AA293" i="4"/>
  <c r="AA292" i="4"/>
  <c r="AA291" i="4"/>
  <c r="AA290" i="4"/>
  <c r="AA289" i="4"/>
  <c r="AA288" i="4"/>
  <c r="AA287" i="4"/>
  <c r="AA286" i="4"/>
  <c r="AA285" i="4"/>
  <c r="AA284" i="4"/>
  <c r="AA283" i="4"/>
  <c r="AA282" i="4"/>
  <c r="AA281" i="4"/>
  <c r="AA280" i="4"/>
  <c r="AA279" i="4"/>
  <c r="AA278" i="4"/>
  <c r="AA277" i="4"/>
  <c r="AA276" i="4"/>
  <c r="AA275" i="4"/>
  <c r="AA274" i="4"/>
  <c r="AA273" i="4"/>
  <c r="AA272" i="4"/>
  <c r="AA271" i="4"/>
  <c r="AA270" i="4"/>
  <c r="AA269" i="4"/>
  <c r="AA268" i="4"/>
  <c r="AA267" i="4"/>
  <c r="AA266" i="4"/>
  <c r="AA265" i="4"/>
  <c r="AA264" i="4"/>
  <c r="AA263" i="4"/>
  <c r="AA262" i="4"/>
  <c r="AA261" i="4"/>
  <c r="AA260" i="4"/>
  <c r="AA259" i="4"/>
  <c r="AA258" i="4"/>
  <c r="AA257" i="4"/>
  <c r="AA256" i="4"/>
  <c r="AA255" i="4"/>
  <c r="AA254" i="4"/>
  <c r="AA253" i="4"/>
  <c r="AA252" i="4"/>
  <c r="AA251" i="4"/>
  <c r="AA250" i="4"/>
  <c r="AA249" i="4"/>
  <c r="AA248" i="4"/>
  <c r="AA247" i="4"/>
  <c r="AA246" i="4"/>
  <c r="AA245" i="4"/>
  <c r="AA244" i="4"/>
  <c r="AA243" i="4"/>
  <c r="AA242" i="4"/>
  <c r="AA241" i="4"/>
  <c r="AA240" i="4"/>
  <c r="AA239" i="4"/>
  <c r="AA238" i="4"/>
  <c r="AA237" i="4"/>
  <c r="AA236" i="4"/>
  <c r="AA235" i="4"/>
  <c r="AA234" i="4"/>
  <c r="AA233" i="4"/>
  <c r="AA232" i="4"/>
  <c r="AA231" i="4"/>
  <c r="AA230" i="4"/>
  <c r="AA229" i="4"/>
  <c r="AA228" i="4"/>
  <c r="AA227" i="4"/>
  <c r="AA226" i="4"/>
  <c r="AA225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A2" i="4"/>
  <c r="AA2" i="1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D270" i="4"/>
  <c r="H269" i="4"/>
  <c r="D269" i="4"/>
  <c r="H268" i="4"/>
  <c r="D268" i="4"/>
  <c r="H267" i="4"/>
  <c r="D267" i="4"/>
  <c r="H266" i="4"/>
  <c r="D266" i="4"/>
  <c r="H265" i="4"/>
  <c r="D265" i="4"/>
  <c r="H264" i="4"/>
  <c r="D264" i="4"/>
  <c r="H263" i="4"/>
  <c r="D263" i="4"/>
  <c r="H262" i="4"/>
  <c r="D262" i="4"/>
  <c r="H261" i="4"/>
  <c r="D261" i="4"/>
  <c r="H260" i="4"/>
  <c r="D260" i="4"/>
  <c r="H259" i="4"/>
  <c r="D259" i="4"/>
  <c r="H258" i="4"/>
  <c r="D258" i="4"/>
  <c r="H257" i="4"/>
  <c r="D257" i="4"/>
  <c r="H256" i="4"/>
  <c r="D256" i="4"/>
  <c r="H255" i="4"/>
  <c r="D255" i="4"/>
  <c r="H254" i="4"/>
  <c r="D254" i="4"/>
  <c r="H253" i="4"/>
  <c r="D253" i="4"/>
  <c r="H252" i="4"/>
  <c r="D252" i="4"/>
  <c r="H251" i="4"/>
  <c r="D251" i="4"/>
  <c r="H250" i="4"/>
  <c r="D250" i="4"/>
  <c r="H249" i="4"/>
  <c r="D249" i="4"/>
  <c r="H248" i="4"/>
  <c r="D248" i="4"/>
  <c r="H247" i="4"/>
  <c r="D247" i="4"/>
  <c r="H246" i="4"/>
  <c r="D246" i="4"/>
  <c r="H245" i="4"/>
  <c r="D245" i="4"/>
  <c r="H244" i="4"/>
  <c r="D244" i="4"/>
  <c r="H243" i="4"/>
  <c r="D243" i="4"/>
  <c r="H242" i="4"/>
  <c r="D242" i="4"/>
  <c r="H241" i="4"/>
  <c r="D241" i="4"/>
  <c r="H240" i="4"/>
  <c r="D240" i="4"/>
  <c r="H239" i="4"/>
  <c r="D239" i="4"/>
  <c r="H238" i="4"/>
  <c r="D238" i="4"/>
  <c r="H237" i="4"/>
  <c r="D237" i="4"/>
  <c r="H236" i="4"/>
  <c r="D236" i="4"/>
  <c r="H235" i="4"/>
  <c r="D235" i="4"/>
  <c r="H234" i="4"/>
  <c r="D234" i="4"/>
  <c r="H233" i="4"/>
  <c r="D233" i="4"/>
  <c r="H232" i="4"/>
  <c r="D232" i="4"/>
  <c r="H231" i="4"/>
  <c r="D231" i="4"/>
  <c r="H230" i="4"/>
  <c r="D230" i="4"/>
  <c r="H229" i="4"/>
  <c r="D229" i="4"/>
  <c r="H228" i="4"/>
  <c r="D228" i="4"/>
  <c r="H227" i="4"/>
  <c r="D227" i="4"/>
  <c r="H226" i="4"/>
  <c r="D226" i="4"/>
  <c r="H225" i="4"/>
  <c r="D225" i="4"/>
  <c r="H224" i="4"/>
  <c r="D224" i="4"/>
  <c r="H223" i="4"/>
  <c r="D223" i="4"/>
  <c r="H222" i="4"/>
  <c r="D222" i="4"/>
  <c r="H221" i="4"/>
  <c r="D221" i="4"/>
  <c r="H220" i="4"/>
  <c r="D220" i="4"/>
  <c r="H219" i="4"/>
  <c r="D219" i="4"/>
  <c r="H218" i="4"/>
  <c r="D218" i="4"/>
  <c r="H217" i="4"/>
  <c r="D217" i="4"/>
  <c r="H216" i="4"/>
  <c r="D216" i="4"/>
  <c r="H215" i="4"/>
  <c r="D215" i="4"/>
  <c r="H214" i="4"/>
  <c r="D214" i="4"/>
  <c r="H213" i="4"/>
  <c r="D213" i="4"/>
  <c r="H212" i="4"/>
  <c r="D212" i="4"/>
  <c r="H211" i="4"/>
  <c r="D211" i="4"/>
  <c r="H210" i="4"/>
  <c r="D210" i="4"/>
  <c r="H209" i="4"/>
  <c r="D209" i="4"/>
  <c r="H208" i="4"/>
  <c r="D208" i="4"/>
  <c r="H207" i="4"/>
  <c r="D207" i="4"/>
  <c r="H206" i="4"/>
  <c r="D206" i="4"/>
  <c r="H205" i="4"/>
  <c r="D205" i="4"/>
  <c r="H204" i="4"/>
  <c r="D204" i="4"/>
  <c r="H203" i="4"/>
  <c r="D203" i="4"/>
  <c r="H202" i="4"/>
  <c r="D202" i="4"/>
  <c r="H201" i="4"/>
  <c r="D201" i="4"/>
  <c r="H200" i="4"/>
  <c r="D200" i="4"/>
  <c r="H199" i="4"/>
  <c r="D199" i="4"/>
  <c r="H198" i="4"/>
  <c r="D198" i="4"/>
  <c r="H197" i="4"/>
  <c r="D197" i="4"/>
  <c r="H196" i="4"/>
  <c r="D196" i="4"/>
  <c r="H195" i="4"/>
  <c r="D195" i="4"/>
  <c r="H194" i="4"/>
  <c r="D194" i="4"/>
  <c r="H193" i="4"/>
  <c r="D193" i="4"/>
  <c r="H192" i="4"/>
  <c r="D192" i="4"/>
  <c r="H191" i="4"/>
  <c r="D191" i="4"/>
  <c r="H190" i="4"/>
  <c r="D190" i="4"/>
  <c r="H189" i="4"/>
  <c r="D189" i="4"/>
  <c r="H188" i="4"/>
  <c r="D188" i="4"/>
  <c r="H187" i="4"/>
  <c r="D187" i="4"/>
  <c r="H186" i="4"/>
  <c r="D186" i="4"/>
  <c r="H185" i="4"/>
  <c r="D185" i="4"/>
  <c r="H184" i="4"/>
  <c r="D184" i="4"/>
  <c r="H183" i="4"/>
  <c r="D183" i="4"/>
  <c r="H182" i="4"/>
  <c r="D182" i="4"/>
  <c r="H181" i="4"/>
  <c r="D181" i="4"/>
  <c r="H180" i="4"/>
  <c r="D180" i="4"/>
  <c r="H179" i="4"/>
  <c r="D179" i="4"/>
  <c r="H178" i="4"/>
  <c r="D178" i="4"/>
  <c r="H177" i="4"/>
  <c r="D177" i="4"/>
  <c r="H176" i="4"/>
  <c r="D176" i="4"/>
  <c r="H175" i="4"/>
  <c r="D175" i="4"/>
  <c r="H174" i="4"/>
  <c r="D174" i="4"/>
  <c r="H173" i="4"/>
  <c r="D173" i="4"/>
  <c r="H172" i="4"/>
  <c r="D172" i="4"/>
  <c r="H171" i="4"/>
  <c r="D171" i="4"/>
  <c r="H170" i="4"/>
  <c r="D170" i="4"/>
  <c r="H169" i="4"/>
  <c r="D169" i="4"/>
  <c r="H168" i="4"/>
  <c r="D168" i="4"/>
  <c r="H167" i="4"/>
  <c r="D167" i="4"/>
  <c r="H166" i="4"/>
  <c r="D166" i="4"/>
  <c r="H165" i="4"/>
  <c r="D165" i="4"/>
  <c r="H164" i="4"/>
  <c r="D164" i="4"/>
  <c r="H163" i="4"/>
  <c r="D163" i="4"/>
  <c r="H162" i="4"/>
  <c r="D162" i="4"/>
  <c r="H161" i="4"/>
  <c r="D161" i="4"/>
  <c r="H160" i="4"/>
  <c r="D160" i="4"/>
  <c r="H159" i="4"/>
  <c r="D159" i="4"/>
  <c r="H158" i="4"/>
  <c r="D158" i="4"/>
  <c r="H157" i="4"/>
  <c r="D157" i="4"/>
  <c r="H156" i="4"/>
  <c r="D156" i="4"/>
  <c r="H155" i="4"/>
  <c r="D155" i="4"/>
  <c r="H154" i="4"/>
  <c r="D154" i="4"/>
  <c r="H153" i="4"/>
  <c r="D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E63" i="4"/>
  <c r="H62" i="4"/>
  <c r="E62" i="4"/>
  <c r="H61" i="4"/>
  <c r="E61" i="4"/>
  <c r="H60" i="4"/>
  <c r="E60" i="4"/>
  <c r="H59" i="4"/>
  <c r="E59" i="4"/>
  <c r="H58" i="4"/>
  <c r="E58" i="4"/>
  <c r="H57" i="4"/>
  <c r="E57" i="4"/>
  <c r="H56" i="4"/>
  <c r="E56" i="4"/>
  <c r="H55" i="4"/>
  <c r="E55" i="4"/>
  <c r="H54" i="4"/>
  <c r="E54" i="4"/>
  <c r="H53" i="4"/>
  <c r="E53" i="4"/>
  <c r="H52" i="4"/>
  <c r="E52" i="4"/>
  <c r="H51" i="4"/>
  <c r="E51" i="4"/>
  <c r="H50" i="4"/>
  <c r="E50" i="4"/>
  <c r="H49" i="4"/>
  <c r="E49" i="4"/>
  <c r="H48" i="4"/>
  <c r="E48" i="4"/>
  <c r="H47" i="4"/>
  <c r="E47" i="4"/>
  <c r="H46" i="4"/>
  <c r="E46" i="4"/>
  <c r="H45" i="4"/>
  <c r="E45" i="4"/>
  <c r="H44" i="4"/>
  <c r="E44" i="4"/>
  <c r="H43" i="4"/>
  <c r="E43" i="4"/>
  <c r="H42" i="4"/>
  <c r="E42" i="4"/>
  <c r="H41" i="4"/>
  <c r="E41" i="4"/>
  <c r="H40" i="4"/>
  <c r="E40" i="4"/>
  <c r="H39" i="4"/>
  <c r="E39" i="4"/>
  <c r="H38" i="4"/>
  <c r="E38" i="4"/>
  <c r="H37" i="4"/>
  <c r="E37" i="4"/>
  <c r="H36" i="4"/>
  <c r="E36" i="4"/>
  <c r="H35" i="4"/>
  <c r="E35" i="4"/>
  <c r="H34" i="4"/>
  <c r="E34" i="4"/>
  <c r="H33" i="4"/>
  <c r="E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S298" i="4" l="1"/>
  <c r="S302" i="4"/>
  <c r="S306" i="4"/>
  <c r="S310" i="4"/>
  <c r="S322" i="4"/>
  <c r="S326" i="4"/>
  <c r="S334" i="4"/>
  <c r="S338" i="4"/>
  <c r="S350" i="4"/>
  <c r="S358" i="4"/>
  <c r="S366" i="4"/>
  <c r="S32" i="4"/>
  <c r="S208" i="4"/>
  <c r="S240" i="4"/>
  <c r="S272" i="4"/>
  <c r="X366" i="4"/>
  <c r="X362" i="4"/>
  <c r="X358" i="4"/>
  <c r="X354" i="4"/>
  <c r="X350" i="4"/>
  <c r="X346" i="4"/>
  <c r="X342" i="4"/>
  <c r="X338" i="4"/>
  <c r="X334" i="4"/>
  <c r="X330" i="4"/>
  <c r="X326" i="4"/>
  <c r="X322" i="4"/>
  <c r="X318" i="4"/>
  <c r="X314" i="4"/>
  <c r="X310" i="4"/>
  <c r="X306" i="4"/>
  <c r="X302" i="4"/>
  <c r="X298" i="4"/>
  <c r="X294" i="4"/>
  <c r="X290" i="4"/>
  <c r="X274" i="4"/>
  <c r="X267" i="4"/>
  <c r="X263" i="4"/>
  <c r="X259" i="4"/>
  <c r="X255" i="4"/>
  <c r="X251" i="4"/>
  <c r="X247" i="4"/>
  <c r="X243" i="4"/>
  <c r="X239" i="4"/>
  <c r="X235" i="4"/>
  <c r="X231" i="4"/>
  <c r="X227" i="4"/>
  <c r="X223" i="4"/>
  <c r="X219" i="4"/>
  <c r="X215" i="4"/>
  <c r="X211" i="4"/>
  <c r="X207" i="4"/>
  <c r="X203" i="4"/>
  <c r="X199" i="4"/>
  <c r="X195" i="4"/>
  <c r="X191" i="4"/>
  <c r="X187" i="4"/>
  <c r="X183" i="4"/>
  <c r="X179" i="4"/>
  <c r="X175" i="4"/>
  <c r="X171" i="4"/>
  <c r="X167" i="4"/>
  <c r="X163" i="4"/>
  <c r="X159" i="4"/>
  <c r="X155" i="4"/>
  <c r="X151" i="4"/>
  <c r="X147" i="4"/>
  <c r="X143" i="4"/>
  <c r="X139" i="4"/>
  <c r="X127" i="4"/>
  <c r="X115" i="4"/>
  <c r="X103" i="4"/>
  <c r="X91" i="4"/>
  <c r="X79" i="4"/>
  <c r="X75" i="4"/>
  <c r="X258" i="4"/>
  <c r="X242" i="4"/>
  <c r="X135" i="4"/>
  <c r="X123" i="4"/>
  <c r="X111" i="4"/>
  <c r="X99" i="4"/>
  <c r="X87" i="4"/>
  <c r="X131" i="4"/>
  <c r="X119" i="4"/>
  <c r="X107" i="4"/>
  <c r="X95" i="4"/>
  <c r="X83" i="4"/>
  <c r="S10" i="4"/>
  <c r="S26" i="4"/>
  <c r="S42" i="4"/>
  <c r="S58" i="4"/>
  <c r="S74" i="4"/>
  <c r="S90" i="4"/>
  <c r="S106" i="4"/>
  <c r="S122" i="4"/>
  <c r="S138" i="4"/>
  <c r="S154" i="4"/>
  <c r="S170" i="4"/>
  <c r="S186" i="4"/>
  <c r="S202" i="4"/>
  <c r="S218" i="4"/>
  <c r="S250" i="4"/>
  <c r="S266" i="4"/>
  <c r="X71" i="4"/>
  <c r="X67" i="4"/>
  <c r="X63" i="4"/>
  <c r="X59" i="4"/>
  <c r="X55" i="4"/>
  <c r="X51" i="4"/>
  <c r="X47" i="4"/>
  <c r="X43" i="4"/>
  <c r="X39" i="4"/>
  <c r="X35" i="4"/>
  <c r="X31" i="4"/>
  <c r="X27" i="4"/>
  <c r="X23" i="4"/>
  <c r="X19" i="4"/>
  <c r="X15" i="4"/>
  <c r="X11" i="4"/>
  <c r="X7" i="4"/>
  <c r="X3" i="4"/>
  <c r="S3" i="4"/>
  <c r="S7" i="4"/>
  <c r="S11" i="4"/>
  <c r="S15" i="4"/>
  <c r="S19" i="4"/>
  <c r="S23" i="4"/>
  <c r="S27" i="4"/>
  <c r="S31" i="4"/>
  <c r="S35" i="4"/>
  <c r="S39" i="4"/>
  <c r="S43" i="4"/>
  <c r="S47" i="4"/>
  <c r="S51" i="4"/>
  <c r="S55" i="4"/>
  <c r="S59" i="4"/>
  <c r="S63" i="4"/>
  <c r="S67" i="4"/>
  <c r="S71" i="4"/>
  <c r="S75" i="4"/>
  <c r="S79" i="4"/>
  <c r="S83" i="4"/>
  <c r="S87" i="4"/>
  <c r="S91" i="4"/>
  <c r="S95" i="4"/>
  <c r="S99" i="4"/>
  <c r="S103" i="4"/>
  <c r="S107" i="4"/>
  <c r="X365" i="4"/>
  <c r="X361" i="4"/>
  <c r="X357" i="4"/>
  <c r="X353" i="4"/>
  <c r="X349" i="4"/>
  <c r="X345" i="4"/>
  <c r="X248" i="4"/>
  <c r="X192" i="4"/>
  <c r="X128" i="4"/>
  <c r="X64" i="4"/>
  <c r="S111" i="4"/>
  <c r="S115" i="4"/>
  <c r="S119" i="4"/>
  <c r="S123" i="4"/>
  <c r="S127" i="4"/>
  <c r="S131" i="4"/>
  <c r="S135" i="4"/>
  <c r="S139" i="4"/>
  <c r="S143" i="4"/>
  <c r="S147" i="4"/>
  <c r="S151" i="4"/>
  <c r="S155" i="4"/>
  <c r="S159" i="4"/>
  <c r="S163" i="4"/>
  <c r="S167" i="4"/>
  <c r="S171" i="4"/>
  <c r="S175" i="4"/>
  <c r="S179" i="4"/>
  <c r="S183" i="4"/>
  <c r="S187" i="4"/>
  <c r="S191" i="4"/>
  <c r="S347" i="4"/>
  <c r="X341" i="4"/>
  <c r="X337" i="4"/>
  <c r="X333" i="4"/>
  <c r="X329" i="4"/>
  <c r="X325" i="4"/>
  <c r="X321" i="4"/>
  <c r="X317" i="4"/>
  <c r="X313" i="4"/>
  <c r="X309" i="4"/>
  <c r="X305" i="4"/>
  <c r="X301" i="4"/>
  <c r="X297" i="4"/>
  <c r="X293" i="4"/>
  <c r="X289" i="4"/>
  <c r="X285" i="4"/>
  <c r="X281" i="4"/>
  <c r="X277" i="4"/>
  <c r="X273" i="4"/>
  <c r="X269" i="4"/>
  <c r="X265" i="4"/>
  <c r="X261" i="4"/>
  <c r="X257" i="4"/>
  <c r="X253" i="4"/>
  <c r="X249" i="4"/>
  <c r="X245" i="4"/>
  <c r="X241" i="4"/>
  <c r="X237" i="4"/>
  <c r="X233" i="4"/>
  <c r="X229" i="4"/>
  <c r="X225" i="4"/>
  <c r="X221" i="4"/>
  <c r="X217" i="4"/>
  <c r="X213" i="4"/>
  <c r="X209" i="4"/>
  <c r="X205" i="4"/>
  <c r="X201" i="4"/>
  <c r="X197" i="4"/>
  <c r="X193" i="4"/>
  <c r="X189" i="4"/>
  <c r="X185" i="4"/>
  <c r="X181" i="4"/>
  <c r="X177" i="4"/>
  <c r="X173" i="4"/>
  <c r="X169" i="4"/>
  <c r="X165" i="4"/>
  <c r="X161" i="4"/>
  <c r="X157" i="4"/>
  <c r="X153" i="4"/>
  <c r="X149" i="4"/>
  <c r="X145" i="4"/>
  <c r="X141" i="4"/>
  <c r="X137" i="4"/>
  <c r="X133" i="4"/>
  <c r="X129" i="4"/>
  <c r="X125" i="4"/>
  <c r="X121" i="4"/>
  <c r="X117" i="4"/>
  <c r="X113" i="4"/>
  <c r="X109" i="4"/>
  <c r="X105" i="4"/>
  <c r="X101" i="4"/>
  <c r="X97" i="4"/>
  <c r="X93" i="4"/>
  <c r="X89" i="4"/>
  <c r="X85" i="4"/>
  <c r="X81" i="4"/>
  <c r="X77" i="4"/>
  <c r="X73" i="4"/>
  <c r="X69" i="4"/>
  <c r="X65" i="4"/>
  <c r="X61" i="4"/>
  <c r="X57" i="4"/>
  <c r="X53" i="4"/>
  <c r="X49" i="4"/>
  <c r="X45" i="4"/>
  <c r="X41" i="4"/>
  <c r="X37" i="4"/>
  <c r="X33" i="4"/>
  <c r="X29" i="4"/>
  <c r="X25" i="4"/>
  <c r="X21" i="4"/>
  <c r="X17" i="4"/>
  <c r="X13" i="4"/>
  <c r="X9" i="4"/>
  <c r="X5" i="4"/>
  <c r="S253" i="4"/>
  <c r="S269" i="4"/>
  <c r="S285" i="4"/>
  <c r="S305" i="4"/>
  <c r="S321" i="4"/>
  <c r="S337" i="4"/>
  <c r="S353" i="4"/>
  <c r="S363" i="4"/>
  <c r="S5" i="4"/>
  <c r="S9" i="4"/>
  <c r="S21" i="4"/>
  <c r="S25" i="4"/>
  <c r="S37" i="4"/>
  <c r="S41" i="4"/>
  <c r="S53" i="4"/>
  <c r="S57" i="4"/>
  <c r="S69" i="4"/>
  <c r="S73" i="4"/>
  <c r="S85" i="4"/>
  <c r="S89" i="4"/>
  <c r="S101" i="4"/>
  <c r="S105" i="4"/>
  <c r="S117" i="4"/>
  <c r="S121" i="4"/>
  <c r="S133" i="4"/>
  <c r="S137" i="4"/>
  <c r="S145" i="4"/>
  <c r="S149" i="4"/>
  <c r="S153" i="4"/>
  <c r="S161" i="4"/>
  <c r="S165" i="4"/>
  <c r="S169" i="4"/>
  <c r="S177" i="4"/>
  <c r="S181" i="4"/>
  <c r="S185" i="4"/>
  <c r="S193" i="4"/>
  <c r="S197" i="4"/>
  <c r="S201" i="4"/>
  <c r="S209" i="4"/>
  <c r="S213" i="4"/>
  <c r="S217" i="4"/>
  <c r="S225" i="4"/>
  <c r="S229" i="4"/>
  <c r="S233" i="4"/>
  <c r="S241" i="4"/>
  <c r="S245" i="4"/>
  <c r="S249" i="4"/>
  <c r="S257" i="4"/>
  <c r="S261" i="4"/>
  <c r="S265" i="4"/>
  <c r="S273" i="4"/>
  <c r="S277" i="4"/>
  <c r="S281" i="4"/>
  <c r="S289" i="4"/>
  <c r="S293" i="4"/>
  <c r="S297" i="4"/>
  <c r="S160" i="4"/>
  <c r="S288" i="4"/>
  <c r="S14" i="4"/>
  <c r="S30" i="4"/>
  <c r="S46" i="4"/>
  <c r="S62" i="4"/>
  <c r="S78" i="4"/>
  <c r="S94" i="4"/>
  <c r="S110" i="4"/>
  <c r="S126" i="4"/>
  <c r="S142" i="4"/>
  <c r="S158" i="4"/>
  <c r="S174" i="4"/>
  <c r="S234" i="4"/>
  <c r="S282" i="4"/>
  <c r="S318" i="4"/>
  <c r="S342" i="4"/>
  <c r="S354" i="4"/>
  <c r="S195" i="4"/>
  <c r="S199" i="4"/>
  <c r="S203" i="4"/>
  <c r="S207" i="4"/>
  <c r="S211" i="4"/>
  <c r="S215" i="4"/>
  <c r="S219" i="4"/>
  <c r="S223" i="4"/>
  <c r="S227" i="4"/>
  <c r="S231" i="4"/>
  <c r="S235" i="4"/>
  <c r="S239" i="4"/>
  <c r="S243" i="4"/>
  <c r="S247" i="4"/>
  <c r="S251" i="4"/>
  <c r="S255" i="4"/>
  <c r="S259" i="4"/>
  <c r="S263" i="4"/>
  <c r="S267" i="4"/>
  <c r="S271" i="4"/>
  <c r="S275" i="4"/>
  <c r="S279" i="4"/>
  <c r="S283" i="4"/>
  <c r="S287" i="4"/>
  <c r="S291" i="4"/>
  <c r="S295" i="4"/>
  <c r="S299" i="4"/>
  <c r="S303" i="4"/>
  <c r="S307" i="4"/>
  <c r="S311" i="4"/>
  <c r="S315" i="4"/>
  <c r="S319" i="4"/>
  <c r="S323" i="4"/>
  <c r="S327" i="4"/>
  <c r="S331" i="4"/>
  <c r="S335" i="4"/>
  <c r="S339" i="4"/>
  <c r="S343" i="4"/>
  <c r="S351" i="4"/>
  <c r="S301" i="4"/>
  <c r="S309" i="4"/>
  <c r="S313" i="4"/>
  <c r="S317" i="4"/>
  <c r="S325" i="4"/>
  <c r="S329" i="4"/>
  <c r="S333" i="4"/>
  <c r="S341" i="4"/>
  <c r="S345" i="4"/>
  <c r="S349" i="4"/>
  <c r="S357" i="4"/>
  <c r="S361" i="4"/>
  <c r="S365" i="4"/>
  <c r="S4" i="4"/>
  <c r="S8" i="4"/>
  <c r="S12" i="4"/>
  <c r="S16" i="4"/>
  <c r="S20" i="4"/>
  <c r="S24" i="4"/>
  <c r="S28" i="4"/>
  <c r="S36" i="4"/>
  <c r="S40" i="4"/>
  <c r="S44" i="4"/>
  <c r="S48" i="4"/>
  <c r="S52" i="4"/>
  <c r="S56" i="4"/>
  <c r="S60" i="4"/>
  <c r="S64" i="4"/>
  <c r="S68" i="4"/>
  <c r="S72" i="4"/>
  <c r="S76" i="4"/>
  <c r="S80" i="4"/>
  <c r="S84" i="4"/>
  <c r="S88" i="4"/>
  <c r="S92" i="4"/>
  <c r="S96" i="4"/>
  <c r="S100" i="4"/>
  <c r="S104" i="4"/>
  <c r="S108" i="4"/>
  <c r="S112" i="4"/>
  <c r="S116" i="4"/>
  <c r="S120" i="4"/>
  <c r="S124" i="4"/>
  <c r="S128" i="4"/>
  <c r="S132" i="4"/>
  <c r="S136" i="4"/>
  <c r="S140" i="4"/>
  <c r="S144" i="4"/>
  <c r="S148" i="4"/>
  <c r="S152" i="4"/>
  <c r="S156" i="4"/>
  <c r="S164" i="4"/>
  <c r="S176" i="4"/>
  <c r="S180" i="4"/>
  <c r="S192" i="4"/>
  <c r="S196" i="4"/>
  <c r="S212" i="4"/>
  <c r="S224" i="4"/>
  <c r="S228" i="4"/>
  <c r="S244" i="4"/>
  <c r="S256" i="4"/>
  <c r="S260" i="4"/>
  <c r="S276" i="4"/>
  <c r="S292" i="4"/>
  <c r="X328" i="4"/>
  <c r="X312" i="4"/>
  <c r="X296" i="4"/>
  <c r="X280" i="4"/>
  <c r="X264" i="4"/>
  <c r="X224" i="4"/>
  <c r="X208" i="4"/>
  <c r="X176" i="4"/>
  <c r="X160" i="4"/>
  <c r="X144" i="4"/>
  <c r="X112" i="4"/>
  <c r="X96" i="4"/>
  <c r="X80" i="4"/>
  <c r="X48" i="4"/>
  <c r="X32" i="4"/>
  <c r="X16" i="4"/>
  <c r="S190" i="4"/>
  <c r="S206" i="4"/>
  <c r="S222" i="4"/>
  <c r="S230" i="4"/>
  <c r="S238" i="4"/>
  <c r="S242" i="4"/>
  <c r="S246" i="4"/>
  <c r="S254" i="4"/>
  <c r="S258" i="4"/>
  <c r="S262" i="4"/>
  <c r="S270" i="4"/>
  <c r="S274" i="4"/>
  <c r="S278" i="4"/>
  <c r="S286" i="4"/>
  <c r="S290" i="4"/>
  <c r="S294" i="4"/>
  <c r="S314" i="4"/>
  <c r="S330" i="4"/>
  <c r="S346" i="4"/>
  <c r="S362" i="4"/>
  <c r="S355" i="4"/>
  <c r="S359" i="4"/>
  <c r="X364" i="4"/>
  <c r="X360" i="4"/>
  <c r="X356" i="4"/>
  <c r="X352" i="4"/>
  <c r="X348" i="4"/>
  <c r="X344" i="4"/>
  <c r="X340" i="4"/>
  <c r="X336" i="4"/>
  <c r="X332" i="4"/>
  <c r="X324" i="4"/>
  <c r="X320" i="4"/>
  <c r="X316" i="4"/>
  <c r="X308" i="4"/>
  <c r="X304" i="4"/>
  <c r="X300" i="4"/>
  <c r="X292" i="4"/>
  <c r="X288" i="4"/>
  <c r="X284" i="4"/>
  <c r="X276" i="4"/>
  <c r="X272" i="4"/>
  <c r="X268" i="4"/>
  <c r="X260" i="4"/>
  <c r="X256" i="4"/>
  <c r="X252" i="4"/>
  <c r="X244" i="4"/>
  <c r="X240" i="4"/>
  <c r="X236" i="4"/>
  <c r="X232" i="4"/>
  <c r="X228" i="4"/>
  <c r="X220" i="4"/>
  <c r="X216" i="4"/>
  <c r="X212" i="4"/>
  <c r="X204" i="4"/>
  <c r="X200" i="4"/>
  <c r="X196" i="4"/>
  <c r="X188" i="4"/>
  <c r="X184" i="4"/>
  <c r="X180" i="4"/>
  <c r="X172" i="4"/>
  <c r="X168" i="4"/>
  <c r="X164" i="4"/>
  <c r="X156" i="4"/>
  <c r="X152" i="4"/>
  <c r="X148" i="4"/>
  <c r="X140" i="4"/>
  <c r="X136" i="4"/>
  <c r="X132" i="4"/>
  <c r="X124" i="4"/>
  <c r="X120" i="4"/>
  <c r="X116" i="4"/>
  <c r="X108" i="4"/>
  <c r="X104" i="4"/>
  <c r="X100" i="4"/>
  <c r="X92" i="4"/>
  <c r="X88" i="4"/>
  <c r="X84" i="4"/>
  <c r="X76" i="4"/>
  <c r="X72" i="4"/>
  <c r="X68" i="4"/>
  <c r="X60" i="4"/>
  <c r="X56" i="4"/>
  <c r="X52" i="4"/>
  <c r="X44" i="4"/>
  <c r="X40" i="4"/>
  <c r="X36" i="4"/>
  <c r="X28" i="4"/>
  <c r="X24" i="4"/>
  <c r="X20" i="4"/>
  <c r="X12" i="4"/>
  <c r="X8" i="4"/>
  <c r="X4" i="4"/>
  <c r="S13" i="4"/>
  <c r="S17" i="4"/>
  <c r="S29" i="4"/>
  <c r="S33" i="4"/>
  <c r="S45" i="4"/>
  <c r="S49" i="4"/>
  <c r="S61" i="4"/>
  <c r="S65" i="4"/>
  <c r="S77" i="4"/>
  <c r="S81" i="4"/>
  <c r="S93" i="4"/>
  <c r="S97" i="4"/>
  <c r="S109" i="4"/>
  <c r="S113" i="4"/>
  <c r="S125" i="4"/>
  <c r="S129" i="4"/>
  <c r="S141" i="4"/>
  <c r="S157" i="4"/>
  <c r="S173" i="4"/>
  <c r="S189" i="4"/>
  <c r="S205" i="4"/>
  <c r="S221" i="4"/>
  <c r="S237" i="4"/>
  <c r="S2" i="4"/>
  <c r="S6" i="4"/>
  <c r="S18" i="4"/>
  <c r="S22" i="4"/>
  <c r="S34" i="4"/>
  <c r="S38" i="4"/>
  <c r="S50" i="4"/>
  <c r="S54" i="4"/>
  <c r="S66" i="4"/>
  <c r="S70" i="4"/>
  <c r="S82" i="4"/>
  <c r="S86" i="4"/>
  <c r="S98" i="4"/>
  <c r="S102" i="4"/>
  <c r="S114" i="4"/>
  <c r="S118" i="4"/>
  <c r="S130" i="4"/>
  <c r="S134" i="4"/>
  <c r="S146" i="4"/>
  <c r="S150" i="4"/>
  <c r="S162" i="4"/>
  <c r="S166" i="4"/>
  <c r="S178" i="4"/>
  <c r="S182" i="4"/>
  <c r="S194" i="4"/>
  <c r="S198" i="4"/>
  <c r="S210" i="4"/>
  <c r="S214" i="4"/>
  <c r="S226" i="4"/>
  <c r="S168" i="4"/>
  <c r="S172" i="4"/>
  <c r="S184" i="4"/>
  <c r="S188" i="4"/>
  <c r="S200" i="4"/>
  <c r="S204" i="4"/>
  <c r="S216" i="4"/>
  <c r="S220" i="4"/>
  <c r="S232" i="4"/>
  <c r="S236" i="4"/>
  <c r="S248" i="4"/>
  <c r="S252" i="4"/>
  <c r="S264" i="4"/>
  <c r="S268" i="4"/>
  <c r="S280" i="4"/>
  <c r="S284" i="4"/>
  <c r="S296" i="4"/>
  <c r="S300" i="4"/>
  <c r="S304" i="4"/>
  <c r="S308" i="4"/>
  <c r="S312" i="4"/>
  <c r="S316" i="4"/>
  <c r="S320" i="4"/>
  <c r="S324" i="4"/>
  <c r="S328" i="4"/>
  <c r="S332" i="4"/>
  <c r="S336" i="4"/>
  <c r="S340" i="4"/>
  <c r="S344" i="4"/>
  <c r="S348" i="4"/>
  <c r="S352" i="4"/>
  <c r="S356" i="4"/>
  <c r="S360" i="4"/>
  <c r="S364" i="4"/>
  <c r="X286" i="4"/>
  <c r="X282" i="4"/>
  <c r="X278" i="4"/>
  <c r="X270" i="4"/>
  <c r="X266" i="4"/>
  <c r="X262" i="4"/>
  <c r="X254" i="4"/>
  <c r="X250" i="4"/>
  <c r="X246" i="4"/>
  <c r="X238" i="4"/>
  <c r="X234" i="4"/>
  <c r="X230" i="4"/>
  <c r="X226" i="4"/>
  <c r="X222" i="4"/>
  <c r="X218" i="4"/>
  <c r="X214" i="4"/>
  <c r="X210" i="4"/>
  <c r="X206" i="4"/>
  <c r="X202" i="4"/>
  <c r="X198" i="4"/>
  <c r="X194" i="4"/>
  <c r="X190" i="4"/>
  <c r="X186" i="4"/>
  <c r="X182" i="4"/>
  <c r="X178" i="4"/>
  <c r="X174" i="4"/>
  <c r="X170" i="4"/>
  <c r="X166" i="4"/>
  <c r="X162" i="4"/>
  <c r="X158" i="4"/>
  <c r="X154" i="4"/>
  <c r="X150" i="4"/>
  <c r="X146" i="4"/>
  <c r="X142" i="4"/>
  <c r="X138" i="4"/>
  <c r="X134" i="4"/>
  <c r="X130" i="4"/>
  <c r="X126" i="4"/>
  <c r="X122" i="4"/>
  <c r="X118" i="4"/>
  <c r="X114" i="4"/>
  <c r="X110" i="4"/>
  <c r="X106" i="4"/>
  <c r="X102" i="4"/>
  <c r="X98" i="4"/>
  <c r="X94" i="4"/>
  <c r="X90" i="4"/>
  <c r="X86" i="4"/>
  <c r="X82" i="4"/>
  <c r="X78" i="4"/>
  <c r="X74" i="4"/>
  <c r="X70" i="4"/>
  <c r="X66" i="4"/>
  <c r="X62" i="4"/>
  <c r="X58" i="4"/>
  <c r="X54" i="4"/>
  <c r="X50" i="4"/>
  <c r="X46" i="4"/>
  <c r="X42" i="4"/>
  <c r="X38" i="4"/>
  <c r="X34" i="4"/>
  <c r="X30" i="4"/>
  <c r="X26" i="4"/>
  <c r="X22" i="4"/>
  <c r="X18" i="4"/>
  <c r="X14" i="4"/>
  <c r="X10" i="4"/>
  <c r="X6" i="4"/>
  <c r="X2" i="4"/>
  <c r="AP366" i="1"/>
  <c r="AJ366" i="1"/>
  <c r="AB366" i="1"/>
  <c r="AA366" i="1"/>
  <c r="W366" i="1"/>
  <c r="T366" i="1"/>
  <c r="X366" i="1" s="1"/>
  <c r="R366" i="1"/>
  <c r="P366" i="1"/>
  <c r="K366" i="1"/>
  <c r="H366" i="1"/>
  <c r="AP365" i="1"/>
  <c r="AJ365" i="1"/>
  <c r="AB365" i="1"/>
  <c r="AA365" i="1"/>
  <c r="W365" i="1"/>
  <c r="T365" i="1"/>
  <c r="R365" i="1"/>
  <c r="P365" i="1"/>
  <c r="K365" i="1"/>
  <c r="H365" i="1"/>
  <c r="AP364" i="1"/>
  <c r="AJ364" i="1"/>
  <c r="AB364" i="1"/>
  <c r="AA364" i="1"/>
  <c r="W364" i="1"/>
  <c r="T364" i="1"/>
  <c r="R364" i="1"/>
  <c r="P364" i="1"/>
  <c r="K364" i="1"/>
  <c r="H364" i="1"/>
  <c r="AP363" i="1"/>
  <c r="AJ363" i="1"/>
  <c r="AB363" i="1"/>
  <c r="AA363" i="1"/>
  <c r="W363" i="1"/>
  <c r="T363" i="1"/>
  <c r="R363" i="1"/>
  <c r="P363" i="1"/>
  <c r="K363" i="1"/>
  <c r="H363" i="1"/>
  <c r="AP362" i="1"/>
  <c r="AJ362" i="1"/>
  <c r="AB362" i="1"/>
  <c r="AA362" i="1"/>
  <c r="W362" i="1"/>
  <c r="T362" i="1"/>
  <c r="R362" i="1"/>
  <c r="P362" i="1"/>
  <c r="K362" i="1"/>
  <c r="H362" i="1"/>
  <c r="AP361" i="1"/>
  <c r="AJ361" i="1"/>
  <c r="AB361" i="1"/>
  <c r="AA361" i="1"/>
  <c r="W361" i="1"/>
  <c r="T361" i="1"/>
  <c r="X361" i="1" s="1"/>
  <c r="R361" i="1"/>
  <c r="P361" i="1"/>
  <c r="K361" i="1"/>
  <c r="H361" i="1"/>
  <c r="AP360" i="1"/>
  <c r="AJ360" i="1"/>
  <c r="AB360" i="1"/>
  <c r="AA360" i="1"/>
  <c r="W360" i="1"/>
  <c r="T360" i="1"/>
  <c r="R360" i="1"/>
  <c r="P360" i="1"/>
  <c r="K360" i="1"/>
  <c r="H360" i="1"/>
  <c r="AP359" i="1"/>
  <c r="AJ359" i="1"/>
  <c r="AB359" i="1"/>
  <c r="AA359" i="1"/>
  <c r="W359" i="1"/>
  <c r="T359" i="1"/>
  <c r="R359" i="1"/>
  <c r="P359" i="1"/>
  <c r="K359" i="1"/>
  <c r="H359" i="1"/>
  <c r="AP358" i="1"/>
  <c r="AJ358" i="1"/>
  <c r="AB358" i="1"/>
  <c r="AA358" i="1"/>
  <c r="W358" i="1"/>
  <c r="T358" i="1"/>
  <c r="R358" i="1"/>
  <c r="P358" i="1"/>
  <c r="K358" i="1"/>
  <c r="H358" i="1"/>
  <c r="AP357" i="1"/>
  <c r="AJ357" i="1"/>
  <c r="AB357" i="1"/>
  <c r="AA357" i="1"/>
  <c r="W357" i="1"/>
  <c r="T357" i="1"/>
  <c r="R357" i="1"/>
  <c r="P357" i="1"/>
  <c r="K357" i="1"/>
  <c r="H357" i="1"/>
  <c r="AP356" i="1"/>
  <c r="AJ356" i="1"/>
  <c r="AB356" i="1"/>
  <c r="AA356" i="1"/>
  <c r="W356" i="1"/>
  <c r="T356" i="1"/>
  <c r="R356" i="1"/>
  <c r="P356" i="1"/>
  <c r="K356" i="1"/>
  <c r="H356" i="1"/>
  <c r="AP355" i="1"/>
  <c r="AJ355" i="1"/>
  <c r="AB355" i="1"/>
  <c r="AA355" i="1"/>
  <c r="W355" i="1"/>
  <c r="T355" i="1"/>
  <c r="R355" i="1"/>
  <c r="P355" i="1"/>
  <c r="K355" i="1"/>
  <c r="H355" i="1"/>
  <c r="AP354" i="1"/>
  <c r="AJ354" i="1"/>
  <c r="AB354" i="1"/>
  <c r="AA354" i="1"/>
  <c r="W354" i="1"/>
  <c r="T354" i="1"/>
  <c r="R354" i="1"/>
  <c r="P354" i="1"/>
  <c r="K354" i="1"/>
  <c r="H354" i="1"/>
  <c r="AP353" i="1"/>
  <c r="AJ353" i="1"/>
  <c r="AB353" i="1"/>
  <c r="AA353" i="1"/>
  <c r="W353" i="1"/>
  <c r="T353" i="1"/>
  <c r="X353" i="1" s="1"/>
  <c r="R353" i="1"/>
  <c r="P353" i="1"/>
  <c r="K353" i="1"/>
  <c r="H353" i="1"/>
  <c r="AP352" i="1"/>
  <c r="AJ352" i="1"/>
  <c r="AB352" i="1"/>
  <c r="AA352" i="1"/>
  <c r="W352" i="1"/>
  <c r="T352" i="1"/>
  <c r="R352" i="1"/>
  <c r="P352" i="1"/>
  <c r="K352" i="1"/>
  <c r="H352" i="1"/>
  <c r="AP351" i="1"/>
  <c r="AJ351" i="1"/>
  <c r="AB351" i="1"/>
  <c r="AA351" i="1"/>
  <c r="W351" i="1"/>
  <c r="T351" i="1"/>
  <c r="R351" i="1"/>
  <c r="P351" i="1"/>
  <c r="K351" i="1"/>
  <c r="H351" i="1"/>
  <c r="AP350" i="1"/>
  <c r="AJ350" i="1"/>
  <c r="AB350" i="1"/>
  <c r="AA350" i="1"/>
  <c r="W350" i="1"/>
  <c r="T350" i="1"/>
  <c r="R350" i="1"/>
  <c r="P350" i="1"/>
  <c r="K350" i="1"/>
  <c r="H350" i="1"/>
  <c r="AP349" i="1"/>
  <c r="AJ349" i="1"/>
  <c r="AB349" i="1"/>
  <c r="AA349" i="1"/>
  <c r="W349" i="1"/>
  <c r="T349" i="1"/>
  <c r="R349" i="1"/>
  <c r="P349" i="1"/>
  <c r="K349" i="1"/>
  <c r="H349" i="1"/>
  <c r="AP348" i="1"/>
  <c r="AJ348" i="1"/>
  <c r="AB348" i="1"/>
  <c r="AA348" i="1"/>
  <c r="W348" i="1"/>
  <c r="T348" i="1"/>
  <c r="R348" i="1"/>
  <c r="P348" i="1"/>
  <c r="K348" i="1"/>
  <c r="H348" i="1"/>
  <c r="AP347" i="1"/>
  <c r="AJ347" i="1"/>
  <c r="AB347" i="1"/>
  <c r="AA347" i="1"/>
  <c r="W347" i="1"/>
  <c r="T347" i="1"/>
  <c r="R347" i="1"/>
  <c r="P347" i="1"/>
  <c r="K347" i="1"/>
  <c r="H347" i="1"/>
  <c r="AP346" i="1"/>
  <c r="AJ346" i="1"/>
  <c r="AB346" i="1"/>
  <c r="AA346" i="1"/>
  <c r="W346" i="1"/>
  <c r="T346" i="1"/>
  <c r="R346" i="1"/>
  <c r="P346" i="1"/>
  <c r="K346" i="1"/>
  <c r="H346" i="1"/>
  <c r="AP345" i="1"/>
  <c r="AJ345" i="1"/>
  <c r="AB345" i="1"/>
  <c r="AA345" i="1"/>
  <c r="W345" i="1"/>
  <c r="T345" i="1"/>
  <c r="X345" i="1" s="1"/>
  <c r="R345" i="1"/>
  <c r="P345" i="1"/>
  <c r="K345" i="1"/>
  <c r="H345" i="1"/>
  <c r="AP344" i="1"/>
  <c r="AJ344" i="1"/>
  <c r="AB344" i="1"/>
  <c r="AA344" i="1"/>
  <c r="W344" i="1"/>
  <c r="T344" i="1"/>
  <c r="R344" i="1"/>
  <c r="S344" i="1" s="1"/>
  <c r="P344" i="1"/>
  <c r="K344" i="1"/>
  <c r="H344" i="1"/>
  <c r="AP343" i="1"/>
  <c r="AJ343" i="1"/>
  <c r="AB343" i="1"/>
  <c r="AA343" i="1"/>
  <c r="W343" i="1"/>
  <c r="T343" i="1"/>
  <c r="R343" i="1"/>
  <c r="P343" i="1"/>
  <c r="K343" i="1"/>
  <c r="H343" i="1"/>
  <c r="AP342" i="1"/>
  <c r="AJ342" i="1"/>
  <c r="AB342" i="1"/>
  <c r="AA342" i="1"/>
  <c r="W342" i="1"/>
  <c r="T342" i="1"/>
  <c r="R342" i="1"/>
  <c r="P342" i="1"/>
  <c r="K342" i="1"/>
  <c r="H342" i="1"/>
  <c r="AP341" i="1"/>
  <c r="AJ341" i="1"/>
  <c r="AB341" i="1"/>
  <c r="AA341" i="1"/>
  <c r="W341" i="1"/>
  <c r="T341" i="1"/>
  <c r="R341" i="1"/>
  <c r="P341" i="1"/>
  <c r="K341" i="1"/>
  <c r="H341" i="1"/>
  <c r="AP340" i="1"/>
  <c r="AJ340" i="1"/>
  <c r="AB340" i="1"/>
  <c r="AA340" i="1"/>
  <c r="W340" i="1"/>
  <c r="T340" i="1"/>
  <c r="R340" i="1"/>
  <c r="P340" i="1"/>
  <c r="K340" i="1"/>
  <c r="H340" i="1"/>
  <c r="AP339" i="1"/>
  <c r="AJ339" i="1"/>
  <c r="AB339" i="1"/>
  <c r="AA339" i="1"/>
  <c r="W339" i="1"/>
  <c r="T339" i="1"/>
  <c r="R339" i="1"/>
  <c r="P339" i="1"/>
  <c r="K339" i="1"/>
  <c r="H339" i="1"/>
  <c r="AP338" i="1"/>
  <c r="AJ338" i="1"/>
  <c r="AB338" i="1"/>
  <c r="AA338" i="1"/>
  <c r="W338" i="1"/>
  <c r="T338" i="1"/>
  <c r="R338" i="1"/>
  <c r="P338" i="1"/>
  <c r="K338" i="1"/>
  <c r="H338" i="1"/>
  <c r="AP337" i="1"/>
  <c r="AJ337" i="1"/>
  <c r="AB337" i="1"/>
  <c r="AA337" i="1"/>
  <c r="W337" i="1"/>
  <c r="T337" i="1"/>
  <c r="R337" i="1"/>
  <c r="P337" i="1"/>
  <c r="K337" i="1"/>
  <c r="H337" i="1"/>
  <c r="AP336" i="1"/>
  <c r="AJ336" i="1"/>
  <c r="AB336" i="1"/>
  <c r="AA336" i="1"/>
  <c r="W336" i="1"/>
  <c r="T336" i="1"/>
  <c r="R336" i="1"/>
  <c r="P336" i="1"/>
  <c r="K336" i="1"/>
  <c r="H336" i="1"/>
  <c r="AP335" i="1"/>
  <c r="AJ335" i="1"/>
  <c r="AB335" i="1"/>
  <c r="AA335" i="1"/>
  <c r="W335" i="1"/>
  <c r="T335" i="1"/>
  <c r="R335" i="1"/>
  <c r="P335" i="1"/>
  <c r="K335" i="1"/>
  <c r="AP334" i="1"/>
  <c r="AJ334" i="1"/>
  <c r="AB334" i="1"/>
  <c r="AA334" i="1"/>
  <c r="W334" i="1"/>
  <c r="T334" i="1"/>
  <c r="R334" i="1"/>
  <c r="P334" i="1"/>
  <c r="K334" i="1"/>
  <c r="AP333" i="1"/>
  <c r="AJ333" i="1"/>
  <c r="AB333" i="1"/>
  <c r="AA333" i="1"/>
  <c r="W333" i="1"/>
  <c r="T333" i="1"/>
  <c r="R333" i="1"/>
  <c r="P333" i="1"/>
  <c r="K333" i="1"/>
  <c r="AP332" i="1"/>
  <c r="AJ332" i="1"/>
  <c r="AB332" i="1"/>
  <c r="AA332" i="1"/>
  <c r="W332" i="1"/>
  <c r="T332" i="1"/>
  <c r="R332" i="1"/>
  <c r="P332" i="1"/>
  <c r="K332" i="1"/>
  <c r="AP331" i="1"/>
  <c r="AJ331" i="1"/>
  <c r="AB331" i="1"/>
  <c r="AA331" i="1"/>
  <c r="W331" i="1"/>
  <c r="T331" i="1"/>
  <c r="R331" i="1"/>
  <c r="P331" i="1"/>
  <c r="K331" i="1"/>
  <c r="AP330" i="1"/>
  <c r="AJ330" i="1"/>
  <c r="AB330" i="1"/>
  <c r="AA330" i="1"/>
  <c r="W330" i="1"/>
  <c r="T330" i="1"/>
  <c r="R330" i="1"/>
  <c r="P330" i="1"/>
  <c r="K330" i="1"/>
  <c r="AP329" i="1"/>
  <c r="AJ329" i="1"/>
  <c r="AB329" i="1"/>
  <c r="AA329" i="1"/>
  <c r="W329" i="1"/>
  <c r="T329" i="1"/>
  <c r="R329" i="1"/>
  <c r="P329" i="1"/>
  <c r="K329" i="1"/>
  <c r="AP328" i="1"/>
  <c r="AJ328" i="1"/>
  <c r="AB328" i="1"/>
  <c r="AA328" i="1"/>
  <c r="W328" i="1"/>
  <c r="T328" i="1"/>
  <c r="R328" i="1"/>
  <c r="P328" i="1"/>
  <c r="K328" i="1"/>
  <c r="AP327" i="1"/>
  <c r="AJ327" i="1"/>
  <c r="AB327" i="1"/>
  <c r="AA327" i="1"/>
  <c r="W327" i="1"/>
  <c r="T327" i="1"/>
  <c r="R327" i="1"/>
  <c r="P327" i="1"/>
  <c r="K327" i="1"/>
  <c r="AP326" i="1"/>
  <c r="AJ326" i="1"/>
  <c r="AB326" i="1"/>
  <c r="AA326" i="1"/>
  <c r="W326" i="1"/>
  <c r="T326" i="1"/>
  <c r="R326" i="1"/>
  <c r="P326" i="1"/>
  <c r="K326" i="1"/>
  <c r="AP325" i="1"/>
  <c r="AJ325" i="1"/>
  <c r="AB325" i="1"/>
  <c r="AA325" i="1"/>
  <c r="W325" i="1"/>
  <c r="T325" i="1"/>
  <c r="R325" i="1"/>
  <c r="P325" i="1"/>
  <c r="K325" i="1"/>
  <c r="AP324" i="1"/>
  <c r="AJ324" i="1"/>
  <c r="AB324" i="1"/>
  <c r="AA324" i="1"/>
  <c r="W324" i="1"/>
  <c r="T324" i="1"/>
  <c r="R324" i="1"/>
  <c r="P324" i="1"/>
  <c r="K324" i="1"/>
  <c r="AP323" i="1"/>
  <c r="AJ323" i="1"/>
  <c r="AB323" i="1"/>
  <c r="AA323" i="1"/>
  <c r="W323" i="1"/>
  <c r="T323" i="1"/>
  <c r="R323" i="1"/>
  <c r="P323" i="1"/>
  <c r="K323" i="1"/>
  <c r="AP322" i="1"/>
  <c r="AJ322" i="1"/>
  <c r="AB322" i="1"/>
  <c r="AA322" i="1"/>
  <c r="W322" i="1"/>
  <c r="T322" i="1"/>
  <c r="R322" i="1"/>
  <c r="P322" i="1"/>
  <c r="K322" i="1"/>
  <c r="AP321" i="1"/>
  <c r="AJ321" i="1"/>
  <c r="AB321" i="1"/>
  <c r="AA321" i="1"/>
  <c r="W321" i="1"/>
  <c r="T321" i="1"/>
  <c r="R321" i="1"/>
  <c r="P321" i="1"/>
  <c r="K321" i="1"/>
  <c r="AP320" i="1"/>
  <c r="AJ320" i="1"/>
  <c r="AB320" i="1"/>
  <c r="AA320" i="1"/>
  <c r="W320" i="1"/>
  <c r="T320" i="1"/>
  <c r="R320" i="1"/>
  <c r="P320" i="1"/>
  <c r="K320" i="1"/>
  <c r="AP319" i="1"/>
  <c r="AJ319" i="1"/>
  <c r="AB319" i="1"/>
  <c r="AA319" i="1"/>
  <c r="W319" i="1"/>
  <c r="T319" i="1"/>
  <c r="R319" i="1"/>
  <c r="P319" i="1"/>
  <c r="S319" i="1" s="1"/>
  <c r="K319" i="1"/>
  <c r="AP318" i="1"/>
  <c r="AJ318" i="1"/>
  <c r="AB318" i="1"/>
  <c r="AA318" i="1"/>
  <c r="W318" i="1"/>
  <c r="T318" i="1"/>
  <c r="R318" i="1"/>
  <c r="P318" i="1"/>
  <c r="K318" i="1"/>
  <c r="AP317" i="1"/>
  <c r="AJ317" i="1"/>
  <c r="AB317" i="1"/>
  <c r="AA317" i="1"/>
  <c r="W317" i="1"/>
  <c r="T317" i="1"/>
  <c r="X317" i="1" s="1"/>
  <c r="R317" i="1"/>
  <c r="S317" i="1" s="1"/>
  <c r="P317" i="1"/>
  <c r="K317" i="1"/>
  <c r="AP316" i="1"/>
  <c r="AJ316" i="1"/>
  <c r="AB316" i="1"/>
  <c r="AA316" i="1"/>
  <c r="W316" i="1"/>
  <c r="T316" i="1"/>
  <c r="R316" i="1"/>
  <c r="P316" i="1"/>
  <c r="S316" i="1" s="1"/>
  <c r="K316" i="1"/>
  <c r="AP315" i="1"/>
  <c r="AJ315" i="1"/>
  <c r="AB315" i="1"/>
  <c r="AA315" i="1"/>
  <c r="W315" i="1"/>
  <c r="T315" i="1"/>
  <c r="R315" i="1"/>
  <c r="P315" i="1"/>
  <c r="K315" i="1"/>
  <c r="AP314" i="1"/>
  <c r="AJ314" i="1"/>
  <c r="AB314" i="1"/>
  <c r="AA314" i="1"/>
  <c r="W314" i="1"/>
  <c r="T314" i="1"/>
  <c r="X314" i="1" s="1"/>
  <c r="R314" i="1"/>
  <c r="P314" i="1"/>
  <c r="K314" i="1"/>
  <c r="AP313" i="1"/>
  <c r="AJ313" i="1"/>
  <c r="AB313" i="1"/>
  <c r="AA313" i="1"/>
  <c r="W313" i="1"/>
  <c r="T313" i="1"/>
  <c r="R313" i="1"/>
  <c r="P313" i="1"/>
  <c r="K313" i="1"/>
  <c r="AP312" i="1"/>
  <c r="AJ312" i="1"/>
  <c r="AB312" i="1"/>
  <c r="AA312" i="1"/>
  <c r="W312" i="1"/>
  <c r="T312" i="1"/>
  <c r="R312" i="1"/>
  <c r="P312" i="1"/>
  <c r="K312" i="1"/>
  <c r="AP311" i="1"/>
  <c r="AJ311" i="1"/>
  <c r="AB311" i="1"/>
  <c r="AA311" i="1"/>
  <c r="W311" i="1"/>
  <c r="T311" i="1"/>
  <c r="R311" i="1"/>
  <c r="P311" i="1"/>
  <c r="K311" i="1"/>
  <c r="AP310" i="1"/>
  <c r="AJ310" i="1"/>
  <c r="AB310" i="1"/>
  <c r="AA310" i="1"/>
  <c r="W310" i="1"/>
  <c r="T310" i="1"/>
  <c r="R310" i="1"/>
  <c r="P310" i="1"/>
  <c r="K310" i="1"/>
  <c r="AP309" i="1"/>
  <c r="AJ309" i="1"/>
  <c r="AB309" i="1"/>
  <c r="AA309" i="1"/>
  <c r="W309" i="1"/>
  <c r="T309" i="1"/>
  <c r="R309" i="1"/>
  <c r="P309" i="1"/>
  <c r="K309" i="1"/>
  <c r="AP308" i="1"/>
  <c r="AJ308" i="1"/>
  <c r="AB308" i="1"/>
  <c r="AA308" i="1"/>
  <c r="W308" i="1"/>
  <c r="T308" i="1"/>
  <c r="R308" i="1"/>
  <c r="P308" i="1"/>
  <c r="S308" i="1" s="1"/>
  <c r="K308" i="1"/>
  <c r="AP307" i="1"/>
  <c r="AJ307" i="1"/>
  <c r="AB307" i="1"/>
  <c r="AA307" i="1"/>
  <c r="W307" i="1"/>
  <c r="T307" i="1"/>
  <c r="R307" i="1"/>
  <c r="P307" i="1"/>
  <c r="K307" i="1"/>
  <c r="AP306" i="1"/>
  <c r="AJ306" i="1"/>
  <c r="AB306" i="1"/>
  <c r="AA306" i="1"/>
  <c r="W306" i="1"/>
  <c r="T306" i="1"/>
  <c r="R306" i="1"/>
  <c r="P306" i="1"/>
  <c r="K306" i="1"/>
  <c r="AP305" i="1"/>
  <c r="AJ305" i="1"/>
  <c r="AB305" i="1"/>
  <c r="AA305" i="1"/>
  <c r="W305" i="1"/>
  <c r="X305" i="1" s="1"/>
  <c r="T305" i="1"/>
  <c r="R305" i="1"/>
  <c r="P305" i="1"/>
  <c r="K305" i="1"/>
  <c r="AP304" i="1"/>
  <c r="AJ304" i="1"/>
  <c r="AB304" i="1"/>
  <c r="AA304" i="1"/>
  <c r="W304" i="1"/>
  <c r="T304" i="1"/>
  <c r="R304" i="1"/>
  <c r="P304" i="1"/>
  <c r="K304" i="1"/>
  <c r="AP303" i="1"/>
  <c r="AJ303" i="1"/>
  <c r="AB303" i="1"/>
  <c r="AA303" i="1"/>
  <c r="W303" i="1"/>
  <c r="T303" i="1"/>
  <c r="R303" i="1"/>
  <c r="P303" i="1"/>
  <c r="K303" i="1"/>
  <c r="AP302" i="1"/>
  <c r="AJ302" i="1"/>
  <c r="AB302" i="1"/>
  <c r="AA302" i="1"/>
  <c r="W302" i="1"/>
  <c r="X302" i="1" s="1"/>
  <c r="T302" i="1"/>
  <c r="R302" i="1"/>
  <c r="P302" i="1"/>
  <c r="K302" i="1"/>
  <c r="AP301" i="1"/>
  <c r="AJ301" i="1"/>
  <c r="AB301" i="1"/>
  <c r="AA301" i="1"/>
  <c r="W301" i="1"/>
  <c r="T301" i="1"/>
  <c r="R301" i="1"/>
  <c r="P301" i="1"/>
  <c r="K301" i="1"/>
  <c r="AP300" i="1"/>
  <c r="AJ300" i="1"/>
  <c r="AB300" i="1"/>
  <c r="AA300" i="1"/>
  <c r="W300" i="1"/>
  <c r="T300" i="1"/>
  <c r="R300" i="1"/>
  <c r="P300" i="1"/>
  <c r="K300" i="1"/>
  <c r="AP299" i="1"/>
  <c r="AJ299" i="1"/>
  <c r="AB299" i="1"/>
  <c r="AA299" i="1"/>
  <c r="W299" i="1"/>
  <c r="T299" i="1"/>
  <c r="R299" i="1"/>
  <c r="P299" i="1"/>
  <c r="K299" i="1"/>
  <c r="AP298" i="1"/>
  <c r="AJ298" i="1"/>
  <c r="AB298" i="1"/>
  <c r="AA298" i="1"/>
  <c r="W298" i="1"/>
  <c r="T298" i="1"/>
  <c r="R298" i="1"/>
  <c r="P298" i="1"/>
  <c r="K298" i="1"/>
  <c r="AP297" i="1"/>
  <c r="AJ297" i="1"/>
  <c r="AB297" i="1"/>
  <c r="AA297" i="1"/>
  <c r="W297" i="1"/>
  <c r="T297" i="1"/>
  <c r="R297" i="1"/>
  <c r="P297" i="1"/>
  <c r="K297" i="1"/>
  <c r="AP296" i="1"/>
  <c r="AJ296" i="1"/>
  <c r="AB296" i="1"/>
  <c r="AA296" i="1"/>
  <c r="W296" i="1"/>
  <c r="T296" i="1"/>
  <c r="R296" i="1"/>
  <c r="P296" i="1"/>
  <c r="K296" i="1"/>
  <c r="AP295" i="1"/>
  <c r="AJ295" i="1"/>
  <c r="AB295" i="1"/>
  <c r="AA295" i="1"/>
  <c r="W295" i="1"/>
  <c r="T295" i="1"/>
  <c r="R295" i="1"/>
  <c r="P295" i="1"/>
  <c r="K295" i="1"/>
  <c r="AP294" i="1"/>
  <c r="AJ294" i="1"/>
  <c r="AB294" i="1"/>
  <c r="AA294" i="1"/>
  <c r="W294" i="1"/>
  <c r="T294" i="1"/>
  <c r="R294" i="1"/>
  <c r="P294" i="1"/>
  <c r="K294" i="1"/>
  <c r="AP293" i="1"/>
  <c r="AJ293" i="1"/>
  <c r="AB293" i="1"/>
  <c r="AA293" i="1"/>
  <c r="W293" i="1"/>
  <c r="T293" i="1"/>
  <c r="R293" i="1"/>
  <c r="P293" i="1"/>
  <c r="K293" i="1"/>
  <c r="AP292" i="1"/>
  <c r="AJ292" i="1"/>
  <c r="AB292" i="1"/>
  <c r="AA292" i="1"/>
  <c r="W292" i="1"/>
  <c r="T292" i="1"/>
  <c r="R292" i="1"/>
  <c r="P292" i="1"/>
  <c r="K292" i="1"/>
  <c r="AP291" i="1"/>
  <c r="AJ291" i="1"/>
  <c r="AB291" i="1"/>
  <c r="AA291" i="1"/>
  <c r="W291" i="1"/>
  <c r="T291" i="1"/>
  <c r="R291" i="1"/>
  <c r="P291" i="1"/>
  <c r="K291" i="1"/>
  <c r="AP290" i="1"/>
  <c r="AJ290" i="1"/>
  <c r="AB290" i="1"/>
  <c r="AA290" i="1"/>
  <c r="W290" i="1"/>
  <c r="T290" i="1"/>
  <c r="R290" i="1"/>
  <c r="P290" i="1"/>
  <c r="K290" i="1"/>
  <c r="AP289" i="1"/>
  <c r="AJ289" i="1"/>
  <c r="AB289" i="1"/>
  <c r="AA289" i="1"/>
  <c r="W289" i="1"/>
  <c r="T289" i="1"/>
  <c r="R289" i="1"/>
  <c r="P289" i="1"/>
  <c r="K289" i="1"/>
  <c r="AP288" i="1"/>
  <c r="AJ288" i="1"/>
  <c r="AB288" i="1"/>
  <c r="AA288" i="1"/>
  <c r="W288" i="1"/>
  <c r="T288" i="1"/>
  <c r="R288" i="1"/>
  <c r="P288" i="1"/>
  <c r="K288" i="1"/>
  <c r="AP287" i="1"/>
  <c r="AJ287" i="1"/>
  <c r="AB287" i="1"/>
  <c r="AA287" i="1"/>
  <c r="W287" i="1"/>
  <c r="T287" i="1"/>
  <c r="R287" i="1"/>
  <c r="P287" i="1"/>
  <c r="K287" i="1"/>
  <c r="AP286" i="1"/>
  <c r="AJ286" i="1"/>
  <c r="AB286" i="1"/>
  <c r="AA286" i="1"/>
  <c r="W286" i="1"/>
  <c r="X286" i="1" s="1"/>
  <c r="T286" i="1"/>
  <c r="R286" i="1"/>
  <c r="P286" i="1"/>
  <c r="K286" i="1"/>
  <c r="AP285" i="1"/>
  <c r="AJ285" i="1"/>
  <c r="AB285" i="1"/>
  <c r="AA285" i="1"/>
  <c r="W285" i="1"/>
  <c r="T285" i="1"/>
  <c r="R285" i="1"/>
  <c r="P285" i="1"/>
  <c r="K285" i="1"/>
  <c r="AP284" i="1"/>
  <c r="AJ284" i="1"/>
  <c r="AB284" i="1"/>
  <c r="AA284" i="1"/>
  <c r="W284" i="1"/>
  <c r="T284" i="1"/>
  <c r="R284" i="1"/>
  <c r="P284" i="1"/>
  <c r="K284" i="1"/>
  <c r="AP283" i="1"/>
  <c r="AJ283" i="1"/>
  <c r="AB283" i="1"/>
  <c r="AA283" i="1"/>
  <c r="W283" i="1"/>
  <c r="T283" i="1"/>
  <c r="R283" i="1"/>
  <c r="P283" i="1"/>
  <c r="K283" i="1"/>
  <c r="AP282" i="1"/>
  <c r="AJ282" i="1"/>
  <c r="AB282" i="1"/>
  <c r="AA282" i="1"/>
  <c r="W282" i="1"/>
  <c r="X282" i="1" s="1"/>
  <c r="T282" i="1"/>
  <c r="R282" i="1"/>
  <c r="P282" i="1"/>
  <c r="K282" i="1"/>
  <c r="AP281" i="1"/>
  <c r="AJ281" i="1"/>
  <c r="AB281" i="1"/>
  <c r="AA281" i="1"/>
  <c r="W281" i="1"/>
  <c r="T281" i="1"/>
  <c r="R281" i="1"/>
  <c r="P281" i="1"/>
  <c r="K281" i="1"/>
  <c r="AP280" i="1"/>
  <c r="AJ280" i="1"/>
  <c r="AB280" i="1"/>
  <c r="AA280" i="1"/>
  <c r="W280" i="1"/>
  <c r="T280" i="1"/>
  <c r="R280" i="1"/>
  <c r="P280" i="1"/>
  <c r="K280" i="1"/>
  <c r="AP279" i="1"/>
  <c r="AJ279" i="1"/>
  <c r="AB279" i="1"/>
  <c r="AA279" i="1"/>
  <c r="W279" i="1"/>
  <c r="T279" i="1"/>
  <c r="R279" i="1"/>
  <c r="P279" i="1"/>
  <c r="K279" i="1"/>
  <c r="AP278" i="1"/>
  <c r="AJ278" i="1"/>
  <c r="AB278" i="1"/>
  <c r="AA278" i="1"/>
  <c r="W278" i="1"/>
  <c r="T278" i="1"/>
  <c r="R278" i="1"/>
  <c r="P278" i="1"/>
  <c r="K278" i="1"/>
  <c r="AP277" i="1"/>
  <c r="AJ277" i="1"/>
  <c r="AB277" i="1"/>
  <c r="AA277" i="1"/>
  <c r="W277" i="1"/>
  <c r="T277" i="1"/>
  <c r="R277" i="1"/>
  <c r="P277" i="1"/>
  <c r="K277" i="1"/>
  <c r="AP276" i="1"/>
  <c r="AJ276" i="1"/>
  <c r="AB276" i="1"/>
  <c r="AA276" i="1"/>
  <c r="W276" i="1"/>
  <c r="T276" i="1"/>
  <c r="R276" i="1"/>
  <c r="P276" i="1"/>
  <c r="K276" i="1"/>
  <c r="AP275" i="1"/>
  <c r="AJ275" i="1"/>
  <c r="AB275" i="1"/>
  <c r="AA275" i="1"/>
  <c r="W275" i="1"/>
  <c r="T275" i="1"/>
  <c r="R275" i="1"/>
  <c r="P275" i="1"/>
  <c r="K275" i="1"/>
  <c r="AP274" i="1"/>
  <c r="AJ274" i="1"/>
  <c r="AB274" i="1"/>
  <c r="AA274" i="1"/>
  <c r="W274" i="1"/>
  <c r="T274" i="1"/>
  <c r="R274" i="1"/>
  <c r="P274" i="1"/>
  <c r="K274" i="1"/>
  <c r="AP273" i="1"/>
  <c r="AJ273" i="1"/>
  <c r="AB273" i="1"/>
  <c r="AA273" i="1"/>
  <c r="W273" i="1"/>
  <c r="T273" i="1"/>
  <c r="X273" i="1" s="1"/>
  <c r="R273" i="1"/>
  <c r="P273" i="1"/>
  <c r="K273" i="1"/>
  <c r="AP272" i="1"/>
  <c r="AJ272" i="1"/>
  <c r="AB272" i="1"/>
  <c r="AA272" i="1"/>
  <c r="W272" i="1"/>
  <c r="T272" i="1"/>
  <c r="R272" i="1"/>
  <c r="P272" i="1"/>
  <c r="K272" i="1"/>
  <c r="AP271" i="1"/>
  <c r="AJ271" i="1"/>
  <c r="AB271" i="1"/>
  <c r="AA271" i="1"/>
  <c r="W271" i="1"/>
  <c r="T271" i="1"/>
  <c r="R271" i="1"/>
  <c r="P271" i="1"/>
  <c r="K271" i="1"/>
  <c r="AP270" i="1"/>
  <c r="AJ270" i="1"/>
  <c r="AB270" i="1"/>
  <c r="AA270" i="1"/>
  <c r="W270" i="1"/>
  <c r="T270" i="1"/>
  <c r="R270" i="1"/>
  <c r="P270" i="1"/>
  <c r="K270" i="1"/>
  <c r="AP269" i="1"/>
  <c r="AJ269" i="1"/>
  <c r="AB269" i="1"/>
  <c r="AA269" i="1"/>
  <c r="W269" i="1"/>
  <c r="T269" i="1"/>
  <c r="X269" i="1" s="1"/>
  <c r="R269" i="1"/>
  <c r="P269" i="1"/>
  <c r="K269" i="1"/>
  <c r="AP268" i="1"/>
  <c r="AJ268" i="1"/>
  <c r="AB268" i="1"/>
  <c r="AA268" i="1"/>
  <c r="W268" i="1"/>
  <c r="T268" i="1"/>
  <c r="R268" i="1"/>
  <c r="P268" i="1"/>
  <c r="K268" i="1"/>
  <c r="AP267" i="1"/>
  <c r="AJ267" i="1"/>
  <c r="AB267" i="1"/>
  <c r="AA267" i="1"/>
  <c r="W267" i="1"/>
  <c r="T267" i="1"/>
  <c r="R267" i="1"/>
  <c r="P267" i="1"/>
  <c r="K267" i="1"/>
  <c r="AP266" i="1"/>
  <c r="AJ266" i="1"/>
  <c r="AB266" i="1"/>
  <c r="AA266" i="1"/>
  <c r="W266" i="1"/>
  <c r="T266" i="1"/>
  <c r="R266" i="1"/>
  <c r="P266" i="1"/>
  <c r="K266" i="1"/>
  <c r="AP265" i="1"/>
  <c r="AJ265" i="1"/>
  <c r="AB265" i="1"/>
  <c r="AA265" i="1"/>
  <c r="W265" i="1"/>
  <c r="T265" i="1"/>
  <c r="X265" i="1" s="1"/>
  <c r="R265" i="1"/>
  <c r="P265" i="1"/>
  <c r="K265" i="1"/>
  <c r="AP264" i="1"/>
  <c r="AJ264" i="1"/>
  <c r="AB264" i="1"/>
  <c r="AA264" i="1"/>
  <c r="W264" i="1"/>
  <c r="T264" i="1"/>
  <c r="R264" i="1"/>
  <c r="P264" i="1"/>
  <c r="K264" i="1"/>
  <c r="AP263" i="1"/>
  <c r="AJ263" i="1"/>
  <c r="AB263" i="1"/>
  <c r="AA263" i="1"/>
  <c r="W263" i="1"/>
  <c r="T263" i="1"/>
  <c r="R263" i="1"/>
  <c r="P263" i="1"/>
  <c r="K263" i="1"/>
  <c r="AP262" i="1"/>
  <c r="AJ262" i="1"/>
  <c r="AB262" i="1"/>
  <c r="AA262" i="1"/>
  <c r="W262" i="1"/>
  <c r="T262" i="1"/>
  <c r="R262" i="1"/>
  <c r="P262" i="1"/>
  <c r="K262" i="1"/>
  <c r="AP261" i="1"/>
  <c r="AJ261" i="1"/>
  <c r="AB261" i="1"/>
  <c r="AA261" i="1"/>
  <c r="W261" i="1"/>
  <c r="T261" i="1"/>
  <c r="X261" i="1" s="1"/>
  <c r="R261" i="1"/>
  <c r="P261" i="1"/>
  <c r="K261" i="1"/>
  <c r="AP260" i="1"/>
  <c r="AJ260" i="1"/>
  <c r="AB260" i="1"/>
  <c r="AA260" i="1"/>
  <c r="W260" i="1"/>
  <c r="T260" i="1"/>
  <c r="R260" i="1"/>
  <c r="P260" i="1"/>
  <c r="K260" i="1"/>
  <c r="AP259" i="1"/>
  <c r="AJ259" i="1"/>
  <c r="AB259" i="1"/>
  <c r="AA259" i="1"/>
  <c r="W259" i="1"/>
  <c r="T259" i="1"/>
  <c r="R259" i="1"/>
  <c r="P259" i="1"/>
  <c r="K259" i="1"/>
  <c r="AP258" i="1"/>
  <c r="AJ258" i="1"/>
  <c r="AB258" i="1"/>
  <c r="AA258" i="1"/>
  <c r="W258" i="1"/>
  <c r="T258" i="1"/>
  <c r="R258" i="1"/>
  <c r="P258" i="1"/>
  <c r="K258" i="1"/>
  <c r="AP257" i="1"/>
  <c r="AJ257" i="1"/>
  <c r="AB257" i="1"/>
  <c r="AA257" i="1"/>
  <c r="W257" i="1"/>
  <c r="T257" i="1"/>
  <c r="X257" i="1" s="1"/>
  <c r="R257" i="1"/>
  <c r="P257" i="1"/>
  <c r="K257" i="1"/>
  <c r="AP256" i="1"/>
  <c r="AJ256" i="1"/>
  <c r="AB256" i="1"/>
  <c r="AA256" i="1"/>
  <c r="W256" i="1"/>
  <c r="T256" i="1"/>
  <c r="R256" i="1"/>
  <c r="P256" i="1"/>
  <c r="K256" i="1"/>
  <c r="AP255" i="1"/>
  <c r="AJ255" i="1"/>
  <c r="AB255" i="1"/>
  <c r="AA255" i="1"/>
  <c r="W255" i="1"/>
  <c r="T255" i="1"/>
  <c r="R255" i="1"/>
  <c r="P255" i="1"/>
  <c r="K255" i="1"/>
  <c r="AP254" i="1"/>
  <c r="AJ254" i="1"/>
  <c r="AB254" i="1"/>
  <c r="AA254" i="1"/>
  <c r="W254" i="1"/>
  <c r="T254" i="1"/>
  <c r="R254" i="1"/>
  <c r="P254" i="1"/>
  <c r="K254" i="1"/>
  <c r="AP253" i="1"/>
  <c r="AJ253" i="1"/>
  <c r="AB253" i="1"/>
  <c r="AA253" i="1"/>
  <c r="W253" i="1"/>
  <c r="T253" i="1"/>
  <c r="X253" i="1" s="1"/>
  <c r="R253" i="1"/>
  <c r="P253" i="1"/>
  <c r="K253" i="1"/>
  <c r="AP252" i="1"/>
  <c r="AJ252" i="1"/>
  <c r="AB252" i="1"/>
  <c r="AA252" i="1"/>
  <c r="W252" i="1"/>
  <c r="T252" i="1"/>
  <c r="R252" i="1"/>
  <c r="P252" i="1"/>
  <c r="K252" i="1"/>
  <c r="AP251" i="1"/>
  <c r="AJ251" i="1"/>
  <c r="AB251" i="1"/>
  <c r="AA251" i="1"/>
  <c r="W251" i="1"/>
  <c r="T251" i="1"/>
  <c r="R251" i="1"/>
  <c r="P251" i="1"/>
  <c r="K251" i="1"/>
  <c r="AP250" i="1"/>
  <c r="AJ250" i="1"/>
  <c r="AB250" i="1"/>
  <c r="AA250" i="1"/>
  <c r="W250" i="1"/>
  <c r="T250" i="1"/>
  <c r="R250" i="1"/>
  <c r="P250" i="1"/>
  <c r="K250" i="1"/>
  <c r="AP249" i="1"/>
  <c r="AJ249" i="1"/>
  <c r="AB249" i="1"/>
  <c r="AA249" i="1"/>
  <c r="W249" i="1"/>
  <c r="T249" i="1"/>
  <c r="X249" i="1" s="1"/>
  <c r="R249" i="1"/>
  <c r="P249" i="1"/>
  <c r="K249" i="1"/>
  <c r="AP248" i="1"/>
  <c r="AJ248" i="1"/>
  <c r="AB248" i="1"/>
  <c r="AA248" i="1"/>
  <c r="W248" i="1"/>
  <c r="T248" i="1"/>
  <c r="R248" i="1"/>
  <c r="P248" i="1"/>
  <c r="K248" i="1"/>
  <c r="AP247" i="1"/>
  <c r="AJ247" i="1"/>
  <c r="AB247" i="1"/>
  <c r="AA247" i="1"/>
  <c r="W247" i="1"/>
  <c r="T247" i="1"/>
  <c r="R247" i="1"/>
  <c r="P247" i="1"/>
  <c r="K247" i="1"/>
  <c r="AP246" i="1"/>
  <c r="AJ246" i="1"/>
  <c r="AB246" i="1"/>
  <c r="AA246" i="1"/>
  <c r="W246" i="1"/>
  <c r="T246" i="1"/>
  <c r="R246" i="1"/>
  <c r="P246" i="1"/>
  <c r="K246" i="1"/>
  <c r="AP245" i="1"/>
  <c r="AJ245" i="1"/>
  <c r="AB245" i="1"/>
  <c r="AA245" i="1"/>
  <c r="W245" i="1"/>
  <c r="T245" i="1"/>
  <c r="X245" i="1" s="1"/>
  <c r="R245" i="1"/>
  <c r="P245" i="1"/>
  <c r="K245" i="1"/>
  <c r="AP244" i="1"/>
  <c r="AJ244" i="1"/>
  <c r="AB244" i="1"/>
  <c r="AA244" i="1"/>
  <c r="W244" i="1"/>
  <c r="T244" i="1"/>
  <c r="R244" i="1"/>
  <c r="P244" i="1"/>
  <c r="K244" i="1"/>
  <c r="AP243" i="1"/>
  <c r="AJ243" i="1"/>
  <c r="AB243" i="1"/>
  <c r="AA243" i="1"/>
  <c r="W243" i="1"/>
  <c r="T243" i="1"/>
  <c r="R243" i="1"/>
  <c r="P243" i="1"/>
  <c r="K243" i="1"/>
  <c r="AP242" i="1"/>
  <c r="AJ242" i="1"/>
  <c r="AB242" i="1"/>
  <c r="AA242" i="1"/>
  <c r="W242" i="1"/>
  <c r="T242" i="1"/>
  <c r="R242" i="1"/>
  <c r="P242" i="1"/>
  <c r="K242" i="1"/>
  <c r="AP241" i="1"/>
  <c r="AJ241" i="1"/>
  <c r="AB241" i="1"/>
  <c r="AA241" i="1"/>
  <c r="W241" i="1"/>
  <c r="T241" i="1"/>
  <c r="R241" i="1"/>
  <c r="P241" i="1"/>
  <c r="K241" i="1"/>
  <c r="AP240" i="1"/>
  <c r="AJ240" i="1"/>
  <c r="AB240" i="1"/>
  <c r="AA240" i="1"/>
  <c r="W240" i="1"/>
  <c r="T240" i="1"/>
  <c r="R240" i="1"/>
  <c r="P240" i="1"/>
  <c r="K240" i="1"/>
  <c r="AP239" i="1"/>
  <c r="AJ239" i="1"/>
  <c r="AB239" i="1"/>
  <c r="AA239" i="1"/>
  <c r="W239" i="1"/>
  <c r="T239" i="1"/>
  <c r="R239" i="1"/>
  <c r="P239" i="1"/>
  <c r="K239" i="1"/>
  <c r="AP238" i="1"/>
  <c r="AJ238" i="1"/>
  <c r="AB238" i="1"/>
  <c r="AA238" i="1"/>
  <c r="W238" i="1"/>
  <c r="T238" i="1"/>
  <c r="R238" i="1"/>
  <c r="P238" i="1"/>
  <c r="K238" i="1"/>
  <c r="AP237" i="1"/>
  <c r="AJ237" i="1"/>
  <c r="AB237" i="1"/>
  <c r="AA237" i="1"/>
  <c r="W237" i="1"/>
  <c r="T237" i="1"/>
  <c r="R237" i="1"/>
  <c r="P237" i="1"/>
  <c r="K237" i="1"/>
  <c r="AP236" i="1"/>
  <c r="AJ236" i="1"/>
  <c r="AB236" i="1"/>
  <c r="AA236" i="1"/>
  <c r="W236" i="1"/>
  <c r="T236" i="1"/>
  <c r="R236" i="1"/>
  <c r="P236" i="1"/>
  <c r="K236" i="1"/>
  <c r="AP235" i="1"/>
  <c r="AJ235" i="1"/>
  <c r="AB235" i="1"/>
  <c r="AA235" i="1"/>
  <c r="W235" i="1"/>
  <c r="T235" i="1"/>
  <c r="R235" i="1"/>
  <c r="P235" i="1"/>
  <c r="K235" i="1"/>
  <c r="AP234" i="1"/>
  <c r="AJ234" i="1"/>
  <c r="AB234" i="1"/>
  <c r="AA234" i="1"/>
  <c r="W234" i="1"/>
  <c r="T234" i="1"/>
  <c r="R234" i="1"/>
  <c r="P234" i="1"/>
  <c r="K234" i="1"/>
  <c r="AP233" i="1"/>
  <c r="AJ233" i="1"/>
  <c r="AB233" i="1"/>
  <c r="AA233" i="1"/>
  <c r="W233" i="1"/>
  <c r="T233" i="1"/>
  <c r="R233" i="1"/>
  <c r="P233" i="1"/>
  <c r="K233" i="1"/>
  <c r="AP232" i="1"/>
  <c r="AJ232" i="1"/>
  <c r="AB232" i="1"/>
  <c r="AA232" i="1"/>
  <c r="W232" i="1"/>
  <c r="T232" i="1"/>
  <c r="R232" i="1"/>
  <c r="P232" i="1"/>
  <c r="K232" i="1"/>
  <c r="AP231" i="1"/>
  <c r="AJ231" i="1"/>
  <c r="AB231" i="1"/>
  <c r="AA231" i="1"/>
  <c r="W231" i="1"/>
  <c r="T231" i="1"/>
  <c r="R231" i="1"/>
  <c r="P231" i="1"/>
  <c r="K231" i="1"/>
  <c r="AP230" i="1"/>
  <c r="AJ230" i="1"/>
  <c r="AB230" i="1"/>
  <c r="AA230" i="1"/>
  <c r="W230" i="1"/>
  <c r="T230" i="1"/>
  <c r="R230" i="1"/>
  <c r="P230" i="1"/>
  <c r="K230" i="1"/>
  <c r="AP229" i="1"/>
  <c r="AJ229" i="1"/>
  <c r="AB229" i="1"/>
  <c r="AA229" i="1"/>
  <c r="W229" i="1"/>
  <c r="T229" i="1"/>
  <c r="R229" i="1"/>
  <c r="P229" i="1"/>
  <c r="K229" i="1"/>
  <c r="AP228" i="1"/>
  <c r="AJ228" i="1"/>
  <c r="AB228" i="1"/>
  <c r="AA228" i="1"/>
  <c r="W228" i="1"/>
  <c r="T228" i="1"/>
  <c r="R228" i="1"/>
  <c r="P228" i="1"/>
  <c r="K228" i="1"/>
  <c r="AP227" i="1"/>
  <c r="AJ227" i="1"/>
  <c r="AB227" i="1"/>
  <c r="AA227" i="1"/>
  <c r="W227" i="1"/>
  <c r="T227" i="1"/>
  <c r="R227" i="1"/>
  <c r="P227" i="1"/>
  <c r="K227" i="1"/>
  <c r="AP226" i="1"/>
  <c r="AJ226" i="1"/>
  <c r="AB226" i="1"/>
  <c r="AA226" i="1"/>
  <c r="W226" i="1"/>
  <c r="T226" i="1"/>
  <c r="R226" i="1"/>
  <c r="P226" i="1"/>
  <c r="K226" i="1"/>
  <c r="AP225" i="1"/>
  <c r="AJ225" i="1"/>
  <c r="AB225" i="1"/>
  <c r="AA225" i="1"/>
  <c r="W225" i="1"/>
  <c r="T225" i="1"/>
  <c r="R225" i="1"/>
  <c r="P225" i="1"/>
  <c r="K225" i="1"/>
  <c r="AP224" i="1"/>
  <c r="AJ224" i="1"/>
  <c r="AB224" i="1"/>
  <c r="AA224" i="1"/>
  <c r="W224" i="1"/>
  <c r="T224" i="1"/>
  <c r="R224" i="1"/>
  <c r="P224" i="1"/>
  <c r="K224" i="1"/>
  <c r="AP223" i="1"/>
  <c r="AJ223" i="1"/>
  <c r="AB223" i="1"/>
  <c r="AA223" i="1"/>
  <c r="W223" i="1"/>
  <c r="T223" i="1"/>
  <c r="R223" i="1"/>
  <c r="P223" i="1"/>
  <c r="K223" i="1"/>
  <c r="AP222" i="1"/>
  <c r="AJ222" i="1"/>
  <c r="AB222" i="1"/>
  <c r="AA222" i="1"/>
  <c r="W222" i="1"/>
  <c r="T222" i="1"/>
  <c r="R222" i="1"/>
  <c r="P222" i="1"/>
  <c r="K222" i="1"/>
  <c r="AP221" i="1"/>
  <c r="AJ221" i="1"/>
  <c r="AB221" i="1"/>
  <c r="AA221" i="1"/>
  <c r="W221" i="1"/>
  <c r="T221" i="1"/>
  <c r="R221" i="1"/>
  <c r="P221" i="1"/>
  <c r="K221" i="1"/>
  <c r="AP220" i="1"/>
  <c r="AJ220" i="1"/>
  <c r="AB220" i="1"/>
  <c r="AA220" i="1"/>
  <c r="W220" i="1"/>
  <c r="T220" i="1"/>
  <c r="R220" i="1"/>
  <c r="P220" i="1"/>
  <c r="K220" i="1"/>
  <c r="AP219" i="1"/>
  <c r="AJ219" i="1"/>
  <c r="AB219" i="1"/>
  <c r="AA219" i="1"/>
  <c r="W219" i="1"/>
  <c r="T219" i="1"/>
  <c r="R219" i="1"/>
  <c r="P219" i="1"/>
  <c r="K219" i="1"/>
  <c r="AP218" i="1"/>
  <c r="AJ218" i="1"/>
  <c r="AB218" i="1"/>
  <c r="AA218" i="1"/>
  <c r="W218" i="1"/>
  <c r="T218" i="1"/>
  <c r="R218" i="1"/>
  <c r="P218" i="1"/>
  <c r="K218" i="1"/>
  <c r="AP217" i="1"/>
  <c r="AJ217" i="1"/>
  <c r="AB217" i="1"/>
  <c r="AA217" i="1"/>
  <c r="W217" i="1"/>
  <c r="T217" i="1"/>
  <c r="R217" i="1"/>
  <c r="P217" i="1"/>
  <c r="K217" i="1"/>
  <c r="AP216" i="1"/>
  <c r="AJ216" i="1"/>
  <c r="AB216" i="1"/>
  <c r="AA216" i="1"/>
  <c r="W216" i="1"/>
  <c r="T216" i="1"/>
  <c r="R216" i="1"/>
  <c r="P216" i="1"/>
  <c r="K216" i="1"/>
  <c r="AP215" i="1"/>
  <c r="AJ215" i="1"/>
  <c r="AB215" i="1"/>
  <c r="AA215" i="1"/>
  <c r="W215" i="1"/>
  <c r="T215" i="1"/>
  <c r="R215" i="1"/>
  <c r="P215" i="1"/>
  <c r="K215" i="1"/>
  <c r="AP214" i="1"/>
  <c r="AJ214" i="1"/>
  <c r="AB214" i="1"/>
  <c r="AA214" i="1"/>
  <c r="W214" i="1"/>
  <c r="T214" i="1"/>
  <c r="R214" i="1"/>
  <c r="P214" i="1"/>
  <c r="K214" i="1"/>
  <c r="AP213" i="1"/>
  <c r="AJ213" i="1"/>
  <c r="AB213" i="1"/>
  <c r="AA213" i="1"/>
  <c r="W213" i="1"/>
  <c r="T213" i="1"/>
  <c r="R213" i="1"/>
  <c r="P213" i="1"/>
  <c r="K213" i="1"/>
  <c r="AP212" i="1"/>
  <c r="AJ212" i="1"/>
  <c r="AB212" i="1"/>
  <c r="AA212" i="1"/>
  <c r="W212" i="1"/>
  <c r="T212" i="1"/>
  <c r="R212" i="1"/>
  <c r="P212" i="1"/>
  <c r="K212" i="1"/>
  <c r="AP211" i="1"/>
  <c r="AJ211" i="1"/>
  <c r="AB211" i="1"/>
  <c r="AA211" i="1"/>
  <c r="W211" i="1"/>
  <c r="T211" i="1"/>
  <c r="R211" i="1"/>
  <c r="P211" i="1"/>
  <c r="K211" i="1"/>
  <c r="AP210" i="1"/>
  <c r="AJ210" i="1"/>
  <c r="AB210" i="1"/>
  <c r="AA210" i="1"/>
  <c r="W210" i="1"/>
  <c r="T210" i="1"/>
  <c r="R210" i="1"/>
  <c r="P210" i="1"/>
  <c r="K210" i="1"/>
  <c r="AP209" i="1"/>
  <c r="AJ209" i="1"/>
  <c r="AB209" i="1"/>
  <c r="AA209" i="1"/>
  <c r="W209" i="1"/>
  <c r="T209" i="1"/>
  <c r="R209" i="1"/>
  <c r="P209" i="1"/>
  <c r="K209" i="1"/>
  <c r="AP208" i="1"/>
  <c r="AJ208" i="1"/>
  <c r="AB208" i="1"/>
  <c r="AA208" i="1"/>
  <c r="W208" i="1"/>
  <c r="T208" i="1"/>
  <c r="R208" i="1"/>
  <c r="P208" i="1"/>
  <c r="K208" i="1"/>
  <c r="AP207" i="1"/>
  <c r="AJ207" i="1"/>
  <c r="AB207" i="1"/>
  <c r="AA207" i="1"/>
  <c r="W207" i="1"/>
  <c r="T207" i="1"/>
  <c r="R207" i="1"/>
  <c r="P207" i="1"/>
  <c r="K207" i="1"/>
  <c r="AP206" i="1"/>
  <c r="AJ206" i="1"/>
  <c r="AB206" i="1"/>
  <c r="AA206" i="1"/>
  <c r="W206" i="1"/>
  <c r="T206" i="1"/>
  <c r="R206" i="1"/>
  <c r="P206" i="1"/>
  <c r="K206" i="1"/>
  <c r="AP205" i="1"/>
  <c r="AJ205" i="1"/>
  <c r="AB205" i="1"/>
  <c r="AA205" i="1"/>
  <c r="W205" i="1"/>
  <c r="T205" i="1"/>
  <c r="R205" i="1"/>
  <c r="P205" i="1"/>
  <c r="K205" i="1"/>
  <c r="AP204" i="1"/>
  <c r="AJ204" i="1"/>
  <c r="AB204" i="1"/>
  <c r="AA204" i="1"/>
  <c r="W204" i="1"/>
  <c r="T204" i="1"/>
  <c r="R204" i="1"/>
  <c r="P204" i="1"/>
  <c r="K204" i="1"/>
  <c r="AP203" i="1"/>
  <c r="AJ203" i="1"/>
  <c r="AB203" i="1"/>
  <c r="AA203" i="1"/>
  <c r="W203" i="1"/>
  <c r="T203" i="1"/>
  <c r="R203" i="1"/>
  <c r="P203" i="1"/>
  <c r="K203" i="1"/>
  <c r="AP202" i="1"/>
  <c r="AJ202" i="1"/>
  <c r="AB202" i="1"/>
  <c r="AA202" i="1"/>
  <c r="W202" i="1"/>
  <c r="T202" i="1"/>
  <c r="R202" i="1"/>
  <c r="P202" i="1"/>
  <c r="K202" i="1"/>
  <c r="AP201" i="1"/>
  <c r="AJ201" i="1"/>
  <c r="AB201" i="1"/>
  <c r="AA201" i="1"/>
  <c r="W201" i="1"/>
  <c r="T201" i="1"/>
  <c r="R201" i="1"/>
  <c r="P201" i="1"/>
  <c r="K201" i="1"/>
  <c r="AP200" i="1"/>
  <c r="AJ200" i="1"/>
  <c r="AB200" i="1"/>
  <c r="AA200" i="1"/>
  <c r="W200" i="1"/>
  <c r="T200" i="1"/>
  <c r="R200" i="1"/>
  <c r="P200" i="1"/>
  <c r="K200" i="1"/>
  <c r="AP199" i="1"/>
  <c r="AJ199" i="1"/>
  <c r="AB199" i="1"/>
  <c r="AA199" i="1"/>
  <c r="W199" i="1"/>
  <c r="T199" i="1"/>
  <c r="R199" i="1"/>
  <c r="P199" i="1"/>
  <c r="K199" i="1"/>
  <c r="AP198" i="1"/>
  <c r="AJ198" i="1"/>
  <c r="AB198" i="1"/>
  <c r="AA198" i="1"/>
  <c r="W198" i="1"/>
  <c r="T198" i="1"/>
  <c r="R198" i="1"/>
  <c r="P198" i="1"/>
  <c r="K198" i="1"/>
  <c r="AP197" i="1"/>
  <c r="AJ197" i="1"/>
  <c r="AB197" i="1"/>
  <c r="AA197" i="1"/>
  <c r="W197" i="1"/>
  <c r="T197" i="1"/>
  <c r="X197" i="1" s="1"/>
  <c r="R197" i="1"/>
  <c r="P197" i="1"/>
  <c r="K197" i="1"/>
  <c r="AP196" i="1"/>
  <c r="AJ196" i="1"/>
  <c r="AB196" i="1"/>
  <c r="AA196" i="1"/>
  <c r="W196" i="1"/>
  <c r="T196" i="1"/>
  <c r="R196" i="1"/>
  <c r="P196" i="1"/>
  <c r="K196" i="1"/>
  <c r="AP195" i="1"/>
  <c r="AJ195" i="1"/>
  <c r="AB195" i="1"/>
  <c r="AA195" i="1"/>
  <c r="W195" i="1"/>
  <c r="T195" i="1"/>
  <c r="R195" i="1"/>
  <c r="P195" i="1"/>
  <c r="K195" i="1"/>
  <c r="AP194" i="1"/>
  <c r="AJ194" i="1"/>
  <c r="AB194" i="1"/>
  <c r="AA194" i="1"/>
  <c r="W194" i="1"/>
  <c r="T194" i="1"/>
  <c r="R194" i="1"/>
  <c r="P194" i="1"/>
  <c r="K194" i="1"/>
  <c r="AP193" i="1"/>
  <c r="AJ193" i="1"/>
  <c r="AB193" i="1"/>
  <c r="AA193" i="1"/>
  <c r="W193" i="1"/>
  <c r="T193" i="1"/>
  <c r="R193" i="1"/>
  <c r="P193" i="1"/>
  <c r="K193" i="1"/>
  <c r="AP192" i="1"/>
  <c r="AJ192" i="1"/>
  <c r="AB192" i="1"/>
  <c r="AA192" i="1"/>
  <c r="W192" i="1"/>
  <c r="T192" i="1"/>
  <c r="R192" i="1"/>
  <c r="P192" i="1"/>
  <c r="K192" i="1"/>
  <c r="AP191" i="1"/>
  <c r="AJ191" i="1"/>
  <c r="AB191" i="1"/>
  <c r="AA191" i="1"/>
  <c r="W191" i="1"/>
  <c r="T191" i="1"/>
  <c r="R191" i="1"/>
  <c r="P191" i="1"/>
  <c r="K191" i="1"/>
  <c r="AP190" i="1"/>
  <c r="AJ190" i="1"/>
  <c r="AB190" i="1"/>
  <c r="AA190" i="1"/>
  <c r="W190" i="1"/>
  <c r="T190" i="1"/>
  <c r="R190" i="1"/>
  <c r="P190" i="1"/>
  <c r="K190" i="1"/>
  <c r="AP189" i="1"/>
  <c r="AJ189" i="1"/>
  <c r="AB189" i="1"/>
  <c r="AA189" i="1"/>
  <c r="W189" i="1"/>
  <c r="T189" i="1"/>
  <c r="R189" i="1"/>
  <c r="P189" i="1"/>
  <c r="K189" i="1"/>
  <c r="AP188" i="1"/>
  <c r="AJ188" i="1"/>
  <c r="AB188" i="1"/>
  <c r="AA188" i="1"/>
  <c r="W188" i="1"/>
  <c r="T188" i="1"/>
  <c r="R188" i="1"/>
  <c r="P188" i="1"/>
  <c r="K188" i="1"/>
  <c r="AP187" i="1"/>
  <c r="AJ187" i="1"/>
  <c r="AB187" i="1"/>
  <c r="AA187" i="1"/>
  <c r="W187" i="1"/>
  <c r="T187" i="1"/>
  <c r="R187" i="1"/>
  <c r="P187" i="1"/>
  <c r="K187" i="1"/>
  <c r="AP186" i="1"/>
  <c r="AJ186" i="1"/>
  <c r="AB186" i="1"/>
  <c r="AA186" i="1"/>
  <c r="W186" i="1"/>
  <c r="T186" i="1"/>
  <c r="R186" i="1"/>
  <c r="P186" i="1"/>
  <c r="K186" i="1"/>
  <c r="AP185" i="1"/>
  <c r="AJ185" i="1"/>
  <c r="AB185" i="1"/>
  <c r="AA185" i="1"/>
  <c r="W185" i="1"/>
  <c r="T185" i="1"/>
  <c r="R185" i="1"/>
  <c r="P185" i="1"/>
  <c r="K185" i="1"/>
  <c r="AP184" i="1"/>
  <c r="AJ184" i="1"/>
  <c r="AB184" i="1"/>
  <c r="AA184" i="1"/>
  <c r="W184" i="1"/>
  <c r="T184" i="1"/>
  <c r="R184" i="1"/>
  <c r="P184" i="1"/>
  <c r="K184" i="1"/>
  <c r="AP183" i="1"/>
  <c r="AJ183" i="1"/>
  <c r="AB183" i="1"/>
  <c r="AA183" i="1"/>
  <c r="W183" i="1"/>
  <c r="T183" i="1"/>
  <c r="R183" i="1"/>
  <c r="P183" i="1"/>
  <c r="K183" i="1"/>
  <c r="AP182" i="1"/>
  <c r="AJ182" i="1"/>
  <c r="AB182" i="1"/>
  <c r="AA182" i="1"/>
  <c r="W182" i="1"/>
  <c r="T182" i="1"/>
  <c r="R182" i="1"/>
  <c r="P182" i="1"/>
  <c r="K182" i="1"/>
  <c r="AP181" i="1"/>
  <c r="AJ181" i="1"/>
  <c r="AB181" i="1"/>
  <c r="AA181" i="1"/>
  <c r="W181" i="1"/>
  <c r="T181" i="1"/>
  <c r="R181" i="1"/>
  <c r="P181" i="1"/>
  <c r="K181" i="1"/>
  <c r="AP180" i="1"/>
  <c r="AJ180" i="1"/>
  <c r="AB180" i="1"/>
  <c r="AA180" i="1"/>
  <c r="W180" i="1"/>
  <c r="T180" i="1"/>
  <c r="R180" i="1"/>
  <c r="P180" i="1"/>
  <c r="K180" i="1"/>
  <c r="AP179" i="1"/>
  <c r="AJ179" i="1"/>
  <c r="AB179" i="1"/>
  <c r="AA179" i="1"/>
  <c r="W179" i="1"/>
  <c r="T179" i="1"/>
  <c r="R179" i="1"/>
  <c r="P179" i="1"/>
  <c r="K179" i="1"/>
  <c r="AP178" i="1"/>
  <c r="AJ178" i="1"/>
  <c r="AB178" i="1"/>
  <c r="AA178" i="1"/>
  <c r="W178" i="1"/>
  <c r="T178" i="1"/>
  <c r="R178" i="1"/>
  <c r="P178" i="1"/>
  <c r="K178" i="1"/>
  <c r="AP177" i="1"/>
  <c r="AJ177" i="1"/>
  <c r="AB177" i="1"/>
  <c r="AA177" i="1"/>
  <c r="W177" i="1"/>
  <c r="T177" i="1"/>
  <c r="R177" i="1"/>
  <c r="P177" i="1"/>
  <c r="K177" i="1"/>
  <c r="AP176" i="1"/>
  <c r="AJ176" i="1"/>
  <c r="AB176" i="1"/>
  <c r="AA176" i="1"/>
  <c r="W176" i="1"/>
  <c r="T176" i="1"/>
  <c r="R176" i="1"/>
  <c r="P176" i="1"/>
  <c r="K176" i="1"/>
  <c r="AP175" i="1"/>
  <c r="AJ175" i="1"/>
  <c r="AB175" i="1"/>
  <c r="AA175" i="1"/>
  <c r="W175" i="1"/>
  <c r="T175" i="1"/>
  <c r="R175" i="1"/>
  <c r="P175" i="1"/>
  <c r="K175" i="1"/>
  <c r="AP174" i="1"/>
  <c r="AJ174" i="1"/>
  <c r="AB174" i="1"/>
  <c r="AA174" i="1"/>
  <c r="W174" i="1"/>
  <c r="T174" i="1"/>
  <c r="R174" i="1"/>
  <c r="P174" i="1"/>
  <c r="K174" i="1"/>
  <c r="AP173" i="1"/>
  <c r="AJ173" i="1"/>
  <c r="AB173" i="1"/>
  <c r="AA173" i="1"/>
  <c r="W173" i="1"/>
  <c r="T173" i="1"/>
  <c r="R173" i="1"/>
  <c r="P173" i="1"/>
  <c r="K173" i="1"/>
  <c r="AP172" i="1"/>
  <c r="AJ172" i="1"/>
  <c r="AB172" i="1"/>
  <c r="AA172" i="1"/>
  <c r="W172" i="1"/>
  <c r="T172" i="1"/>
  <c r="R172" i="1"/>
  <c r="P172" i="1"/>
  <c r="K172" i="1"/>
  <c r="AP171" i="1"/>
  <c r="AJ171" i="1"/>
  <c r="AB171" i="1"/>
  <c r="AA171" i="1"/>
  <c r="W171" i="1"/>
  <c r="T171" i="1"/>
  <c r="R171" i="1"/>
  <c r="P171" i="1"/>
  <c r="K171" i="1"/>
  <c r="AP170" i="1"/>
  <c r="AJ170" i="1"/>
  <c r="AB170" i="1"/>
  <c r="AA170" i="1"/>
  <c r="W170" i="1"/>
  <c r="T170" i="1"/>
  <c r="R170" i="1"/>
  <c r="P170" i="1"/>
  <c r="K170" i="1"/>
  <c r="AP169" i="1"/>
  <c r="AJ169" i="1"/>
  <c r="AB169" i="1"/>
  <c r="AA169" i="1"/>
  <c r="W169" i="1"/>
  <c r="T169" i="1"/>
  <c r="R169" i="1"/>
  <c r="P169" i="1"/>
  <c r="K169" i="1"/>
  <c r="AP168" i="1"/>
  <c r="AJ168" i="1"/>
  <c r="AB168" i="1"/>
  <c r="AA168" i="1"/>
  <c r="W168" i="1"/>
  <c r="T168" i="1"/>
  <c r="R168" i="1"/>
  <c r="P168" i="1"/>
  <c r="K168" i="1"/>
  <c r="AP167" i="1"/>
  <c r="AJ167" i="1"/>
  <c r="AB167" i="1"/>
  <c r="AA167" i="1"/>
  <c r="W167" i="1"/>
  <c r="T167" i="1"/>
  <c r="R167" i="1"/>
  <c r="P167" i="1"/>
  <c r="K167" i="1"/>
  <c r="AP166" i="1"/>
  <c r="AJ166" i="1"/>
  <c r="AB166" i="1"/>
  <c r="AA166" i="1"/>
  <c r="W166" i="1"/>
  <c r="T166" i="1"/>
  <c r="R166" i="1"/>
  <c r="P166" i="1"/>
  <c r="K166" i="1"/>
  <c r="AP165" i="1"/>
  <c r="AJ165" i="1"/>
  <c r="AB165" i="1"/>
  <c r="AA165" i="1"/>
  <c r="W165" i="1"/>
  <c r="T165" i="1"/>
  <c r="R165" i="1"/>
  <c r="P165" i="1"/>
  <c r="K165" i="1"/>
  <c r="AP164" i="1"/>
  <c r="AJ164" i="1"/>
  <c r="AB164" i="1"/>
  <c r="AA164" i="1"/>
  <c r="W164" i="1"/>
  <c r="T164" i="1"/>
  <c r="R164" i="1"/>
  <c r="P164" i="1"/>
  <c r="K164" i="1"/>
  <c r="AP163" i="1"/>
  <c r="AJ163" i="1"/>
  <c r="AB163" i="1"/>
  <c r="AA163" i="1"/>
  <c r="W163" i="1"/>
  <c r="T163" i="1"/>
  <c r="R163" i="1"/>
  <c r="P163" i="1"/>
  <c r="K163" i="1"/>
  <c r="AP162" i="1"/>
  <c r="AJ162" i="1"/>
  <c r="AB162" i="1"/>
  <c r="AA162" i="1"/>
  <c r="W162" i="1"/>
  <c r="T162" i="1"/>
  <c r="R162" i="1"/>
  <c r="P162" i="1"/>
  <c r="K162" i="1"/>
  <c r="AP161" i="1"/>
  <c r="AJ161" i="1"/>
  <c r="AB161" i="1"/>
  <c r="AA161" i="1"/>
  <c r="W161" i="1"/>
  <c r="T161" i="1"/>
  <c r="R161" i="1"/>
  <c r="P161" i="1"/>
  <c r="K161" i="1"/>
  <c r="AP160" i="1"/>
  <c r="AJ160" i="1"/>
  <c r="AB160" i="1"/>
  <c r="AA160" i="1"/>
  <c r="W160" i="1"/>
  <c r="T160" i="1"/>
  <c r="R160" i="1"/>
  <c r="P160" i="1"/>
  <c r="K160" i="1"/>
  <c r="AP159" i="1"/>
  <c r="AJ159" i="1"/>
  <c r="AB159" i="1"/>
  <c r="AA159" i="1"/>
  <c r="W159" i="1"/>
  <c r="T159" i="1"/>
  <c r="R159" i="1"/>
  <c r="P159" i="1"/>
  <c r="K159" i="1"/>
  <c r="AP158" i="1"/>
  <c r="AJ158" i="1"/>
  <c r="AB158" i="1"/>
  <c r="AA158" i="1"/>
  <c r="W158" i="1"/>
  <c r="T158" i="1"/>
  <c r="R158" i="1"/>
  <c r="P158" i="1"/>
  <c r="K158" i="1"/>
  <c r="AP157" i="1"/>
  <c r="AJ157" i="1"/>
  <c r="AB157" i="1"/>
  <c r="AA157" i="1"/>
  <c r="W157" i="1"/>
  <c r="T157" i="1"/>
  <c r="R157" i="1"/>
  <c r="P157" i="1"/>
  <c r="K157" i="1"/>
  <c r="AP156" i="1"/>
  <c r="AJ156" i="1"/>
  <c r="AB156" i="1"/>
  <c r="AA156" i="1"/>
  <c r="W156" i="1"/>
  <c r="T156" i="1"/>
  <c r="R156" i="1"/>
  <c r="P156" i="1"/>
  <c r="K156" i="1"/>
  <c r="AP155" i="1"/>
  <c r="AJ155" i="1"/>
  <c r="AB155" i="1"/>
  <c r="AA155" i="1"/>
  <c r="W155" i="1"/>
  <c r="T155" i="1"/>
  <c r="R155" i="1"/>
  <c r="P155" i="1"/>
  <c r="K155" i="1"/>
  <c r="AP154" i="1"/>
  <c r="AJ154" i="1"/>
  <c r="AB154" i="1"/>
  <c r="AA154" i="1"/>
  <c r="W154" i="1"/>
  <c r="T154" i="1"/>
  <c r="R154" i="1"/>
  <c r="P154" i="1"/>
  <c r="K154" i="1"/>
  <c r="AP153" i="1"/>
  <c r="AJ153" i="1"/>
  <c r="AB153" i="1"/>
  <c r="AA153" i="1"/>
  <c r="W153" i="1"/>
  <c r="T153" i="1"/>
  <c r="R153" i="1"/>
  <c r="P153" i="1"/>
  <c r="K153" i="1"/>
  <c r="AP152" i="1"/>
  <c r="AJ152" i="1"/>
  <c r="AB152" i="1"/>
  <c r="AA152" i="1"/>
  <c r="W152" i="1"/>
  <c r="T152" i="1"/>
  <c r="R152" i="1"/>
  <c r="P152" i="1"/>
  <c r="K152" i="1"/>
  <c r="AP151" i="1"/>
  <c r="AJ151" i="1"/>
  <c r="AB151" i="1"/>
  <c r="AA151" i="1"/>
  <c r="W151" i="1"/>
  <c r="T151" i="1"/>
  <c r="R151" i="1"/>
  <c r="P151" i="1"/>
  <c r="K151" i="1"/>
  <c r="AP150" i="1"/>
  <c r="AJ150" i="1"/>
  <c r="AB150" i="1"/>
  <c r="AA150" i="1"/>
  <c r="W150" i="1"/>
  <c r="T150" i="1"/>
  <c r="R150" i="1"/>
  <c r="P150" i="1"/>
  <c r="K150" i="1"/>
  <c r="AP149" i="1"/>
  <c r="AJ149" i="1"/>
  <c r="AB149" i="1"/>
  <c r="AA149" i="1"/>
  <c r="W149" i="1"/>
  <c r="T149" i="1"/>
  <c r="R149" i="1"/>
  <c r="P149" i="1"/>
  <c r="K149" i="1"/>
  <c r="AP148" i="1"/>
  <c r="AJ148" i="1"/>
  <c r="AB148" i="1"/>
  <c r="AA148" i="1"/>
  <c r="W148" i="1"/>
  <c r="T148" i="1"/>
  <c r="R148" i="1"/>
  <c r="P148" i="1"/>
  <c r="K148" i="1"/>
  <c r="AP147" i="1"/>
  <c r="AJ147" i="1"/>
  <c r="AB147" i="1"/>
  <c r="AA147" i="1"/>
  <c r="W147" i="1"/>
  <c r="T147" i="1"/>
  <c r="R147" i="1"/>
  <c r="P147" i="1"/>
  <c r="K147" i="1"/>
  <c r="AP146" i="1"/>
  <c r="AJ146" i="1"/>
  <c r="AB146" i="1"/>
  <c r="AA146" i="1"/>
  <c r="W146" i="1"/>
  <c r="T146" i="1"/>
  <c r="R146" i="1"/>
  <c r="P146" i="1"/>
  <c r="K146" i="1"/>
  <c r="AP145" i="1"/>
  <c r="AJ145" i="1"/>
  <c r="AB145" i="1"/>
  <c r="AA145" i="1"/>
  <c r="W145" i="1"/>
  <c r="T145" i="1"/>
  <c r="R145" i="1"/>
  <c r="P145" i="1"/>
  <c r="K145" i="1"/>
  <c r="AP144" i="1"/>
  <c r="AJ144" i="1"/>
  <c r="AB144" i="1"/>
  <c r="AA144" i="1"/>
  <c r="W144" i="1"/>
  <c r="T144" i="1"/>
  <c r="R144" i="1"/>
  <c r="P144" i="1"/>
  <c r="K144" i="1"/>
  <c r="AP143" i="1"/>
  <c r="AJ143" i="1"/>
  <c r="AB143" i="1"/>
  <c r="AA143" i="1"/>
  <c r="W143" i="1"/>
  <c r="T143" i="1"/>
  <c r="R143" i="1"/>
  <c r="P143" i="1"/>
  <c r="K143" i="1"/>
  <c r="AP142" i="1"/>
  <c r="AJ142" i="1"/>
  <c r="AB142" i="1"/>
  <c r="AA142" i="1"/>
  <c r="W142" i="1"/>
  <c r="T142" i="1"/>
  <c r="R142" i="1"/>
  <c r="P142" i="1"/>
  <c r="K142" i="1"/>
  <c r="AP141" i="1"/>
  <c r="AJ141" i="1"/>
  <c r="AB141" i="1"/>
  <c r="AA141" i="1"/>
  <c r="W141" i="1"/>
  <c r="T141" i="1"/>
  <c r="R141" i="1"/>
  <c r="P141" i="1"/>
  <c r="K141" i="1"/>
  <c r="AP140" i="1"/>
  <c r="AJ140" i="1"/>
  <c r="AB140" i="1"/>
  <c r="AA140" i="1"/>
  <c r="W140" i="1"/>
  <c r="T140" i="1"/>
  <c r="R140" i="1"/>
  <c r="P140" i="1"/>
  <c r="K140" i="1"/>
  <c r="AP139" i="1"/>
  <c r="AJ139" i="1"/>
  <c r="AB139" i="1"/>
  <c r="AA139" i="1"/>
  <c r="W139" i="1"/>
  <c r="T139" i="1"/>
  <c r="R139" i="1"/>
  <c r="P139" i="1"/>
  <c r="K139" i="1"/>
  <c r="AP138" i="1"/>
  <c r="AJ138" i="1"/>
  <c r="AB138" i="1"/>
  <c r="AA138" i="1"/>
  <c r="W138" i="1"/>
  <c r="T138" i="1"/>
  <c r="R138" i="1"/>
  <c r="P138" i="1"/>
  <c r="K138" i="1"/>
  <c r="AP137" i="1"/>
  <c r="AJ137" i="1"/>
  <c r="AB137" i="1"/>
  <c r="AA137" i="1"/>
  <c r="W137" i="1"/>
  <c r="T137" i="1"/>
  <c r="R137" i="1"/>
  <c r="P137" i="1"/>
  <c r="K137" i="1"/>
  <c r="AP136" i="1"/>
  <c r="AJ136" i="1"/>
  <c r="AB136" i="1"/>
  <c r="AA136" i="1"/>
  <c r="W136" i="1"/>
  <c r="T136" i="1"/>
  <c r="R136" i="1"/>
  <c r="P136" i="1"/>
  <c r="K136" i="1"/>
  <c r="AP135" i="1"/>
  <c r="AJ135" i="1"/>
  <c r="AB135" i="1"/>
  <c r="AA135" i="1"/>
  <c r="W135" i="1"/>
  <c r="T135" i="1"/>
  <c r="R135" i="1"/>
  <c r="P135" i="1"/>
  <c r="K135" i="1"/>
  <c r="AP134" i="1"/>
  <c r="AJ134" i="1"/>
  <c r="AB134" i="1"/>
  <c r="AA134" i="1"/>
  <c r="W134" i="1"/>
  <c r="T134" i="1"/>
  <c r="R134" i="1"/>
  <c r="P134" i="1"/>
  <c r="K134" i="1"/>
  <c r="AP133" i="1"/>
  <c r="AJ133" i="1"/>
  <c r="AB133" i="1"/>
  <c r="AA133" i="1"/>
  <c r="W133" i="1"/>
  <c r="T133" i="1"/>
  <c r="R133" i="1"/>
  <c r="P133" i="1"/>
  <c r="K133" i="1"/>
  <c r="AP132" i="1"/>
  <c r="AJ132" i="1"/>
  <c r="AB132" i="1"/>
  <c r="AA132" i="1"/>
  <c r="W132" i="1"/>
  <c r="T132" i="1"/>
  <c r="R132" i="1"/>
  <c r="P132" i="1"/>
  <c r="S132" i="1" s="1"/>
  <c r="K132" i="1"/>
  <c r="AP131" i="1"/>
  <c r="AJ131" i="1"/>
  <c r="AB131" i="1"/>
  <c r="AA131" i="1"/>
  <c r="W131" i="1"/>
  <c r="T131" i="1"/>
  <c r="R131" i="1"/>
  <c r="P131" i="1"/>
  <c r="K131" i="1"/>
  <c r="AP130" i="1"/>
  <c r="AJ130" i="1"/>
  <c r="AB130" i="1"/>
  <c r="AA130" i="1"/>
  <c r="W130" i="1"/>
  <c r="T130" i="1"/>
  <c r="R130" i="1"/>
  <c r="P130" i="1"/>
  <c r="K130" i="1"/>
  <c r="AP129" i="1"/>
  <c r="AJ129" i="1"/>
  <c r="AB129" i="1"/>
  <c r="AA129" i="1"/>
  <c r="W129" i="1"/>
  <c r="T129" i="1"/>
  <c r="R129" i="1"/>
  <c r="P129" i="1"/>
  <c r="K129" i="1"/>
  <c r="AP128" i="1"/>
  <c r="AJ128" i="1"/>
  <c r="AB128" i="1"/>
  <c r="AA128" i="1"/>
  <c r="W128" i="1"/>
  <c r="T128" i="1"/>
  <c r="R128" i="1"/>
  <c r="P128" i="1"/>
  <c r="S128" i="1" s="1"/>
  <c r="K128" i="1"/>
  <c r="AP127" i="1"/>
  <c r="AJ127" i="1"/>
  <c r="AB127" i="1"/>
  <c r="AA127" i="1"/>
  <c r="W127" i="1"/>
  <c r="T127" i="1"/>
  <c r="R127" i="1"/>
  <c r="P127" i="1"/>
  <c r="K127" i="1"/>
  <c r="AP126" i="1"/>
  <c r="AJ126" i="1"/>
  <c r="AB126" i="1"/>
  <c r="AA126" i="1"/>
  <c r="W126" i="1"/>
  <c r="T126" i="1"/>
  <c r="R126" i="1"/>
  <c r="P126" i="1"/>
  <c r="K126" i="1"/>
  <c r="AP125" i="1"/>
  <c r="AJ125" i="1"/>
  <c r="AB125" i="1"/>
  <c r="AA125" i="1"/>
  <c r="W125" i="1"/>
  <c r="T125" i="1"/>
  <c r="R125" i="1"/>
  <c r="P125" i="1"/>
  <c r="K125" i="1"/>
  <c r="AP124" i="1"/>
  <c r="AJ124" i="1"/>
  <c r="AB124" i="1"/>
  <c r="AA124" i="1"/>
  <c r="W124" i="1"/>
  <c r="T124" i="1"/>
  <c r="R124" i="1"/>
  <c r="P124" i="1"/>
  <c r="S124" i="1" s="1"/>
  <c r="K124" i="1"/>
  <c r="AP123" i="1"/>
  <c r="AJ123" i="1"/>
  <c r="AB123" i="1"/>
  <c r="AA123" i="1"/>
  <c r="W123" i="1"/>
  <c r="T123" i="1"/>
  <c r="R123" i="1"/>
  <c r="P123" i="1"/>
  <c r="K123" i="1"/>
  <c r="AP122" i="1"/>
  <c r="AJ122" i="1"/>
  <c r="AB122" i="1"/>
  <c r="AA122" i="1"/>
  <c r="W122" i="1"/>
  <c r="T122" i="1"/>
  <c r="R122" i="1"/>
  <c r="P122" i="1"/>
  <c r="K122" i="1"/>
  <c r="AP121" i="1"/>
  <c r="AJ121" i="1"/>
  <c r="AB121" i="1"/>
  <c r="AA121" i="1"/>
  <c r="W121" i="1"/>
  <c r="T121" i="1"/>
  <c r="R121" i="1"/>
  <c r="P121" i="1"/>
  <c r="K121" i="1"/>
  <c r="AP120" i="1"/>
  <c r="AJ120" i="1"/>
  <c r="AB120" i="1"/>
  <c r="AA120" i="1"/>
  <c r="W120" i="1"/>
  <c r="T120" i="1"/>
  <c r="R120" i="1"/>
  <c r="P120" i="1"/>
  <c r="S120" i="1" s="1"/>
  <c r="K120" i="1"/>
  <c r="AP119" i="1"/>
  <c r="AJ119" i="1"/>
  <c r="AB119" i="1"/>
  <c r="AA119" i="1"/>
  <c r="W119" i="1"/>
  <c r="T119" i="1"/>
  <c r="R119" i="1"/>
  <c r="P119" i="1"/>
  <c r="K119" i="1"/>
  <c r="AP118" i="1"/>
  <c r="AJ118" i="1"/>
  <c r="AB118" i="1"/>
  <c r="AA118" i="1"/>
  <c r="W118" i="1"/>
  <c r="T118" i="1"/>
  <c r="R118" i="1"/>
  <c r="P118" i="1"/>
  <c r="K118" i="1"/>
  <c r="AP117" i="1"/>
  <c r="AJ117" i="1"/>
  <c r="AB117" i="1"/>
  <c r="AA117" i="1"/>
  <c r="W117" i="1"/>
  <c r="T117" i="1"/>
  <c r="R117" i="1"/>
  <c r="P117" i="1"/>
  <c r="K117" i="1"/>
  <c r="AP116" i="1"/>
  <c r="AJ116" i="1"/>
  <c r="AB116" i="1"/>
  <c r="AA116" i="1"/>
  <c r="W116" i="1"/>
  <c r="T116" i="1"/>
  <c r="R116" i="1"/>
  <c r="P116" i="1"/>
  <c r="S116" i="1" s="1"/>
  <c r="K116" i="1"/>
  <c r="AP115" i="1"/>
  <c r="AJ115" i="1"/>
  <c r="AB115" i="1"/>
  <c r="AA115" i="1"/>
  <c r="W115" i="1"/>
  <c r="T115" i="1"/>
  <c r="R115" i="1"/>
  <c r="P115" i="1"/>
  <c r="K115" i="1"/>
  <c r="AP114" i="1"/>
  <c r="AJ114" i="1"/>
  <c r="AB114" i="1"/>
  <c r="AA114" i="1"/>
  <c r="W114" i="1"/>
  <c r="T114" i="1"/>
  <c r="R114" i="1"/>
  <c r="P114" i="1"/>
  <c r="K114" i="1"/>
  <c r="AP113" i="1"/>
  <c r="AJ113" i="1"/>
  <c r="AB113" i="1"/>
  <c r="AA113" i="1"/>
  <c r="W113" i="1"/>
  <c r="T113" i="1"/>
  <c r="R113" i="1"/>
  <c r="P113" i="1"/>
  <c r="K113" i="1"/>
  <c r="AP112" i="1"/>
  <c r="AJ112" i="1"/>
  <c r="AB112" i="1"/>
  <c r="AA112" i="1"/>
  <c r="W112" i="1"/>
  <c r="T112" i="1"/>
  <c r="R112" i="1"/>
  <c r="P112" i="1"/>
  <c r="K112" i="1"/>
  <c r="AP111" i="1"/>
  <c r="AJ111" i="1"/>
  <c r="AB111" i="1"/>
  <c r="AA111" i="1"/>
  <c r="W111" i="1"/>
  <c r="T111" i="1"/>
  <c r="R111" i="1"/>
  <c r="P111" i="1"/>
  <c r="K111" i="1"/>
  <c r="AP110" i="1"/>
  <c r="AJ110" i="1"/>
  <c r="AB110" i="1"/>
  <c r="AA110" i="1"/>
  <c r="W110" i="1"/>
  <c r="T110" i="1"/>
  <c r="R110" i="1"/>
  <c r="P110" i="1"/>
  <c r="K110" i="1"/>
  <c r="AP109" i="1"/>
  <c r="AJ109" i="1"/>
  <c r="AB109" i="1"/>
  <c r="AA109" i="1"/>
  <c r="W109" i="1"/>
  <c r="T109" i="1"/>
  <c r="R109" i="1"/>
  <c r="P109" i="1"/>
  <c r="K109" i="1"/>
  <c r="AP108" i="1"/>
  <c r="AJ108" i="1"/>
  <c r="AB108" i="1"/>
  <c r="AA108" i="1"/>
  <c r="W108" i="1"/>
  <c r="T108" i="1"/>
  <c r="R108" i="1"/>
  <c r="P108" i="1"/>
  <c r="K108" i="1"/>
  <c r="AP107" i="1"/>
  <c r="AJ107" i="1"/>
  <c r="AB107" i="1"/>
  <c r="AA107" i="1"/>
  <c r="W107" i="1"/>
  <c r="T107" i="1"/>
  <c r="R107" i="1"/>
  <c r="P107" i="1"/>
  <c r="K107" i="1"/>
  <c r="AP106" i="1"/>
  <c r="AJ106" i="1"/>
  <c r="AB106" i="1"/>
  <c r="AA106" i="1"/>
  <c r="W106" i="1"/>
  <c r="T106" i="1"/>
  <c r="R106" i="1"/>
  <c r="P106" i="1"/>
  <c r="K106" i="1"/>
  <c r="AP105" i="1"/>
  <c r="AJ105" i="1"/>
  <c r="AB105" i="1"/>
  <c r="AA105" i="1"/>
  <c r="W105" i="1"/>
  <c r="T105" i="1"/>
  <c r="R105" i="1"/>
  <c r="P105" i="1"/>
  <c r="K105" i="1"/>
  <c r="AP104" i="1"/>
  <c r="AJ104" i="1"/>
  <c r="AB104" i="1"/>
  <c r="AA104" i="1"/>
  <c r="W104" i="1"/>
  <c r="T104" i="1"/>
  <c r="R104" i="1"/>
  <c r="P104" i="1"/>
  <c r="K104" i="1"/>
  <c r="AP103" i="1"/>
  <c r="AJ103" i="1"/>
  <c r="AB103" i="1"/>
  <c r="AA103" i="1"/>
  <c r="W103" i="1"/>
  <c r="T103" i="1"/>
  <c r="R103" i="1"/>
  <c r="P103" i="1"/>
  <c r="K103" i="1"/>
  <c r="AP102" i="1"/>
  <c r="AJ102" i="1"/>
  <c r="AB102" i="1"/>
  <c r="AA102" i="1"/>
  <c r="W102" i="1"/>
  <c r="T102" i="1"/>
  <c r="R102" i="1"/>
  <c r="P102" i="1"/>
  <c r="K102" i="1"/>
  <c r="AP101" i="1"/>
  <c r="AJ101" i="1"/>
  <c r="AB101" i="1"/>
  <c r="AA101" i="1"/>
  <c r="W101" i="1"/>
  <c r="T101" i="1"/>
  <c r="R101" i="1"/>
  <c r="P101" i="1"/>
  <c r="K101" i="1"/>
  <c r="AP100" i="1"/>
  <c r="AJ100" i="1"/>
  <c r="AB100" i="1"/>
  <c r="AA100" i="1"/>
  <c r="W100" i="1"/>
  <c r="T100" i="1"/>
  <c r="R100" i="1"/>
  <c r="P100" i="1"/>
  <c r="K100" i="1"/>
  <c r="AP99" i="1"/>
  <c r="AJ99" i="1"/>
  <c r="AB99" i="1"/>
  <c r="AA99" i="1"/>
  <c r="W99" i="1"/>
  <c r="T99" i="1"/>
  <c r="R99" i="1"/>
  <c r="P99" i="1"/>
  <c r="K99" i="1"/>
  <c r="AP98" i="1"/>
  <c r="AJ98" i="1"/>
  <c r="AB98" i="1"/>
  <c r="AA98" i="1"/>
  <c r="W98" i="1"/>
  <c r="T98" i="1"/>
  <c r="R98" i="1"/>
  <c r="P98" i="1"/>
  <c r="K98" i="1"/>
  <c r="AP97" i="1"/>
  <c r="AJ97" i="1"/>
  <c r="AB97" i="1"/>
  <c r="AA97" i="1"/>
  <c r="W97" i="1"/>
  <c r="T97" i="1"/>
  <c r="R97" i="1"/>
  <c r="P97" i="1"/>
  <c r="K97" i="1"/>
  <c r="AP96" i="1"/>
  <c r="AJ96" i="1"/>
  <c r="AB96" i="1"/>
  <c r="AA96" i="1"/>
  <c r="W96" i="1"/>
  <c r="T96" i="1"/>
  <c r="R96" i="1"/>
  <c r="P96" i="1"/>
  <c r="K96" i="1"/>
  <c r="AP95" i="1"/>
  <c r="AJ95" i="1"/>
  <c r="AB95" i="1"/>
  <c r="AA95" i="1"/>
  <c r="W95" i="1"/>
  <c r="T95" i="1"/>
  <c r="R95" i="1"/>
  <c r="P95" i="1"/>
  <c r="K95" i="1"/>
  <c r="AP94" i="1"/>
  <c r="AJ94" i="1"/>
  <c r="AB94" i="1"/>
  <c r="AA94" i="1"/>
  <c r="W94" i="1"/>
  <c r="T94" i="1"/>
  <c r="R94" i="1"/>
  <c r="P94" i="1"/>
  <c r="K94" i="1"/>
  <c r="AP93" i="1"/>
  <c r="AJ93" i="1"/>
  <c r="AB93" i="1"/>
  <c r="AA93" i="1"/>
  <c r="W93" i="1"/>
  <c r="T93" i="1"/>
  <c r="R93" i="1"/>
  <c r="P93" i="1"/>
  <c r="K93" i="1"/>
  <c r="AP92" i="1"/>
  <c r="AJ92" i="1"/>
  <c r="AB92" i="1"/>
  <c r="AA92" i="1"/>
  <c r="W92" i="1"/>
  <c r="T92" i="1"/>
  <c r="R92" i="1"/>
  <c r="P92" i="1"/>
  <c r="K92" i="1"/>
  <c r="AP91" i="1"/>
  <c r="AJ91" i="1"/>
  <c r="AB91" i="1"/>
  <c r="AA91" i="1"/>
  <c r="W91" i="1"/>
  <c r="T91" i="1"/>
  <c r="R91" i="1"/>
  <c r="P91" i="1"/>
  <c r="K91" i="1"/>
  <c r="AP90" i="1"/>
  <c r="AJ90" i="1"/>
  <c r="AB90" i="1"/>
  <c r="AA90" i="1"/>
  <c r="W90" i="1"/>
  <c r="T90" i="1"/>
  <c r="R90" i="1"/>
  <c r="P90" i="1"/>
  <c r="K90" i="1"/>
  <c r="AP89" i="1"/>
  <c r="AJ89" i="1"/>
  <c r="AB89" i="1"/>
  <c r="AA89" i="1"/>
  <c r="W89" i="1"/>
  <c r="T89" i="1"/>
  <c r="R89" i="1"/>
  <c r="P89" i="1"/>
  <c r="K89" i="1"/>
  <c r="AP88" i="1"/>
  <c r="AJ88" i="1"/>
  <c r="AB88" i="1"/>
  <c r="AA88" i="1"/>
  <c r="W88" i="1"/>
  <c r="T88" i="1"/>
  <c r="R88" i="1"/>
  <c r="P88" i="1"/>
  <c r="K88" i="1"/>
  <c r="AP87" i="1"/>
  <c r="AJ87" i="1"/>
  <c r="AB87" i="1"/>
  <c r="AA87" i="1"/>
  <c r="W87" i="1"/>
  <c r="T87" i="1"/>
  <c r="R87" i="1"/>
  <c r="P87" i="1"/>
  <c r="K87" i="1"/>
  <c r="AP86" i="1"/>
  <c r="AJ86" i="1"/>
  <c r="AB86" i="1"/>
  <c r="AA86" i="1"/>
  <c r="W86" i="1"/>
  <c r="T86" i="1"/>
  <c r="R86" i="1"/>
  <c r="P86" i="1"/>
  <c r="K86" i="1"/>
  <c r="AP85" i="1"/>
  <c r="AJ85" i="1"/>
  <c r="AB85" i="1"/>
  <c r="AA85" i="1"/>
  <c r="W85" i="1"/>
  <c r="T85" i="1"/>
  <c r="R85" i="1"/>
  <c r="P85" i="1"/>
  <c r="S85" i="1" s="1"/>
  <c r="K85" i="1"/>
  <c r="AP84" i="1"/>
  <c r="AJ84" i="1"/>
  <c r="AB84" i="1"/>
  <c r="AA84" i="1"/>
  <c r="W84" i="1"/>
  <c r="T84" i="1"/>
  <c r="R84" i="1"/>
  <c r="P84" i="1"/>
  <c r="K84" i="1"/>
  <c r="AP83" i="1"/>
  <c r="AJ83" i="1"/>
  <c r="AB83" i="1"/>
  <c r="AA83" i="1"/>
  <c r="W83" i="1"/>
  <c r="T83" i="1"/>
  <c r="R83" i="1"/>
  <c r="P83" i="1"/>
  <c r="K83" i="1"/>
  <c r="AP82" i="1"/>
  <c r="AJ82" i="1"/>
  <c r="AB82" i="1"/>
  <c r="AA82" i="1"/>
  <c r="W82" i="1"/>
  <c r="T82" i="1"/>
  <c r="R82" i="1"/>
  <c r="P82" i="1"/>
  <c r="K82" i="1"/>
  <c r="AP81" i="1"/>
  <c r="AJ81" i="1"/>
  <c r="AB81" i="1"/>
  <c r="AA81" i="1"/>
  <c r="W81" i="1"/>
  <c r="T81" i="1"/>
  <c r="R81" i="1"/>
  <c r="P81" i="1"/>
  <c r="S81" i="1" s="1"/>
  <c r="K81" i="1"/>
  <c r="AP80" i="1"/>
  <c r="AJ80" i="1"/>
  <c r="AB80" i="1"/>
  <c r="AA80" i="1"/>
  <c r="W80" i="1"/>
  <c r="T80" i="1"/>
  <c r="R80" i="1"/>
  <c r="P80" i="1"/>
  <c r="K80" i="1"/>
  <c r="AP79" i="1"/>
  <c r="AJ79" i="1"/>
  <c r="AB79" i="1"/>
  <c r="AA79" i="1"/>
  <c r="W79" i="1"/>
  <c r="T79" i="1"/>
  <c r="R79" i="1"/>
  <c r="P79" i="1"/>
  <c r="K79" i="1"/>
  <c r="AP78" i="1"/>
  <c r="AJ78" i="1"/>
  <c r="AB78" i="1"/>
  <c r="AA78" i="1"/>
  <c r="W78" i="1"/>
  <c r="T78" i="1"/>
  <c r="R78" i="1"/>
  <c r="P78" i="1"/>
  <c r="K78" i="1"/>
  <c r="AP77" i="1"/>
  <c r="AJ77" i="1"/>
  <c r="AB77" i="1"/>
  <c r="AA77" i="1"/>
  <c r="W77" i="1"/>
  <c r="T77" i="1"/>
  <c r="R77" i="1"/>
  <c r="P77" i="1"/>
  <c r="S77" i="1" s="1"/>
  <c r="K77" i="1"/>
  <c r="AP76" i="1"/>
  <c r="AJ76" i="1"/>
  <c r="AB76" i="1"/>
  <c r="AA76" i="1"/>
  <c r="W76" i="1"/>
  <c r="T76" i="1"/>
  <c r="R76" i="1"/>
  <c r="P76" i="1"/>
  <c r="K76" i="1"/>
  <c r="AP75" i="1"/>
  <c r="AJ75" i="1"/>
  <c r="AB75" i="1"/>
  <c r="AA75" i="1"/>
  <c r="W75" i="1"/>
  <c r="T75" i="1"/>
  <c r="R75" i="1"/>
  <c r="P75" i="1"/>
  <c r="K75" i="1"/>
  <c r="AP74" i="1"/>
  <c r="AJ74" i="1"/>
  <c r="AB74" i="1"/>
  <c r="AA74" i="1"/>
  <c r="W74" i="1"/>
  <c r="T74" i="1"/>
  <c r="R74" i="1"/>
  <c r="P74" i="1"/>
  <c r="K74" i="1"/>
  <c r="AP73" i="1"/>
  <c r="AJ73" i="1"/>
  <c r="AB73" i="1"/>
  <c r="AA73" i="1"/>
  <c r="W73" i="1"/>
  <c r="T73" i="1"/>
  <c r="R73" i="1"/>
  <c r="P73" i="1"/>
  <c r="S73" i="1" s="1"/>
  <c r="K73" i="1"/>
  <c r="AP72" i="1"/>
  <c r="AJ72" i="1"/>
  <c r="AB72" i="1"/>
  <c r="AA72" i="1"/>
  <c r="W72" i="1"/>
  <c r="T72" i="1"/>
  <c r="R72" i="1"/>
  <c r="P72" i="1"/>
  <c r="K72" i="1"/>
  <c r="AP71" i="1"/>
  <c r="AJ71" i="1"/>
  <c r="AB71" i="1"/>
  <c r="AA71" i="1"/>
  <c r="W71" i="1"/>
  <c r="T71" i="1"/>
  <c r="R71" i="1"/>
  <c r="P71" i="1"/>
  <c r="K71" i="1"/>
  <c r="AP70" i="1"/>
  <c r="AJ70" i="1"/>
  <c r="AB70" i="1"/>
  <c r="AA70" i="1"/>
  <c r="W70" i="1"/>
  <c r="T70" i="1"/>
  <c r="R70" i="1"/>
  <c r="P70" i="1"/>
  <c r="K70" i="1"/>
  <c r="AP69" i="1"/>
  <c r="AJ69" i="1"/>
  <c r="AB69" i="1"/>
  <c r="AA69" i="1"/>
  <c r="W69" i="1"/>
  <c r="T69" i="1"/>
  <c r="R69" i="1"/>
  <c r="P69" i="1"/>
  <c r="S69" i="1" s="1"/>
  <c r="K69" i="1"/>
  <c r="AP68" i="1"/>
  <c r="AJ68" i="1"/>
  <c r="AB68" i="1"/>
  <c r="AA68" i="1"/>
  <c r="W68" i="1"/>
  <c r="T68" i="1"/>
  <c r="R68" i="1"/>
  <c r="P68" i="1"/>
  <c r="K68" i="1"/>
  <c r="AP67" i="1"/>
  <c r="AJ67" i="1"/>
  <c r="AB67" i="1"/>
  <c r="AA67" i="1"/>
  <c r="W67" i="1"/>
  <c r="T67" i="1"/>
  <c r="R67" i="1"/>
  <c r="P67" i="1"/>
  <c r="K67" i="1"/>
  <c r="AP66" i="1"/>
  <c r="AJ66" i="1"/>
  <c r="AB66" i="1"/>
  <c r="AA66" i="1"/>
  <c r="W66" i="1"/>
  <c r="T66" i="1"/>
  <c r="R66" i="1"/>
  <c r="P66" i="1"/>
  <c r="K66" i="1"/>
  <c r="AP65" i="1"/>
  <c r="AJ65" i="1"/>
  <c r="AB65" i="1"/>
  <c r="AA65" i="1"/>
  <c r="W65" i="1"/>
  <c r="T65" i="1"/>
  <c r="R65" i="1"/>
  <c r="P65" i="1"/>
  <c r="S65" i="1" s="1"/>
  <c r="K65" i="1"/>
  <c r="AP64" i="1"/>
  <c r="AJ64" i="1"/>
  <c r="AB64" i="1"/>
  <c r="AA64" i="1"/>
  <c r="W64" i="1"/>
  <c r="T64" i="1"/>
  <c r="R64" i="1"/>
  <c r="P64" i="1"/>
  <c r="K64" i="1"/>
  <c r="AP63" i="1"/>
  <c r="AJ63" i="1"/>
  <c r="AB63" i="1"/>
  <c r="AA63" i="1"/>
  <c r="W63" i="1"/>
  <c r="T63" i="1"/>
  <c r="R63" i="1"/>
  <c r="P63" i="1"/>
  <c r="K63" i="1"/>
  <c r="AP62" i="1"/>
  <c r="AJ62" i="1"/>
  <c r="AB62" i="1"/>
  <c r="AA62" i="1"/>
  <c r="W62" i="1"/>
  <c r="T62" i="1"/>
  <c r="R62" i="1"/>
  <c r="P62" i="1"/>
  <c r="K62" i="1"/>
  <c r="AP61" i="1"/>
  <c r="AJ61" i="1"/>
  <c r="AB61" i="1"/>
  <c r="AA61" i="1"/>
  <c r="W61" i="1"/>
  <c r="T61" i="1"/>
  <c r="R61" i="1"/>
  <c r="P61" i="1"/>
  <c r="S61" i="1" s="1"/>
  <c r="K61" i="1"/>
  <c r="AP60" i="1"/>
  <c r="AJ60" i="1"/>
  <c r="AB60" i="1"/>
  <c r="AA60" i="1"/>
  <c r="W60" i="1"/>
  <c r="T60" i="1"/>
  <c r="R60" i="1"/>
  <c r="P60" i="1"/>
  <c r="K60" i="1"/>
  <c r="AP59" i="1"/>
  <c r="AJ59" i="1"/>
  <c r="AB59" i="1"/>
  <c r="AA59" i="1"/>
  <c r="W59" i="1"/>
  <c r="T59" i="1"/>
  <c r="R59" i="1"/>
  <c r="P59" i="1"/>
  <c r="K59" i="1"/>
  <c r="AP58" i="1"/>
  <c r="AJ58" i="1"/>
  <c r="AB58" i="1"/>
  <c r="AA58" i="1"/>
  <c r="W58" i="1"/>
  <c r="T58" i="1"/>
  <c r="R58" i="1"/>
  <c r="P58" i="1"/>
  <c r="K58" i="1"/>
  <c r="AP57" i="1"/>
  <c r="AJ57" i="1"/>
  <c r="AB57" i="1"/>
  <c r="AA57" i="1"/>
  <c r="W57" i="1"/>
  <c r="T57" i="1"/>
  <c r="R57" i="1"/>
  <c r="P57" i="1"/>
  <c r="S57" i="1" s="1"/>
  <c r="K57" i="1"/>
  <c r="AP56" i="1"/>
  <c r="AJ56" i="1"/>
  <c r="AB56" i="1"/>
  <c r="AA56" i="1"/>
  <c r="W56" i="1"/>
  <c r="T56" i="1"/>
  <c r="R56" i="1"/>
  <c r="P56" i="1"/>
  <c r="K56" i="1"/>
  <c r="AP55" i="1"/>
  <c r="AJ55" i="1"/>
  <c r="AB55" i="1"/>
  <c r="AA55" i="1"/>
  <c r="W55" i="1"/>
  <c r="T55" i="1"/>
  <c r="R55" i="1"/>
  <c r="P55" i="1"/>
  <c r="K55" i="1"/>
  <c r="AP54" i="1"/>
  <c r="AJ54" i="1"/>
  <c r="AB54" i="1"/>
  <c r="AA54" i="1"/>
  <c r="W54" i="1"/>
  <c r="T54" i="1"/>
  <c r="R54" i="1"/>
  <c r="P54" i="1"/>
  <c r="K54" i="1"/>
  <c r="AP53" i="1"/>
  <c r="AJ53" i="1"/>
  <c r="AB53" i="1"/>
  <c r="AA53" i="1"/>
  <c r="W53" i="1"/>
  <c r="T53" i="1"/>
  <c r="R53" i="1"/>
  <c r="P53" i="1"/>
  <c r="S53" i="1" s="1"/>
  <c r="K53" i="1"/>
  <c r="AP52" i="1"/>
  <c r="AJ52" i="1"/>
  <c r="AB52" i="1"/>
  <c r="AA52" i="1"/>
  <c r="W52" i="1"/>
  <c r="T52" i="1"/>
  <c r="R52" i="1"/>
  <c r="P52" i="1"/>
  <c r="K52" i="1"/>
  <c r="AP51" i="1"/>
  <c r="AJ51" i="1"/>
  <c r="AB51" i="1"/>
  <c r="AA51" i="1"/>
  <c r="W51" i="1"/>
  <c r="T51" i="1"/>
  <c r="R51" i="1"/>
  <c r="P51" i="1"/>
  <c r="K51" i="1"/>
  <c r="AP50" i="1"/>
  <c r="AJ50" i="1"/>
  <c r="AB50" i="1"/>
  <c r="AA50" i="1"/>
  <c r="W50" i="1"/>
  <c r="T50" i="1"/>
  <c r="R50" i="1"/>
  <c r="P50" i="1"/>
  <c r="K50" i="1"/>
  <c r="AP49" i="1"/>
  <c r="AJ49" i="1"/>
  <c r="AB49" i="1"/>
  <c r="AA49" i="1"/>
  <c r="W49" i="1"/>
  <c r="T49" i="1"/>
  <c r="R49" i="1"/>
  <c r="P49" i="1"/>
  <c r="S49" i="1" s="1"/>
  <c r="K49" i="1"/>
  <c r="AP48" i="1"/>
  <c r="AJ48" i="1"/>
  <c r="AB48" i="1"/>
  <c r="AA48" i="1"/>
  <c r="W48" i="1"/>
  <c r="T48" i="1"/>
  <c r="R48" i="1"/>
  <c r="P48" i="1"/>
  <c r="K48" i="1"/>
  <c r="AP47" i="1"/>
  <c r="AJ47" i="1"/>
  <c r="AB47" i="1"/>
  <c r="AA47" i="1"/>
  <c r="W47" i="1"/>
  <c r="T47" i="1"/>
  <c r="X47" i="1" s="1"/>
  <c r="R47" i="1"/>
  <c r="P47" i="1"/>
  <c r="K47" i="1"/>
  <c r="AP46" i="1"/>
  <c r="AJ46" i="1"/>
  <c r="AB46" i="1"/>
  <c r="AA46" i="1"/>
  <c r="W46" i="1"/>
  <c r="T46" i="1"/>
  <c r="R46" i="1"/>
  <c r="P46" i="1"/>
  <c r="K46" i="1"/>
  <c r="AP45" i="1"/>
  <c r="AJ45" i="1"/>
  <c r="AB45" i="1"/>
  <c r="AA45" i="1"/>
  <c r="W45" i="1"/>
  <c r="T45" i="1"/>
  <c r="R45" i="1"/>
  <c r="P45" i="1"/>
  <c r="S45" i="1" s="1"/>
  <c r="K45" i="1"/>
  <c r="AP44" i="1"/>
  <c r="AJ44" i="1"/>
  <c r="AB44" i="1"/>
  <c r="AA44" i="1"/>
  <c r="W44" i="1"/>
  <c r="T44" i="1"/>
  <c r="R44" i="1"/>
  <c r="P44" i="1"/>
  <c r="K44" i="1"/>
  <c r="AP43" i="1"/>
  <c r="AJ43" i="1"/>
  <c r="AB43" i="1"/>
  <c r="AA43" i="1"/>
  <c r="W43" i="1"/>
  <c r="T43" i="1"/>
  <c r="R43" i="1"/>
  <c r="P43" i="1"/>
  <c r="K43" i="1"/>
  <c r="AP42" i="1"/>
  <c r="AJ42" i="1"/>
  <c r="AB42" i="1"/>
  <c r="AA42" i="1"/>
  <c r="W42" i="1"/>
  <c r="T42" i="1"/>
  <c r="R42" i="1"/>
  <c r="P42" i="1"/>
  <c r="K42" i="1"/>
  <c r="AP41" i="1"/>
  <c r="AJ41" i="1"/>
  <c r="AB41" i="1"/>
  <c r="AA41" i="1"/>
  <c r="W41" i="1"/>
  <c r="T41" i="1"/>
  <c r="R41" i="1"/>
  <c r="P41" i="1"/>
  <c r="K41" i="1"/>
  <c r="AP40" i="1"/>
  <c r="AJ40" i="1"/>
  <c r="AB40" i="1"/>
  <c r="AA40" i="1"/>
  <c r="W40" i="1"/>
  <c r="T40" i="1"/>
  <c r="R40" i="1"/>
  <c r="P40" i="1"/>
  <c r="K40" i="1"/>
  <c r="AP39" i="1"/>
  <c r="AJ39" i="1"/>
  <c r="AB39" i="1"/>
  <c r="AA39" i="1"/>
  <c r="W39" i="1"/>
  <c r="T39" i="1"/>
  <c r="R39" i="1"/>
  <c r="P39" i="1"/>
  <c r="K39" i="1"/>
  <c r="AP38" i="1"/>
  <c r="AJ38" i="1"/>
  <c r="AB38" i="1"/>
  <c r="AA38" i="1"/>
  <c r="W38" i="1"/>
  <c r="T38" i="1"/>
  <c r="R38" i="1"/>
  <c r="P38" i="1"/>
  <c r="K38" i="1"/>
  <c r="AP37" i="1"/>
  <c r="AJ37" i="1"/>
  <c r="AB37" i="1"/>
  <c r="AA37" i="1"/>
  <c r="W37" i="1"/>
  <c r="T37" i="1"/>
  <c r="R37" i="1"/>
  <c r="P37" i="1"/>
  <c r="K37" i="1"/>
  <c r="AP36" i="1"/>
  <c r="AJ36" i="1"/>
  <c r="AB36" i="1"/>
  <c r="AA36" i="1"/>
  <c r="W36" i="1"/>
  <c r="T36" i="1"/>
  <c r="R36" i="1"/>
  <c r="P36" i="1"/>
  <c r="K36" i="1"/>
  <c r="AP35" i="1"/>
  <c r="AJ35" i="1"/>
  <c r="AB35" i="1"/>
  <c r="AA35" i="1"/>
  <c r="W35" i="1"/>
  <c r="T35" i="1"/>
  <c r="R35" i="1"/>
  <c r="P35" i="1"/>
  <c r="S35" i="1" s="1"/>
  <c r="K35" i="1"/>
  <c r="AP34" i="1"/>
  <c r="AJ34" i="1"/>
  <c r="AB34" i="1"/>
  <c r="AA34" i="1"/>
  <c r="W34" i="1"/>
  <c r="T34" i="1"/>
  <c r="R34" i="1"/>
  <c r="P34" i="1"/>
  <c r="K34" i="1"/>
  <c r="AP33" i="1"/>
  <c r="AJ33" i="1"/>
  <c r="AB33" i="1"/>
  <c r="AA33" i="1"/>
  <c r="W33" i="1"/>
  <c r="T33" i="1"/>
  <c r="R33" i="1"/>
  <c r="P33" i="1"/>
  <c r="K33" i="1"/>
  <c r="AP32" i="1"/>
  <c r="AJ32" i="1"/>
  <c r="AB32" i="1"/>
  <c r="AA32" i="1"/>
  <c r="W32" i="1"/>
  <c r="T32" i="1"/>
  <c r="R32" i="1"/>
  <c r="P32" i="1"/>
  <c r="K32" i="1"/>
  <c r="AP31" i="1"/>
  <c r="AJ31" i="1"/>
  <c r="AB31" i="1"/>
  <c r="AA31" i="1"/>
  <c r="W31" i="1"/>
  <c r="T31" i="1"/>
  <c r="R31" i="1"/>
  <c r="P31" i="1"/>
  <c r="S31" i="1" s="1"/>
  <c r="K31" i="1"/>
  <c r="AP30" i="1"/>
  <c r="AJ30" i="1"/>
  <c r="AB30" i="1"/>
  <c r="AA30" i="1"/>
  <c r="W30" i="1"/>
  <c r="T30" i="1"/>
  <c r="R30" i="1"/>
  <c r="P30" i="1"/>
  <c r="K30" i="1"/>
  <c r="AP29" i="1"/>
  <c r="AJ29" i="1"/>
  <c r="AB29" i="1"/>
  <c r="AA29" i="1"/>
  <c r="W29" i="1"/>
  <c r="T29" i="1"/>
  <c r="R29" i="1"/>
  <c r="P29" i="1"/>
  <c r="K29" i="1"/>
  <c r="AP28" i="1"/>
  <c r="AJ28" i="1"/>
  <c r="AB28" i="1"/>
  <c r="AA28" i="1"/>
  <c r="W28" i="1"/>
  <c r="T28" i="1"/>
  <c r="R28" i="1"/>
  <c r="P28" i="1"/>
  <c r="K28" i="1"/>
  <c r="AP27" i="1"/>
  <c r="AJ27" i="1"/>
  <c r="AB27" i="1"/>
  <c r="AA27" i="1"/>
  <c r="W27" i="1"/>
  <c r="T27" i="1"/>
  <c r="R27" i="1"/>
  <c r="P27" i="1"/>
  <c r="K27" i="1"/>
  <c r="AP26" i="1"/>
  <c r="AJ26" i="1"/>
  <c r="AB26" i="1"/>
  <c r="AA26" i="1"/>
  <c r="W26" i="1"/>
  <c r="T26" i="1"/>
  <c r="R26" i="1"/>
  <c r="P26" i="1"/>
  <c r="K26" i="1"/>
  <c r="AP25" i="1"/>
  <c r="AJ25" i="1"/>
  <c r="AB25" i="1"/>
  <c r="AA25" i="1"/>
  <c r="W25" i="1"/>
  <c r="T25" i="1"/>
  <c r="R25" i="1"/>
  <c r="P25" i="1"/>
  <c r="K25" i="1"/>
  <c r="AP24" i="1"/>
  <c r="AJ24" i="1"/>
  <c r="AB24" i="1"/>
  <c r="AA24" i="1"/>
  <c r="W24" i="1"/>
  <c r="T24" i="1"/>
  <c r="R24" i="1"/>
  <c r="P24" i="1"/>
  <c r="K24" i="1"/>
  <c r="AP23" i="1"/>
  <c r="AJ23" i="1"/>
  <c r="AB23" i="1"/>
  <c r="AA23" i="1"/>
  <c r="W23" i="1"/>
  <c r="T23" i="1"/>
  <c r="R23" i="1"/>
  <c r="P23" i="1"/>
  <c r="K23" i="1"/>
  <c r="AP22" i="1"/>
  <c r="AJ22" i="1"/>
  <c r="AB22" i="1"/>
  <c r="AA22" i="1"/>
  <c r="W22" i="1"/>
  <c r="T22" i="1"/>
  <c r="R22" i="1"/>
  <c r="P22" i="1"/>
  <c r="K22" i="1"/>
  <c r="AP21" i="1"/>
  <c r="AJ21" i="1"/>
  <c r="AB21" i="1"/>
  <c r="AA21" i="1"/>
  <c r="W21" i="1"/>
  <c r="T21" i="1"/>
  <c r="R21" i="1"/>
  <c r="P21" i="1"/>
  <c r="K21" i="1"/>
  <c r="AP20" i="1"/>
  <c r="AJ20" i="1"/>
  <c r="AB20" i="1"/>
  <c r="AA20" i="1"/>
  <c r="W20" i="1"/>
  <c r="T20" i="1"/>
  <c r="R20" i="1"/>
  <c r="P20" i="1"/>
  <c r="K20" i="1"/>
  <c r="AP19" i="1"/>
  <c r="AJ19" i="1"/>
  <c r="AB19" i="1"/>
  <c r="AA19" i="1"/>
  <c r="W19" i="1"/>
  <c r="T19" i="1"/>
  <c r="R19" i="1"/>
  <c r="P19" i="1"/>
  <c r="K19" i="1"/>
  <c r="AP18" i="1"/>
  <c r="AJ18" i="1"/>
  <c r="AB18" i="1"/>
  <c r="AA18" i="1"/>
  <c r="W18" i="1"/>
  <c r="T18" i="1"/>
  <c r="R18" i="1"/>
  <c r="P18" i="1"/>
  <c r="K18" i="1"/>
  <c r="AP17" i="1"/>
  <c r="AJ17" i="1"/>
  <c r="AB17" i="1"/>
  <c r="AA17" i="1"/>
  <c r="W17" i="1"/>
  <c r="T17" i="1"/>
  <c r="R17" i="1"/>
  <c r="P17" i="1"/>
  <c r="K17" i="1"/>
  <c r="AP16" i="1"/>
  <c r="AJ16" i="1"/>
  <c r="AB16" i="1"/>
  <c r="AA16" i="1"/>
  <c r="W16" i="1"/>
  <c r="T16" i="1"/>
  <c r="R16" i="1"/>
  <c r="P16" i="1"/>
  <c r="K16" i="1"/>
  <c r="AP15" i="1"/>
  <c r="AJ15" i="1"/>
  <c r="AB15" i="1"/>
  <c r="AA15" i="1"/>
  <c r="W15" i="1"/>
  <c r="T15" i="1"/>
  <c r="R15" i="1"/>
  <c r="P15" i="1"/>
  <c r="K15" i="1"/>
  <c r="AP14" i="1"/>
  <c r="AJ14" i="1"/>
  <c r="AB14" i="1"/>
  <c r="AA14" i="1"/>
  <c r="W14" i="1"/>
  <c r="T14" i="1"/>
  <c r="R14" i="1"/>
  <c r="P14" i="1"/>
  <c r="K14" i="1"/>
  <c r="AP13" i="1"/>
  <c r="AJ13" i="1"/>
  <c r="AB13" i="1"/>
  <c r="AA13" i="1"/>
  <c r="W13" i="1"/>
  <c r="T13" i="1"/>
  <c r="R13" i="1"/>
  <c r="P13" i="1"/>
  <c r="K13" i="1"/>
  <c r="AP12" i="1"/>
  <c r="AJ12" i="1"/>
  <c r="AB12" i="1"/>
  <c r="AA12" i="1"/>
  <c r="W12" i="1"/>
  <c r="T12" i="1"/>
  <c r="R12" i="1"/>
  <c r="P12" i="1"/>
  <c r="K12" i="1"/>
  <c r="AP11" i="1"/>
  <c r="AJ11" i="1"/>
  <c r="AB11" i="1"/>
  <c r="AA11" i="1"/>
  <c r="W11" i="1"/>
  <c r="T11" i="1"/>
  <c r="R11" i="1"/>
  <c r="P11" i="1"/>
  <c r="K11" i="1"/>
  <c r="AP10" i="1"/>
  <c r="AJ10" i="1"/>
  <c r="AB10" i="1"/>
  <c r="AA10" i="1"/>
  <c r="W10" i="1"/>
  <c r="T10" i="1"/>
  <c r="R10" i="1"/>
  <c r="P10" i="1"/>
  <c r="K10" i="1"/>
  <c r="AP9" i="1"/>
  <c r="AJ9" i="1"/>
  <c r="AB9" i="1"/>
  <c r="AA9" i="1"/>
  <c r="W9" i="1"/>
  <c r="T9" i="1"/>
  <c r="R9" i="1"/>
  <c r="P9" i="1"/>
  <c r="K9" i="1"/>
  <c r="AP8" i="1"/>
  <c r="AJ8" i="1"/>
  <c r="AB8" i="1"/>
  <c r="AA8" i="1"/>
  <c r="W8" i="1"/>
  <c r="T8" i="1"/>
  <c r="R8" i="1"/>
  <c r="P8" i="1"/>
  <c r="S8" i="1" s="1"/>
  <c r="K8" i="1"/>
  <c r="AP7" i="1"/>
  <c r="AJ7" i="1"/>
  <c r="AB7" i="1"/>
  <c r="AA7" i="1"/>
  <c r="W7" i="1"/>
  <c r="T7" i="1"/>
  <c r="R7" i="1"/>
  <c r="P7" i="1"/>
  <c r="K7" i="1"/>
  <c r="AP6" i="1"/>
  <c r="AJ6" i="1"/>
  <c r="AB6" i="1"/>
  <c r="AA6" i="1"/>
  <c r="W6" i="1"/>
  <c r="T6" i="1"/>
  <c r="R6" i="1"/>
  <c r="P6" i="1"/>
  <c r="K6" i="1"/>
  <c r="AP5" i="1"/>
  <c r="AJ5" i="1"/>
  <c r="AB5" i="1"/>
  <c r="AA5" i="1"/>
  <c r="W5" i="1"/>
  <c r="T5" i="1"/>
  <c r="R5" i="1"/>
  <c r="P5" i="1"/>
  <c r="K5" i="1"/>
  <c r="AP4" i="1"/>
  <c r="AJ4" i="1"/>
  <c r="AB4" i="1"/>
  <c r="AA4" i="1"/>
  <c r="W4" i="1"/>
  <c r="T4" i="1"/>
  <c r="R4" i="1"/>
  <c r="P4" i="1"/>
  <c r="S4" i="1" s="1"/>
  <c r="K4" i="1"/>
  <c r="AP3" i="1"/>
  <c r="AJ3" i="1"/>
  <c r="AA3" i="1"/>
  <c r="W3" i="1"/>
  <c r="T3" i="1"/>
  <c r="R3" i="1"/>
  <c r="P3" i="1"/>
  <c r="S3" i="1" s="1"/>
  <c r="K3" i="1"/>
  <c r="W2" i="1"/>
  <c r="T2" i="1"/>
  <c r="R2" i="1"/>
  <c r="P2" i="1"/>
  <c r="K2" i="1"/>
  <c r="S201" i="1" l="1"/>
  <c r="S205" i="1"/>
  <c r="S209" i="1"/>
  <c r="S213" i="1"/>
  <c r="S217" i="1"/>
  <c r="S221" i="1"/>
  <c r="S277" i="1"/>
  <c r="S289" i="1"/>
  <c r="S293" i="1"/>
  <c r="S360" i="1"/>
  <c r="S362" i="1"/>
  <c r="S364" i="1"/>
  <c r="S39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99" i="1"/>
  <c r="S303" i="1"/>
  <c r="X285" i="1"/>
  <c r="X293" i="1"/>
  <c r="S300" i="1"/>
  <c r="S311" i="1"/>
  <c r="S315" i="1"/>
  <c r="S318" i="1"/>
  <c r="X319" i="1"/>
  <c r="S321" i="1"/>
  <c r="S336" i="1"/>
  <c r="X337" i="1"/>
  <c r="S338" i="1"/>
  <c r="X354" i="1"/>
  <c r="X358" i="1"/>
  <c r="S361" i="1"/>
  <c r="X362" i="1"/>
  <c r="X42" i="1"/>
  <c r="X46" i="1"/>
  <c r="X50" i="1"/>
  <c r="X54" i="1"/>
  <c r="X58" i="1"/>
  <c r="X62" i="1"/>
  <c r="X66" i="1"/>
  <c r="X70" i="1"/>
  <c r="X74" i="1"/>
  <c r="X78" i="1"/>
  <c r="X82" i="1"/>
  <c r="X86" i="1"/>
  <c r="S89" i="1"/>
  <c r="X90" i="1"/>
  <c r="S93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X274" i="1"/>
  <c r="X278" i="1"/>
  <c r="X2" i="1"/>
  <c r="S6" i="1"/>
  <c r="S114" i="1"/>
  <c r="S118" i="1"/>
  <c r="S122" i="1"/>
  <c r="S126" i="1"/>
  <c r="S130" i="1"/>
  <c r="S134" i="1"/>
  <c r="X196" i="1"/>
  <c r="S274" i="1"/>
  <c r="S282" i="1"/>
  <c r="S286" i="1"/>
  <c r="X299" i="1"/>
  <c r="S301" i="1"/>
  <c r="S302" i="1"/>
  <c r="S305" i="1"/>
  <c r="S309" i="1"/>
  <c r="X344" i="1"/>
  <c r="X349" i="1"/>
  <c r="AJ367" i="1"/>
  <c r="S5" i="1"/>
  <c r="S9" i="1"/>
  <c r="S7" i="1"/>
  <c r="S11" i="1"/>
  <c r="X31" i="1"/>
  <c r="X35" i="1"/>
  <c r="X39" i="1"/>
  <c r="S197" i="1"/>
  <c r="X279" i="1"/>
  <c r="S43" i="1"/>
  <c r="S47" i="1"/>
  <c r="X49" i="1"/>
  <c r="S51" i="1"/>
  <c r="X52" i="1"/>
  <c r="S55" i="1"/>
  <c r="X56" i="1"/>
  <c r="S59" i="1"/>
  <c r="X60" i="1"/>
  <c r="S63" i="1"/>
  <c r="X64" i="1"/>
  <c r="S67" i="1"/>
  <c r="X68" i="1"/>
  <c r="S71" i="1"/>
  <c r="X72" i="1"/>
  <c r="S75" i="1"/>
  <c r="X76" i="1"/>
  <c r="S79" i="1"/>
  <c r="X80" i="1"/>
  <c r="S83" i="1"/>
  <c r="X84" i="1"/>
  <c r="S87" i="1"/>
  <c r="X88" i="1"/>
  <c r="S91" i="1"/>
  <c r="X92" i="1"/>
  <c r="S95" i="1"/>
  <c r="X96" i="1"/>
  <c r="S99" i="1"/>
  <c r="X100" i="1"/>
  <c r="S103" i="1"/>
  <c r="X104" i="1"/>
  <c r="S107" i="1"/>
  <c r="X108" i="1"/>
  <c r="S111" i="1"/>
  <c r="X112" i="1"/>
  <c r="S115" i="1"/>
  <c r="S119" i="1"/>
  <c r="S123" i="1"/>
  <c r="S127" i="1"/>
  <c r="S131" i="1"/>
  <c r="S135" i="1"/>
  <c r="X136" i="1"/>
  <c r="S139" i="1"/>
  <c r="X140" i="1"/>
  <c r="S143" i="1"/>
  <c r="X144" i="1"/>
  <c r="S147" i="1"/>
  <c r="X148" i="1"/>
  <c r="S151" i="1"/>
  <c r="X152" i="1"/>
  <c r="S155" i="1"/>
  <c r="X156" i="1"/>
  <c r="S159" i="1"/>
  <c r="X161" i="1"/>
  <c r="S163" i="1"/>
  <c r="X165" i="1"/>
  <c r="S167" i="1"/>
  <c r="X168" i="1"/>
  <c r="S171" i="1"/>
  <c r="X172" i="1"/>
  <c r="X173" i="1"/>
  <c r="S175" i="1"/>
  <c r="X177" i="1"/>
  <c r="S179" i="1"/>
  <c r="X181" i="1"/>
  <c r="S183" i="1"/>
  <c r="X185" i="1"/>
  <c r="S187" i="1"/>
  <c r="X189" i="1"/>
  <c r="S191" i="1"/>
  <c r="X193" i="1"/>
  <c r="S195" i="1"/>
  <c r="S202" i="1"/>
  <c r="S295" i="1"/>
  <c r="X296" i="1"/>
  <c r="X300" i="1"/>
  <c r="X365" i="1"/>
  <c r="X312" i="1"/>
  <c r="X322" i="1"/>
  <c r="S337" i="1"/>
  <c r="X338" i="1"/>
  <c r="S341" i="1"/>
  <c r="X34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X276" i="1"/>
  <c r="S278" i="1"/>
  <c r="X280" i="1"/>
  <c r="X283" i="1"/>
  <c r="S285" i="1"/>
  <c r="X291" i="1"/>
  <c r="X294" i="1"/>
  <c r="X297" i="1"/>
  <c r="X307" i="1"/>
  <c r="S340" i="1"/>
  <c r="S342" i="1"/>
  <c r="S349" i="1"/>
  <c r="X352" i="1"/>
  <c r="S359" i="1"/>
  <c r="X94" i="1"/>
  <c r="S97" i="1"/>
  <c r="X98" i="1"/>
  <c r="S101" i="1"/>
  <c r="X102" i="1"/>
  <c r="S105" i="1"/>
  <c r="X106" i="1"/>
  <c r="S109" i="1"/>
  <c r="X110" i="1"/>
  <c r="S113" i="1"/>
  <c r="S117" i="1"/>
  <c r="S121" i="1"/>
  <c r="S125" i="1"/>
  <c r="S129" i="1"/>
  <c r="S133" i="1"/>
  <c r="S137" i="1"/>
  <c r="X138" i="1"/>
  <c r="S141" i="1"/>
  <c r="X142" i="1"/>
  <c r="S145" i="1"/>
  <c r="X146" i="1"/>
  <c r="S149" i="1"/>
  <c r="X150" i="1"/>
  <c r="S153" i="1"/>
  <c r="X154" i="1"/>
  <c r="S157" i="1"/>
  <c r="X159" i="1"/>
  <c r="S161" i="1"/>
  <c r="X163" i="1"/>
  <c r="S165" i="1"/>
  <c r="S169" i="1"/>
  <c r="X170" i="1"/>
  <c r="S173" i="1"/>
  <c r="X175" i="1"/>
  <c r="S177" i="1"/>
  <c r="X179" i="1"/>
  <c r="S181" i="1"/>
  <c r="X183" i="1"/>
  <c r="S185" i="1"/>
  <c r="X187" i="1"/>
  <c r="S189" i="1"/>
  <c r="X191" i="1"/>
  <c r="S193" i="1"/>
  <c r="S196" i="1"/>
  <c r="X277" i="1"/>
  <c r="X281" i="1"/>
  <c r="X288" i="1"/>
  <c r="S291" i="1"/>
  <c r="X292" i="1"/>
  <c r="S294" i="1"/>
  <c r="S297" i="1"/>
  <c r="S307" i="1"/>
  <c r="X308" i="1"/>
  <c r="S310" i="1"/>
  <c r="X311" i="1"/>
  <c r="S313" i="1"/>
  <c r="S323" i="1"/>
  <c r="S327" i="1"/>
  <c r="S331" i="1"/>
  <c r="S335" i="1"/>
  <c r="S348" i="1"/>
  <c r="X360" i="1"/>
  <c r="X6" i="1"/>
  <c r="X10" i="1"/>
  <c r="X20" i="1"/>
  <c r="X24" i="1"/>
  <c r="X341" i="1"/>
  <c r="X4" i="1"/>
  <c r="X12" i="1"/>
  <c r="X16" i="1"/>
  <c r="X22" i="1"/>
  <c r="X36" i="1"/>
  <c r="X29" i="1"/>
  <c r="X33" i="1"/>
  <c r="X357" i="1"/>
  <c r="X8" i="1"/>
  <c r="X14" i="1"/>
  <c r="X18" i="1"/>
  <c r="X26" i="1"/>
  <c r="X32" i="1"/>
  <c r="X40" i="1"/>
  <c r="X37" i="1"/>
  <c r="X3" i="1"/>
  <c r="X5" i="1"/>
  <c r="X7" i="1"/>
  <c r="X9" i="1"/>
  <c r="X11" i="1"/>
  <c r="X13" i="1"/>
  <c r="X15" i="1"/>
  <c r="X17" i="1"/>
  <c r="X19" i="1"/>
  <c r="X21" i="1"/>
  <c r="X23" i="1"/>
  <c r="X25" i="1"/>
  <c r="X27" i="1"/>
  <c r="S29" i="1"/>
  <c r="X30" i="1"/>
  <c r="S33" i="1"/>
  <c r="X34" i="1"/>
  <c r="S37" i="1"/>
  <c r="X38" i="1"/>
  <c r="S41" i="1"/>
  <c r="X41" i="1"/>
  <c r="X45" i="1"/>
  <c r="X53" i="1"/>
  <c r="X57" i="1"/>
  <c r="X61" i="1"/>
  <c r="X65" i="1"/>
  <c r="X69" i="1"/>
  <c r="X73" i="1"/>
  <c r="X77" i="1"/>
  <c r="X81" i="1"/>
  <c r="X85" i="1"/>
  <c r="X89" i="1"/>
  <c r="X93" i="1"/>
  <c r="X97" i="1"/>
  <c r="X101" i="1"/>
  <c r="X105" i="1"/>
  <c r="X109" i="1"/>
  <c r="X113" i="1"/>
  <c r="X115" i="1"/>
  <c r="X117" i="1"/>
  <c r="X119" i="1"/>
  <c r="X121" i="1"/>
  <c r="X123" i="1"/>
  <c r="X125" i="1"/>
  <c r="X127" i="1"/>
  <c r="X129" i="1"/>
  <c r="X131" i="1"/>
  <c r="X133" i="1"/>
  <c r="X135" i="1"/>
  <c r="X139" i="1"/>
  <c r="X143" i="1"/>
  <c r="X147" i="1"/>
  <c r="X151" i="1"/>
  <c r="X155" i="1"/>
  <c r="X160" i="1"/>
  <c r="X164" i="1"/>
  <c r="X167" i="1"/>
  <c r="X171" i="1"/>
  <c r="X176" i="1"/>
  <c r="X180" i="1"/>
  <c r="X184" i="1"/>
  <c r="X188" i="1"/>
  <c r="X192" i="1"/>
  <c r="X246" i="1"/>
  <c r="X250" i="1"/>
  <c r="X254" i="1"/>
  <c r="X258" i="1"/>
  <c r="X262" i="1"/>
  <c r="X266" i="1"/>
  <c r="X270" i="1"/>
  <c r="X275" i="1"/>
  <c r="S281" i="1"/>
  <c r="X284" i="1"/>
  <c r="X287" i="1"/>
  <c r="X290" i="1"/>
  <c r="S292" i="1"/>
  <c r="X295" i="1"/>
  <c r="X298" i="1"/>
  <c r="X303" i="1"/>
  <c r="X306" i="1"/>
  <c r="X320" i="1"/>
  <c r="S324" i="1"/>
  <c r="X336" i="1"/>
  <c r="X350" i="1"/>
  <c r="S356" i="1"/>
  <c r="S225" i="1"/>
  <c r="S229" i="1"/>
  <c r="S233" i="1"/>
  <c r="S237" i="1"/>
  <c r="S241" i="1"/>
  <c r="S245" i="1"/>
  <c r="X247" i="1"/>
  <c r="S249" i="1"/>
  <c r="X251" i="1"/>
  <c r="S253" i="1"/>
  <c r="X255" i="1"/>
  <c r="S257" i="1"/>
  <c r="X259" i="1"/>
  <c r="S261" i="1"/>
  <c r="X263" i="1"/>
  <c r="S265" i="1"/>
  <c r="X267" i="1"/>
  <c r="S269" i="1"/>
  <c r="X271" i="1"/>
  <c r="S273" i="1"/>
  <c r="S284" i="1"/>
  <c r="S287" i="1"/>
  <c r="S290" i="1"/>
  <c r="S298" i="1"/>
  <c r="X301" i="1"/>
  <c r="X304" i="1"/>
  <c r="S306" i="1"/>
  <c r="X309" i="1"/>
  <c r="X310" i="1"/>
  <c r="S314" i="1"/>
  <c r="X315" i="1"/>
  <c r="X318" i="1"/>
  <c r="S322" i="1"/>
  <c r="X323" i="1"/>
  <c r="S325" i="1"/>
  <c r="S329" i="1"/>
  <c r="S333" i="1"/>
  <c r="S339" i="1"/>
  <c r="X340" i="1"/>
  <c r="X346" i="1"/>
  <c r="S347" i="1"/>
  <c r="S350" i="1"/>
  <c r="X356" i="1"/>
  <c r="X43" i="1"/>
  <c r="X44" i="1"/>
  <c r="X48" i="1"/>
  <c r="X51" i="1"/>
  <c r="X55" i="1"/>
  <c r="X59" i="1"/>
  <c r="X63" i="1"/>
  <c r="X67" i="1"/>
  <c r="X71" i="1"/>
  <c r="X75" i="1"/>
  <c r="X79" i="1"/>
  <c r="X83" i="1"/>
  <c r="X87" i="1"/>
  <c r="X91" i="1"/>
  <c r="X95" i="1"/>
  <c r="X99" i="1"/>
  <c r="X103" i="1"/>
  <c r="X107" i="1"/>
  <c r="X111" i="1"/>
  <c r="X114" i="1"/>
  <c r="X116" i="1"/>
  <c r="X118" i="1"/>
  <c r="X120" i="1"/>
  <c r="X122" i="1"/>
  <c r="X124" i="1"/>
  <c r="X126" i="1"/>
  <c r="X128" i="1"/>
  <c r="X130" i="1"/>
  <c r="X132" i="1"/>
  <c r="X134" i="1"/>
  <c r="X137" i="1"/>
  <c r="X141" i="1"/>
  <c r="X145" i="1"/>
  <c r="X149" i="1"/>
  <c r="X153" i="1"/>
  <c r="X157" i="1"/>
  <c r="X158" i="1"/>
  <c r="X162" i="1"/>
  <c r="X166" i="1"/>
  <c r="X169" i="1"/>
  <c r="X174" i="1"/>
  <c r="X178" i="1"/>
  <c r="X182" i="1"/>
  <c r="X186" i="1"/>
  <c r="X190" i="1"/>
  <c r="X194" i="1"/>
  <c r="S198" i="1"/>
  <c r="X244" i="1"/>
  <c r="X248" i="1"/>
  <c r="X252" i="1"/>
  <c r="X256" i="1"/>
  <c r="X260" i="1"/>
  <c r="X264" i="1"/>
  <c r="X268" i="1"/>
  <c r="X272" i="1"/>
  <c r="S276" i="1"/>
  <c r="S279" i="1"/>
  <c r="S296" i="1"/>
  <c r="S304" i="1"/>
  <c r="S312" i="1"/>
  <c r="X313" i="1"/>
  <c r="X316" i="1"/>
  <c r="S320" i="1"/>
  <c r="X321" i="1"/>
  <c r="X324" i="1"/>
  <c r="X348" i="1"/>
  <c r="S352" i="1"/>
  <c r="X364" i="1"/>
  <c r="S10" i="1"/>
  <c r="S2" i="1"/>
  <c r="S12" i="1"/>
  <c r="S14" i="1"/>
  <c r="S16" i="1"/>
  <c r="S18" i="1"/>
  <c r="S20" i="1"/>
  <c r="S22" i="1"/>
  <c r="S24" i="1"/>
  <c r="S26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38" i="1"/>
  <c r="S142" i="1"/>
  <c r="S146" i="1"/>
  <c r="S150" i="1"/>
  <c r="S154" i="1"/>
  <c r="S158" i="1"/>
  <c r="S162" i="1"/>
  <c r="S166" i="1"/>
  <c r="S170" i="1"/>
  <c r="S174" i="1"/>
  <c r="S178" i="1"/>
  <c r="S182" i="1"/>
  <c r="S186" i="1"/>
  <c r="S190" i="1"/>
  <c r="S194" i="1"/>
  <c r="S283" i="1"/>
  <c r="S288" i="1"/>
  <c r="S328" i="1"/>
  <c r="S332" i="1"/>
  <c r="S343" i="1"/>
  <c r="S346" i="1"/>
  <c r="S353" i="1"/>
  <c r="S355" i="1"/>
  <c r="S358" i="1"/>
  <c r="S365" i="1"/>
  <c r="S13" i="1"/>
  <c r="S15" i="1"/>
  <c r="S17" i="1"/>
  <c r="S19" i="1"/>
  <c r="S21" i="1"/>
  <c r="S23" i="1"/>
  <c r="S25" i="1"/>
  <c r="S27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36" i="1"/>
  <c r="S140" i="1"/>
  <c r="S144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275" i="1"/>
  <c r="S280" i="1"/>
  <c r="S326" i="1"/>
  <c r="S330" i="1"/>
  <c r="S334" i="1"/>
  <c r="S345" i="1"/>
  <c r="S351" i="1"/>
  <c r="S354" i="1"/>
  <c r="S357" i="1"/>
  <c r="S363" i="1"/>
  <c r="S366" i="1"/>
  <c r="X28" i="1"/>
  <c r="X195" i="1"/>
  <c r="X198" i="1"/>
  <c r="X200" i="1"/>
  <c r="X202" i="1"/>
  <c r="X204" i="1"/>
  <c r="X206" i="1"/>
  <c r="X208" i="1"/>
  <c r="X210" i="1"/>
  <c r="X212" i="1"/>
  <c r="X214" i="1"/>
  <c r="X216" i="1"/>
  <c r="X218" i="1"/>
  <c r="X220" i="1"/>
  <c r="X222" i="1"/>
  <c r="X224" i="1"/>
  <c r="X226" i="1"/>
  <c r="X228" i="1"/>
  <c r="X230" i="1"/>
  <c r="X232" i="1"/>
  <c r="X234" i="1"/>
  <c r="X236" i="1"/>
  <c r="X238" i="1"/>
  <c r="X240" i="1"/>
  <c r="X242" i="1"/>
  <c r="X199" i="1"/>
  <c r="X201" i="1"/>
  <c r="X203" i="1"/>
  <c r="X205" i="1"/>
  <c r="X207" i="1"/>
  <c r="X209" i="1"/>
  <c r="X211" i="1"/>
  <c r="X213" i="1"/>
  <c r="X215" i="1"/>
  <c r="X217" i="1"/>
  <c r="X219" i="1"/>
  <c r="X221" i="1"/>
  <c r="X223" i="1"/>
  <c r="X225" i="1"/>
  <c r="X227" i="1"/>
  <c r="X229" i="1"/>
  <c r="X231" i="1"/>
  <c r="X233" i="1"/>
  <c r="X235" i="1"/>
  <c r="X237" i="1"/>
  <c r="X239" i="1"/>
  <c r="X241" i="1"/>
  <c r="X243" i="1"/>
  <c r="X328" i="1"/>
  <c r="X332" i="1"/>
  <c r="X347" i="1"/>
  <c r="X363" i="1"/>
  <c r="X325" i="1"/>
  <c r="X329" i="1"/>
  <c r="X333" i="1"/>
  <c r="X343" i="1"/>
  <c r="X359" i="1"/>
  <c r="X326" i="1"/>
  <c r="X330" i="1"/>
  <c r="X334" i="1"/>
  <c r="X339" i="1"/>
  <c r="X355" i="1"/>
  <c r="X289" i="1"/>
  <c r="X327" i="1"/>
  <c r="X331" i="1"/>
  <c r="X335" i="1"/>
  <c r="X351" i="1"/>
</calcChain>
</file>

<file path=xl/sharedStrings.xml><?xml version="1.0" encoding="utf-8"?>
<sst xmlns="http://schemas.openxmlformats.org/spreadsheetml/2006/main" count="252" uniqueCount="42">
  <si>
    <t xml:space="preserve"> اليوم</t>
  </si>
  <si>
    <t>(A/B TOT) AJD</t>
  </si>
  <si>
    <t>(A/S TOT) AJD</t>
  </si>
  <si>
    <t>(A/B + A/S) AJD</t>
  </si>
  <si>
    <t>(RES. LEVEL) AJD</t>
  </si>
  <si>
    <t>(RESV. STORGE) AJD</t>
  </si>
  <si>
    <t>(STORGE DIFF.) AJD</t>
  </si>
  <si>
    <t>البخر  AJD</t>
  </si>
  <si>
    <t>(S/S TOT) AJD</t>
  </si>
  <si>
    <t>الفرق بين بداية ونهاية خط  S/S</t>
  </si>
  <si>
    <t>(T/B TOT) AJD</t>
  </si>
  <si>
    <t>الفرق بين بداية ونهاية خط  T/B</t>
  </si>
  <si>
    <t>( S/S+T/B) AJD</t>
  </si>
  <si>
    <t>(IN - OUT) AJD</t>
  </si>
  <si>
    <t>آبار منتجة TAZ</t>
  </si>
  <si>
    <t>الانتاج 1000 (م3) TAZ</t>
  </si>
  <si>
    <t>آبار عاملة TAZ</t>
  </si>
  <si>
    <t>آبار احتياطية</t>
  </si>
  <si>
    <t>آبار منتجة SAR</t>
  </si>
  <si>
    <t>إنتاج آبار  SAR</t>
  </si>
  <si>
    <t>آبار احتياطية  SAR</t>
  </si>
  <si>
    <t>خط (T/B  TOT) SAR</t>
  </si>
  <si>
    <t>خط (S/S  TOT) SAR2</t>
  </si>
  <si>
    <t>(S/S+TB)SAR</t>
  </si>
  <si>
    <t>خط TAZ/SAR</t>
  </si>
  <si>
    <t xml:space="preserve"> % ECV SAR</t>
  </si>
  <si>
    <t>الضغط ECV (bar) SAR</t>
  </si>
  <si>
    <t>الفرق بين السرير و اجدابيا (الإستهلاك)</t>
  </si>
  <si>
    <t>الفاقد في خزان اجدابيا</t>
  </si>
  <si>
    <t>BER_ IN</t>
  </si>
  <si>
    <t>(RES. LEVEL) BER</t>
  </si>
  <si>
    <t xml:space="preserve"> (RESV. STORGE) BER</t>
  </si>
  <si>
    <t>البخر  BER</t>
  </si>
  <si>
    <t xml:space="preserve"> إستهلاك AJD(A/B) - BER.IN</t>
  </si>
  <si>
    <t>SER_ IN</t>
  </si>
  <si>
    <t xml:space="preserve">(RES. LEVEL) SER </t>
  </si>
  <si>
    <t xml:space="preserve"> (RESV. STORGE) SER</t>
  </si>
  <si>
    <t>البخر  SER</t>
  </si>
  <si>
    <t>إستهلاك AJD(A/S) - SER.IN</t>
  </si>
  <si>
    <t>AJD المخزون * 10</t>
  </si>
  <si>
    <t>BER المخزون * 10</t>
  </si>
  <si>
    <t>SER المخزون *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</si>
</sst>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yyyy/mm/dd;@"/>
    <numFmt numFmtId="165" formatCode="#,##0.000"/>
    <numFmt numFmtId="166" formatCode="0.000"/>
    <numFmt numFmtId="167" formatCode="0.0"/>
  </numFmts>
  <fonts count="18" x14ac:knownFonts="1">
    <font>
      <sz val="11"/>
      <color theme="1"/>
      <name val="Arial"/>
      <family val="2"/>
      <charset val="178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11"/>
      <name val="Arial"/>
      <family val="2"/>
      <scheme val="minor"/>
    </font>
    <font>
      <b/>
      <sz val="7"/>
      <name val="Arial"/>
      <family val="2"/>
      <scheme val="minor"/>
    </font>
    <font>
      <b/>
      <sz val="12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3" tint="-0.249977111117893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Times New Roman"/>
      <family val="2"/>
      <scheme val="major"/>
    </font>
    <font>
      <b/>
      <sz val="14"/>
      <color rgb="FFFF0000"/>
      <name val="Times New Roman"/>
      <family val="2"/>
      <scheme val="major"/>
    </font>
    <font>
      <b/>
      <sz val="11"/>
      <color theme="0"/>
      <name val="Arial"/>
      <family val="2"/>
      <charset val="178"/>
      <scheme val="minor"/>
    </font>
    <font>
      <b/>
      <sz val="14"/>
      <name val="Times New Roman"/>
      <family val="2"/>
      <scheme val="major"/>
    </font>
    <font>
      <sz val="8"/>
      <name val="Arial"/>
      <family val="2"/>
      <charset val="17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F9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5" fillId="11" borderId="11" applyNumberFormat="0" applyAlignment="0" applyProtection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readingOrder="1"/>
    </xf>
    <xf numFmtId="3" fontId="4" fillId="0" borderId="1" xfId="1" applyNumberFormat="1" applyFont="1" applyBorder="1" applyAlignment="1">
      <alignment horizontal="center" vertical="center" readingOrder="1"/>
    </xf>
    <xf numFmtId="165" fontId="4" fillId="0" borderId="1" xfId="1" applyNumberFormat="1" applyFont="1" applyBorder="1" applyAlignment="1">
      <alignment horizontal="center" vertical="center" readingOrder="1"/>
    </xf>
    <xf numFmtId="3" fontId="5" fillId="0" borderId="2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3" fillId="4" borderId="4" xfId="1" applyNumberFormat="1" applyFont="1" applyFill="1" applyBorder="1" applyAlignment="1">
      <alignment horizontal="center" vertical="center" readingOrder="1"/>
    </xf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readingOrder="1"/>
    </xf>
    <xf numFmtId="3" fontId="6" fillId="0" borderId="1" xfId="1" applyNumberFormat="1" applyFont="1" applyBorder="1" applyAlignment="1">
      <alignment horizontal="center" vertical="center" readingOrder="1"/>
    </xf>
    <xf numFmtId="3" fontId="7" fillId="0" borderId="1" xfId="1" applyNumberFormat="1" applyFont="1" applyBorder="1" applyAlignment="1">
      <alignment horizontal="center" vertical="center" readingOrder="1"/>
    </xf>
    <xf numFmtId="165" fontId="7" fillId="0" borderId="1" xfId="1" applyNumberFormat="1" applyFont="1" applyBorder="1" applyAlignment="1">
      <alignment horizontal="center" vertical="center" readingOrder="1"/>
    </xf>
    <xf numFmtId="3" fontId="8" fillId="5" borderId="5" xfId="1" applyNumberFormat="1" applyFont="1" applyFill="1" applyBorder="1" applyAlignment="1">
      <alignment horizontal="center" vertical="center" readingOrder="1"/>
    </xf>
    <xf numFmtId="166" fontId="8" fillId="6" borderId="1" xfId="1" applyNumberFormat="1" applyFont="1" applyFill="1" applyBorder="1" applyAlignment="1">
      <alignment horizontal="center" vertical="center" readingOrder="1"/>
    </xf>
    <xf numFmtId="3" fontId="9" fillId="7" borderId="6" xfId="1" applyNumberFormat="1" applyFont="1" applyFill="1" applyBorder="1" applyAlignment="1">
      <alignment horizontal="center" vertical="center" readingOrder="1"/>
    </xf>
    <xf numFmtId="165" fontId="8" fillId="6" borderId="1" xfId="1" applyNumberFormat="1" applyFont="1" applyFill="1" applyBorder="1" applyAlignment="1">
      <alignment horizontal="center" vertical="center" readingOrder="1"/>
    </xf>
    <xf numFmtId="165" fontId="5" fillId="0" borderId="1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8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readingOrder="1"/>
    </xf>
    <xf numFmtId="167" fontId="8" fillId="0" borderId="1" xfId="1" applyNumberFormat="1" applyFont="1" applyBorder="1" applyAlignment="1">
      <alignment horizontal="center" vertical="center" readingOrder="1"/>
    </xf>
    <xf numFmtId="2" fontId="8" fillId="0" borderId="1" xfId="1" applyNumberFormat="1" applyFont="1" applyBorder="1" applyAlignment="1">
      <alignment horizontal="center" vertical="center" readingOrder="1"/>
    </xf>
    <xf numFmtId="165" fontId="5" fillId="0" borderId="2" xfId="0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 vertical="center" readingOrder="1"/>
    </xf>
    <xf numFmtId="165" fontId="5" fillId="0" borderId="3" xfId="0" applyNumberFormat="1" applyFont="1" applyBorder="1" applyAlignment="1">
      <alignment horizontal="center"/>
    </xf>
    <xf numFmtId="1" fontId="8" fillId="0" borderId="5" xfId="1" applyNumberFormat="1" applyFont="1" applyBorder="1" applyAlignment="1">
      <alignment horizontal="center" vertical="center" readingOrder="1"/>
    </xf>
    <xf numFmtId="1" fontId="8" fillId="0" borderId="8" xfId="1" applyNumberFormat="1" applyFont="1" applyBorder="1" applyAlignment="1">
      <alignment horizontal="center" vertical="center" readingOrder="1"/>
    </xf>
    <xf numFmtId="167" fontId="8" fillId="0" borderId="5" xfId="1" applyNumberFormat="1" applyFont="1" applyBorder="1" applyAlignment="1">
      <alignment horizontal="center" vertical="center" readingOrder="1"/>
    </xf>
    <xf numFmtId="2" fontId="8" fillId="0" borderId="5" xfId="1" applyNumberFormat="1" applyFont="1" applyBorder="1" applyAlignment="1">
      <alignment horizontal="center" vertical="center" readingOrder="1"/>
    </xf>
    <xf numFmtId="3" fontId="9" fillId="7" borderId="0" xfId="1" applyNumberFormat="1" applyFont="1" applyFill="1" applyAlignment="1">
      <alignment horizontal="center" vertical="center" readingOrder="1"/>
    </xf>
    <xf numFmtId="1" fontId="13" fillId="9" borderId="1" xfId="0" applyNumberFormat="1" applyFont="1" applyFill="1" applyBorder="1" applyAlignment="1">
      <alignment horizontal="center" vertical="center"/>
    </xf>
    <xf numFmtId="1" fontId="13" fillId="10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 vertical="center"/>
    </xf>
    <xf numFmtId="1" fontId="8" fillId="0" borderId="4" xfId="1" applyNumberFormat="1" applyFont="1" applyBorder="1" applyAlignment="1">
      <alignment horizontal="center" vertical="center" readingOrder="1"/>
    </xf>
    <xf numFmtId="3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" fontId="8" fillId="0" borderId="0" xfId="0" applyNumberFormat="1" applyFont="1"/>
    <xf numFmtId="167" fontId="8" fillId="0" borderId="0" xfId="0" applyNumberFormat="1" applyFont="1"/>
    <xf numFmtId="2" fontId="8" fillId="0" borderId="0" xfId="0" applyNumberFormat="1" applyFont="1"/>
    <xf numFmtId="164" fontId="3" fillId="4" borderId="7" xfId="0" applyNumberFormat="1" applyFont="1" applyFill="1" applyBorder="1" applyAlignment="1">
      <alignment horizontal="center" vertical="center" readingOrder="1"/>
    </xf>
    <xf numFmtId="1" fontId="8" fillId="0" borderId="7" xfId="0" applyNumberFormat="1" applyFont="1" applyBorder="1" applyAlignment="1">
      <alignment horizontal="center" vertical="center" readingOrder="1"/>
    </xf>
    <xf numFmtId="1" fontId="8" fillId="0" borderId="9" xfId="0" applyNumberFormat="1" applyFont="1" applyBorder="1" applyAlignment="1">
      <alignment horizontal="center" vertical="center" readingOrder="1"/>
    </xf>
    <xf numFmtId="1" fontId="8" fillId="0" borderId="4" xfId="0" applyNumberFormat="1" applyFont="1" applyBorder="1" applyAlignment="1">
      <alignment horizontal="center" vertical="center" readingOrder="1"/>
    </xf>
    <xf numFmtId="167" fontId="8" fillId="0" borderId="9" xfId="0" applyNumberFormat="1" applyFont="1" applyBorder="1" applyAlignment="1">
      <alignment horizontal="center" vertical="center" readingOrder="1"/>
    </xf>
    <xf numFmtId="2" fontId="8" fillId="0" borderId="10" xfId="0" applyNumberFormat="1" applyFont="1" applyBorder="1" applyAlignment="1">
      <alignment horizontal="center" vertical="center" readingOrder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 vertical="center" readingOrder="1"/>
    </xf>
    <xf numFmtId="0" fontId="16" fillId="10" borderId="1" xfId="0" applyFont="1" applyFill="1" applyBorder="1" applyAlignment="1">
      <alignment horizontal="center" vertical="center"/>
    </xf>
    <xf numFmtId="3" fontId="16" fillId="9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" fontId="16" fillId="10" borderId="1" xfId="0" applyNumberFormat="1" applyFont="1" applyFill="1" applyBorder="1" applyAlignment="1">
      <alignment horizontal="center" vertical="center"/>
    </xf>
    <xf numFmtId="3" fontId="15" fillId="11" borderId="11" xfId="2" applyNumberFormat="1" applyAlignment="1">
      <alignment horizontal="center" vertical="center"/>
    </xf>
    <xf numFmtId="1" fontId="16" fillId="9" borderId="1" xfId="0" applyNumberFormat="1" applyFont="1" applyFill="1" applyBorder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 readingOrder="1"/>
    </xf>
    <xf numFmtId="1" fontId="8" fillId="0" borderId="10" xfId="0" applyNumberFormat="1" applyFont="1" applyBorder="1" applyAlignment="1">
      <alignment horizontal="center" vertical="center" readingOrder="1"/>
    </xf>
    <xf numFmtId="2" fontId="8" fillId="0" borderId="7" xfId="0" applyNumberFormat="1" applyFont="1" applyBorder="1" applyAlignment="1">
      <alignment horizontal="center" vertical="center" readingOrder="1"/>
    </xf>
    <xf numFmtId="165" fontId="5" fillId="0" borderId="7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 vertical="center" readingOrder="1"/>
    </xf>
    <xf numFmtId="3" fontId="8" fillId="5" borderId="13" xfId="1" applyNumberFormat="1" applyFont="1" applyFill="1" applyBorder="1" applyAlignment="1">
      <alignment horizontal="center" vertical="center" readingOrder="1"/>
    </xf>
    <xf numFmtId="3" fontId="16" fillId="9" borderId="1" xfId="0" applyNumberFormat="1" applyFont="1" applyFill="1" applyBorder="1" applyAlignment="1">
      <alignment horizontal="center"/>
    </xf>
    <xf numFmtId="3" fontId="16" fillId="9" borderId="5" xfId="0" applyNumberFormat="1" applyFont="1" applyFill="1" applyBorder="1" applyAlignment="1">
      <alignment horizontal="center"/>
    </xf>
    <xf numFmtId="3" fontId="16" fillId="9" borderId="4" xfId="0" applyNumberFormat="1" applyFont="1" applyFill="1" applyBorder="1" applyAlignment="1">
      <alignment horizontal="center"/>
    </xf>
    <xf numFmtId="3" fontId="16" fillId="9" borderId="5" xfId="0" applyNumberFormat="1" applyFont="1" applyFill="1" applyBorder="1" applyAlignment="1">
      <alignment horizontal="center" vertical="center"/>
    </xf>
    <xf numFmtId="3" fontId="16" fillId="9" borderId="4" xfId="0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166" fontId="8" fillId="6" borderId="4" xfId="1" applyNumberFormat="1" applyFont="1" applyFill="1" applyBorder="1" applyAlignment="1">
      <alignment horizontal="center" vertical="center" readingOrder="1"/>
    </xf>
    <xf numFmtId="3" fontId="9" fillId="7" borderId="15" xfId="1" applyNumberFormat="1" applyFont="1" applyFill="1" applyBorder="1" applyAlignment="1">
      <alignment horizontal="center" vertical="center" readingOrder="1"/>
    </xf>
    <xf numFmtId="3" fontId="16" fillId="9" borderId="1" xfId="1" applyNumberFormat="1" applyFont="1" applyFill="1" applyBorder="1" applyAlignment="1">
      <alignment horizontal="center" vertical="center"/>
    </xf>
    <xf numFmtId="3" fontId="16" fillId="9" borderId="5" xfId="1" applyNumberFormat="1" applyFont="1" applyFill="1" applyBorder="1" applyAlignment="1">
      <alignment horizontal="center" vertical="center"/>
    </xf>
    <xf numFmtId="3" fontId="16" fillId="9" borderId="4" xfId="1" applyNumberFormat="1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3" fontId="14" fillId="10" borderId="1" xfId="0" applyNumberFormat="1" applyFont="1" applyFill="1" applyBorder="1" applyAlignment="1">
      <alignment horizontal="center" vertical="center"/>
    </xf>
  </cellXfs>
  <cellStyles count="3">
    <cellStyle name="Check Cell" xfId="2" builtinId="23"/>
    <cellStyle name="Normal" xfId="0" builtinId="0"/>
    <cellStyle name="Normal 2" xfId="1" xr:uid="{B2413A63-9B5B-4C03-854D-8740117DD516}"/>
  </cellStyles>
  <dxfs count="3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65" formatCode="#,##0.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65" formatCode="#,##0.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65" formatCode="#,##0.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auto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2"/>
        <scheme val="major"/>
      </font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minor"/>
      </font>
      <numFmt numFmtId="165" formatCode="#,##0.000"/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10000]yyyy/mm/dd;@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F382F-67F4-430A-B384-60EF2F5DAC6C}" name="TABL12" displayName="TABL12" ref="A1:AP367" totalsRowCount="1" headerRowDxfId="341" headerRowBorderDxfId="340" tableBorderDxfId="339">
  <autoFilter ref="A1:AP366" xr:uid="{6E0F382F-67F4-430A-B384-60EF2F5DAC6C}"/>
  <tableColumns count="42">
    <tableColumn id="1" xr3:uid="{66387CC3-B100-4304-9559-EC4889828ABF}" name=" اليوم" dataDxfId="338" totalsRowDxfId="83" dataCellStyle="Normal 2"/>
    <tableColumn id="19" xr3:uid="{73AF8B15-15C2-4FFB-A4CF-2BCAC459190F}" name="آبار منتجة TAZ" dataDxfId="337" totalsRowDxfId="82" dataCellStyle="Normal 2"/>
    <tableColumn id="18" xr3:uid="{09325C69-53C6-4F31-92E3-CB300328F497}" name="الانتاج 1000 (م3) TAZ" dataDxfId="336" totalsRowDxfId="81" dataCellStyle="Normal 2"/>
    <tableColumn id="17" xr3:uid="{16B8FBF1-029A-469C-B1C6-F69C4C4F7CAF}" name="آبار عاملة TAZ" dataDxfId="335" totalsRowDxfId="80" dataCellStyle="Normal 2"/>
    <tableColumn id="16" xr3:uid="{00C28CE5-3D49-4F68-919C-13DF472F495C}" name="آبار احتياطية" dataDxfId="334" totalsRowDxfId="79" dataCellStyle="Normal 2"/>
    <tableColumn id="26" xr3:uid="{EE5DB7EC-D86D-49D5-9B77-054A5BABE28D}" name="آبار منتجة SAR" dataDxfId="333" totalsRowDxfId="78" dataCellStyle="Normal 2"/>
    <tableColumn id="25" xr3:uid="{7C165A36-3712-4689-8755-F53FE5B20ABE}" name="إنتاج آبار  SAR" dataDxfId="332" totalsRowDxfId="77" dataCellStyle="Normal 2"/>
    <tableColumn id="24" xr3:uid="{83A6BBA7-380F-4769-8A42-D4612297E2AD}" name="آبار احتياطية  SAR" dataDxfId="331" totalsRowDxfId="76" dataCellStyle="Normal 2"/>
    <tableColumn id="8" xr3:uid="{AE56A76F-A0FC-417D-B2B6-D4978FB39679}" name="خط (T/B  TOT) SAR" dataDxfId="330" totalsRowDxfId="75" dataCellStyle="Normal 2"/>
    <tableColumn id="22" xr3:uid="{DAAA7253-4784-4BE7-9784-7EAE5F799701}" name="خط (S/S  TOT) SAR2" dataDxfId="329" totalsRowDxfId="74" dataCellStyle="Normal 2"/>
    <tableColumn id="38" xr3:uid="{C17DFA01-DEFE-472D-8A02-0FF9206A0813}" name="(S/S+TB)SAR" dataDxfId="328" totalsRowDxfId="73" dataCellStyle="Normal 2">
      <calculatedColumnFormula>TABL12[[#This Row],[خط (T/B  TOT) SAR]]+TABL12[[#This Row],[خط (S/S  TOT) SAR2]]</calculatedColumnFormula>
    </tableColumn>
    <tableColumn id="21" xr3:uid="{5D7F5EC4-F3B5-4C0B-BE31-CED811786A9A}" name="خط TAZ/SAR" dataDxfId="327" totalsRowDxfId="72" dataCellStyle="Normal 2"/>
    <tableColumn id="20" xr3:uid="{3C1CE13A-ADA2-44D8-9F21-A08E5B226D9C}" name=" % ECV SAR" dataDxfId="326" totalsRowDxfId="71" dataCellStyle="Normal 2"/>
    <tableColumn id="6" xr3:uid="{4245025E-4350-4CF5-A37D-368EE5D4C6E6}" name="الضغط ECV (bar) SAR" dataDxfId="325" totalsRowDxfId="70" dataCellStyle="Normal 2"/>
    <tableColumn id="3" xr3:uid="{E521A30B-C651-47F3-8C9F-1644C97E55AB}" name="(S/S TOT) AJD" dataDxfId="324" totalsRowDxfId="69"/>
    <tableColumn id="36" xr3:uid="{2E18B7B5-1893-4635-84E6-AAD5165E012D}" name="الفرق بين بداية ونهاية خط  S/S" dataDxfId="323" totalsRowDxfId="68">
      <calculatedColumnFormula>TABL12[[#This Row],[خط (S/S  TOT) SAR2]]-TABL12[[#This Row],[(S/S TOT) AJD]]</calculatedColumnFormula>
    </tableColumn>
    <tableColumn id="5" xr3:uid="{2560A6DC-201C-40F0-8F48-5525F036384E}" name="(T/B TOT) AJD" dataDxfId="322" totalsRowDxfId="67"/>
    <tableColumn id="35" xr3:uid="{CCC03B44-9E2F-4CD1-89EE-A2983AA131AC}" name="الفرق بين بداية ونهاية خط  T/B" dataDxfId="321" totalsRowDxfId="66">
      <calculatedColumnFormula>TABL12[[#This Row],[خط (T/B  TOT) SAR]]-TABL12[[#This Row],[(T/B TOT) AJD]]</calculatedColumnFormula>
    </tableColumn>
    <tableColumn id="37" xr3:uid="{11AB6075-5F47-4BB0-9025-D8BC15EDE0E8}" name="الفرق بين السرير و اجدابيا (الإستهلاك)" dataDxfId="320" totalsRowDxfId="65">
      <calculatedColumnFormula>TABL12[[#This Row],[الفرق بين بداية ونهاية خط  S/S]]+TABL12[[#This Row],[الفرق بين بداية ونهاية خط  T/B]]</calculatedColumnFormula>
    </tableColumn>
    <tableColumn id="13" xr3:uid="{19EB6091-9975-4502-8119-B7C9AD981DD0}" name="( S/S+T/B) AJD" dataDxfId="319" totalsRowDxfId="64">
      <calculatedColumnFormula>O2+Q2</calculatedColumnFormula>
    </tableColumn>
    <tableColumn id="7" xr3:uid="{FE67C820-40E0-442E-9E31-856C32A508B6}" name="(A/B TOT) AJD" dataDxfId="318" totalsRowDxfId="63"/>
    <tableColumn id="9" xr3:uid="{D5679418-BA27-4A9E-9F79-B5750AE87354}" name="(A/S TOT) AJD" dataDxfId="317" totalsRowDxfId="62"/>
    <tableColumn id="14" xr3:uid="{3D7832B3-0EBF-4C36-9589-8817B10DB712}" name="(A/B + A/S) AJD" dataDxfId="316" totalsRowDxfId="61">
      <calculatedColumnFormula>U2+V2</calculatedColumnFormula>
    </tableColumn>
    <tableColumn id="15" xr3:uid="{9DF00D84-966C-444D-B303-1741455D7F9D}" name="(IN - OUT) AJD" dataDxfId="315" totalsRowDxfId="60">
      <calculatedColumnFormula>T2-W2</calculatedColumnFormula>
    </tableColumn>
    <tableColumn id="10" xr3:uid="{F816C09C-6DAC-44D6-8748-76EA15069B1B}" name="(RES. LEVEL) AJD" dataDxfId="314" totalsRowDxfId="59"/>
    <tableColumn id="11" xr3:uid="{00C5DB16-3CE7-43C0-85AC-3A94F1DF93AB}" name="(RESV. STORGE) AJD" dataDxfId="313" totalsRowDxfId="58"/>
    <tableColumn id="40" xr3:uid="{3BB612D7-93EF-4EAC-AE56-DDA1277F66BC}" name="AJD المخزون * 10" dataDxfId="312" totalsRowDxfId="57">
      <calculatedColumnFormula>TABL12[[#This Row],[(RESV. STORGE) AJD]]/10</calculatedColumnFormula>
    </tableColumn>
    <tableColumn id="4" xr3:uid="{15D5ED16-E158-4BC3-B9EB-7F0B835A68C3}" name="(STORGE DIFF.) AJD" dataDxfId="311" totalsRowDxfId="56"/>
    <tableColumn id="12" xr3:uid="{1995E128-14C8-4F8F-908D-D03A5E8655DC}" name="البخر  AJD" dataDxfId="310" totalsRowDxfId="55" dataCellStyle="Normal 2">
      <calculatedColumnFormula>(Z2-Z1)/1000</calculatedColumnFormula>
    </tableColumn>
    <tableColumn id="39" xr3:uid="{E732E22F-62E8-4E58-A573-7DF93813B1E1}" name="الفاقد في خزان اجدابيا" dataDxfId="0" totalsRowDxfId="54">
      <calculatedColumnFormula>TABL12[[#This Row],[( S/S+T/B) AJD]]-(TABL12[[#This Row],[(A/B + A/S) AJD]]+(TABL12[[#This Row],[(STORGE DIFF.) AJD]])+TABL12[[#This Row],[البخر  AJD]]/1000)</calculatedColumnFormula>
    </tableColumn>
    <tableColumn id="30" xr3:uid="{B8A4B6D6-AD45-4CC9-87FA-F1BA2E37ACCA}" name="BER_ IN" dataDxfId="309" totalsRowDxfId="53"/>
    <tableColumn id="31" xr3:uid="{55F50B2A-C1E1-433E-9815-41A6E80E52CD}" name="(RES. LEVEL) BER" dataDxfId="308" totalsRowDxfId="52"/>
    <tableColumn id="28" xr3:uid="{2651ABE7-B931-449C-B6AE-ACC17C319D95}" name=" (RESV. STORGE) BER" dataDxfId="307" totalsRowDxfId="51"/>
    <tableColumn id="41" xr3:uid="{E68DD80B-5F75-4484-AE22-A4DBB5C3D9D7}" name="BER المخزون * 10" dataDxfId="306" totalsRowDxfId="50">
      <calculatedColumnFormula>TABL12[[#This Row],[ (RESV. STORGE) BER]]/10</calculatedColumnFormula>
    </tableColumn>
    <tableColumn id="29" xr3:uid="{72C12724-11AC-42CC-A11D-EFF1C3F9C26F}" name="البخر  BER" dataDxfId="305" totalsRowDxfId="49"/>
    <tableColumn id="34" xr3:uid="{6D25E223-64FE-4345-BF75-4C64F7653DD7}" name=" إستهلاك AJD(A/B) - BER.IN" totalsRowFunction="custom" dataDxfId="304" totalsRowDxfId="48">
      <calculatedColumnFormula>TABL12[[#This Row],[(A/B TOT) AJD]]-TABL12[[#This Row],[BER_ IN]]</calculatedColumnFormula>
      <totalsRowFormula>SUBTOTAL(109,TABL12[] TABL12[ إستهلاك AJD(A/B) - BER.IN] )</totalsRowFormula>
    </tableColumn>
    <tableColumn id="32" xr3:uid="{C187EA93-4FB1-495F-84A8-14D93A6A1E3E}" name="SER_ IN" dataDxfId="303" totalsRowDxfId="47"/>
    <tableColumn id="33" xr3:uid="{4E73E2C8-F54D-4138-8186-189B1AB2FC67}" name="(RES. LEVEL) SER " dataDxfId="302" totalsRowDxfId="46"/>
    <tableColumn id="27" xr3:uid="{078E4705-C3C5-46D2-9B78-A05F1D915B91}" name=" (RESV. STORGE) SER" dataDxfId="301" totalsRowDxfId="45"/>
    <tableColumn id="42" xr3:uid="{67E01307-DE8B-4AEB-9752-499927A54124}" name="SER المخزون * 10" dataDxfId="300" totalsRowDxfId="44">
      <calculatedColumnFormula>TABL12[[#This Row],[ (RESV. STORGE) SER]]/10</calculatedColumnFormula>
    </tableColumn>
    <tableColumn id="2" xr3:uid="{E2C3B7C8-2EF3-47A2-B8EC-2DE7243E9A49}" name="البخر  SER" dataDxfId="299" totalsRowDxfId="43"/>
    <tableColumn id="23" xr3:uid="{BC79413F-8931-48D4-A08F-5DEBEF496FAE}" name="إستهلاك AJD(A/S) - SER.IN" dataDxfId="298" totalsRowDxfId="42" dataCellStyle="Normal 2">
      <calculatedColumnFormula>TABL12[[#This Row],[(A/S TOT) AJD]]-TABL12[[#This Row],[SER_ IN]]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051BE-B5E3-493B-964B-8205F3177506}" name="TABL123" displayName="TABL123" ref="A1:AP367" totalsRowCount="1" headerRowDxfId="297" headerRowBorderDxfId="296" tableBorderDxfId="295">
  <autoFilter ref="A1:AP366" xr:uid="{C2A051BE-B5E3-493B-964B-8205F3177506}"/>
  <tableColumns count="42">
    <tableColumn id="1" xr3:uid="{F2C94FEB-A00A-4D88-9DB9-A505F694326E}" name=" اليوم" dataDxfId="294" totalsRowDxfId="41" dataCellStyle="Normal 2"/>
    <tableColumn id="19" xr3:uid="{68DB4C1E-A17C-490E-9705-B462F20FB2F5}" name="آبار منتجة TAZ" dataDxfId="293" totalsRowDxfId="40" dataCellStyle="Normal 2"/>
    <tableColumn id="18" xr3:uid="{E796FBBC-59BD-4C13-A0B4-3F479BF911CC}" name="الانتاج 1000 (م3) TAZ" dataDxfId="292" totalsRowDxfId="39" dataCellStyle="Normal 2"/>
    <tableColumn id="17" xr3:uid="{C89E9AFB-A295-4B42-8D04-66D22406019A}" name="آبار عاملة TAZ" dataDxfId="291" totalsRowDxfId="38" dataCellStyle="Normal 2"/>
    <tableColumn id="16" xr3:uid="{CCAB6794-76BB-4656-8BFD-720321A160A1}" name="آبار احتياطية" dataDxfId="290" totalsRowDxfId="37" dataCellStyle="Normal 2"/>
    <tableColumn id="26" xr3:uid="{B93CAD1F-9F70-4073-BA5B-9A25C7E0773A}" name="آبار منتجة SAR" dataDxfId="289" totalsRowDxfId="36" dataCellStyle="Normal 2"/>
    <tableColumn id="25" xr3:uid="{843065C2-FA24-4EBC-946C-017549EDBE73}" name="إنتاج آبار  SAR" dataDxfId="288" totalsRowDxfId="35" dataCellStyle="Normal 2"/>
    <tableColumn id="24" xr3:uid="{72E79D2B-11DD-4F09-9A98-C3DC5E961080}" name="آبار احتياطية  SAR" dataDxfId="287" totalsRowDxfId="34" dataCellStyle="Normal 2">
      <calculatedColumnFormula>103-F2</calculatedColumnFormula>
    </tableColumn>
    <tableColumn id="8" xr3:uid="{32ADAB80-0731-4497-9C74-B767F325E7AA}" name="خط (T/B  TOT) SAR" dataDxfId="286" totalsRowDxfId="33" dataCellStyle="Normal 2"/>
    <tableColumn id="22" xr3:uid="{D6CA7FCA-765E-4E81-A162-4CD8BB0D7043}" name="خط (S/S  TOT) SAR2" dataDxfId="285" totalsRowDxfId="32" dataCellStyle="Normal 2"/>
    <tableColumn id="38" xr3:uid="{33C2CB21-9229-4243-ADAE-776B8647DFD1}" name="(S/S+TB)SAR" dataDxfId="284" totalsRowDxfId="31" dataCellStyle="Normal 2">
      <calculatedColumnFormula>TABL123[[#This Row],[خط (T/B  TOT) SAR]]+TABL123[[#This Row],[خط (S/S  TOT) SAR2]]</calculatedColumnFormula>
    </tableColumn>
    <tableColumn id="21" xr3:uid="{5084FB58-C82F-41E5-A2B2-15A7632A1BEA}" name="خط TAZ/SAR" dataDxfId="283" totalsRowDxfId="30" dataCellStyle="Normal 2"/>
    <tableColumn id="20" xr3:uid="{66436F12-F860-44EF-B3A6-FFD54DC8AFC8}" name=" % ECV SAR" dataDxfId="282" totalsRowDxfId="29" dataCellStyle="Normal 2"/>
    <tableColumn id="6" xr3:uid="{4438EA12-D59A-4F0A-AA36-C59397D029D5}" name="الضغط ECV (bar) SAR" dataDxfId="281" totalsRowDxfId="28" dataCellStyle="Normal 2"/>
    <tableColumn id="3" xr3:uid="{5C7CE9FC-7273-4F20-97D1-277D70176732}" name="(S/S TOT) AJD" dataDxfId="280" totalsRowDxfId="27"/>
    <tableColumn id="36" xr3:uid="{6672827C-38A3-4694-A87C-BC06C39D02A5}" name="الفرق بين بداية ونهاية خط  S/S" dataDxfId="279" totalsRowDxfId="26">
      <calculatedColumnFormula>TABL123[[#This Row],[خط (S/S  TOT) SAR2]]-TABL123[[#This Row],[(S/S TOT) AJD]]</calculatedColumnFormula>
    </tableColumn>
    <tableColumn id="5" xr3:uid="{DF02E977-976C-497A-90D6-F963B833E43A}" name="(T/B TOT) AJD" dataDxfId="278" totalsRowDxfId="25"/>
    <tableColumn id="35" xr3:uid="{EA1BE12C-3660-4876-BFF2-4646FCDB4BA4}" name="الفرق بين بداية ونهاية خط  T/B" dataDxfId="277" totalsRowDxfId="24">
      <calculatedColumnFormula>TABL123[[#This Row],[خط (T/B  TOT) SAR]]-TABL123[[#This Row],[(T/B TOT) AJD]]</calculatedColumnFormula>
    </tableColumn>
    <tableColumn id="37" xr3:uid="{CD73554D-A9F7-4280-84E5-B46659328447}" name="الفرق بين السرير و اجدابيا (الإستهلاك)" dataDxfId="276" totalsRowDxfId="23">
      <calculatedColumnFormula>TABL123[[#This Row],[الفرق بين بداية ونهاية خط  T/B]]+TABL123[[#This Row],[الفرق بين بداية ونهاية خط  S/S]]</calculatedColumnFormula>
    </tableColumn>
    <tableColumn id="13" xr3:uid="{01AE2A1C-21BD-46A6-A4AA-D88652C86F49}" name="( S/S+T/B) AJD" dataDxfId="275" totalsRowDxfId="22">
      <calculatedColumnFormula>TABL123[[#This Row],[(S/S TOT) AJD]]+TABL123[[#This Row],[(T/B TOT) AJD]]</calculatedColumnFormula>
    </tableColumn>
    <tableColumn id="7" xr3:uid="{21BC058B-8A61-431E-BCD6-7FDA77C9E7C5}" name="(A/B TOT) AJD" dataDxfId="274" totalsRowDxfId="21"/>
    <tableColumn id="9" xr3:uid="{E4125AA8-4C18-482A-92C7-44662200A444}" name="(A/S TOT) AJD" dataDxfId="273" totalsRowDxfId="20"/>
    <tableColumn id="14" xr3:uid="{A5BCC66E-3B62-4C06-92B8-78FF88D4151A}" name="(A/B + A/S) AJD" dataDxfId="272" totalsRowDxfId="19">
      <calculatedColumnFormula>TABL123[[#This Row],[(A/B TOT) AJD]]+TABL123[[#This Row],[(A/S TOT) AJD]]</calculatedColumnFormula>
    </tableColumn>
    <tableColumn id="15" xr3:uid="{3BBEAFA6-6146-471B-A18A-86F379088B70}" name="(IN - OUT) AJD" dataDxfId="271" totalsRowDxfId="18">
      <calculatedColumnFormula>TABL123[[#This Row],[( S/S+T/B) AJD]]-TABL123[[#This Row],[(A/B + A/S) AJD]]</calculatedColumnFormula>
    </tableColumn>
    <tableColumn id="10" xr3:uid="{876922B5-A4E9-45ED-86BF-10C757F7DE2A}" name="(RES. LEVEL) AJD" dataDxfId="270" totalsRowDxfId="17"/>
    <tableColumn id="11" xr3:uid="{2F9A8435-0058-45F7-AA38-B4B4E3E3322D}" name="(RESV. STORGE) AJD" dataDxfId="269" totalsRowDxfId="16"/>
    <tableColumn id="40" xr3:uid="{F87A19EF-5769-4625-AC0A-777F3AC43946}" name="AJD المخزون * 10" dataDxfId="268" totalsRowDxfId="15" dataCellStyle="Normal 2">
      <calculatedColumnFormula>TABL123[[#This Row],[(RESV. STORGE) AJD]]/10</calculatedColumnFormula>
    </tableColumn>
    <tableColumn id="4" xr3:uid="{F15E20D7-B8EF-4163-9E31-6D3BF77A73A3}" name="(STORGE DIFF.) AJD" dataDxfId="267" totalsRowDxfId="14"/>
    <tableColumn id="12" xr3:uid="{BC2F8435-ACF2-46F4-8794-4AC9C2B6C9E9}" name="البخر  AJD" dataDxfId="266" totalsRowDxfId="13" dataCellStyle="Normal 2"/>
    <tableColumn id="39" xr3:uid="{FCD950FB-697C-49D6-8E16-0E7ECE2CAB54}" name="الفاقد في خزان اجدابيا" dataDxfId="1" totalsRowDxfId="12">
      <calculatedColumnFormula>TABL123[[#This Row],[( S/S+T/B) AJD]]-(TABL123[[#This Row],[(A/B + A/S) AJD]]+(TABL123[[#This Row],[(STORGE DIFF.) AJD]])+TABL123[[#This Row],[البخر  AJD]]/1000)</calculatedColumnFormula>
    </tableColumn>
    <tableColumn id="30" xr3:uid="{8CFBC8C8-233F-4A7C-8008-ADE64EB24554}" name="BER_ IN" dataDxfId="265" totalsRowDxfId="11"/>
    <tableColumn id="31" xr3:uid="{5D2F464C-C9F4-4576-8552-66822FE5010C}" name="(RES. LEVEL) BER" dataDxfId="264" totalsRowDxfId="10"/>
    <tableColumn id="28" xr3:uid="{79AC9202-E111-492A-A1C7-C20EAB7DB475}" name=" (RESV. STORGE) BER" dataDxfId="263" totalsRowDxfId="9"/>
    <tableColumn id="29" xr3:uid="{0D3228DA-C740-4CD4-8142-FA2E5314F93F}" name="BER المخزون * 10" dataDxfId="262" totalsRowDxfId="8"/>
    <tableColumn id="34" xr3:uid="{5733C1F9-D466-469C-ABB3-E7F7DB0EE0F1}" name="البخر  BER" dataDxfId="261" totalsRowDxfId="7"/>
    <tableColumn id="32" xr3:uid="{4CE1412A-4E2F-44FE-A87E-085A0A9129ED}" name=" إستهلاك AJD(A/B) - BER.IN" dataDxfId="260" totalsRowDxfId="6">
      <calculatedColumnFormula>TABL123[[#This Row],[(A/B TOT) AJD]]-TABL123[[#This Row],[BER_ IN]]</calculatedColumnFormula>
    </tableColumn>
    <tableColumn id="33" xr3:uid="{2395CD46-6205-4986-BD68-620680EE6F2E}" name="SER_ IN" dataDxfId="259" totalsRowDxfId="5"/>
    <tableColumn id="27" xr3:uid="{3AEA8C61-AA99-45B5-9461-2FF3EDCC8EA9}" name="(RES. LEVEL) SER " dataDxfId="258" totalsRowDxfId="4"/>
    <tableColumn id="2" xr3:uid="{7A48A26A-7876-4082-9402-59ED4782C9D4}" name=" (RESV. STORGE) SER" dataDxfId="257" totalsRowDxfId="3" dataCellStyle="Normal 2"/>
    <tableColumn id="23" xr3:uid="{CDFEC5F7-08FE-41DC-8D56-FDC100C5A4D5}" name="SER المخزون * 10" dataDxfId="256" totalsRowDxfId="2" dataCellStyle="Normal 2">
      <calculatedColumnFormula>TABL123[[#This Row],[ (RESV. STORGE) SER]]/10</calculatedColumnFormula>
    </tableColumn>
    <tableColumn id="42" xr3:uid="{BEA2B6C9-A747-4952-BA2D-D4DE723F4074}" name="البخر  SER" dataDxfId="255"/>
    <tableColumn id="43" xr3:uid="{B393EE02-A71B-4CC5-BB4E-081FA4FD0162}" name="إستهلاك AJD(A/S) - SER.IN" dataDxfId="254" dataCellStyle="Normal 2">
      <calculatedColumnFormula>TABL123[[#This Row],[(A/S TOT) AJD]]-TABL123[[#This Row],[SER_ IN]]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B9D25-BF41-4AB4-98FB-CE010629717D}" name="TABL1234" displayName="TABL1234" ref="A1:AP367" totalsRowCount="1" headerRowDxfId="253" headerRowBorderDxfId="252" tableBorderDxfId="251">
  <autoFilter ref="A1:AP366" xr:uid="{5FCB9D25-BF41-4AB4-98FB-CE010629717D}"/>
  <tableColumns count="42">
    <tableColumn id="1" xr3:uid="{CF2CC824-BD23-4EED-93E0-3B9E45F278EC}" name=" اليوم" dataDxfId="250" totalsRowDxfId="249" dataCellStyle="Normal 2"/>
    <tableColumn id="19" xr3:uid="{11FDAE88-09F6-4E94-8617-B2BA9147CD51}" name="آبار منتجة TAZ" dataDxfId="248" totalsRowDxfId="247" dataCellStyle="Normal 2"/>
    <tableColumn id="18" xr3:uid="{076C74DF-4714-4AD5-8210-E3B3407FBA13}" name="الانتاج 1000 (م3) TAZ" dataDxfId="246" totalsRowDxfId="245" dataCellStyle="Normal 2"/>
    <tableColumn id="17" xr3:uid="{C7220FDF-726E-40FC-99CD-A67D880F1387}" name="آبار عاملة TAZ" dataDxfId="244" totalsRowDxfId="243" dataCellStyle="Normal 2"/>
    <tableColumn id="16" xr3:uid="{DC504DC8-6426-4941-99CB-73AC50EFF406}" name="آبار احتياطية" dataDxfId="242" totalsRowDxfId="241" dataCellStyle="Normal 2"/>
    <tableColumn id="26" xr3:uid="{FF8B3ED8-B830-4308-B6C8-CB915A8ED015}" name="آبار منتجة SAR" dataDxfId="240" totalsRowDxfId="239" dataCellStyle="Normal 2"/>
    <tableColumn id="25" xr3:uid="{FA3000E5-6566-416F-921D-1508B5FB714F}" name="إنتاج آبار  SAR" dataDxfId="238" totalsRowDxfId="237" dataCellStyle="Normal 2"/>
    <tableColumn id="24" xr3:uid="{0AD83C01-DEC0-4843-A2F7-84F74F81F9CC}" name="آبار احتياطية  SAR" dataDxfId="236" totalsRowDxfId="235" dataCellStyle="Normal 2">
      <calculatedColumnFormula>103-F2</calculatedColumnFormula>
    </tableColumn>
    <tableColumn id="8" xr3:uid="{7253E698-DAEB-48C5-A750-7FE54CB2AA8A}" name="خط (T/B  TOT) SAR" dataDxfId="234" totalsRowDxfId="233" dataCellStyle="Normal 2"/>
    <tableColumn id="22" xr3:uid="{876E68A1-B3C2-447A-AB99-8D4E310E232B}" name="خط (S/S  TOT) SAR2" dataDxfId="232" totalsRowDxfId="231" dataCellStyle="Normal 2"/>
    <tableColumn id="38" xr3:uid="{453CB68D-B69C-4F00-BDB3-40499D0BFC97}" name="(S/S+TB)SAR" dataDxfId="230" totalsRowDxfId="229" dataCellStyle="Normal 2">
      <calculatedColumnFormula>TABL1234[[#This Row],[خط (T/B  TOT) SAR]]+TABL1234[[#This Row],[خط (S/S  TOT) SAR2]]</calculatedColumnFormula>
    </tableColumn>
    <tableColumn id="21" xr3:uid="{272404DA-C793-4A72-B0CB-0EB75185F322}" name="خط TAZ/SAR" dataDxfId="228" totalsRowDxfId="227" dataCellStyle="Normal 2"/>
    <tableColumn id="20" xr3:uid="{E1B79B18-AF6A-4A21-A847-69543D5853D3}" name=" % ECV SAR" dataDxfId="226" totalsRowDxfId="225" dataCellStyle="Normal 2"/>
    <tableColumn id="6" xr3:uid="{563D8C0C-0449-4C27-8802-1597757EAD90}" name="الضغط ECV (bar) SAR" dataDxfId="224" totalsRowDxfId="223" dataCellStyle="Normal 2"/>
    <tableColumn id="3" xr3:uid="{F8817DDA-13BF-41EE-A4AB-3E28920DA12E}" name="(S/S TOT) AJD" dataDxfId="222" totalsRowDxfId="221"/>
    <tableColumn id="36" xr3:uid="{1AEC5609-B8DD-415A-B860-5CA0A2B19CE9}" name="الفرق بين بداية ونهاية خط  S/S" dataDxfId="220" totalsRowDxfId="219">
      <calculatedColumnFormula>TABL1234[[#This Row],[خط (S/S  TOT) SAR2]]-TABL1234[[#This Row],[(S/S TOT) AJD]]</calculatedColumnFormula>
    </tableColumn>
    <tableColumn id="5" xr3:uid="{479D7584-5FE3-471E-B7AD-E43FC1963CC2}" name="(T/B TOT) AJD" dataDxfId="218" totalsRowDxfId="217"/>
    <tableColumn id="35" xr3:uid="{A8D868F1-5EFC-4A0C-9EDC-13DB03872867}" name="الفرق بين بداية ونهاية خط  T/B" dataDxfId="216" totalsRowDxfId="215">
      <calculatedColumnFormula>TABL1234[[#This Row],[خط (T/B  TOT) SAR]]-TABL1234[[#This Row],[(T/B TOT) AJD]]</calculatedColumnFormula>
    </tableColumn>
    <tableColumn id="37" xr3:uid="{AA566E6C-9D8D-4B70-B216-3F23038B5006}" name="الفرق بين السرير و اجدابيا (الإستهلاك)" dataDxfId="214" totalsRowDxfId="213">
      <calculatedColumnFormula>TABL1234[[#This Row],[الفرق بين بداية ونهاية خط  T/B]]+TABL1234[[#This Row],[الفرق بين بداية ونهاية خط  S/S]]</calculatedColumnFormula>
    </tableColumn>
    <tableColumn id="13" xr3:uid="{5DED3E6B-48E1-4C56-9CED-69CF638DBC14}" name="( S/S+T/B) AJD" dataDxfId="212" totalsRowDxfId="211">
      <calculatedColumnFormula>TABL1234[[#This Row],[(S/S TOT) AJD]]+TABL1234[[#This Row],[(T/B TOT) AJD]]</calculatedColumnFormula>
    </tableColumn>
    <tableColumn id="7" xr3:uid="{2F33E916-32B0-4678-8AF4-810EB069F853}" name="(A/B TOT) AJD" dataDxfId="210" totalsRowDxfId="209"/>
    <tableColumn id="9" xr3:uid="{FE3BEA3B-570A-4810-85AD-CA10BE4443F4}" name="(A/S TOT) AJD" dataDxfId="208" totalsRowDxfId="207"/>
    <tableColumn id="14" xr3:uid="{C6961044-444C-4633-81B0-E220652A0956}" name="(A/B + A/S) AJD" dataDxfId="206" totalsRowDxfId="205">
      <calculatedColumnFormula>TABL1234[[#This Row],[(A/B TOT) AJD]]+TABL1234[[#This Row],[(A/S TOT) AJD]]</calculatedColumnFormula>
    </tableColumn>
    <tableColumn id="15" xr3:uid="{084A6C51-A878-48CC-8273-CFCD05C0A26F}" name="(IN - OUT) AJD" dataDxfId="204" totalsRowDxfId="203">
      <calculatedColumnFormula>TABL1234[[#This Row],[( S/S+T/B) AJD]]-TABL1234[[#This Row],[(A/B + A/S) AJD]]</calculatedColumnFormula>
    </tableColumn>
    <tableColumn id="10" xr3:uid="{00FDC030-FCB6-400F-BDC0-59478D75D7A6}" name="(RES. LEVEL) AJD" dataDxfId="202" totalsRowDxfId="201"/>
    <tableColumn id="11" xr3:uid="{75090017-34DE-44D2-BD87-EF83DB956968}" name="(RESV. STORGE) AJD" dataDxfId="200" totalsRowDxfId="199"/>
    <tableColumn id="40" xr3:uid="{DF1E881D-1F9A-435B-BA4E-D02A45A7E3F5}" name="AJD المخزون * 10" dataDxfId="198" totalsRowDxfId="197" dataCellStyle="Normal 2">
      <calculatedColumnFormula>TABL1234[[#This Row],[(RESV. STORGE) AJD]]/10</calculatedColumnFormula>
    </tableColumn>
    <tableColumn id="4" xr3:uid="{2B5AF874-2B4A-4BF8-9FF3-43DDA618D54F}" name="(STORGE DIFF.) AJD" dataDxfId="196" totalsRowDxfId="195">
      <calculatedColumnFormula>(TABL123[[#This Row],[(RESV. STORGE) AJD]]-500797)/1000</calculatedColumnFormula>
    </tableColumn>
    <tableColumn id="12" xr3:uid="{F362C966-6D40-4FD8-BEB9-91AD30F56531}" name="البخر  AJD" dataDxfId="194" totalsRowDxfId="193" dataCellStyle="Normal 2"/>
    <tableColumn id="39" xr3:uid="{F6CC0FCA-E331-472D-B69B-B56A51958C65}" name="الفاقد في خزان اجدابيا" dataDxfId="192" totalsRowDxfId="191">
      <calculatedColumnFormula>TABL1234[[#This Row],[( S/S+T/B) AJD]]-(TABL1234[[#This Row],[(A/B + A/S) AJD]]+(TABL1234[[#This Row],[(STORGE DIFF.) AJD]]*1000)+TABL1234[[#This Row],[البخر  AJD]])</calculatedColumnFormula>
    </tableColumn>
    <tableColumn id="30" xr3:uid="{CBA7638F-53DA-4308-98C2-D8502C62FE53}" name="BER_ IN" dataDxfId="190" totalsRowDxfId="189"/>
    <tableColumn id="31" xr3:uid="{6A01F181-E82D-4F2D-86AB-EDF51D7FA079}" name="(RES. LEVEL) BER" dataDxfId="188" totalsRowDxfId="187"/>
    <tableColumn id="28" xr3:uid="{FE95C7D8-F5FD-4278-BB5F-1F990B036A22}" name=" (RESV. STORGE) BER" dataDxfId="186" totalsRowDxfId="185"/>
    <tableColumn id="29" xr3:uid="{1BBABB8C-A2C2-442C-B886-2D89A404BDEB}" name="BER المخزون * 10" dataDxfId="184" totalsRowDxfId="183"/>
    <tableColumn id="34" xr3:uid="{332C7D2C-C6A3-4A26-8AC2-FCD8106086E6}" name="البخر  BER" dataDxfId="182" totalsRowDxfId="181"/>
    <tableColumn id="32" xr3:uid="{C96F884E-1EEB-4DF2-9AA4-149162914A89}" name=" إستهلاك AJD(A/B) - BER.IN" dataDxfId="180" totalsRowDxfId="179">
      <calculatedColumnFormula>TABL1234[[#This Row],[(A/B TOT) AJD]]-TABL1234[[#This Row],[BER_ IN]]</calculatedColumnFormula>
    </tableColumn>
    <tableColumn id="33" xr3:uid="{617EB27D-221C-4A84-8637-DB1B7E5C8E4C}" name="SER_ IN" dataDxfId="178" totalsRowDxfId="177"/>
    <tableColumn id="27" xr3:uid="{F00A2A8B-D14F-4358-8227-4F0CF59784C3}" name="(RES. LEVEL) SER " dataDxfId="176" totalsRowDxfId="175"/>
    <tableColumn id="2" xr3:uid="{838E1437-DDEE-489A-9F90-354DE69A5FBD}" name=" (RESV. STORGE) SER" dataDxfId="174" totalsRowDxfId="173" dataCellStyle="Normal 2"/>
    <tableColumn id="23" xr3:uid="{09A5AB44-BC9D-4BE3-B380-C113AD5BED90}" name="SER المخزون * 10" dataDxfId="172" totalsRowDxfId="171" dataCellStyle="Normal 2">
      <calculatedColumnFormula>TABL1234[[#This Row],[ (RESV. STORGE) SER]]/10</calculatedColumnFormula>
    </tableColumn>
    <tableColumn id="41" xr3:uid="{E4770EDE-8ED4-4463-B885-7849D12BD6A0}" name="البخر  SER" dataDxfId="170"/>
    <tableColumn id="42" xr3:uid="{EFDA9A53-0CFE-4CCE-95F2-20AE62E22C56}" name="إستهلاك AJD(A/S) - SER.IN" dataDxfId="169">
      <calculatedColumnFormula>TABL1234[[#This Row],[(A/S TOT) AJD]]-TABL1234[[#This Row],[SER_ IN]]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7AB35F-C506-4638-82E0-C9375E719914}" name="TABL12345" displayName="TABL12345" ref="A1:AP367" totalsRowCount="1" headerRowDxfId="168" headerRowBorderDxfId="167" tableBorderDxfId="166">
  <autoFilter ref="A1:AP366" xr:uid="{E27AB35F-C506-4638-82E0-C9375E719914}"/>
  <tableColumns count="42">
    <tableColumn id="1" xr3:uid="{02DACF0D-7EB8-407A-B9F7-7C2292288349}" name=" اليوم" dataDxfId="165" totalsRowDxfId="164" dataCellStyle="Normal 2"/>
    <tableColumn id="19" xr3:uid="{43E17B12-9F51-4E38-809C-0DC2FB9D2198}" name="آبار منتجة TAZ" dataDxfId="163" totalsRowDxfId="162" dataCellStyle="Normal 2"/>
    <tableColumn id="18" xr3:uid="{AE342FC5-E6EF-41F4-A320-A8389AD104C8}" name="الانتاج 1000 (م3) TAZ" dataDxfId="161" totalsRowDxfId="160" dataCellStyle="Normal 2"/>
    <tableColumn id="17" xr3:uid="{B3C5CB3A-D0F1-49AC-B037-6C320FADF260}" name="آبار عاملة TAZ" dataDxfId="159" totalsRowDxfId="158" dataCellStyle="Normal 2"/>
    <tableColumn id="16" xr3:uid="{B716E35D-9012-40EA-AC38-60E9F6339C0D}" name="آبار احتياطية" dataDxfId="157" totalsRowDxfId="156" dataCellStyle="Normal 2"/>
    <tableColumn id="26" xr3:uid="{BEC03712-E2DC-4DF5-9B30-7E545FD4FB18}" name="آبار منتجة SAR" dataDxfId="155" totalsRowDxfId="154" dataCellStyle="Normal 2"/>
    <tableColumn id="25" xr3:uid="{5D056D5F-DD4D-4B13-9030-D38421746905}" name="إنتاج آبار  SAR" dataDxfId="153" totalsRowDxfId="152" dataCellStyle="Normal 2"/>
    <tableColumn id="24" xr3:uid="{E0F5724B-8BCB-47AC-BCF7-0DBD0CF9C33E}" name="آبار احتياطية  SAR" dataDxfId="151" totalsRowDxfId="150" dataCellStyle="Normal 2"/>
    <tableColumn id="8" xr3:uid="{61D18039-EDAC-4612-86A4-AFF23A4064AC}" name="خط (T/B  TOT) SAR" dataDxfId="149" totalsRowDxfId="148" dataCellStyle="Normal 2"/>
    <tableColumn id="22" xr3:uid="{2C3F81BA-C095-49B2-BF14-75F548667ECB}" name="خط (S/S  TOT) SAR2" dataDxfId="147" totalsRowDxfId="146" dataCellStyle="Normal 2"/>
    <tableColumn id="38" xr3:uid="{1679208C-75B3-4E3C-A4D6-0EECE2F8E911}" name="(S/S+TB)SAR" dataDxfId="145" totalsRowDxfId="144" dataCellStyle="Normal 2">
      <calculatedColumnFormula>TABL12345[[#This Row],[خط (T/B  TOT) SAR]]+TABL12345[[#This Row],[خط (S/S  TOT) SAR2]]</calculatedColumnFormula>
    </tableColumn>
    <tableColumn id="21" xr3:uid="{D2194429-B14F-4E7B-97D2-E7110F4C07FC}" name="خط TAZ/SAR" dataDxfId="143" totalsRowDxfId="142" dataCellStyle="Normal 2"/>
    <tableColumn id="20" xr3:uid="{35B39C80-C517-4DB5-B3E6-2C24ACD3BA7C}" name=" % ECV SAR" dataDxfId="141" totalsRowDxfId="140" dataCellStyle="Normal 2"/>
    <tableColumn id="6" xr3:uid="{22D7E0F8-B392-42D3-806C-5E133C18B9F0}" name="الضغط ECV (bar) SAR" dataDxfId="139" totalsRowDxfId="138" dataCellStyle="Normal 2"/>
    <tableColumn id="3" xr3:uid="{3907C5E1-E143-4AF6-8647-6264088EB00F}" name="(S/S TOT) AJD" dataDxfId="137" totalsRowDxfId="136"/>
    <tableColumn id="36" xr3:uid="{1631F47D-658D-4528-AA1F-B9937050D436}" name="الفرق بين بداية ونهاية خط  S/S" dataDxfId="135" totalsRowDxfId="134">
      <calculatedColumnFormula>TABL12345[[#This Row],[خط (S/S  TOT) SAR2]]-TABL12345[[#This Row],[(S/S TOT) AJD]]</calculatedColumnFormula>
    </tableColumn>
    <tableColumn id="5" xr3:uid="{D53678E2-A269-4C4F-8B0A-9BAE8FA907ED}" name="(T/B TOT) AJD" dataDxfId="133" totalsRowDxfId="132"/>
    <tableColumn id="35" xr3:uid="{5D374896-D11B-4B17-A855-150CE88C0760}" name="الفرق بين بداية ونهاية خط  T/B" dataDxfId="131" totalsRowDxfId="130">
      <calculatedColumnFormula>TABL12345[[#This Row],[خط (T/B  TOT) SAR]]-TABL12345[[#This Row],[(T/B TOT) AJD]]</calculatedColumnFormula>
    </tableColumn>
    <tableColumn id="37" xr3:uid="{09D6D753-1A3C-4535-BA78-4BF8327D882B}" name="الفرق بين السرير و اجدابيا (الإستهلاك)" dataDxfId="129" totalsRowDxfId="128">
      <calculatedColumnFormula>TABL12345[[#This Row],[الفرق بين بداية ونهاية خط  S/S]]+TABL12345[[#This Row],[الفرق بين بداية ونهاية خط  T/B]]</calculatedColumnFormula>
    </tableColumn>
    <tableColumn id="13" xr3:uid="{C58643E7-024E-443D-83D0-9EB1C639B54D}" name="( S/S+T/B) AJD" dataDxfId="127" totalsRowDxfId="126">
      <calculatedColumnFormula>O2+Q2</calculatedColumnFormula>
    </tableColumn>
    <tableColumn id="7" xr3:uid="{78547799-DE98-4575-BA47-DD3795A95957}" name="(A/B TOT) AJD" dataDxfId="125" totalsRowDxfId="124"/>
    <tableColumn id="9" xr3:uid="{07CD512D-7DBD-4DD8-A984-F7676F67A268}" name="(A/S TOT) AJD" dataDxfId="123" totalsRowDxfId="122"/>
    <tableColumn id="14" xr3:uid="{0213E337-B3B2-47BB-B8E3-6770CDF25454}" name="(A/B + A/S) AJD" dataDxfId="121" totalsRowDxfId="120">
      <calculatedColumnFormula>U2+V2</calculatedColumnFormula>
    </tableColumn>
    <tableColumn id="15" xr3:uid="{84EC5F01-D93C-4CD0-894A-EF313BB95D21}" name="(IN - OUT) AJD" dataDxfId="119" totalsRowDxfId="118">
      <calculatedColumnFormula>T2-W2</calculatedColumnFormula>
    </tableColumn>
    <tableColumn id="10" xr3:uid="{0BD7EC09-04AD-4217-9B85-C8B6B7E453F7}" name="(RES. LEVEL) AJD" dataDxfId="117" totalsRowDxfId="116"/>
    <tableColumn id="11" xr3:uid="{E3E279F5-1486-4471-939B-55F7B0DA545B}" name="(RESV. STORGE) AJD" dataDxfId="115" totalsRowDxfId="114"/>
    <tableColumn id="40" xr3:uid="{AF2423A7-B305-48AC-A45C-F40DDE6E1EDC}" name="AJD المخزون * 10" dataDxfId="113" totalsRowDxfId="112" dataCellStyle="Normal 2">
      <calculatedColumnFormula>TABL12345[[#This Row],[(RESV. STORGE) AJD]]/10</calculatedColumnFormula>
    </tableColumn>
    <tableColumn id="4" xr3:uid="{349662B3-3FED-4026-98BD-67FC3B66D23C}" name="(STORGE DIFF.) AJD" dataDxfId="111" totalsRowDxfId="110"/>
    <tableColumn id="12" xr3:uid="{852CAD1E-93C7-4B16-AA21-29103890C024}" name="البخر  AJD" dataDxfId="109" totalsRowDxfId="108" dataCellStyle="Normal 2"/>
    <tableColumn id="39" xr3:uid="{E8544CA2-A272-4E28-9BF8-A6613CA962F9}" name="الفاقد في خزان اجدابيا" dataDxfId="107" totalsRowDxfId="106">
      <calculatedColumnFormula>(TABL12345[[#This Row],[( S/S+T/B) AJD]]*1000)-((TABL12345[[#This Row],[(STORGE DIFF.) AJD]]*1000)+TABL12345[[#This Row],[البخر  AJD]]+(TABL12345[[#This Row],[(A/B + A/S) AJD]]*1000))</calculatedColumnFormula>
    </tableColumn>
    <tableColumn id="30" xr3:uid="{D5ED7AC2-6D51-4E79-8A60-BA6A9C05CE5E}" name="BER_ IN" dataDxfId="105" totalsRowDxfId="104"/>
    <tableColumn id="31" xr3:uid="{6AB09860-41B2-43B9-9D14-E120039D4952}" name="(RES. LEVEL) BER" dataDxfId="103" totalsRowDxfId="102"/>
    <tableColumn id="28" xr3:uid="{49154F88-FC89-408C-8485-83AC6DB6FE9D}" name=" (RESV. STORGE) BER" dataDxfId="101" totalsRowDxfId="100"/>
    <tableColumn id="29" xr3:uid="{57AD5D30-9B52-48CE-81E9-4506CB0FF416}" name="BER المخزون * 10" dataDxfId="99" totalsRowDxfId="98">
      <calculatedColumnFormula>TABL12345[[#This Row],[ (RESV. STORGE) BER]]/10</calculatedColumnFormula>
    </tableColumn>
    <tableColumn id="34" xr3:uid="{03FFF891-77B0-43E4-9D01-7AA2BB5AEA1B}" name="البخر  BER" dataDxfId="97" totalsRowDxfId="96"/>
    <tableColumn id="32" xr3:uid="{03EB162E-C5F0-4278-B7BA-4E7D6BDCA6AC}" name=" إستهلاك AJD(A/B) - BER.IN" dataDxfId="95" totalsRowDxfId="94">
      <calculatedColumnFormula>TABL12345[[#This Row],[(A/B TOT) AJD]]-TABL12345[[#This Row],[BER_ IN]]</calculatedColumnFormula>
    </tableColumn>
    <tableColumn id="33" xr3:uid="{A605DDD5-2F17-45B7-899A-FD1B18D252A5}" name="SER_ IN" dataDxfId="93" totalsRowDxfId="92"/>
    <tableColumn id="27" xr3:uid="{8EAA7A02-F906-476E-939D-D3BC9104B7ED}" name="(RES. LEVEL) SER " dataDxfId="91" totalsRowDxfId="90"/>
    <tableColumn id="2" xr3:uid="{8AA4184C-E831-4C5F-85E8-3E83C570A450}" name=" (RESV. STORGE) SER" dataDxfId="89" totalsRowDxfId="88" dataCellStyle="Normal 2"/>
    <tableColumn id="23" xr3:uid="{A3F2F42E-A42B-4160-AB32-0553ADC6D120}" name="SER المخزون * 10" dataDxfId="87" totalsRowDxfId="86" dataCellStyle="Normal 2">
      <calculatedColumnFormula>TABL12345[[#This Row],[ (RESV. STORGE) SER]]/10</calculatedColumnFormula>
    </tableColumn>
    <tableColumn id="41" xr3:uid="{9BF764BC-F0F0-4E32-9F3F-BA2F58E16484}" name="البخر  SER" dataDxfId="85"/>
    <tableColumn id="42" xr3:uid="{569575F4-872C-43F8-A630-9E5D78196769}" name="إستهلاك AJD(A/S) - SER.IN" dataDxfId="84">
      <calculatedColumnFormula>TABL12345[[#This Row],[(A/S TOT) AJD]]-TABL12345[[#This Row],[SER_ IN]]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32E-A2AB-493E-A826-55C503A85E2B}">
  <dimension ref="A1:AP367"/>
  <sheetViews>
    <sheetView rightToLeft="1" tabSelected="1" topLeftCell="T121" zoomScale="115" zoomScaleNormal="115" workbookViewId="0">
      <selection activeCell="AD2" sqref="AD2"/>
    </sheetView>
  </sheetViews>
  <sheetFormatPr defaultRowHeight="15" x14ac:dyDescent="0.25"/>
  <cols>
    <col min="1" max="1" width="12.5" customWidth="1"/>
    <col min="2" max="2" width="7.875" style="56" customWidth="1"/>
    <col min="3" max="3" width="8.125" style="56" customWidth="1"/>
    <col min="4" max="4" width="7.75" style="56" customWidth="1"/>
    <col min="5" max="5" width="8.25" style="56" customWidth="1"/>
    <col min="6" max="6" width="8.125" style="56" customWidth="1"/>
    <col min="7" max="7" width="8" style="56" customWidth="1"/>
    <col min="8" max="8" width="7.25" style="56" customWidth="1"/>
    <col min="9" max="9" width="9.375" style="56" customWidth="1"/>
    <col min="10" max="11" width="10.625" style="56" customWidth="1"/>
    <col min="12" max="12" width="11.375" style="56" customWidth="1"/>
    <col min="13" max="13" width="10.625" style="57" customWidth="1"/>
    <col min="14" max="14" width="8.25" style="58" customWidth="1"/>
    <col min="15" max="15" width="10.375" style="7" customWidth="1"/>
    <col min="16" max="16" width="7.875" style="7" customWidth="1"/>
    <col min="17" max="17" width="8.875" style="7" customWidth="1"/>
    <col min="18" max="19" width="10.5" style="7" customWidth="1"/>
    <col min="20" max="20" width="9.75" style="7" customWidth="1"/>
    <col min="21" max="21" width="7" style="7" customWidth="1"/>
    <col min="22" max="22" width="6.875" style="7" customWidth="1"/>
    <col min="23" max="23" width="8.5" style="7" customWidth="1"/>
    <col min="24" max="24" width="11.125" style="7" customWidth="1"/>
    <col min="25" max="25" width="10.875" style="7" customWidth="1"/>
    <col min="26" max="27" width="9.125" style="7" customWidth="1"/>
    <col min="28" max="29" width="9.625" style="7" customWidth="1"/>
    <col min="30" max="30" width="15.75" style="7" customWidth="1"/>
    <col min="31" max="32" width="9.625" style="7" customWidth="1"/>
    <col min="33" max="33" width="11.25" style="7" customWidth="1"/>
    <col min="34" max="34" width="12.5" style="7" customWidth="1"/>
    <col min="35" max="35" width="9.625" style="7" customWidth="1"/>
    <col min="36" max="36" width="14.25" style="7" customWidth="1"/>
    <col min="37" max="38" width="9.625" style="7" customWidth="1"/>
    <col min="39" max="40" width="14.5" style="7" customWidth="1"/>
    <col min="41" max="41" width="9.625" style="7" customWidth="1"/>
    <col min="42" max="42" width="11.625" style="7" customWidth="1"/>
  </cols>
  <sheetData>
    <row r="1" spans="1:42" s="27" customFormat="1" ht="55.5" customHeight="1" x14ac:dyDescent="0.2">
      <c r="A1" s="22" t="s">
        <v>0</v>
      </c>
      <c r="B1" s="23" t="s">
        <v>14</v>
      </c>
      <c r="C1" s="23" t="s">
        <v>15</v>
      </c>
      <c r="D1" s="23" t="s">
        <v>16</v>
      </c>
      <c r="E1" s="23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23</v>
      </c>
      <c r="L1" s="25" t="s">
        <v>24</v>
      </c>
      <c r="M1" s="25" t="s">
        <v>25</v>
      </c>
      <c r="N1" s="25" t="s">
        <v>26</v>
      </c>
      <c r="O1" s="26" t="s">
        <v>8</v>
      </c>
      <c r="P1" s="26" t="s">
        <v>9</v>
      </c>
      <c r="Q1" s="26" t="s">
        <v>10</v>
      </c>
      <c r="R1" s="26" t="s">
        <v>11</v>
      </c>
      <c r="S1" s="26" t="s">
        <v>27</v>
      </c>
      <c r="T1" s="26" t="s">
        <v>12</v>
      </c>
      <c r="U1" s="26" t="s">
        <v>1</v>
      </c>
      <c r="V1" s="26" t="s">
        <v>2</v>
      </c>
      <c r="W1" s="26" t="s">
        <v>3</v>
      </c>
      <c r="X1" s="26" t="s">
        <v>13</v>
      </c>
      <c r="Y1" s="26" t="s">
        <v>4</v>
      </c>
      <c r="Z1" s="26" t="s">
        <v>5</v>
      </c>
      <c r="AA1" s="26" t="s">
        <v>39</v>
      </c>
      <c r="AB1" s="26" t="s">
        <v>6</v>
      </c>
      <c r="AC1" s="26" t="s">
        <v>7</v>
      </c>
      <c r="AD1" s="26" t="s">
        <v>28</v>
      </c>
      <c r="AE1" s="1" t="s">
        <v>29</v>
      </c>
      <c r="AF1" s="1" t="s">
        <v>30</v>
      </c>
      <c r="AG1" s="1" t="s">
        <v>31</v>
      </c>
      <c r="AH1" s="1" t="s">
        <v>40</v>
      </c>
      <c r="AI1" s="1" t="s">
        <v>32</v>
      </c>
      <c r="AJ1" s="1" t="s">
        <v>33</v>
      </c>
      <c r="AK1" s="26" t="s">
        <v>34</v>
      </c>
      <c r="AL1" s="26" t="s">
        <v>35</v>
      </c>
      <c r="AM1" s="26" t="s">
        <v>36</v>
      </c>
      <c r="AN1" s="26" t="s">
        <v>41</v>
      </c>
      <c r="AO1" s="26" t="s">
        <v>37</v>
      </c>
      <c r="AP1" s="26" t="s">
        <v>38</v>
      </c>
    </row>
    <row r="2" spans="1:42" x14ac:dyDescent="0.25">
      <c r="A2" s="2">
        <v>45658</v>
      </c>
      <c r="B2" s="28">
        <v>37</v>
      </c>
      <c r="C2" s="28">
        <v>306</v>
      </c>
      <c r="D2" s="28">
        <v>37</v>
      </c>
      <c r="E2" s="28">
        <v>0</v>
      </c>
      <c r="F2" s="28">
        <v>87</v>
      </c>
      <c r="G2" s="28">
        <v>543</v>
      </c>
      <c r="H2" s="28">
        <v>1</v>
      </c>
      <c r="I2" s="28">
        <v>414</v>
      </c>
      <c r="J2" s="28">
        <v>433</v>
      </c>
      <c r="K2" s="28">
        <f>TABL12[[#This Row],[خط (T/B  TOT) SAR]]+TABL12[[#This Row],[خط (S/S  TOT) SAR2]]</f>
        <v>847</v>
      </c>
      <c r="L2" s="28">
        <v>312</v>
      </c>
      <c r="M2" s="29">
        <v>24.7</v>
      </c>
      <c r="N2" s="30">
        <v>7.31</v>
      </c>
      <c r="O2" s="3">
        <v>387</v>
      </c>
      <c r="P2" s="3">
        <f>TABL12[[#This Row],[خط (S/S  TOT) SAR2]]-TABL12[[#This Row],[(S/S TOT) AJD]]</f>
        <v>46</v>
      </c>
      <c r="Q2" s="3">
        <v>426</v>
      </c>
      <c r="R2" s="3">
        <f>TABL12[[#This Row],[خط (T/B  TOT) SAR]]-TABL12[[#This Row],[(T/B TOT) AJD]]</f>
        <v>-12</v>
      </c>
      <c r="S2" s="3">
        <f>TABL12[[#This Row],[الفرق بين بداية ونهاية خط  S/S]]+TABL12[[#This Row],[الفرق بين بداية ونهاية خط  T/B]]</f>
        <v>34</v>
      </c>
      <c r="T2" s="3">
        <f t="shared" ref="T2:T65" si="0">O2+Q2</f>
        <v>813</v>
      </c>
      <c r="U2" s="3">
        <v>514</v>
      </c>
      <c r="V2" s="3">
        <v>264</v>
      </c>
      <c r="W2" s="3">
        <f t="shared" ref="W2:W65" si="1">U2+V2</f>
        <v>778</v>
      </c>
      <c r="X2" s="3">
        <f t="shared" ref="X2:X65" si="2">T2-W2</f>
        <v>35</v>
      </c>
      <c r="Y2" s="4">
        <v>93.852000000000004</v>
      </c>
      <c r="Z2" s="3">
        <v>1309529</v>
      </c>
      <c r="AA2" s="3">
        <f>TABL12[[#This Row],[(RESV. STORGE) AJD]]/10</f>
        <v>130952.9</v>
      </c>
      <c r="AB2" s="3">
        <v>-10</v>
      </c>
      <c r="AC2" s="5">
        <v>901</v>
      </c>
      <c r="AD2" s="5">
        <f>TABL12[[#This Row],[( S/S+T/B) AJD]]-(TABL12[[#This Row],[(A/B + A/S) AJD]]+(TABL12[[#This Row],[(STORGE DIFF.) AJD]])+TABL12[[#This Row],[البخر  AJD]]/1000)</f>
        <v>44.099000000000046</v>
      </c>
      <c r="AE2" s="5">
        <v>60</v>
      </c>
      <c r="AF2" s="31">
        <v>59.040999999999997</v>
      </c>
      <c r="AG2" s="5">
        <v>1650725</v>
      </c>
      <c r="AH2" s="5">
        <f>TABL12[[#This Row],[ (RESV. STORGE) BER]]/10</f>
        <v>165072.5</v>
      </c>
      <c r="AI2" s="5">
        <v>1667</v>
      </c>
      <c r="AJ2" s="5">
        <f>TABL12[[#This Row],[(A/B TOT) AJD]]-TABL12[[#This Row],[BER_ IN]]</f>
        <v>454</v>
      </c>
      <c r="AK2" s="5">
        <v>52</v>
      </c>
      <c r="AL2" s="31">
        <v>43.899000000000001</v>
      </c>
      <c r="AM2" s="5">
        <v>3597900</v>
      </c>
      <c r="AN2" s="5">
        <f>TABL12[[#This Row],[ (RESV. STORGE) SER]]/10</f>
        <v>359790</v>
      </c>
      <c r="AO2" s="5">
        <v>540</v>
      </c>
      <c r="AP2" s="32">
        <f>TABL12[[#This Row],[(A/S TOT) AJD]]-TABL12[[#This Row],[SER_ IN]]</f>
        <v>212</v>
      </c>
    </row>
    <row r="3" spans="1:42" x14ac:dyDescent="0.25">
      <c r="A3" s="2">
        <v>45659</v>
      </c>
      <c r="B3" s="28">
        <v>35</v>
      </c>
      <c r="C3" s="28">
        <v>306</v>
      </c>
      <c r="D3" s="28">
        <v>36</v>
      </c>
      <c r="E3" s="28">
        <v>0</v>
      </c>
      <c r="F3" s="28">
        <v>88</v>
      </c>
      <c r="G3" s="28">
        <v>543</v>
      </c>
      <c r="H3" s="28">
        <v>0</v>
      </c>
      <c r="I3" s="28">
        <v>408</v>
      </c>
      <c r="J3" s="28">
        <v>425</v>
      </c>
      <c r="K3" s="28">
        <f>TABL12[[#This Row],[خط (T/B  TOT) SAR]]+TABL12[[#This Row],[خط (S/S  TOT) SAR2]]</f>
        <v>833</v>
      </c>
      <c r="L3" s="28">
        <v>310</v>
      </c>
      <c r="M3" s="29">
        <v>24.3</v>
      </c>
      <c r="N3" s="30">
        <v>7.2</v>
      </c>
      <c r="O3" s="3">
        <v>386</v>
      </c>
      <c r="P3" s="3">
        <f>TABL12[[#This Row],[خط (S/S  TOT) SAR2]]-TABL12[[#This Row],[(S/S TOT) AJD]]</f>
        <v>39</v>
      </c>
      <c r="Q3" s="3">
        <v>425</v>
      </c>
      <c r="R3" s="3">
        <f>TABL12[[#This Row],[خط (T/B  TOT) SAR]]-TABL12[[#This Row],[(T/B TOT) AJD]]</f>
        <v>-17</v>
      </c>
      <c r="S3" s="3">
        <f>TABL12[[#This Row],[الفرق بين بداية ونهاية خط  S/S]]+TABL12[[#This Row],[الفرق بين بداية ونهاية خط  T/B]]</f>
        <v>22</v>
      </c>
      <c r="T3" s="3">
        <f t="shared" si="0"/>
        <v>811</v>
      </c>
      <c r="U3" s="3">
        <v>513</v>
      </c>
      <c r="V3" s="3">
        <v>268</v>
      </c>
      <c r="W3" s="3">
        <f t="shared" si="1"/>
        <v>781</v>
      </c>
      <c r="X3" s="3">
        <f t="shared" si="2"/>
        <v>30</v>
      </c>
      <c r="Y3" s="4">
        <v>93.82</v>
      </c>
      <c r="Z3" s="3">
        <v>1290113</v>
      </c>
      <c r="AA3" s="3">
        <f>TABL12[[#This Row],[(RESV. STORGE) AJD]]/10</f>
        <v>129011.3</v>
      </c>
      <c r="AB3" s="3">
        <f>(Z3-Z2)/1000</f>
        <v>-19.416</v>
      </c>
      <c r="AC3" s="6">
        <v>798</v>
      </c>
      <c r="AD3" s="5">
        <f>TABL12[[#This Row],[( S/S+T/B) AJD]]-(TABL12[[#This Row],[(A/B + A/S) AJD]]+(TABL12[[#This Row],[(STORGE DIFF.) AJD]])+TABL12[[#This Row],[البخر  AJD]]/1000)</f>
        <v>48.618000000000052</v>
      </c>
      <c r="AE3" s="6">
        <v>60</v>
      </c>
      <c r="AF3" s="33">
        <v>59.069000000000003</v>
      </c>
      <c r="AG3" s="6">
        <v>1669224</v>
      </c>
      <c r="AH3" s="6">
        <f>TABL12[[#This Row],[ (RESV. STORGE) BER]]/10</f>
        <v>166922.4</v>
      </c>
      <c r="AI3" s="6">
        <v>1661</v>
      </c>
      <c r="AJ3" s="6">
        <f>TABL12[[#This Row],[(A/B TOT) AJD]]-TABL12[[#This Row],[BER_ IN]]</f>
        <v>453</v>
      </c>
      <c r="AK3" s="6">
        <v>48</v>
      </c>
      <c r="AL3" s="33">
        <v>43.985300000000002</v>
      </c>
      <c r="AM3" s="6">
        <v>3644980</v>
      </c>
      <c r="AN3" s="6">
        <f>TABL12[[#This Row],[ (RESV. STORGE) SER]]/10</f>
        <v>364498</v>
      </c>
      <c r="AO3" s="6">
        <v>920</v>
      </c>
      <c r="AP3" s="32">
        <f>TABL12[[#This Row],[(A/S TOT) AJD]]-TABL12[[#This Row],[SER_ IN]]</f>
        <v>220</v>
      </c>
    </row>
    <row r="4" spans="1:42" x14ac:dyDescent="0.25">
      <c r="A4" s="2">
        <v>45660</v>
      </c>
      <c r="B4" s="28">
        <v>36</v>
      </c>
      <c r="C4" s="28">
        <v>302</v>
      </c>
      <c r="D4" s="28">
        <v>36</v>
      </c>
      <c r="E4" s="28">
        <v>0</v>
      </c>
      <c r="F4" s="28">
        <v>88</v>
      </c>
      <c r="G4" s="28">
        <v>553</v>
      </c>
      <c r="H4" s="28">
        <v>0</v>
      </c>
      <c r="I4" s="28">
        <v>407</v>
      </c>
      <c r="J4" s="28">
        <v>425</v>
      </c>
      <c r="K4" s="28">
        <f>TABL12[[#This Row],[خط (T/B  TOT) SAR]]+TABL12[[#This Row],[خط (S/S  TOT) SAR2]]</f>
        <v>832</v>
      </c>
      <c r="L4" s="28">
        <v>295</v>
      </c>
      <c r="M4" s="29">
        <v>24.4</v>
      </c>
      <c r="N4" s="30">
        <v>7.18</v>
      </c>
      <c r="O4" s="3">
        <v>383</v>
      </c>
      <c r="P4" s="3">
        <f>TABL12[[#This Row],[خط (S/S  TOT) SAR2]]-TABL12[[#This Row],[(S/S TOT) AJD]]</f>
        <v>42</v>
      </c>
      <c r="Q4" s="3">
        <v>423</v>
      </c>
      <c r="R4" s="3">
        <f>TABL12[[#This Row],[خط (T/B  TOT) SAR]]-TABL12[[#This Row],[(T/B TOT) AJD]]</f>
        <v>-16</v>
      </c>
      <c r="S4" s="3">
        <f>TABL12[[#This Row],[الفرق بين بداية ونهاية خط  S/S]]+TABL12[[#This Row],[الفرق بين بداية ونهاية خط  T/B]]</f>
        <v>26</v>
      </c>
      <c r="T4" s="3">
        <f t="shared" si="0"/>
        <v>806</v>
      </c>
      <c r="U4" s="3">
        <v>519</v>
      </c>
      <c r="V4" s="3">
        <v>259</v>
      </c>
      <c r="W4" s="3">
        <f t="shared" si="1"/>
        <v>778</v>
      </c>
      <c r="X4" s="3">
        <f t="shared" si="2"/>
        <v>28</v>
      </c>
      <c r="Y4" s="4">
        <v>93.74</v>
      </c>
      <c r="Z4" s="3">
        <v>1241611</v>
      </c>
      <c r="AA4" s="3">
        <f>TABL12[[#This Row],[(RESV. STORGE) AJD]]/10</f>
        <v>124161.1</v>
      </c>
      <c r="AB4" s="3">
        <f t="shared" ref="AB4:AB66" si="3">(Z4-Z3)/1000</f>
        <v>-48.502000000000002</v>
      </c>
      <c r="AC4" s="6">
        <v>849</v>
      </c>
      <c r="AD4" s="5">
        <f>TABL12[[#This Row],[( S/S+T/B) AJD]]-(TABL12[[#This Row],[(A/B + A/S) AJD]]+(TABL12[[#This Row],[(STORGE DIFF.) AJD]])+TABL12[[#This Row],[البخر  AJD]]/1000)</f>
        <v>75.652999999999906</v>
      </c>
      <c r="AE4" s="6">
        <v>60</v>
      </c>
      <c r="AF4" s="33">
        <v>59.097999999999999</v>
      </c>
      <c r="AG4" s="6">
        <v>1688390</v>
      </c>
      <c r="AH4" s="6">
        <f>TABL12[[#This Row],[ (RESV. STORGE) BER]]/10</f>
        <v>168839</v>
      </c>
      <c r="AI4" s="6">
        <v>1654</v>
      </c>
      <c r="AJ4" s="6">
        <f>TABL12[[#This Row],[(A/B TOT) AJD]]-TABL12[[#This Row],[BER_ IN]]</f>
        <v>459</v>
      </c>
      <c r="AK4" s="6">
        <v>42</v>
      </c>
      <c r="AL4" s="33">
        <v>44.053899999999999</v>
      </c>
      <c r="AM4" s="6">
        <v>3683240</v>
      </c>
      <c r="AN4" s="6">
        <f>TABL12[[#This Row],[ (RESV. STORGE) SER]]/10</f>
        <v>368324</v>
      </c>
      <c r="AO4" s="6">
        <v>680</v>
      </c>
      <c r="AP4" s="32">
        <f>TABL12[[#This Row],[(A/S TOT) AJD]]-TABL12[[#This Row],[SER_ IN]]</f>
        <v>217</v>
      </c>
    </row>
    <row r="5" spans="1:42" x14ac:dyDescent="0.25">
      <c r="A5" s="2">
        <v>45661</v>
      </c>
      <c r="B5" s="28">
        <v>34</v>
      </c>
      <c r="C5" s="28">
        <v>290</v>
      </c>
      <c r="D5" s="28">
        <v>35</v>
      </c>
      <c r="E5" s="28">
        <v>0</v>
      </c>
      <c r="F5" s="28">
        <v>88</v>
      </c>
      <c r="G5" s="28">
        <v>539</v>
      </c>
      <c r="H5" s="28">
        <v>0</v>
      </c>
      <c r="I5" s="28">
        <v>401</v>
      </c>
      <c r="J5" s="28">
        <v>419</v>
      </c>
      <c r="K5" s="28">
        <f>TABL12[[#This Row],[خط (T/B  TOT) SAR]]+TABL12[[#This Row],[خط (S/S  TOT) SAR2]]</f>
        <v>820</v>
      </c>
      <c r="L5" s="28">
        <v>296</v>
      </c>
      <c r="M5" s="29">
        <v>24.4</v>
      </c>
      <c r="N5" s="30">
        <v>7.15</v>
      </c>
      <c r="O5" s="3">
        <v>377</v>
      </c>
      <c r="P5" s="3">
        <f>TABL12[[#This Row],[خط (S/S  TOT) SAR2]]-TABL12[[#This Row],[(S/S TOT) AJD]]</f>
        <v>42</v>
      </c>
      <c r="Q5" s="3">
        <v>416</v>
      </c>
      <c r="R5" s="3">
        <f>TABL12[[#This Row],[خط (T/B  TOT) SAR]]-TABL12[[#This Row],[(T/B TOT) AJD]]</f>
        <v>-15</v>
      </c>
      <c r="S5" s="3">
        <f>TABL12[[#This Row],[الفرق بين بداية ونهاية خط  S/S]]+TABL12[[#This Row],[الفرق بين بداية ونهاية خط  T/B]]</f>
        <v>27</v>
      </c>
      <c r="T5" s="3">
        <f t="shared" si="0"/>
        <v>793</v>
      </c>
      <c r="U5" s="3">
        <v>520</v>
      </c>
      <c r="V5" s="3">
        <v>266</v>
      </c>
      <c r="W5" s="3">
        <f t="shared" si="1"/>
        <v>786</v>
      </c>
      <c r="X5" s="3">
        <f t="shared" si="2"/>
        <v>7</v>
      </c>
      <c r="Y5" s="4">
        <v>93.655000000000001</v>
      </c>
      <c r="Z5" s="3">
        <v>1190136</v>
      </c>
      <c r="AA5" s="3">
        <f>TABL12[[#This Row],[(RESV. STORGE) AJD]]/10</f>
        <v>119013.6</v>
      </c>
      <c r="AB5" s="3">
        <f t="shared" si="3"/>
        <v>-51.475000000000001</v>
      </c>
      <c r="AC5" s="6">
        <v>1000</v>
      </c>
      <c r="AD5" s="5">
        <f>TABL12[[#This Row],[( S/S+T/B) AJD]]-(TABL12[[#This Row],[(A/B + A/S) AJD]]+(TABL12[[#This Row],[(STORGE DIFF.) AJD]])+TABL12[[#This Row],[البخر  AJD]]/1000)</f>
        <v>57.475000000000023</v>
      </c>
      <c r="AE5" s="6">
        <v>60</v>
      </c>
      <c r="AF5" s="33">
        <v>59.13</v>
      </c>
      <c r="AG5" s="6">
        <v>1709548</v>
      </c>
      <c r="AH5" s="6">
        <f>TABL12[[#This Row],[ (RESV. STORGE) BER]]/10</f>
        <v>170954.8</v>
      </c>
      <c r="AI5" s="6">
        <v>1661</v>
      </c>
      <c r="AJ5" s="6">
        <f>TABL12[[#This Row],[(A/B TOT) AJD]]-TABL12[[#This Row],[BER_ IN]]</f>
        <v>460</v>
      </c>
      <c r="AK5" s="6">
        <v>42</v>
      </c>
      <c r="AL5" s="33">
        <v>44.128399999999999</v>
      </c>
      <c r="AM5" s="6">
        <v>3723631</v>
      </c>
      <c r="AN5" s="6">
        <f>TABL12[[#This Row],[ (RESV. STORGE) SER]]/10</f>
        <v>372363.1</v>
      </c>
      <c r="AO5" s="6">
        <v>580</v>
      </c>
      <c r="AP5" s="32">
        <f>TABL12[[#This Row],[(A/S TOT) AJD]]-TABL12[[#This Row],[SER_ IN]]</f>
        <v>224</v>
      </c>
    </row>
    <row r="6" spans="1:42" x14ac:dyDescent="0.25">
      <c r="A6" s="2">
        <v>45662</v>
      </c>
      <c r="B6" s="28">
        <v>36</v>
      </c>
      <c r="C6" s="28">
        <v>303</v>
      </c>
      <c r="D6" s="28">
        <v>36</v>
      </c>
      <c r="E6" s="28">
        <v>0</v>
      </c>
      <c r="F6" s="28">
        <v>88</v>
      </c>
      <c r="G6" s="28">
        <v>540</v>
      </c>
      <c r="H6" s="28">
        <v>0</v>
      </c>
      <c r="I6" s="28">
        <v>397</v>
      </c>
      <c r="J6" s="28">
        <v>413</v>
      </c>
      <c r="K6" s="28">
        <f>TABL12[[#This Row],[خط (T/B  TOT) SAR]]+TABL12[[#This Row],[خط (S/S  TOT) SAR2]]</f>
        <v>810</v>
      </c>
      <c r="L6" s="28">
        <v>286</v>
      </c>
      <c r="M6" s="29">
        <v>23.6</v>
      </c>
      <c r="N6" s="30">
        <v>7.19</v>
      </c>
      <c r="O6" s="3">
        <v>372</v>
      </c>
      <c r="P6" s="3">
        <f>TABL12[[#This Row],[خط (S/S  TOT) SAR2]]-TABL12[[#This Row],[(S/S TOT) AJD]]</f>
        <v>41</v>
      </c>
      <c r="Q6" s="3">
        <v>412</v>
      </c>
      <c r="R6" s="3">
        <f>TABL12[[#This Row],[خط (T/B  TOT) SAR]]-TABL12[[#This Row],[(T/B TOT) AJD]]</f>
        <v>-15</v>
      </c>
      <c r="S6" s="3">
        <f>TABL12[[#This Row],[الفرق بين بداية ونهاية خط  S/S]]+TABL12[[#This Row],[الفرق بين بداية ونهاية خط  T/B]]</f>
        <v>26</v>
      </c>
      <c r="T6" s="3">
        <f t="shared" si="0"/>
        <v>784</v>
      </c>
      <c r="U6" s="3">
        <v>515</v>
      </c>
      <c r="V6" s="3">
        <v>263</v>
      </c>
      <c r="W6" s="3">
        <f t="shared" si="1"/>
        <v>778</v>
      </c>
      <c r="X6" s="3">
        <f t="shared" si="2"/>
        <v>6</v>
      </c>
      <c r="Y6" s="4">
        <v>93.597999999999999</v>
      </c>
      <c r="Z6" s="3">
        <v>1155652</v>
      </c>
      <c r="AA6" s="3">
        <f>TABL12[[#This Row],[(RESV. STORGE) AJD]]/10</f>
        <v>115565.2</v>
      </c>
      <c r="AB6" s="3">
        <f t="shared" si="3"/>
        <v>-34.484000000000002</v>
      </c>
      <c r="AC6" s="6">
        <v>1118</v>
      </c>
      <c r="AD6" s="5">
        <f>TABL12[[#This Row],[( S/S+T/B) AJD]]-(TABL12[[#This Row],[(A/B + A/S) AJD]]+(TABL12[[#This Row],[(STORGE DIFF.) AJD]])+TABL12[[#This Row],[البخر  AJD]]/1000)</f>
        <v>39.365999999999985</v>
      </c>
      <c r="AE6" s="6">
        <v>60</v>
      </c>
      <c r="AF6" s="33">
        <v>59.158000000000001</v>
      </c>
      <c r="AG6" s="6">
        <v>1728069</v>
      </c>
      <c r="AH6" s="6">
        <f>TABL12[[#This Row],[ (RESV. STORGE) BER]]/10</f>
        <v>172806.9</v>
      </c>
      <c r="AI6" s="6">
        <v>1639</v>
      </c>
      <c r="AJ6" s="6">
        <f>TABL12[[#This Row],[(A/B TOT) AJD]]-TABL12[[#This Row],[BER_ IN]]</f>
        <v>455</v>
      </c>
      <c r="AK6" s="6">
        <v>40</v>
      </c>
      <c r="AL6" s="33">
        <v>44.189799999999998</v>
      </c>
      <c r="AM6" s="6">
        <v>3757756</v>
      </c>
      <c r="AN6" s="6">
        <f>TABL12[[#This Row],[ (RESV. STORGE) SER]]/10</f>
        <v>375775.6</v>
      </c>
      <c r="AO6" s="6">
        <v>610</v>
      </c>
      <c r="AP6" s="32">
        <f>TABL12[[#This Row],[(A/S TOT) AJD]]-TABL12[[#This Row],[SER_ IN]]</f>
        <v>223</v>
      </c>
    </row>
    <row r="7" spans="1:42" x14ac:dyDescent="0.25">
      <c r="A7" s="2">
        <v>45663</v>
      </c>
      <c r="B7" s="28">
        <v>36</v>
      </c>
      <c r="C7" s="28">
        <v>308</v>
      </c>
      <c r="D7" s="28">
        <v>36</v>
      </c>
      <c r="E7" s="28">
        <v>0</v>
      </c>
      <c r="F7" s="28">
        <v>88</v>
      </c>
      <c r="G7" s="28">
        <v>533</v>
      </c>
      <c r="H7" s="28">
        <v>0</v>
      </c>
      <c r="I7" s="28">
        <v>401</v>
      </c>
      <c r="J7" s="28">
        <v>419</v>
      </c>
      <c r="K7" s="28">
        <f>TABL12[[#This Row],[خط (T/B  TOT) SAR]]+TABL12[[#This Row],[خط (S/S  TOT) SAR2]]</f>
        <v>820</v>
      </c>
      <c r="L7" s="28">
        <v>288</v>
      </c>
      <c r="M7" s="29">
        <v>23.6</v>
      </c>
      <c r="N7" s="30">
        <v>7.25</v>
      </c>
      <c r="O7" s="3">
        <v>369</v>
      </c>
      <c r="P7" s="3">
        <f>TABL12[[#This Row],[خط (S/S  TOT) SAR2]]-TABL12[[#This Row],[(S/S TOT) AJD]]</f>
        <v>50</v>
      </c>
      <c r="Q7" s="3">
        <v>410</v>
      </c>
      <c r="R7" s="3">
        <f>TABL12[[#This Row],[خط (T/B  TOT) SAR]]-TABL12[[#This Row],[(T/B TOT) AJD]]</f>
        <v>-9</v>
      </c>
      <c r="S7" s="3">
        <f>TABL12[[#This Row],[الفرق بين بداية ونهاية خط  S/S]]+TABL12[[#This Row],[الفرق بين بداية ونهاية خط  T/B]]</f>
        <v>41</v>
      </c>
      <c r="T7" s="3">
        <f t="shared" si="0"/>
        <v>779</v>
      </c>
      <c r="U7" s="3">
        <v>516</v>
      </c>
      <c r="V7" s="3">
        <v>269</v>
      </c>
      <c r="W7" s="3">
        <f t="shared" si="1"/>
        <v>785</v>
      </c>
      <c r="X7" s="3">
        <f t="shared" si="2"/>
        <v>-6</v>
      </c>
      <c r="Y7" s="4">
        <v>93.54</v>
      </c>
      <c r="Z7" s="3">
        <v>1120590</v>
      </c>
      <c r="AA7" s="3">
        <f>TABL12[[#This Row],[(RESV. STORGE) AJD]]/10</f>
        <v>112059</v>
      </c>
      <c r="AB7" s="3">
        <f t="shared" si="3"/>
        <v>-35.061999999999998</v>
      </c>
      <c r="AC7" s="6">
        <v>1176</v>
      </c>
      <c r="AD7" s="5">
        <f>TABL12[[#This Row],[( S/S+T/B) AJD]]-(TABL12[[#This Row],[(A/B + A/S) AJD]]+(TABL12[[#This Row],[(STORGE DIFF.) AJD]])+TABL12[[#This Row],[البخر  AJD]]/1000)</f>
        <v>27.885999999999967</v>
      </c>
      <c r="AE7" s="6">
        <v>60</v>
      </c>
      <c r="AF7" s="33">
        <v>59.185000000000002</v>
      </c>
      <c r="AG7" s="6">
        <v>1745935</v>
      </c>
      <c r="AH7" s="6">
        <f>TABL12[[#This Row],[ (RESV. STORGE) BER]]/10</f>
        <v>174593.5</v>
      </c>
      <c r="AI7" s="6">
        <v>2294</v>
      </c>
      <c r="AJ7" s="6">
        <f>TABL12[[#This Row],[(A/B TOT) AJD]]-TABL12[[#This Row],[BER_ IN]]</f>
        <v>456</v>
      </c>
      <c r="AK7" s="6">
        <v>42</v>
      </c>
      <c r="AL7" s="33">
        <v>44.266100000000002</v>
      </c>
      <c r="AM7" s="6">
        <v>3799600</v>
      </c>
      <c r="AN7" s="6">
        <f>TABL12[[#This Row],[ (RESV. STORGE) SER]]/10</f>
        <v>379960</v>
      </c>
      <c r="AO7" s="6">
        <v>156</v>
      </c>
      <c r="AP7" s="32">
        <f>TABL12[[#This Row],[(A/S TOT) AJD]]-TABL12[[#This Row],[SER_ IN]]</f>
        <v>227</v>
      </c>
    </row>
    <row r="8" spans="1:42" x14ac:dyDescent="0.25">
      <c r="A8" s="2">
        <v>45664</v>
      </c>
      <c r="B8" s="28">
        <v>36</v>
      </c>
      <c r="C8" s="28">
        <v>309</v>
      </c>
      <c r="D8" s="28">
        <v>36</v>
      </c>
      <c r="E8" s="28">
        <v>0</v>
      </c>
      <c r="F8" s="28">
        <v>88</v>
      </c>
      <c r="G8" s="28">
        <v>539</v>
      </c>
      <c r="H8" s="28">
        <v>0</v>
      </c>
      <c r="I8" s="28">
        <v>399</v>
      </c>
      <c r="J8" s="28">
        <v>417</v>
      </c>
      <c r="K8" s="28">
        <f>TABL12[[#This Row],[خط (T/B  TOT) SAR]]+TABL12[[#This Row],[خط (S/S  TOT) SAR2]]</f>
        <v>816</v>
      </c>
      <c r="L8" s="28">
        <v>287</v>
      </c>
      <c r="M8" s="29">
        <v>23.6</v>
      </c>
      <c r="N8" s="30">
        <v>7.34</v>
      </c>
      <c r="O8" s="3">
        <v>372</v>
      </c>
      <c r="P8" s="3">
        <f>TABL12[[#This Row],[خط (S/S  TOT) SAR2]]-TABL12[[#This Row],[(S/S TOT) AJD]]</f>
        <v>45</v>
      </c>
      <c r="Q8" s="3">
        <v>412</v>
      </c>
      <c r="R8" s="3">
        <f>TABL12[[#This Row],[خط (T/B  TOT) SAR]]-TABL12[[#This Row],[(T/B TOT) AJD]]</f>
        <v>-13</v>
      </c>
      <c r="S8" s="3">
        <f>TABL12[[#This Row],[الفرق بين بداية ونهاية خط  S/S]]+TABL12[[#This Row],[الفرق بين بداية ونهاية خط  T/B]]</f>
        <v>32</v>
      </c>
      <c r="T8" s="3">
        <f t="shared" si="0"/>
        <v>784</v>
      </c>
      <c r="U8" s="3">
        <v>524</v>
      </c>
      <c r="V8" s="3">
        <v>267</v>
      </c>
      <c r="W8" s="3">
        <f t="shared" si="1"/>
        <v>791</v>
      </c>
      <c r="X8" s="3">
        <f t="shared" si="2"/>
        <v>-7</v>
      </c>
      <c r="Y8" s="4">
        <v>93.45</v>
      </c>
      <c r="Z8" s="3">
        <v>1066239</v>
      </c>
      <c r="AA8" s="3">
        <f>TABL12[[#This Row],[(RESV. STORGE) AJD]]/10</f>
        <v>106623.9</v>
      </c>
      <c r="AB8" s="3">
        <f t="shared" si="3"/>
        <v>-54.350999999999999</v>
      </c>
      <c r="AC8" s="6">
        <v>1191</v>
      </c>
      <c r="AD8" s="5">
        <f>TABL12[[#This Row],[( S/S+T/B) AJD]]-(TABL12[[#This Row],[(A/B + A/S) AJD]]+(TABL12[[#This Row],[(STORGE DIFF.) AJD]])+TABL12[[#This Row],[البخر  AJD]]/1000)</f>
        <v>46.159999999999968</v>
      </c>
      <c r="AE8" s="6">
        <v>60</v>
      </c>
      <c r="AF8" s="33">
        <v>59.212000000000003</v>
      </c>
      <c r="AG8" s="6">
        <v>1763806</v>
      </c>
      <c r="AH8" s="6">
        <f>TABL12[[#This Row],[ (RESV. STORGE) BER]]/10</f>
        <v>176380.6</v>
      </c>
      <c r="AI8" s="6">
        <v>2288</v>
      </c>
      <c r="AJ8" s="6">
        <f>TABL12[[#This Row],[(A/B TOT) AJD]]-TABL12[[#This Row],[BER_ IN]]</f>
        <v>464</v>
      </c>
      <c r="AK8" s="6">
        <v>44</v>
      </c>
      <c r="AL8" s="33">
        <v>44.344000000000001</v>
      </c>
      <c r="AM8" s="6">
        <v>3842640</v>
      </c>
      <c r="AN8" s="6">
        <f>TABL12[[#This Row],[ (RESV. STORGE) SER]]/10</f>
        <v>384264</v>
      </c>
      <c r="AO8" s="6">
        <v>960</v>
      </c>
      <c r="AP8" s="32">
        <f>TABL12[[#This Row],[(A/S TOT) AJD]]-TABL12[[#This Row],[SER_ IN]]</f>
        <v>223</v>
      </c>
    </row>
    <row r="9" spans="1:42" x14ac:dyDescent="0.25">
      <c r="A9" s="2">
        <v>45665</v>
      </c>
      <c r="B9" s="28">
        <v>35</v>
      </c>
      <c r="C9" s="28">
        <v>298</v>
      </c>
      <c r="D9" s="28">
        <v>36</v>
      </c>
      <c r="E9" s="28">
        <v>0</v>
      </c>
      <c r="F9" s="28">
        <v>88</v>
      </c>
      <c r="G9" s="28">
        <v>540</v>
      </c>
      <c r="H9" s="28">
        <v>0</v>
      </c>
      <c r="I9" s="28">
        <v>402</v>
      </c>
      <c r="J9" s="28">
        <v>421</v>
      </c>
      <c r="K9" s="28">
        <f>TABL12[[#This Row],[خط (T/B  TOT) SAR]]+TABL12[[#This Row],[خط (S/S  TOT) SAR2]]</f>
        <v>823</v>
      </c>
      <c r="L9" s="28">
        <v>290</v>
      </c>
      <c r="M9" s="29">
        <v>23.6</v>
      </c>
      <c r="N9" s="30">
        <v>7.37</v>
      </c>
      <c r="O9" s="3">
        <v>374</v>
      </c>
      <c r="P9" s="3">
        <f>TABL12[[#This Row],[خط (S/S  TOT) SAR2]]-TABL12[[#This Row],[(S/S TOT) AJD]]</f>
        <v>47</v>
      </c>
      <c r="Q9" s="3">
        <v>414</v>
      </c>
      <c r="R9" s="3">
        <f>TABL12[[#This Row],[خط (T/B  TOT) SAR]]-TABL12[[#This Row],[(T/B TOT) AJD]]</f>
        <v>-12</v>
      </c>
      <c r="S9" s="3">
        <f>TABL12[[#This Row],[الفرق بين بداية ونهاية خط  S/S]]+TABL12[[#This Row],[الفرق بين بداية ونهاية خط  T/B]]</f>
        <v>35</v>
      </c>
      <c r="T9" s="3">
        <f t="shared" si="0"/>
        <v>788</v>
      </c>
      <c r="U9" s="3">
        <v>518</v>
      </c>
      <c r="V9" s="3">
        <v>287</v>
      </c>
      <c r="W9" s="3">
        <f t="shared" si="1"/>
        <v>805</v>
      </c>
      <c r="X9" s="3">
        <f t="shared" si="2"/>
        <v>-17</v>
      </c>
      <c r="Y9" s="4">
        <v>93.340999999999994</v>
      </c>
      <c r="Z9" s="3">
        <v>1000504</v>
      </c>
      <c r="AA9" s="3">
        <f>TABL12[[#This Row],[(RESV. STORGE) AJD]]/10</f>
        <v>100050.4</v>
      </c>
      <c r="AB9" s="3">
        <f t="shared" si="3"/>
        <v>-65.734999999999999</v>
      </c>
      <c r="AC9" s="6">
        <v>1191</v>
      </c>
      <c r="AD9" s="5">
        <f>TABL12[[#This Row],[( S/S+T/B) AJD]]-(TABL12[[#This Row],[(A/B + A/S) AJD]]+(TABL12[[#This Row],[(STORGE DIFF.) AJD]])+TABL12[[#This Row],[البخر  AJD]]/1000)</f>
        <v>47.543999999999983</v>
      </c>
      <c r="AE9" s="6">
        <v>60</v>
      </c>
      <c r="AF9" s="33">
        <v>59.238999999999997</v>
      </c>
      <c r="AG9" s="6">
        <v>1781684</v>
      </c>
      <c r="AH9" s="6">
        <f>TABL12[[#This Row],[ (RESV. STORGE) BER]]/10</f>
        <v>178168.4</v>
      </c>
      <c r="AI9" s="6">
        <v>2281</v>
      </c>
      <c r="AJ9" s="6">
        <f>TABL12[[#This Row],[(A/B TOT) AJD]]-TABL12[[#This Row],[BER_ IN]]</f>
        <v>458</v>
      </c>
      <c r="AK9" s="6">
        <v>44</v>
      </c>
      <c r="AL9" s="33">
        <v>44.407499999999999</v>
      </c>
      <c r="AM9" s="6">
        <v>3877416</v>
      </c>
      <c r="AN9" s="6">
        <f>TABL12[[#This Row],[ (RESV. STORGE) SER]]/10</f>
        <v>387741.6</v>
      </c>
      <c r="AO9" s="6">
        <v>978</v>
      </c>
      <c r="AP9" s="32">
        <f>TABL12[[#This Row],[(A/S TOT) AJD]]-TABL12[[#This Row],[SER_ IN]]</f>
        <v>243</v>
      </c>
    </row>
    <row r="10" spans="1:42" x14ac:dyDescent="0.25">
      <c r="A10" s="2">
        <v>45666</v>
      </c>
      <c r="B10" s="28">
        <v>36</v>
      </c>
      <c r="C10" s="28">
        <v>298</v>
      </c>
      <c r="D10" s="28">
        <v>37</v>
      </c>
      <c r="E10" s="28">
        <v>0</v>
      </c>
      <c r="F10" s="28">
        <v>87</v>
      </c>
      <c r="G10" s="28">
        <v>541</v>
      </c>
      <c r="H10" s="28">
        <v>1</v>
      </c>
      <c r="I10" s="28">
        <v>405</v>
      </c>
      <c r="J10" s="28">
        <v>423</v>
      </c>
      <c r="K10" s="28">
        <f>TABL12[[#This Row],[خط (T/B  TOT) SAR]]+TABL12[[#This Row],[خط (S/S  TOT) SAR2]]</f>
        <v>828</v>
      </c>
      <c r="L10" s="28">
        <v>289</v>
      </c>
      <c r="M10" s="29">
        <v>23.6</v>
      </c>
      <c r="N10" s="30">
        <v>7.38</v>
      </c>
      <c r="O10" s="3">
        <v>374</v>
      </c>
      <c r="P10" s="3">
        <f>TABL12[[#This Row],[خط (S/S  TOT) SAR2]]-TABL12[[#This Row],[(S/S TOT) AJD]]</f>
        <v>49</v>
      </c>
      <c r="Q10" s="3">
        <v>414</v>
      </c>
      <c r="R10" s="3">
        <f>TABL12[[#This Row],[خط (T/B  TOT) SAR]]-TABL12[[#This Row],[(T/B TOT) AJD]]</f>
        <v>-9</v>
      </c>
      <c r="S10" s="3">
        <f>TABL12[[#This Row],[الفرق بين بداية ونهاية خط  S/S]]+TABL12[[#This Row],[الفرق بين بداية ونهاية خط  T/B]]</f>
        <v>40</v>
      </c>
      <c r="T10" s="3">
        <f t="shared" si="0"/>
        <v>788</v>
      </c>
      <c r="U10" s="3">
        <v>520</v>
      </c>
      <c r="V10" s="3">
        <v>287</v>
      </c>
      <c r="W10" s="3">
        <f t="shared" si="1"/>
        <v>807</v>
      </c>
      <c r="X10" s="3">
        <f t="shared" si="2"/>
        <v>-19</v>
      </c>
      <c r="Y10" s="4">
        <v>93.256</v>
      </c>
      <c r="Z10" s="3">
        <v>949311</v>
      </c>
      <c r="AA10" s="3">
        <f>TABL12[[#This Row],[(RESV. STORGE) AJD]]/10</f>
        <v>94931.1</v>
      </c>
      <c r="AB10" s="3">
        <f t="shared" si="3"/>
        <v>-51.192999999999998</v>
      </c>
      <c r="AC10" s="6">
        <v>1095</v>
      </c>
      <c r="AD10" s="5">
        <f>TABL12[[#This Row],[( S/S+T/B) AJD]]-(TABL12[[#This Row],[(A/B + A/S) AJD]]+(TABL12[[#This Row],[(STORGE DIFF.) AJD]])+TABL12[[#This Row],[البخر  AJD]]/1000)</f>
        <v>31.097999999999956</v>
      </c>
      <c r="AE10" s="6">
        <v>60</v>
      </c>
      <c r="AF10" s="33">
        <v>59.267000000000003</v>
      </c>
      <c r="AG10" s="6">
        <v>1800231</v>
      </c>
      <c r="AH10" s="6">
        <f>TABL12[[#This Row],[ (RESV. STORGE) BER]]/10</f>
        <v>180023.1</v>
      </c>
      <c r="AI10" s="6">
        <v>1613</v>
      </c>
      <c r="AJ10" s="6">
        <f>TABL12[[#This Row],[(A/B TOT) AJD]]-TABL12[[#This Row],[BER_ IN]]</f>
        <v>460</v>
      </c>
      <c r="AK10" s="6">
        <v>44</v>
      </c>
      <c r="AL10" s="33">
        <v>44.472799999999999</v>
      </c>
      <c r="AM10" s="6">
        <v>3913550</v>
      </c>
      <c r="AN10" s="6">
        <f>TABL12[[#This Row],[ (RESV. STORGE) SER]]/10</f>
        <v>391355</v>
      </c>
      <c r="AO10" s="6">
        <v>630</v>
      </c>
      <c r="AP10" s="32">
        <f>TABL12[[#This Row],[(A/S TOT) AJD]]-TABL12[[#This Row],[SER_ IN]]</f>
        <v>243</v>
      </c>
    </row>
    <row r="11" spans="1:42" x14ac:dyDescent="0.25">
      <c r="A11" s="2">
        <v>45667</v>
      </c>
      <c r="B11" s="28">
        <v>36</v>
      </c>
      <c r="C11" s="28">
        <v>298</v>
      </c>
      <c r="D11" s="28">
        <v>37</v>
      </c>
      <c r="E11" s="28">
        <v>0</v>
      </c>
      <c r="F11" s="28">
        <v>86</v>
      </c>
      <c r="G11" s="28">
        <v>547</v>
      </c>
      <c r="H11" s="28">
        <v>2</v>
      </c>
      <c r="I11" s="28">
        <v>404</v>
      </c>
      <c r="J11" s="28">
        <v>423</v>
      </c>
      <c r="K11" s="28">
        <f>TABL12[[#This Row],[خط (T/B  TOT) SAR]]+TABL12[[#This Row],[خط (S/S  TOT) SAR2]]</f>
        <v>827</v>
      </c>
      <c r="L11" s="28">
        <v>290</v>
      </c>
      <c r="M11" s="29">
        <v>23.6</v>
      </c>
      <c r="N11" s="30">
        <v>7.45</v>
      </c>
      <c r="O11" s="3">
        <v>377</v>
      </c>
      <c r="P11" s="3">
        <f>TABL12[[#This Row],[خط (S/S  TOT) SAR2]]-TABL12[[#This Row],[(S/S TOT) AJD]]</f>
        <v>46</v>
      </c>
      <c r="Q11" s="3">
        <v>418</v>
      </c>
      <c r="R11" s="3">
        <f>TABL12[[#This Row],[خط (T/B  TOT) SAR]]-TABL12[[#This Row],[(T/B TOT) AJD]]</f>
        <v>-14</v>
      </c>
      <c r="S11" s="3">
        <f>TABL12[[#This Row],[الفرق بين بداية ونهاية خط  S/S]]+TABL12[[#This Row],[الفرق بين بداية ونهاية خط  T/B]]</f>
        <v>32</v>
      </c>
      <c r="T11" s="3">
        <f t="shared" si="0"/>
        <v>795</v>
      </c>
      <c r="U11" s="3">
        <v>514</v>
      </c>
      <c r="V11" s="3">
        <v>256</v>
      </c>
      <c r="W11" s="3">
        <f t="shared" si="1"/>
        <v>770</v>
      </c>
      <c r="X11" s="3">
        <f t="shared" si="2"/>
        <v>25</v>
      </c>
      <c r="Y11" s="4">
        <v>93.257999999999996</v>
      </c>
      <c r="Z11" s="3">
        <v>950514</v>
      </c>
      <c r="AA11" s="3">
        <f>TABL12[[#This Row],[(RESV. STORGE) AJD]]/10</f>
        <v>95051.4</v>
      </c>
      <c r="AB11" s="3">
        <f t="shared" si="3"/>
        <v>1.2030000000000001</v>
      </c>
      <c r="AC11" s="6">
        <v>1095</v>
      </c>
      <c r="AD11" s="5">
        <f>TABL12[[#This Row],[( S/S+T/B) AJD]]-(TABL12[[#This Row],[(A/B + A/S) AJD]]+(TABL12[[#This Row],[(STORGE DIFF.) AJD]])+TABL12[[#This Row],[البخر  AJD]]/1000)</f>
        <v>22.701999999999998</v>
      </c>
      <c r="AE11" s="6">
        <v>60</v>
      </c>
      <c r="AF11" s="33">
        <v>59.295000000000002</v>
      </c>
      <c r="AG11" s="6">
        <v>1818785</v>
      </c>
      <c r="AH11" s="6">
        <f>TABL12[[#This Row],[ (RESV. STORGE) BER]]/10</f>
        <v>181878.5</v>
      </c>
      <c r="AI11" s="6">
        <v>1606</v>
      </c>
      <c r="AJ11" s="6">
        <f>TABL12[[#This Row],[(A/B TOT) AJD]]-TABL12[[#This Row],[BER_ IN]]</f>
        <v>454</v>
      </c>
      <c r="AK11" s="6">
        <v>44</v>
      </c>
      <c r="AL11" s="33">
        <v>44.557299999999998</v>
      </c>
      <c r="AM11" s="6">
        <v>3960320</v>
      </c>
      <c r="AN11" s="6">
        <f>TABL12[[#This Row],[ (RESV. STORGE) SER]]/10</f>
        <v>396032</v>
      </c>
      <c r="AO11" s="6">
        <v>230</v>
      </c>
      <c r="AP11" s="32">
        <f>TABL12[[#This Row],[(A/S TOT) AJD]]-TABL12[[#This Row],[SER_ IN]]</f>
        <v>212</v>
      </c>
    </row>
    <row r="12" spans="1:42" x14ac:dyDescent="0.25">
      <c r="A12" s="2">
        <v>45668</v>
      </c>
      <c r="B12" s="28">
        <v>38</v>
      </c>
      <c r="C12" s="28">
        <v>328</v>
      </c>
      <c r="D12" s="28">
        <v>38</v>
      </c>
      <c r="E12" s="28">
        <v>0</v>
      </c>
      <c r="F12" s="28">
        <v>86</v>
      </c>
      <c r="G12" s="28">
        <v>546</v>
      </c>
      <c r="H12" s="28">
        <v>2</v>
      </c>
      <c r="I12" s="28">
        <v>424</v>
      </c>
      <c r="J12" s="28">
        <v>405</v>
      </c>
      <c r="K12" s="28">
        <f>TABL12[[#This Row],[خط (T/B  TOT) SAR]]+TABL12[[#This Row],[خط (S/S  TOT) SAR2]]</f>
        <v>829</v>
      </c>
      <c r="L12" s="28">
        <v>292</v>
      </c>
      <c r="M12" s="29">
        <v>23.6</v>
      </c>
      <c r="N12" s="30">
        <v>7.58</v>
      </c>
      <c r="O12" s="3">
        <v>378</v>
      </c>
      <c r="P12" s="3">
        <f>TABL12[[#This Row],[خط (S/S  TOT) SAR2]]-TABL12[[#This Row],[(S/S TOT) AJD]]</f>
        <v>27</v>
      </c>
      <c r="Q12" s="3">
        <v>418</v>
      </c>
      <c r="R12" s="3">
        <f>TABL12[[#This Row],[خط (T/B  TOT) SAR]]-TABL12[[#This Row],[(T/B TOT) AJD]]</f>
        <v>6</v>
      </c>
      <c r="S12" s="3">
        <f>TABL12[[#This Row],[الفرق بين بداية ونهاية خط  S/S]]+TABL12[[#This Row],[الفرق بين بداية ونهاية خط  T/B]]</f>
        <v>33</v>
      </c>
      <c r="T12" s="3">
        <f t="shared" si="0"/>
        <v>796</v>
      </c>
      <c r="U12" s="3">
        <v>519</v>
      </c>
      <c r="V12" s="3">
        <v>253</v>
      </c>
      <c r="W12" s="3">
        <f t="shared" si="1"/>
        <v>772</v>
      </c>
      <c r="X12" s="3">
        <f t="shared" si="2"/>
        <v>24</v>
      </c>
      <c r="Y12" s="4">
        <v>93.248000000000005</v>
      </c>
      <c r="Z12" s="3">
        <v>944496</v>
      </c>
      <c r="AA12" s="3">
        <f>TABL12[[#This Row],[(RESV. STORGE) AJD]]/10</f>
        <v>94449.600000000006</v>
      </c>
      <c r="AB12" s="3">
        <f t="shared" si="3"/>
        <v>-6.0179999999999998</v>
      </c>
      <c r="AC12" s="6">
        <v>910</v>
      </c>
      <c r="AD12" s="5">
        <f>TABL12[[#This Row],[( S/S+T/B) AJD]]-(TABL12[[#This Row],[(A/B + A/S) AJD]]+(TABL12[[#This Row],[(STORGE DIFF.) AJD]])+TABL12[[#This Row],[البخر  AJD]]/1000)</f>
        <v>29.108000000000061</v>
      </c>
      <c r="AE12" s="6">
        <v>60</v>
      </c>
      <c r="AF12" s="33">
        <v>59.323</v>
      </c>
      <c r="AG12" s="6">
        <v>1837346</v>
      </c>
      <c r="AH12" s="6">
        <f>TABL12[[#This Row],[ (RESV. STORGE) BER]]/10</f>
        <v>183734.6</v>
      </c>
      <c r="AI12" s="6">
        <v>1599</v>
      </c>
      <c r="AJ12" s="6">
        <f>TABL12[[#This Row],[(A/B TOT) AJD]]-TABL12[[#This Row],[BER_ IN]]</f>
        <v>459</v>
      </c>
      <c r="AK12" s="6">
        <v>44</v>
      </c>
      <c r="AL12" s="33">
        <v>44.632399999999997</v>
      </c>
      <c r="AM12" s="6">
        <v>4001990</v>
      </c>
      <c r="AN12" s="6">
        <f>TABL12[[#This Row],[ (RESV. STORGE) SER]]/10</f>
        <v>400199</v>
      </c>
      <c r="AO12" s="6">
        <v>560</v>
      </c>
      <c r="AP12" s="32">
        <f>TABL12[[#This Row],[(A/S TOT) AJD]]-TABL12[[#This Row],[SER_ IN]]</f>
        <v>209</v>
      </c>
    </row>
    <row r="13" spans="1:42" x14ac:dyDescent="0.25">
      <c r="A13" s="2">
        <v>45669</v>
      </c>
      <c r="B13" s="28">
        <v>38</v>
      </c>
      <c r="C13" s="28">
        <v>319</v>
      </c>
      <c r="D13" s="28">
        <v>38</v>
      </c>
      <c r="E13" s="28">
        <v>0</v>
      </c>
      <c r="F13" s="28">
        <v>87</v>
      </c>
      <c r="G13" s="28">
        <v>546</v>
      </c>
      <c r="H13" s="28">
        <v>1</v>
      </c>
      <c r="I13" s="28">
        <v>409</v>
      </c>
      <c r="J13" s="28">
        <v>428</v>
      </c>
      <c r="K13" s="28">
        <f>TABL12[[#This Row],[خط (T/B  TOT) SAR]]+TABL12[[#This Row],[خط (S/S  TOT) SAR2]]</f>
        <v>837</v>
      </c>
      <c r="L13" s="28">
        <v>294</v>
      </c>
      <c r="M13" s="29">
        <v>23.6</v>
      </c>
      <c r="N13" s="30">
        <v>7.68</v>
      </c>
      <c r="O13" s="3">
        <v>379</v>
      </c>
      <c r="P13" s="3">
        <f>TABL12[[#This Row],[خط (S/S  TOT) SAR2]]-TABL12[[#This Row],[(S/S TOT) AJD]]</f>
        <v>49</v>
      </c>
      <c r="Q13" s="3">
        <v>419</v>
      </c>
      <c r="R13" s="3">
        <f>TABL12[[#This Row],[خط (T/B  TOT) SAR]]-TABL12[[#This Row],[(T/B TOT) AJD]]</f>
        <v>-10</v>
      </c>
      <c r="S13" s="3">
        <f>TABL12[[#This Row],[الفرق بين بداية ونهاية خط  S/S]]+TABL12[[#This Row],[الفرق بين بداية ونهاية خط  T/B]]</f>
        <v>39</v>
      </c>
      <c r="T13" s="3">
        <f t="shared" si="0"/>
        <v>798</v>
      </c>
      <c r="U13" s="3">
        <v>511</v>
      </c>
      <c r="V13" s="3">
        <v>267</v>
      </c>
      <c r="W13" s="3">
        <f t="shared" si="1"/>
        <v>778</v>
      </c>
      <c r="X13" s="3">
        <f t="shared" si="2"/>
        <v>20</v>
      </c>
      <c r="Y13" s="4">
        <v>93.241</v>
      </c>
      <c r="Z13" s="3">
        <v>940283</v>
      </c>
      <c r="AA13" s="3">
        <f>TABL12[[#This Row],[(RESV. STORGE) AJD]]/10</f>
        <v>94028.3</v>
      </c>
      <c r="AB13" s="3">
        <f t="shared" si="3"/>
        <v>-4.2130000000000001</v>
      </c>
      <c r="AC13" s="6">
        <v>1070</v>
      </c>
      <c r="AD13" s="5">
        <f>TABL12[[#This Row],[( S/S+T/B) AJD]]-(TABL12[[#This Row],[(A/B + A/S) AJD]]+(TABL12[[#This Row],[(STORGE DIFF.) AJD]])+TABL12[[#This Row],[البخر  AJD]]/1000)</f>
        <v>23.142999999999915</v>
      </c>
      <c r="AE13" s="6">
        <v>60</v>
      </c>
      <c r="AF13" s="33">
        <v>59.350999999999999</v>
      </c>
      <c r="AG13" s="6">
        <v>1855913</v>
      </c>
      <c r="AH13" s="6">
        <f>TABL12[[#This Row],[ (RESV. STORGE) BER]]/10</f>
        <v>185591.3</v>
      </c>
      <c r="AI13" s="6">
        <v>1592</v>
      </c>
      <c r="AJ13" s="6">
        <f>TABL12[[#This Row],[(A/B TOT) AJD]]-TABL12[[#This Row],[BER_ IN]]</f>
        <v>451</v>
      </c>
      <c r="AK13" s="6">
        <v>44</v>
      </c>
      <c r="AL13" s="33">
        <v>44.707700000000003</v>
      </c>
      <c r="AM13" s="6">
        <v>4043770</v>
      </c>
      <c r="AN13" s="6">
        <f>TABL12[[#This Row],[ (RESV. STORGE) SER]]/10</f>
        <v>404377</v>
      </c>
      <c r="AO13" s="6">
        <v>530</v>
      </c>
      <c r="AP13" s="32">
        <f>TABL12[[#This Row],[(A/S TOT) AJD]]-TABL12[[#This Row],[SER_ IN]]</f>
        <v>223</v>
      </c>
    </row>
    <row r="14" spans="1:42" x14ac:dyDescent="0.25">
      <c r="A14" s="2">
        <v>45670</v>
      </c>
      <c r="B14" s="28">
        <v>38</v>
      </c>
      <c r="C14" s="28">
        <v>320</v>
      </c>
      <c r="D14" s="28">
        <v>38</v>
      </c>
      <c r="E14" s="28">
        <v>0</v>
      </c>
      <c r="F14" s="28">
        <v>88</v>
      </c>
      <c r="G14" s="28">
        <v>568.48</v>
      </c>
      <c r="H14" s="28">
        <v>0</v>
      </c>
      <c r="I14" s="28">
        <v>444.74</v>
      </c>
      <c r="J14" s="28">
        <v>440.74</v>
      </c>
      <c r="K14" s="28">
        <f>TABL12[[#This Row],[خط (T/B  TOT) SAR]]+TABL12[[#This Row],[خط (S/S  TOT) SAR2]]</f>
        <v>885.48</v>
      </c>
      <c r="L14" s="28">
        <v>317</v>
      </c>
      <c r="M14" s="29">
        <v>23.6</v>
      </c>
      <c r="N14" s="30">
        <v>7.77</v>
      </c>
      <c r="O14" s="3">
        <v>383</v>
      </c>
      <c r="P14" s="3">
        <f>TABL12[[#This Row],[خط (S/S  TOT) SAR2]]-TABL12[[#This Row],[(S/S TOT) AJD]]</f>
        <v>57.740000000000009</v>
      </c>
      <c r="Q14" s="3">
        <v>424</v>
      </c>
      <c r="R14" s="3">
        <f>TABL12[[#This Row],[خط (T/B  TOT) SAR]]-TABL12[[#This Row],[(T/B TOT) AJD]]</f>
        <v>20.740000000000009</v>
      </c>
      <c r="S14" s="3">
        <f>TABL12[[#This Row],[الفرق بين بداية ونهاية خط  S/S]]+TABL12[[#This Row],[الفرق بين بداية ونهاية خط  T/B]]</f>
        <v>78.480000000000018</v>
      </c>
      <c r="T14" s="3">
        <f t="shared" si="0"/>
        <v>807</v>
      </c>
      <c r="U14" s="3">
        <v>518</v>
      </c>
      <c r="V14" s="3">
        <v>275</v>
      </c>
      <c r="W14" s="3">
        <f t="shared" si="1"/>
        <v>793</v>
      </c>
      <c r="X14" s="3">
        <f t="shared" si="2"/>
        <v>14</v>
      </c>
      <c r="Y14" s="4">
        <v>93.218000000000004</v>
      </c>
      <c r="Z14" s="3">
        <v>926444</v>
      </c>
      <c r="AA14" s="3">
        <f>TABL12[[#This Row],[(RESV. STORGE) AJD]]/10</f>
        <v>92644.4</v>
      </c>
      <c r="AB14" s="3">
        <f t="shared" si="3"/>
        <v>-13.839</v>
      </c>
      <c r="AC14" s="6">
        <v>1137</v>
      </c>
      <c r="AD14" s="5">
        <f>TABL12[[#This Row],[( S/S+T/B) AJD]]-(TABL12[[#This Row],[(A/B + A/S) AJD]]+(TABL12[[#This Row],[(STORGE DIFF.) AJD]])+TABL12[[#This Row],[البخر  AJD]]/1000)</f>
        <v>26.702000000000112</v>
      </c>
      <c r="AE14" s="6">
        <v>60</v>
      </c>
      <c r="AF14" s="33">
        <v>59.378999999999998</v>
      </c>
      <c r="AG14" s="6">
        <v>1874487</v>
      </c>
      <c r="AH14" s="6">
        <f>TABL12[[#This Row],[ (RESV. STORGE) BER]]/10</f>
        <v>187448.7</v>
      </c>
      <c r="AI14" s="6">
        <v>1585</v>
      </c>
      <c r="AJ14" s="6">
        <f>TABL12[[#This Row],[(A/B TOT) AJD]]-TABL12[[#This Row],[BER_ IN]]</f>
        <v>458</v>
      </c>
      <c r="AK14" s="6">
        <v>44</v>
      </c>
      <c r="AL14" s="33">
        <v>44.778399999999998</v>
      </c>
      <c r="AM14" s="6">
        <v>4082810</v>
      </c>
      <c r="AN14" s="6">
        <f>TABL12[[#This Row],[ (RESV. STORGE) SER]]/10</f>
        <v>408281</v>
      </c>
      <c r="AO14" s="6">
        <v>580</v>
      </c>
      <c r="AP14" s="32">
        <f>TABL12[[#This Row],[(A/S TOT) AJD]]-TABL12[[#This Row],[SER_ IN]]</f>
        <v>231</v>
      </c>
    </row>
    <row r="15" spans="1:42" x14ac:dyDescent="0.25">
      <c r="A15" s="2">
        <v>45671</v>
      </c>
      <c r="B15" s="28">
        <v>38</v>
      </c>
      <c r="C15" s="28">
        <v>321</v>
      </c>
      <c r="D15" s="28">
        <v>38</v>
      </c>
      <c r="E15" s="28">
        <v>0</v>
      </c>
      <c r="F15" s="28">
        <v>88</v>
      </c>
      <c r="G15" s="28">
        <v>569.36</v>
      </c>
      <c r="H15" s="28">
        <v>0</v>
      </c>
      <c r="I15" s="28">
        <v>445.68</v>
      </c>
      <c r="J15" s="28">
        <v>441.68</v>
      </c>
      <c r="K15" s="28">
        <f>TABL12[[#This Row],[خط (T/B  TOT) SAR]]+TABL12[[#This Row],[خط (S/S  TOT) SAR2]]</f>
        <v>887.36</v>
      </c>
      <c r="L15" s="28">
        <v>318</v>
      </c>
      <c r="M15" s="29">
        <v>23.6</v>
      </c>
      <c r="N15" s="30">
        <v>7.9</v>
      </c>
      <c r="O15" s="3">
        <v>387</v>
      </c>
      <c r="P15" s="3">
        <f>TABL12[[#This Row],[خط (S/S  TOT) SAR2]]-TABL12[[#This Row],[(S/S TOT) AJD]]</f>
        <v>54.680000000000007</v>
      </c>
      <c r="Q15" s="3">
        <v>427</v>
      </c>
      <c r="R15" s="3">
        <f>TABL12[[#This Row],[خط (T/B  TOT) SAR]]-TABL12[[#This Row],[(T/B TOT) AJD]]</f>
        <v>18.680000000000007</v>
      </c>
      <c r="S15" s="3">
        <f>TABL12[[#This Row],[الفرق بين بداية ونهاية خط  S/S]]+TABL12[[#This Row],[الفرق بين بداية ونهاية خط  T/B]]</f>
        <v>73.360000000000014</v>
      </c>
      <c r="T15" s="3">
        <f t="shared" si="0"/>
        <v>814</v>
      </c>
      <c r="U15" s="3">
        <v>512</v>
      </c>
      <c r="V15" s="3">
        <v>282</v>
      </c>
      <c r="W15" s="3">
        <f t="shared" si="1"/>
        <v>794</v>
      </c>
      <c r="X15" s="3">
        <f t="shared" si="2"/>
        <v>20</v>
      </c>
      <c r="Y15" s="4">
        <v>93.176000000000002</v>
      </c>
      <c r="Z15" s="3">
        <v>901184</v>
      </c>
      <c r="AA15" s="3">
        <f>TABL12[[#This Row],[(RESV. STORGE) AJD]]/10</f>
        <v>90118.399999999994</v>
      </c>
      <c r="AB15" s="3">
        <f t="shared" si="3"/>
        <v>-25.26</v>
      </c>
      <c r="AC15" s="6">
        <v>1011</v>
      </c>
      <c r="AD15" s="5">
        <f>TABL12[[#This Row],[( S/S+T/B) AJD]]-(TABL12[[#This Row],[(A/B + A/S) AJD]]+(TABL12[[#This Row],[(STORGE DIFF.) AJD]])+TABL12[[#This Row],[البخر  AJD]]/1000)</f>
        <v>44.249000000000024</v>
      </c>
      <c r="AE15" s="6">
        <v>60</v>
      </c>
      <c r="AF15" s="33">
        <v>59.406999999999996</v>
      </c>
      <c r="AG15" s="6">
        <v>1893068</v>
      </c>
      <c r="AH15" s="6">
        <f>TABL12[[#This Row],[ (RESV. STORGE) BER]]/10</f>
        <v>189306.8</v>
      </c>
      <c r="AI15" s="6">
        <v>1579</v>
      </c>
      <c r="AJ15" s="6">
        <f>TABL12[[#This Row],[(A/B TOT) AJD]]-TABL12[[#This Row],[BER_ IN]]</f>
        <v>452</v>
      </c>
      <c r="AK15" s="6">
        <v>44</v>
      </c>
      <c r="AL15" s="33">
        <v>44.779400000000003</v>
      </c>
      <c r="AM15" s="6">
        <v>4083710</v>
      </c>
      <c r="AN15" s="6">
        <f>TABL12[[#This Row],[ (RESV. STORGE) SER]]/10</f>
        <v>408371</v>
      </c>
      <c r="AO15" s="6">
        <v>630</v>
      </c>
      <c r="AP15" s="32">
        <f>TABL12[[#This Row],[(A/S TOT) AJD]]-TABL12[[#This Row],[SER_ IN]]</f>
        <v>238</v>
      </c>
    </row>
    <row r="16" spans="1:42" x14ac:dyDescent="0.25">
      <c r="A16" s="2">
        <v>45672</v>
      </c>
      <c r="B16" s="28">
        <v>38</v>
      </c>
      <c r="C16" s="28">
        <v>328</v>
      </c>
      <c r="D16" s="28">
        <v>38</v>
      </c>
      <c r="E16" s="28">
        <v>0</v>
      </c>
      <c r="F16" s="28">
        <v>88</v>
      </c>
      <c r="G16" s="28">
        <v>564.95999999999992</v>
      </c>
      <c r="H16" s="28">
        <v>0</v>
      </c>
      <c r="I16" s="28">
        <v>447.97999999999996</v>
      </c>
      <c r="J16" s="28">
        <v>443.97999999999996</v>
      </c>
      <c r="K16" s="28">
        <f>TABL12[[#This Row],[خط (T/B  TOT) SAR]]+TABL12[[#This Row],[خط (S/S  TOT) SAR2]]</f>
        <v>891.95999999999992</v>
      </c>
      <c r="L16" s="28">
        <v>327</v>
      </c>
      <c r="M16" s="29">
        <v>23.6</v>
      </c>
      <c r="N16" s="30">
        <v>7.97</v>
      </c>
      <c r="O16" s="3">
        <v>387</v>
      </c>
      <c r="P16" s="3">
        <f>TABL12[[#This Row],[خط (S/S  TOT) SAR2]]-TABL12[[#This Row],[(S/S TOT) AJD]]</f>
        <v>56.979999999999961</v>
      </c>
      <c r="Q16" s="3">
        <v>428</v>
      </c>
      <c r="R16" s="3">
        <f>TABL12[[#This Row],[خط (T/B  TOT) SAR]]-TABL12[[#This Row],[(T/B TOT) AJD]]</f>
        <v>19.979999999999961</v>
      </c>
      <c r="S16" s="3">
        <f>TABL12[[#This Row],[الفرق بين بداية ونهاية خط  S/S]]+TABL12[[#This Row],[الفرق بين بداية ونهاية خط  T/B]]</f>
        <v>76.959999999999923</v>
      </c>
      <c r="T16" s="3">
        <f t="shared" si="0"/>
        <v>815</v>
      </c>
      <c r="U16" s="3">
        <v>503</v>
      </c>
      <c r="V16" s="3">
        <v>264</v>
      </c>
      <c r="W16" s="3">
        <f t="shared" si="1"/>
        <v>767</v>
      </c>
      <c r="X16" s="3">
        <f t="shared" si="2"/>
        <v>48</v>
      </c>
      <c r="Y16" s="4">
        <v>93.200999999999993</v>
      </c>
      <c r="Z16" s="3">
        <v>916218</v>
      </c>
      <c r="AA16" s="3">
        <f>TABL12[[#This Row],[(RESV. STORGE) AJD]]/10</f>
        <v>91621.8</v>
      </c>
      <c r="AB16" s="3">
        <f t="shared" si="3"/>
        <v>15.034000000000001</v>
      </c>
      <c r="AC16" s="6">
        <v>1137</v>
      </c>
      <c r="AD16" s="5">
        <f>TABL12[[#This Row],[( S/S+T/B) AJD]]-(TABL12[[#This Row],[(A/B + A/S) AJD]]+(TABL12[[#This Row],[(STORGE DIFF.) AJD]])+TABL12[[#This Row],[البخر  AJD]]/1000)</f>
        <v>31.829000000000065</v>
      </c>
      <c r="AE16" s="6">
        <v>60</v>
      </c>
      <c r="AF16" s="33">
        <v>59.435000000000002</v>
      </c>
      <c r="AG16" s="6">
        <v>1911655</v>
      </c>
      <c r="AH16" s="6">
        <f>TABL12[[#This Row],[ (RESV. STORGE) BER]]/10</f>
        <v>191165.5</v>
      </c>
      <c r="AI16" s="6">
        <v>1572</v>
      </c>
      <c r="AJ16" s="6">
        <f>TABL12[[#This Row],[(A/B TOT) AJD]]-TABL12[[#This Row],[BER_ IN]]</f>
        <v>443</v>
      </c>
      <c r="AK16" s="6">
        <v>44</v>
      </c>
      <c r="AL16" s="33">
        <v>44.804400000000001</v>
      </c>
      <c r="AM16" s="6">
        <v>4097320</v>
      </c>
      <c r="AN16" s="6">
        <f>TABL12[[#This Row],[ (RESV. STORGE) SER]]/10</f>
        <v>409732</v>
      </c>
      <c r="AO16" s="6">
        <v>644</v>
      </c>
      <c r="AP16" s="32">
        <f>TABL12[[#This Row],[(A/S TOT) AJD]]-TABL12[[#This Row],[SER_ IN]]</f>
        <v>220</v>
      </c>
    </row>
    <row r="17" spans="1:42" x14ac:dyDescent="0.25">
      <c r="A17" s="2">
        <v>45673</v>
      </c>
      <c r="B17" s="28">
        <v>38</v>
      </c>
      <c r="C17" s="28">
        <v>307</v>
      </c>
      <c r="D17" s="28">
        <v>38</v>
      </c>
      <c r="E17" s="28">
        <v>0</v>
      </c>
      <c r="F17" s="28">
        <v>88</v>
      </c>
      <c r="G17" s="28">
        <v>568.48</v>
      </c>
      <c r="H17" s="28">
        <v>0</v>
      </c>
      <c r="I17" s="28">
        <v>438.24</v>
      </c>
      <c r="J17" s="28">
        <v>434.24</v>
      </c>
      <c r="K17" s="28">
        <f>TABL12[[#This Row],[خط (T/B  TOT) SAR]]+TABL12[[#This Row],[خط (S/S  TOT) SAR2]]</f>
        <v>872.48</v>
      </c>
      <c r="L17" s="28">
        <v>304</v>
      </c>
      <c r="M17" s="29">
        <v>24.2</v>
      </c>
      <c r="N17" s="30">
        <v>7.95</v>
      </c>
      <c r="O17" s="3">
        <v>389</v>
      </c>
      <c r="P17" s="3">
        <f>TABL12[[#This Row],[خط (S/S  TOT) SAR2]]-TABL12[[#This Row],[(S/S TOT) AJD]]</f>
        <v>45.240000000000009</v>
      </c>
      <c r="Q17" s="3">
        <v>430</v>
      </c>
      <c r="R17" s="3">
        <f>TABL12[[#This Row],[خط (T/B  TOT) SAR]]-TABL12[[#This Row],[(T/B TOT) AJD]]</f>
        <v>8.2400000000000091</v>
      </c>
      <c r="S17" s="3">
        <f>TABL12[[#This Row],[الفرق بين بداية ونهاية خط  S/S]]+TABL12[[#This Row],[الفرق بين بداية ونهاية خط  T/B]]</f>
        <v>53.480000000000018</v>
      </c>
      <c r="T17" s="3">
        <f t="shared" si="0"/>
        <v>819</v>
      </c>
      <c r="U17" s="3">
        <v>511</v>
      </c>
      <c r="V17" s="3">
        <v>285</v>
      </c>
      <c r="W17" s="3">
        <f t="shared" si="1"/>
        <v>796</v>
      </c>
      <c r="X17" s="3">
        <f t="shared" si="2"/>
        <v>23</v>
      </c>
      <c r="Y17" s="4">
        <v>93.180999999999997</v>
      </c>
      <c r="Z17" s="3">
        <v>904190</v>
      </c>
      <c r="AA17" s="3">
        <f>TABL12[[#This Row],[(RESV. STORGE) AJD]]/10</f>
        <v>90419</v>
      </c>
      <c r="AB17" s="3">
        <f t="shared" si="3"/>
        <v>-12.028</v>
      </c>
      <c r="AC17" s="6">
        <v>1263</v>
      </c>
      <c r="AD17" s="5">
        <f>TABL12[[#This Row],[( S/S+T/B) AJD]]-(TABL12[[#This Row],[(A/B + A/S) AJD]]+(TABL12[[#This Row],[(STORGE DIFF.) AJD]])+TABL12[[#This Row],[البخر  AJD]]/1000)</f>
        <v>33.764999999999986</v>
      </c>
      <c r="AE17" s="6">
        <v>60</v>
      </c>
      <c r="AF17" s="33">
        <v>59.463000000000001</v>
      </c>
      <c r="AG17" s="6">
        <v>1930250</v>
      </c>
      <c r="AH17" s="6">
        <f>TABL12[[#This Row],[ (RESV. STORGE) BER]]/10</f>
        <v>193025</v>
      </c>
      <c r="AI17" s="6">
        <v>1565</v>
      </c>
      <c r="AJ17" s="6">
        <f>TABL12[[#This Row],[(A/B TOT) AJD]]-TABL12[[#This Row],[BER_ IN]]</f>
        <v>451</v>
      </c>
      <c r="AK17" s="6">
        <v>44</v>
      </c>
      <c r="AL17" s="33">
        <v>44.8598</v>
      </c>
      <c r="AM17" s="6">
        <v>4126163</v>
      </c>
      <c r="AN17" s="6">
        <f>TABL12[[#This Row],[ (RESV. STORGE) SER]]/10</f>
        <v>412616.3</v>
      </c>
      <c r="AO17" s="6">
        <v>1063</v>
      </c>
      <c r="AP17" s="32">
        <f>TABL12[[#This Row],[(A/S TOT) AJD]]-TABL12[[#This Row],[SER_ IN]]</f>
        <v>241</v>
      </c>
    </row>
    <row r="18" spans="1:42" x14ac:dyDescent="0.25">
      <c r="A18" s="2">
        <v>45674</v>
      </c>
      <c r="B18" s="28">
        <v>38</v>
      </c>
      <c r="C18" s="28">
        <v>315</v>
      </c>
      <c r="D18" s="28">
        <v>38</v>
      </c>
      <c r="E18" s="28">
        <v>0</v>
      </c>
      <c r="F18" s="28">
        <v>88</v>
      </c>
      <c r="G18" s="28">
        <v>569.36</v>
      </c>
      <c r="H18" s="28">
        <v>0</v>
      </c>
      <c r="I18" s="28">
        <v>443</v>
      </c>
      <c r="J18" s="28">
        <v>439</v>
      </c>
      <c r="K18" s="28">
        <f>TABL12[[#This Row],[خط (T/B  TOT) SAR]]+TABL12[[#This Row],[خط (S/S  TOT) SAR2]]</f>
        <v>882</v>
      </c>
      <c r="L18" s="28">
        <v>312</v>
      </c>
      <c r="M18" s="29">
        <v>24.2</v>
      </c>
      <c r="N18" s="30">
        <v>7.89</v>
      </c>
      <c r="O18" s="3">
        <v>395</v>
      </c>
      <c r="P18" s="3">
        <f>TABL12[[#This Row],[خط (S/S  TOT) SAR2]]-TABL12[[#This Row],[(S/S TOT) AJD]]</f>
        <v>44</v>
      </c>
      <c r="Q18" s="3">
        <v>435</v>
      </c>
      <c r="R18" s="3">
        <f>TABL12[[#This Row],[خط (T/B  TOT) SAR]]-TABL12[[#This Row],[(T/B TOT) AJD]]</f>
        <v>8</v>
      </c>
      <c r="S18" s="3">
        <f>TABL12[[#This Row],[الفرق بين بداية ونهاية خط  S/S]]+TABL12[[#This Row],[الفرق بين بداية ونهاية خط  T/B]]</f>
        <v>52</v>
      </c>
      <c r="T18" s="3">
        <f t="shared" si="0"/>
        <v>830</v>
      </c>
      <c r="U18" s="3">
        <v>510</v>
      </c>
      <c r="V18" s="3">
        <v>295</v>
      </c>
      <c r="W18" s="3">
        <f t="shared" si="1"/>
        <v>805</v>
      </c>
      <c r="X18" s="3">
        <f t="shared" si="2"/>
        <v>25</v>
      </c>
      <c r="Y18" s="4">
        <v>93.161000000000001</v>
      </c>
      <c r="Z18" s="3">
        <v>892166</v>
      </c>
      <c r="AA18" s="3">
        <f>TABL12[[#This Row],[(RESV. STORGE) AJD]]/10</f>
        <v>89216.6</v>
      </c>
      <c r="AB18" s="3">
        <f t="shared" si="3"/>
        <v>-12.023999999999999</v>
      </c>
      <c r="AC18" s="6">
        <v>1810</v>
      </c>
      <c r="AD18" s="5">
        <f>TABL12[[#This Row],[( S/S+T/B) AJD]]-(TABL12[[#This Row],[(A/B + A/S) AJD]]+(TABL12[[#This Row],[(STORGE DIFF.) AJD]])+TABL12[[#This Row],[البخر  AJD]]/1000)</f>
        <v>35.214000000000055</v>
      </c>
      <c r="AE18" s="6">
        <v>60</v>
      </c>
      <c r="AF18" s="33">
        <v>59.49</v>
      </c>
      <c r="AG18" s="6">
        <v>1948187</v>
      </c>
      <c r="AH18" s="6">
        <f>TABL12[[#This Row],[ (RESV. STORGE) BER]]/10</f>
        <v>194818.7</v>
      </c>
      <c r="AI18" s="6">
        <v>2223</v>
      </c>
      <c r="AJ18" s="6">
        <f>TABL12[[#This Row],[(A/B TOT) AJD]]-TABL12[[#This Row],[BER_ IN]]</f>
        <v>450</v>
      </c>
      <c r="AK18" s="6">
        <v>44</v>
      </c>
      <c r="AL18" s="33">
        <v>44.8919</v>
      </c>
      <c r="AM18" s="6">
        <v>4146130</v>
      </c>
      <c r="AN18" s="6">
        <f>TABL12[[#This Row],[ (RESV. STORGE) SER]]/10</f>
        <v>414613</v>
      </c>
      <c r="AO18" s="6">
        <v>1433</v>
      </c>
      <c r="AP18" s="32">
        <f>TABL12[[#This Row],[(A/S TOT) AJD]]-TABL12[[#This Row],[SER_ IN]]</f>
        <v>251</v>
      </c>
    </row>
    <row r="19" spans="1:42" x14ac:dyDescent="0.25">
      <c r="A19" s="2">
        <v>45675</v>
      </c>
      <c r="B19" s="28">
        <v>37</v>
      </c>
      <c r="C19" s="28">
        <v>318</v>
      </c>
      <c r="D19" s="28">
        <v>37</v>
      </c>
      <c r="E19" s="28">
        <v>0</v>
      </c>
      <c r="F19" s="28">
        <v>88</v>
      </c>
      <c r="G19" s="28">
        <v>564.95999999999992</v>
      </c>
      <c r="H19" s="28">
        <v>0</v>
      </c>
      <c r="I19" s="28">
        <v>442.97999999999996</v>
      </c>
      <c r="J19" s="28">
        <v>438.97999999999996</v>
      </c>
      <c r="K19" s="28">
        <f>TABL12[[#This Row],[خط (T/B  TOT) SAR]]+TABL12[[#This Row],[خط (S/S  TOT) SAR2]]</f>
        <v>881.95999999999992</v>
      </c>
      <c r="L19" s="28">
        <v>317</v>
      </c>
      <c r="M19" s="29">
        <v>24.2</v>
      </c>
      <c r="N19" s="30">
        <v>7.86</v>
      </c>
      <c r="O19" s="3">
        <v>395</v>
      </c>
      <c r="P19" s="3">
        <f>TABL12[[#This Row],[خط (S/S  TOT) SAR2]]-TABL12[[#This Row],[(S/S TOT) AJD]]</f>
        <v>43.979999999999961</v>
      </c>
      <c r="Q19" s="3">
        <v>437</v>
      </c>
      <c r="R19" s="3">
        <f>TABL12[[#This Row],[خط (T/B  TOT) SAR]]-TABL12[[#This Row],[(T/B TOT) AJD]]</f>
        <v>5.9799999999999613</v>
      </c>
      <c r="S19" s="3">
        <f>TABL12[[#This Row],[الفرق بين بداية ونهاية خط  S/S]]+TABL12[[#This Row],[الفرق بين بداية ونهاية خط  T/B]]</f>
        <v>49.959999999999923</v>
      </c>
      <c r="T19" s="3">
        <f t="shared" si="0"/>
        <v>832</v>
      </c>
      <c r="U19" s="3">
        <v>493</v>
      </c>
      <c r="V19" s="3">
        <v>298</v>
      </c>
      <c r="W19" s="3">
        <f t="shared" si="1"/>
        <v>791</v>
      </c>
      <c r="X19" s="3">
        <f t="shared" si="2"/>
        <v>41</v>
      </c>
      <c r="Y19" s="4">
        <v>93.177999999999997</v>
      </c>
      <c r="Z19" s="3">
        <v>902386</v>
      </c>
      <c r="AA19" s="3">
        <f>TABL12[[#This Row],[(RESV. STORGE) AJD]]/10</f>
        <v>90238.6</v>
      </c>
      <c r="AB19" s="3">
        <f t="shared" si="3"/>
        <v>10.220000000000001</v>
      </c>
      <c r="AC19" s="6">
        <v>1852</v>
      </c>
      <c r="AD19" s="5">
        <f>TABL12[[#This Row],[( S/S+T/B) AJD]]-(TABL12[[#This Row],[(A/B + A/S) AJD]]+(TABL12[[#This Row],[(STORGE DIFF.) AJD]])+TABL12[[#This Row],[البخر  AJD]]/1000)</f>
        <v>28.927999999999997</v>
      </c>
      <c r="AE19" s="6">
        <v>60</v>
      </c>
      <c r="AF19" s="33">
        <v>59.518999999999998</v>
      </c>
      <c r="AG19" s="6">
        <v>1967459</v>
      </c>
      <c r="AH19" s="6">
        <f>TABL12[[#This Row],[ (RESV. STORGE) BER]]/10</f>
        <v>196745.9</v>
      </c>
      <c r="AI19" s="6">
        <v>1751</v>
      </c>
      <c r="AJ19" s="6">
        <f>TABL12[[#This Row],[(A/B TOT) AJD]]-TABL12[[#This Row],[BER_ IN]]</f>
        <v>433</v>
      </c>
      <c r="AK19" s="6">
        <v>44</v>
      </c>
      <c r="AL19" s="33">
        <v>44.9617</v>
      </c>
      <c r="AM19" s="6">
        <v>4184900</v>
      </c>
      <c r="AN19" s="6">
        <f>TABL12[[#This Row],[ (RESV. STORGE) SER]]/10</f>
        <v>418490</v>
      </c>
      <c r="AO19" s="6">
        <v>1230</v>
      </c>
      <c r="AP19" s="32">
        <f>TABL12[[#This Row],[(A/S TOT) AJD]]-TABL12[[#This Row],[SER_ IN]]</f>
        <v>254</v>
      </c>
    </row>
    <row r="20" spans="1:42" x14ac:dyDescent="0.25">
      <c r="A20" s="2">
        <v>45676</v>
      </c>
      <c r="B20" s="28">
        <v>37</v>
      </c>
      <c r="C20" s="28">
        <v>320</v>
      </c>
      <c r="D20" s="28">
        <v>37</v>
      </c>
      <c r="E20" s="28">
        <v>0</v>
      </c>
      <c r="F20" s="28">
        <v>88</v>
      </c>
      <c r="G20" s="28">
        <v>568.48</v>
      </c>
      <c r="H20" s="28">
        <v>0</v>
      </c>
      <c r="I20" s="28">
        <v>444.74</v>
      </c>
      <c r="J20" s="28">
        <v>440.74</v>
      </c>
      <c r="K20" s="28">
        <f>TABL12[[#This Row],[خط (T/B  TOT) SAR]]+TABL12[[#This Row],[خط (S/S  TOT) SAR2]]</f>
        <v>885.48</v>
      </c>
      <c r="L20" s="28">
        <v>317</v>
      </c>
      <c r="M20" s="29">
        <v>24.2</v>
      </c>
      <c r="N20" s="30">
        <v>7.86</v>
      </c>
      <c r="O20" s="3">
        <v>395</v>
      </c>
      <c r="P20" s="3">
        <f>TABL12[[#This Row],[خط (S/S  TOT) SAR2]]-TABL12[[#This Row],[(S/S TOT) AJD]]</f>
        <v>45.740000000000009</v>
      </c>
      <c r="Q20" s="3">
        <v>436</v>
      </c>
      <c r="R20" s="3">
        <f>TABL12[[#This Row],[خط (T/B  TOT) SAR]]-TABL12[[#This Row],[(T/B TOT) AJD]]</f>
        <v>8.7400000000000091</v>
      </c>
      <c r="S20" s="3">
        <f>TABL12[[#This Row],[الفرق بين بداية ونهاية خط  S/S]]+TABL12[[#This Row],[الفرق بين بداية ونهاية خط  T/B]]</f>
        <v>54.480000000000018</v>
      </c>
      <c r="T20" s="3">
        <f t="shared" si="0"/>
        <v>831</v>
      </c>
      <c r="U20" s="3">
        <v>520</v>
      </c>
      <c r="V20" s="3">
        <v>288</v>
      </c>
      <c r="W20" s="3">
        <f t="shared" si="1"/>
        <v>808</v>
      </c>
      <c r="X20" s="3">
        <f t="shared" si="2"/>
        <v>23</v>
      </c>
      <c r="Y20" s="4">
        <v>93.162999999999997</v>
      </c>
      <c r="Z20" s="3">
        <v>893368</v>
      </c>
      <c r="AA20" s="3">
        <f>TABL12[[#This Row],[(RESV. STORGE) AJD]]/10</f>
        <v>89336.8</v>
      </c>
      <c r="AB20" s="3">
        <f t="shared" si="3"/>
        <v>-9.0180000000000007</v>
      </c>
      <c r="AC20" s="6">
        <v>1137</v>
      </c>
      <c r="AD20" s="5">
        <f>TABL12[[#This Row],[( S/S+T/B) AJD]]-(TABL12[[#This Row],[(A/B + A/S) AJD]]+(TABL12[[#This Row],[(STORGE DIFF.) AJD]])+TABL12[[#This Row],[البخر  AJD]]/1000)</f>
        <v>30.881000000000085</v>
      </c>
      <c r="AE20" s="6">
        <v>60</v>
      </c>
      <c r="AF20" s="33">
        <v>59.546999999999997</v>
      </c>
      <c r="AG20" s="6">
        <v>1986074</v>
      </c>
      <c r="AH20" s="6">
        <f>TABL12[[#This Row],[ (RESV. STORGE) BER]]/10</f>
        <v>198607.4</v>
      </c>
      <c r="AI20" s="6">
        <v>1545</v>
      </c>
      <c r="AJ20" s="6">
        <f>TABL12[[#This Row],[(A/B TOT) AJD]]-TABL12[[#This Row],[BER_ IN]]</f>
        <v>460</v>
      </c>
      <c r="AK20" s="6">
        <v>44</v>
      </c>
      <c r="AL20" s="33">
        <v>44.986199999999997</v>
      </c>
      <c r="AM20" s="6">
        <v>4198280</v>
      </c>
      <c r="AN20" s="6">
        <f>TABL12[[#This Row],[ (RESV. STORGE) SER]]/10</f>
        <v>419828</v>
      </c>
      <c r="AO20" s="6">
        <v>1620</v>
      </c>
      <c r="AP20" s="32">
        <f>TABL12[[#This Row],[(A/S TOT) AJD]]-TABL12[[#This Row],[SER_ IN]]</f>
        <v>244</v>
      </c>
    </row>
    <row r="21" spans="1:42" x14ac:dyDescent="0.25">
      <c r="A21" s="2">
        <v>45677</v>
      </c>
      <c r="B21" s="28">
        <v>37</v>
      </c>
      <c r="C21" s="28">
        <v>315</v>
      </c>
      <c r="D21" s="28">
        <v>37</v>
      </c>
      <c r="E21" s="28">
        <v>0</v>
      </c>
      <c r="F21" s="28">
        <v>88</v>
      </c>
      <c r="G21" s="28">
        <v>569.36</v>
      </c>
      <c r="H21" s="28">
        <v>0</v>
      </c>
      <c r="I21" s="28">
        <v>442.68</v>
      </c>
      <c r="J21" s="28">
        <v>438.68</v>
      </c>
      <c r="K21" s="28">
        <f>TABL12[[#This Row],[خط (T/B  TOT) SAR]]+TABL12[[#This Row],[خط (S/S  TOT) SAR2]]</f>
        <v>881.36</v>
      </c>
      <c r="L21" s="28">
        <v>312</v>
      </c>
      <c r="M21" s="29">
        <v>24.2</v>
      </c>
      <c r="N21" s="30">
        <v>7.83</v>
      </c>
      <c r="O21" s="3">
        <v>395</v>
      </c>
      <c r="P21" s="3">
        <f>TABL12[[#This Row],[خط (S/S  TOT) SAR2]]-TABL12[[#This Row],[(S/S TOT) AJD]]</f>
        <v>43.680000000000007</v>
      </c>
      <c r="Q21" s="3">
        <v>435</v>
      </c>
      <c r="R21" s="3">
        <f>TABL12[[#This Row],[خط (T/B  TOT) SAR]]-TABL12[[#This Row],[(T/B TOT) AJD]]</f>
        <v>7.6800000000000068</v>
      </c>
      <c r="S21" s="3">
        <f>TABL12[[#This Row],[الفرق بين بداية ونهاية خط  S/S]]+TABL12[[#This Row],[الفرق بين بداية ونهاية خط  T/B]]</f>
        <v>51.360000000000014</v>
      </c>
      <c r="T21" s="3">
        <f t="shared" si="0"/>
        <v>830</v>
      </c>
      <c r="U21" s="3">
        <v>507</v>
      </c>
      <c r="V21" s="3">
        <v>268</v>
      </c>
      <c r="W21" s="3">
        <f t="shared" si="1"/>
        <v>775</v>
      </c>
      <c r="X21" s="3">
        <f t="shared" si="2"/>
        <v>55</v>
      </c>
      <c r="Y21" s="4">
        <v>93.230999999999995</v>
      </c>
      <c r="Z21" s="3">
        <v>934265</v>
      </c>
      <c r="AA21" s="3">
        <f>TABL12[[#This Row],[(RESV. STORGE) AJD]]/10</f>
        <v>93426.5</v>
      </c>
      <c r="AB21" s="3">
        <f t="shared" si="3"/>
        <v>40.896999999999998</v>
      </c>
      <c r="AC21" s="6">
        <v>1685</v>
      </c>
      <c r="AD21" s="5">
        <f>TABL12[[#This Row],[( S/S+T/B) AJD]]-(TABL12[[#This Row],[(A/B + A/S) AJD]]+(TABL12[[#This Row],[(STORGE DIFF.) AJD]])+TABL12[[#This Row],[البخر  AJD]]/1000)</f>
        <v>12.418000000000006</v>
      </c>
      <c r="AE21" s="6">
        <v>60</v>
      </c>
      <c r="AF21" s="33">
        <v>59.578000000000003</v>
      </c>
      <c r="AG21" s="6">
        <v>2006691</v>
      </c>
      <c r="AH21" s="6">
        <f>TABL12[[#This Row],[ (RESV. STORGE) BER]]/10</f>
        <v>200669.1</v>
      </c>
      <c r="AI21" s="6">
        <v>1665</v>
      </c>
      <c r="AJ21" s="6">
        <f>TABL12[[#This Row],[(A/B TOT) AJD]]-TABL12[[#This Row],[BER_ IN]]</f>
        <v>447</v>
      </c>
      <c r="AK21" s="6">
        <v>44</v>
      </c>
      <c r="AL21" s="33">
        <v>44.975999999999999</v>
      </c>
      <c r="AM21" s="6">
        <v>4192900</v>
      </c>
      <c r="AN21" s="6">
        <f>TABL12[[#This Row],[ (RESV. STORGE) SER]]/10</f>
        <v>419290</v>
      </c>
      <c r="AO21" s="6">
        <v>880</v>
      </c>
      <c r="AP21" s="32">
        <f>TABL12[[#This Row],[(A/S TOT) AJD]]-TABL12[[#This Row],[SER_ IN]]</f>
        <v>224</v>
      </c>
    </row>
    <row r="22" spans="1:42" x14ac:dyDescent="0.25">
      <c r="A22" s="2">
        <v>45678</v>
      </c>
      <c r="B22" s="28">
        <v>37</v>
      </c>
      <c r="C22" s="28">
        <v>312</v>
      </c>
      <c r="D22" s="28">
        <v>37</v>
      </c>
      <c r="E22" s="28">
        <v>0</v>
      </c>
      <c r="F22" s="28">
        <v>88</v>
      </c>
      <c r="G22" s="28">
        <v>564.95999999999992</v>
      </c>
      <c r="H22" s="28">
        <v>0</v>
      </c>
      <c r="I22" s="28">
        <v>439.97999999999996</v>
      </c>
      <c r="J22" s="28">
        <v>435.97999999999996</v>
      </c>
      <c r="K22" s="28">
        <f>TABL12[[#This Row],[خط (T/B  TOT) SAR]]+TABL12[[#This Row],[خط (S/S  TOT) SAR2]]</f>
        <v>875.95999999999992</v>
      </c>
      <c r="L22" s="28">
        <v>311</v>
      </c>
      <c r="M22" s="29">
        <v>24.2</v>
      </c>
      <c r="N22" s="30">
        <v>7.8</v>
      </c>
      <c r="O22" s="3">
        <v>394</v>
      </c>
      <c r="P22" s="3">
        <f>TABL12[[#This Row],[خط (S/S  TOT) SAR2]]-TABL12[[#This Row],[(S/S TOT) AJD]]</f>
        <v>41.979999999999961</v>
      </c>
      <c r="Q22" s="3">
        <v>436</v>
      </c>
      <c r="R22" s="3">
        <f>TABL12[[#This Row],[خط (T/B  TOT) SAR]]-TABL12[[#This Row],[(T/B TOT) AJD]]</f>
        <v>3.9799999999999613</v>
      </c>
      <c r="S22" s="3">
        <f>TABL12[[#This Row],[الفرق بين بداية ونهاية خط  S/S]]+TABL12[[#This Row],[الفرق بين بداية ونهاية خط  T/B]]</f>
        <v>45.959999999999923</v>
      </c>
      <c r="T22" s="3">
        <f t="shared" si="0"/>
        <v>830</v>
      </c>
      <c r="U22" s="3">
        <v>514</v>
      </c>
      <c r="V22" s="3">
        <v>285</v>
      </c>
      <c r="W22" s="3">
        <f t="shared" si="1"/>
        <v>799</v>
      </c>
      <c r="X22" s="3">
        <f t="shared" si="2"/>
        <v>31</v>
      </c>
      <c r="Y22" s="4">
        <v>93.203000000000003</v>
      </c>
      <c r="Z22" s="3">
        <v>917421</v>
      </c>
      <c r="AA22" s="3">
        <f>TABL12[[#This Row],[(RESV. STORGE) AJD]]/10</f>
        <v>91742.1</v>
      </c>
      <c r="AB22" s="3">
        <f t="shared" si="3"/>
        <v>-16.844000000000001</v>
      </c>
      <c r="AC22" s="6">
        <v>421</v>
      </c>
      <c r="AD22" s="5">
        <f>TABL12[[#This Row],[( S/S+T/B) AJD]]-(TABL12[[#This Row],[(A/B + A/S) AJD]]+(TABL12[[#This Row],[(STORGE DIFF.) AJD]])+TABL12[[#This Row],[البخر  AJD]]/1000)</f>
        <v>47.423000000000002</v>
      </c>
      <c r="AE22" s="6">
        <v>75</v>
      </c>
      <c r="AF22" s="33">
        <v>59.64</v>
      </c>
      <c r="AG22" s="6">
        <v>2047951</v>
      </c>
      <c r="AH22" s="6">
        <f>TABL12[[#This Row],[ (RESV. STORGE) BER]]/10</f>
        <v>204795.1</v>
      </c>
      <c r="AI22" s="6">
        <v>1370</v>
      </c>
      <c r="AJ22" s="6">
        <f>TABL12[[#This Row],[(A/B TOT) AJD]]-TABL12[[#This Row],[BER_ IN]]</f>
        <v>439</v>
      </c>
      <c r="AK22" s="6">
        <v>60</v>
      </c>
      <c r="AL22" s="33">
        <v>44.912999999999997</v>
      </c>
      <c r="AM22" s="6">
        <v>4158290</v>
      </c>
      <c r="AN22" s="6">
        <f>TABL12[[#This Row],[ (RESV. STORGE) SER]]/10</f>
        <v>415829</v>
      </c>
      <c r="AO22" s="6">
        <v>1026</v>
      </c>
      <c r="AP22" s="32">
        <f>TABL12[[#This Row],[(A/S TOT) AJD]]-TABL12[[#This Row],[SER_ IN]]</f>
        <v>225</v>
      </c>
    </row>
    <row r="23" spans="1:42" x14ac:dyDescent="0.25">
      <c r="A23" s="2">
        <v>45679</v>
      </c>
      <c r="B23" s="28">
        <v>36</v>
      </c>
      <c r="C23" s="28">
        <v>301</v>
      </c>
      <c r="D23" s="28">
        <v>36</v>
      </c>
      <c r="E23" s="28">
        <v>0</v>
      </c>
      <c r="F23" s="28">
        <v>88</v>
      </c>
      <c r="G23" s="28">
        <v>568.48</v>
      </c>
      <c r="H23" s="28">
        <v>0</v>
      </c>
      <c r="I23" s="28">
        <v>435.24</v>
      </c>
      <c r="J23" s="28">
        <v>431.24</v>
      </c>
      <c r="K23" s="28">
        <f>TABL12[[#This Row],[خط (T/B  TOT) SAR]]+TABL12[[#This Row],[خط (S/S  TOT) SAR2]]</f>
        <v>866.48</v>
      </c>
      <c r="L23" s="28">
        <v>298</v>
      </c>
      <c r="M23" s="29">
        <v>24.2</v>
      </c>
      <c r="N23" s="30">
        <v>7.78</v>
      </c>
      <c r="O23" s="3">
        <v>393</v>
      </c>
      <c r="P23" s="3">
        <f>TABL12[[#This Row],[خط (S/S  TOT) SAR2]]-TABL12[[#This Row],[(S/S TOT) AJD]]</f>
        <v>38.240000000000009</v>
      </c>
      <c r="Q23" s="3">
        <v>435</v>
      </c>
      <c r="R23" s="3">
        <f>TABL12[[#This Row],[خط (T/B  TOT) SAR]]-TABL12[[#This Row],[(T/B TOT) AJD]]</f>
        <v>0.24000000000000909</v>
      </c>
      <c r="S23" s="3">
        <f>TABL12[[#This Row],[الفرق بين بداية ونهاية خط  S/S]]+TABL12[[#This Row],[الفرق بين بداية ونهاية خط  T/B]]</f>
        <v>38.480000000000018</v>
      </c>
      <c r="T23" s="3">
        <f t="shared" si="0"/>
        <v>828</v>
      </c>
      <c r="U23" s="3">
        <v>526</v>
      </c>
      <c r="V23" s="3">
        <v>330</v>
      </c>
      <c r="W23" s="3">
        <f t="shared" si="1"/>
        <v>856</v>
      </c>
      <c r="X23" s="3">
        <f t="shared" si="2"/>
        <v>-28</v>
      </c>
      <c r="Y23" s="4">
        <v>93.111000000000004</v>
      </c>
      <c r="Z23" s="3">
        <v>862120</v>
      </c>
      <c r="AA23" s="3">
        <f>TABL12[[#This Row],[(RESV. STORGE) AJD]]/10</f>
        <v>86212</v>
      </c>
      <c r="AB23" s="3">
        <f t="shared" si="3"/>
        <v>-55.301000000000002</v>
      </c>
      <c r="AC23" s="6">
        <v>976</v>
      </c>
      <c r="AD23" s="5">
        <f>TABL12[[#This Row],[( S/S+T/B) AJD]]-(TABL12[[#This Row],[(A/B + A/S) AJD]]+(TABL12[[#This Row],[(STORGE DIFF.) AJD]])+TABL12[[#This Row],[البخر  AJD]]/1000)</f>
        <v>26.325000000000045</v>
      </c>
      <c r="AE23" s="6">
        <v>95</v>
      </c>
      <c r="AF23" s="33">
        <v>59.720999999999997</v>
      </c>
      <c r="AG23" s="6">
        <v>2101904</v>
      </c>
      <c r="AH23" s="6">
        <f>TABL12[[#This Row],[ (RESV. STORGE) BER]]/10</f>
        <v>210190.4</v>
      </c>
      <c r="AI23" s="6">
        <v>1206</v>
      </c>
      <c r="AJ23" s="6">
        <f>TABL12[[#This Row],[(A/B TOT) AJD]]-TABL12[[#This Row],[BER_ IN]]</f>
        <v>431</v>
      </c>
      <c r="AK23" s="6">
        <v>74</v>
      </c>
      <c r="AL23" s="33">
        <v>44.878300000000003</v>
      </c>
      <c r="AM23" s="6">
        <v>4138370</v>
      </c>
      <c r="AN23" s="6">
        <f>TABL12[[#This Row],[ (RESV. STORGE) SER]]/10</f>
        <v>413837</v>
      </c>
      <c r="AO23" s="6">
        <v>1087</v>
      </c>
      <c r="AP23" s="32">
        <f>TABL12[[#This Row],[(A/S TOT) AJD]]-TABL12[[#This Row],[SER_ IN]]</f>
        <v>256</v>
      </c>
    </row>
    <row r="24" spans="1:42" x14ac:dyDescent="0.25">
      <c r="A24" s="2">
        <v>45680</v>
      </c>
      <c r="B24" s="28">
        <v>35</v>
      </c>
      <c r="C24" s="28">
        <v>297</v>
      </c>
      <c r="D24" s="28">
        <v>36</v>
      </c>
      <c r="E24" s="28">
        <v>0</v>
      </c>
      <c r="F24" s="28">
        <v>88</v>
      </c>
      <c r="G24" s="28">
        <v>569.36</v>
      </c>
      <c r="H24" s="28">
        <v>0</v>
      </c>
      <c r="I24" s="28">
        <v>433.68</v>
      </c>
      <c r="J24" s="28">
        <v>429.68</v>
      </c>
      <c r="K24" s="28">
        <f>TABL12[[#This Row],[خط (T/B  TOT) SAR]]+TABL12[[#This Row],[خط (S/S  TOT) SAR2]]</f>
        <v>863.36</v>
      </c>
      <c r="L24" s="28">
        <v>294</v>
      </c>
      <c r="M24" s="29">
        <v>24.2</v>
      </c>
      <c r="N24" s="30">
        <v>7.59</v>
      </c>
      <c r="O24" s="3">
        <v>395</v>
      </c>
      <c r="P24" s="3">
        <f>TABL12[[#This Row],[خط (S/S  TOT) SAR2]]-TABL12[[#This Row],[(S/S TOT) AJD]]</f>
        <v>34.680000000000007</v>
      </c>
      <c r="Q24" s="3">
        <v>434</v>
      </c>
      <c r="R24" s="3">
        <f>TABL12[[#This Row],[خط (T/B  TOT) SAR]]-TABL12[[#This Row],[(T/B TOT) AJD]]</f>
        <v>-0.31999999999999318</v>
      </c>
      <c r="S24" s="3">
        <f>TABL12[[#This Row],[الفرق بين بداية ونهاية خط  S/S]]+TABL12[[#This Row],[الفرق بين بداية ونهاية خط  T/B]]</f>
        <v>34.360000000000014</v>
      </c>
      <c r="T24" s="3">
        <f t="shared" si="0"/>
        <v>829</v>
      </c>
      <c r="U24" s="3">
        <v>531</v>
      </c>
      <c r="V24" s="3">
        <v>331</v>
      </c>
      <c r="W24" s="3">
        <f t="shared" si="1"/>
        <v>862</v>
      </c>
      <c r="X24" s="3">
        <f t="shared" si="2"/>
        <v>-33</v>
      </c>
      <c r="Y24" s="4">
        <v>92.980999999999995</v>
      </c>
      <c r="Z24" s="3">
        <v>784096</v>
      </c>
      <c r="AA24" s="3">
        <f>TABL12[[#This Row],[(RESV. STORGE) AJD]]/10</f>
        <v>78409.600000000006</v>
      </c>
      <c r="AB24" s="3">
        <f t="shared" si="3"/>
        <v>-78.024000000000001</v>
      </c>
      <c r="AC24" s="6">
        <v>839</v>
      </c>
      <c r="AD24" s="5">
        <f>TABL12[[#This Row],[( S/S+T/B) AJD]]-(TABL12[[#This Row],[(A/B + A/S) AJD]]+(TABL12[[#This Row],[(STORGE DIFF.) AJD]])+TABL12[[#This Row],[البخر  AJD]]/1000)</f>
        <v>44.184999999999945</v>
      </c>
      <c r="AE24" s="6">
        <v>100</v>
      </c>
      <c r="AF24" s="33">
        <v>59.808999999999997</v>
      </c>
      <c r="AG24" s="6">
        <v>2160585</v>
      </c>
      <c r="AH24" s="6">
        <f>TABL12[[#This Row],[ (RESV. STORGE) BER]]/10</f>
        <v>216058.5</v>
      </c>
      <c r="AI24" s="6">
        <v>1479</v>
      </c>
      <c r="AJ24" s="6">
        <f>TABL12[[#This Row],[(A/B TOT) AJD]]-TABL12[[#This Row],[BER_ IN]]</f>
        <v>431</v>
      </c>
      <c r="AK24" s="6">
        <v>89</v>
      </c>
      <c r="AL24" s="33">
        <v>44.863999999999997</v>
      </c>
      <c r="AM24" s="6">
        <v>4130590</v>
      </c>
      <c r="AN24" s="6">
        <f>TABL12[[#This Row],[ (RESV. STORGE) SER]]/10</f>
        <v>413059</v>
      </c>
      <c r="AO24" s="6">
        <v>1364</v>
      </c>
      <c r="AP24" s="32">
        <f>TABL12[[#This Row],[(A/S TOT) AJD]]-TABL12[[#This Row],[SER_ IN]]</f>
        <v>242</v>
      </c>
    </row>
    <row r="25" spans="1:42" x14ac:dyDescent="0.25">
      <c r="A25" s="2">
        <v>45681</v>
      </c>
      <c r="B25" s="28">
        <v>37</v>
      </c>
      <c r="C25" s="28">
        <v>306</v>
      </c>
      <c r="D25" s="28">
        <v>38</v>
      </c>
      <c r="E25" s="28">
        <v>0</v>
      </c>
      <c r="F25" s="28">
        <v>88</v>
      </c>
      <c r="G25" s="28">
        <v>564.95999999999992</v>
      </c>
      <c r="H25" s="28">
        <v>0</v>
      </c>
      <c r="I25" s="28">
        <v>436.97999999999996</v>
      </c>
      <c r="J25" s="28">
        <v>432.97999999999996</v>
      </c>
      <c r="K25" s="28">
        <f>TABL12[[#This Row],[خط (T/B  TOT) SAR]]+TABL12[[#This Row],[خط (S/S  TOT) SAR2]]</f>
        <v>869.95999999999992</v>
      </c>
      <c r="L25" s="28">
        <v>305</v>
      </c>
      <c r="M25" s="29">
        <v>24.2</v>
      </c>
      <c r="N25" s="30">
        <v>7.54</v>
      </c>
      <c r="O25" s="3">
        <v>394</v>
      </c>
      <c r="P25" s="3">
        <f>TABL12[[#This Row],[خط (S/S  TOT) SAR2]]-TABL12[[#This Row],[(S/S TOT) AJD]]</f>
        <v>38.979999999999961</v>
      </c>
      <c r="Q25" s="3">
        <v>434</v>
      </c>
      <c r="R25" s="3">
        <f>TABL12[[#This Row],[خط (T/B  TOT) SAR]]-TABL12[[#This Row],[(T/B TOT) AJD]]</f>
        <v>2.9799999999999613</v>
      </c>
      <c r="S25" s="3">
        <f>TABL12[[#This Row],[الفرق بين بداية ونهاية خط  S/S]]+TABL12[[#This Row],[الفرق بين بداية ونهاية خط  T/B]]</f>
        <v>41.959999999999923</v>
      </c>
      <c r="T25" s="3">
        <f t="shared" si="0"/>
        <v>828</v>
      </c>
      <c r="U25" s="3">
        <v>550</v>
      </c>
      <c r="V25" s="3">
        <v>340</v>
      </c>
      <c r="W25" s="3">
        <f t="shared" si="1"/>
        <v>890</v>
      </c>
      <c r="X25" s="3">
        <f t="shared" si="2"/>
        <v>-62</v>
      </c>
      <c r="Y25" s="4">
        <v>92.831999999999994</v>
      </c>
      <c r="Z25" s="3">
        <v>694841</v>
      </c>
      <c r="AA25" s="3">
        <f>TABL12[[#This Row],[(RESV. STORGE) AJD]]/10</f>
        <v>69484.100000000006</v>
      </c>
      <c r="AB25" s="3">
        <f t="shared" si="3"/>
        <v>-89.254999999999995</v>
      </c>
      <c r="AC25" s="6">
        <v>923</v>
      </c>
      <c r="AD25" s="5">
        <f>TABL12[[#This Row],[( S/S+T/B) AJD]]-(TABL12[[#This Row],[(A/B + A/S) AJD]]+(TABL12[[#This Row],[(STORGE DIFF.) AJD]])+TABL12[[#This Row],[البخر  AJD]]/1000)</f>
        <v>26.331999999999994</v>
      </c>
      <c r="AE25" s="6">
        <v>100</v>
      </c>
      <c r="AF25" s="33">
        <v>59.896999999999998</v>
      </c>
      <c r="AG25" s="6">
        <v>2219334</v>
      </c>
      <c r="AH25" s="6">
        <f>TABL12[[#This Row],[ (RESV. STORGE) BER]]/10</f>
        <v>221933.4</v>
      </c>
      <c r="AI25" s="6">
        <v>1411</v>
      </c>
      <c r="AJ25" s="6">
        <f>TABL12[[#This Row],[(A/B TOT) AJD]]-TABL12[[#This Row],[BER_ IN]]</f>
        <v>450</v>
      </c>
      <c r="AK25" s="6">
        <v>100</v>
      </c>
      <c r="AL25" s="33">
        <v>44.8705</v>
      </c>
      <c r="AM25" s="6">
        <v>4134480</v>
      </c>
      <c r="AN25" s="6">
        <f>TABL12[[#This Row],[ (RESV. STORGE) SER]]/10</f>
        <v>413448</v>
      </c>
      <c r="AO25" s="6">
        <v>1110</v>
      </c>
      <c r="AP25" s="32">
        <f>TABL12[[#This Row],[(A/S TOT) AJD]]-TABL12[[#This Row],[SER_ IN]]</f>
        <v>240</v>
      </c>
    </row>
    <row r="26" spans="1:42" x14ac:dyDescent="0.25">
      <c r="A26" s="2">
        <v>45682</v>
      </c>
      <c r="B26" s="28">
        <v>38</v>
      </c>
      <c r="C26" s="28">
        <v>319</v>
      </c>
      <c r="D26" s="28">
        <v>38</v>
      </c>
      <c r="E26" s="28">
        <v>0</v>
      </c>
      <c r="F26" s="28">
        <v>88</v>
      </c>
      <c r="G26" s="28">
        <v>568.48</v>
      </c>
      <c r="H26" s="28">
        <v>0</v>
      </c>
      <c r="I26" s="28">
        <v>444.24</v>
      </c>
      <c r="J26" s="28">
        <v>440.24</v>
      </c>
      <c r="K26" s="28">
        <f>TABL12[[#This Row],[خط (T/B  TOT) SAR]]+TABL12[[#This Row],[خط (S/S  TOT) SAR2]]</f>
        <v>884.48</v>
      </c>
      <c r="L26" s="28">
        <v>316</v>
      </c>
      <c r="M26" s="29">
        <v>24.2</v>
      </c>
      <c r="N26" s="30">
        <v>7.54</v>
      </c>
      <c r="O26" s="3">
        <v>391</v>
      </c>
      <c r="P26" s="3">
        <f>TABL12[[#This Row],[خط (S/S  TOT) SAR2]]-TABL12[[#This Row],[(S/S TOT) AJD]]</f>
        <v>49.240000000000009</v>
      </c>
      <c r="Q26" s="3">
        <v>433</v>
      </c>
      <c r="R26" s="3">
        <f>TABL12[[#This Row],[خط (T/B  TOT) SAR]]-TABL12[[#This Row],[(T/B TOT) AJD]]</f>
        <v>11.240000000000009</v>
      </c>
      <c r="S26" s="3">
        <f>TABL12[[#This Row],[الفرق بين بداية ونهاية خط  S/S]]+TABL12[[#This Row],[الفرق بين بداية ونهاية خط  T/B]]</f>
        <v>60.480000000000018</v>
      </c>
      <c r="T26" s="3">
        <f t="shared" si="0"/>
        <v>824</v>
      </c>
      <c r="U26" s="3">
        <v>551</v>
      </c>
      <c r="V26" s="3">
        <v>321</v>
      </c>
      <c r="W26" s="3">
        <f t="shared" si="1"/>
        <v>872</v>
      </c>
      <c r="X26" s="3">
        <f t="shared" si="2"/>
        <v>-48</v>
      </c>
      <c r="Y26" s="4">
        <v>92.731999999999999</v>
      </c>
      <c r="Z26" s="3">
        <v>635042</v>
      </c>
      <c r="AA26" s="3">
        <f>TABL12[[#This Row],[(RESV. STORGE) AJD]]/10</f>
        <v>63504.2</v>
      </c>
      <c r="AB26" s="3">
        <f t="shared" si="3"/>
        <v>-59.798999999999999</v>
      </c>
      <c r="AC26" s="6">
        <v>1126</v>
      </c>
      <c r="AD26" s="5">
        <f>TABL12[[#This Row],[( S/S+T/B) AJD]]-(TABL12[[#This Row],[(A/B + A/S) AJD]]+(TABL12[[#This Row],[(STORGE DIFF.) AJD]])+TABL12[[#This Row],[البخر  AJD]]/1000)</f>
        <v>10.673000000000002</v>
      </c>
      <c r="AE26" s="6">
        <v>100</v>
      </c>
      <c r="AF26" s="33">
        <v>59.984999999999999</v>
      </c>
      <c r="AG26" s="6">
        <v>2278149</v>
      </c>
      <c r="AH26" s="6">
        <f>TABL12[[#This Row],[ (RESV. STORGE) BER]]/10</f>
        <v>227814.9</v>
      </c>
      <c r="AI26" s="6">
        <v>1344</v>
      </c>
      <c r="AJ26" s="6">
        <f>TABL12[[#This Row],[(A/B TOT) AJD]]-TABL12[[#This Row],[BER_ IN]]</f>
        <v>451</v>
      </c>
      <c r="AK26" s="6">
        <v>100</v>
      </c>
      <c r="AL26" s="33">
        <v>44.9617</v>
      </c>
      <c r="AM26" s="6">
        <v>4185100</v>
      </c>
      <c r="AN26" s="6">
        <f>TABL12[[#This Row],[ (RESV. STORGE) SER]]/10</f>
        <v>418510</v>
      </c>
      <c r="AO26" s="6">
        <v>1380</v>
      </c>
      <c r="AP26" s="32">
        <f>TABL12[[#This Row],[(A/S TOT) AJD]]-TABL12[[#This Row],[SER_ IN]]</f>
        <v>221</v>
      </c>
    </row>
    <row r="27" spans="1:42" x14ac:dyDescent="0.25">
      <c r="A27" s="2">
        <v>45683</v>
      </c>
      <c r="B27" s="28">
        <v>38</v>
      </c>
      <c r="C27" s="28">
        <v>321</v>
      </c>
      <c r="D27" s="28">
        <v>38</v>
      </c>
      <c r="E27" s="28">
        <v>0</v>
      </c>
      <c r="F27" s="28">
        <v>88</v>
      </c>
      <c r="G27" s="28">
        <v>569.36</v>
      </c>
      <c r="H27" s="28">
        <v>0</v>
      </c>
      <c r="I27" s="28">
        <v>445.68</v>
      </c>
      <c r="J27" s="28">
        <v>441.68</v>
      </c>
      <c r="K27" s="28">
        <f>TABL12[[#This Row],[خط (T/B  TOT) SAR]]+TABL12[[#This Row],[خط (S/S  TOT) SAR2]]</f>
        <v>887.36</v>
      </c>
      <c r="L27" s="28">
        <v>318</v>
      </c>
      <c r="M27" s="29">
        <v>24.2</v>
      </c>
      <c r="N27" s="30">
        <v>7.57</v>
      </c>
      <c r="O27" s="3">
        <v>391</v>
      </c>
      <c r="P27" s="3">
        <f>TABL12[[#This Row],[خط (S/S  TOT) SAR2]]-TABL12[[#This Row],[(S/S TOT) AJD]]</f>
        <v>50.680000000000007</v>
      </c>
      <c r="Q27" s="3">
        <v>433</v>
      </c>
      <c r="R27" s="3">
        <f>TABL12[[#This Row],[خط (T/B  TOT) SAR]]-TABL12[[#This Row],[(T/B TOT) AJD]]</f>
        <v>12.680000000000007</v>
      </c>
      <c r="S27" s="3">
        <f>TABL12[[#This Row],[الفرق بين بداية ونهاية خط  S/S]]+TABL12[[#This Row],[الفرق بين بداية ونهاية خط  T/B]]</f>
        <v>63.360000000000014</v>
      </c>
      <c r="T27" s="3">
        <f t="shared" si="0"/>
        <v>824</v>
      </c>
      <c r="U27" s="3">
        <v>543</v>
      </c>
      <c r="V27" s="3">
        <v>367</v>
      </c>
      <c r="W27" s="3">
        <f t="shared" si="1"/>
        <v>910</v>
      </c>
      <c r="X27" s="3">
        <f t="shared" si="2"/>
        <v>-86</v>
      </c>
      <c r="Y27" s="4">
        <v>92.542000000000002</v>
      </c>
      <c r="Z27" s="3">
        <v>521649</v>
      </c>
      <c r="AA27" s="3">
        <f>TABL12[[#This Row],[(RESV. STORGE) AJD]]/10</f>
        <v>52164.9</v>
      </c>
      <c r="AB27" s="3">
        <f t="shared" si="3"/>
        <v>-113.393</v>
      </c>
      <c r="AC27" s="6">
        <v>1126</v>
      </c>
      <c r="AD27" s="5">
        <f>TABL12[[#This Row],[( S/S+T/B) AJD]]-(TABL12[[#This Row],[(A/B + A/S) AJD]]+(TABL12[[#This Row],[(STORGE DIFF.) AJD]])+TABL12[[#This Row],[البخر  AJD]]/1000)</f>
        <v>26.267000000000053</v>
      </c>
      <c r="AE27" s="6">
        <v>100</v>
      </c>
      <c r="AF27" s="33">
        <v>60.017000000000003</v>
      </c>
      <c r="AG27" s="6">
        <v>2299553</v>
      </c>
      <c r="AH27" s="6">
        <f>TABL12[[#This Row],[ (RESV. STORGE) BER]]/10</f>
        <v>229955.3</v>
      </c>
      <c r="AI27" s="6">
        <v>1405</v>
      </c>
      <c r="AJ27" s="6">
        <f>TABL12[[#This Row],[(A/B TOT) AJD]]-TABL12[[#This Row],[BER_ IN]]</f>
        <v>443</v>
      </c>
      <c r="AK27" s="6">
        <v>114</v>
      </c>
      <c r="AL27" s="33">
        <v>45.153700000000001</v>
      </c>
      <c r="AM27" s="6">
        <v>4292280</v>
      </c>
      <c r="AN27" s="6">
        <f>TABL12[[#This Row],[ (RESV. STORGE) SER]]/10</f>
        <v>429228</v>
      </c>
      <c r="AO27" s="6">
        <v>1415</v>
      </c>
      <c r="AP27" s="32">
        <f>TABL12[[#This Row],[(A/S TOT) AJD]]-TABL12[[#This Row],[SER_ IN]]</f>
        <v>253</v>
      </c>
    </row>
    <row r="28" spans="1:42" x14ac:dyDescent="0.25">
      <c r="A28" s="2">
        <v>45684</v>
      </c>
      <c r="B28" s="28">
        <v>37</v>
      </c>
      <c r="C28" s="28">
        <v>319</v>
      </c>
      <c r="D28" s="28">
        <v>37</v>
      </c>
      <c r="E28" s="28">
        <v>0</v>
      </c>
      <c r="F28" s="28">
        <v>88</v>
      </c>
      <c r="G28" s="28">
        <v>564.95999999999992</v>
      </c>
      <c r="H28" s="28">
        <v>0</v>
      </c>
      <c r="I28" s="28">
        <v>443.47999999999996</v>
      </c>
      <c r="J28" s="28">
        <v>439.47999999999996</v>
      </c>
      <c r="K28" s="28">
        <f>TABL12[[#This Row],[خط (T/B  TOT) SAR]]+TABL12[[#This Row],[خط (S/S  TOT) SAR2]]</f>
        <v>882.95999999999992</v>
      </c>
      <c r="L28" s="28">
        <v>318</v>
      </c>
      <c r="M28" s="29">
        <v>24.2</v>
      </c>
      <c r="N28" s="30">
        <v>7.59</v>
      </c>
      <c r="O28" s="3">
        <v>389</v>
      </c>
      <c r="P28" s="3">
        <f>TABL12[[#This Row],[خط (S/S  TOT) SAR2]]-TABL12[[#This Row],[(S/S TOT) AJD]]</f>
        <v>50.479999999999961</v>
      </c>
      <c r="Q28" s="3">
        <v>431</v>
      </c>
      <c r="R28" s="3">
        <f>TABL12[[#This Row],[خط (T/B  TOT) SAR]]-TABL12[[#This Row],[(T/B TOT) AJD]]</f>
        <v>12.479999999999961</v>
      </c>
      <c r="S28" s="3">
        <f>TABL12[[#This Row],[الفرق بين بداية ونهاية خط  S/S]]+TABL12[[#This Row],[الفرق بين بداية ونهاية خط  T/B]]</f>
        <v>62.959999999999923</v>
      </c>
      <c r="T28" s="3">
        <f t="shared" si="0"/>
        <v>820</v>
      </c>
      <c r="U28" s="3">
        <v>544</v>
      </c>
      <c r="V28" s="3">
        <v>359</v>
      </c>
      <c r="W28" s="3">
        <f t="shared" si="1"/>
        <v>903</v>
      </c>
      <c r="X28" s="3">
        <f t="shared" si="2"/>
        <v>-83</v>
      </c>
      <c r="Y28" s="4">
        <v>92.344999999999999</v>
      </c>
      <c r="Z28" s="3">
        <v>404392</v>
      </c>
      <c r="AA28" s="3">
        <f>TABL12[[#This Row],[(RESV. STORGE) AJD]]/10</f>
        <v>40439.199999999997</v>
      </c>
      <c r="AB28" s="3">
        <f t="shared" si="3"/>
        <v>-117.25700000000001</v>
      </c>
      <c r="AC28" s="6">
        <v>1373</v>
      </c>
      <c r="AD28" s="5">
        <f>TABL12[[#This Row],[( S/S+T/B) AJD]]-(TABL12[[#This Row],[(A/B + A/S) AJD]]+(TABL12[[#This Row],[(STORGE DIFF.) AJD]])+TABL12[[#This Row],[البخر  AJD]]/1000)</f>
        <v>32.884000000000015</v>
      </c>
      <c r="AE28" s="6">
        <v>100</v>
      </c>
      <c r="AF28" s="33">
        <v>60.045000000000002</v>
      </c>
      <c r="AG28" s="6">
        <v>2318289</v>
      </c>
      <c r="AH28" s="6">
        <f>TABL12[[#This Row],[ (RESV. STORGE) BER]]/10</f>
        <v>231828.9</v>
      </c>
      <c r="AI28" s="6">
        <v>1584</v>
      </c>
      <c r="AJ28" s="6">
        <f>TABL12[[#This Row],[(A/B TOT) AJD]]-TABL12[[#This Row],[BER_ IN]]</f>
        <v>444</v>
      </c>
      <c r="AK28" s="6">
        <v>125</v>
      </c>
      <c r="AL28" s="33">
        <v>45.367100000000001</v>
      </c>
      <c r="AM28" s="6">
        <v>4415670</v>
      </c>
      <c r="AN28" s="6">
        <f>TABL12[[#This Row],[ (RESV. STORGE) SER]]/10</f>
        <v>441567</v>
      </c>
      <c r="AO28" s="6">
        <v>1610</v>
      </c>
      <c r="AP28" s="32">
        <f>TABL12[[#This Row],[(A/S TOT) AJD]]-TABL12[[#This Row],[SER_ IN]]</f>
        <v>234</v>
      </c>
    </row>
    <row r="29" spans="1:42" x14ac:dyDescent="0.25">
      <c r="A29" s="2">
        <v>45685</v>
      </c>
      <c r="B29" s="28">
        <v>38</v>
      </c>
      <c r="C29" s="28">
        <v>322</v>
      </c>
      <c r="D29" s="28">
        <v>38</v>
      </c>
      <c r="E29" s="28">
        <v>0</v>
      </c>
      <c r="F29" s="28">
        <v>88</v>
      </c>
      <c r="G29" s="28">
        <v>569.36</v>
      </c>
      <c r="H29" s="28">
        <v>0</v>
      </c>
      <c r="I29" s="28">
        <v>446.18</v>
      </c>
      <c r="J29" s="28">
        <v>442.18</v>
      </c>
      <c r="K29" s="28">
        <f>TABL12[[#This Row],[خط (T/B  TOT) SAR]]+TABL12[[#This Row],[خط (S/S  TOT) SAR2]]</f>
        <v>888.36</v>
      </c>
      <c r="L29" s="28">
        <v>319</v>
      </c>
      <c r="M29" s="29">
        <v>24.2</v>
      </c>
      <c r="N29" s="30">
        <v>7.67</v>
      </c>
      <c r="O29" s="3">
        <v>388</v>
      </c>
      <c r="P29" s="3">
        <f>TABL12[[#This Row],[خط (S/S  TOT) SAR2]]-TABL12[[#This Row],[(S/S TOT) AJD]]</f>
        <v>54.180000000000007</v>
      </c>
      <c r="Q29" s="3">
        <v>429</v>
      </c>
      <c r="R29" s="3">
        <f>TABL12[[#This Row],[خط (T/B  TOT) SAR]]-TABL12[[#This Row],[(T/B TOT) AJD]]</f>
        <v>17.180000000000007</v>
      </c>
      <c r="S29" s="3">
        <f>TABL12[[#This Row],[الفرق بين بداية ونهاية خط  S/S]]+TABL12[[#This Row],[الفرق بين بداية ونهاية خط  T/B]]</f>
        <v>71.360000000000014</v>
      </c>
      <c r="T29" s="3">
        <f t="shared" si="0"/>
        <v>817</v>
      </c>
      <c r="U29" s="3">
        <v>544</v>
      </c>
      <c r="V29" s="3">
        <v>358</v>
      </c>
      <c r="W29" s="3">
        <f t="shared" si="1"/>
        <v>902</v>
      </c>
      <c r="X29" s="3">
        <f t="shared" si="2"/>
        <v>-85</v>
      </c>
      <c r="Y29" s="4">
        <v>92.174999999999997</v>
      </c>
      <c r="Z29" s="3">
        <v>303463</v>
      </c>
      <c r="AA29" s="3">
        <f>TABL12[[#This Row],[(RESV. STORGE) AJD]]/10</f>
        <v>30346.3</v>
      </c>
      <c r="AB29" s="3">
        <f t="shared" si="3"/>
        <v>-100.929</v>
      </c>
      <c r="AC29" s="6">
        <v>1121</v>
      </c>
      <c r="AD29" s="5">
        <f>TABL12[[#This Row],[( S/S+T/B) AJD]]-(TABL12[[#This Row],[(A/B + A/S) AJD]]+(TABL12[[#This Row],[(STORGE DIFF.) AJD]])+TABL12[[#This Row],[البخر  AJD]]/1000)</f>
        <v>14.807999999999993</v>
      </c>
      <c r="AE29" s="6">
        <v>100</v>
      </c>
      <c r="AF29" s="33">
        <v>60.073</v>
      </c>
      <c r="AG29" s="6">
        <v>2337032</v>
      </c>
      <c r="AH29" s="6">
        <f>TABL12[[#This Row],[ (RESV. STORGE) BER]]/10</f>
        <v>233703.2</v>
      </c>
      <c r="AI29" s="6">
        <v>1577</v>
      </c>
      <c r="AJ29" s="6">
        <f>TABL12[[#This Row],[(A/B TOT) AJD]]-TABL12[[#This Row],[BER_ IN]]</f>
        <v>444</v>
      </c>
      <c r="AK29" s="6">
        <v>113</v>
      </c>
      <c r="AL29" s="33">
        <v>45.574199999999998</v>
      </c>
      <c r="AM29" s="6">
        <v>4527240</v>
      </c>
      <c r="AN29" s="6">
        <f>TABL12[[#This Row],[ (RESV. STORGE) SER]]/10</f>
        <v>452724</v>
      </c>
      <c r="AO29" s="6">
        <v>1430</v>
      </c>
      <c r="AP29" s="32">
        <f>TABL12[[#This Row],[(A/S TOT) AJD]]-TABL12[[#This Row],[SER_ IN]]</f>
        <v>245</v>
      </c>
    </row>
    <row r="30" spans="1:42" x14ac:dyDescent="0.25">
      <c r="A30" s="2">
        <v>45686</v>
      </c>
      <c r="B30" s="28">
        <v>38</v>
      </c>
      <c r="C30" s="28">
        <v>314</v>
      </c>
      <c r="D30" s="28">
        <v>38</v>
      </c>
      <c r="E30" s="28">
        <v>0</v>
      </c>
      <c r="F30" s="28">
        <v>81</v>
      </c>
      <c r="G30" s="28">
        <v>523.26</v>
      </c>
      <c r="H30" s="28">
        <v>7</v>
      </c>
      <c r="I30" s="28">
        <v>419.13</v>
      </c>
      <c r="J30" s="28">
        <v>415.13</v>
      </c>
      <c r="K30" s="28">
        <f>TABL12[[#This Row],[خط (T/B  TOT) SAR]]+TABL12[[#This Row],[خط (S/S  TOT) SAR2]]</f>
        <v>834.26</v>
      </c>
      <c r="L30" s="28">
        <v>311</v>
      </c>
      <c r="M30" s="29">
        <v>24.2</v>
      </c>
      <c r="N30" s="30">
        <v>7.63</v>
      </c>
      <c r="O30" s="3">
        <v>384</v>
      </c>
      <c r="P30" s="3">
        <f>TABL12[[#This Row],[خط (S/S  TOT) SAR2]]-TABL12[[#This Row],[(S/S TOT) AJD]]</f>
        <v>31.129999999999995</v>
      </c>
      <c r="Q30" s="3">
        <v>425</v>
      </c>
      <c r="R30" s="3">
        <f>TABL12[[#This Row],[خط (T/B  TOT) SAR]]-TABL12[[#This Row],[(T/B TOT) AJD]]</f>
        <v>-5.8700000000000045</v>
      </c>
      <c r="S30" s="3">
        <f>TABL12[[#This Row],[الفرق بين بداية ونهاية خط  S/S]]+TABL12[[#This Row],[الفرق بين بداية ونهاية خط  T/B]]</f>
        <v>25.259999999999991</v>
      </c>
      <c r="T30" s="3">
        <f t="shared" si="0"/>
        <v>809</v>
      </c>
      <c r="U30" s="3">
        <v>542</v>
      </c>
      <c r="V30" s="3">
        <v>333</v>
      </c>
      <c r="W30" s="3">
        <f t="shared" si="1"/>
        <v>875</v>
      </c>
      <c r="X30" s="3">
        <f t="shared" si="2"/>
        <v>-66</v>
      </c>
      <c r="Y30" s="4">
        <v>92.018000000000001</v>
      </c>
      <c r="Z30" s="3">
        <v>210461</v>
      </c>
      <c r="AA30" s="3">
        <f>TABL12[[#This Row],[(RESV. STORGE) AJD]]/10</f>
        <v>21046.1</v>
      </c>
      <c r="AB30" s="3">
        <f t="shared" si="3"/>
        <v>-93.001999999999995</v>
      </c>
      <c r="AC30" s="6">
        <v>1367</v>
      </c>
      <c r="AD30" s="5">
        <f>TABL12[[#This Row],[( S/S+T/B) AJD]]-(TABL12[[#This Row],[(A/B + A/S) AJD]]+(TABL12[[#This Row],[(STORGE DIFF.) AJD]])+TABL12[[#This Row],[البخر  AJD]]/1000)</f>
        <v>25.634999999999991</v>
      </c>
      <c r="AE30" s="6">
        <v>100</v>
      </c>
      <c r="AF30" s="33">
        <v>60.100999999999999</v>
      </c>
      <c r="AG30" s="6">
        <v>2355782</v>
      </c>
      <c r="AH30" s="6">
        <f>TABL12[[#This Row],[ (RESV. STORGE) BER]]/10</f>
        <v>235578.2</v>
      </c>
      <c r="AI30" s="6">
        <v>1570</v>
      </c>
      <c r="AJ30" s="6">
        <f>TABL12[[#This Row],[(A/B TOT) AJD]]-TABL12[[#This Row],[BER_ IN]]</f>
        <v>442</v>
      </c>
      <c r="AK30" s="6">
        <v>66</v>
      </c>
      <c r="AL30" s="33">
        <v>45.689</v>
      </c>
      <c r="AM30" s="6">
        <v>4591880</v>
      </c>
      <c r="AN30" s="6">
        <f>TABL12[[#This Row],[ (RESV. STORGE) SER]]/10</f>
        <v>459188</v>
      </c>
      <c r="AO30" s="6">
        <v>1510</v>
      </c>
      <c r="AP30" s="32">
        <f>TABL12[[#This Row],[(A/S TOT) AJD]]-TABL12[[#This Row],[SER_ IN]]</f>
        <v>267</v>
      </c>
    </row>
    <row r="31" spans="1:42" x14ac:dyDescent="0.25">
      <c r="A31" s="2">
        <v>45687</v>
      </c>
      <c r="B31" s="28">
        <v>37</v>
      </c>
      <c r="C31" s="28">
        <v>318</v>
      </c>
      <c r="D31" s="28">
        <v>38</v>
      </c>
      <c r="E31" s="28">
        <v>0</v>
      </c>
      <c r="F31" s="28">
        <v>81</v>
      </c>
      <c r="G31" s="28">
        <v>520.02</v>
      </c>
      <c r="H31" s="28">
        <v>7</v>
      </c>
      <c r="I31" s="28">
        <v>420.51</v>
      </c>
      <c r="J31" s="28">
        <v>416.51</v>
      </c>
      <c r="K31" s="28">
        <f>TABL12[[#This Row],[خط (T/B  TOT) SAR]]+TABL12[[#This Row],[خط (S/S  TOT) SAR2]]</f>
        <v>837.02</v>
      </c>
      <c r="L31" s="28">
        <v>317</v>
      </c>
      <c r="M31" s="29">
        <v>24.2</v>
      </c>
      <c r="N31" s="30">
        <v>7.61</v>
      </c>
      <c r="O31" s="3">
        <v>370</v>
      </c>
      <c r="P31" s="3">
        <f>TABL12[[#This Row],[خط (S/S  TOT) SAR2]]-TABL12[[#This Row],[(S/S TOT) AJD]]</f>
        <v>46.509999999999991</v>
      </c>
      <c r="Q31" s="3">
        <v>411</v>
      </c>
      <c r="R31" s="3">
        <f>TABL12[[#This Row],[خط (T/B  TOT) SAR]]-TABL12[[#This Row],[(T/B TOT) AJD]]</f>
        <v>9.5099999999999909</v>
      </c>
      <c r="S31" s="3">
        <f>TABL12[[#This Row],[الفرق بين بداية ونهاية خط  S/S]]+TABL12[[#This Row],[الفرق بين بداية ونهاية خط  T/B]]</f>
        <v>56.019999999999982</v>
      </c>
      <c r="T31" s="3">
        <f t="shared" si="0"/>
        <v>781</v>
      </c>
      <c r="U31" s="3">
        <v>550</v>
      </c>
      <c r="V31" s="3">
        <v>262</v>
      </c>
      <c r="W31" s="3">
        <f t="shared" si="1"/>
        <v>812</v>
      </c>
      <c r="X31" s="3">
        <f t="shared" si="2"/>
        <v>-31</v>
      </c>
      <c r="Y31" s="4">
        <v>91.953000000000003</v>
      </c>
      <c r="Z31" s="3">
        <v>172017</v>
      </c>
      <c r="AA31" s="3">
        <f>TABL12[[#This Row],[(RESV. STORGE) AJD]]/10</f>
        <v>17201.7</v>
      </c>
      <c r="AB31" s="3">
        <f t="shared" si="3"/>
        <v>-38.444000000000003</v>
      </c>
      <c r="AC31" s="6">
        <v>1407</v>
      </c>
      <c r="AD31" s="5">
        <f>TABL12[[#This Row],[( S/S+T/B) AJD]]-(TABL12[[#This Row],[(A/B + A/S) AJD]]+(TABL12[[#This Row],[(STORGE DIFF.) AJD]])+TABL12[[#This Row],[البخر  AJD]]/1000)</f>
        <v>6.0369999999999209</v>
      </c>
      <c r="AE31" s="6">
        <v>100</v>
      </c>
      <c r="AF31" s="33">
        <v>60.128999999999998</v>
      </c>
      <c r="AG31" s="6">
        <v>2374538</v>
      </c>
      <c r="AH31" s="6">
        <f>TABL12[[#This Row],[ (RESV. STORGE) BER]]/10</f>
        <v>237453.8</v>
      </c>
      <c r="AI31" s="6">
        <v>1563</v>
      </c>
      <c r="AJ31" s="6">
        <f>TABL12[[#This Row],[(A/B TOT) AJD]]-TABL12[[#This Row],[BER_ IN]]</f>
        <v>450</v>
      </c>
      <c r="AK31" s="6">
        <v>13</v>
      </c>
      <c r="AL31" s="33">
        <v>45.708500000000001</v>
      </c>
      <c r="AM31" s="6">
        <v>4603650</v>
      </c>
      <c r="AN31" s="6">
        <f>TABL12[[#This Row],[ (RESV. STORGE) SER]]/10</f>
        <v>460365</v>
      </c>
      <c r="AO31" s="6">
        <v>730</v>
      </c>
      <c r="AP31" s="32">
        <f>TABL12[[#This Row],[(A/S TOT) AJD]]-TABL12[[#This Row],[SER_ IN]]</f>
        <v>249</v>
      </c>
    </row>
    <row r="32" spans="1:42" x14ac:dyDescent="0.25">
      <c r="A32" s="2">
        <v>45688</v>
      </c>
      <c r="B32" s="28">
        <v>38</v>
      </c>
      <c r="C32" s="28">
        <v>326</v>
      </c>
      <c r="D32" s="28">
        <v>38</v>
      </c>
      <c r="E32" s="28">
        <v>0</v>
      </c>
      <c r="F32" s="28">
        <v>81</v>
      </c>
      <c r="G32" s="28">
        <v>524.07000000000005</v>
      </c>
      <c r="H32" s="28">
        <v>7</v>
      </c>
      <c r="I32" s="28">
        <v>425.53500000000003</v>
      </c>
      <c r="J32" s="28">
        <v>421.53500000000003</v>
      </c>
      <c r="K32" s="28">
        <f>TABL12[[#This Row],[خط (T/B  TOT) SAR]]+TABL12[[#This Row],[خط (S/S  TOT) SAR2]]</f>
        <v>847.07</v>
      </c>
      <c r="L32" s="28">
        <v>323</v>
      </c>
      <c r="M32" s="29">
        <v>24.2</v>
      </c>
      <c r="N32" s="30">
        <v>7.64</v>
      </c>
      <c r="O32" s="3">
        <v>367</v>
      </c>
      <c r="P32" s="3">
        <f>TABL12[[#This Row],[خط (S/S  TOT) SAR2]]-TABL12[[#This Row],[(S/S TOT) AJD]]</f>
        <v>54.535000000000025</v>
      </c>
      <c r="Q32" s="3">
        <v>409</v>
      </c>
      <c r="R32" s="3">
        <f>TABL12[[#This Row],[خط (T/B  TOT) SAR]]-TABL12[[#This Row],[(T/B TOT) AJD]]</f>
        <v>16.535000000000025</v>
      </c>
      <c r="S32" s="3">
        <f>TABL12[[#This Row],[الفرق بين بداية ونهاية خط  S/S]]+TABL12[[#This Row],[الفرق بين بداية ونهاية خط  T/B]]</f>
        <v>71.07000000000005</v>
      </c>
      <c r="T32" s="3">
        <f t="shared" si="0"/>
        <v>776</v>
      </c>
      <c r="U32" s="3">
        <v>556</v>
      </c>
      <c r="V32" s="3">
        <v>237</v>
      </c>
      <c r="W32" s="3">
        <f t="shared" si="1"/>
        <v>793</v>
      </c>
      <c r="X32" s="3">
        <f t="shared" si="2"/>
        <v>-17</v>
      </c>
      <c r="Y32" s="4">
        <v>91.921000000000006</v>
      </c>
      <c r="Z32" s="3">
        <v>153103</v>
      </c>
      <c r="AA32" s="3">
        <f>TABL12[[#This Row],[(RESV. STORGE) AJD]]/10</f>
        <v>15310.3</v>
      </c>
      <c r="AB32" s="3">
        <f t="shared" si="3"/>
        <v>-18.914000000000001</v>
      </c>
      <c r="AC32" s="6">
        <v>1903</v>
      </c>
      <c r="AD32" s="5">
        <f>TABL12[[#This Row],[( S/S+T/B) AJD]]-(TABL12[[#This Row],[(A/B + A/S) AJD]]+(TABL12[[#This Row],[(STORGE DIFF.) AJD]])+TABL12[[#This Row],[البخر  AJD]]/1000)</f>
        <v>1.0999999999967258E-2</v>
      </c>
      <c r="AE32" s="6">
        <v>100</v>
      </c>
      <c r="AF32" s="33">
        <v>60.156999999999996</v>
      </c>
      <c r="AG32" s="6">
        <v>2393301</v>
      </c>
      <c r="AH32" s="6">
        <f>TABL12[[#This Row],[ (RESV. STORGE) BER]]/10</f>
        <v>239330.1</v>
      </c>
      <c r="AI32" s="6">
        <v>1556</v>
      </c>
      <c r="AJ32" s="6">
        <f>TABL12[[#This Row],[(A/B TOT) AJD]]-TABL12[[#This Row],[BER_ IN]]</f>
        <v>456</v>
      </c>
      <c r="AK32" s="6">
        <v>0</v>
      </c>
      <c r="AL32" s="33">
        <v>45.704099999999997</v>
      </c>
      <c r="AM32" s="6">
        <v>4600300</v>
      </c>
      <c r="AN32" s="6">
        <f>TABL12[[#This Row],[ (RESV. STORGE) SER]]/10</f>
        <v>460030</v>
      </c>
      <c r="AO32" s="6">
        <v>1400</v>
      </c>
      <c r="AP32" s="32">
        <f>TABL12[[#This Row],[(A/S TOT) AJD]]-TABL12[[#This Row],[SER_ IN]]</f>
        <v>237</v>
      </c>
    </row>
    <row r="33" spans="1:42" x14ac:dyDescent="0.25">
      <c r="A33" s="2">
        <v>45689</v>
      </c>
      <c r="B33" s="28">
        <v>38</v>
      </c>
      <c r="C33" s="28">
        <v>326</v>
      </c>
      <c r="D33" s="28">
        <v>38</v>
      </c>
      <c r="E33" s="28">
        <v>0</v>
      </c>
      <c r="F33" s="28">
        <v>81</v>
      </c>
      <c r="G33" s="28">
        <v>523.26</v>
      </c>
      <c r="H33" s="28">
        <v>7</v>
      </c>
      <c r="I33" s="28">
        <v>425.13</v>
      </c>
      <c r="J33" s="28">
        <v>421.13</v>
      </c>
      <c r="K33" s="28">
        <f>TABL12[[#This Row],[خط (T/B  TOT) SAR]]+TABL12[[#This Row],[خط (S/S  TOT) SAR2]]</f>
        <v>846.26</v>
      </c>
      <c r="L33" s="28">
        <v>323</v>
      </c>
      <c r="M33" s="29">
        <v>24.2</v>
      </c>
      <c r="N33" s="30">
        <v>7.69</v>
      </c>
      <c r="O33" s="3">
        <v>367</v>
      </c>
      <c r="P33" s="3">
        <f>TABL12[[#This Row],[خط (S/S  TOT) SAR2]]-TABL12[[#This Row],[(S/S TOT) AJD]]</f>
        <v>54.129999999999995</v>
      </c>
      <c r="Q33" s="3">
        <v>409</v>
      </c>
      <c r="R33" s="3">
        <f>TABL12[[#This Row],[خط (T/B  TOT) SAR]]-TABL12[[#This Row],[(T/B TOT) AJD]]</f>
        <v>16.129999999999995</v>
      </c>
      <c r="S33" s="3">
        <f>TABL12[[#This Row],[الفرق بين بداية ونهاية خط  S/S]]+TABL12[[#This Row],[الفرق بين بداية ونهاية خط  T/B]]</f>
        <v>70.259999999999991</v>
      </c>
      <c r="T33" s="3">
        <f t="shared" si="0"/>
        <v>776</v>
      </c>
      <c r="U33" s="3">
        <v>554</v>
      </c>
      <c r="V33" s="3">
        <v>260</v>
      </c>
      <c r="W33" s="3">
        <f t="shared" si="1"/>
        <v>814</v>
      </c>
      <c r="X33" s="3">
        <f t="shared" si="2"/>
        <v>-38</v>
      </c>
      <c r="Y33" s="4">
        <v>91.921000000000006</v>
      </c>
      <c r="Z33" s="3">
        <v>0</v>
      </c>
      <c r="AA33" s="3">
        <f>TABL12[[#This Row],[(RESV. STORGE) AJD]]/10</f>
        <v>0</v>
      </c>
      <c r="AB33" s="3">
        <f t="shared" si="3"/>
        <v>-153.10300000000001</v>
      </c>
      <c r="AC33" s="6">
        <v>1564</v>
      </c>
      <c r="AD33" s="5">
        <f>TABL12[[#This Row],[( S/S+T/B) AJD]]-(TABL12[[#This Row],[(A/B + A/S) AJD]]+(TABL12[[#This Row],[(STORGE DIFF.) AJD]])+TABL12[[#This Row],[البخر  AJD]]/1000)</f>
        <v>113.5390000000001</v>
      </c>
      <c r="AE33" s="6">
        <v>100</v>
      </c>
      <c r="AF33" s="33">
        <v>60.204000000000001</v>
      </c>
      <c r="AG33" s="6">
        <v>2424812</v>
      </c>
      <c r="AH33" s="6">
        <f>TABL12[[#This Row],[ (RESV. STORGE) BER]]/10</f>
        <v>242481.2</v>
      </c>
      <c r="AI33" s="6">
        <v>1259</v>
      </c>
      <c r="AJ33" s="6">
        <f>TABL12[[#This Row],[(A/B TOT) AJD]]-TABL12[[#This Row],[BER_ IN]]</f>
        <v>454</v>
      </c>
      <c r="AK33" s="6">
        <v>0</v>
      </c>
      <c r="AL33" s="33">
        <v>45.689900000000002</v>
      </c>
      <c r="AM33" s="6">
        <v>4592430</v>
      </c>
      <c r="AN33" s="6">
        <f>TABL12[[#This Row],[ (RESV. STORGE) SER]]/10</f>
        <v>459243</v>
      </c>
      <c r="AO33" s="6">
        <v>1380</v>
      </c>
      <c r="AP33" s="32">
        <f>TABL12[[#This Row],[(A/S TOT) AJD]]-TABL12[[#This Row],[SER_ IN]]</f>
        <v>260</v>
      </c>
    </row>
    <row r="34" spans="1:42" x14ac:dyDescent="0.25">
      <c r="A34" s="2">
        <v>45690</v>
      </c>
      <c r="B34" s="28">
        <v>38</v>
      </c>
      <c r="C34" s="28">
        <v>327</v>
      </c>
      <c r="D34" s="28">
        <v>38</v>
      </c>
      <c r="E34" s="28">
        <v>0</v>
      </c>
      <c r="F34" s="28">
        <v>81</v>
      </c>
      <c r="G34" s="28">
        <v>524.07000000000005</v>
      </c>
      <c r="H34" s="28">
        <v>7</v>
      </c>
      <c r="I34" s="28">
        <v>426.03500000000003</v>
      </c>
      <c r="J34" s="28">
        <v>422.03500000000003</v>
      </c>
      <c r="K34" s="28">
        <f>TABL12[[#This Row],[خط (T/B  TOT) SAR]]+TABL12[[#This Row],[خط (S/S  TOT) SAR2]]</f>
        <v>848.07</v>
      </c>
      <c r="L34" s="28">
        <v>324</v>
      </c>
      <c r="M34" s="29">
        <v>24.2</v>
      </c>
      <c r="N34" s="30">
        <v>7.74</v>
      </c>
      <c r="O34" s="3">
        <v>367</v>
      </c>
      <c r="P34" s="3">
        <f>TABL12[[#This Row],[خط (S/S  TOT) SAR2]]-TABL12[[#This Row],[(S/S TOT) AJD]]</f>
        <v>55.035000000000025</v>
      </c>
      <c r="Q34" s="3">
        <v>410</v>
      </c>
      <c r="R34" s="3">
        <f>TABL12[[#This Row],[خط (T/B  TOT) SAR]]-TABL12[[#This Row],[(T/B TOT) AJD]]</f>
        <v>16.035000000000025</v>
      </c>
      <c r="S34" s="3">
        <f>TABL12[[#This Row],[الفرق بين بداية ونهاية خط  S/S]]+TABL12[[#This Row],[الفرق بين بداية ونهاية خط  T/B]]</f>
        <v>71.07000000000005</v>
      </c>
      <c r="T34" s="3">
        <f t="shared" si="0"/>
        <v>777</v>
      </c>
      <c r="U34" s="3">
        <v>557</v>
      </c>
      <c r="V34" s="3">
        <v>259</v>
      </c>
      <c r="W34" s="3">
        <f t="shared" si="1"/>
        <v>816</v>
      </c>
      <c r="X34" s="3">
        <f t="shared" si="2"/>
        <v>-39</v>
      </c>
      <c r="Y34" s="4">
        <v>91.921000000000006</v>
      </c>
      <c r="Z34" s="3">
        <v>0</v>
      </c>
      <c r="AA34" s="3">
        <f>TABL12[[#This Row],[(RESV. STORGE) AJD]]/10</f>
        <v>0</v>
      </c>
      <c r="AB34" s="3">
        <f t="shared" si="3"/>
        <v>0</v>
      </c>
      <c r="AC34" s="6">
        <v>1332</v>
      </c>
      <c r="AD34" s="5">
        <f>TABL12[[#This Row],[( S/S+T/B) AJD]]-(TABL12[[#This Row],[(A/B + A/S) AJD]]+(TABL12[[#This Row],[(STORGE DIFF.) AJD]])+TABL12[[#This Row],[البخر  AJD]]/1000)</f>
        <v>-40.331999999999994</v>
      </c>
      <c r="AE34" s="6">
        <v>100</v>
      </c>
      <c r="AF34" s="33">
        <v>60.231999999999999</v>
      </c>
      <c r="AG34" s="6">
        <v>2443594</v>
      </c>
      <c r="AH34" s="6">
        <f>TABL12[[#This Row],[ (RESV. STORGE) BER]]/10</f>
        <v>244359.4</v>
      </c>
      <c r="AI34" s="6">
        <v>1538</v>
      </c>
      <c r="AJ34" s="6">
        <f>TABL12[[#This Row],[(A/B TOT) AJD]]-TABL12[[#This Row],[BER_ IN]]</f>
        <v>457</v>
      </c>
      <c r="AK34" s="6">
        <v>0</v>
      </c>
      <c r="AL34" s="33">
        <v>45.673999999999999</v>
      </c>
      <c r="AM34" s="6">
        <v>4583430</v>
      </c>
      <c r="AN34" s="6">
        <f>TABL12[[#This Row],[ (RESV. STORGE) SER]]/10</f>
        <v>458343</v>
      </c>
      <c r="AO34" s="6">
        <v>1430</v>
      </c>
      <c r="AP34" s="32">
        <f>TABL12[[#This Row],[(A/S TOT) AJD]]-TABL12[[#This Row],[SER_ IN]]</f>
        <v>259</v>
      </c>
    </row>
    <row r="35" spans="1:42" x14ac:dyDescent="0.25">
      <c r="A35" s="2">
        <v>45691</v>
      </c>
      <c r="B35" s="28">
        <v>38</v>
      </c>
      <c r="C35" s="28">
        <v>325</v>
      </c>
      <c r="D35" s="28">
        <v>38</v>
      </c>
      <c r="E35" s="28">
        <v>0</v>
      </c>
      <c r="F35" s="28">
        <v>81</v>
      </c>
      <c r="G35" s="28">
        <v>524.07000000000005</v>
      </c>
      <c r="H35" s="28">
        <v>7</v>
      </c>
      <c r="I35" s="28">
        <v>425.03500000000003</v>
      </c>
      <c r="J35" s="28">
        <v>421.03500000000003</v>
      </c>
      <c r="K35" s="28">
        <f>TABL12[[#This Row],[خط (T/B  TOT) SAR]]+TABL12[[#This Row],[خط (S/S  TOT) SAR2]]</f>
        <v>846.07</v>
      </c>
      <c r="L35" s="28">
        <v>322</v>
      </c>
      <c r="M35" s="29">
        <v>24.2</v>
      </c>
      <c r="N35" s="30">
        <v>7.78</v>
      </c>
      <c r="O35" s="3">
        <v>367</v>
      </c>
      <c r="P35" s="3">
        <f>TABL12[[#This Row],[خط (S/S  TOT) SAR2]]-TABL12[[#This Row],[(S/S TOT) AJD]]</f>
        <v>54.035000000000025</v>
      </c>
      <c r="Q35" s="3">
        <v>409</v>
      </c>
      <c r="R35" s="3">
        <f>TABL12[[#This Row],[خط (T/B  TOT) SAR]]-TABL12[[#This Row],[(T/B TOT) AJD]]</f>
        <v>16.035000000000025</v>
      </c>
      <c r="S35" s="3">
        <f>TABL12[[#This Row],[الفرق بين بداية ونهاية خط  S/S]]+TABL12[[#This Row],[الفرق بين بداية ونهاية خط  T/B]]</f>
        <v>70.07000000000005</v>
      </c>
      <c r="T35" s="3">
        <f t="shared" si="0"/>
        <v>776</v>
      </c>
      <c r="U35" s="3">
        <v>544</v>
      </c>
      <c r="V35" s="3">
        <v>262</v>
      </c>
      <c r="W35" s="3">
        <f t="shared" si="1"/>
        <v>806</v>
      </c>
      <c r="X35" s="3">
        <f t="shared" si="2"/>
        <v>-30</v>
      </c>
      <c r="Y35" s="4">
        <v>91.921000000000006</v>
      </c>
      <c r="Z35" s="3">
        <v>0</v>
      </c>
      <c r="AA35" s="3">
        <f>TABL12[[#This Row],[(RESV. STORGE) AJD]]/10</f>
        <v>0</v>
      </c>
      <c r="AB35" s="3">
        <f t="shared" si="3"/>
        <v>0</v>
      </c>
      <c r="AC35" s="6">
        <v>1531</v>
      </c>
      <c r="AD35" s="5">
        <f>TABL12[[#This Row],[( S/S+T/B) AJD]]-(TABL12[[#This Row],[(A/B + A/S) AJD]]+(TABL12[[#This Row],[(STORGE DIFF.) AJD]])+TABL12[[#This Row],[البخر  AJD]]/1000)</f>
        <v>-31.530999999999949</v>
      </c>
      <c r="AE35" s="6">
        <v>100</v>
      </c>
      <c r="AF35" s="33">
        <v>60.26</v>
      </c>
      <c r="AG35" s="6">
        <v>2462382</v>
      </c>
      <c r="AH35" s="6">
        <f>TABL12[[#This Row],[ (RESV. STORGE) BER]]/10</f>
        <v>246238.2</v>
      </c>
      <c r="AI35" s="6">
        <v>1531</v>
      </c>
      <c r="AJ35" s="6">
        <f>TABL12[[#This Row],[(A/B TOT) AJD]]-TABL12[[#This Row],[BER_ IN]]</f>
        <v>444</v>
      </c>
      <c r="AK35" s="6">
        <v>0</v>
      </c>
      <c r="AL35" s="33">
        <v>45.6601</v>
      </c>
      <c r="AM35" s="6">
        <v>4575940</v>
      </c>
      <c r="AN35" s="6">
        <f>TABL12[[#This Row],[ (RESV. STORGE) SER]]/10</f>
        <v>457594</v>
      </c>
      <c r="AO35" s="6">
        <v>1215</v>
      </c>
      <c r="AP35" s="32">
        <f>TABL12[[#This Row],[(A/S TOT) AJD]]-TABL12[[#This Row],[SER_ IN]]</f>
        <v>262</v>
      </c>
    </row>
    <row r="36" spans="1:42" x14ac:dyDescent="0.25">
      <c r="A36" s="2">
        <v>45692</v>
      </c>
      <c r="B36" s="28">
        <v>38</v>
      </c>
      <c r="C36" s="28">
        <v>324</v>
      </c>
      <c r="D36" s="28">
        <v>38</v>
      </c>
      <c r="E36" s="28">
        <v>0</v>
      </c>
      <c r="F36" s="28">
        <v>81</v>
      </c>
      <c r="G36" s="28">
        <v>523.26</v>
      </c>
      <c r="H36" s="28">
        <v>7</v>
      </c>
      <c r="I36" s="28">
        <v>424.13</v>
      </c>
      <c r="J36" s="28">
        <v>420.13</v>
      </c>
      <c r="K36" s="28">
        <f>TABL12[[#This Row],[خط (T/B  TOT) SAR]]+TABL12[[#This Row],[خط (S/S  TOT) SAR2]]</f>
        <v>844.26</v>
      </c>
      <c r="L36" s="28">
        <v>321</v>
      </c>
      <c r="M36" s="29">
        <v>24.2</v>
      </c>
      <c r="N36" s="30">
        <v>7.82</v>
      </c>
      <c r="O36" s="3">
        <v>369</v>
      </c>
      <c r="P36" s="3">
        <f>TABL12[[#This Row],[خط (S/S  TOT) SAR2]]-TABL12[[#This Row],[(S/S TOT) AJD]]</f>
        <v>51.129999999999995</v>
      </c>
      <c r="Q36" s="3">
        <v>411</v>
      </c>
      <c r="R36" s="3">
        <f>TABL12[[#This Row],[خط (T/B  TOT) SAR]]-TABL12[[#This Row],[(T/B TOT) AJD]]</f>
        <v>13.129999999999995</v>
      </c>
      <c r="S36" s="3">
        <f>TABL12[[#This Row],[الفرق بين بداية ونهاية خط  S/S]]+TABL12[[#This Row],[الفرق بين بداية ونهاية خط  T/B]]</f>
        <v>64.259999999999991</v>
      </c>
      <c r="T36" s="3">
        <f t="shared" si="0"/>
        <v>780</v>
      </c>
      <c r="U36" s="3">
        <v>511</v>
      </c>
      <c r="V36" s="3">
        <v>267</v>
      </c>
      <c r="W36" s="3">
        <f t="shared" si="1"/>
        <v>778</v>
      </c>
      <c r="X36" s="3">
        <f t="shared" si="2"/>
        <v>2</v>
      </c>
      <c r="Y36" s="4">
        <v>91.92</v>
      </c>
      <c r="Z36" s="3">
        <v>0</v>
      </c>
      <c r="AA36" s="3">
        <f>TABL12[[#This Row],[(RESV. STORGE) AJD]]/10</f>
        <v>0</v>
      </c>
      <c r="AB36" s="3">
        <f t="shared" si="3"/>
        <v>0</v>
      </c>
      <c r="AC36" s="6">
        <v>1779</v>
      </c>
      <c r="AD36" s="5">
        <f>TABL12[[#This Row],[( S/S+T/B) AJD]]-(TABL12[[#This Row],[(A/B + A/S) AJD]]+(TABL12[[#This Row],[(STORGE DIFF.) AJD]])+TABL12[[#This Row],[البخر  AJD]]/1000)</f>
        <v>0.22100000000000364</v>
      </c>
      <c r="AE36" s="6">
        <v>30</v>
      </c>
      <c r="AF36" s="33">
        <v>60.637999999999998</v>
      </c>
      <c r="AG36" s="6">
        <v>2716694</v>
      </c>
      <c r="AH36" s="6">
        <f>TABL12[[#This Row],[ (RESV. STORGE) BER]]/10</f>
        <v>271669.40000000002</v>
      </c>
      <c r="AI36" s="6">
        <v>2548</v>
      </c>
      <c r="AJ36" s="6">
        <f>TABL12[[#This Row],[(A/B TOT) AJD]]-TABL12[[#This Row],[BER_ IN]]</f>
        <v>481</v>
      </c>
      <c r="AK36" s="6">
        <v>0</v>
      </c>
      <c r="AL36" s="33">
        <v>45.647599999999997</v>
      </c>
      <c r="AM36" s="6">
        <v>4568360</v>
      </c>
      <c r="AN36" s="6">
        <f>TABL12[[#This Row],[ (RESV. STORGE) SER]]/10</f>
        <v>456836</v>
      </c>
      <c r="AO36" s="6">
        <v>1285</v>
      </c>
      <c r="AP36" s="32">
        <f>TABL12[[#This Row],[(A/S TOT) AJD]]-TABL12[[#This Row],[SER_ IN]]</f>
        <v>267</v>
      </c>
    </row>
    <row r="37" spans="1:42" x14ac:dyDescent="0.25">
      <c r="A37" s="2">
        <v>45693</v>
      </c>
      <c r="B37" s="28">
        <v>38</v>
      </c>
      <c r="C37" s="28">
        <v>321</v>
      </c>
      <c r="D37" s="28">
        <v>38</v>
      </c>
      <c r="E37" s="28">
        <v>0</v>
      </c>
      <c r="F37" s="28">
        <v>81</v>
      </c>
      <c r="G37" s="28">
        <v>523.26</v>
      </c>
      <c r="H37" s="28">
        <v>7</v>
      </c>
      <c r="I37" s="28">
        <v>422.63</v>
      </c>
      <c r="J37" s="28">
        <v>418.63</v>
      </c>
      <c r="K37" s="28">
        <f>TABL12[[#This Row],[خط (T/B  TOT) SAR]]+TABL12[[#This Row],[خط (S/S  TOT) SAR2]]</f>
        <v>841.26</v>
      </c>
      <c r="L37" s="28">
        <v>318</v>
      </c>
      <c r="M37" s="29">
        <v>24.2</v>
      </c>
      <c r="N37" s="30">
        <v>7.83</v>
      </c>
      <c r="O37" s="3">
        <v>374</v>
      </c>
      <c r="P37" s="3">
        <f>TABL12[[#This Row],[خط (S/S  TOT) SAR2]]-TABL12[[#This Row],[(S/S TOT) AJD]]</f>
        <v>44.629999999999995</v>
      </c>
      <c r="Q37" s="3">
        <v>412</v>
      </c>
      <c r="R37" s="3">
        <f>TABL12[[#This Row],[خط (T/B  TOT) SAR]]-TABL12[[#This Row],[(T/B TOT) AJD]]</f>
        <v>10.629999999999995</v>
      </c>
      <c r="S37" s="3">
        <f>TABL12[[#This Row],[الفرق بين بداية ونهاية خط  S/S]]+TABL12[[#This Row],[الفرق بين بداية ونهاية خط  T/B]]</f>
        <v>55.259999999999991</v>
      </c>
      <c r="T37" s="3">
        <f t="shared" si="0"/>
        <v>786</v>
      </c>
      <c r="U37" s="3">
        <v>500</v>
      </c>
      <c r="V37" s="3">
        <v>245</v>
      </c>
      <c r="W37" s="3">
        <f t="shared" si="1"/>
        <v>745</v>
      </c>
      <c r="X37" s="3">
        <f t="shared" si="2"/>
        <v>41</v>
      </c>
      <c r="Y37" s="4">
        <v>91.92</v>
      </c>
      <c r="Z37" s="3">
        <v>0</v>
      </c>
      <c r="AA37" s="3">
        <f>TABL12[[#This Row],[(RESV. STORGE) AJD]]/10</f>
        <v>0</v>
      </c>
      <c r="AB37" s="3">
        <f t="shared" si="3"/>
        <v>0</v>
      </c>
      <c r="AC37" s="6">
        <v>1704</v>
      </c>
      <c r="AD37" s="5">
        <f>TABL12[[#This Row],[( S/S+T/B) AJD]]-(TABL12[[#This Row],[(A/B + A/S) AJD]]+(TABL12[[#This Row],[(STORGE DIFF.) AJD]])+TABL12[[#This Row],[البخر  AJD]]/1000)</f>
        <v>39.296000000000049</v>
      </c>
      <c r="AE37" s="6">
        <v>161</v>
      </c>
      <c r="AF37" s="33">
        <v>60.771999999999998</v>
      </c>
      <c r="AG37" s="6">
        <v>2807146</v>
      </c>
      <c r="AH37" s="6">
        <f>TABL12[[#This Row],[ (RESV. STORGE) BER]]/10</f>
        <v>280714.59999999998</v>
      </c>
      <c r="AI37" s="6">
        <v>2487</v>
      </c>
      <c r="AJ37" s="6">
        <f>TABL12[[#This Row],[(A/B TOT) AJD]]-TABL12[[#This Row],[BER_ IN]]</f>
        <v>339</v>
      </c>
      <c r="AK37" s="6">
        <v>0</v>
      </c>
      <c r="AL37" s="33">
        <v>45.627600000000001</v>
      </c>
      <c r="AM37" s="6">
        <v>4557580</v>
      </c>
      <c r="AN37" s="6">
        <f>TABL12[[#This Row],[ (RESV. STORGE) SER]]/10</f>
        <v>455758</v>
      </c>
      <c r="AO37" s="6">
        <v>1350</v>
      </c>
      <c r="AP37" s="32">
        <f>TABL12[[#This Row],[(A/S TOT) AJD]]-TABL12[[#This Row],[SER_ IN]]</f>
        <v>245</v>
      </c>
    </row>
    <row r="38" spans="1:42" x14ac:dyDescent="0.25">
      <c r="A38" s="2">
        <v>45694</v>
      </c>
      <c r="B38" s="28">
        <v>38</v>
      </c>
      <c r="C38" s="28">
        <v>326</v>
      </c>
      <c r="D38" s="28">
        <v>38</v>
      </c>
      <c r="E38" s="28">
        <v>0</v>
      </c>
      <c r="F38" s="28">
        <v>81</v>
      </c>
      <c r="G38" s="28">
        <v>523.26</v>
      </c>
      <c r="H38" s="28">
        <v>7</v>
      </c>
      <c r="I38" s="28">
        <v>426.13</v>
      </c>
      <c r="J38" s="28">
        <v>422.13</v>
      </c>
      <c r="K38" s="28">
        <f>TABL12[[#This Row],[خط (T/B  TOT) SAR]]+TABL12[[#This Row],[خط (S/S  TOT) SAR2]]</f>
        <v>848.26</v>
      </c>
      <c r="L38" s="28">
        <v>325</v>
      </c>
      <c r="M38" s="29">
        <v>24.2</v>
      </c>
      <c r="N38" s="30">
        <v>7.82</v>
      </c>
      <c r="O38" s="3">
        <v>372</v>
      </c>
      <c r="P38" s="3">
        <f>TABL12[[#This Row],[خط (S/S  TOT) SAR2]]-TABL12[[#This Row],[(S/S TOT) AJD]]</f>
        <v>50.129999999999995</v>
      </c>
      <c r="Q38" s="3">
        <v>410</v>
      </c>
      <c r="R38" s="3">
        <f>TABL12[[#This Row],[خط (T/B  TOT) SAR]]-TABL12[[#This Row],[(T/B TOT) AJD]]</f>
        <v>16.129999999999995</v>
      </c>
      <c r="S38" s="3">
        <f>TABL12[[#This Row],[الفرق بين بداية ونهاية خط  S/S]]+TABL12[[#This Row],[الفرق بين بداية ونهاية خط  T/B]]</f>
        <v>66.259999999999991</v>
      </c>
      <c r="T38" s="3">
        <f t="shared" si="0"/>
        <v>782</v>
      </c>
      <c r="U38" s="3">
        <v>515</v>
      </c>
      <c r="V38" s="3">
        <v>263</v>
      </c>
      <c r="W38" s="3">
        <f t="shared" si="1"/>
        <v>778</v>
      </c>
      <c r="X38" s="3">
        <f t="shared" si="2"/>
        <v>4</v>
      </c>
      <c r="Y38" s="4">
        <v>91.92</v>
      </c>
      <c r="Z38" s="3">
        <v>0</v>
      </c>
      <c r="AA38" s="3">
        <f>TABL12[[#This Row],[(RESV. STORGE) AJD]]/10</f>
        <v>0</v>
      </c>
      <c r="AB38" s="3">
        <f t="shared" si="3"/>
        <v>0</v>
      </c>
      <c r="AC38" s="6">
        <v>1812</v>
      </c>
      <c r="AD38" s="5">
        <f>TABL12[[#This Row],[( S/S+T/B) AJD]]-(TABL12[[#This Row],[(A/B + A/S) AJD]]+(TABL12[[#This Row],[(STORGE DIFF.) AJD]])+TABL12[[#This Row],[البخر  AJD]]/1000)</f>
        <v>2.1879999999999882</v>
      </c>
      <c r="AE38" s="6">
        <v>92</v>
      </c>
      <c r="AF38" s="33">
        <v>60.786999999999999</v>
      </c>
      <c r="AG38" s="6">
        <v>2817281</v>
      </c>
      <c r="AH38" s="6">
        <f>TABL12[[#This Row],[ (RESV. STORGE) BER]]/10</f>
        <v>281728.09999999998</v>
      </c>
      <c r="AI38" s="6">
        <v>2184</v>
      </c>
      <c r="AJ38" s="6">
        <f>TABL12[[#This Row],[(A/B TOT) AJD]]-TABL12[[#This Row],[BER_ IN]]</f>
        <v>423</v>
      </c>
      <c r="AK38" s="6">
        <v>0</v>
      </c>
      <c r="AL38" s="33">
        <v>45.605699999999999</v>
      </c>
      <c r="AM38" s="6">
        <v>4545350</v>
      </c>
      <c r="AN38" s="6">
        <f>TABL12[[#This Row],[ (RESV. STORGE) SER]]/10</f>
        <v>454535</v>
      </c>
      <c r="AO38" s="6">
        <v>1320</v>
      </c>
      <c r="AP38" s="32">
        <f>TABL12[[#This Row],[(A/S TOT) AJD]]-TABL12[[#This Row],[SER_ IN]]</f>
        <v>263</v>
      </c>
    </row>
    <row r="39" spans="1:42" x14ac:dyDescent="0.25">
      <c r="A39" s="2">
        <v>45695</v>
      </c>
      <c r="B39" s="28">
        <v>38</v>
      </c>
      <c r="C39" s="28">
        <v>320</v>
      </c>
      <c r="D39" s="28">
        <v>38</v>
      </c>
      <c r="E39" s="28">
        <v>0</v>
      </c>
      <c r="F39" s="28">
        <v>81</v>
      </c>
      <c r="G39" s="28">
        <v>523.26</v>
      </c>
      <c r="H39" s="28">
        <v>7</v>
      </c>
      <c r="I39" s="28">
        <v>422.13</v>
      </c>
      <c r="J39" s="28">
        <v>418.13</v>
      </c>
      <c r="K39" s="28">
        <f>TABL12[[#This Row],[خط (T/B  TOT) SAR]]+TABL12[[#This Row],[خط (S/S  TOT) SAR2]]</f>
        <v>840.26</v>
      </c>
      <c r="L39" s="28">
        <v>317</v>
      </c>
      <c r="M39" s="29">
        <v>24.2</v>
      </c>
      <c r="N39" s="30">
        <v>7.85</v>
      </c>
      <c r="O39" s="3">
        <v>370</v>
      </c>
      <c r="P39" s="3">
        <f>TABL12[[#This Row],[خط (S/S  TOT) SAR2]]-TABL12[[#This Row],[(S/S TOT) AJD]]</f>
        <v>48.129999999999995</v>
      </c>
      <c r="Q39" s="3">
        <v>408</v>
      </c>
      <c r="R39" s="3">
        <f>TABL12[[#This Row],[خط (T/B  TOT) SAR]]-TABL12[[#This Row],[(T/B TOT) AJD]]</f>
        <v>14.129999999999995</v>
      </c>
      <c r="S39" s="3">
        <f>TABL12[[#This Row],[الفرق بين بداية ونهاية خط  S/S]]+TABL12[[#This Row],[الفرق بين بداية ونهاية خط  T/B]]</f>
        <v>62.259999999999991</v>
      </c>
      <c r="T39" s="3">
        <f t="shared" si="0"/>
        <v>778</v>
      </c>
      <c r="U39" s="3">
        <v>516</v>
      </c>
      <c r="V39" s="3">
        <v>263</v>
      </c>
      <c r="W39" s="3">
        <f t="shared" si="1"/>
        <v>779</v>
      </c>
      <c r="X39" s="3">
        <f t="shared" si="2"/>
        <v>-1</v>
      </c>
      <c r="Y39" s="4">
        <v>91.92</v>
      </c>
      <c r="Z39" s="3">
        <v>0</v>
      </c>
      <c r="AA39" s="3">
        <f>TABL12[[#This Row],[(RESV. STORGE) AJD]]/10</f>
        <v>0</v>
      </c>
      <c r="AB39" s="3">
        <f t="shared" si="3"/>
        <v>0</v>
      </c>
      <c r="AC39" s="6">
        <v>0</v>
      </c>
      <c r="AD39" s="5">
        <f>TABL12[[#This Row],[( S/S+T/B) AJD]]-(TABL12[[#This Row],[(A/B + A/S) AJD]]+(TABL12[[#This Row],[(STORGE DIFF.) AJD]])+TABL12[[#This Row],[البخر  AJD]]/1000)</f>
        <v>-1</v>
      </c>
      <c r="AE39" s="6">
        <v>90</v>
      </c>
      <c r="AF39" s="33">
        <v>60.798999999999999</v>
      </c>
      <c r="AG39" s="6">
        <v>2825391</v>
      </c>
      <c r="AH39" s="6">
        <f>TABL12[[#This Row],[ (RESV. STORGE) BER]]/10</f>
        <v>282539.09999999998</v>
      </c>
      <c r="AI39" s="6">
        <v>2210</v>
      </c>
      <c r="AJ39" s="6">
        <f>TABL12[[#This Row],[(A/B TOT) AJD]]-TABL12[[#This Row],[BER_ IN]]</f>
        <v>426</v>
      </c>
      <c r="AK39" s="6">
        <v>0</v>
      </c>
      <c r="AL39" s="33">
        <v>45.579300000000003</v>
      </c>
      <c r="AM39" s="6">
        <v>4530220</v>
      </c>
      <c r="AN39" s="6">
        <f>TABL12[[#This Row],[ (RESV. STORGE) SER]]/10</f>
        <v>453022</v>
      </c>
      <c r="AO39" s="6">
        <v>1350</v>
      </c>
      <c r="AP39" s="32">
        <f>TABL12[[#This Row],[(A/S TOT) AJD]]-TABL12[[#This Row],[SER_ IN]]</f>
        <v>263</v>
      </c>
    </row>
    <row r="40" spans="1:42" x14ac:dyDescent="0.25">
      <c r="A40" s="2">
        <v>45696</v>
      </c>
      <c r="B40" s="28">
        <v>38</v>
      </c>
      <c r="C40" s="28">
        <v>323</v>
      </c>
      <c r="D40" s="28">
        <v>38</v>
      </c>
      <c r="E40" s="28">
        <v>0</v>
      </c>
      <c r="F40" s="28">
        <v>81</v>
      </c>
      <c r="G40" s="28">
        <v>523.26</v>
      </c>
      <c r="H40" s="28">
        <v>7</v>
      </c>
      <c r="I40" s="28">
        <v>423.63</v>
      </c>
      <c r="J40" s="28">
        <v>419.63</v>
      </c>
      <c r="K40" s="28">
        <f>TABL12[[#This Row],[خط (T/B  TOT) SAR]]+TABL12[[#This Row],[خط (S/S  TOT) SAR2]]</f>
        <v>843.26</v>
      </c>
      <c r="L40" s="28">
        <v>320</v>
      </c>
      <c r="M40" s="29">
        <v>24.2</v>
      </c>
      <c r="N40" s="30">
        <v>7.86</v>
      </c>
      <c r="O40" s="3">
        <v>373</v>
      </c>
      <c r="P40" s="3">
        <f>TABL12[[#This Row],[خط (S/S  TOT) SAR2]]-TABL12[[#This Row],[(S/S TOT) AJD]]</f>
        <v>46.629999999999995</v>
      </c>
      <c r="Q40" s="3">
        <v>413</v>
      </c>
      <c r="R40" s="3">
        <f>TABL12[[#This Row],[خط (T/B  TOT) SAR]]-TABL12[[#This Row],[(T/B TOT) AJD]]</f>
        <v>10.629999999999995</v>
      </c>
      <c r="S40" s="3">
        <f>TABL12[[#This Row],[الفرق بين بداية ونهاية خط  S/S]]+TABL12[[#This Row],[الفرق بين بداية ونهاية خط  T/B]]</f>
        <v>57.259999999999991</v>
      </c>
      <c r="T40" s="3">
        <f t="shared" si="0"/>
        <v>786</v>
      </c>
      <c r="U40" s="3">
        <v>528</v>
      </c>
      <c r="V40" s="3">
        <v>260</v>
      </c>
      <c r="W40" s="3">
        <f t="shared" si="1"/>
        <v>788</v>
      </c>
      <c r="X40" s="3">
        <f t="shared" si="2"/>
        <v>-2</v>
      </c>
      <c r="Y40" s="4">
        <v>91.92</v>
      </c>
      <c r="Z40" s="3">
        <v>0</v>
      </c>
      <c r="AA40" s="3">
        <f>TABL12[[#This Row],[(RESV. STORGE) AJD]]/10</f>
        <v>0</v>
      </c>
      <c r="AB40" s="3">
        <f t="shared" si="3"/>
        <v>0</v>
      </c>
      <c r="AC40" s="6">
        <v>0</v>
      </c>
      <c r="AD40" s="5">
        <f>TABL12[[#This Row],[( S/S+T/B) AJD]]-(TABL12[[#This Row],[(A/B + A/S) AJD]]+(TABL12[[#This Row],[(STORGE DIFF.) AJD]])+TABL12[[#This Row],[البخر  AJD]]/1000)</f>
        <v>-2</v>
      </c>
      <c r="AE40" s="6">
        <v>90</v>
      </c>
      <c r="AF40" s="33">
        <v>60.811</v>
      </c>
      <c r="AG40" s="6">
        <v>2833501</v>
      </c>
      <c r="AH40" s="6">
        <f>TABL12[[#This Row],[ (RESV. STORGE) BER]]/10</f>
        <v>283350.09999999998</v>
      </c>
      <c r="AI40" s="6">
        <v>2209</v>
      </c>
      <c r="AJ40" s="6">
        <f>TABL12[[#This Row],[(A/B TOT) AJD]]-TABL12[[#This Row],[BER_ IN]]</f>
        <v>438</v>
      </c>
      <c r="AK40" s="6">
        <v>0</v>
      </c>
      <c r="AL40" s="33">
        <v>45.549100000000003</v>
      </c>
      <c r="AM40" s="6">
        <v>4513050</v>
      </c>
      <c r="AN40" s="6">
        <f>TABL12[[#This Row],[ (RESV. STORGE) SER]]/10</f>
        <v>451305</v>
      </c>
      <c r="AO40" s="6">
        <v>1290</v>
      </c>
      <c r="AP40" s="32">
        <f>TABL12[[#This Row],[(A/S TOT) AJD]]-TABL12[[#This Row],[SER_ IN]]</f>
        <v>260</v>
      </c>
    </row>
    <row r="41" spans="1:42" x14ac:dyDescent="0.25">
      <c r="A41" s="2">
        <v>45697</v>
      </c>
      <c r="B41" s="28">
        <v>38</v>
      </c>
      <c r="C41" s="28">
        <v>318</v>
      </c>
      <c r="D41" s="28">
        <v>38</v>
      </c>
      <c r="E41" s="28">
        <v>0</v>
      </c>
      <c r="F41" s="28">
        <v>81</v>
      </c>
      <c r="G41" s="28">
        <v>523.26</v>
      </c>
      <c r="H41" s="28">
        <v>7</v>
      </c>
      <c r="I41" s="28">
        <v>421.13</v>
      </c>
      <c r="J41" s="28">
        <v>417.13</v>
      </c>
      <c r="K41" s="28">
        <f>TABL12[[#This Row],[خط (T/B  TOT) SAR]]+TABL12[[#This Row],[خط (S/S  TOT) SAR2]]</f>
        <v>838.26</v>
      </c>
      <c r="L41" s="28">
        <v>315</v>
      </c>
      <c r="M41" s="29">
        <v>24.2</v>
      </c>
      <c r="N41" s="30">
        <v>7.86</v>
      </c>
      <c r="O41" s="3">
        <v>373</v>
      </c>
      <c r="P41" s="3">
        <f>TABL12[[#This Row],[خط (S/S  TOT) SAR2]]-TABL12[[#This Row],[(S/S TOT) AJD]]</f>
        <v>44.129999999999995</v>
      </c>
      <c r="Q41" s="3">
        <v>415</v>
      </c>
      <c r="R41" s="3">
        <f>TABL12[[#This Row],[خط (T/B  TOT) SAR]]-TABL12[[#This Row],[(T/B TOT) AJD]]</f>
        <v>6.1299999999999955</v>
      </c>
      <c r="S41" s="3">
        <f>TABL12[[#This Row],[الفرق بين بداية ونهاية خط  S/S]]+TABL12[[#This Row],[الفرق بين بداية ونهاية خط  T/B]]</f>
        <v>50.259999999999991</v>
      </c>
      <c r="T41" s="3">
        <f t="shared" si="0"/>
        <v>788</v>
      </c>
      <c r="U41" s="3">
        <v>513</v>
      </c>
      <c r="V41" s="3">
        <v>280</v>
      </c>
      <c r="W41" s="3">
        <f t="shared" si="1"/>
        <v>793</v>
      </c>
      <c r="X41" s="3">
        <f t="shared" si="2"/>
        <v>-5</v>
      </c>
      <c r="Y41" s="4">
        <v>91.92</v>
      </c>
      <c r="Z41" s="3">
        <v>0</v>
      </c>
      <c r="AA41" s="3">
        <f>TABL12[[#This Row],[(RESV. STORGE) AJD]]/10</f>
        <v>0</v>
      </c>
      <c r="AB41" s="3">
        <f t="shared" si="3"/>
        <v>0</v>
      </c>
      <c r="AC41" s="6">
        <v>0</v>
      </c>
      <c r="AD41" s="5">
        <f>TABL12[[#This Row],[( S/S+T/B) AJD]]-(TABL12[[#This Row],[(A/B + A/S) AJD]]+(TABL12[[#This Row],[(STORGE DIFF.) AJD]])+TABL12[[#This Row],[البخر  AJD]]/1000)</f>
        <v>-5</v>
      </c>
      <c r="AE41" s="6">
        <v>95</v>
      </c>
      <c r="AF41" s="33">
        <v>60.84</v>
      </c>
      <c r="AG41" s="6">
        <v>2853107</v>
      </c>
      <c r="AH41" s="6">
        <f>TABL12[[#This Row],[ (RESV. STORGE) BER]]/10</f>
        <v>285310.7</v>
      </c>
      <c r="AI41" s="6">
        <v>1523</v>
      </c>
      <c r="AJ41" s="6">
        <f>TABL12[[#This Row],[(A/B TOT) AJD]]-TABL12[[#This Row],[BER_ IN]]</f>
        <v>418</v>
      </c>
      <c r="AK41" s="6">
        <v>0</v>
      </c>
      <c r="AL41" s="33">
        <v>45.515000000000001</v>
      </c>
      <c r="AM41" s="6">
        <v>4493670</v>
      </c>
      <c r="AN41" s="6">
        <f>TABL12[[#This Row],[ (RESV. STORGE) SER]]/10</f>
        <v>449367</v>
      </c>
      <c r="AO41" s="6">
        <v>1310</v>
      </c>
      <c r="AP41" s="32">
        <f>TABL12[[#This Row],[(A/S TOT) AJD]]-TABL12[[#This Row],[SER_ IN]]</f>
        <v>280</v>
      </c>
    </row>
    <row r="42" spans="1:42" x14ac:dyDescent="0.25">
      <c r="A42" s="2">
        <v>45698</v>
      </c>
      <c r="B42" s="28">
        <v>38</v>
      </c>
      <c r="C42" s="28">
        <v>315</v>
      </c>
      <c r="D42" s="28">
        <v>38</v>
      </c>
      <c r="E42" s="28">
        <v>0</v>
      </c>
      <c r="F42" s="28">
        <v>81</v>
      </c>
      <c r="G42" s="28">
        <v>524.06999999999994</v>
      </c>
      <c r="H42" s="28">
        <v>7</v>
      </c>
      <c r="I42" s="28">
        <v>420.53499999999997</v>
      </c>
      <c r="J42" s="28">
        <v>416.53499999999997</v>
      </c>
      <c r="K42" s="28">
        <f>TABL12[[#This Row],[خط (T/B  TOT) SAR]]+TABL12[[#This Row],[خط (S/S  TOT) SAR2]]</f>
        <v>837.06999999999994</v>
      </c>
      <c r="L42" s="28">
        <v>313</v>
      </c>
      <c r="M42" s="29">
        <v>24.2</v>
      </c>
      <c r="N42" s="30">
        <v>7.84</v>
      </c>
      <c r="O42" s="3">
        <v>373</v>
      </c>
      <c r="P42" s="3">
        <f>TABL12[[#This Row],[خط (S/S  TOT) SAR2]]-TABL12[[#This Row],[(S/S TOT) AJD]]</f>
        <v>43.534999999999968</v>
      </c>
      <c r="Q42" s="3">
        <v>414</v>
      </c>
      <c r="R42" s="3">
        <f>TABL12[[#This Row],[خط (T/B  TOT) SAR]]-TABL12[[#This Row],[(T/B TOT) AJD]]</f>
        <v>6.5349999999999682</v>
      </c>
      <c r="S42" s="3">
        <f>TABL12[[#This Row],[الفرق بين بداية ونهاية خط  S/S]]+TABL12[[#This Row],[الفرق بين بداية ونهاية خط  T/B]]</f>
        <v>50.069999999999936</v>
      </c>
      <c r="T42" s="3">
        <f t="shared" si="0"/>
        <v>787</v>
      </c>
      <c r="U42" s="3">
        <v>503</v>
      </c>
      <c r="V42" s="3">
        <v>280</v>
      </c>
      <c r="W42" s="3">
        <f t="shared" si="1"/>
        <v>783</v>
      </c>
      <c r="X42" s="3">
        <f t="shared" si="2"/>
        <v>4</v>
      </c>
      <c r="Y42" s="4">
        <v>91.92</v>
      </c>
      <c r="Z42" s="3">
        <v>0</v>
      </c>
      <c r="AA42" s="3">
        <f>TABL12[[#This Row],[(RESV. STORGE) AJD]]/10</f>
        <v>0</v>
      </c>
      <c r="AB42" s="3">
        <f t="shared" si="3"/>
        <v>0</v>
      </c>
      <c r="AC42" s="6">
        <v>0</v>
      </c>
      <c r="AD42" s="5">
        <f>TABL12[[#This Row],[( S/S+T/B) AJD]]-(TABL12[[#This Row],[(A/B + A/S) AJD]]+(TABL12[[#This Row],[(STORGE DIFF.) AJD]])+TABL12[[#This Row],[البخر  AJD]]/1000)</f>
        <v>4</v>
      </c>
      <c r="AE42" s="6">
        <v>87</v>
      </c>
      <c r="AF42" s="33">
        <v>60.881999999999998</v>
      </c>
      <c r="AG42" s="6">
        <v>2881515</v>
      </c>
      <c r="AH42" s="6">
        <f>TABL12[[#This Row],[ (RESV. STORGE) BER]]/10</f>
        <v>288151.5</v>
      </c>
      <c r="AI42" s="6">
        <v>2151</v>
      </c>
      <c r="AJ42" s="6">
        <f>TABL12[[#This Row],[(A/B TOT) AJD]]-TABL12[[#This Row],[BER_ IN]]</f>
        <v>416</v>
      </c>
      <c r="AK42" s="6">
        <v>0</v>
      </c>
      <c r="AL42" s="33">
        <v>45.481999999999999</v>
      </c>
      <c r="AM42" s="6">
        <v>4475620</v>
      </c>
      <c r="AN42" s="6">
        <f>TABL12[[#This Row],[ (RESV. STORGE) SER]]/10</f>
        <v>447562</v>
      </c>
      <c r="AO42" s="6">
        <v>1362</v>
      </c>
      <c r="AP42" s="32">
        <f>TABL12[[#This Row],[(A/S TOT) AJD]]-TABL12[[#This Row],[SER_ IN]]</f>
        <v>280</v>
      </c>
    </row>
    <row r="43" spans="1:42" x14ac:dyDescent="0.25">
      <c r="A43" s="2">
        <v>45699</v>
      </c>
      <c r="B43" s="28">
        <v>37</v>
      </c>
      <c r="C43" s="28">
        <v>308</v>
      </c>
      <c r="D43" s="28">
        <v>37</v>
      </c>
      <c r="E43" s="28">
        <v>0</v>
      </c>
      <c r="F43" s="28">
        <v>81</v>
      </c>
      <c r="G43" s="28">
        <v>524.06999999999994</v>
      </c>
      <c r="H43" s="28">
        <v>7</v>
      </c>
      <c r="I43" s="28">
        <v>416.53499999999997</v>
      </c>
      <c r="J43" s="28">
        <v>412.53499999999997</v>
      </c>
      <c r="K43" s="28">
        <f>TABL12[[#This Row],[خط (T/B  TOT) SAR]]+TABL12[[#This Row],[خط (S/S  TOT) SAR2]]</f>
        <v>829.06999999999994</v>
      </c>
      <c r="L43" s="28">
        <v>305</v>
      </c>
      <c r="M43" s="29">
        <v>24.2</v>
      </c>
      <c r="N43" s="30">
        <v>7.77</v>
      </c>
      <c r="O43" s="3">
        <v>373</v>
      </c>
      <c r="P43" s="3">
        <f>TABL12[[#This Row],[خط (S/S  TOT) SAR2]]-TABL12[[#This Row],[(S/S TOT) AJD]]</f>
        <v>39.534999999999968</v>
      </c>
      <c r="Q43" s="3">
        <v>415</v>
      </c>
      <c r="R43" s="3">
        <f>TABL12[[#This Row],[خط (T/B  TOT) SAR]]-TABL12[[#This Row],[(T/B TOT) AJD]]</f>
        <v>1.5349999999999682</v>
      </c>
      <c r="S43" s="3">
        <f>TABL12[[#This Row],[الفرق بين بداية ونهاية خط  S/S]]+TABL12[[#This Row],[الفرق بين بداية ونهاية خط  T/B]]</f>
        <v>41.069999999999936</v>
      </c>
      <c r="T43" s="3">
        <f t="shared" si="0"/>
        <v>788</v>
      </c>
      <c r="U43" s="3">
        <v>517</v>
      </c>
      <c r="V43" s="3">
        <v>273</v>
      </c>
      <c r="W43" s="3">
        <f t="shared" si="1"/>
        <v>790</v>
      </c>
      <c r="X43" s="3">
        <f t="shared" si="2"/>
        <v>-2</v>
      </c>
      <c r="Y43" s="4">
        <v>91.92</v>
      </c>
      <c r="Z43" s="3">
        <v>0</v>
      </c>
      <c r="AA43" s="3">
        <f>TABL12[[#This Row],[(RESV. STORGE) AJD]]/10</f>
        <v>0</v>
      </c>
      <c r="AB43" s="3">
        <f t="shared" si="3"/>
        <v>0</v>
      </c>
      <c r="AC43" s="6">
        <v>0</v>
      </c>
      <c r="AD43" s="5">
        <f>TABL12[[#This Row],[( S/S+T/B) AJD]]-(TABL12[[#This Row],[(A/B + A/S) AJD]]+(TABL12[[#This Row],[(STORGE DIFF.) AJD]])+TABL12[[#This Row],[البخر  AJD]]/1000)</f>
        <v>-2</v>
      </c>
      <c r="AE43" s="6">
        <v>72</v>
      </c>
      <c r="AF43" s="33">
        <v>60.872999999999998</v>
      </c>
      <c r="AG43" s="6">
        <v>2875427</v>
      </c>
      <c r="AH43" s="6">
        <f>TABL12[[#This Row],[ (RESV. STORGE) BER]]/10</f>
        <v>287542.7</v>
      </c>
      <c r="AI43" s="6">
        <v>1728</v>
      </c>
      <c r="AJ43" s="6">
        <f>TABL12[[#This Row],[(A/B TOT) AJD]]-TABL12[[#This Row],[BER_ IN]]</f>
        <v>445</v>
      </c>
      <c r="AK43" s="6">
        <v>0</v>
      </c>
      <c r="AL43" s="33">
        <v>45.411000000000001</v>
      </c>
      <c r="AM43" s="6">
        <v>4435830</v>
      </c>
      <c r="AN43" s="6">
        <f>TABL12[[#This Row],[ (RESV. STORGE) SER]]/10</f>
        <v>443583</v>
      </c>
      <c r="AO43" s="6">
        <v>1382</v>
      </c>
      <c r="AP43" s="32">
        <f>TABL12[[#This Row],[(A/S TOT) AJD]]-TABL12[[#This Row],[SER_ IN]]</f>
        <v>273</v>
      </c>
    </row>
    <row r="44" spans="1:42" x14ac:dyDescent="0.25">
      <c r="A44" s="2">
        <v>45700</v>
      </c>
      <c r="B44" s="28">
        <v>36</v>
      </c>
      <c r="C44" s="28">
        <v>291</v>
      </c>
      <c r="D44" s="28">
        <v>37</v>
      </c>
      <c r="E44" s="28">
        <v>0</v>
      </c>
      <c r="F44" s="28">
        <v>83</v>
      </c>
      <c r="G44" s="28">
        <v>536.18000000000006</v>
      </c>
      <c r="H44" s="28">
        <v>5</v>
      </c>
      <c r="I44" s="28">
        <v>414.59000000000003</v>
      </c>
      <c r="J44" s="28">
        <v>410.59000000000003</v>
      </c>
      <c r="K44" s="28">
        <f>TABL12[[#This Row],[خط (T/B  TOT) SAR]]+TABL12[[#This Row],[خط (S/S  TOT) SAR2]]</f>
        <v>825.18000000000006</v>
      </c>
      <c r="L44" s="28">
        <v>289</v>
      </c>
      <c r="M44" s="29">
        <v>23.9</v>
      </c>
      <c r="N44" s="30">
        <v>7.39</v>
      </c>
      <c r="O44" s="3">
        <v>372</v>
      </c>
      <c r="P44" s="3">
        <f>TABL12[[#This Row],[خط (S/S  TOT) SAR2]]-TABL12[[#This Row],[(S/S TOT) AJD]]</f>
        <v>38.590000000000032</v>
      </c>
      <c r="Q44" s="3">
        <v>413</v>
      </c>
      <c r="R44" s="3">
        <f>TABL12[[#This Row],[خط (T/B  TOT) SAR]]-TABL12[[#This Row],[(T/B TOT) AJD]]</f>
        <v>1.5900000000000318</v>
      </c>
      <c r="S44" s="3">
        <f>TABL12[[#This Row],[الفرق بين بداية ونهاية خط  S/S]]+TABL12[[#This Row],[الفرق بين بداية ونهاية خط  T/B]]</f>
        <v>40.180000000000064</v>
      </c>
      <c r="T44" s="3">
        <f t="shared" si="0"/>
        <v>785</v>
      </c>
      <c r="U44" s="3">
        <v>539</v>
      </c>
      <c r="V44" s="3">
        <v>249</v>
      </c>
      <c r="W44" s="3">
        <f t="shared" si="1"/>
        <v>788</v>
      </c>
      <c r="X44" s="3">
        <f t="shared" si="2"/>
        <v>-3</v>
      </c>
      <c r="Y44" s="4">
        <v>91.92</v>
      </c>
      <c r="Z44" s="3">
        <v>0</v>
      </c>
      <c r="AA44" s="3">
        <f>TABL12[[#This Row],[(RESV. STORGE) AJD]]/10</f>
        <v>0</v>
      </c>
      <c r="AB44" s="3">
        <f t="shared" si="3"/>
        <v>0</v>
      </c>
      <c r="AC44" s="6">
        <v>0</v>
      </c>
      <c r="AD44" s="5">
        <f>TABL12[[#This Row],[( S/S+T/B) AJD]]-(TABL12[[#This Row],[(A/B + A/S) AJD]]+(TABL12[[#This Row],[(STORGE DIFF.) AJD]])+TABL12[[#This Row],[البخر  AJD]]/1000)</f>
        <v>-3</v>
      </c>
      <c r="AE44" s="6">
        <v>65</v>
      </c>
      <c r="AF44" s="33">
        <v>60.877000000000002</v>
      </c>
      <c r="AG44" s="6">
        <v>2878133</v>
      </c>
      <c r="AH44" s="6">
        <f>TABL12[[#This Row],[ (RESV. STORGE) BER]]/10</f>
        <v>287813.3</v>
      </c>
      <c r="AI44" s="6">
        <v>1559</v>
      </c>
      <c r="AJ44" s="6">
        <f>TABL12[[#This Row],[(A/B TOT) AJD]]-TABL12[[#This Row],[BER_ IN]]</f>
        <v>474</v>
      </c>
      <c r="AK44" s="6">
        <v>32</v>
      </c>
      <c r="AL44" s="33">
        <v>44.9328</v>
      </c>
      <c r="AM44" s="6">
        <v>4168970</v>
      </c>
      <c r="AN44" s="6">
        <f>TABL12[[#This Row],[ (RESV. STORGE) SER]]/10</f>
        <v>416897</v>
      </c>
      <c r="AO44" s="6">
        <v>1300</v>
      </c>
      <c r="AP44" s="32">
        <f>TABL12[[#This Row],[(A/S TOT) AJD]]-TABL12[[#This Row],[SER_ IN]]</f>
        <v>217</v>
      </c>
    </row>
    <row r="45" spans="1:42" x14ac:dyDescent="0.25">
      <c r="A45" s="2">
        <v>45701</v>
      </c>
      <c r="B45" s="28">
        <v>37</v>
      </c>
      <c r="C45" s="28">
        <v>301</v>
      </c>
      <c r="D45" s="28">
        <v>37</v>
      </c>
      <c r="E45" s="28">
        <v>0</v>
      </c>
      <c r="F45" s="28">
        <v>81</v>
      </c>
      <c r="G45" s="28">
        <v>523.26</v>
      </c>
      <c r="H45" s="28">
        <v>7</v>
      </c>
      <c r="I45" s="28">
        <v>412.63</v>
      </c>
      <c r="J45" s="28">
        <v>408.63</v>
      </c>
      <c r="K45" s="28">
        <f>TABL12[[#This Row],[خط (T/B  TOT) SAR]]+TABL12[[#This Row],[خط (S/S  TOT) SAR2]]</f>
        <v>821.26</v>
      </c>
      <c r="L45" s="28">
        <v>298</v>
      </c>
      <c r="M45" s="29">
        <v>24.2</v>
      </c>
      <c r="N45" s="30">
        <v>7.61</v>
      </c>
      <c r="O45" s="3">
        <v>370</v>
      </c>
      <c r="P45" s="3">
        <f>TABL12[[#This Row],[خط (S/S  TOT) SAR2]]-TABL12[[#This Row],[(S/S TOT) AJD]]</f>
        <v>38.629999999999995</v>
      </c>
      <c r="Q45" s="3">
        <v>413</v>
      </c>
      <c r="R45" s="3">
        <f>TABL12[[#This Row],[خط (T/B  TOT) SAR]]-TABL12[[#This Row],[(T/B TOT) AJD]]</f>
        <v>-0.37000000000000455</v>
      </c>
      <c r="S45" s="3">
        <f>TABL12[[#This Row],[الفرق بين بداية ونهاية خط  S/S]]+TABL12[[#This Row],[الفرق بين بداية ونهاية خط  T/B]]</f>
        <v>38.259999999999991</v>
      </c>
      <c r="T45" s="3">
        <f t="shared" si="0"/>
        <v>783</v>
      </c>
      <c r="U45" s="3">
        <v>543</v>
      </c>
      <c r="V45" s="3">
        <v>241</v>
      </c>
      <c r="W45" s="3">
        <f t="shared" si="1"/>
        <v>784</v>
      </c>
      <c r="X45" s="3">
        <f t="shared" si="2"/>
        <v>-1</v>
      </c>
      <c r="Y45" s="4">
        <v>91.92</v>
      </c>
      <c r="Z45" s="3">
        <v>0</v>
      </c>
      <c r="AA45" s="3">
        <f>TABL12[[#This Row],[(RESV. STORGE) AJD]]/10</f>
        <v>0</v>
      </c>
      <c r="AB45" s="3">
        <f t="shared" si="3"/>
        <v>0</v>
      </c>
      <c r="AC45" s="6">
        <v>0</v>
      </c>
      <c r="AD45" s="5">
        <f>TABL12[[#This Row],[( S/S+T/B) AJD]]-(TABL12[[#This Row],[(A/B + A/S) AJD]]+(TABL12[[#This Row],[(STORGE DIFF.) AJD]])+TABL12[[#This Row],[البخر  AJD]]/1000)</f>
        <v>-1</v>
      </c>
      <c r="AE45" s="6">
        <v>88</v>
      </c>
      <c r="AF45" s="33">
        <v>60.887</v>
      </c>
      <c r="AG45" s="6">
        <v>2884898</v>
      </c>
      <c r="AH45" s="6">
        <f>TABL12[[#This Row],[ (RESV. STORGE) BER]]/10</f>
        <v>288489.8</v>
      </c>
      <c r="AI45" s="6">
        <v>1554</v>
      </c>
      <c r="AJ45" s="6">
        <f>TABL12[[#This Row],[(A/B TOT) AJD]]-TABL12[[#This Row],[BER_ IN]]</f>
        <v>455</v>
      </c>
      <c r="AK45" s="6">
        <v>0</v>
      </c>
      <c r="AL45" s="33">
        <v>45.359000000000002</v>
      </c>
      <c r="AM45" s="6">
        <v>4406730</v>
      </c>
      <c r="AN45" s="6">
        <f>TABL12[[#This Row],[ (RESV. STORGE) SER]]/10</f>
        <v>440673</v>
      </c>
      <c r="AO45" s="6">
        <v>1395</v>
      </c>
      <c r="AP45" s="32">
        <f>TABL12[[#This Row],[(A/S TOT) AJD]]-TABL12[[#This Row],[SER_ IN]]</f>
        <v>241</v>
      </c>
    </row>
    <row r="46" spans="1:42" x14ac:dyDescent="0.25">
      <c r="A46" s="2">
        <v>45702</v>
      </c>
      <c r="B46" s="28">
        <v>37</v>
      </c>
      <c r="C46" s="28">
        <v>289</v>
      </c>
      <c r="D46" s="28">
        <v>37</v>
      </c>
      <c r="E46" s="28">
        <v>0</v>
      </c>
      <c r="F46" s="28">
        <v>83</v>
      </c>
      <c r="G46" s="28">
        <v>537.01</v>
      </c>
      <c r="H46" s="28">
        <v>5</v>
      </c>
      <c r="I46" s="28">
        <v>413.505</v>
      </c>
      <c r="J46" s="28">
        <v>409.505</v>
      </c>
      <c r="K46" s="28">
        <f>TABL12[[#This Row],[خط (T/B  TOT) SAR]]+TABL12[[#This Row],[خط (S/S  TOT) SAR2]]</f>
        <v>823.01</v>
      </c>
      <c r="L46" s="28">
        <v>286</v>
      </c>
      <c r="M46" s="29">
        <v>23.9</v>
      </c>
      <c r="N46" s="30">
        <v>7.55</v>
      </c>
      <c r="O46" s="3">
        <v>371</v>
      </c>
      <c r="P46" s="3">
        <f>TABL12[[#This Row],[خط (S/S  TOT) SAR2]]-TABL12[[#This Row],[(S/S TOT) AJD]]</f>
        <v>38.504999999999995</v>
      </c>
      <c r="Q46" s="3">
        <v>413</v>
      </c>
      <c r="R46" s="3">
        <f>TABL12[[#This Row],[خط (T/B  TOT) SAR]]-TABL12[[#This Row],[(T/B TOT) AJD]]</f>
        <v>0.50499999999999545</v>
      </c>
      <c r="S46" s="3">
        <f>TABL12[[#This Row],[الفرق بين بداية ونهاية خط  S/S]]+TABL12[[#This Row],[الفرق بين بداية ونهاية خط  T/B]]</f>
        <v>39.009999999999991</v>
      </c>
      <c r="T46" s="3">
        <f t="shared" si="0"/>
        <v>784</v>
      </c>
      <c r="U46" s="3">
        <v>545</v>
      </c>
      <c r="V46" s="3">
        <v>234</v>
      </c>
      <c r="W46" s="3">
        <f t="shared" si="1"/>
        <v>779</v>
      </c>
      <c r="X46" s="3">
        <f t="shared" si="2"/>
        <v>5</v>
      </c>
      <c r="Y46" s="4">
        <v>91.92</v>
      </c>
      <c r="Z46" s="3">
        <v>0</v>
      </c>
      <c r="AA46" s="3">
        <f>TABL12[[#This Row],[(RESV. STORGE) AJD]]/10</f>
        <v>0</v>
      </c>
      <c r="AB46" s="3">
        <f t="shared" si="3"/>
        <v>0</v>
      </c>
      <c r="AC46" s="6">
        <v>0</v>
      </c>
      <c r="AD46" s="5">
        <f>TABL12[[#This Row],[( S/S+T/B) AJD]]-(TABL12[[#This Row],[(A/B + A/S) AJD]]+(TABL12[[#This Row],[(STORGE DIFF.) AJD]])+TABL12[[#This Row],[البخر  AJD]]/1000)</f>
        <v>5</v>
      </c>
      <c r="AE46" s="6">
        <v>100</v>
      </c>
      <c r="AF46" s="33">
        <v>60.914999999999999</v>
      </c>
      <c r="AG46" s="6">
        <v>2903847</v>
      </c>
      <c r="AH46" s="6">
        <f>TABL12[[#This Row],[ (RESV. STORGE) BER]]/10</f>
        <v>290384.7</v>
      </c>
      <c r="AI46" s="6">
        <v>1371</v>
      </c>
      <c r="AJ46" s="6">
        <f>TABL12[[#This Row],[(A/B TOT) AJD]]-TABL12[[#This Row],[BER_ IN]]</f>
        <v>445</v>
      </c>
      <c r="AK46" s="6">
        <v>0</v>
      </c>
      <c r="AL46" s="33">
        <v>45.307699999999997</v>
      </c>
      <c r="AM46" s="6">
        <v>4377610</v>
      </c>
      <c r="AN46" s="6">
        <f>TABL12[[#This Row],[ (RESV. STORGE) SER]]/10</f>
        <v>437761</v>
      </c>
      <c r="AO46" s="6">
        <v>1420</v>
      </c>
      <c r="AP46" s="32">
        <f>TABL12[[#This Row],[(A/S TOT) AJD]]-TABL12[[#This Row],[SER_ IN]]</f>
        <v>234</v>
      </c>
    </row>
    <row r="47" spans="1:42" x14ac:dyDescent="0.25">
      <c r="A47" s="2">
        <v>45703</v>
      </c>
      <c r="B47" s="28">
        <v>37</v>
      </c>
      <c r="C47" s="28">
        <v>308</v>
      </c>
      <c r="D47" s="28">
        <v>37</v>
      </c>
      <c r="E47" s="28">
        <v>0</v>
      </c>
      <c r="F47" s="28">
        <v>83</v>
      </c>
      <c r="G47" s="28">
        <v>532.86</v>
      </c>
      <c r="H47" s="28">
        <v>5</v>
      </c>
      <c r="I47" s="28">
        <v>421.93</v>
      </c>
      <c r="J47" s="28">
        <v>417.93</v>
      </c>
      <c r="K47" s="28">
        <f>TABL12[[#This Row],[خط (T/B  TOT) SAR]]+TABL12[[#This Row],[خط (S/S  TOT) SAR2]]</f>
        <v>839.86</v>
      </c>
      <c r="L47" s="28">
        <v>307</v>
      </c>
      <c r="M47" s="29">
        <v>23.9</v>
      </c>
      <c r="N47" s="30">
        <v>7.56</v>
      </c>
      <c r="O47" s="3">
        <v>371</v>
      </c>
      <c r="P47" s="3">
        <f>TABL12[[#This Row],[خط (S/S  TOT) SAR2]]-TABL12[[#This Row],[(S/S TOT) AJD]]</f>
        <v>46.930000000000007</v>
      </c>
      <c r="Q47" s="3">
        <v>413</v>
      </c>
      <c r="R47" s="3">
        <f>TABL12[[#This Row],[خط (T/B  TOT) SAR]]-TABL12[[#This Row],[(T/B TOT) AJD]]</f>
        <v>8.9300000000000068</v>
      </c>
      <c r="S47" s="3">
        <f>TABL12[[#This Row],[الفرق بين بداية ونهاية خط  S/S]]+TABL12[[#This Row],[الفرق بين بداية ونهاية خط  T/B]]</f>
        <v>55.860000000000014</v>
      </c>
      <c r="T47" s="3">
        <f t="shared" si="0"/>
        <v>784</v>
      </c>
      <c r="U47" s="3">
        <v>524</v>
      </c>
      <c r="V47" s="3">
        <v>262</v>
      </c>
      <c r="W47" s="3">
        <f t="shared" si="1"/>
        <v>786</v>
      </c>
      <c r="X47" s="3">
        <f t="shared" si="2"/>
        <v>-2</v>
      </c>
      <c r="Y47" s="4">
        <v>91.92</v>
      </c>
      <c r="Z47" s="3">
        <v>0</v>
      </c>
      <c r="AA47" s="3">
        <f>TABL12[[#This Row],[(RESV. STORGE) AJD]]/10</f>
        <v>0</v>
      </c>
      <c r="AB47" s="3">
        <f t="shared" si="3"/>
        <v>0</v>
      </c>
      <c r="AC47" s="6">
        <v>0</v>
      </c>
      <c r="AD47" s="5">
        <f>TABL12[[#This Row],[( S/S+T/B) AJD]]-(TABL12[[#This Row],[(A/B + A/S) AJD]]+(TABL12[[#This Row],[(STORGE DIFF.) AJD]])+TABL12[[#This Row],[البخر  AJD]]/1000)</f>
        <v>-2</v>
      </c>
      <c r="AE47" s="6">
        <v>100</v>
      </c>
      <c r="AF47" s="33">
        <v>60.942999999999998</v>
      </c>
      <c r="AG47" s="6">
        <v>2922802</v>
      </c>
      <c r="AH47" s="6">
        <f>TABL12[[#This Row],[ (RESV. STORGE) BER]]/10</f>
        <v>292280.2</v>
      </c>
      <c r="AI47" s="6">
        <v>1364</v>
      </c>
      <c r="AJ47" s="6">
        <f>TABL12[[#This Row],[(A/B TOT) AJD]]-TABL12[[#This Row],[BER_ IN]]</f>
        <v>424</v>
      </c>
      <c r="AK47" s="6">
        <v>30</v>
      </c>
      <c r="AL47" s="33">
        <v>45.301699999999997</v>
      </c>
      <c r="AM47" s="6">
        <v>4374300</v>
      </c>
      <c r="AN47" s="6">
        <f>TABL12[[#This Row],[ (RESV. STORGE) SER]]/10</f>
        <v>437430</v>
      </c>
      <c r="AO47" s="6">
        <v>2000</v>
      </c>
      <c r="AP47" s="32">
        <f>TABL12[[#This Row],[(A/S TOT) AJD]]-TABL12[[#This Row],[SER_ IN]]</f>
        <v>232</v>
      </c>
    </row>
    <row r="48" spans="1:42" x14ac:dyDescent="0.25">
      <c r="A48" s="2">
        <v>45704</v>
      </c>
      <c r="B48" s="28">
        <v>37</v>
      </c>
      <c r="C48" s="28">
        <v>302</v>
      </c>
      <c r="D48" s="28">
        <v>37</v>
      </c>
      <c r="E48" s="28">
        <v>0</v>
      </c>
      <c r="F48" s="28">
        <v>83</v>
      </c>
      <c r="G48" s="28">
        <v>536.18000000000006</v>
      </c>
      <c r="H48" s="28">
        <v>5</v>
      </c>
      <c r="I48" s="28">
        <v>419.59000000000003</v>
      </c>
      <c r="J48" s="28">
        <v>415.59000000000003</v>
      </c>
      <c r="K48" s="28">
        <f>TABL12[[#This Row],[خط (T/B  TOT) SAR]]+TABL12[[#This Row],[خط (S/S  TOT) SAR2]]</f>
        <v>835.18000000000006</v>
      </c>
      <c r="L48" s="28">
        <v>299</v>
      </c>
      <c r="M48" s="29">
        <v>23.9</v>
      </c>
      <c r="N48" s="30">
        <v>7.56</v>
      </c>
      <c r="O48" s="3">
        <v>371</v>
      </c>
      <c r="P48" s="3">
        <f>TABL12[[#This Row],[خط (S/S  TOT) SAR2]]-TABL12[[#This Row],[(S/S TOT) AJD]]</f>
        <v>44.590000000000032</v>
      </c>
      <c r="Q48" s="3">
        <v>413</v>
      </c>
      <c r="R48" s="3">
        <f>TABL12[[#This Row],[خط (T/B  TOT) SAR]]-TABL12[[#This Row],[(T/B TOT) AJD]]</f>
        <v>6.5900000000000318</v>
      </c>
      <c r="S48" s="3">
        <f>TABL12[[#This Row],[الفرق بين بداية ونهاية خط  S/S]]+TABL12[[#This Row],[الفرق بين بداية ونهاية خط  T/B]]</f>
        <v>51.180000000000064</v>
      </c>
      <c r="T48" s="3">
        <f t="shared" si="0"/>
        <v>784</v>
      </c>
      <c r="U48" s="3">
        <v>522</v>
      </c>
      <c r="V48" s="3">
        <v>262</v>
      </c>
      <c r="W48" s="3">
        <f t="shared" si="1"/>
        <v>784</v>
      </c>
      <c r="X48" s="3">
        <f t="shared" si="2"/>
        <v>0</v>
      </c>
      <c r="Y48" s="4">
        <v>91.92</v>
      </c>
      <c r="Z48" s="3">
        <v>0</v>
      </c>
      <c r="AA48" s="3">
        <f>TABL12[[#This Row],[(RESV. STORGE) AJD]]/10</f>
        <v>0</v>
      </c>
      <c r="AB48" s="3">
        <f t="shared" si="3"/>
        <v>0</v>
      </c>
      <c r="AC48" s="6">
        <v>0</v>
      </c>
      <c r="AD48" s="5">
        <f>TABL12[[#This Row],[( S/S+T/B) AJD]]-(TABL12[[#This Row],[(A/B + A/S) AJD]]+(TABL12[[#This Row],[(STORGE DIFF.) AJD]])+TABL12[[#This Row],[البخر  AJD]]/1000)</f>
        <v>0</v>
      </c>
      <c r="AE48" s="6">
        <v>100</v>
      </c>
      <c r="AF48" s="33">
        <v>60.970999999999997</v>
      </c>
      <c r="AG48" s="6">
        <v>2941764</v>
      </c>
      <c r="AH48" s="6">
        <f>TABL12[[#This Row],[ (RESV. STORGE) BER]]/10</f>
        <v>294176.40000000002</v>
      </c>
      <c r="AI48" s="6">
        <v>1357</v>
      </c>
      <c r="AJ48" s="6">
        <f>TABL12[[#This Row],[(A/B TOT) AJD]]-TABL12[[#This Row],[BER_ IN]]</f>
        <v>422</v>
      </c>
      <c r="AK48" s="6">
        <v>19</v>
      </c>
      <c r="AL48" s="33">
        <v>45.253399999999999</v>
      </c>
      <c r="AM48" s="6">
        <v>4347440</v>
      </c>
      <c r="AN48" s="6">
        <f>TABL12[[#This Row],[ (RESV. STORGE) SER]]/10</f>
        <v>434744</v>
      </c>
      <c r="AO48" s="6">
        <v>1860</v>
      </c>
      <c r="AP48" s="32">
        <f>TABL12[[#This Row],[(A/S TOT) AJD]]-TABL12[[#This Row],[SER_ IN]]</f>
        <v>243</v>
      </c>
    </row>
    <row r="49" spans="1:42" x14ac:dyDescent="0.25">
      <c r="A49" s="2">
        <v>45705</v>
      </c>
      <c r="B49" s="28">
        <v>37</v>
      </c>
      <c r="C49" s="28">
        <v>296</v>
      </c>
      <c r="D49" s="28">
        <v>37</v>
      </c>
      <c r="E49" s="28">
        <v>0</v>
      </c>
      <c r="F49" s="28">
        <v>83</v>
      </c>
      <c r="G49" s="28">
        <v>537.01</v>
      </c>
      <c r="H49" s="28">
        <v>5</v>
      </c>
      <c r="I49" s="28">
        <v>417.005</v>
      </c>
      <c r="J49" s="28">
        <v>413.005</v>
      </c>
      <c r="K49" s="28">
        <f>TABL12[[#This Row],[خط (T/B  TOT) SAR]]+TABL12[[#This Row],[خط (S/S  TOT) SAR2]]</f>
        <v>830.01</v>
      </c>
      <c r="L49" s="28">
        <v>293</v>
      </c>
      <c r="M49" s="29">
        <v>23.9</v>
      </c>
      <c r="N49" s="30">
        <v>7.55</v>
      </c>
      <c r="O49" s="3">
        <v>372</v>
      </c>
      <c r="P49" s="3">
        <f>TABL12[[#This Row],[خط (S/S  TOT) SAR2]]-TABL12[[#This Row],[(S/S TOT) AJD]]</f>
        <v>41.004999999999995</v>
      </c>
      <c r="Q49" s="3">
        <v>413</v>
      </c>
      <c r="R49" s="3">
        <f>TABL12[[#This Row],[خط (T/B  TOT) SAR]]-TABL12[[#This Row],[(T/B TOT) AJD]]</f>
        <v>4.0049999999999955</v>
      </c>
      <c r="S49" s="3">
        <f>TABL12[[#This Row],[الفرق بين بداية ونهاية خط  S/S]]+TABL12[[#This Row],[الفرق بين بداية ونهاية خط  T/B]]</f>
        <v>45.009999999999991</v>
      </c>
      <c r="T49" s="3">
        <f t="shared" si="0"/>
        <v>785</v>
      </c>
      <c r="U49" s="3">
        <v>517</v>
      </c>
      <c r="V49" s="3">
        <v>270</v>
      </c>
      <c r="W49" s="3">
        <f t="shared" si="1"/>
        <v>787</v>
      </c>
      <c r="X49" s="3">
        <f t="shared" si="2"/>
        <v>-2</v>
      </c>
      <c r="Y49" s="4">
        <v>91.92</v>
      </c>
      <c r="Z49" s="3">
        <v>0</v>
      </c>
      <c r="AA49" s="3">
        <f>TABL12[[#This Row],[(RESV. STORGE) AJD]]/10</f>
        <v>0</v>
      </c>
      <c r="AB49" s="3">
        <f t="shared" si="3"/>
        <v>0</v>
      </c>
      <c r="AC49" s="6">
        <v>0</v>
      </c>
      <c r="AD49" s="5">
        <f>TABL12[[#This Row],[( S/S+T/B) AJD]]-(TABL12[[#This Row],[(A/B + A/S) AJD]]+(TABL12[[#This Row],[(STORGE DIFF.) AJD]])+TABL12[[#This Row],[البخر  AJD]]/1000)</f>
        <v>-2</v>
      </c>
      <c r="AE49" s="6">
        <v>85</v>
      </c>
      <c r="AF49" s="33">
        <v>60.976999999999997</v>
      </c>
      <c r="AG49" s="6">
        <v>2945829</v>
      </c>
      <c r="AH49" s="6">
        <f>TABL12[[#This Row],[ (RESV. STORGE) BER]]/10</f>
        <v>294582.90000000002</v>
      </c>
      <c r="AI49" s="6">
        <v>1255</v>
      </c>
      <c r="AJ49" s="6">
        <f>TABL12[[#This Row],[(A/B TOT) AJD]]-TABL12[[#This Row],[BER_ IN]]</f>
        <v>432</v>
      </c>
      <c r="AK49" s="6">
        <v>26</v>
      </c>
      <c r="AL49" s="33">
        <v>45.259599999999999</v>
      </c>
      <c r="AM49" s="6">
        <v>4351320</v>
      </c>
      <c r="AN49" s="6">
        <f>TABL12[[#This Row],[ (RESV. STORGE) SER]]/10</f>
        <v>435132</v>
      </c>
      <c r="AO49" s="6">
        <v>1120</v>
      </c>
      <c r="AP49" s="32">
        <f>TABL12[[#This Row],[(A/S TOT) AJD]]-TABL12[[#This Row],[SER_ IN]]</f>
        <v>244</v>
      </c>
    </row>
    <row r="50" spans="1:42" x14ac:dyDescent="0.25">
      <c r="A50" s="2">
        <v>45706</v>
      </c>
      <c r="B50" s="28">
        <v>35</v>
      </c>
      <c r="C50" s="28">
        <v>289</v>
      </c>
      <c r="D50" s="28">
        <v>37</v>
      </c>
      <c r="E50" s="28">
        <v>0</v>
      </c>
      <c r="F50" s="28">
        <v>83</v>
      </c>
      <c r="G50" s="28">
        <v>532.86</v>
      </c>
      <c r="H50" s="28">
        <v>5</v>
      </c>
      <c r="I50" s="28">
        <v>412.43</v>
      </c>
      <c r="J50" s="28">
        <v>408.43</v>
      </c>
      <c r="K50" s="28">
        <f>TABL12[[#This Row],[خط (T/B  TOT) SAR]]+TABL12[[#This Row],[خط (S/S  TOT) SAR2]]</f>
        <v>820.86</v>
      </c>
      <c r="L50" s="28">
        <v>288</v>
      </c>
      <c r="M50" s="29">
        <v>23.9</v>
      </c>
      <c r="N50" s="30">
        <v>7.49</v>
      </c>
      <c r="O50" s="3">
        <v>371</v>
      </c>
      <c r="P50" s="3">
        <f>TABL12[[#This Row],[خط (S/S  TOT) SAR2]]-TABL12[[#This Row],[(S/S TOT) AJD]]</f>
        <v>37.430000000000007</v>
      </c>
      <c r="Q50" s="3">
        <v>413</v>
      </c>
      <c r="R50" s="3">
        <f>TABL12[[#This Row],[خط (T/B  TOT) SAR]]-TABL12[[#This Row],[(T/B TOT) AJD]]</f>
        <v>-0.56999999999999318</v>
      </c>
      <c r="S50" s="3">
        <f>TABL12[[#This Row],[الفرق بين بداية ونهاية خط  S/S]]+TABL12[[#This Row],[الفرق بين بداية ونهاية خط  T/B]]</f>
        <v>36.860000000000014</v>
      </c>
      <c r="T50" s="3">
        <f t="shared" si="0"/>
        <v>784</v>
      </c>
      <c r="U50" s="3">
        <v>511</v>
      </c>
      <c r="V50" s="3">
        <v>276</v>
      </c>
      <c r="W50" s="3">
        <f t="shared" si="1"/>
        <v>787</v>
      </c>
      <c r="X50" s="3">
        <f t="shared" si="2"/>
        <v>-3</v>
      </c>
      <c r="Y50" s="4">
        <v>91.92</v>
      </c>
      <c r="Z50" s="3">
        <v>0</v>
      </c>
      <c r="AA50" s="3">
        <f>TABL12[[#This Row],[(RESV. STORGE) AJD]]/10</f>
        <v>0</v>
      </c>
      <c r="AB50" s="3">
        <f t="shared" si="3"/>
        <v>0</v>
      </c>
      <c r="AC50" s="6">
        <v>0</v>
      </c>
      <c r="AD50" s="5">
        <f>TABL12[[#This Row],[( S/S+T/B) AJD]]-(TABL12[[#This Row],[(A/B + A/S) AJD]]+(TABL12[[#This Row],[(STORGE DIFF.) AJD]])+TABL12[[#This Row],[البخر  AJD]]/1000)</f>
        <v>-3</v>
      </c>
      <c r="AE50" s="6">
        <v>75</v>
      </c>
      <c r="AF50" s="33">
        <v>60.968000000000004</v>
      </c>
      <c r="AG50" s="6">
        <v>2939732</v>
      </c>
      <c r="AH50" s="6">
        <f>TABL12[[#This Row],[ (RESV. STORGE) BER]]/10</f>
        <v>293973.2</v>
      </c>
      <c r="AI50" s="6">
        <v>1416</v>
      </c>
      <c r="AJ50" s="6">
        <f>TABL12[[#This Row],[(A/B TOT) AJD]]-TABL12[[#This Row],[BER_ IN]]</f>
        <v>436</v>
      </c>
      <c r="AK50" s="6">
        <v>26</v>
      </c>
      <c r="AL50" s="33">
        <v>45.268700000000003</v>
      </c>
      <c r="AM50" s="6">
        <v>4356520</v>
      </c>
      <c r="AN50" s="6">
        <f>TABL12[[#This Row],[ (RESV. STORGE) SER]]/10</f>
        <v>435652</v>
      </c>
      <c r="AO50" s="6">
        <v>1800</v>
      </c>
      <c r="AP50" s="32">
        <f>TABL12[[#This Row],[(A/S TOT) AJD]]-TABL12[[#This Row],[SER_ IN]]</f>
        <v>250</v>
      </c>
    </row>
    <row r="51" spans="1:42" x14ac:dyDescent="0.25">
      <c r="A51" s="2">
        <v>45707</v>
      </c>
      <c r="B51" s="28">
        <v>35</v>
      </c>
      <c r="C51" s="28">
        <v>288</v>
      </c>
      <c r="D51" s="28">
        <v>37</v>
      </c>
      <c r="E51" s="28">
        <v>0</v>
      </c>
      <c r="F51" s="28">
        <v>83</v>
      </c>
      <c r="G51" s="28">
        <v>536.18000000000006</v>
      </c>
      <c r="H51" s="28">
        <v>5</v>
      </c>
      <c r="I51" s="28">
        <v>412.59000000000003</v>
      </c>
      <c r="J51" s="28">
        <v>408.59000000000003</v>
      </c>
      <c r="K51" s="28">
        <f>TABL12[[#This Row],[خط (T/B  TOT) SAR]]+TABL12[[#This Row],[خط (S/S  TOT) SAR2]]</f>
        <v>821.18000000000006</v>
      </c>
      <c r="L51" s="28">
        <v>285</v>
      </c>
      <c r="M51" s="29">
        <v>23.9</v>
      </c>
      <c r="N51" s="30">
        <v>7.42</v>
      </c>
      <c r="O51" s="3">
        <v>370</v>
      </c>
      <c r="P51" s="3">
        <f>TABL12[[#This Row],[خط (S/S  TOT) SAR2]]-TABL12[[#This Row],[(S/S TOT) AJD]]</f>
        <v>38.590000000000032</v>
      </c>
      <c r="Q51" s="3">
        <v>412</v>
      </c>
      <c r="R51" s="3">
        <f>TABL12[[#This Row],[خط (T/B  TOT) SAR]]-TABL12[[#This Row],[(T/B TOT) AJD]]</f>
        <v>0.59000000000003183</v>
      </c>
      <c r="S51" s="3">
        <f>TABL12[[#This Row],[الفرق بين بداية ونهاية خط  S/S]]+TABL12[[#This Row],[الفرق بين بداية ونهاية خط  T/B]]</f>
        <v>39.180000000000064</v>
      </c>
      <c r="T51" s="3">
        <f t="shared" si="0"/>
        <v>782</v>
      </c>
      <c r="U51" s="3">
        <v>506</v>
      </c>
      <c r="V51" s="3">
        <v>280</v>
      </c>
      <c r="W51" s="3">
        <f t="shared" si="1"/>
        <v>786</v>
      </c>
      <c r="X51" s="3">
        <f t="shared" si="2"/>
        <v>-4</v>
      </c>
      <c r="Y51" s="4">
        <v>91.92</v>
      </c>
      <c r="Z51" s="3">
        <v>0</v>
      </c>
      <c r="AA51" s="3">
        <f>TABL12[[#This Row],[(RESV. STORGE) AJD]]/10</f>
        <v>0</v>
      </c>
      <c r="AB51" s="3">
        <f t="shared" si="3"/>
        <v>0</v>
      </c>
      <c r="AC51" s="6">
        <v>0</v>
      </c>
      <c r="AD51" s="5">
        <f>TABL12[[#This Row],[( S/S+T/B) AJD]]-(TABL12[[#This Row],[(A/B + A/S) AJD]]+(TABL12[[#This Row],[(STORGE DIFF.) AJD]])+TABL12[[#This Row],[البخر  AJD]]/1000)</f>
        <v>-4</v>
      </c>
      <c r="AE51" s="6">
        <v>75</v>
      </c>
      <c r="AF51" s="33">
        <v>60.959000000000003</v>
      </c>
      <c r="AG51" s="6">
        <v>2933637</v>
      </c>
      <c r="AH51" s="6">
        <f>TABL12[[#This Row],[ (RESV. STORGE) BER]]/10</f>
        <v>293363.7</v>
      </c>
      <c r="AI51" s="6">
        <v>1415</v>
      </c>
      <c r="AJ51" s="6">
        <f>TABL12[[#This Row],[(A/B TOT) AJD]]-TABL12[[#This Row],[BER_ IN]]</f>
        <v>431</v>
      </c>
      <c r="AK51" s="6">
        <v>26</v>
      </c>
      <c r="AL51" s="33">
        <v>45.228999999999999</v>
      </c>
      <c r="AM51" s="6">
        <v>4334004</v>
      </c>
      <c r="AN51" s="6">
        <f>TABL12[[#This Row],[ (RESV. STORGE) SER]]/10</f>
        <v>433400.4</v>
      </c>
      <c r="AO51" s="6">
        <v>1816</v>
      </c>
      <c r="AP51" s="32">
        <f>TABL12[[#This Row],[(A/S TOT) AJD]]-TABL12[[#This Row],[SER_ IN]]</f>
        <v>254</v>
      </c>
    </row>
    <row r="52" spans="1:42" x14ac:dyDescent="0.25">
      <c r="A52" s="2">
        <v>45708</v>
      </c>
      <c r="B52" s="28">
        <v>38</v>
      </c>
      <c r="C52" s="28">
        <v>303</v>
      </c>
      <c r="D52" s="28">
        <v>38</v>
      </c>
      <c r="E52" s="28">
        <v>0</v>
      </c>
      <c r="F52" s="28">
        <v>83</v>
      </c>
      <c r="G52" s="28">
        <v>537.01</v>
      </c>
      <c r="H52" s="28">
        <v>5</v>
      </c>
      <c r="I52" s="28">
        <v>420.505</v>
      </c>
      <c r="J52" s="28">
        <v>416.505</v>
      </c>
      <c r="K52" s="28">
        <f>TABL12[[#This Row],[خط (T/B  TOT) SAR]]+TABL12[[#This Row],[خط (S/S  TOT) SAR2]]</f>
        <v>837.01</v>
      </c>
      <c r="L52" s="28">
        <v>300</v>
      </c>
      <c r="M52" s="29">
        <v>23.9</v>
      </c>
      <c r="N52" s="30">
        <v>7.4</v>
      </c>
      <c r="O52" s="3">
        <v>371</v>
      </c>
      <c r="P52" s="3">
        <f>TABL12[[#This Row],[خط (S/S  TOT) SAR2]]-TABL12[[#This Row],[(S/S TOT) AJD]]</f>
        <v>45.504999999999995</v>
      </c>
      <c r="Q52" s="3">
        <v>412</v>
      </c>
      <c r="R52" s="3">
        <f>TABL12[[#This Row],[خط (T/B  TOT) SAR]]-TABL12[[#This Row],[(T/B TOT) AJD]]</f>
        <v>8.5049999999999955</v>
      </c>
      <c r="S52" s="3">
        <f>TABL12[[#This Row],[الفرق بين بداية ونهاية خط  S/S]]+TABL12[[#This Row],[الفرق بين بداية ونهاية خط  T/B]]</f>
        <v>54.009999999999991</v>
      </c>
      <c r="T52" s="3">
        <f t="shared" si="0"/>
        <v>783</v>
      </c>
      <c r="U52" s="3">
        <v>517</v>
      </c>
      <c r="V52" s="3">
        <v>266</v>
      </c>
      <c r="W52" s="3">
        <f t="shared" si="1"/>
        <v>783</v>
      </c>
      <c r="X52" s="3">
        <f t="shared" si="2"/>
        <v>0</v>
      </c>
      <c r="Y52" s="4">
        <v>91.92</v>
      </c>
      <c r="Z52" s="3">
        <v>0</v>
      </c>
      <c r="AA52" s="3">
        <f>TABL12[[#This Row],[(RESV. STORGE) AJD]]/10</f>
        <v>0</v>
      </c>
      <c r="AB52" s="3">
        <f t="shared" si="3"/>
        <v>0</v>
      </c>
      <c r="AC52" s="6">
        <v>0</v>
      </c>
      <c r="AD52" s="5">
        <f>TABL12[[#This Row],[( S/S+T/B) AJD]]-(TABL12[[#This Row],[(A/B + A/S) AJD]]+(TABL12[[#This Row],[(STORGE DIFF.) AJD]])+TABL12[[#This Row],[البخر  AJD]]/1000)</f>
        <v>0</v>
      </c>
      <c r="AE52" s="6">
        <v>75</v>
      </c>
      <c r="AF52" s="33">
        <v>60.95</v>
      </c>
      <c r="AG52" s="6">
        <v>2927542</v>
      </c>
      <c r="AH52" s="6">
        <f>TABL12[[#This Row],[ (RESV. STORGE) BER]]/10</f>
        <v>292754.2</v>
      </c>
      <c r="AI52" s="6">
        <v>1414.7</v>
      </c>
      <c r="AJ52" s="6">
        <f>TABL12[[#This Row],[(A/B TOT) AJD]]-TABL12[[#This Row],[BER_ IN]]</f>
        <v>442</v>
      </c>
      <c r="AK52" s="6">
        <v>28</v>
      </c>
      <c r="AL52" s="33">
        <v>45.11</v>
      </c>
      <c r="AM52" s="6">
        <v>4267570</v>
      </c>
      <c r="AN52" s="6">
        <f>TABL12[[#This Row],[ (RESV. STORGE) SER]]/10</f>
        <v>426757</v>
      </c>
      <c r="AO52" s="6">
        <v>2267</v>
      </c>
      <c r="AP52" s="32">
        <f>TABL12[[#This Row],[(A/S TOT) AJD]]-TABL12[[#This Row],[SER_ IN]]</f>
        <v>238</v>
      </c>
    </row>
    <row r="53" spans="1:42" x14ac:dyDescent="0.25">
      <c r="A53" s="2">
        <v>45709</v>
      </c>
      <c r="B53" s="28">
        <v>38</v>
      </c>
      <c r="C53" s="28">
        <v>311</v>
      </c>
      <c r="D53" s="28">
        <v>38</v>
      </c>
      <c r="E53" s="28">
        <v>0</v>
      </c>
      <c r="F53" s="28">
        <v>83</v>
      </c>
      <c r="G53" s="28">
        <v>532.86</v>
      </c>
      <c r="H53" s="28">
        <v>5</v>
      </c>
      <c r="I53" s="28">
        <v>423.43</v>
      </c>
      <c r="J53" s="28">
        <v>419.43</v>
      </c>
      <c r="K53" s="28">
        <f>TABL12[[#This Row],[خط (T/B  TOT) SAR]]+TABL12[[#This Row],[خط (S/S  TOT) SAR2]]</f>
        <v>842.86</v>
      </c>
      <c r="L53" s="28">
        <v>310</v>
      </c>
      <c r="M53" s="29">
        <v>23.9</v>
      </c>
      <c r="N53" s="30">
        <v>7.48</v>
      </c>
      <c r="O53" s="3">
        <v>370</v>
      </c>
      <c r="P53" s="3">
        <f>TABL12[[#This Row],[خط (S/S  TOT) SAR2]]-TABL12[[#This Row],[(S/S TOT) AJD]]</f>
        <v>49.430000000000007</v>
      </c>
      <c r="Q53" s="3">
        <v>411</v>
      </c>
      <c r="R53" s="3">
        <f>TABL12[[#This Row],[خط (T/B  TOT) SAR]]-TABL12[[#This Row],[(T/B TOT) AJD]]</f>
        <v>12.430000000000007</v>
      </c>
      <c r="S53" s="3">
        <f>TABL12[[#This Row],[الفرق بين بداية ونهاية خط  S/S]]+TABL12[[#This Row],[الفرق بين بداية ونهاية خط  T/B]]</f>
        <v>61.860000000000014</v>
      </c>
      <c r="T53" s="3">
        <f t="shared" si="0"/>
        <v>781</v>
      </c>
      <c r="U53" s="3">
        <v>513</v>
      </c>
      <c r="V53" s="3">
        <v>272</v>
      </c>
      <c r="W53" s="3">
        <f t="shared" si="1"/>
        <v>785</v>
      </c>
      <c r="X53" s="3">
        <f t="shared" si="2"/>
        <v>-4</v>
      </c>
      <c r="Y53" s="4">
        <v>91.92</v>
      </c>
      <c r="Z53" s="3">
        <v>0</v>
      </c>
      <c r="AA53" s="3">
        <f>TABL12[[#This Row],[(RESV. STORGE) AJD]]/10</f>
        <v>0</v>
      </c>
      <c r="AB53" s="3">
        <f t="shared" si="3"/>
        <v>0</v>
      </c>
      <c r="AC53" s="6">
        <v>0</v>
      </c>
      <c r="AD53" s="5">
        <f>TABL12[[#This Row],[( S/S+T/B) AJD]]-(TABL12[[#This Row],[(A/B + A/S) AJD]]+(TABL12[[#This Row],[(STORGE DIFF.) AJD]])+TABL12[[#This Row],[البخر  AJD]]/1000)</f>
        <v>-4</v>
      </c>
      <c r="AE53" s="6">
        <v>75</v>
      </c>
      <c r="AF53" s="33">
        <v>60.941000000000003</v>
      </c>
      <c r="AG53" s="6">
        <v>2921448</v>
      </c>
      <c r="AH53" s="6">
        <f>TABL12[[#This Row],[ (RESV. STORGE) BER]]/10</f>
        <v>292144.8</v>
      </c>
      <c r="AI53" s="6">
        <v>1414</v>
      </c>
      <c r="AJ53" s="6">
        <f>TABL12[[#This Row],[(A/B TOT) AJD]]-TABL12[[#This Row],[BER_ IN]]</f>
        <v>438</v>
      </c>
      <c r="AK53" s="6">
        <v>36</v>
      </c>
      <c r="AL53" s="33">
        <v>45.0154</v>
      </c>
      <c r="AM53" s="6">
        <v>4214610</v>
      </c>
      <c r="AN53" s="6">
        <f>TABL12[[#This Row],[ (RESV. STORGE) SER]]/10</f>
        <v>421461</v>
      </c>
      <c r="AO53" s="6">
        <v>1960</v>
      </c>
      <c r="AP53" s="32">
        <f>TABL12[[#This Row],[(A/S TOT) AJD]]-TABL12[[#This Row],[SER_ IN]]</f>
        <v>236</v>
      </c>
    </row>
    <row r="54" spans="1:42" x14ac:dyDescent="0.25">
      <c r="A54" s="2">
        <v>45710</v>
      </c>
      <c r="B54" s="28">
        <v>36</v>
      </c>
      <c r="C54" s="28">
        <v>299</v>
      </c>
      <c r="D54" s="28">
        <v>37</v>
      </c>
      <c r="E54" s="28">
        <v>0</v>
      </c>
      <c r="F54" s="28">
        <v>83</v>
      </c>
      <c r="G54" s="28">
        <v>536.18000000000006</v>
      </c>
      <c r="H54" s="28">
        <v>5</v>
      </c>
      <c r="I54" s="28">
        <v>418.09000000000003</v>
      </c>
      <c r="J54" s="28">
        <v>414.09000000000003</v>
      </c>
      <c r="K54" s="28">
        <f>TABL12[[#This Row],[خط (T/B  TOT) SAR]]+TABL12[[#This Row],[خط (S/S  TOT) SAR2]]</f>
        <v>832.18000000000006</v>
      </c>
      <c r="L54" s="28">
        <v>296</v>
      </c>
      <c r="M54" s="29">
        <v>23.9</v>
      </c>
      <c r="N54" s="30">
        <v>7.47</v>
      </c>
      <c r="O54" s="3">
        <v>371</v>
      </c>
      <c r="P54" s="3">
        <f>TABL12[[#This Row],[خط (S/S  TOT) SAR2]]-TABL12[[#This Row],[(S/S TOT) AJD]]</f>
        <v>43.090000000000032</v>
      </c>
      <c r="Q54" s="3">
        <v>412</v>
      </c>
      <c r="R54" s="3">
        <f>TABL12[[#This Row],[خط (T/B  TOT) SAR]]-TABL12[[#This Row],[(T/B TOT) AJD]]</f>
        <v>6.0900000000000318</v>
      </c>
      <c r="S54" s="3">
        <f>TABL12[[#This Row],[الفرق بين بداية ونهاية خط  S/S]]+TABL12[[#This Row],[الفرق بين بداية ونهاية خط  T/B]]</f>
        <v>49.180000000000064</v>
      </c>
      <c r="T54" s="3">
        <f t="shared" si="0"/>
        <v>783</v>
      </c>
      <c r="U54" s="3">
        <v>513</v>
      </c>
      <c r="V54" s="3">
        <v>271</v>
      </c>
      <c r="W54" s="3">
        <f t="shared" si="1"/>
        <v>784</v>
      </c>
      <c r="X54" s="3">
        <f t="shared" si="2"/>
        <v>-1</v>
      </c>
      <c r="Y54" s="4">
        <v>91.92</v>
      </c>
      <c r="Z54" s="3">
        <v>0</v>
      </c>
      <c r="AA54" s="3">
        <f>TABL12[[#This Row],[(RESV. STORGE) AJD]]/10</f>
        <v>0</v>
      </c>
      <c r="AB54" s="3">
        <f t="shared" si="3"/>
        <v>0</v>
      </c>
      <c r="AC54" s="6">
        <v>0</v>
      </c>
      <c r="AD54" s="5">
        <f>TABL12[[#This Row],[( S/S+T/B) AJD]]-(TABL12[[#This Row],[(A/B + A/S) AJD]]+(TABL12[[#This Row],[(STORGE DIFF.) AJD]])+TABL12[[#This Row],[البخر  AJD]]/1000)</f>
        <v>-1</v>
      </c>
      <c r="AE54" s="6">
        <v>75</v>
      </c>
      <c r="AF54" s="33">
        <v>60.930999999999997</v>
      </c>
      <c r="AG54" s="6">
        <v>2914678</v>
      </c>
      <c r="AH54" s="6">
        <f>TABL12[[#This Row],[ (RESV. STORGE) BER]]/10</f>
        <v>291467.8</v>
      </c>
      <c r="AI54" s="6">
        <v>2090</v>
      </c>
      <c r="AJ54" s="6">
        <f>TABL12[[#This Row],[(A/B TOT) AJD]]-TABL12[[#This Row],[BER_ IN]]</f>
        <v>438</v>
      </c>
      <c r="AK54" s="6">
        <v>39</v>
      </c>
      <c r="AL54" s="33">
        <v>45.0154</v>
      </c>
      <c r="AM54" s="6">
        <v>4214610</v>
      </c>
      <c r="AN54" s="6">
        <f>TABL12[[#This Row],[ (RESV. STORGE) SER]]/10</f>
        <v>421461</v>
      </c>
      <c r="AO54" s="6">
        <v>1600</v>
      </c>
      <c r="AP54" s="32">
        <f>TABL12[[#This Row],[(A/S TOT) AJD]]-TABL12[[#This Row],[SER_ IN]]</f>
        <v>232</v>
      </c>
    </row>
    <row r="55" spans="1:42" x14ac:dyDescent="0.25">
      <c r="A55" s="2">
        <v>45711</v>
      </c>
      <c r="B55" s="28">
        <v>36</v>
      </c>
      <c r="C55" s="28">
        <v>301</v>
      </c>
      <c r="D55" s="28">
        <v>37</v>
      </c>
      <c r="E55" s="28">
        <v>0</v>
      </c>
      <c r="F55" s="28">
        <v>83</v>
      </c>
      <c r="G55" s="28">
        <v>537.01</v>
      </c>
      <c r="H55" s="28">
        <v>5</v>
      </c>
      <c r="I55" s="28">
        <v>419.505</v>
      </c>
      <c r="J55" s="28">
        <v>415.505</v>
      </c>
      <c r="K55" s="28">
        <f>TABL12[[#This Row],[خط (T/B  TOT) SAR]]+TABL12[[#This Row],[خط (S/S  TOT) SAR2]]</f>
        <v>835.01</v>
      </c>
      <c r="L55" s="28">
        <v>298</v>
      </c>
      <c r="M55" s="29">
        <v>23.9</v>
      </c>
      <c r="N55" s="30">
        <v>7.46</v>
      </c>
      <c r="O55" s="3">
        <v>371</v>
      </c>
      <c r="P55" s="3">
        <f>TABL12[[#This Row],[خط (S/S  TOT) SAR2]]-TABL12[[#This Row],[(S/S TOT) AJD]]</f>
        <v>44.504999999999995</v>
      </c>
      <c r="Q55" s="3">
        <v>412</v>
      </c>
      <c r="R55" s="3">
        <f>TABL12[[#This Row],[خط (T/B  TOT) SAR]]-TABL12[[#This Row],[(T/B TOT) AJD]]</f>
        <v>7.5049999999999955</v>
      </c>
      <c r="S55" s="3">
        <f>TABL12[[#This Row],[الفرق بين بداية ونهاية خط  S/S]]+TABL12[[#This Row],[الفرق بين بداية ونهاية خط  T/B]]</f>
        <v>52.009999999999991</v>
      </c>
      <c r="T55" s="3">
        <f t="shared" si="0"/>
        <v>783</v>
      </c>
      <c r="U55" s="3">
        <v>519</v>
      </c>
      <c r="V55" s="3">
        <v>267</v>
      </c>
      <c r="W55" s="3">
        <f t="shared" si="1"/>
        <v>786</v>
      </c>
      <c r="X55" s="3">
        <f t="shared" si="2"/>
        <v>-3</v>
      </c>
      <c r="Y55" s="4">
        <v>91.92</v>
      </c>
      <c r="Z55" s="3">
        <v>0</v>
      </c>
      <c r="AA55" s="3">
        <f>TABL12[[#This Row],[(RESV. STORGE) AJD]]/10</f>
        <v>0</v>
      </c>
      <c r="AB55" s="3">
        <f t="shared" si="3"/>
        <v>0</v>
      </c>
      <c r="AC55" s="6">
        <v>0</v>
      </c>
      <c r="AD55" s="5">
        <f>TABL12[[#This Row],[( S/S+T/B) AJD]]-(TABL12[[#This Row],[(A/B + A/S) AJD]]+(TABL12[[#This Row],[(STORGE DIFF.) AJD]])+TABL12[[#This Row],[البخر  AJD]]/1000)</f>
        <v>-3</v>
      </c>
      <c r="AE55" s="6">
        <v>75</v>
      </c>
      <c r="AF55" s="33">
        <v>60.920999999999999</v>
      </c>
      <c r="AG55" s="6">
        <v>2907908</v>
      </c>
      <c r="AH55" s="6">
        <f>TABL12[[#This Row],[ (RESV. STORGE) BER]]/10</f>
        <v>290790.8</v>
      </c>
      <c r="AI55" s="6">
        <v>1909</v>
      </c>
      <c r="AJ55" s="6">
        <f>TABL12[[#This Row],[(A/B TOT) AJD]]-TABL12[[#This Row],[BER_ IN]]</f>
        <v>444</v>
      </c>
      <c r="AK55" s="6">
        <v>40</v>
      </c>
      <c r="AL55" s="33">
        <v>44.883099999999999</v>
      </c>
      <c r="AM55" s="6">
        <v>4141250</v>
      </c>
      <c r="AN55" s="6">
        <f>TABL12[[#This Row],[ (RESV. STORGE) SER]]/10</f>
        <v>414125</v>
      </c>
      <c r="AO55" s="6">
        <v>1360</v>
      </c>
      <c r="AP55" s="32">
        <f>TABL12[[#This Row],[(A/S TOT) AJD]]-TABL12[[#This Row],[SER_ IN]]</f>
        <v>227</v>
      </c>
    </row>
    <row r="56" spans="1:42" x14ac:dyDescent="0.25">
      <c r="A56" s="2">
        <v>45712</v>
      </c>
      <c r="B56" s="28">
        <v>36</v>
      </c>
      <c r="C56" s="28">
        <v>296</v>
      </c>
      <c r="D56" s="28">
        <v>37</v>
      </c>
      <c r="E56" s="28">
        <v>0</v>
      </c>
      <c r="F56" s="28">
        <v>83</v>
      </c>
      <c r="G56" s="28">
        <v>532.86</v>
      </c>
      <c r="H56" s="28">
        <v>5</v>
      </c>
      <c r="I56" s="28">
        <v>415.93</v>
      </c>
      <c r="J56" s="28">
        <v>411.93</v>
      </c>
      <c r="K56" s="28">
        <f>TABL12[[#This Row],[خط (T/B  TOT) SAR]]+TABL12[[#This Row],[خط (S/S  TOT) SAR2]]</f>
        <v>827.86</v>
      </c>
      <c r="L56" s="28">
        <v>295</v>
      </c>
      <c r="M56" s="29">
        <v>23.9</v>
      </c>
      <c r="N56" s="30">
        <v>7.44</v>
      </c>
      <c r="O56" s="3">
        <v>317</v>
      </c>
      <c r="P56" s="3">
        <f>TABL12[[#This Row],[خط (S/S  TOT) SAR2]]-TABL12[[#This Row],[(S/S TOT) AJD]]</f>
        <v>94.93</v>
      </c>
      <c r="Q56" s="3">
        <v>412</v>
      </c>
      <c r="R56" s="3">
        <f>TABL12[[#This Row],[خط (T/B  TOT) SAR]]-TABL12[[#This Row],[(T/B TOT) AJD]]</f>
        <v>3.9300000000000068</v>
      </c>
      <c r="S56" s="3">
        <f>TABL12[[#This Row],[الفرق بين بداية ونهاية خط  S/S]]+TABL12[[#This Row],[الفرق بين بداية ونهاية خط  T/B]]</f>
        <v>98.860000000000014</v>
      </c>
      <c r="T56" s="3">
        <f t="shared" si="0"/>
        <v>729</v>
      </c>
      <c r="U56" s="3">
        <v>506</v>
      </c>
      <c r="V56" s="3">
        <v>274</v>
      </c>
      <c r="W56" s="3">
        <f t="shared" si="1"/>
        <v>780</v>
      </c>
      <c r="X56" s="3">
        <f t="shared" si="2"/>
        <v>-51</v>
      </c>
      <c r="Y56" s="4">
        <v>91.92</v>
      </c>
      <c r="Z56" s="3">
        <v>0</v>
      </c>
      <c r="AA56" s="3">
        <f>TABL12[[#This Row],[(RESV. STORGE) AJD]]/10</f>
        <v>0</v>
      </c>
      <c r="AB56" s="3">
        <f t="shared" si="3"/>
        <v>0</v>
      </c>
      <c r="AC56" s="6">
        <v>0</v>
      </c>
      <c r="AD56" s="5">
        <f>TABL12[[#This Row],[( S/S+T/B) AJD]]-(TABL12[[#This Row],[(A/B + A/S) AJD]]+(TABL12[[#This Row],[(STORGE DIFF.) AJD]])+TABL12[[#This Row],[البخر  AJD]]/1000)</f>
        <v>-51</v>
      </c>
      <c r="AE56" s="6">
        <v>68</v>
      </c>
      <c r="AF56" s="33">
        <v>60.901000000000003</v>
      </c>
      <c r="AG56" s="6">
        <v>2894372</v>
      </c>
      <c r="AH56" s="6">
        <f>TABL12[[#This Row],[ (RESV. STORGE) BER]]/10</f>
        <v>289437.2</v>
      </c>
      <c r="AI56" s="6">
        <v>1856</v>
      </c>
      <c r="AJ56" s="6">
        <f>TABL12[[#This Row],[(A/B TOT) AJD]]-TABL12[[#This Row],[BER_ IN]]</f>
        <v>438</v>
      </c>
      <c r="AK56" s="6">
        <v>43</v>
      </c>
      <c r="AL56" s="33">
        <v>44.886299999999999</v>
      </c>
      <c r="AM56" s="6">
        <v>4142820</v>
      </c>
      <c r="AN56" s="6">
        <f>TABL12[[#This Row],[ (RESV. STORGE) SER]]/10</f>
        <v>414282</v>
      </c>
      <c r="AO56" s="6">
        <v>1430</v>
      </c>
      <c r="AP56" s="32">
        <f>TABL12[[#This Row],[(A/S TOT) AJD]]-TABL12[[#This Row],[SER_ IN]]</f>
        <v>231</v>
      </c>
    </row>
    <row r="57" spans="1:42" x14ac:dyDescent="0.25">
      <c r="A57" s="2">
        <v>45713</v>
      </c>
      <c r="B57" s="28">
        <v>36</v>
      </c>
      <c r="C57" s="28">
        <v>291</v>
      </c>
      <c r="D57" s="28">
        <v>37</v>
      </c>
      <c r="E57" s="28">
        <v>0</v>
      </c>
      <c r="F57" s="28">
        <v>83</v>
      </c>
      <c r="G57" s="28">
        <v>536.18000000000006</v>
      </c>
      <c r="H57" s="28">
        <v>5</v>
      </c>
      <c r="I57" s="28">
        <v>414.09000000000003</v>
      </c>
      <c r="J57" s="28">
        <v>410.09000000000003</v>
      </c>
      <c r="K57" s="28">
        <f>TABL12[[#This Row],[خط (T/B  TOT) SAR]]+TABL12[[#This Row],[خط (S/S  TOT) SAR2]]</f>
        <v>824.18000000000006</v>
      </c>
      <c r="L57" s="28">
        <v>288</v>
      </c>
      <c r="M57" s="29">
        <v>23.9</v>
      </c>
      <c r="N57" s="30">
        <v>7.39</v>
      </c>
      <c r="O57" s="3">
        <v>371</v>
      </c>
      <c r="P57" s="3">
        <f>TABL12[[#This Row],[خط (S/S  TOT) SAR2]]-TABL12[[#This Row],[(S/S TOT) AJD]]</f>
        <v>39.090000000000032</v>
      </c>
      <c r="Q57" s="3">
        <v>412</v>
      </c>
      <c r="R57" s="3">
        <f>TABL12[[#This Row],[خط (T/B  TOT) SAR]]-TABL12[[#This Row],[(T/B TOT) AJD]]</f>
        <v>2.0900000000000318</v>
      </c>
      <c r="S57" s="3">
        <f>TABL12[[#This Row],[الفرق بين بداية ونهاية خط  S/S]]+TABL12[[#This Row],[الفرق بين بداية ونهاية خط  T/B]]</f>
        <v>41.180000000000064</v>
      </c>
      <c r="T57" s="3">
        <f t="shared" si="0"/>
        <v>783</v>
      </c>
      <c r="U57" s="3">
        <v>511</v>
      </c>
      <c r="V57" s="3">
        <v>273</v>
      </c>
      <c r="W57" s="3">
        <f t="shared" si="1"/>
        <v>784</v>
      </c>
      <c r="X57" s="3">
        <f t="shared" si="2"/>
        <v>-1</v>
      </c>
      <c r="Y57" s="4">
        <v>91.92</v>
      </c>
      <c r="Z57" s="3">
        <v>0</v>
      </c>
      <c r="AA57" s="3">
        <f>TABL12[[#This Row],[(RESV. STORGE) AJD]]/10</f>
        <v>0</v>
      </c>
      <c r="AB57" s="3">
        <f t="shared" si="3"/>
        <v>0</v>
      </c>
      <c r="AC57" s="6">
        <v>0</v>
      </c>
      <c r="AD57" s="5">
        <f>TABL12[[#This Row],[( S/S+T/B) AJD]]-(TABL12[[#This Row],[(A/B + A/S) AJD]]+(TABL12[[#This Row],[(STORGE DIFF.) AJD]])+TABL12[[#This Row],[البخر  AJD]]/1000)</f>
        <v>-1</v>
      </c>
      <c r="AE57" s="6">
        <v>65</v>
      </c>
      <c r="AF57" s="33">
        <v>60.877000000000002</v>
      </c>
      <c r="AG57" s="6">
        <v>2878133</v>
      </c>
      <c r="AH57" s="6">
        <f>TABL12[[#This Row],[ (RESV. STORGE) BER]]/10</f>
        <v>287813.3</v>
      </c>
      <c r="AI57" s="6">
        <v>1559</v>
      </c>
      <c r="AJ57" s="6">
        <f>TABL12[[#This Row],[(A/B TOT) AJD]]-TABL12[[#This Row],[BER_ IN]]</f>
        <v>446</v>
      </c>
      <c r="AK57" s="6">
        <v>32</v>
      </c>
      <c r="AL57" s="33">
        <v>44.9328</v>
      </c>
      <c r="AM57" s="6">
        <v>4168970</v>
      </c>
      <c r="AN57" s="6">
        <f>TABL12[[#This Row],[ (RESV. STORGE) SER]]/10</f>
        <v>416897</v>
      </c>
      <c r="AO57" s="6">
        <v>1300</v>
      </c>
      <c r="AP57" s="32">
        <f>TABL12[[#This Row],[(A/S TOT) AJD]]-TABL12[[#This Row],[SER_ IN]]</f>
        <v>241</v>
      </c>
    </row>
    <row r="58" spans="1:42" x14ac:dyDescent="0.25">
      <c r="A58" s="2">
        <v>45714</v>
      </c>
      <c r="B58" s="28">
        <v>37</v>
      </c>
      <c r="C58" s="28">
        <v>296</v>
      </c>
      <c r="D58" s="28">
        <v>37</v>
      </c>
      <c r="E58" s="28">
        <v>0</v>
      </c>
      <c r="F58" s="28">
        <v>83</v>
      </c>
      <c r="G58" s="28">
        <v>537.01</v>
      </c>
      <c r="H58" s="28">
        <v>5</v>
      </c>
      <c r="I58" s="28">
        <v>417.005</v>
      </c>
      <c r="J58" s="28">
        <v>413.005</v>
      </c>
      <c r="K58" s="28">
        <f>TABL12[[#This Row],[خط (T/B  TOT) SAR]]+TABL12[[#This Row],[خط (S/S  TOT) SAR2]]</f>
        <v>830.01</v>
      </c>
      <c r="L58" s="28">
        <v>293</v>
      </c>
      <c r="M58" s="29">
        <v>23.9</v>
      </c>
      <c r="N58" s="30">
        <v>7.37</v>
      </c>
      <c r="O58" s="3">
        <v>371</v>
      </c>
      <c r="P58" s="3">
        <f>TABL12[[#This Row],[خط (S/S  TOT) SAR2]]-TABL12[[#This Row],[(S/S TOT) AJD]]</f>
        <v>42.004999999999995</v>
      </c>
      <c r="Q58" s="3">
        <v>411</v>
      </c>
      <c r="R58" s="3">
        <f>TABL12[[#This Row],[خط (T/B  TOT) SAR]]-TABL12[[#This Row],[(T/B TOT) AJD]]</f>
        <v>6.0049999999999955</v>
      </c>
      <c r="S58" s="3">
        <f>TABL12[[#This Row],[الفرق بين بداية ونهاية خط  S/S]]+TABL12[[#This Row],[الفرق بين بداية ونهاية خط  T/B]]</f>
        <v>48.009999999999991</v>
      </c>
      <c r="T58" s="3">
        <f t="shared" si="0"/>
        <v>782</v>
      </c>
      <c r="U58" s="3">
        <v>505</v>
      </c>
      <c r="V58" s="3">
        <v>280</v>
      </c>
      <c r="W58" s="3">
        <f t="shared" si="1"/>
        <v>785</v>
      </c>
      <c r="X58" s="3">
        <f t="shared" si="2"/>
        <v>-3</v>
      </c>
      <c r="Y58" s="4">
        <v>91.92</v>
      </c>
      <c r="Z58" s="3">
        <v>0</v>
      </c>
      <c r="AA58" s="3">
        <f>TABL12[[#This Row],[(RESV. STORGE) AJD]]/10</f>
        <v>0</v>
      </c>
      <c r="AB58" s="3">
        <f t="shared" si="3"/>
        <v>0</v>
      </c>
      <c r="AC58" s="6">
        <v>0</v>
      </c>
      <c r="AD58" s="5">
        <f>TABL12[[#This Row],[( S/S+T/B) AJD]]-(TABL12[[#This Row],[(A/B + A/S) AJD]]+(TABL12[[#This Row],[(STORGE DIFF.) AJD]])+TABL12[[#This Row],[البخر  AJD]]/1000)</f>
        <v>-3</v>
      </c>
      <c r="AE58" s="6">
        <v>65</v>
      </c>
      <c r="AF58" s="33">
        <v>60.859000000000002</v>
      </c>
      <c r="AG58" s="6">
        <v>2865957</v>
      </c>
      <c r="AH58" s="6">
        <f>TABL12[[#This Row],[ (RESV. STORGE) BER]]/10</f>
        <v>286595.7</v>
      </c>
      <c r="AI58" s="6">
        <v>1645</v>
      </c>
      <c r="AJ58" s="6">
        <f>TABL12[[#This Row],[(A/B TOT) AJD]]-TABL12[[#This Row],[BER_ IN]]</f>
        <v>440</v>
      </c>
      <c r="AK58" s="6">
        <v>32</v>
      </c>
      <c r="AL58" s="33">
        <v>44.978000000000002</v>
      </c>
      <c r="AM58" s="6">
        <v>4194140</v>
      </c>
      <c r="AN58" s="6">
        <f>TABL12[[#This Row],[ (RESV. STORGE) SER]]/10</f>
        <v>419414</v>
      </c>
      <c r="AO58" s="6">
        <v>1300</v>
      </c>
      <c r="AP58" s="32">
        <f>TABL12[[#This Row],[(A/S TOT) AJD]]-TABL12[[#This Row],[SER_ IN]]</f>
        <v>248</v>
      </c>
    </row>
    <row r="59" spans="1:42" x14ac:dyDescent="0.25">
      <c r="A59" s="2">
        <v>45715</v>
      </c>
      <c r="B59" s="28">
        <v>38</v>
      </c>
      <c r="C59" s="28">
        <v>304</v>
      </c>
      <c r="D59" s="28">
        <v>38</v>
      </c>
      <c r="E59" s="28">
        <v>0</v>
      </c>
      <c r="F59" s="28">
        <v>83</v>
      </c>
      <c r="G59" s="28">
        <v>532.86</v>
      </c>
      <c r="H59" s="28">
        <v>5</v>
      </c>
      <c r="I59" s="28">
        <v>419.93</v>
      </c>
      <c r="J59" s="28">
        <v>415.93</v>
      </c>
      <c r="K59" s="28">
        <f>TABL12[[#This Row],[خط (T/B  TOT) SAR]]+TABL12[[#This Row],[خط (S/S  TOT) SAR2]]</f>
        <v>835.86</v>
      </c>
      <c r="L59" s="28">
        <v>303</v>
      </c>
      <c r="M59" s="29">
        <v>23.9</v>
      </c>
      <c r="N59" s="30">
        <v>7.39</v>
      </c>
      <c r="O59" s="3">
        <v>370</v>
      </c>
      <c r="P59" s="3">
        <f>TABL12[[#This Row],[خط (S/S  TOT) SAR2]]-TABL12[[#This Row],[(S/S TOT) AJD]]</f>
        <v>45.930000000000007</v>
      </c>
      <c r="Q59" s="3">
        <v>411</v>
      </c>
      <c r="R59" s="3">
        <f>TABL12[[#This Row],[خط (T/B  TOT) SAR]]-TABL12[[#This Row],[(T/B TOT) AJD]]</f>
        <v>8.9300000000000068</v>
      </c>
      <c r="S59" s="3">
        <f>TABL12[[#This Row],[الفرق بين بداية ونهاية خط  S/S]]+TABL12[[#This Row],[الفرق بين بداية ونهاية خط  T/B]]</f>
        <v>54.860000000000014</v>
      </c>
      <c r="T59" s="3">
        <f t="shared" si="0"/>
        <v>781</v>
      </c>
      <c r="U59" s="3">
        <v>511</v>
      </c>
      <c r="V59" s="3">
        <v>272</v>
      </c>
      <c r="W59" s="3">
        <f t="shared" si="1"/>
        <v>783</v>
      </c>
      <c r="X59" s="3">
        <f t="shared" si="2"/>
        <v>-2</v>
      </c>
      <c r="Y59" s="4">
        <v>91.92</v>
      </c>
      <c r="Z59" s="3">
        <v>0</v>
      </c>
      <c r="AA59" s="3">
        <f>TABL12[[#This Row],[(RESV. STORGE) AJD]]/10</f>
        <v>0</v>
      </c>
      <c r="AB59" s="3">
        <f t="shared" si="3"/>
        <v>0</v>
      </c>
      <c r="AC59" s="6">
        <v>0</v>
      </c>
      <c r="AD59" s="5">
        <f>TABL12[[#This Row],[( S/S+T/B) AJD]]-(TABL12[[#This Row],[(A/B + A/S) AJD]]+(TABL12[[#This Row],[(STORGE DIFF.) AJD]])+TABL12[[#This Row],[البخر  AJD]]/1000)</f>
        <v>-2</v>
      </c>
      <c r="AE59" s="6">
        <v>65</v>
      </c>
      <c r="AF59" s="33">
        <v>60.835000000000001</v>
      </c>
      <c r="AG59" s="6">
        <v>2849727</v>
      </c>
      <c r="AH59" s="6">
        <f>TABL12[[#This Row],[ (RESV. STORGE) BER]]/10</f>
        <v>284972.7</v>
      </c>
      <c r="AI59" s="6">
        <v>1550</v>
      </c>
      <c r="AJ59" s="6">
        <f>TABL12[[#This Row],[(A/B TOT) AJD]]-TABL12[[#This Row],[BER_ IN]]</f>
        <v>446</v>
      </c>
      <c r="AK59" s="6">
        <v>33</v>
      </c>
      <c r="AL59" s="33">
        <v>45.016500000000001</v>
      </c>
      <c r="AM59" s="6">
        <v>4215710</v>
      </c>
      <c r="AN59" s="6">
        <f>TABL12[[#This Row],[ (RESV. STORGE) SER]]/10</f>
        <v>421571</v>
      </c>
      <c r="AO59" s="6">
        <v>1430</v>
      </c>
      <c r="AP59" s="32">
        <f>TABL12[[#This Row],[(A/S TOT) AJD]]-TABL12[[#This Row],[SER_ IN]]</f>
        <v>239</v>
      </c>
    </row>
    <row r="60" spans="1:42" x14ac:dyDescent="0.25">
      <c r="A60" s="2">
        <v>45716</v>
      </c>
      <c r="B60" s="28">
        <v>37</v>
      </c>
      <c r="C60" s="28">
        <v>310</v>
      </c>
      <c r="D60" s="28">
        <v>37</v>
      </c>
      <c r="E60" s="28">
        <v>0</v>
      </c>
      <c r="F60" s="28">
        <v>83</v>
      </c>
      <c r="G60" s="28">
        <v>537.01</v>
      </c>
      <c r="H60" s="28">
        <v>5</v>
      </c>
      <c r="I60" s="28">
        <v>424.005</v>
      </c>
      <c r="J60" s="28">
        <v>420.005</v>
      </c>
      <c r="K60" s="28">
        <f>TABL12[[#This Row],[خط (T/B  TOT) SAR]]+TABL12[[#This Row],[خط (S/S  TOT) SAR2]]</f>
        <v>844.01</v>
      </c>
      <c r="L60" s="28">
        <v>307</v>
      </c>
      <c r="M60" s="29">
        <v>23.9</v>
      </c>
      <c r="N60" s="30">
        <v>7.44</v>
      </c>
      <c r="O60" s="3">
        <v>370</v>
      </c>
      <c r="P60" s="3">
        <f>TABL12[[#This Row],[خط (S/S  TOT) SAR2]]-TABL12[[#This Row],[(S/S TOT) AJD]]</f>
        <v>50.004999999999995</v>
      </c>
      <c r="Q60" s="3">
        <v>412</v>
      </c>
      <c r="R60" s="3">
        <f>TABL12[[#This Row],[خط (T/B  TOT) SAR]]-TABL12[[#This Row],[(T/B TOT) AJD]]</f>
        <v>12.004999999999995</v>
      </c>
      <c r="S60" s="3">
        <f>TABL12[[#This Row],[الفرق بين بداية ونهاية خط  S/S]]+TABL12[[#This Row],[الفرق بين بداية ونهاية خط  T/B]]</f>
        <v>62.009999999999991</v>
      </c>
      <c r="T60" s="3">
        <f t="shared" si="0"/>
        <v>782</v>
      </c>
      <c r="U60" s="3">
        <v>500</v>
      </c>
      <c r="V60" s="3">
        <v>284</v>
      </c>
      <c r="W60" s="3">
        <f t="shared" si="1"/>
        <v>784</v>
      </c>
      <c r="X60" s="3">
        <f t="shared" si="2"/>
        <v>-2</v>
      </c>
      <c r="Y60" s="4">
        <v>91.92</v>
      </c>
      <c r="Z60" s="3">
        <v>0</v>
      </c>
      <c r="AA60" s="3">
        <f>TABL12[[#This Row],[(RESV. STORGE) AJD]]/10</f>
        <v>0</v>
      </c>
      <c r="AB60" s="3">
        <f t="shared" si="3"/>
        <v>0</v>
      </c>
      <c r="AC60" s="6">
        <v>0</v>
      </c>
      <c r="AD60" s="5">
        <f>TABL12[[#This Row],[( S/S+T/B) AJD]]-(TABL12[[#This Row],[(A/B + A/S) AJD]]+(TABL12[[#This Row],[(STORGE DIFF.) AJD]])+TABL12[[#This Row],[البخر  AJD]]/1000)</f>
        <v>-2</v>
      </c>
      <c r="AE60" s="6">
        <v>65</v>
      </c>
      <c r="AF60" s="33">
        <v>60.811</v>
      </c>
      <c r="AG60" s="6">
        <v>2833501</v>
      </c>
      <c r="AH60" s="6">
        <f>TABL12[[#This Row],[ (RESV. STORGE) BER]]/10</f>
        <v>283350.09999999998</v>
      </c>
      <c r="AI60" s="6">
        <v>1545</v>
      </c>
      <c r="AJ60" s="6">
        <f>TABL12[[#This Row],[(A/B TOT) AJD]]-TABL12[[#This Row],[BER_ IN]]</f>
        <v>435</v>
      </c>
      <c r="AK60" s="6">
        <v>43</v>
      </c>
      <c r="AL60" s="33">
        <v>45.046100000000003</v>
      </c>
      <c r="AM60" s="6">
        <v>4231890</v>
      </c>
      <c r="AN60" s="6">
        <f>TABL12[[#This Row],[ (RESV. STORGE) SER]]/10</f>
        <v>423189</v>
      </c>
      <c r="AO60" s="6">
        <v>1820</v>
      </c>
      <c r="AP60" s="32">
        <f>TABL12[[#This Row],[(A/S TOT) AJD]]-TABL12[[#This Row],[SER_ IN]]</f>
        <v>241</v>
      </c>
    </row>
    <row r="61" spans="1:42" x14ac:dyDescent="0.25">
      <c r="A61" s="2">
        <v>45717</v>
      </c>
      <c r="B61" s="28">
        <v>37</v>
      </c>
      <c r="C61" s="28">
        <v>326</v>
      </c>
      <c r="D61" s="28">
        <v>38</v>
      </c>
      <c r="E61" s="28">
        <v>0</v>
      </c>
      <c r="F61" s="28">
        <v>83</v>
      </c>
      <c r="G61" s="28">
        <v>538</v>
      </c>
      <c r="H61" s="28">
        <v>5</v>
      </c>
      <c r="I61" s="28">
        <v>421</v>
      </c>
      <c r="J61" s="28">
        <v>417</v>
      </c>
      <c r="K61" s="28">
        <f>TABL12[[#This Row],[خط (T/B  TOT) SAR]]+TABL12[[#This Row],[خط (S/S  TOT) SAR2]]</f>
        <v>838</v>
      </c>
      <c r="L61" s="28">
        <v>302</v>
      </c>
      <c r="M61" s="29">
        <v>23.9</v>
      </c>
      <c r="N61" s="30">
        <v>7.48</v>
      </c>
      <c r="O61" s="3">
        <v>371</v>
      </c>
      <c r="P61" s="3">
        <f>TABL12[[#This Row],[خط (S/S  TOT) SAR2]]-TABL12[[#This Row],[(S/S TOT) AJD]]</f>
        <v>46</v>
      </c>
      <c r="Q61" s="3">
        <v>411</v>
      </c>
      <c r="R61" s="3">
        <f>TABL12[[#This Row],[خط (T/B  TOT) SAR]]-TABL12[[#This Row],[(T/B TOT) AJD]]</f>
        <v>10</v>
      </c>
      <c r="S61" s="3">
        <f>TABL12[[#This Row],[الفرق بين بداية ونهاية خط  S/S]]+TABL12[[#This Row],[الفرق بين بداية ونهاية خط  T/B]]</f>
        <v>56</v>
      </c>
      <c r="T61" s="3">
        <f t="shared" si="0"/>
        <v>782</v>
      </c>
      <c r="U61" s="3">
        <v>504</v>
      </c>
      <c r="V61" s="3">
        <v>277</v>
      </c>
      <c r="W61" s="3">
        <f t="shared" si="1"/>
        <v>781</v>
      </c>
      <c r="X61" s="3">
        <f t="shared" si="2"/>
        <v>1</v>
      </c>
      <c r="Y61" s="4">
        <v>91.92</v>
      </c>
      <c r="Z61" s="3">
        <v>0</v>
      </c>
      <c r="AA61" s="3">
        <f>TABL12[[#This Row],[(RESV. STORGE) AJD]]/10</f>
        <v>0</v>
      </c>
      <c r="AB61" s="3">
        <f t="shared" si="3"/>
        <v>0</v>
      </c>
      <c r="AC61" s="6">
        <v>0</v>
      </c>
      <c r="AD61" s="5">
        <f>TABL12[[#This Row],[( S/S+T/B) AJD]]-(TABL12[[#This Row],[(A/B + A/S) AJD]]+(TABL12[[#This Row],[(STORGE DIFF.) AJD]])+TABL12[[#This Row],[البخر  AJD]]/1000)</f>
        <v>1</v>
      </c>
      <c r="AE61" s="6">
        <v>65</v>
      </c>
      <c r="AF61" s="33">
        <v>60.786999999999999</v>
      </c>
      <c r="AG61" s="6">
        <v>2817281</v>
      </c>
      <c r="AH61" s="6">
        <f>TABL12[[#This Row],[ (RESV. STORGE) BER]]/10</f>
        <v>281728.09999999998</v>
      </c>
      <c r="AI61" s="6">
        <v>1540</v>
      </c>
      <c r="AJ61" s="6">
        <f>TABL12[[#This Row],[(A/B TOT) AJD]]-TABL12[[#This Row],[BER_ IN]]</f>
        <v>439</v>
      </c>
      <c r="AK61" s="6">
        <v>37</v>
      </c>
      <c r="AL61" s="33">
        <v>45.107500000000002</v>
      </c>
      <c r="AM61" s="6">
        <v>4265900</v>
      </c>
      <c r="AN61" s="6">
        <f>TABL12[[#This Row],[ (RESV. STORGE) SER]]/10</f>
        <v>426590</v>
      </c>
      <c r="AO61" s="6">
        <v>1620</v>
      </c>
      <c r="AP61" s="32">
        <f>TABL12[[#This Row],[(A/S TOT) AJD]]-TABL12[[#This Row],[SER_ IN]]</f>
        <v>240</v>
      </c>
    </row>
    <row r="62" spans="1:42" x14ac:dyDescent="0.25">
      <c r="A62" s="2">
        <v>45718</v>
      </c>
      <c r="B62" s="28">
        <v>38</v>
      </c>
      <c r="C62" s="28">
        <v>303</v>
      </c>
      <c r="D62" s="28">
        <v>38</v>
      </c>
      <c r="E62" s="28">
        <v>0</v>
      </c>
      <c r="F62" s="28">
        <v>83</v>
      </c>
      <c r="G62" s="28">
        <v>537</v>
      </c>
      <c r="H62" s="28">
        <v>5</v>
      </c>
      <c r="I62" s="28">
        <v>421</v>
      </c>
      <c r="J62" s="28">
        <v>417</v>
      </c>
      <c r="K62" s="28">
        <f>TABL12[[#This Row],[خط (T/B  TOT) SAR]]+TABL12[[#This Row],[خط (S/S  TOT) SAR2]]</f>
        <v>838</v>
      </c>
      <c r="L62" s="28">
        <v>300</v>
      </c>
      <c r="M62" s="29">
        <v>23.9</v>
      </c>
      <c r="N62" s="30">
        <v>7.44</v>
      </c>
      <c r="O62" s="3">
        <v>371</v>
      </c>
      <c r="P62" s="3">
        <f>TABL12[[#This Row],[خط (S/S  TOT) SAR2]]-TABL12[[#This Row],[(S/S TOT) AJD]]</f>
        <v>46</v>
      </c>
      <c r="Q62" s="3">
        <v>412</v>
      </c>
      <c r="R62" s="3">
        <f>TABL12[[#This Row],[خط (T/B  TOT) SAR]]-TABL12[[#This Row],[(T/B TOT) AJD]]</f>
        <v>9</v>
      </c>
      <c r="S62" s="3">
        <f>TABL12[[#This Row],[الفرق بين بداية ونهاية خط  S/S]]+TABL12[[#This Row],[الفرق بين بداية ونهاية خط  T/B]]</f>
        <v>55</v>
      </c>
      <c r="T62" s="3">
        <f t="shared" si="0"/>
        <v>783</v>
      </c>
      <c r="U62" s="3">
        <v>508</v>
      </c>
      <c r="V62" s="3">
        <v>274</v>
      </c>
      <c r="W62" s="3">
        <f t="shared" si="1"/>
        <v>782</v>
      </c>
      <c r="X62" s="3">
        <f t="shared" si="2"/>
        <v>1</v>
      </c>
      <c r="Y62" s="4">
        <v>91.92</v>
      </c>
      <c r="Z62" s="3">
        <v>0</v>
      </c>
      <c r="AA62" s="3">
        <f>TABL12[[#This Row],[(RESV. STORGE) AJD]]/10</f>
        <v>0</v>
      </c>
      <c r="AB62" s="3">
        <f t="shared" si="3"/>
        <v>0</v>
      </c>
      <c r="AC62" s="6">
        <v>0</v>
      </c>
      <c r="AD62" s="5">
        <f>TABL12[[#This Row],[( S/S+T/B) AJD]]-(TABL12[[#This Row],[(A/B + A/S) AJD]]+(TABL12[[#This Row],[(STORGE DIFF.) AJD]])+TABL12[[#This Row],[البخر  AJD]]/1000)</f>
        <v>1</v>
      </c>
      <c r="AE62" s="6">
        <v>59</v>
      </c>
      <c r="AF62" s="33">
        <v>60.753999999999998</v>
      </c>
      <c r="AG62" s="6">
        <v>2794987</v>
      </c>
      <c r="AH62" s="6">
        <f>TABL12[[#This Row],[ (RESV. STORGE) BER]]/10</f>
        <v>279498.7</v>
      </c>
      <c r="AI62" s="6">
        <v>1518</v>
      </c>
      <c r="AJ62" s="6">
        <f>TABL12[[#This Row],[(A/B TOT) AJD]]-TABL12[[#This Row],[BER_ IN]]</f>
        <v>449</v>
      </c>
      <c r="AK62" s="6">
        <v>28</v>
      </c>
      <c r="AL62" s="33">
        <v>45.142699999999998</v>
      </c>
      <c r="AM62" s="6">
        <v>4286350</v>
      </c>
      <c r="AN62" s="6">
        <f>TABL12[[#This Row],[ (RESV. STORGE) SER]]/10</f>
        <v>428635</v>
      </c>
      <c r="AO62" s="6">
        <v>1725</v>
      </c>
      <c r="AP62" s="32">
        <f>TABL12[[#This Row],[(A/S TOT) AJD]]-TABL12[[#This Row],[SER_ IN]]</f>
        <v>246</v>
      </c>
    </row>
    <row r="63" spans="1:42" x14ac:dyDescent="0.25">
      <c r="A63" s="2">
        <v>45719</v>
      </c>
      <c r="B63" s="28">
        <v>38</v>
      </c>
      <c r="C63" s="28">
        <v>305</v>
      </c>
      <c r="D63" s="28">
        <v>38</v>
      </c>
      <c r="E63" s="28">
        <v>0</v>
      </c>
      <c r="F63" s="28">
        <v>83</v>
      </c>
      <c r="G63" s="28">
        <v>537</v>
      </c>
      <c r="H63" s="28">
        <v>5</v>
      </c>
      <c r="I63" s="28">
        <v>422</v>
      </c>
      <c r="J63" s="28">
        <v>418</v>
      </c>
      <c r="K63" s="28">
        <f>TABL12[[#This Row],[خط (T/B  TOT) SAR]]+TABL12[[#This Row],[خط (S/S  TOT) SAR2]]</f>
        <v>840</v>
      </c>
      <c r="L63" s="28">
        <v>302</v>
      </c>
      <c r="M63" s="29">
        <v>23.9</v>
      </c>
      <c r="N63" s="30">
        <v>7.48</v>
      </c>
      <c r="O63" s="3">
        <v>371</v>
      </c>
      <c r="P63" s="3">
        <f>TABL12[[#This Row],[خط (S/S  TOT) SAR2]]-TABL12[[#This Row],[(S/S TOT) AJD]]</f>
        <v>47</v>
      </c>
      <c r="Q63" s="3">
        <v>411</v>
      </c>
      <c r="R63" s="3">
        <f>TABL12[[#This Row],[خط (T/B  TOT) SAR]]-TABL12[[#This Row],[(T/B TOT) AJD]]</f>
        <v>11</v>
      </c>
      <c r="S63" s="3">
        <f>TABL12[[#This Row],[الفرق بين بداية ونهاية خط  S/S]]+TABL12[[#This Row],[الفرق بين بداية ونهاية خط  T/B]]</f>
        <v>58</v>
      </c>
      <c r="T63" s="3">
        <f t="shared" si="0"/>
        <v>782</v>
      </c>
      <c r="U63" s="3">
        <v>513</v>
      </c>
      <c r="V63" s="3">
        <v>273</v>
      </c>
      <c r="W63" s="3">
        <f t="shared" si="1"/>
        <v>786</v>
      </c>
      <c r="X63" s="3">
        <f t="shared" si="2"/>
        <v>-4</v>
      </c>
      <c r="Y63" s="4">
        <v>91.92</v>
      </c>
      <c r="Z63" s="3">
        <v>0</v>
      </c>
      <c r="AA63" s="3">
        <f>TABL12[[#This Row],[(RESV. STORGE) AJD]]/10</f>
        <v>0</v>
      </c>
      <c r="AB63" s="3">
        <f t="shared" si="3"/>
        <v>0</v>
      </c>
      <c r="AC63" s="6">
        <v>0</v>
      </c>
      <c r="AD63" s="5">
        <f>TABL12[[#This Row],[( S/S+T/B) AJD]]-(TABL12[[#This Row],[(A/B + A/S) AJD]]+(TABL12[[#This Row],[(STORGE DIFF.) AJD]])+TABL12[[#This Row],[البخر  AJD]]/1000)</f>
        <v>-4</v>
      </c>
      <c r="AE63" s="6">
        <v>55</v>
      </c>
      <c r="AF63" s="33">
        <v>60.715000000000003</v>
      </c>
      <c r="AG63" s="6">
        <v>2768651</v>
      </c>
      <c r="AH63" s="6">
        <f>TABL12[[#This Row],[ (RESV. STORGE) BER]]/10</f>
        <v>276865.09999999998</v>
      </c>
      <c r="AI63" s="6">
        <v>1655</v>
      </c>
      <c r="AJ63" s="6">
        <f>TABL12[[#This Row],[(A/B TOT) AJD]]-TABL12[[#This Row],[BER_ IN]]</f>
        <v>458</v>
      </c>
      <c r="AK63" s="6">
        <v>30</v>
      </c>
      <c r="AL63" s="33">
        <v>46.168900000000001</v>
      </c>
      <c r="AM63" s="6">
        <v>4300500</v>
      </c>
      <c r="AN63" s="6">
        <f>TABL12[[#This Row],[ (RESV. STORGE) SER]]/10</f>
        <v>430050</v>
      </c>
      <c r="AO63" s="6">
        <v>1757</v>
      </c>
      <c r="AP63" s="32">
        <f>TABL12[[#This Row],[(A/S TOT) AJD]]-TABL12[[#This Row],[SER_ IN]]</f>
        <v>243</v>
      </c>
    </row>
    <row r="64" spans="1:42" x14ac:dyDescent="0.25">
      <c r="A64" s="2">
        <v>45720</v>
      </c>
      <c r="B64" s="28">
        <v>38</v>
      </c>
      <c r="C64" s="28">
        <v>335</v>
      </c>
      <c r="D64" s="28">
        <v>40</v>
      </c>
      <c r="E64" s="28">
        <v>0</v>
      </c>
      <c r="F64" s="28">
        <v>83</v>
      </c>
      <c r="G64" s="28">
        <v>536</v>
      </c>
      <c r="H64" s="28">
        <v>5</v>
      </c>
      <c r="I64" s="28">
        <v>436</v>
      </c>
      <c r="J64" s="28">
        <v>432</v>
      </c>
      <c r="K64" s="28">
        <f>TABL12[[#This Row],[خط (T/B  TOT) SAR]]+TABL12[[#This Row],[خط (S/S  TOT) SAR2]]</f>
        <v>868</v>
      </c>
      <c r="L64" s="28">
        <v>332</v>
      </c>
      <c r="M64" s="29">
        <v>23.9</v>
      </c>
      <c r="N64" s="30">
        <v>7.58</v>
      </c>
      <c r="O64" s="3">
        <v>370</v>
      </c>
      <c r="P64" s="3">
        <f>TABL12[[#This Row],[خط (S/S  TOT) SAR2]]-TABL12[[#This Row],[(S/S TOT) AJD]]</f>
        <v>62</v>
      </c>
      <c r="Q64" s="3">
        <v>412</v>
      </c>
      <c r="R64" s="3">
        <f>TABL12[[#This Row],[خط (T/B  TOT) SAR]]-TABL12[[#This Row],[(T/B TOT) AJD]]</f>
        <v>24</v>
      </c>
      <c r="S64" s="3">
        <f>TABL12[[#This Row],[الفرق بين بداية ونهاية خط  S/S]]+TABL12[[#This Row],[الفرق بين بداية ونهاية خط  T/B]]</f>
        <v>86</v>
      </c>
      <c r="T64" s="3">
        <f t="shared" si="0"/>
        <v>782</v>
      </c>
      <c r="U64" s="3">
        <v>489</v>
      </c>
      <c r="V64" s="3">
        <v>295</v>
      </c>
      <c r="W64" s="3">
        <f t="shared" si="1"/>
        <v>784</v>
      </c>
      <c r="X64" s="3">
        <f t="shared" si="2"/>
        <v>-2</v>
      </c>
      <c r="Y64" s="4">
        <v>91.92</v>
      </c>
      <c r="Z64" s="3">
        <v>0</v>
      </c>
      <c r="AA64" s="3">
        <f>TABL12[[#This Row],[(RESV. STORGE) AJD]]/10</f>
        <v>0</v>
      </c>
      <c r="AB64" s="3">
        <f t="shared" si="3"/>
        <v>0</v>
      </c>
      <c r="AC64" s="6">
        <v>0</v>
      </c>
      <c r="AD64" s="5">
        <f>TABL12[[#This Row],[( S/S+T/B) AJD]]-(TABL12[[#This Row],[(A/B + A/S) AJD]]+(TABL12[[#This Row],[(STORGE DIFF.) AJD]])+TABL12[[#This Row],[البخر  AJD]]/1000)</f>
        <v>-2</v>
      </c>
      <c r="AE64" s="6">
        <v>55</v>
      </c>
      <c r="AF64" s="33">
        <v>60.674999999999997</v>
      </c>
      <c r="AG64" s="6">
        <v>2741654</v>
      </c>
      <c r="AH64" s="6">
        <f>TABL12[[#This Row],[ (RESV. STORGE) BER]]/10</f>
        <v>274165.40000000002</v>
      </c>
      <c r="AI64" s="6">
        <v>2317</v>
      </c>
      <c r="AJ64" s="6">
        <f>TABL12[[#This Row],[(A/B TOT) AJD]]-TABL12[[#This Row],[BER_ IN]]</f>
        <v>434</v>
      </c>
      <c r="AK64" s="6">
        <v>30</v>
      </c>
      <c r="AL64" s="33">
        <v>45.199599999999997</v>
      </c>
      <c r="AM64" s="6">
        <v>4317800</v>
      </c>
      <c r="AN64" s="6">
        <f>TABL12[[#This Row],[ (RESV. STORGE) SER]]/10</f>
        <v>431780</v>
      </c>
      <c r="AO64" s="6">
        <v>1782</v>
      </c>
      <c r="AP64" s="32">
        <f>TABL12[[#This Row],[(A/S TOT) AJD]]-TABL12[[#This Row],[SER_ IN]]</f>
        <v>265</v>
      </c>
    </row>
    <row r="65" spans="1:42" x14ac:dyDescent="0.25">
      <c r="A65" s="2">
        <v>45721</v>
      </c>
      <c r="B65" s="28">
        <v>38</v>
      </c>
      <c r="C65" s="28">
        <v>328</v>
      </c>
      <c r="D65" s="28">
        <v>39</v>
      </c>
      <c r="E65" s="28">
        <v>0</v>
      </c>
      <c r="F65" s="28">
        <v>83</v>
      </c>
      <c r="G65" s="28">
        <v>512</v>
      </c>
      <c r="H65" s="28">
        <v>5</v>
      </c>
      <c r="I65" s="28">
        <v>399</v>
      </c>
      <c r="J65" s="28">
        <v>417</v>
      </c>
      <c r="K65" s="28">
        <f>TABL12[[#This Row],[خط (T/B  TOT) SAR]]+TABL12[[#This Row],[خط (S/S  TOT) SAR2]]</f>
        <v>816</v>
      </c>
      <c r="L65" s="28">
        <v>304</v>
      </c>
      <c r="M65" s="29">
        <v>23.9</v>
      </c>
      <c r="N65" s="30">
        <v>7.73</v>
      </c>
      <c r="O65" s="3">
        <v>369</v>
      </c>
      <c r="P65" s="3">
        <f>TABL12[[#This Row],[خط (S/S  TOT) SAR2]]-TABL12[[#This Row],[(S/S TOT) AJD]]</f>
        <v>48</v>
      </c>
      <c r="Q65" s="3">
        <v>410</v>
      </c>
      <c r="R65" s="3">
        <f>TABL12[[#This Row],[خط (T/B  TOT) SAR]]-TABL12[[#This Row],[(T/B TOT) AJD]]</f>
        <v>-11</v>
      </c>
      <c r="S65" s="3">
        <f>TABL12[[#This Row],[الفرق بين بداية ونهاية خط  S/S]]+TABL12[[#This Row],[الفرق بين بداية ونهاية خط  T/B]]</f>
        <v>37</v>
      </c>
      <c r="T65" s="3">
        <f t="shared" si="0"/>
        <v>779</v>
      </c>
      <c r="U65" s="3">
        <v>496</v>
      </c>
      <c r="V65" s="3">
        <v>285</v>
      </c>
      <c r="W65" s="3">
        <f t="shared" si="1"/>
        <v>781</v>
      </c>
      <c r="X65" s="3">
        <f t="shared" si="2"/>
        <v>-2</v>
      </c>
      <c r="Y65" s="4">
        <v>91.92</v>
      </c>
      <c r="Z65" s="3">
        <v>0</v>
      </c>
      <c r="AA65" s="3">
        <f>TABL12[[#This Row],[(RESV. STORGE) AJD]]/10</f>
        <v>0</v>
      </c>
      <c r="AB65" s="3">
        <f t="shared" si="3"/>
        <v>0</v>
      </c>
      <c r="AC65" s="6">
        <v>0</v>
      </c>
      <c r="AD65" s="5">
        <f>TABL12[[#This Row],[( S/S+T/B) AJD]]-(TABL12[[#This Row],[(A/B + A/S) AJD]]+(TABL12[[#This Row],[(STORGE DIFF.) AJD]])+TABL12[[#This Row],[البخر  AJD]]/1000)</f>
        <v>-2</v>
      </c>
      <c r="AE65" s="6">
        <v>39</v>
      </c>
      <c r="AF65" s="33">
        <v>60.612000000000002</v>
      </c>
      <c r="AG65" s="6">
        <v>2699162</v>
      </c>
      <c r="AH65" s="6">
        <f>TABL12[[#This Row],[ (RESV. STORGE) BER]]/10</f>
        <v>269916.2</v>
      </c>
      <c r="AI65" s="6">
        <v>1812</v>
      </c>
      <c r="AJ65" s="6">
        <f>TABL12[[#This Row],[(A/B TOT) AJD]]-TABL12[[#This Row],[BER_ IN]]</f>
        <v>457</v>
      </c>
      <c r="AK65" s="6">
        <v>30</v>
      </c>
      <c r="AL65" s="33">
        <v>45.231499999999997</v>
      </c>
      <c r="AM65" s="6">
        <v>4335390</v>
      </c>
      <c r="AN65" s="6">
        <f>TABL12[[#This Row],[ (RESV. STORGE) SER]]/10</f>
        <v>433539</v>
      </c>
      <c r="AO65" s="6">
        <v>1795</v>
      </c>
      <c r="AP65" s="32">
        <f>TABL12[[#This Row],[(A/S TOT) AJD]]-TABL12[[#This Row],[SER_ IN]]</f>
        <v>255</v>
      </c>
    </row>
    <row r="66" spans="1:42" x14ac:dyDescent="0.25">
      <c r="A66" s="2">
        <v>45722</v>
      </c>
      <c r="B66" s="28">
        <v>39</v>
      </c>
      <c r="C66" s="28">
        <v>326</v>
      </c>
      <c r="D66" s="28">
        <v>39</v>
      </c>
      <c r="E66" s="28">
        <v>0</v>
      </c>
      <c r="F66" s="28">
        <v>83</v>
      </c>
      <c r="G66" s="28">
        <v>513</v>
      </c>
      <c r="H66" s="28">
        <v>5</v>
      </c>
      <c r="I66" s="28">
        <v>401</v>
      </c>
      <c r="J66" s="28">
        <v>419</v>
      </c>
      <c r="K66" s="28">
        <f>TABL12[[#This Row],[خط (T/B  TOT) SAR]]+TABL12[[#This Row],[خط (S/S  TOT) SAR2]]</f>
        <v>820</v>
      </c>
      <c r="L66" s="28">
        <v>307</v>
      </c>
      <c r="M66" s="29">
        <v>23.9</v>
      </c>
      <c r="N66" s="30">
        <v>7.85</v>
      </c>
      <c r="O66" s="3">
        <v>370</v>
      </c>
      <c r="P66" s="3">
        <f>TABL12[[#This Row],[خط (S/S  TOT) SAR2]]-TABL12[[#This Row],[(S/S TOT) AJD]]</f>
        <v>49</v>
      </c>
      <c r="Q66" s="3">
        <v>411</v>
      </c>
      <c r="R66" s="3">
        <f>TABL12[[#This Row],[خط (T/B  TOT) SAR]]-TABL12[[#This Row],[(T/B TOT) AJD]]</f>
        <v>-10</v>
      </c>
      <c r="S66" s="3">
        <f>TABL12[[#This Row],[الفرق بين بداية ونهاية خط  S/S]]+TABL12[[#This Row],[الفرق بين بداية ونهاية خط  T/B]]</f>
        <v>39</v>
      </c>
      <c r="T66" s="3">
        <f t="shared" ref="T66:T129" si="4">O66+Q66</f>
        <v>781</v>
      </c>
      <c r="U66" s="3">
        <v>497</v>
      </c>
      <c r="V66" s="3">
        <v>286</v>
      </c>
      <c r="W66" s="3">
        <f t="shared" ref="W66:W129" si="5">U66+V66</f>
        <v>783</v>
      </c>
      <c r="X66" s="3">
        <f t="shared" ref="X66:X129" si="6">T66-W66</f>
        <v>-2</v>
      </c>
      <c r="Y66" s="4">
        <v>91.92</v>
      </c>
      <c r="Z66" s="3">
        <v>0</v>
      </c>
      <c r="AA66" s="3">
        <f>TABL12[[#This Row],[(RESV. STORGE) AJD]]/10</f>
        <v>0</v>
      </c>
      <c r="AB66" s="3">
        <f t="shared" si="3"/>
        <v>0</v>
      </c>
      <c r="AC66" s="6">
        <v>0</v>
      </c>
      <c r="AD66" s="5">
        <f>TABL12[[#This Row],[( S/S+T/B) AJD]]-(TABL12[[#This Row],[(A/B + A/S) AJD]]+(TABL12[[#This Row],[(STORGE DIFF.) AJD]])+TABL12[[#This Row],[البخر  AJD]]/1000)</f>
        <v>-2</v>
      </c>
      <c r="AE66" s="6">
        <v>35</v>
      </c>
      <c r="AF66" s="33">
        <v>60.542999999999999</v>
      </c>
      <c r="AG66" s="6">
        <v>2652662</v>
      </c>
      <c r="AH66" s="6">
        <f>TABL12[[#This Row],[ (RESV. STORGE) BER]]/10</f>
        <v>265266.2</v>
      </c>
      <c r="AI66" s="6">
        <v>1819</v>
      </c>
      <c r="AJ66" s="6">
        <f>TABL12[[#This Row],[(A/B TOT) AJD]]-TABL12[[#This Row],[BER_ IN]]</f>
        <v>462</v>
      </c>
      <c r="AK66" s="6">
        <v>30</v>
      </c>
      <c r="AL66" s="33">
        <v>45.264699999999998</v>
      </c>
      <c r="AM66" s="6">
        <v>4353890</v>
      </c>
      <c r="AN66" s="6">
        <f>TABL12[[#This Row],[ (RESV. STORGE) SER]]/10</f>
        <v>435389</v>
      </c>
      <c r="AO66" s="6">
        <v>1743</v>
      </c>
      <c r="AP66" s="32">
        <f>TABL12[[#This Row],[(A/S TOT) AJD]]-TABL12[[#This Row],[SER_ IN]]</f>
        <v>256</v>
      </c>
    </row>
    <row r="67" spans="1:42" x14ac:dyDescent="0.25">
      <c r="A67" s="2">
        <v>45723</v>
      </c>
      <c r="B67" s="28">
        <v>41</v>
      </c>
      <c r="C67" s="28">
        <v>337</v>
      </c>
      <c r="D67" s="28">
        <v>41</v>
      </c>
      <c r="E67" s="28">
        <v>0</v>
      </c>
      <c r="F67" s="28">
        <v>83</v>
      </c>
      <c r="G67" s="28">
        <v>514</v>
      </c>
      <c r="H67" s="28">
        <v>5</v>
      </c>
      <c r="I67" s="28">
        <v>402</v>
      </c>
      <c r="J67" s="28">
        <v>419</v>
      </c>
      <c r="K67" s="28">
        <f>TABL12[[#This Row],[خط (T/B  TOT) SAR]]+TABL12[[#This Row],[خط (S/S  TOT) SAR2]]</f>
        <v>821</v>
      </c>
      <c r="L67" s="28">
        <v>307</v>
      </c>
      <c r="M67" s="29">
        <v>23.9</v>
      </c>
      <c r="N67" s="30">
        <v>7.97</v>
      </c>
      <c r="O67" s="3">
        <v>373</v>
      </c>
      <c r="P67" s="3">
        <f>TABL12[[#This Row],[خط (S/S  TOT) SAR2]]-TABL12[[#This Row],[(S/S TOT) AJD]]</f>
        <v>46</v>
      </c>
      <c r="Q67" s="3">
        <v>412</v>
      </c>
      <c r="R67" s="3">
        <f>TABL12[[#This Row],[خط (T/B  TOT) SAR]]-TABL12[[#This Row],[(T/B TOT) AJD]]</f>
        <v>-10</v>
      </c>
      <c r="S67" s="3">
        <f>TABL12[[#This Row],[الفرق بين بداية ونهاية خط  S/S]]+TABL12[[#This Row],[الفرق بين بداية ونهاية خط  T/B]]</f>
        <v>36</v>
      </c>
      <c r="T67" s="3">
        <f t="shared" si="4"/>
        <v>785</v>
      </c>
      <c r="U67" s="3">
        <v>504</v>
      </c>
      <c r="V67" s="3">
        <v>282</v>
      </c>
      <c r="W67" s="3">
        <f t="shared" si="5"/>
        <v>786</v>
      </c>
      <c r="X67" s="3">
        <f t="shared" si="6"/>
        <v>-1</v>
      </c>
      <c r="Y67" s="4">
        <v>91.92</v>
      </c>
      <c r="Z67" s="3">
        <v>0</v>
      </c>
      <c r="AA67" s="3">
        <f>TABL12[[#This Row],[(RESV. STORGE) AJD]]/10</f>
        <v>0</v>
      </c>
      <c r="AB67" s="3">
        <f t="shared" ref="AB67:AB130" si="7">(Z67-Z66)/1000</f>
        <v>0</v>
      </c>
      <c r="AC67" s="6">
        <v>0</v>
      </c>
      <c r="AD67" s="5">
        <f>TABL12[[#This Row],[( S/S+T/B) AJD]]-(TABL12[[#This Row],[(A/B + A/S) AJD]]+(TABL12[[#This Row],[(STORGE DIFF.) AJD]])+TABL12[[#This Row],[البخر  AJD]]/1000)</f>
        <v>-1</v>
      </c>
      <c r="AE67" s="6">
        <v>35</v>
      </c>
      <c r="AF67" s="33">
        <v>60.473999999999997</v>
      </c>
      <c r="AG67" s="6">
        <v>2606204</v>
      </c>
      <c r="AH67" s="6">
        <f>TABL12[[#This Row],[ (RESV. STORGE) BER]]/10</f>
        <v>260620.4</v>
      </c>
      <c r="AI67" s="6">
        <v>1777</v>
      </c>
      <c r="AJ67" s="6">
        <f>TABL12[[#This Row],[(A/B TOT) AJD]]-TABL12[[#This Row],[BER_ IN]]</f>
        <v>469</v>
      </c>
      <c r="AK67" s="6">
        <v>30</v>
      </c>
      <c r="AL67" s="33">
        <v>45.253300000000003</v>
      </c>
      <c r="AM67" s="6">
        <v>4347620</v>
      </c>
      <c r="AN67" s="6">
        <f>TABL12[[#This Row],[ (RESV. STORGE) SER]]/10</f>
        <v>434762</v>
      </c>
      <c r="AO67" s="6">
        <v>1650</v>
      </c>
      <c r="AP67" s="32">
        <f>TABL12[[#This Row],[(A/S TOT) AJD]]-TABL12[[#This Row],[SER_ IN]]</f>
        <v>252</v>
      </c>
    </row>
    <row r="68" spans="1:42" x14ac:dyDescent="0.25">
      <c r="A68" s="2">
        <v>45724</v>
      </c>
      <c r="B68" s="28">
        <v>41</v>
      </c>
      <c r="C68" s="28">
        <v>328</v>
      </c>
      <c r="D68" s="28">
        <v>41</v>
      </c>
      <c r="E68" s="28">
        <v>0</v>
      </c>
      <c r="F68" s="28">
        <v>83</v>
      </c>
      <c r="G68" s="28">
        <v>517</v>
      </c>
      <c r="H68" s="28">
        <v>5</v>
      </c>
      <c r="I68" s="28">
        <v>406</v>
      </c>
      <c r="J68" s="28">
        <v>424</v>
      </c>
      <c r="K68" s="28">
        <f>TABL12[[#This Row],[خط (T/B  TOT) SAR]]+TABL12[[#This Row],[خط (S/S  TOT) SAR2]]</f>
        <v>830</v>
      </c>
      <c r="L68" s="28">
        <v>313</v>
      </c>
      <c r="M68" s="29">
        <v>23.9</v>
      </c>
      <c r="N68" s="30">
        <v>8.1199999999999992</v>
      </c>
      <c r="O68" s="3">
        <v>373</v>
      </c>
      <c r="P68" s="3">
        <f>TABL12[[#This Row],[خط (S/S  TOT) SAR2]]-TABL12[[#This Row],[(S/S TOT) AJD]]</f>
        <v>51</v>
      </c>
      <c r="Q68" s="3">
        <v>413</v>
      </c>
      <c r="R68" s="3">
        <f>TABL12[[#This Row],[خط (T/B  TOT) SAR]]-TABL12[[#This Row],[(T/B TOT) AJD]]</f>
        <v>-7</v>
      </c>
      <c r="S68" s="3">
        <f>TABL12[[#This Row],[الفرق بين بداية ونهاية خط  S/S]]+TABL12[[#This Row],[الفرق بين بداية ونهاية خط  T/B]]</f>
        <v>44</v>
      </c>
      <c r="T68" s="3">
        <f t="shared" si="4"/>
        <v>786</v>
      </c>
      <c r="U68" s="3">
        <v>515</v>
      </c>
      <c r="V68" s="3">
        <v>268</v>
      </c>
      <c r="W68" s="3">
        <f t="shared" si="5"/>
        <v>783</v>
      </c>
      <c r="X68" s="3">
        <f t="shared" si="6"/>
        <v>3</v>
      </c>
      <c r="Y68" s="4">
        <v>91.92</v>
      </c>
      <c r="Z68" s="3">
        <v>0</v>
      </c>
      <c r="AA68" s="3">
        <f>TABL12[[#This Row],[(RESV. STORGE) AJD]]/10</f>
        <v>0</v>
      </c>
      <c r="AB68" s="3">
        <f t="shared" si="7"/>
        <v>0</v>
      </c>
      <c r="AC68" s="6">
        <v>0</v>
      </c>
      <c r="AD68" s="5">
        <f>TABL12[[#This Row],[( S/S+T/B) AJD]]-(TABL12[[#This Row],[(A/B + A/S) AJD]]+(TABL12[[#This Row],[(STORGE DIFF.) AJD]])+TABL12[[#This Row],[البخر  AJD]]/1000)</f>
        <v>3</v>
      </c>
      <c r="AE68" s="6">
        <v>55</v>
      </c>
      <c r="AF68" s="33">
        <v>60.435000000000002</v>
      </c>
      <c r="AG68" s="6">
        <v>2579964</v>
      </c>
      <c r="AH68" s="6">
        <f>TABL12[[#This Row],[ (RESV. STORGE) BER]]/10</f>
        <v>257996.4</v>
      </c>
      <c r="AI68" s="6">
        <v>1560</v>
      </c>
      <c r="AJ68" s="6">
        <f>TABL12[[#This Row],[(A/B TOT) AJD]]-TABL12[[#This Row],[BER_ IN]]</f>
        <v>460</v>
      </c>
      <c r="AK68" s="6">
        <v>30</v>
      </c>
      <c r="AL68" s="33">
        <v>45.262599999999999</v>
      </c>
      <c r="AM68" s="6">
        <v>4352480</v>
      </c>
      <c r="AN68" s="6">
        <f>TABL12[[#This Row],[ (RESV. STORGE) SER]]/10</f>
        <v>435248</v>
      </c>
      <c r="AO68" s="6">
        <v>1483</v>
      </c>
      <c r="AP68" s="32">
        <f>TABL12[[#This Row],[(A/S TOT) AJD]]-TABL12[[#This Row],[SER_ IN]]</f>
        <v>238</v>
      </c>
    </row>
    <row r="69" spans="1:42" x14ac:dyDescent="0.25">
      <c r="A69" s="2">
        <v>45725</v>
      </c>
      <c r="B69" s="28">
        <v>38</v>
      </c>
      <c r="C69" s="28">
        <v>311</v>
      </c>
      <c r="D69" s="28">
        <v>38</v>
      </c>
      <c r="E69" s="28">
        <v>0</v>
      </c>
      <c r="F69" s="28">
        <v>83</v>
      </c>
      <c r="G69" s="28">
        <v>514</v>
      </c>
      <c r="H69" s="28">
        <v>5</v>
      </c>
      <c r="I69" s="28">
        <v>409</v>
      </c>
      <c r="J69" s="28">
        <v>424</v>
      </c>
      <c r="K69" s="28">
        <f>TABL12[[#This Row],[خط (T/B  TOT) SAR]]+TABL12[[#This Row],[خط (S/S  TOT) SAR2]]</f>
        <v>833</v>
      </c>
      <c r="L69" s="28">
        <v>319</v>
      </c>
      <c r="M69" s="29">
        <v>24.2</v>
      </c>
      <c r="N69" s="30">
        <v>8.1</v>
      </c>
      <c r="O69" s="3">
        <v>376</v>
      </c>
      <c r="P69" s="3">
        <f>TABL12[[#This Row],[خط (S/S  TOT) SAR2]]-TABL12[[#This Row],[(S/S TOT) AJD]]</f>
        <v>48</v>
      </c>
      <c r="Q69" s="3">
        <v>416</v>
      </c>
      <c r="R69" s="3">
        <f>TABL12[[#This Row],[خط (T/B  TOT) SAR]]-TABL12[[#This Row],[(T/B TOT) AJD]]</f>
        <v>-7</v>
      </c>
      <c r="S69" s="3">
        <f>TABL12[[#This Row],[الفرق بين بداية ونهاية خط  S/S]]+TABL12[[#This Row],[الفرق بين بداية ونهاية خط  T/B]]</f>
        <v>41</v>
      </c>
      <c r="T69" s="3">
        <f t="shared" si="4"/>
        <v>792</v>
      </c>
      <c r="U69" s="3">
        <v>521</v>
      </c>
      <c r="V69" s="3">
        <v>266</v>
      </c>
      <c r="W69" s="3">
        <f t="shared" si="5"/>
        <v>787</v>
      </c>
      <c r="X69" s="3">
        <f t="shared" si="6"/>
        <v>5</v>
      </c>
      <c r="Y69" s="4">
        <v>91.92</v>
      </c>
      <c r="Z69" s="3">
        <v>0</v>
      </c>
      <c r="AA69" s="3">
        <f>TABL12[[#This Row],[(RESV. STORGE) AJD]]/10</f>
        <v>0</v>
      </c>
      <c r="AB69" s="3">
        <f t="shared" si="7"/>
        <v>0</v>
      </c>
      <c r="AC69" s="6">
        <v>0</v>
      </c>
      <c r="AD69" s="5">
        <f>TABL12[[#This Row],[( S/S+T/B) AJD]]-(TABL12[[#This Row],[(A/B + A/S) AJD]]+(TABL12[[#This Row],[(STORGE DIFF.) AJD]])+TABL12[[#This Row],[البخر  AJD]]/1000)</f>
        <v>5</v>
      </c>
      <c r="AE69" s="6">
        <v>60</v>
      </c>
      <c r="AF69" s="33">
        <v>60.405000000000001</v>
      </c>
      <c r="AG69" s="6">
        <v>2559788</v>
      </c>
      <c r="AH69" s="6">
        <f>TABL12[[#This Row],[ (RESV. STORGE) BER]]/10</f>
        <v>255978.8</v>
      </c>
      <c r="AI69" s="6">
        <v>1823</v>
      </c>
      <c r="AJ69" s="6">
        <f>TABL12[[#This Row],[(A/B TOT) AJD]]-TABL12[[#This Row],[BER_ IN]]</f>
        <v>461</v>
      </c>
      <c r="AK69" s="6">
        <v>63</v>
      </c>
      <c r="AL69" s="33">
        <v>45.308</v>
      </c>
      <c r="AM69" s="6">
        <v>4377760</v>
      </c>
      <c r="AN69" s="6">
        <f>TABL12[[#This Row],[ (RESV. STORGE) SER]]/10</f>
        <v>437776</v>
      </c>
      <c r="AO69" s="6">
        <v>1563</v>
      </c>
      <c r="AP69" s="32">
        <f>TABL12[[#This Row],[(A/S TOT) AJD]]-TABL12[[#This Row],[SER_ IN]]</f>
        <v>203</v>
      </c>
    </row>
    <row r="70" spans="1:42" x14ac:dyDescent="0.25">
      <c r="A70" s="2">
        <v>45726</v>
      </c>
      <c r="B70" s="28">
        <v>38</v>
      </c>
      <c r="C70" s="28">
        <v>304</v>
      </c>
      <c r="D70" s="28">
        <v>38</v>
      </c>
      <c r="E70" s="28">
        <v>0</v>
      </c>
      <c r="F70" s="28">
        <v>82</v>
      </c>
      <c r="G70" s="28">
        <v>516</v>
      </c>
      <c r="H70" s="28">
        <v>6</v>
      </c>
      <c r="I70" s="28">
        <v>411</v>
      </c>
      <c r="J70" s="28">
        <v>428</v>
      </c>
      <c r="K70" s="28">
        <f>TABL12[[#This Row],[خط (T/B  TOT) SAR]]+TABL12[[#This Row],[خط (S/S  TOT) SAR2]]</f>
        <v>839</v>
      </c>
      <c r="L70" s="28">
        <v>323</v>
      </c>
      <c r="M70" s="29">
        <v>24.2</v>
      </c>
      <c r="N70" s="30">
        <v>7.99</v>
      </c>
      <c r="O70" s="3">
        <v>377</v>
      </c>
      <c r="P70" s="3">
        <f>TABL12[[#This Row],[خط (S/S  TOT) SAR2]]-TABL12[[#This Row],[(S/S TOT) AJD]]</f>
        <v>51</v>
      </c>
      <c r="Q70" s="3">
        <v>419</v>
      </c>
      <c r="R70" s="3">
        <f>TABL12[[#This Row],[خط (T/B  TOT) SAR]]-TABL12[[#This Row],[(T/B TOT) AJD]]</f>
        <v>-8</v>
      </c>
      <c r="S70" s="3">
        <f>TABL12[[#This Row],[الفرق بين بداية ونهاية خط  S/S]]+TABL12[[#This Row],[الفرق بين بداية ونهاية خط  T/B]]</f>
        <v>43</v>
      </c>
      <c r="T70" s="3">
        <f t="shared" si="4"/>
        <v>796</v>
      </c>
      <c r="U70" s="3">
        <v>528</v>
      </c>
      <c r="V70" s="3">
        <v>265</v>
      </c>
      <c r="W70" s="3">
        <f t="shared" si="5"/>
        <v>793</v>
      </c>
      <c r="X70" s="3">
        <f t="shared" si="6"/>
        <v>3</v>
      </c>
      <c r="Y70" s="4">
        <v>91.92</v>
      </c>
      <c r="Z70" s="3">
        <v>0</v>
      </c>
      <c r="AA70" s="3">
        <f>TABL12[[#This Row],[(RESV. STORGE) AJD]]/10</f>
        <v>0</v>
      </c>
      <c r="AB70" s="3">
        <f t="shared" si="7"/>
        <v>0</v>
      </c>
      <c r="AC70" s="6">
        <v>0</v>
      </c>
      <c r="AD70" s="5">
        <f>TABL12[[#This Row],[( S/S+T/B) AJD]]-(TABL12[[#This Row],[(A/B + A/S) AJD]]+(TABL12[[#This Row],[(STORGE DIFF.) AJD]])+TABL12[[#This Row],[البخر  AJD]]/1000)</f>
        <v>3</v>
      </c>
      <c r="AE70" s="6">
        <v>62</v>
      </c>
      <c r="AF70" s="33">
        <v>60.375999999999998</v>
      </c>
      <c r="AG70" s="6">
        <v>2540292</v>
      </c>
      <c r="AH70" s="6">
        <f>TABL12[[#This Row],[ (RESV. STORGE) BER]]/10</f>
        <v>254029.2</v>
      </c>
      <c r="AI70" s="6">
        <v>1815</v>
      </c>
      <c r="AJ70" s="6">
        <f>TABL12[[#This Row],[(A/B TOT) AJD]]-TABL12[[#This Row],[BER_ IN]]</f>
        <v>466</v>
      </c>
      <c r="AK70" s="6">
        <v>63</v>
      </c>
      <c r="AL70" s="33">
        <v>45.3874</v>
      </c>
      <c r="AM70" s="6">
        <v>4422700</v>
      </c>
      <c r="AN70" s="6">
        <f>TABL12[[#This Row],[ (RESV. STORGE) SER]]/10</f>
        <v>442270</v>
      </c>
      <c r="AO70" s="6">
        <v>1652</v>
      </c>
      <c r="AP70" s="32">
        <f>TABL12[[#This Row],[(A/S TOT) AJD]]-TABL12[[#This Row],[SER_ IN]]</f>
        <v>202</v>
      </c>
    </row>
    <row r="71" spans="1:42" x14ac:dyDescent="0.25">
      <c r="A71" s="2">
        <v>45727</v>
      </c>
      <c r="B71" s="28">
        <v>36</v>
      </c>
      <c r="C71" s="28">
        <v>301</v>
      </c>
      <c r="D71" s="28">
        <v>37</v>
      </c>
      <c r="E71" s="28">
        <v>0</v>
      </c>
      <c r="F71" s="28">
        <v>82</v>
      </c>
      <c r="G71" s="28">
        <v>507</v>
      </c>
      <c r="H71" s="28">
        <v>6</v>
      </c>
      <c r="I71" s="28">
        <v>405</v>
      </c>
      <c r="J71" s="28">
        <v>422</v>
      </c>
      <c r="K71" s="28">
        <f>TABL12[[#This Row],[خط (T/B  TOT) SAR]]+TABL12[[#This Row],[خط (S/S  TOT) SAR2]]</f>
        <v>827</v>
      </c>
      <c r="L71" s="28">
        <v>320</v>
      </c>
      <c r="M71" s="29">
        <v>24.2</v>
      </c>
      <c r="N71" s="30">
        <v>7.89</v>
      </c>
      <c r="O71" s="3">
        <v>376</v>
      </c>
      <c r="P71" s="3">
        <f>TABL12[[#This Row],[خط (S/S  TOT) SAR2]]-TABL12[[#This Row],[(S/S TOT) AJD]]</f>
        <v>46</v>
      </c>
      <c r="Q71" s="3">
        <v>418</v>
      </c>
      <c r="R71" s="3">
        <f>TABL12[[#This Row],[خط (T/B  TOT) SAR]]-TABL12[[#This Row],[(T/B TOT) AJD]]</f>
        <v>-13</v>
      </c>
      <c r="S71" s="3">
        <f>TABL12[[#This Row],[الفرق بين بداية ونهاية خط  S/S]]+TABL12[[#This Row],[الفرق بين بداية ونهاية خط  T/B]]</f>
        <v>33</v>
      </c>
      <c r="T71" s="3">
        <f t="shared" si="4"/>
        <v>794</v>
      </c>
      <c r="U71" s="3">
        <v>516</v>
      </c>
      <c r="V71" s="3">
        <v>282</v>
      </c>
      <c r="W71" s="3">
        <f t="shared" si="5"/>
        <v>798</v>
      </c>
      <c r="X71" s="3">
        <f t="shared" si="6"/>
        <v>-4</v>
      </c>
      <c r="Y71" s="4">
        <v>91.92</v>
      </c>
      <c r="Z71" s="3">
        <v>0</v>
      </c>
      <c r="AA71" s="3">
        <f>TABL12[[#This Row],[(RESV. STORGE) AJD]]/10</f>
        <v>0</v>
      </c>
      <c r="AB71" s="3">
        <f t="shared" si="7"/>
        <v>0</v>
      </c>
      <c r="AC71" s="6">
        <v>0</v>
      </c>
      <c r="AD71" s="5">
        <f>TABL12[[#This Row],[( S/S+T/B) AJD]]-(TABL12[[#This Row],[(A/B + A/S) AJD]]+(TABL12[[#This Row],[(STORGE DIFF.) AJD]])+TABL12[[#This Row],[البخر  AJD]]/1000)</f>
        <v>-4</v>
      </c>
      <c r="AE71" s="6">
        <v>70</v>
      </c>
      <c r="AF71" s="33">
        <v>60.359000000000002</v>
      </c>
      <c r="AG71" s="6">
        <v>2528867</v>
      </c>
      <c r="AH71" s="6">
        <f>TABL12[[#This Row],[ (RESV. STORGE) BER]]/10</f>
        <v>252886.7</v>
      </c>
      <c r="AI71" s="6">
        <v>1745</v>
      </c>
      <c r="AJ71" s="6">
        <f>TABL12[[#This Row],[(A/B TOT) AJD]]-TABL12[[#This Row],[BER_ IN]]</f>
        <v>446</v>
      </c>
      <c r="AK71" s="6">
        <v>63</v>
      </c>
      <c r="AL71" s="33">
        <v>45.450800000000001</v>
      </c>
      <c r="AM71" s="6">
        <v>4458240</v>
      </c>
      <c r="AN71" s="6">
        <f>TABL12[[#This Row],[ (RESV. STORGE) SER]]/10</f>
        <v>445824</v>
      </c>
      <c r="AO71" s="6">
        <v>1673</v>
      </c>
      <c r="AP71" s="32">
        <f>TABL12[[#This Row],[(A/S TOT) AJD]]-TABL12[[#This Row],[SER_ IN]]</f>
        <v>219</v>
      </c>
    </row>
    <row r="72" spans="1:42" x14ac:dyDescent="0.25">
      <c r="A72" s="2">
        <v>45728</v>
      </c>
      <c r="B72" s="28">
        <v>40</v>
      </c>
      <c r="C72" s="28">
        <v>318</v>
      </c>
      <c r="D72" s="28">
        <v>40</v>
      </c>
      <c r="E72" s="28">
        <v>0</v>
      </c>
      <c r="F72" s="28">
        <v>82</v>
      </c>
      <c r="G72" s="28">
        <v>508</v>
      </c>
      <c r="H72" s="28">
        <v>6</v>
      </c>
      <c r="I72" s="28">
        <v>404</v>
      </c>
      <c r="J72" s="28">
        <v>421</v>
      </c>
      <c r="K72" s="28">
        <f>TABL12[[#This Row],[خط (T/B  TOT) SAR]]+TABL12[[#This Row],[خط (S/S  TOT) SAR2]]</f>
        <v>825</v>
      </c>
      <c r="L72" s="28">
        <v>318</v>
      </c>
      <c r="M72" s="29">
        <v>24.2</v>
      </c>
      <c r="N72" s="30">
        <v>7.86</v>
      </c>
      <c r="O72" s="3">
        <v>374</v>
      </c>
      <c r="P72" s="3">
        <f>TABL12[[#This Row],[خط (S/S  TOT) SAR2]]-TABL12[[#This Row],[(S/S TOT) AJD]]</f>
        <v>47</v>
      </c>
      <c r="Q72" s="3">
        <v>416</v>
      </c>
      <c r="R72" s="3">
        <f>TABL12[[#This Row],[خط (T/B  TOT) SAR]]-TABL12[[#This Row],[(T/B TOT) AJD]]</f>
        <v>-12</v>
      </c>
      <c r="S72" s="3">
        <f>TABL12[[#This Row],[الفرق بين بداية ونهاية خط  S/S]]+TABL12[[#This Row],[الفرق بين بداية ونهاية خط  T/B]]</f>
        <v>35</v>
      </c>
      <c r="T72" s="3">
        <f t="shared" si="4"/>
        <v>790</v>
      </c>
      <c r="U72" s="3">
        <v>510</v>
      </c>
      <c r="V72" s="3">
        <v>280</v>
      </c>
      <c r="W72" s="3">
        <f t="shared" si="5"/>
        <v>790</v>
      </c>
      <c r="X72" s="3">
        <f t="shared" si="6"/>
        <v>0</v>
      </c>
      <c r="Y72" s="4">
        <v>91.92</v>
      </c>
      <c r="Z72" s="3">
        <v>0</v>
      </c>
      <c r="AA72" s="3">
        <f>TABL12[[#This Row],[(RESV. STORGE) AJD]]/10</f>
        <v>0</v>
      </c>
      <c r="AB72" s="3">
        <f t="shared" si="7"/>
        <v>0</v>
      </c>
      <c r="AC72" s="6">
        <v>0</v>
      </c>
      <c r="AD72" s="5">
        <f>TABL12[[#This Row],[( S/S+T/B) AJD]]-(TABL12[[#This Row],[(A/B + A/S) AJD]]+(TABL12[[#This Row],[(STORGE DIFF.) AJD]])+TABL12[[#This Row],[البخر  AJD]]/1000)</f>
        <v>0</v>
      </c>
      <c r="AE72" s="6">
        <v>70</v>
      </c>
      <c r="AF72" s="33">
        <v>60.341000000000001</v>
      </c>
      <c r="AG72" s="6">
        <v>2516773</v>
      </c>
      <c r="AH72" s="6">
        <f>TABL12[[#This Row],[ (RESV. STORGE) BER]]/10</f>
        <v>251677.3</v>
      </c>
      <c r="AI72" s="6">
        <v>2414</v>
      </c>
      <c r="AJ72" s="6">
        <f>TABL12[[#This Row],[(A/B TOT) AJD]]-TABL12[[#This Row],[BER_ IN]]</f>
        <v>440</v>
      </c>
      <c r="AK72" s="6">
        <v>54</v>
      </c>
      <c r="AL72" s="33">
        <v>45.528300000000002</v>
      </c>
      <c r="AM72" s="6">
        <v>4501980</v>
      </c>
      <c r="AN72" s="6">
        <f>TABL12[[#This Row],[ (RESV. STORGE) SER]]/10</f>
        <v>450198</v>
      </c>
      <c r="AO72" s="6">
        <v>1853</v>
      </c>
      <c r="AP72" s="32">
        <f>TABL12[[#This Row],[(A/S TOT) AJD]]-TABL12[[#This Row],[SER_ IN]]</f>
        <v>226</v>
      </c>
    </row>
    <row r="73" spans="1:42" x14ac:dyDescent="0.25">
      <c r="A73" s="2">
        <v>45729</v>
      </c>
      <c r="B73" s="28">
        <v>38</v>
      </c>
      <c r="C73" s="28">
        <v>317</v>
      </c>
      <c r="D73" s="28">
        <v>39</v>
      </c>
      <c r="E73" s="28">
        <v>0</v>
      </c>
      <c r="F73" s="28">
        <v>82</v>
      </c>
      <c r="G73" s="28">
        <v>508</v>
      </c>
      <c r="H73" s="28">
        <v>6</v>
      </c>
      <c r="I73" s="28">
        <v>404</v>
      </c>
      <c r="J73" s="28">
        <v>423</v>
      </c>
      <c r="K73" s="28">
        <f>TABL12[[#This Row],[خط (T/B  TOT) SAR]]+TABL12[[#This Row],[خط (S/S  TOT) SAR2]]</f>
        <v>827</v>
      </c>
      <c r="L73" s="28">
        <v>319</v>
      </c>
      <c r="M73" s="29">
        <v>24.2</v>
      </c>
      <c r="N73" s="30">
        <v>7.88</v>
      </c>
      <c r="O73" s="3">
        <v>373</v>
      </c>
      <c r="P73" s="3">
        <f>TABL12[[#This Row],[خط (S/S  TOT) SAR2]]-TABL12[[#This Row],[(S/S TOT) AJD]]</f>
        <v>50</v>
      </c>
      <c r="Q73" s="3">
        <v>415</v>
      </c>
      <c r="R73" s="3">
        <f>TABL12[[#This Row],[خط (T/B  TOT) SAR]]-TABL12[[#This Row],[(T/B TOT) AJD]]</f>
        <v>-11</v>
      </c>
      <c r="S73" s="3">
        <f>TABL12[[#This Row],[الفرق بين بداية ونهاية خط  S/S]]+TABL12[[#This Row],[الفرق بين بداية ونهاية خط  T/B]]</f>
        <v>39</v>
      </c>
      <c r="T73" s="3">
        <f t="shared" si="4"/>
        <v>788</v>
      </c>
      <c r="U73" s="3">
        <v>504</v>
      </c>
      <c r="V73" s="3">
        <v>285</v>
      </c>
      <c r="W73" s="3">
        <f t="shared" si="5"/>
        <v>789</v>
      </c>
      <c r="X73" s="3">
        <f t="shared" si="6"/>
        <v>-1</v>
      </c>
      <c r="Y73" s="4">
        <v>91.92</v>
      </c>
      <c r="Z73" s="3">
        <v>0</v>
      </c>
      <c r="AA73" s="3">
        <f>TABL12[[#This Row],[(RESV. STORGE) AJD]]/10</f>
        <v>0</v>
      </c>
      <c r="AB73" s="3">
        <f t="shared" si="7"/>
        <v>0</v>
      </c>
      <c r="AC73" s="6">
        <v>0</v>
      </c>
      <c r="AD73" s="5">
        <f>TABL12[[#This Row],[( S/S+T/B) AJD]]-(TABL12[[#This Row],[(A/B + A/S) AJD]]+(TABL12[[#This Row],[(STORGE DIFF.) AJD]])+TABL12[[#This Row],[البخر  AJD]]/1000)</f>
        <v>-1</v>
      </c>
      <c r="AE73" s="6">
        <v>39</v>
      </c>
      <c r="AF73" s="33">
        <v>60.226999999999997</v>
      </c>
      <c r="AG73" s="6">
        <v>2473793</v>
      </c>
      <c r="AH73" s="6">
        <f>TABL12[[#This Row],[ (RESV. STORGE) BER]]/10</f>
        <v>247379.3</v>
      </c>
      <c r="AI73" s="6">
        <v>2299</v>
      </c>
      <c r="AJ73" s="6">
        <f>TABL12[[#This Row],[(A/B TOT) AJD]]-TABL12[[#This Row],[BER_ IN]]</f>
        <v>465</v>
      </c>
      <c r="AK73" s="6">
        <v>21</v>
      </c>
      <c r="AL73" s="33">
        <v>45.55</v>
      </c>
      <c r="AM73" s="6">
        <v>4513770</v>
      </c>
      <c r="AN73" s="6">
        <f>TABL12[[#This Row],[ (RESV. STORGE) SER]]/10</f>
        <v>451377</v>
      </c>
      <c r="AO73" s="6">
        <v>1785</v>
      </c>
      <c r="AP73" s="32">
        <f>TABL12[[#This Row],[(A/S TOT) AJD]]-TABL12[[#This Row],[SER_ IN]]</f>
        <v>264</v>
      </c>
    </row>
    <row r="74" spans="1:42" x14ac:dyDescent="0.25">
      <c r="A74" s="2">
        <v>45730</v>
      </c>
      <c r="B74" s="28">
        <v>39</v>
      </c>
      <c r="C74" s="28">
        <v>364</v>
      </c>
      <c r="D74" s="28">
        <v>39</v>
      </c>
      <c r="E74" s="28">
        <v>0</v>
      </c>
      <c r="F74" s="28">
        <v>82</v>
      </c>
      <c r="G74" s="28">
        <v>506</v>
      </c>
      <c r="H74" s="28">
        <v>6</v>
      </c>
      <c r="I74" s="28">
        <v>403</v>
      </c>
      <c r="J74" s="28">
        <v>421</v>
      </c>
      <c r="K74" s="28">
        <f>TABL12[[#This Row],[خط (T/B  TOT) SAR]]+TABL12[[#This Row],[خط (S/S  TOT) SAR2]]</f>
        <v>824</v>
      </c>
      <c r="L74" s="28">
        <v>318</v>
      </c>
      <c r="M74" s="29">
        <v>24.2</v>
      </c>
      <c r="N74" s="30">
        <v>7.9</v>
      </c>
      <c r="O74" s="3">
        <v>373</v>
      </c>
      <c r="P74" s="3">
        <f>TABL12[[#This Row],[خط (S/S  TOT) SAR2]]-TABL12[[#This Row],[(S/S TOT) AJD]]</f>
        <v>48</v>
      </c>
      <c r="Q74" s="3">
        <v>415</v>
      </c>
      <c r="R74" s="3">
        <f>TABL12[[#This Row],[خط (T/B  TOT) SAR]]-TABL12[[#This Row],[(T/B TOT) AJD]]</f>
        <v>-12</v>
      </c>
      <c r="S74" s="3">
        <f>TABL12[[#This Row],[الفرق بين بداية ونهاية خط  S/S]]+TABL12[[#This Row],[الفرق بين بداية ونهاية خط  T/B]]</f>
        <v>36</v>
      </c>
      <c r="T74" s="3">
        <f t="shared" si="4"/>
        <v>788</v>
      </c>
      <c r="U74" s="3">
        <v>516</v>
      </c>
      <c r="V74" s="3">
        <v>274</v>
      </c>
      <c r="W74" s="3">
        <f t="shared" si="5"/>
        <v>790</v>
      </c>
      <c r="X74" s="3">
        <f t="shared" si="6"/>
        <v>-2</v>
      </c>
      <c r="Y74" s="4">
        <v>91.92</v>
      </c>
      <c r="Z74" s="3">
        <v>0</v>
      </c>
      <c r="AA74" s="3">
        <f>TABL12[[#This Row],[(RESV. STORGE) AJD]]/10</f>
        <v>0</v>
      </c>
      <c r="AB74" s="3">
        <f t="shared" si="7"/>
        <v>0</v>
      </c>
      <c r="AC74" s="6">
        <v>0</v>
      </c>
      <c r="AD74" s="5">
        <f>TABL12[[#This Row],[( S/S+T/B) AJD]]-(TABL12[[#This Row],[(A/B + A/S) AJD]]+(TABL12[[#This Row],[(STORGE DIFF.) AJD]])+TABL12[[#This Row],[البخر  AJD]]/1000)</f>
        <v>-2</v>
      </c>
      <c r="AE74" s="6">
        <v>30</v>
      </c>
      <c r="AF74" s="33">
        <v>60.219000000000001</v>
      </c>
      <c r="AG74" s="6">
        <v>2434873</v>
      </c>
      <c r="AH74" s="6">
        <f>TABL12[[#This Row],[ (RESV. STORGE) BER]]/10</f>
        <v>243487.3</v>
      </c>
      <c r="AI74" s="6">
        <v>2353</v>
      </c>
      <c r="AJ74" s="6">
        <f>TABL12[[#This Row],[(A/B TOT) AJD]]-TABL12[[#This Row],[BER_ IN]]</f>
        <v>486</v>
      </c>
      <c r="AK74" s="6">
        <v>17</v>
      </c>
      <c r="AL74" s="33">
        <v>45.521099999999997</v>
      </c>
      <c r="AM74" s="6">
        <v>4497857</v>
      </c>
      <c r="AN74" s="6">
        <f>TABL12[[#This Row],[ (RESV. STORGE) SER]]/10</f>
        <v>449785.7</v>
      </c>
      <c r="AO74" s="6">
        <v>1620</v>
      </c>
      <c r="AP74" s="32">
        <f>TABL12[[#This Row],[(A/S TOT) AJD]]-TABL12[[#This Row],[SER_ IN]]</f>
        <v>257</v>
      </c>
    </row>
    <row r="75" spans="1:42" x14ac:dyDescent="0.25">
      <c r="A75" s="2">
        <v>45731</v>
      </c>
      <c r="B75" s="28">
        <v>40</v>
      </c>
      <c r="C75" s="28">
        <v>339</v>
      </c>
      <c r="D75" s="28">
        <v>40</v>
      </c>
      <c r="E75" s="28">
        <v>0</v>
      </c>
      <c r="F75" s="28">
        <v>82</v>
      </c>
      <c r="G75" s="28">
        <v>510</v>
      </c>
      <c r="H75" s="28">
        <v>6</v>
      </c>
      <c r="I75" s="28">
        <v>406</v>
      </c>
      <c r="J75" s="28">
        <v>424</v>
      </c>
      <c r="K75" s="28">
        <f>TABL12[[#This Row],[خط (T/B  TOT) SAR]]+TABL12[[#This Row],[خط (S/S  TOT) SAR2]]</f>
        <v>830</v>
      </c>
      <c r="L75" s="28">
        <v>320</v>
      </c>
      <c r="M75" s="29">
        <v>24.2</v>
      </c>
      <c r="N75" s="30">
        <v>8.01</v>
      </c>
      <c r="O75" s="3">
        <v>374</v>
      </c>
      <c r="P75" s="3">
        <f>TABL12[[#This Row],[خط (S/S  TOT) SAR2]]-TABL12[[#This Row],[(S/S TOT) AJD]]</f>
        <v>50</v>
      </c>
      <c r="Q75" s="3">
        <v>416</v>
      </c>
      <c r="R75" s="3">
        <f>TABL12[[#This Row],[خط (T/B  TOT) SAR]]-TABL12[[#This Row],[(T/B TOT) AJD]]</f>
        <v>-10</v>
      </c>
      <c r="S75" s="3">
        <f>TABL12[[#This Row],[الفرق بين بداية ونهاية خط  S/S]]+TABL12[[#This Row],[الفرق بين بداية ونهاية خط  T/B]]</f>
        <v>40</v>
      </c>
      <c r="T75" s="3">
        <f t="shared" si="4"/>
        <v>790</v>
      </c>
      <c r="U75" s="3">
        <v>528</v>
      </c>
      <c r="V75" s="3">
        <v>262</v>
      </c>
      <c r="W75" s="3">
        <f t="shared" si="5"/>
        <v>790</v>
      </c>
      <c r="X75" s="3">
        <f t="shared" si="6"/>
        <v>0</v>
      </c>
      <c r="Y75" s="4">
        <v>91.92</v>
      </c>
      <c r="Z75" s="3">
        <v>0</v>
      </c>
      <c r="AA75" s="3">
        <f>TABL12[[#This Row],[(RESV. STORGE) AJD]]/10</f>
        <v>0</v>
      </c>
      <c r="AB75" s="3">
        <f t="shared" si="7"/>
        <v>0</v>
      </c>
      <c r="AC75" s="6">
        <v>0</v>
      </c>
      <c r="AD75" s="5">
        <f>TABL12[[#This Row],[( S/S+T/B) AJD]]-(TABL12[[#This Row],[(A/B + A/S) AJD]]+(TABL12[[#This Row],[(STORGE DIFF.) AJD]])+TABL12[[#This Row],[البخر  AJD]]/1000)</f>
        <v>0</v>
      </c>
      <c r="AE75" s="6">
        <v>30</v>
      </c>
      <c r="AF75" s="33">
        <v>60.140999999999998</v>
      </c>
      <c r="AG75" s="6">
        <v>2382579</v>
      </c>
      <c r="AH75" s="6">
        <f>TABL12[[#This Row],[ (RESV. STORGE) BER]]/10</f>
        <v>238257.9</v>
      </c>
      <c r="AI75" s="6">
        <v>2814</v>
      </c>
      <c r="AJ75" s="6">
        <f>TABL12[[#This Row],[(A/B TOT) AJD]]-TABL12[[#This Row],[BER_ IN]]</f>
        <v>498</v>
      </c>
      <c r="AK75" s="6">
        <v>17</v>
      </c>
      <c r="AL75" s="33">
        <v>45.5334</v>
      </c>
      <c r="AM75" s="6">
        <v>4504680</v>
      </c>
      <c r="AN75" s="6">
        <f>TABL12[[#This Row],[ (RESV. STORGE) SER]]/10</f>
        <v>450468</v>
      </c>
      <c r="AO75" s="6">
        <v>1750</v>
      </c>
      <c r="AP75" s="32">
        <f>TABL12[[#This Row],[(A/S TOT) AJD]]-TABL12[[#This Row],[SER_ IN]]</f>
        <v>245</v>
      </c>
    </row>
    <row r="76" spans="1:42" x14ac:dyDescent="0.25">
      <c r="A76" s="2">
        <v>45732</v>
      </c>
      <c r="B76" s="28">
        <v>38</v>
      </c>
      <c r="C76" s="28">
        <v>322</v>
      </c>
      <c r="D76" s="28">
        <v>38</v>
      </c>
      <c r="E76" s="28">
        <v>0</v>
      </c>
      <c r="F76" s="28">
        <v>82</v>
      </c>
      <c r="G76" s="28">
        <v>511</v>
      </c>
      <c r="H76" s="28">
        <v>6</v>
      </c>
      <c r="I76" s="28">
        <v>408</v>
      </c>
      <c r="J76" s="28">
        <v>426</v>
      </c>
      <c r="K76" s="28">
        <f>TABL12[[#This Row],[خط (T/B  TOT) SAR]]+TABL12[[#This Row],[خط (S/S  TOT) SAR2]]</f>
        <v>834</v>
      </c>
      <c r="L76" s="28">
        <v>323</v>
      </c>
      <c r="M76" s="29">
        <v>24.2</v>
      </c>
      <c r="N76" s="30">
        <v>8.0299999999999994</v>
      </c>
      <c r="O76" s="3">
        <v>375</v>
      </c>
      <c r="P76" s="3">
        <f>TABL12[[#This Row],[خط (S/S  TOT) SAR2]]-TABL12[[#This Row],[(S/S TOT) AJD]]</f>
        <v>51</v>
      </c>
      <c r="Q76" s="3">
        <v>417</v>
      </c>
      <c r="R76" s="3">
        <f>TABL12[[#This Row],[خط (T/B  TOT) SAR]]-TABL12[[#This Row],[(T/B TOT) AJD]]</f>
        <v>-9</v>
      </c>
      <c r="S76" s="3">
        <f>TABL12[[#This Row],[الفرق بين بداية ونهاية خط  S/S]]+TABL12[[#This Row],[الفرق بين بداية ونهاية خط  T/B]]</f>
        <v>42</v>
      </c>
      <c r="T76" s="3">
        <f t="shared" si="4"/>
        <v>792</v>
      </c>
      <c r="U76" s="3">
        <v>521</v>
      </c>
      <c r="V76" s="3">
        <v>277</v>
      </c>
      <c r="W76" s="3">
        <f t="shared" si="5"/>
        <v>798</v>
      </c>
      <c r="X76" s="3">
        <f t="shared" si="6"/>
        <v>-6</v>
      </c>
      <c r="Y76" s="4">
        <v>91.92</v>
      </c>
      <c r="Z76" s="3">
        <v>0</v>
      </c>
      <c r="AA76" s="3">
        <f>TABL12[[#This Row],[(RESV. STORGE) AJD]]/10</f>
        <v>0</v>
      </c>
      <c r="AB76" s="3">
        <f t="shared" si="7"/>
        <v>0</v>
      </c>
      <c r="AC76" s="6">
        <v>0</v>
      </c>
      <c r="AD76" s="5">
        <f>TABL12[[#This Row],[( S/S+T/B) AJD]]-(TABL12[[#This Row],[(A/B + A/S) AJD]]+(TABL12[[#This Row],[(STORGE DIFF.) AJD]])+TABL12[[#This Row],[البخر  AJD]]/1000)</f>
        <v>-6</v>
      </c>
      <c r="AE76" s="6">
        <v>30</v>
      </c>
      <c r="AF76" s="33">
        <v>60.061999999999998</v>
      </c>
      <c r="AG76" s="6">
        <v>2329668</v>
      </c>
      <c r="AH76" s="6">
        <f>TABL12[[#This Row],[ (RESV. STORGE) BER]]/10</f>
        <v>232966.8</v>
      </c>
      <c r="AI76" s="6">
        <v>3230</v>
      </c>
      <c r="AJ76" s="6">
        <f>TABL12[[#This Row],[(A/B TOT) AJD]]-TABL12[[#This Row],[BER_ IN]]</f>
        <v>491</v>
      </c>
      <c r="AK76" s="6">
        <v>32</v>
      </c>
      <c r="AL76" s="33">
        <v>45.534799999999997</v>
      </c>
      <c r="AM76" s="6">
        <v>4505340</v>
      </c>
      <c r="AN76" s="6">
        <f>TABL12[[#This Row],[ (RESV. STORGE) SER]]/10</f>
        <v>450534</v>
      </c>
      <c r="AO76" s="6">
        <v>1340</v>
      </c>
      <c r="AP76" s="32">
        <f>TABL12[[#This Row],[(A/S TOT) AJD]]-TABL12[[#This Row],[SER_ IN]]</f>
        <v>245</v>
      </c>
    </row>
    <row r="77" spans="1:42" x14ac:dyDescent="0.25">
      <c r="A77" s="2">
        <v>45733</v>
      </c>
      <c r="B77" s="28">
        <v>39</v>
      </c>
      <c r="C77" s="28">
        <v>324</v>
      </c>
      <c r="D77" s="28">
        <v>38</v>
      </c>
      <c r="E77" s="28">
        <v>0</v>
      </c>
      <c r="F77" s="28">
        <v>82</v>
      </c>
      <c r="G77" s="28">
        <v>512</v>
      </c>
      <c r="H77" s="28">
        <v>6</v>
      </c>
      <c r="I77" s="28">
        <v>408</v>
      </c>
      <c r="J77" s="28">
        <v>425</v>
      </c>
      <c r="K77" s="28">
        <f>TABL12[[#This Row],[خط (T/B  TOT) SAR]]+TABL12[[#This Row],[خط (S/S  TOT) SAR2]]</f>
        <v>833</v>
      </c>
      <c r="L77" s="28">
        <v>321</v>
      </c>
      <c r="M77" s="29">
        <v>24.2</v>
      </c>
      <c r="N77" s="30">
        <v>7.96</v>
      </c>
      <c r="O77" s="3">
        <v>377</v>
      </c>
      <c r="P77" s="3">
        <f>TABL12[[#This Row],[خط (S/S  TOT) SAR2]]-TABL12[[#This Row],[(S/S TOT) AJD]]</f>
        <v>48</v>
      </c>
      <c r="Q77" s="3">
        <v>418</v>
      </c>
      <c r="R77" s="3">
        <f>TABL12[[#This Row],[خط (T/B  TOT) SAR]]-TABL12[[#This Row],[(T/B TOT) AJD]]</f>
        <v>-10</v>
      </c>
      <c r="S77" s="3">
        <f>TABL12[[#This Row],[الفرق بين بداية ونهاية خط  S/S]]+TABL12[[#This Row],[الفرق بين بداية ونهاية خط  T/B]]</f>
        <v>38</v>
      </c>
      <c r="T77" s="3">
        <f t="shared" si="4"/>
        <v>795</v>
      </c>
      <c r="U77" s="3">
        <v>514</v>
      </c>
      <c r="V77" s="3">
        <v>277</v>
      </c>
      <c r="W77" s="3">
        <f t="shared" si="5"/>
        <v>791</v>
      </c>
      <c r="X77" s="3">
        <f t="shared" si="6"/>
        <v>4</v>
      </c>
      <c r="Y77" s="4">
        <v>91.92</v>
      </c>
      <c r="Z77" s="3">
        <v>0</v>
      </c>
      <c r="AA77" s="3">
        <f>TABL12[[#This Row],[(RESV. STORGE) AJD]]/10</f>
        <v>0</v>
      </c>
      <c r="AB77" s="3">
        <f t="shared" si="7"/>
        <v>0</v>
      </c>
      <c r="AC77" s="6">
        <v>0</v>
      </c>
      <c r="AD77" s="5">
        <f>TABL12[[#This Row],[( S/S+T/B) AJD]]-(TABL12[[#This Row],[(A/B + A/S) AJD]]+(TABL12[[#This Row],[(STORGE DIFF.) AJD]])+TABL12[[#This Row],[البخر  AJD]]/1000)</f>
        <v>4</v>
      </c>
      <c r="AE77" s="6">
        <v>30</v>
      </c>
      <c r="AF77" s="33">
        <v>59.993000000000002</v>
      </c>
      <c r="AG77" s="6">
        <v>2283499</v>
      </c>
      <c r="AH77" s="6">
        <f>TABL12[[#This Row],[ (RESV. STORGE) BER]]/10</f>
        <v>228349.9</v>
      </c>
      <c r="AI77" s="6">
        <v>2852</v>
      </c>
      <c r="AJ77" s="6">
        <f>TABL12[[#This Row],[(A/B TOT) AJD]]-TABL12[[#This Row],[BER_ IN]]</f>
        <v>484</v>
      </c>
      <c r="AK77" s="6">
        <v>34</v>
      </c>
      <c r="AL77" s="33">
        <v>45.5276</v>
      </c>
      <c r="AM77" s="6">
        <v>4501370</v>
      </c>
      <c r="AN77" s="6">
        <f>TABL12[[#This Row],[ (RESV. STORGE) SER]]/10</f>
        <v>450137</v>
      </c>
      <c r="AO77" s="6">
        <v>1970</v>
      </c>
      <c r="AP77" s="32">
        <f>TABL12[[#This Row],[(A/S TOT) AJD]]-TABL12[[#This Row],[SER_ IN]]</f>
        <v>243</v>
      </c>
    </row>
    <row r="78" spans="1:42" x14ac:dyDescent="0.25">
      <c r="A78" s="2">
        <v>45734</v>
      </c>
      <c r="B78" s="28">
        <v>39</v>
      </c>
      <c r="C78" s="28">
        <v>324</v>
      </c>
      <c r="D78" s="28">
        <v>38</v>
      </c>
      <c r="E78" s="28">
        <v>0</v>
      </c>
      <c r="F78" s="28">
        <v>82</v>
      </c>
      <c r="G78" s="28">
        <v>506</v>
      </c>
      <c r="H78" s="28">
        <v>6</v>
      </c>
      <c r="I78" s="28">
        <v>404</v>
      </c>
      <c r="J78" s="28">
        <v>422</v>
      </c>
      <c r="K78" s="28">
        <f>TABL12[[#This Row],[خط (T/B  TOT) SAR]]+TABL12[[#This Row],[خط (S/S  TOT) SAR2]]</f>
        <v>826</v>
      </c>
      <c r="L78" s="28">
        <v>320</v>
      </c>
      <c r="M78" s="29">
        <v>24.2</v>
      </c>
      <c r="N78" s="30">
        <v>7.9</v>
      </c>
      <c r="O78" s="3">
        <v>375</v>
      </c>
      <c r="P78" s="3">
        <f>TABL12[[#This Row],[خط (S/S  TOT) SAR2]]-TABL12[[#This Row],[(S/S TOT) AJD]]</f>
        <v>47</v>
      </c>
      <c r="Q78" s="3">
        <v>418</v>
      </c>
      <c r="R78" s="3">
        <f>TABL12[[#This Row],[خط (T/B  TOT) SAR]]-TABL12[[#This Row],[(T/B TOT) AJD]]</f>
        <v>-14</v>
      </c>
      <c r="S78" s="3">
        <f>TABL12[[#This Row],[الفرق بين بداية ونهاية خط  S/S]]+TABL12[[#This Row],[الفرق بين بداية ونهاية خط  T/B]]</f>
        <v>33</v>
      </c>
      <c r="T78" s="3">
        <f t="shared" si="4"/>
        <v>793</v>
      </c>
      <c r="U78" s="3">
        <v>535</v>
      </c>
      <c r="V78" s="3">
        <v>263</v>
      </c>
      <c r="W78" s="3">
        <f t="shared" si="5"/>
        <v>798</v>
      </c>
      <c r="X78" s="3">
        <f t="shared" si="6"/>
        <v>-5</v>
      </c>
      <c r="Y78" s="4">
        <v>91.92</v>
      </c>
      <c r="Z78" s="3">
        <v>0</v>
      </c>
      <c r="AA78" s="3">
        <f>TABL12[[#This Row],[(RESV. STORGE) AJD]]/10</f>
        <v>0</v>
      </c>
      <c r="AB78" s="3">
        <f t="shared" si="7"/>
        <v>0</v>
      </c>
      <c r="AC78" s="6">
        <v>0</v>
      </c>
      <c r="AD78" s="5">
        <f>TABL12[[#This Row],[( S/S+T/B) AJD]]-(TABL12[[#This Row],[(A/B + A/S) AJD]]+(TABL12[[#This Row],[(STORGE DIFF.) AJD]])+TABL12[[#This Row],[البخر  AJD]]/1000)</f>
        <v>-5</v>
      </c>
      <c r="AE78" s="6">
        <v>30</v>
      </c>
      <c r="AF78" s="33">
        <v>59.904000000000003</v>
      </c>
      <c r="AG78" s="6">
        <v>2224010</v>
      </c>
      <c r="AH78" s="6">
        <f>TABL12[[#This Row],[ (RESV. STORGE) BER]]/10</f>
        <v>222401</v>
      </c>
      <c r="AI78" s="6">
        <v>3509</v>
      </c>
      <c r="AJ78" s="6">
        <f>TABL12[[#This Row],[(A/B TOT) AJD]]-TABL12[[#This Row],[BER_ IN]]</f>
        <v>505</v>
      </c>
      <c r="AK78" s="6">
        <v>33</v>
      </c>
      <c r="AL78" s="33">
        <v>45.520499999999998</v>
      </c>
      <c r="AM78" s="6">
        <v>4497500</v>
      </c>
      <c r="AN78" s="6">
        <f>TABL12[[#This Row],[ (RESV. STORGE) SER]]/10</f>
        <v>449750</v>
      </c>
      <c r="AO78" s="6">
        <v>1870</v>
      </c>
      <c r="AP78" s="32">
        <f>TABL12[[#This Row],[(A/S TOT) AJD]]-TABL12[[#This Row],[SER_ IN]]</f>
        <v>230</v>
      </c>
    </row>
    <row r="79" spans="1:42" x14ac:dyDescent="0.25">
      <c r="A79" s="2">
        <v>45735</v>
      </c>
      <c r="B79" s="28">
        <v>39</v>
      </c>
      <c r="C79" s="28">
        <v>324</v>
      </c>
      <c r="D79" s="28">
        <v>38</v>
      </c>
      <c r="E79" s="28">
        <v>0</v>
      </c>
      <c r="F79" s="28">
        <v>82</v>
      </c>
      <c r="G79" s="28">
        <v>505</v>
      </c>
      <c r="H79" s="28">
        <v>6</v>
      </c>
      <c r="I79" s="28">
        <v>401</v>
      </c>
      <c r="J79" s="28">
        <v>424</v>
      </c>
      <c r="K79" s="28">
        <f>TABL12[[#This Row],[خط (T/B  TOT) SAR]]+TABL12[[#This Row],[خط (S/S  TOT) SAR2]]</f>
        <v>825</v>
      </c>
      <c r="L79" s="28">
        <v>320</v>
      </c>
      <c r="M79" s="29">
        <v>24.2</v>
      </c>
      <c r="N79" s="30">
        <v>7.87</v>
      </c>
      <c r="O79" s="3">
        <v>374</v>
      </c>
      <c r="P79" s="3">
        <f>TABL12[[#This Row],[خط (S/S  TOT) SAR2]]-TABL12[[#This Row],[(S/S TOT) AJD]]</f>
        <v>50</v>
      </c>
      <c r="Q79" s="3">
        <v>416</v>
      </c>
      <c r="R79" s="3">
        <f>TABL12[[#This Row],[خط (T/B  TOT) SAR]]-TABL12[[#This Row],[(T/B TOT) AJD]]</f>
        <v>-15</v>
      </c>
      <c r="S79" s="3">
        <f>TABL12[[#This Row],[الفرق بين بداية ونهاية خط  S/S]]+TABL12[[#This Row],[الفرق بين بداية ونهاية خط  T/B]]</f>
        <v>35</v>
      </c>
      <c r="T79" s="3">
        <f t="shared" si="4"/>
        <v>790</v>
      </c>
      <c r="U79" s="3">
        <v>514</v>
      </c>
      <c r="V79" s="3">
        <v>278</v>
      </c>
      <c r="W79" s="3">
        <f t="shared" si="5"/>
        <v>792</v>
      </c>
      <c r="X79" s="3">
        <f t="shared" si="6"/>
        <v>-2</v>
      </c>
      <c r="Y79" s="4">
        <v>91.92</v>
      </c>
      <c r="Z79" s="3">
        <v>0</v>
      </c>
      <c r="AA79" s="3">
        <f>TABL12[[#This Row],[(RESV. STORGE) AJD]]/10</f>
        <v>0</v>
      </c>
      <c r="AB79" s="3">
        <f t="shared" si="7"/>
        <v>0</v>
      </c>
      <c r="AC79" s="6">
        <v>0</v>
      </c>
      <c r="AD79" s="5">
        <f>TABL12[[#This Row],[( S/S+T/B) AJD]]-(TABL12[[#This Row],[(A/B + A/S) AJD]]+(TABL12[[#This Row],[(STORGE DIFF.) AJD]])+TABL12[[#This Row],[البخر  AJD]]/1000)</f>
        <v>-2</v>
      </c>
      <c r="AE79" s="6">
        <v>30</v>
      </c>
      <c r="AF79" s="33">
        <v>59.826000000000001</v>
      </c>
      <c r="AG79" s="6">
        <v>2171929</v>
      </c>
      <c r="AH79" s="6">
        <f>TABL12[[#This Row],[ (RESV. STORGE) BER]]/10</f>
        <v>217192.9</v>
      </c>
      <c r="AI79" s="6">
        <v>2400</v>
      </c>
      <c r="AJ79" s="6">
        <f>TABL12[[#This Row],[(A/B TOT) AJD]]-TABL12[[#This Row],[BER_ IN]]</f>
        <v>484</v>
      </c>
      <c r="AK79" s="6">
        <v>32</v>
      </c>
      <c r="AL79" s="33">
        <v>45.509300000000003</v>
      </c>
      <c r="AM79" s="6">
        <v>4491310</v>
      </c>
      <c r="AN79" s="6">
        <f>TABL12[[#This Row],[ (RESV. STORGE) SER]]/10</f>
        <v>449131</v>
      </c>
      <c r="AO79" s="6">
        <v>1190</v>
      </c>
      <c r="AP79" s="32">
        <f>TABL12[[#This Row],[(A/S TOT) AJD]]-TABL12[[#This Row],[SER_ IN]]</f>
        <v>246</v>
      </c>
    </row>
    <row r="80" spans="1:42" x14ac:dyDescent="0.25">
      <c r="A80" s="2">
        <v>45736</v>
      </c>
      <c r="B80" s="28">
        <v>39</v>
      </c>
      <c r="C80" s="28">
        <v>334</v>
      </c>
      <c r="D80" s="28">
        <v>39</v>
      </c>
      <c r="E80" s="28">
        <v>0</v>
      </c>
      <c r="F80" s="28">
        <v>82</v>
      </c>
      <c r="G80" s="28">
        <v>512</v>
      </c>
      <c r="H80" s="28">
        <v>6</v>
      </c>
      <c r="I80" s="28">
        <v>407</v>
      </c>
      <c r="J80" s="28">
        <v>427</v>
      </c>
      <c r="K80" s="28">
        <f>TABL12[[#This Row],[خط (T/B  TOT) SAR]]+TABL12[[#This Row],[خط (S/S  TOT) SAR2]]</f>
        <v>834</v>
      </c>
      <c r="L80" s="28">
        <v>322</v>
      </c>
      <c r="M80" s="29">
        <v>24.2</v>
      </c>
      <c r="N80" s="30">
        <v>7.87</v>
      </c>
      <c r="O80" s="3">
        <v>373</v>
      </c>
      <c r="P80" s="3">
        <f>TABL12[[#This Row],[خط (S/S  TOT) SAR2]]-TABL12[[#This Row],[(S/S TOT) AJD]]</f>
        <v>54</v>
      </c>
      <c r="Q80" s="3">
        <v>414</v>
      </c>
      <c r="R80" s="3">
        <f>TABL12[[#This Row],[خط (T/B  TOT) SAR]]-TABL12[[#This Row],[(T/B TOT) AJD]]</f>
        <v>-7</v>
      </c>
      <c r="S80" s="3">
        <f>TABL12[[#This Row],[الفرق بين بداية ونهاية خط  S/S]]+TABL12[[#This Row],[الفرق بين بداية ونهاية خط  T/B]]</f>
        <v>47</v>
      </c>
      <c r="T80" s="3">
        <f t="shared" si="4"/>
        <v>787</v>
      </c>
      <c r="U80" s="3">
        <v>521</v>
      </c>
      <c r="V80" s="3">
        <v>265</v>
      </c>
      <c r="W80" s="3">
        <f t="shared" si="5"/>
        <v>786</v>
      </c>
      <c r="X80" s="3">
        <f t="shared" si="6"/>
        <v>1</v>
      </c>
      <c r="Y80" s="4">
        <v>91.92</v>
      </c>
      <c r="Z80" s="3">
        <v>0</v>
      </c>
      <c r="AA80" s="3">
        <f>TABL12[[#This Row],[(RESV. STORGE) AJD]]/10</f>
        <v>0</v>
      </c>
      <c r="AB80" s="3">
        <f t="shared" si="7"/>
        <v>0</v>
      </c>
      <c r="AC80" s="6">
        <v>0</v>
      </c>
      <c r="AD80" s="5">
        <f>TABL12[[#This Row],[( S/S+T/B) AJD]]-(TABL12[[#This Row],[(A/B + A/S) AJD]]+(TABL12[[#This Row],[(STORGE DIFF.) AJD]])+TABL12[[#This Row],[البخر  AJD]]/1000)</f>
        <v>1</v>
      </c>
      <c r="AE80" s="6">
        <v>30</v>
      </c>
      <c r="AF80" s="33">
        <v>59.755000000000003</v>
      </c>
      <c r="AG80" s="6">
        <v>2124589</v>
      </c>
      <c r="AH80" s="6">
        <f>TABL12[[#This Row],[ (RESV. STORGE) BER]]/10</f>
        <v>212458.9</v>
      </c>
      <c r="AI80" s="6">
        <v>2799</v>
      </c>
      <c r="AJ80" s="6">
        <f>TABL12[[#This Row],[(A/B TOT) AJD]]-TABL12[[#This Row],[BER_ IN]]</f>
        <v>491</v>
      </c>
      <c r="AK80" s="6">
        <v>33</v>
      </c>
      <c r="AL80" s="33">
        <v>45.505699999999997</v>
      </c>
      <c r="AM80" s="6">
        <v>4488880</v>
      </c>
      <c r="AN80" s="6">
        <f>TABL12[[#This Row],[ (RESV. STORGE) SER]]/10</f>
        <v>448888</v>
      </c>
      <c r="AO80" s="6">
        <v>1430</v>
      </c>
      <c r="AP80" s="32">
        <f>TABL12[[#This Row],[(A/S TOT) AJD]]-TABL12[[#This Row],[SER_ IN]]</f>
        <v>232</v>
      </c>
    </row>
    <row r="81" spans="1:42" x14ac:dyDescent="0.25">
      <c r="A81" s="2">
        <v>45737</v>
      </c>
      <c r="B81" s="28">
        <v>39</v>
      </c>
      <c r="C81" s="28">
        <v>332</v>
      </c>
      <c r="D81" s="28">
        <v>39</v>
      </c>
      <c r="E81" s="28">
        <v>0</v>
      </c>
      <c r="F81" s="28">
        <v>82</v>
      </c>
      <c r="G81" s="28">
        <v>513</v>
      </c>
      <c r="H81" s="28">
        <v>6</v>
      </c>
      <c r="I81" s="28">
        <v>401</v>
      </c>
      <c r="J81" s="28">
        <v>419</v>
      </c>
      <c r="K81" s="28">
        <f>TABL12[[#This Row],[خط (T/B  TOT) SAR]]+TABL12[[#This Row],[خط (S/S  TOT) SAR2]]</f>
        <v>820</v>
      </c>
      <c r="L81" s="28">
        <v>307</v>
      </c>
      <c r="M81" s="29">
        <v>24.2</v>
      </c>
      <c r="N81" s="30">
        <v>7.89</v>
      </c>
      <c r="O81" s="3">
        <v>373</v>
      </c>
      <c r="P81" s="3">
        <f>TABL12[[#This Row],[خط (S/S  TOT) SAR2]]-TABL12[[#This Row],[(S/S TOT) AJD]]</f>
        <v>46</v>
      </c>
      <c r="Q81" s="3">
        <v>415</v>
      </c>
      <c r="R81" s="3">
        <f>TABL12[[#This Row],[خط (T/B  TOT) SAR]]-TABL12[[#This Row],[(T/B TOT) AJD]]</f>
        <v>-14</v>
      </c>
      <c r="S81" s="3">
        <f>TABL12[[#This Row],[الفرق بين بداية ونهاية خط  S/S]]+TABL12[[#This Row],[الفرق بين بداية ونهاية خط  T/B]]</f>
        <v>32</v>
      </c>
      <c r="T81" s="3">
        <f t="shared" si="4"/>
        <v>788</v>
      </c>
      <c r="U81" s="3">
        <v>521</v>
      </c>
      <c r="V81" s="3">
        <v>265</v>
      </c>
      <c r="W81" s="3">
        <f t="shared" si="5"/>
        <v>786</v>
      </c>
      <c r="X81" s="3">
        <f t="shared" si="6"/>
        <v>2</v>
      </c>
      <c r="Y81" s="4">
        <v>91.92</v>
      </c>
      <c r="Z81" s="3">
        <v>0</v>
      </c>
      <c r="AA81" s="3">
        <f>TABL12[[#This Row],[(RESV. STORGE) AJD]]/10</f>
        <v>0</v>
      </c>
      <c r="AB81" s="3">
        <f t="shared" si="7"/>
        <v>0</v>
      </c>
      <c r="AC81" s="6">
        <v>0</v>
      </c>
      <c r="AD81" s="5">
        <f>TABL12[[#This Row],[( S/S+T/B) AJD]]-(TABL12[[#This Row],[(A/B + A/S) AJD]]+(TABL12[[#This Row],[(STORGE DIFF.) AJD]])+TABL12[[#This Row],[البخر  AJD]]/1000)</f>
        <v>2</v>
      </c>
      <c r="AE81" s="6">
        <v>30</v>
      </c>
      <c r="AF81" s="33">
        <v>59.878</v>
      </c>
      <c r="AG81" s="6">
        <v>2073255</v>
      </c>
      <c r="AH81" s="6">
        <f>TABL12[[#This Row],[ (RESV. STORGE) BER]]/10</f>
        <v>207325.5</v>
      </c>
      <c r="AI81" s="6">
        <v>1293</v>
      </c>
      <c r="AJ81" s="6">
        <f>TABL12[[#This Row],[(A/B TOT) AJD]]-TABL12[[#This Row],[BER_ IN]]</f>
        <v>491</v>
      </c>
      <c r="AK81" s="6">
        <v>30</v>
      </c>
      <c r="AL81" s="33">
        <v>45.495800000000003</v>
      </c>
      <c r="AM81" s="6">
        <v>4483390</v>
      </c>
      <c r="AN81" s="6">
        <f>TABL12[[#This Row],[ (RESV. STORGE) SER]]/10</f>
        <v>448339</v>
      </c>
      <c r="AO81" s="6">
        <v>1490</v>
      </c>
      <c r="AP81" s="32">
        <f>TABL12[[#This Row],[(A/S TOT) AJD]]-TABL12[[#This Row],[SER_ IN]]</f>
        <v>235</v>
      </c>
    </row>
    <row r="82" spans="1:42" x14ac:dyDescent="0.25">
      <c r="A82" s="2">
        <v>45738</v>
      </c>
      <c r="B82" s="28">
        <v>39</v>
      </c>
      <c r="C82" s="28">
        <v>344</v>
      </c>
      <c r="D82" s="28">
        <v>39</v>
      </c>
      <c r="E82" s="28">
        <v>0</v>
      </c>
      <c r="F82" s="28">
        <v>83</v>
      </c>
      <c r="G82" s="28">
        <v>513</v>
      </c>
      <c r="H82" s="28">
        <v>5</v>
      </c>
      <c r="I82" s="28">
        <v>401</v>
      </c>
      <c r="J82" s="28">
        <v>419</v>
      </c>
      <c r="K82" s="28">
        <f>TABL12[[#This Row],[خط (T/B  TOT) SAR]]+TABL12[[#This Row],[خط (S/S  TOT) SAR2]]</f>
        <v>820</v>
      </c>
      <c r="L82" s="28">
        <v>307</v>
      </c>
      <c r="M82" s="29">
        <v>24.2</v>
      </c>
      <c r="N82" s="30">
        <v>7.97</v>
      </c>
      <c r="O82" s="3">
        <v>373</v>
      </c>
      <c r="P82" s="3">
        <f>TABL12[[#This Row],[خط (S/S  TOT) SAR2]]-TABL12[[#This Row],[(S/S TOT) AJD]]</f>
        <v>46</v>
      </c>
      <c r="Q82" s="3">
        <v>415</v>
      </c>
      <c r="R82" s="3">
        <f>TABL12[[#This Row],[خط (T/B  TOT) SAR]]-TABL12[[#This Row],[(T/B TOT) AJD]]</f>
        <v>-14</v>
      </c>
      <c r="S82" s="3">
        <f>TABL12[[#This Row],[الفرق بين بداية ونهاية خط  S/S]]+TABL12[[#This Row],[الفرق بين بداية ونهاية خط  T/B]]</f>
        <v>32</v>
      </c>
      <c r="T82" s="3">
        <f t="shared" si="4"/>
        <v>788</v>
      </c>
      <c r="U82" s="3">
        <v>516</v>
      </c>
      <c r="V82" s="3">
        <v>279</v>
      </c>
      <c r="W82" s="3">
        <f t="shared" si="5"/>
        <v>795</v>
      </c>
      <c r="X82" s="3">
        <f t="shared" si="6"/>
        <v>-7</v>
      </c>
      <c r="Y82" s="4">
        <v>91.92</v>
      </c>
      <c r="Z82" s="3">
        <v>0</v>
      </c>
      <c r="AA82" s="3">
        <f>TABL12[[#This Row],[(RESV. STORGE) AJD]]/10</f>
        <v>0</v>
      </c>
      <c r="AB82" s="3">
        <f t="shared" si="7"/>
        <v>0</v>
      </c>
      <c r="AC82" s="6">
        <v>0</v>
      </c>
      <c r="AD82" s="5">
        <f>TABL12[[#This Row],[( S/S+T/B) AJD]]-(TABL12[[#This Row],[(A/B + A/S) AJD]]+(TABL12[[#This Row],[(STORGE DIFF.) AJD]])+TABL12[[#This Row],[البخر  AJD]]/1000)</f>
        <v>-7</v>
      </c>
      <c r="AE82" s="6">
        <v>30</v>
      </c>
      <c r="AF82" s="33">
        <v>59.6</v>
      </c>
      <c r="AG82" s="6">
        <v>2021328</v>
      </c>
      <c r="AH82" s="6">
        <f>TABL12[[#This Row],[ (RESV. STORGE) BER]]/10</f>
        <v>202132.8</v>
      </c>
      <c r="AI82" s="6">
        <v>2247</v>
      </c>
      <c r="AJ82" s="6">
        <f>TABL12[[#This Row],[(A/B TOT) AJD]]-TABL12[[#This Row],[BER_ IN]]</f>
        <v>486</v>
      </c>
      <c r="AK82" s="6">
        <v>15</v>
      </c>
      <c r="AL82" s="33">
        <v>45.389400000000002</v>
      </c>
      <c r="AM82" s="6">
        <v>4423500</v>
      </c>
      <c r="AN82" s="6">
        <f>TABL12[[#This Row],[ (RESV. STORGE) SER]]/10</f>
        <v>442350</v>
      </c>
      <c r="AO82" s="6">
        <v>1890</v>
      </c>
      <c r="AP82" s="32">
        <f>TABL12[[#This Row],[(A/S TOT) AJD]]-TABL12[[#This Row],[SER_ IN]]</f>
        <v>264</v>
      </c>
    </row>
    <row r="83" spans="1:42" x14ac:dyDescent="0.25">
      <c r="A83" s="2">
        <v>45739</v>
      </c>
      <c r="B83" s="28">
        <v>39</v>
      </c>
      <c r="C83" s="28">
        <v>329</v>
      </c>
      <c r="D83" s="28">
        <v>39</v>
      </c>
      <c r="E83" s="28">
        <v>0</v>
      </c>
      <c r="F83" s="28">
        <v>83</v>
      </c>
      <c r="G83" s="28">
        <v>507</v>
      </c>
      <c r="H83" s="28">
        <v>5</v>
      </c>
      <c r="I83" s="28">
        <v>405</v>
      </c>
      <c r="J83" s="28">
        <v>424</v>
      </c>
      <c r="K83" s="28">
        <f>TABL12[[#This Row],[خط (T/B  TOT) SAR]]+TABL12[[#This Row],[خط (S/S  TOT) SAR2]]</f>
        <v>829</v>
      </c>
      <c r="L83" s="28">
        <v>322</v>
      </c>
      <c r="M83" s="29">
        <v>24.2</v>
      </c>
      <c r="N83" s="30">
        <v>8.01</v>
      </c>
      <c r="O83" s="3">
        <v>373</v>
      </c>
      <c r="P83" s="3">
        <f>TABL12[[#This Row],[خط (S/S  TOT) SAR2]]-TABL12[[#This Row],[(S/S TOT) AJD]]</f>
        <v>51</v>
      </c>
      <c r="Q83" s="3">
        <v>417</v>
      </c>
      <c r="R83" s="3">
        <f>TABL12[[#This Row],[خط (T/B  TOT) SAR]]-TABL12[[#This Row],[(T/B TOT) AJD]]</f>
        <v>-12</v>
      </c>
      <c r="S83" s="3">
        <f>TABL12[[#This Row],[الفرق بين بداية ونهاية خط  S/S]]+TABL12[[#This Row],[الفرق بين بداية ونهاية خط  T/B]]</f>
        <v>39</v>
      </c>
      <c r="T83" s="3">
        <f t="shared" si="4"/>
        <v>790</v>
      </c>
      <c r="U83" s="3">
        <v>535</v>
      </c>
      <c r="V83" s="3">
        <v>253</v>
      </c>
      <c r="W83" s="3">
        <f t="shared" si="5"/>
        <v>788</v>
      </c>
      <c r="X83" s="3">
        <f t="shared" si="6"/>
        <v>2</v>
      </c>
      <c r="Y83" s="4">
        <v>91.92</v>
      </c>
      <c r="Z83" s="3">
        <v>0</v>
      </c>
      <c r="AA83" s="3">
        <f>TABL12[[#This Row],[(RESV. STORGE) AJD]]/10</f>
        <v>0</v>
      </c>
      <c r="AB83" s="3">
        <f t="shared" si="7"/>
        <v>0</v>
      </c>
      <c r="AC83" s="6">
        <v>0</v>
      </c>
      <c r="AD83" s="5">
        <f>TABL12[[#This Row],[( S/S+T/B) AJD]]-(TABL12[[#This Row],[(A/B + A/S) AJD]]+(TABL12[[#This Row],[(STORGE DIFF.) AJD]])+TABL12[[#This Row],[البخر  AJD]]/1000)</f>
        <v>2</v>
      </c>
      <c r="AE83" s="6">
        <v>30</v>
      </c>
      <c r="AF83" s="33">
        <v>59.521999999999998</v>
      </c>
      <c r="AG83" s="6">
        <v>1969435</v>
      </c>
      <c r="AH83" s="6">
        <f>TABL12[[#This Row],[ (RESV. STORGE) BER]]/10</f>
        <v>196943.5</v>
      </c>
      <c r="AI83" s="6">
        <v>2194</v>
      </c>
      <c r="AJ83" s="6">
        <f>TABL12[[#This Row],[(A/B TOT) AJD]]-TABL12[[#This Row],[BER_ IN]]</f>
        <v>505</v>
      </c>
      <c r="AK83" s="6">
        <v>0</v>
      </c>
      <c r="AL83" s="33">
        <v>45.199599999999997</v>
      </c>
      <c r="AM83" s="6">
        <v>4317800</v>
      </c>
      <c r="AN83" s="6">
        <f>TABL12[[#This Row],[ (RESV. STORGE) SER]]/10</f>
        <v>431780</v>
      </c>
      <c r="AO83" s="6">
        <v>1700</v>
      </c>
      <c r="AP83" s="32">
        <f>TABL12[[#This Row],[(A/S TOT) AJD]]-TABL12[[#This Row],[SER_ IN]]</f>
        <v>253</v>
      </c>
    </row>
    <row r="84" spans="1:42" x14ac:dyDescent="0.25">
      <c r="A84" s="2">
        <v>45740</v>
      </c>
      <c r="B84" s="28">
        <v>38</v>
      </c>
      <c r="C84" s="28">
        <v>323</v>
      </c>
      <c r="D84" s="28">
        <v>38</v>
      </c>
      <c r="E84" s="28">
        <v>0</v>
      </c>
      <c r="F84" s="28">
        <v>83</v>
      </c>
      <c r="G84" s="28">
        <v>507</v>
      </c>
      <c r="H84" s="28">
        <v>5</v>
      </c>
      <c r="I84" s="28">
        <v>405</v>
      </c>
      <c r="J84" s="28">
        <v>423</v>
      </c>
      <c r="K84" s="28">
        <f>TABL12[[#This Row],[خط (T/B  TOT) SAR]]+TABL12[[#This Row],[خط (S/S  TOT) SAR2]]</f>
        <v>828</v>
      </c>
      <c r="L84" s="28">
        <v>325</v>
      </c>
      <c r="M84" s="29">
        <v>24.2</v>
      </c>
      <c r="N84" s="30">
        <v>7.98</v>
      </c>
      <c r="O84" s="3">
        <v>375</v>
      </c>
      <c r="P84" s="3">
        <f>TABL12[[#This Row],[خط (S/S  TOT) SAR2]]-TABL12[[#This Row],[(S/S TOT) AJD]]</f>
        <v>48</v>
      </c>
      <c r="Q84" s="3">
        <v>417</v>
      </c>
      <c r="R84" s="3">
        <f>TABL12[[#This Row],[خط (T/B  TOT) SAR]]-TABL12[[#This Row],[(T/B TOT) AJD]]</f>
        <v>-12</v>
      </c>
      <c r="S84" s="3">
        <f>TABL12[[#This Row],[الفرق بين بداية ونهاية خط  S/S]]+TABL12[[#This Row],[الفرق بين بداية ونهاية خط  T/B]]</f>
        <v>36</v>
      </c>
      <c r="T84" s="3">
        <f t="shared" si="4"/>
        <v>792</v>
      </c>
      <c r="U84" s="3">
        <v>557</v>
      </c>
      <c r="V84" s="3">
        <v>230</v>
      </c>
      <c r="W84" s="3">
        <f t="shared" si="5"/>
        <v>787</v>
      </c>
      <c r="X84" s="3">
        <f t="shared" si="6"/>
        <v>5</v>
      </c>
      <c r="Y84" s="4">
        <v>91.92</v>
      </c>
      <c r="Z84" s="3">
        <v>0</v>
      </c>
      <c r="AA84" s="3">
        <f>TABL12[[#This Row],[(RESV. STORGE) AJD]]/10</f>
        <v>0</v>
      </c>
      <c r="AB84" s="3">
        <f t="shared" si="7"/>
        <v>0</v>
      </c>
      <c r="AC84" s="6">
        <v>0</v>
      </c>
      <c r="AD84" s="5">
        <f>TABL12[[#This Row],[( S/S+T/B) AJD]]-(TABL12[[#This Row],[(A/B + A/S) AJD]]+(TABL12[[#This Row],[(STORGE DIFF.) AJD]])+TABL12[[#This Row],[البخر  AJD]]/1000)</f>
        <v>5</v>
      </c>
      <c r="AE84" s="6">
        <v>30</v>
      </c>
      <c r="AF84" s="33">
        <v>59.444000000000003</v>
      </c>
      <c r="AG84" s="6">
        <v>1917632</v>
      </c>
      <c r="AH84" s="6">
        <f>TABL12[[#This Row],[ (RESV. STORGE) BER]]/10</f>
        <v>191763.20000000001</v>
      </c>
      <c r="AI84" s="6">
        <v>2141</v>
      </c>
      <c r="AJ84" s="6">
        <f>TABL12[[#This Row],[(A/B TOT) AJD]]-TABL12[[#This Row],[BER_ IN]]</f>
        <v>527</v>
      </c>
      <c r="AK84" s="6">
        <v>10</v>
      </c>
      <c r="AL84" s="33">
        <v>44.975999999999999</v>
      </c>
      <c r="AM84" s="6">
        <v>4192900</v>
      </c>
      <c r="AN84" s="6">
        <f>TABL12[[#This Row],[ (RESV. STORGE) SER]]/10</f>
        <v>419290</v>
      </c>
      <c r="AO84" s="6">
        <v>1900</v>
      </c>
      <c r="AP84" s="32">
        <f>TABL12[[#This Row],[(A/S TOT) AJD]]-TABL12[[#This Row],[SER_ IN]]</f>
        <v>220</v>
      </c>
    </row>
    <row r="85" spans="1:42" x14ac:dyDescent="0.25">
      <c r="A85" s="2">
        <v>45741</v>
      </c>
      <c r="B85" s="28">
        <v>39</v>
      </c>
      <c r="C85" s="28">
        <v>334</v>
      </c>
      <c r="D85" s="28">
        <v>39</v>
      </c>
      <c r="E85" s="28">
        <v>0</v>
      </c>
      <c r="F85" s="28">
        <v>83</v>
      </c>
      <c r="G85" s="28">
        <v>506</v>
      </c>
      <c r="H85" s="28">
        <v>5</v>
      </c>
      <c r="I85" s="28">
        <v>405</v>
      </c>
      <c r="J85" s="28">
        <v>423</v>
      </c>
      <c r="K85" s="28">
        <f>TABL12[[#This Row],[خط (T/B  TOT) SAR]]+TABL12[[#This Row],[خط (S/S  TOT) SAR2]]</f>
        <v>828</v>
      </c>
      <c r="L85" s="28">
        <v>322</v>
      </c>
      <c r="M85" s="29">
        <v>24.2</v>
      </c>
      <c r="N85" s="30">
        <v>8.01</v>
      </c>
      <c r="O85" s="3">
        <v>373</v>
      </c>
      <c r="P85" s="3">
        <f>TABL12[[#This Row],[خط (S/S  TOT) SAR2]]-TABL12[[#This Row],[(S/S TOT) AJD]]</f>
        <v>50</v>
      </c>
      <c r="Q85" s="3">
        <v>417</v>
      </c>
      <c r="R85" s="3">
        <f>TABL12[[#This Row],[خط (T/B  TOT) SAR]]-TABL12[[#This Row],[(T/B TOT) AJD]]</f>
        <v>-12</v>
      </c>
      <c r="S85" s="3">
        <f>TABL12[[#This Row],[الفرق بين بداية ونهاية خط  S/S]]+TABL12[[#This Row],[الفرق بين بداية ونهاية خط  T/B]]</f>
        <v>38</v>
      </c>
      <c r="T85" s="3">
        <f t="shared" si="4"/>
        <v>790</v>
      </c>
      <c r="U85" s="3">
        <v>551</v>
      </c>
      <c r="V85" s="3">
        <v>242</v>
      </c>
      <c r="W85" s="3">
        <f t="shared" si="5"/>
        <v>793</v>
      </c>
      <c r="X85" s="3">
        <f t="shared" si="6"/>
        <v>-3</v>
      </c>
      <c r="Y85" s="4">
        <v>91.92</v>
      </c>
      <c r="Z85" s="3">
        <v>0</v>
      </c>
      <c r="AA85" s="3">
        <f>TABL12[[#This Row],[(RESV. STORGE) AJD]]/10</f>
        <v>0</v>
      </c>
      <c r="AB85" s="3">
        <f t="shared" si="7"/>
        <v>0</v>
      </c>
      <c r="AC85" s="6">
        <v>0</v>
      </c>
      <c r="AD85" s="5">
        <f>TABL12[[#This Row],[( S/S+T/B) AJD]]-(TABL12[[#This Row],[(A/B + A/S) AJD]]+(TABL12[[#This Row],[(STORGE DIFF.) AJD]])+TABL12[[#This Row],[البخر  AJD]]/1000)</f>
        <v>-3</v>
      </c>
      <c r="AE85" s="6">
        <v>30</v>
      </c>
      <c r="AF85" s="33">
        <v>59.365000000000002</v>
      </c>
      <c r="AG85" s="6">
        <v>1865199</v>
      </c>
      <c r="AH85" s="6">
        <f>TABL12[[#This Row],[ (RESV. STORGE) BER]]/10</f>
        <v>186519.9</v>
      </c>
      <c r="AI85" s="6">
        <v>2752</v>
      </c>
      <c r="AJ85" s="6">
        <f>TABL12[[#This Row],[(A/B TOT) AJD]]-TABL12[[#This Row],[BER_ IN]]</f>
        <v>521</v>
      </c>
      <c r="AK85" s="6">
        <v>19</v>
      </c>
      <c r="AL85" s="33">
        <v>44.834899999999998</v>
      </c>
      <c r="AM85" s="6">
        <v>4114480</v>
      </c>
      <c r="AN85" s="6">
        <f>TABL12[[#This Row],[ (RESV. STORGE) SER]]/10</f>
        <v>411448</v>
      </c>
      <c r="AO85" s="6">
        <v>1420</v>
      </c>
      <c r="AP85" s="32">
        <f>TABL12[[#This Row],[(A/S TOT) AJD]]-TABL12[[#This Row],[SER_ IN]]</f>
        <v>223</v>
      </c>
    </row>
    <row r="86" spans="1:42" x14ac:dyDescent="0.25">
      <c r="A86" s="2">
        <v>45742</v>
      </c>
      <c r="B86" s="28">
        <v>39</v>
      </c>
      <c r="C86" s="28">
        <v>331</v>
      </c>
      <c r="D86" s="28">
        <v>39</v>
      </c>
      <c r="E86" s="28">
        <v>0</v>
      </c>
      <c r="F86" s="28">
        <v>83</v>
      </c>
      <c r="G86" s="28">
        <v>512</v>
      </c>
      <c r="H86" s="28">
        <v>5</v>
      </c>
      <c r="I86" s="28">
        <v>407</v>
      </c>
      <c r="J86" s="28">
        <v>426</v>
      </c>
      <c r="K86" s="28">
        <f>TABL12[[#This Row],[خط (T/B  TOT) SAR]]+TABL12[[#This Row],[خط (S/S  TOT) SAR2]]</f>
        <v>833</v>
      </c>
      <c r="L86" s="28">
        <v>321</v>
      </c>
      <c r="M86" s="29">
        <v>24.2</v>
      </c>
      <c r="N86" s="30">
        <v>8.06</v>
      </c>
      <c r="O86" s="3">
        <v>375</v>
      </c>
      <c r="P86" s="3">
        <f>TABL12[[#This Row],[خط (S/S  TOT) SAR2]]-TABL12[[#This Row],[(S/S TOT) AJD]]</f>
        <v>51</v>
      </c>
      <c r="Q86" s="3">
        <v>415</v>
      </c>
      <c r="R86" s="3">
        <f>TABL12[[#This Row],[خط (T/B  TOT) SAR]]-TABL12[[#This Row],[(T/B TOT) AJD]]</f>
        <v>-8</v>
      </c>
      <c r="S86" s="3">
        <f>TABL12[[#This Row],[الفرق بين بداية ونهاية خط  S/S]]+TABL12[[#This Row],[الفرق بين بداية ونهاية خط  T/B]]</f>
        <v>43</v>
      </c>
      <c r="T86" s="3">
        <f t="shared" si="4"/>
        <v>790</v>
      </c>
      <c r="U86" s="3">
        <v>546</v>
      </c>
      <c r="V86" s="3">
        <v>245</v>
      </c>
      <c r="W86" s="3">
        <f t="shared" si="5"/>
        <v>791</v>
      </c>
      <c r="X86" s="3">
        <f t="shared" si="6"/>
        <v>-1</v>
      </c>
      <c r="Y86" s="4">
        <v>91.92</v>
      </c>
      <c r="Z86" s="3">
        <v>0</v>
      </c>
      <c r="AA86" s="3">
        <f>TABL12[[#This Row],[(RESV. STORGE) AJD]]/10</f>
        <v>0</v>
      </c>
      <c r="AB86" s="3">
        <f t="shared" si="7"/>
        <v>0</v>
      </c>
      <c r="AC86" s="6">
        <v>0</v>
      </c>
      <c r="AD86" s="5">
        <f>TABL12[[#This Row],[( S/S+T/B) AJD]]-(TABL12[[#This Row],[(A/B + A/S) AJD]]+(TABL12[[#This Row],[(STORGE DIFF.) AJD]])+TABL12[[#This Row],[البخر  AJD]]/1000)</f>
        <v>-1</v>
      </c>
      <c r="AE86" s="6">
        <v>65</v>
      </c>
      <c r="AF86" s="33">
        <v>59.286000000000001</v>
      </c>
      <c r="AG86" s="6">
        <v>1812821</v>
      </c>
      <c r="AH86" s="6">
        <f>TABL12[[#This Row],[ (RESV. STORGE) BER]]/10</f>
        <v>181282.1</v>
      </c>
      <c r="AI86" s="6">
        <v>2698</v>
      </c>
      <c r="AJ86" s="6">
        <f>TABL12[[#This Row],[(A/B TOT) AJD]]-TABL12[[#This Row],[BER_ IN]]</f>
        <v>481</v>
      </c>
      <c r="AK86" s="6">
        <v>20</v>
      </c>
      <c r="AL86" s="33">
        <v>44.7303</v>
      </c>
      <c r="AM86" s="6">
        <v>4056420</v>
      </c>
      <c r="AN86" s="6">
        <f>TABL12[[#This Row],[ (RESV. STORGE) SER]]/10</f>
        <v>405642</v>
      </c>
      <c r="AO86" s="6">
        <v>1060</v>
      </c>
      <c r="AP86" s="32">
        <f>TABL12[[#This Row],[(A/S TOT) AJD]]-TABL12[[#This Row],[SER_ IN]]</f>
        <v>225</v>
      </c>
    </row>
    <row r="87" spans="1:42" x14ac:dyDescent="0.25">
      <c r="A87" s="2">
        <v>45743</v>
      </c>
      <c r="B87" s="28">
        <v>38</v>
      </c>
      <c r="C87" s="28">
        <v>326</v>
      </c>
      <c r="D87" s="28">
        <v>38</v>
      </c>
      <c r="E87" s="28">
        <v>0</v>
      </c>
      <c r="F87" s="28">
        <v>86</v>
      </c>
      <c r="G87" s="28">
        <v>512</v>
      </c>
      <c r="H87" s="28">
        <v>2</v>
      </c>
      <c r="I87" s="28">
        <v>408</v>
      </c>
      <c r="J87" s="28">
        <v>426</v>
      </c>
      <c r="K87" s="28">
        <f>TABL12[[#This Row],[خط (T/B  TOT) SAR]]+TABL12[[#This Row],[خط (S/S  TOT) SAR2]]</f>
        <v>834</v>
      </c>
      <c r="L87" s="28">
        <v>322</v>
      </c>
      <c r="M87" s="29">
        <v>24.2</v>
      </c>
      <c r="N87" s="30">
        <v>8.08</v>
      </c>
      <c r="O87" s="3">
        <v>377</v>
      </c>
      <c r="P87" s="3">
        <f>TABL12[[#This Row],[خط (S/S  TOT) SAR2]]-TABL12[[#This Row],[(S/S TOT) AJD]]</f>
        <v>49</v>
      </c>
      <c r="Q87" s="3">
        <v>418</v>
      </c>
      <c r="R87" s="3">
        <f>TABL12[[#This Row],[خط (T/B  TOT) SAR]]-TABL12[[#This Row],[(T/B TOT) AJD]]</f>
        <v>-10</v>
      </c>
      <c r="S87" s="3">
        <f>TABL12[[#This Row],[الفرق بين بداية ونهاية خط  S/S]]+TABL12[[#This Row],[الفرق بين بداية ونهاية خط  T/B]]</f>
        <v>39</v>
      </c>
      <c r="T87" s="3">
        <f t="shared" si="4"/>
        <v>795</v>
      </c>
      <c r="U87" s="3">
        <v>528</v>
      </c>
      <c r="V87" s="3">
        <v>269</v>
      </c>
      <c r="W87" s="3">
        <f t="shared" si="5"/>
        <v>797</v>
      </c>
      <c r="X87" s="3">
        <f t="shared" si="6"/>
        <v>-2</v>
      </c>
      <c r="Y87" s="4">
        <v>91.92</v>
      </c>
      <c r="Z87" s="3">
        <v>0</v>
      </c>
      <c r="AA87" s="3">
        <f>TABL12[[#This Row],[(RESV. STORGE) AJD]]/10</f>
        <v>0</v>
      </c>
      <c r="AB87" s="3">
        <f t="shared" si="7"/>
        <v>0</v>
      </c>
      <c r="AC87" s="6">
        <v>0</v>
      </c>
      <c r="AD87" s="5">
        <f>TABL12[[#This Row],[( S/S+T/B) AJD]]-(TABL12[[#This Row],[(A/B + A/S) AJD]]+(TABL12[[#This Row],[(STORGE DIFF.) AJD]])+TABL12[[#This Row],[البخر  AJD]]/1000)</f>
        <v>-2</v>
      </c>
      <c r="AE87" s="6">
        <v>30</v>
      </c>
      <c r="AF87" s="33">
        <v>59.207000000000001</v>
      </c>
      <c r="AG87" s="6">
        <v>1760496</v>
      </c>
      <c r="AH87" s="6">
        <f>TABL12[[#This Row],[ (RESV. STORGE) BER]]/10</f>
        <v>176049.6</v>
      </c>
      <c r="AI87" s="6">
        <v>2644</v>
      </c>
      <c r="AJ87" s="6">
        <f>TABL12[[#This Row],[(A/B TOT) AJD]]-TABL12[[#This Row],[BER_ IN]]</f>
        <v>498</v>
      </c>
      <c r="AK87" s="6">
        <v>7</v>
      </c>
      <c r="AL87" s="33">
        <v>44.715600000000002</v>
      </c>
      <c r="AM87" s="6">
        <v>4048410</v>
      </c>
      <c r="AN87" s="6">
        <f>TABL12[[#This Row],[ (RESV. STORGE) SER]]/10</f>
        <v>404841</v>
      </c>
      <c r="AO87" s="6">
        <v>1070</v>
      </c>
      <c r="AP87" s="32">
        <f>TABL12[[#This Row],[(A/S TOT) AJD]]-TABL12[[#This Row],[SER_ IN]]</f>
        <v>262</v>
      </c>
    </row>
    <row r="88" spans="1:42" x14ac:dyDescent="0.25">
      <c r="A88" s="2">
        <v>45744</v>
      </c>
      <c r="B88" s="28">
        <v>39</v>
      </c>
      <c r="C88" s="28">
        <v>326</v>
      </c>
      <c r="D88" s="28">
        <v>38</v>
      </c>
      <c r="E88" s="28">
        <v>0</v>
      </c>
      <c r="F88" s="28">
        <v>86</v>
      </c>
      <c r="G88" s="28">
        <v>512</v>
      </c>
      <c r="H88" s="28">
        <v>2</v>
      </c>
      <c r="I88" s="28">
        <v>417</v>
      </c>
      <c r="J88" s="28">
        <v>435</v>
      </c>
      <c r="K88" s="28">
        <f>TABL12[[#This Row],[خط (T/B  TOT) SAR]]+TABL12[[#This Row],[خط (S/S  TOT) SAR2]]</f>
        <v>852</v>
      </c>
      <c r="L88" s="28">
        <v>340</v>
      </c>
      <c r="M88" s="29">
        <v>25.1</v>
      </c>
      <c r="N88" s="30">
        <v>7.87</v>
      </c>
      <c r="O88" s="3">
        <v>379</v>
      </c>
      <c r="P88" s="3">
        <f>TABL12[[#This Row],[خط (S/S  TOT) SAR2]]-TABL12[[#This Row],[(S/S TOT) AJD]]</f>
        <v>56</v>
      </c>
      <c r="Q88" s="3">
        <v>421</v>
      </c>
      <c r="R88" s="3">
        <f>TABL12[[#This Row],[خط (T/B  TOT) SAR]]-TABL12[[#This Row],[(T/B TOT) AJD]]</f>
        <v>-4</v>
      </c>
      <c r="S88" s="3">
        <f>TABL12[[#This Row],[الفرق بين بداية ونهاية خط  S/S]]+TABL12[[#This Row],[الفرق بين بداية ونهاية خط  T/B]]</f>
        <v>52</v>
      </c>
      <c r="T88" s="3">
        <f t="shared" si="4"/>
        <v>800</v>
      </c>
      <c r="U88" s="3">
        <v>530</v>
      </c>
      <c r="V88" s="3">
        <v>270</v>
      </c>
      <c r="W88" s="3">
        <f t="shared" si="5"/>
        <v>800</v>
      </c>
      <c r="X88" s="3">
        <f t="shared" si="6"/>
        <v>0</v>
      </c>
      <c r="Y88" s="4">
        <v>91.92</v>
      </c>
      <c r="Z88" s="3">
        <v>0</v>
      </c>
      <c r="AA88" s="3">
        <f>TABL12[[#This Row],[(RESV. STORGE) AJD]]/10</f>
        <v>0</v>
      </c>
      <c r="AB88" s="3">
        <f t="shared" si="7"/>
        <v>0</v>
      </c>
      <c r="AC88" s="6">
        <v>0</v>
      </c>
      <c r="AD88" s="5">
        <f>TABL12[[#This Row],[( S/S+T/B) AJD]]-(TABL12[[#This Row],[(A/B + A/S) AJD]]+(TABL12[[#This Row],[(STORGE DIFF.) AJD]])+TABL12[[#This Row],[البخر  AJD]]/1000)</f>
        <v>0</v>
      </c>
      <c r="AE88" s="6">
        <v>50</v>
      </c>
      <c r="AF88" s="33">
        <v>59.137</v>
      </c>
      <c r="AG88" s="6">
        <v>1714178</v>
      </c>
      <c r="AH88" s="6">
        <f>TABL12[[#This Row],[ (RESV. STORGE) BER]]/10</f>
        <v>171417.8</v>
      </c>
      <c r="AI88" s="6">
        <v>2918</v>
      </c>
      <c r="AJ88" s="6">
        <f>TABL12[[#This Row],[(A/B TOT) AJD]]-TABL12[[#This Row],[BER_ IN]]</f>
        <v>480</v>
      </c>
      <c r="AK88" s="6">
        <v>0</v>
      </c>
      <c r="AL88" s="33">
        <v>44.6877</v>
      </c>
      <c r="AM88" s="6">
        <v>4032850</v>
      </c>
      <c r="AN88" s="6">
        <f>TABL12[[#This Row],[ (RESV. STORGE) SER]]/10</f>
        <v>403285</v>
      </c>
      <c r="AO88" s="6">
        <v>1650</v>
      </c>
      <c r="AP88" s="32">
        <f>TABL12[[#This Row],[(A/S TOT) AJD]]-TABL12[[#This Row],[SER_ IN]]</f>
        <v>270</v>
      </c>
    </row>
    <row r="89" spans="1:42" x14ac:dyDescent="0.25">
      <c r="A89" s="2">
        <v>45745</v>
      </c>
      <c r="B89" s="28">
        <v>38</v>
      </c>
      <c r="C89" s="28">
        <v>329</v>
      </c>
      <c r="D89" s="28">
        <v>38</v>
      </c>
      <c r="E89" s="28">
        <v>0</v>
      </c>
      <c r="F89" s="28">
        <v>86</v>
      </c>
      <c r="G89" s="28">
        <v>514</v>
      </c>
      <c r="H89" s="28">
        <v>2</v>
      </c>
      <c r="I89" s="28">
        <v>417</v>
      </c>
      <c r="J89" s="28">
        <v>436</v>
      </c>
      <c r="K89" s="28">
        <f>TABL12[[#This Row],[خط (T/B  TOT) SAR]]+TABL12[[#This Row],[خط (S/S  TOT) SAR2]]</f>
        <v>853</v>
      </c>
      <c r="L89" s="28">
        <v>339</v>
      </c>
      <c r="M89" s="29">
        <v>25.1</v>
      </c>
      <c r="N89" s="30">
        <v>7.79</v>
      </c>
      <c r="O89" s="3">
        <v>385</v>
      </c>
      <c r="P89" s="3">
        <f>TABL12[[#This Row],[خط (S/S  TOT) SAR2]]-TABL12[[#This Row],[(S/S TOT) AJD]]</f>
        <v>51</v>
      </c>
      <c r="Q89" s="3">
        <v>429</v>
      </c>
      <c r="R89" s="3">
        <f>TABL12[[#This Row],[خط (T/B  TOT) SAR]]-TABL12[[#This Row],[(T/B TOT) AJD]]</f>
        <v>-12</v>
      </c>
      <c r="S89" s="3">
        <f>TABL12[[#This Row],[الفرق بين بداية ونهاية خط  S/S]]+TABL12[[#This Row],[الفرق بين بداية ونهاية خط  T/B]]</f>
        <v>39</v>
      </c>
      <c r="T89" s="3">
        <f t="shared" si="4"/>
        <v>814</v>
      </c>
      <c r="U89" s="3">
        <v>510</v>
      </c>
      <c r="V89" s="3">
        <v>270</v>
      </c>
      <c r="W89" s="3">
        <f t="shared" si="5"/>
        <v>780</v>
      </c>
      <c r="X89" s="3">
        <f t="shared" si="6"/>
        <v>34</v>
      </c>
      <c r="Y89" s="4">
        <v>91.92</v>
      </c>
      <c r="Z89" s="3">
        <v>0</v>
      </c>
      <c r="AA89" s="3">
        <f>TABL12[[#This Row],[(RESV. STORGE) AJD]]/10</f>
        <v>0</v>
      </c>
      <c r="AB89" s="3">
        <f t="shared" si="7"/>
        <v>0</v>
      </c>
      <c r="AC89" s="6">
        <v>0</v>
      </c>
      <c r="AD89" s="5">
        <f>TABL12[[#This Row],[( S/S+T/B) AJD]]-(TABL12[[#This Row],[(A/B + A/S) AJD]]+(TABL12[[#This Row],[(STORGE DIFF.) AJD]])+TABL12[[#This Row],[البخر  AJD]]/1000)</f>
        <v>34</v>
      </c>
      <c r="AE89" s="6">
        <v>50</v>
      </c>
      <c r="AF89" s="33">
        <v>59.115000000000002</v>
      </c>
      <c r="AG89" s="6">
        <v>1700040</v>
      </c>
      <c r="AH89" s="6">
        <f>TABL12[[#This Row],[ (RESV. STORGE) BER]]/10</f>
        <v>170004</v>
      </c>
      <c r="AI89" s="6">
        <v>2717</v>
      </c>
      <c r="AJ89" s="6">
        <f>TABL12[[#This Row],[(A/B TOT) AJD]]-TABL12[[#This Row],[BER_ IN]]</f>
        <v>460</v>
      </c>
      <c r="AK89" s="6">
        <v>12</v>
      </c>
      <c r="AL89" s="33">
        <v>44.698</v>
      </c>
      <c r="AM89" s="6">
        <v>4036382</v>
      </c>
      <c r="AN89" s="6">
        <f>TABL12[[#This Row],[ (RESV. STORGE) SER]]/10</f>
        <v>403638.2</v>
      </c>
      <c r="AO89" s="6">
        <v>1468</v>
      </c>
      <c r="AP89" s="32">
        <f>TABL12[[#This Row],[(A/S TOT) AJD]]-TABL12[[#This Row],[SER_ IN]]</f>
        <v>258</v>
      </c>
    </row>
    <row r="90" spans="1:42" x14ac:dyDescent="0.25">
      <c r="A90" s="2">
        <v>45746</v>
      </c>
      <c r="B90" s="28">
        <v>41</v>
      </c>
      <c r="C90" s="28">
        <v>342</v>
      </c>
      <c r="D90" s="28">
        <v>41</v>
      </c>
      <c r="E90" s="28">
        <v>0</v>
      </c>
      <c r="F90" s="28">
        <v>86</v>
      </c>
      <c r="G90" s="28">
        <v>519</v>
      </c>
      <c r="H90" s="28">
        <v>2</v>
      </c>
      <c r="I90" s="28">
        <v>417</v>
      </c>
      <c r="J90" s="28">
        <v>436</v>
      </c>
      <c r="K90" s="28">
        <f>TABL12[[#This Row],[خط (T/B  TOT) SAR]]+TABL12[[#This Row],[خط (S/S  TOT) SAR2]]</f>
        <v>853</v>
      </c>
      <c r="L90" s="28">
        <v>339</v>
      </c>
      <c r="M90" s="29">
        <v>25.1</v>
      </c>
      <c r="N90" s="30">
        <v>7.79</v>
      </c>
      <c r="O90" s="3">
        <v>386</v>
      </c>
      <c r="P90" s="3">
        <f>TABL12[[#This Row],[خط (S/S  TOT) SAR2]]-TABL12[[#This Row],[(S/S TOT) AJD]]</f>
        <v>50</v>
      </c>
      <c r="Q90" s="3">
        <v>429</v>
      </c>
      <c r="R90" s="3">
        <f>TABL12[[#This Row],[خط (T/B  TOT) SAR]]-TABL12[[#This Row],[(T/B TOT) AJD]]</f>
        <v>-12</v>
      </c>
      <c r="S90" s="3">
        <f>TABL12[[#This Row],[الفرق بين بداية ونهاية خط  S/S]]+TABL12[[#This Row],[الفرق بين بداية ونهاية خط  T/B]]</f>
        <v>38</v>
      </c>
      <c r="T90" s="3">
        <f t="shared" si="4"/>
        <v>815</v>
      </c>
      <c r="U90" s="3">
        <v>553</v>
      </c>
      <c r="V90" s="3">
        <v>259</v>
      </c>
      <c r="W90" s="3">
        <f t="shared" si="5"/>
        <v>812</v>
      </c>
      <c r="X90" s="3">
        <f t="shared" si="6"/>
        <v>3</v>
      </c>
      <c r="Y90" s="4">
        <v>91.92</v>
      </c>
      <c r="Z90" s="3">
        <v>0</v>
      </c>
      <c r="AA90" s="3">
        <f>TABL12[[#This Row],[(RESV. STORGE) AJD]]/10</f>
        <v>0</v>
      </c>
      <c r="AB90" s="3">
        <f t="shared" si="7"/>
        <v>0</v>
      </c>
      <c r="AC90" s="6">
        <v>0</v>
      </c>
      <c r="AD90" s="5">
        <f>TABL12[[#This Row],[( S/S+T/B) AJD]]-(TABL12[[#This Row],[(A/B + A/S) AJD]]+(TABL12[[#This Row],[(STORGE DIFF.) AJD]])+TABL12[[#This Row],[البخر  AJD]]/1000)</f>
        <v>3</v>
      </c>
      <c r="AE90" s="6">
        <v>50</v>
      </c>
      <c r="AF90" s="33">
        <v>59.064999999999998</v>
      </c>
      <c r="AG90" s="6">
        <v>1666581</v>
      </c>
      <c r="AH90" s="6">
        <f>TABL12[[#This Row],[ (RESV. STORGE) BER]]/10</f>
        <v>166658.1</v>
      </c>
      <c r="AI90" s="6">
        <v>3779</v>
      </c>
      <c r="AJ90" s="6">
        <f>TABL12[[#This Row],[(A/B TOT) AJD]]-TABL12[[#This Row],[BER_ IN]]</f>
        <v>503</v>
      </c>
      <c r="AK90" s="6">
        <v>25</v>
      </c>
      <c r="AL90" s="33">
        <v>44.720999999999997</v>
      </c>
      <c r="AM90" s="6">
        <v>4049132</v>
      </c>
      <c r="AN90" s="6">
        <f>TABL12[[#This Row],[ (RESV. STORGE) SER]]/10</f>
        <v>404913.2</v>
      </c>
      <c r="AO90" s="6">
        <v>1250</v>
      </c>
      <c r="AP90" s="32">
        <f>TABL12[[#This Row],[(A/S TOT) AJD]]-TABL12[[#This Row],[SER_ IN]]</f>
        <v>234</v>
      </c>
    </row>
    <row r="91" spans="1:42" x14ac:dyDescent="0.25">
      <c r="A91" s="2">
        <v>45747</v>
      </c>
      <c r="B91" s="28">
        <v>38</v>
      </c>
      <c r="C91" s="28">
        <v>333</v>
      </c>
      <c r="D91" s="28">
        <v>38</v>
      </c>
      <c r="E91" s="28">
        <v>0</v>
      </c>
      <c r="F91" s="28">
        <v>86</v>
      </c>
      <c r="G91" s="28">
        <v>515</v>
      </c>
      <c r="H91" s="28">
        <v>2</v>
      </c>
      <c r="I91" s="28">
        <v>417</v>
      </c>
      <c r="J91" s="28">
        <v>436</v>
      </c>
      <c r="K91" s="28">
        <f>TABL12[[#This Row],[خط (T/B  TOT) SAR]]+TABL12[[#This Row],[خط (S/S  TOT) SAR2]]</f>
        <v>853</v>
      </c>
      <c r="L91" s="28">
        <v>339</v>
      </c>
      <c r="M91" s="29">
        <v>25.1</v>
      </c>
      <c r="N91" s="30">
        <v>7.79</v>
      </c>
      <c r="O91" s="3">
        <v>385</v>
      </c>
      <c r="P91" s="3">
        <f>TABL12[[#This Row],[خط (S/S  TOT) SAR2]]-TABL12[[#This Row],[(S/S TOT) AJD]]</f>
        <v>51</v>
      </c>
      <c r="Q91" s="3">
        <v>428</v>
      </c>
      <c r="R91" s="3">
        <f>TABL12[[#This Row],[خط (T/B  TOT) SAR]]-TABL12[[#This Row],[(T/B TOT) AJD]]</f>
        <v>-11</v>
      </c>
      <c r="S91" s="3">
        <f>TABL12[[#This Row],[الفرق بين بداية ونهاية خط  S/S]]+TABL12[[#This Row],[الفرق بين بداية ونهاية خط  T/B]]</f>
        <v>40</v>
      </c>
      <c r="T91" s="3">
        <f t="shared" si="4"/>
        <v>813</v>
      </c>
      <c r="U91" s="3">
        <v>559</v>
      </c>
      <c r="V91" s="3">
        <v>260</v>
      </c>
      <c r="W91" s="3">
        <f t="shared" si="5"/>
        <v>819</v>
      </c>
      <c r="X91" s="3">
        <f t="shared" si="6"/>
        <v>-6</v>
      </c>
      <c r="Y91" s="4">
        <v>91.92</v>
      </c>
      <c r="Z91" s="3">
        <v>0</v>
      </c>
      <c r="AA91" s="3">
        <f>TABL12[[#This Row],[(RESV. STORGE) AJD]]/10</f>
        <v>0</v>
      </c>
      <c r="AB91" s="3">
        <f t="shared" si="7"/>
        <v>0</v>
      </c>
      <c r="AC91" s="6">
        <v>0</v>
      </c>
      <c r="AD91" s="5">
        <f>TABL12[[#This Row],[( S/S+T/B) AJD]]-(TABL12[[#This Row],[(A/B + A/S) AJD]]+(TABL12[[#This Row],[(STORGE DIFF.) AJD]])+TABL12[[#This Row],[البخر  AJD]]/1000)</f>
        <v>-6</v>
      </c>
      <c r="AE91" s="6">
        <v>50</v>
      </c>
      <c r="AF91" s="33">
        <v>59.072000000000003</v>
      </c>
      <c r="AG91" s="6">
        <v>1671206</v>
      </c>
      <c r="AH91" s="6">
        <f>TABL12[[#This Row],[ (RESV. STORGE) BER]]/10</f>
        <v>167120.6</v>
      </c>
      <c r="AI91" s="6">
        <v>2214</v>
      </c>
      <c r="AJ91" s="6">
        <f>TABL12[[#This Row],[(A/B TOT) AJD]]-TABL12[[#This Row],[BER_ IN]]</f>
        <v>509</v>
      </c>
      <c r="AK91" s="6">
        <v>20</v>
      </c>
      <c r="AL91" s="33">
        <v>44.735999999999997</v>
      </c>
      <c r="AM91" s="6">
        <v>4057449</v>
      </c>
      <c r="AN91" s="6">
        <f>TABL12[[#This Row],[ (RESV. STORGE) SER]]/10</f>
        <v>405744.9</v>
      </c>
      <c r="AO91" s="6">
        <v>1683</v>
      </c>
      <c r="AP91" s="32">
        <f>TABL12[[#This Row],[(A/S TOT) AJD]]-TABL12[[#This Row],[SER_ IN]]</f>
        <v>240</v>
      </c>
    </row>
    <row r="92" spans="1:42" x14ac:dyDescent="0.25">
      <c r="A92" s="2">
        <v>45748</v>
      </c>
      <c r="B92" s="28">
        <v>37</v>
      </c>
      <c r="C92" s="28">
        <v>327</v>
      </c>
      <c r="D92" s="28">
        <v>37</v>
      </c>
      <c r="E92" s="28">
        <v>0</v>
      </c>
      <c r="F92" s="28">
        <v>86</v>
      </c>
      <c r="G92" s="28">
        <v>515</v>
      </c>
      <c r="H92" s="28">
        <v>2</v>
      </c>
      <c r="I92" s="28">
        <v>418</v>
      </c>
      <c r="J92" s="28">
        <v>436</v>
      </c>
      <c r="K92" s="28">
        <f>TABL12[[#This Row],[خط (T/B  TOT) SAR]]+TABL12[[#This Row],[خط (S/S  TOT) SAR2]]</f>
        <v>854</v>
      </c>
      <c r="L92" s="28">
        <v>338</v>
      </c>
      <c r="M92" s="29">
        <v>25.1</v>
      </c>
      <c r="N92" s="30">
        <v>7.63</v>
      </c>
      <c r="O92" s="3">
        <v>384</v>
      </c>
      <c r="P92" s="3">
        <f>TABL12[[#This Row],[خط (S/S  TOT) SAR2]]-TABL12[[#This Row],[(S/S TOT) AJD]]</f>
        <v>52</v>
      </c>
      <c r="Q92" s="3">
        <v>426</v>
      </c>
      <c r="R92" s="3">
        <f>TABL12[[#This Row],[خط (T/B  TOT) SAR]]-TABL12[[#This Row],[(T/B TOT) AJD]]</f>
        <v>-8</v>
      </c>
      <c r="S92" s="3">
        <f>TABL12[[#This Row],[الفرق بين بداية ونهاية خط  S/S]]+TABL12[[#This Row],[الفرق بين بداية ونهاية خط  T/B]]</f>
        <v>44</v>
      </c>
      <c r="T92" s="3">
        <f t="shared" si="4"/>
        <v>810</v>
      </c>
      <c r="U92" s="3">
        <v>550</v>
      </c>
      <c r="V92" s="3">
        <v>259</v>
      </c>
      <c r="W92" s="3">
        <f t="shared" si="5"/>
        <v>809</v>
      </c>
      <c r="X92" s="3">
        <f t="shared" si="6"/>
        <v>1</v>
      </c>
      <c r="Y92" s="4">
        <v>91.92</v>
      </c>
      <c r="Z92" s="3">
        <v>0</v>
      </c>
      <c r="AA92" s="3">
        <f>TABL12[[#This Row],[(RESV. STORGE) AJD]]/10</f>
        <v>0</v>
      </c>
      <c r="AB92" s="3">
        <f t="shared" si="7"/>
        <v>0</v>
      </c>
      <c r="AC92" s="6">
        <v>0</v>
      </c>
      <c r="AD92" s="5">
        <f>TABL12[[#This Row],[( S/S+T/B) AJD]]-(TABL12[[#This Row],[(A/B + A/S) AJD]]+(TABL12[[#This Row],[(STORGE DIFF.) AJD]])+TABL12[[#This Row],[البخر  AJD]]/1000)</f>
        <v>1</v>
      </c>
      <c r="AE92" s="6">
        <v>50</v>
      </c>
      <c r="AF92" s="33">
        <v>59.07</v>
      </c>
      <c r="AG92" s="6">
        <v>1669884</v>
      </c>
      <c r="AH92" s="6">
        <f>TABL12[[#This Row],[ (RESV. STORGE) BER]]/10</f>
        <v>166988.4</v>
      </c>
      <c r="AI92" s="6">
        <v>1521</v>
      </c>
      <c r="AJ92" s="6">
        <f>TABL12[[#This Row],[(A/B TOT) AJD]]-TABL12[[#This Row],[BER_ IN]]</f>
        <v>500</v>
      </c>
      <c r="AK92" s="6">
        <v>20</v>
      </c>
      <c r="AL92" s="33">
        <v>44.713000000000001</v>
      </c>
      <c r="AM92" s="6">
        <v>4044697</v>
      </c>
      <c r="AN92" s="6">
        <f>TABL12[[#This Row],[ (RESV. STORGE) SER]]/10</f>
        <v>404469.7</v>
      </c>
      <c r="AO92" s="6">
        <v>1400</v>
      </c>
      <c r="AP92" s="32">
        <f>TABL12[[#This Row],[(A/S TOT) AJD]]-TABL12[[#This Row],[SER_ IN]]</f>
        <v>239</v>
      </c>
    </row>
    <row r="93" spans="1:42" x14ac:dyDescent="0.25">
      <c r="A93" s="2">
        <v>45749</v>
      </c>
      <c r="B93" s="28">
        <v>38</v>
      </c>
      <c r="C93" s="28">
        <v>319</v>
      </c>
      <c r="D93" s="28">
        <v>38</v>
      </c>
      <c r="E93" s="28">
        <v>0</v>
      </c>
      <c r="F93" s="28">
        <v>86</v>
      </c>
      <c r="G93" s="28">
        <v>506</v>
      </c>
      <c r="H93" s="28">
        <v>2</v>
      </c>
      <c r="I93" s="28">
        <v>411</v>
      </c>
      <c r="J93" s="28">
        <v>428</v>
      </c>
      <c r="K93" s="28">
        <f>TABL12[[#This Row],[خط (T/B  TOT) SAR]]+TABL12[[#This Row],[خط (S/S  TOT) SAR2]]</f>
        <v>839</v>
      </c>
      <c r="L93" s="28">
        <v>333</v>
      </c>
      <c r="M93" s="29">
        <v>25.1</v>
      </c>
      <c r="N93" s="30">
        <v>7.48</v>
      </c>
      <c r="O93" s="3">
        <v>381</v>
      </c>
      <c r="P93" s="3">
        <f>TABL12[[#This Row],[خط (S/S  TOT) SAR2]]-TABL12[[#This Row],[(S/S TOT) AJD]]</f>
        <v>47</v>
      </c>
      <c r="Q93" s="3">
        <v>424</v>
      </c>
      <c r="R93" s="3">
        <f>TABL12[[#This Row],[خط (T/B  TOT) SAR]]-TABL12[[#This Row],[(T/B TOT) AJD]]</f>
        <v>-13</v>
      </c>
      <c r="S93" s="3">
        <f>TABL12[[#This Row],[الفرق بين بداية ونهاية خط  S/S]]+TABL12[[#This Row],[الفرق بين بداية ونهاية خط  T/B]]</f>
        <v>34</v>
      </c>
      <c r="T93" s="3">
        <f t="shared" si="4"/>
        <v>805</v>
      </c>
      <c r="U93" s="3">
        <v>555</v>
      </c>
      <c r="V93" s="3">
        <v>254</v>
      </c>
      <c r="W93" s="3">
        <f t="shared" si="5"/>
        <v>809</v>
      </c>
      <c r="X93" s="3">
        <f t="shared" si="6"/>
        <v>-4</v>
      </c>
      <c r="Y93" s="4">
        <v>91.92</v>
      </c>
      <c r="Z93" s="3">
        <v>0</v>
      </c>
      <c r="AA93" s="3">
        <f>TABL12[[#This Row],[(RESV. STORGE) AJD]]/10</f>
        <v>0</v>
      </c>
      <c r="AB93" s="3">
        <f t="shared" si="7"/>
        <v>0</v>
      </c>
      <c r="AC93" s="6">
        <v>0</v>
      </c>
      <c r="AD93" s="5">
        <f>TABL12[[#This Row],[( S/S+T/B) AJD]]-(TABL12[[#This Row],[(A/B + A/S) AJD]]+(TABL12[[#This Row],[(STORGE DIFF.) AJD]])+TABL12[[#This Row],[البخر  AJD]]/1000)</f>
        <v>-4</v>
      </c>
      <c r="AE93" s="6">
        <v>63</v>
      </c>
      <c r="AF93" s="33">
        <v>59.055</v>
      </c>
      <c r="AG93" s="6">
        <v>1659975</v>
      </c>
      <c r="AH93" s="6">
        <f>TABL12[[#This Row],[ (RESV. STORGE) BER]]/10</f>
        <v>165997.5</v>
      </c>
      <c r="AI93" s="6">
        <v>1232</v>
      </c>
      <c r="AJ93" s="6">
        <f>TABL12[[#This Row],[(A/B TOT) AJD]]-TABL12[[#This Row],[BER_ IN]]</f>
        <v>492</v>
      </c>
      <c r="AK93" s="6">
        <v>13</v>
      </c>
      <c r="AL93" s="33">
        <v>44.71</v>
      </c>
      <c r="AM93" s="6">
        <v>4043033</v>
      </c>
      <c r="AN93" s="6">
        <f>TABL12[[#This Row],[ (RESV. STORGE) SER]]/10</f>
        <v>404303.3</v>
      </c>
      <c r="AO93" s="6">
        <v>1560</v>
      </c>
      <c r="AP93" s="32">
        <f>TABL12[[#This Row],[(A/S TOT) AJD]]-TABL12[[#This Row],[SER_ IN]]</f>
        <v>241</v>
      </c>
    </row>
    <row r="94" spans="1:42" x14ac:dyDescent="0.25">
      <c r="A94" s="2">
        <v>45750</v>
      </c>
      <c r="B94" s="28">
        <v>37</v>
      </c>
      <c r="C94" s="28">
        <v>321</v>
      </c>
      <c r="D94" s="28">
        <v>37</v>
      </c>
      <c r="E94" s="28">
        <v>0</v>
      </c>
      <c r="F94" s="28">
        <v>86</v>
      </c>
      <c r="G94" s="28">
        <v>509</v>
      </c>
      <c r="H94" s="28">
        <v>2</v>
      </c>
      <c r="I94" s="28">
        <v>406</v>
      </c>
      <c r="J94" s="28">
        <v>425</v>
      </c>
      <c r="K94" s="28">
        <f>TABL12[[#This Row],[خط (T/B  TOT) SAR]]+TABL12[[#This Row],[خط (S/S  TOT) SAR2]]</f>
        <v>831</v>
      </c>
      <c r="L94" s="28">
        <v>322</v>
      </c>
      <c r="M94" s="29">
        <v>24.7</v>
      </c>
      <c r="N94" s="30">
        <v>7.48</v>
      </c>
      <c r="O94" s="3">
        <v>378</v>
      </c>
      <c r="P94" s="3">
        <f>TABL12[[#This Row],[خط (S/S  TOT) SAR2]]-TABL12[[#This Row],[(S/S TOT) AJD]]</f>
        <v>47</v>
      </c>
      <c r="Q94" s="3">
        <v>420</v>
      </c>
      <c r="R94" s="3">
        <f>TABL12[[#This Row],[خط (T/B  TOT) SAR]]-TABL12[[#This Row],[(T/B TOT) AJD]]</f>
        <v>-14</v>
      </c>
      <c r="S94" s="3">
        <f>TABL12[[#This Row],[الفرق بين بداية ونهاية خط  S/S]]+TABL12[[#This Row],[الفرق بين بداية ونهاية خط  T/B]]</f>
        <v>33</v>
      </c>
      <c r="T94" s="3">
        <f t="shared" si="4"/>
        <v>798</v>
      </c>
      <c r="U94" s="3">
        <v>530</v>
      </c>
      <c r="V94" s="3">
        <v>273</v>
      </c>
      <c r="W94" s="3">
        <f t="shared" si="5"/>
        <v>803</v>
      </c>
      <c r="X94" s="3">
        <f t="shared" si="6"/>
        <v>-5</v>
      </c>
      <c r="Y94" s="4">
        <v>91.92</v>
      </c>
      <c r="Z94" s="3">
        <v>0</v>
      </c>
      <c r="AA94" s="3">
        <f>TABL12[[#This Row],[(RESV. STORGE) AJD]]/10</f>
        <v>0</v>
      </c>
      <c r="AB94" s="3">
        <f t="shared" si="7"/>
        <v>0</v>
      </c>
      <c r="AC94" s="6">
        <v>0</v>
      </c>
      <c r="AD94" s="5">
        <f>TABL12[[#This Row],[( S/S+T/B) AJD]]-(TABL12[[#This Row],[(A/B + A/S) AJD]]+(TABL12[[#This Row],[(STORGE DIFF.) AJD]])+TABL12[[#This Row],[البخر  AJD]]/1000)</f>
        <v>-5</v>
      </c>
      <c r="AE94" s="6">
        <v>60</v>
      </c>
      <c r="AF94" s="33">
        <v>59.021999999999998</v>
      </c>
      <c r="AG94" s="6">
        <v>1638170</v>
      </c>
      <c r="AH94" s="6">
        <f>TABL12[[#This Row],[ (RESV. STORGE) BER]]/10</f>
        <v>163817</v>
      </c>
      <c r="AI94" s="6">
        <v>2117</v>
      </c>
      <c r="AJ94" s="6">
        <f>TABL12[[#This Row],[(A/B TOT) AJD]]-TABL12[[#This Row],[BER_ IN]]</f>
        <v>470</v>
      </c>
      <c r="AK94" s="6">
        <v>0</v>
      </c>
      <c r="AL94" s="33">
        <v>44.694000000000003</v>
      </c>
      <c r="AM94" s="6">
        <v>4034165</v>
      </c>
      <c r="AN94" s="6">
        <f>TABL12[[#This Row],[ (RESV. STORGE) SER]]/10</f>
        <v>403416.5</v>
      </c>
      <c r="AO94" s="6">
        <v>1573</v>
      </c>
      <c r="AP94" s="32">
        <f>TABL12[[#This Row],[(A/S TOT) AJD]]-TABL12[[#This Row],[SER_ IN]]</f>
        <v>273</v>
      </c>
    </row>
    <row r="95" spans="1:42" x14ac:dyDescent="0.25">
      <c r="A95" s="2">
        <v>45751</v>
      </c>
      <c r="B95" s="28">
        <v>37</v>
      </c>
      <c r="C95" s="28">
        <v>313</v>
      </c>
      <c r="D95" s="28">
        <v>37</v>
      </c>
      <c r="E95" s="28">
        <v>0</v>
      </c>
      <c r="F95" s="28">
        <v>86</v>
      </c>
      <c r="G95" s="28">
        <v>503</v>
      </c>
      <c r="H95" s="28">
        <v>2</v>
      </c>
      <c r="I95" s="28">
        <v>399</v>
      </c>
      <c r="J95" s="28">
        <v>418</v>
      </c>
      <c r="K95" s="28">
        <f>TABL12[[#This Row],[خط (T/B  TOT) SAR]]+TABL12[[#This Row],[خط (S/S  TOT) SAR2]]</f>
        <v>817</v>
      </c>
      <c r="L95" s="28">
        <v>314</v>
      </c>
      <c r="M95" s="29">
        <v>24.7</v>
      </c>
      <c r="N95" s="30">
        <v>7.44</v>
      </c>
      <c r="O95" s="3">
        <v>372</v>
      </c>
      <c r="P95" s="3">
        <f>TABL12[[#This Row],[خط (S/S  TOT) SAR2]]-TABL12[[#This Row],[(S/S TOT) AJD]]</f>
        <v>46</v>
      </c>
      <c r="Q95" s="3">
        <v>415</v>
      </c>
      <c r="R95" s="3">
        <f>TABL12[[#This Row],[خط (T/B  TOT) SAR]]-TABL12[[#This Row],[(T/B TOT) AJD]]</f>
        <v>-16</v>
      </c>
      <c r="S95" s="3">
        <f>TABL12[[#This Row],[الفرق بين بداية ونهاية خط  S/S]]+TABL12[[#This Row],[الفرق بين بداية ونهاية خط  T/B]]</f>
        <v>30</v>
      </c>
      <c r="T95" s="3">
        <f t="shared" si="4"/>
        <v>787</v>
      </c>
      <c r="U95" s="3">
        <v>519</v>
      </c>
      <c r="V95" s="3">
        <v>268</v>
      </c>
      <c r="W95" s="3">
        <f t="shared" si="5"/>
        <v>787</v>
      </c>
      <c r="X95" s="3">
        <f t="shared" si="6"/>
        <v>0</v>
      </c>
      <c r="Y95" s="4">
        <v>91.92</v>
      </c>
      <c r="Z95" s="3">
        <v>0</v>
      </c>
      <c r="AA95" s="3">
        <f>TABL12[[#This Row],[(RESV. STORGE) AJD]]/10</f>
        <v>0</v>
      </c>
      <c r="AB95" s="3">
        <f t="shared" si="7"/>
        <v>0</v>
      </c>
      <c r="AC95" s="6">
        <v>0</v>
      </c>
      <c r="AD95" s="5">
        <f>TABL12[[#This Row],[( S/S+T/B) AJD]]-(TABL12[[#This Row],[(A/B + A/S) AJD]]+(TABL12[[#This Row],[(STORGE DIFF.) AJD]])+TABL12[[#This Row],[البخر  AJD]]/1000)</f>
        <v>0</v>
      </c>
      <c r="AE95" s="6">
        <v>42</v>
      </c>
      <c r="AF95" s="33">
        <v>58.975000000000001</v>
      </c>
      <c r="AG95" s="6">
        <v>1607147</v>
      </c>
      <c r="AH95" s="6">
        <f>TABL12[[#This Row],[ (RESV. STORGE) BER]]/10</f>
        <v>160714.70000000001</v>
      </c>
      <c r="AI95" s="6">
        <v>1642</v>
      </c>
      <c r="AJ95" s="6">
        <f>TABL12[[#This Row],[(A/B TOT) AJD]]-TABL12[[#This Row],[BER_ IN]]</f>
        <v>477</v>
      </c>
      <c r="AK95" s="6">
        <v>0</v>
      </c>
      <c r="AL95" s="33">
        <v>44.677</v>
      </c>
      <c r="AM95" s="6">
        <v>4024744</v>
      </c>
      <c r="AN95" s="6">
        <f>TABL12[[#This Row],[ (RESV. STORGE) SER]]/10</f>
        <v>402474.4</v>
      </c>
      <c r="AO95" s="6">
        <v>1600</v>
      </c>
      <c r="AP95" s="32">
        <f>TABL12[[#This Row],[(A/S TOT) AJD]]-TABL12[[#This Row],[SER_ IN]]</f>
        <v>268</v>
      </c>
    </row>
    <row r="96" spans="1:42" x14ac:dyDescent="0.25">
      <c r="A96" s="2">
        <v>45752</v>
      </c>
      <c r="B96" s="28">
        <v>36</v>
      </c>
      <c r="C96" s="28">
        <v>302</v>
      </c>
      <c r="D96" s="28">
        <v>37</v>
      </c>
      <c r="E96" s="28">
        <v>0</v>
      </c>
      <c r="F96" s="28">
        <v>86</v>
      </c>
      <c r="G96" s="28">
        <v>512</v>
      </c>
      <c r="H96" s="28">
        <v>2</v>
      </c>
      <c r="I96" s="28">
        <v>404</v>
      </c>
      <c r="J96" s="28">
        <v>424</v>
      </c>
      <c r="K96" s="28">
        <f>TABL12[[#This Row],[خط (T/B  TOT) SAR]]+TABL12[[#This Row],[خط (S/S  TOT) SAR2]]</f>
        <v>828</v>
      </c>
      <c r="L96" s="28">
        <v>316</v>
      </c>
      <c r="M96" s="29">
        <v>24.7</v>
      </c>
      <c r="N96" s="30">
        <v>7.39</v>
      </c>
      <c r="O96" s="3">
        <v>372</v>
      </c>
      <c r="P96" s="3">
        <f>TABL12[[#This Row],[خط (S/S  TOT) SAR2]]-TABL12[[#This Row],[(S/S TOT) AJD]]</f>
        <v>52</v>
      </c>
      <c r="Q96" s="3">
        <v>413</v>
      </c>
      <c r="R96" s="3">
        <f>TABL12[[#This Row],[خط (T/B  TOT) SAR]]-TABL12[[#This Row],[(T/B TOT) AJD]]</f>
        <v>-9</v>
      </c>
      <c r="S96" s="3">
        <f>TABL12[[#This Row],[الفرق بين بداية ونهاية خط  S/S]]+TABL12[[#This Row],[الفرق بين بداية ونهاية خط  T/B]]</f>
        <v>43</v>
      </c>
      <c r="T96" s="3">
        <f t="shared" si="4"/>
        <v>785</v>
      </c>
      <c r="U96" s="3">
        <v>521</v>
      </c>
      <c r="V96" s="3">
        <v>268</v>
      </c>
      <c r="W96" s="3">
        <f t="shared" si="5"/>
        <v>789</v>
      </c>
      <c r="X96" s="3">
        <f t="shared" si="6"/>
        <v>-4</v>
      </c>
      <c r="Y96" s="4">
        <v>91.92</v>
      </c>
      <c r="Z96" s="3">
        <v>0</v>
      </c>
      <c r="AA96" s="3">
        <f>TABL12[[#This Row],[(RESV. STORGE) AJD]]/10</f>
        <v>0</v>
      </c>
      <c r="AB96" s="3">
        <f t="shared" si="7"/>
        <v>0</v>
      </c>
      <c r="AC96" s="6">
        <v>0</v>
      </c>
      <c r="AD96" s="5">
        <f>TABL12[[#This Row],[( S/S+T/B) AJD]]-(TABL12[[#This Row],[(A/B + A/S) AJD]]+(TABL12[[#This Row],[(STORGE DIFF.) AJD]])+TABL12[[#This Row],[البخر  AJD]]/1000)</f>
        <v>-4</v>
      </c>
      <c r="AE96" s="6">
        <v>30</v>
      </c>
      <c r="AF96" s="33">
        <v>58.915999999999997</v>
      </c>
      <c r="AG96" s="6">
        <v>1568223</v>
      </c>
      <c r="AH96" s="6">
        <f>TABL12[[#This Row],[ (RESV. STORGE) BER]]/10</f>
        <v>156822.29999999999</v>
      </c>
      <c r="AI96" s="6">
        <v>2524</v>
      </c>
      <c r="AJ96" s="6">
        <f>TABL12[[#This Row],[(A/B TOT) AJD]]-TABL12[[#This Row],[BER_ IN]]</f>
        <v>491</v>
      </c>
      <c r="AK96" s="6">
        <v>0</v>
      </c>
      <c r="AL96" s="33">
        <v>44.674999999999997</v>
      </c>
      <c r="AM96" s="6">
        <v>4023636</v>
      </c>
      <c r="AN96" s="6">
        <f>TABL12[[#This Row],[ (RESV. STORGE) SER]]/10</f>
        <v>402363.6</v>
      </c>
      <c r="AO96" s="6">
        <v>1108</v>
      </c>
      <c r="AP96" s="32">
        <f>TABL12[[#This Row],[(A/S TOT) AJD]]-TABL12[[#This Row],[SER_ IN]]</f>
        <v>268</v>
      </c>
    </row>
    <row r="97" spans="1:42" x14ac:dyDescent="0.25">
      <c r="A97" s="2">
        <v>45753</v>
      </c>
      <c r="B97" s="28">
        <v>36</v>
      </c>
      <c r="C97" s="28">
        <v>296</v>
      </c>
      <c r="D97" s="28">
        <v>36</v>
      </c>
      <c r="E97" s="28">
        <v>0</v>
      </c>
      <c r="F97" s="28">
        <v>88</v>
      </c>
      <c r="G97" s="28">
        <v>513</v>
      </c>
      <c r="H97" s="28">
        <v>0</v>
      </c>
      <c r="I97" s="28">
        <v>401</v>
      </c>
      <c r="J97" s="28">
        <v>419</v>
      </c>
      <c r="K97" s="28">
        <f>TABL12[[#This Row],[خط (T/B  TOT) SAR]]+TABL12[[#This Row],[خط (S/S  TOT) SAR2]]</f>
        <v>820</v>
      </c>
      <c r="L97" s="28">
        <v>307</v>
      </c>
      <c r="M97" s="29">
        <v>24.7</v>
      </c>
      <c r="N97" s="30">
        <v>7.23</v>
      </c>
      <c r="O97" s="3">
        <v>374</v>
      </c>
      <c r="P97" s="3">
        <f>TABL12[[#This Row],[خط (S/S  TOT) SAR2]]-TABL12[[#This Row],[(S/S TOT) AJD]]</f>
        <v>45</v>
      </c>
      <c r="Q97" s="3">
        <v>417</v>
      </c>
      <c r="R97" s="3">
        <f>TABL12[[#This Row],[خط (T/B  TOT) SAR]]-TABL12[[#This Row],[(T/B TOT) AJD]]</f>
        <v>-16</v>
      </c>
      <c r="S97" s="3">
        <f>TABL12[[#This Row],[الفرق بين بداية ونهاية خط  S/S]]+TABL12[[#This Row],[الفرق بين بداية ونهاية خط  T/B]]</f>
        <v>29</v>
      </c>
      <c r="T97" s="3">
        <f t="shared" si="4"/>
        <v>791</v>
      </c>
      <c r="U97" s="3">
        <v>530</v>
      </c>
      <c r="V97" s="3">
        <v>256</v>
      </c>
      <c r="W97" s="3">
        <f t="shared" si="5"/>
        <v>786</v>
      </c>
      <c r="X97" s="3">
        <f t="shared" si="6"/>
        <v>5</v>
      </c>
      <c r="Y97" s="4">
        <v>91.92</v>
      </c>
      <c r="Z97" s="3">
        <v>0</v>
      </c>
      <c r="AA97" s="3">
        <f>TABL12[[#This Row],[(RESV. STORGE) AJD]]/10</f>
        <v>0</v>
      </c>
      <c r="AB97" s="3">
        <f t="shared" si="7"/>
        <v>0</v>
      </c>
      <c r="AC97" s="6">
        <v>0</v>
      </c>
      <c r="AD97" s="5">
        <f>TABL12[[#This Row],[( S/S+T/B) AJD]]-(TABL12[[#This Row],[(A/B + A/S) AJD]]+(TABL12[[#This Row],[(STORGE DIFF.) AJD]])+TABL12[[#This Row],[البخر  AJD]]/1000)</f>
        <v>5</v>
      </c>
      <c r="AE97" s="6">
        <v>30</v>
      </c>
      <c r="AF97" s="33">
        <v>58.86</v>
      </c>
      <c r="AG97" s="6">
        <v>1531306</v>
      </c>
      <c r="AH97" s="6">
        <f>TABL12[[#This Row],[ (RESV. STORGE) BER]]/10</f>
        <v>153130.6</v>
      </c>
      <c r="AI97" s="6">
        <v>2177</v>
      </c>
      <c r="AJ97" s="6">
        <f>TABL12[[#This Row],[(A/B TOT) AJD]]-TABL12[[#This Row],[BER_ IN]]</f>
        <v>500</v>
      </c>
      <c r="AK97" s="6">
        <v>0</v>
      </c>
      <c r="AL97" s="33">
        <v>44.656999999999996</v>
      </c>
      <c r="AM97" s="6">
        <v>4013664</v>
      </c>
      <c r="AN97" s="6">
        <f>TABL12[[#This Row],[ (RESV. STORGE) SER]]/10</f>
        <v>401366.4</v>
      </c>
      <c r="AO97" s="6">
        <v>1250</v>
      </c>
      <c r="AP97" s="32">
        <f>TABL12[[#This Row],[(A/S TOT) AJD]]-TABL12[[#This Row],[SER_ IN]]</f>
        <v>256</v>
      </c>
    </row>
    <row r="98" spans="1:42" x14ac:dyDescent="0.25">
      <c r="A98" s="2">
        <v>45754</v>
      </c>
      <c r="B98" s="28">
        <v>39</v>
      </c>
      <c r="C98" s="28">
        <v>331</v>
      </c>
      <c r="D98" s="28">
        <v>39</v>
      </c>
      <c r="E98" s="28">
        <v>0</v>
      </c>
      <c r="F98" s="28">
        <v>88</v>
      </c>
      <c r="G98" s="28">
        <v>514</v>
      </c>
      <c r="H98" s="28">
        <v>0</v>
      </c>
      <c r="I98" s="28">
        <v>402</v>
      </c>
      <c r="J98" s="28">
        <v>419</v>
      </c>
      <c r="K98" s="28">
        <f>TABL12[[#This Row],[خط (T/B  TOT) SAR]]+TABL12[[#This Row],[خط (S/S  TOT) SAR2]]</f>
        <v>821</v>
      </c>
      <c r="L98" s="28">
        <v>307</v>
      </c>
      <c r="M98" s="29">
        <v>24.7</v>
      </c>
      <c r="N98" s="30">
        <v>7.21</v>
      </c>
      <c r="O98" s="3">
        <v>378</v>
      </c>
      <c r="P98" s="3">
        <f>TABL12[[#This Row],[خط (S/S  TOT) SAR2]]-TABL12[[#This Row],[(S/S TOT) AJD]]</f>
        <v>41</v>
      </c>
      <c r="Q98" s="3">
        <v>420</v>
      </c>
      <c r="R98" s="3">
        <f>TABL12[[#This Row],[خط (T/B  TOT) SAR]]-TABL12[[#This Row],[(T/B TOT) AJD]]</f>
        <v>-18</v>
      </c>
      <c r="S98" s="3">
        <f>TABL12[[#This Row],[الفرق بين بداية ونهاية خط  S/S]]+TABL12[[#This Row],[الفرق بين بداية ونهاية خط  T/B]]</f>
        <v>23</v>
      </c>
      <c r="T98" s="3">
        <f t="shared" si="4"/>
        <v>798</v>
      </c>
      <c r="U98" s="3">
        <v>558</v>
      </c>
      <c r="V98" s="3">
        <v>243</v>
      </c>
      <c r="W98" s="3">
        <f t="shared" si="5"/>
        <v>801</v>
      </c>
      <c r="X98" s="3">
        <f t="shared" si="6"/>
        <v>-3</v>
      </c>
      <c r="Y98" s="4">
        <v>91.92</v>
      </c>
      <c r="Z98" s="3">
        <v>0</v>
      </c>
      <c r="AA98" s="3">
        <f>TABL12[[#This Row],[(RESV. STORGE) AJD]]/10</f>
        <v>0</v>
      </c>
      <c r="AB98" s="3">
        <f t="shared" si="7"/>
        <v>0</v>
      </c>
      <c r="AC98" s="6">
        <v>0</v>
      </c>
      <c r="AD98" s="5">
        <f>TABL12[[#This Row],[( S/S+T/B) AJD]]-(TABL12[[#This Row],[(A/B + A/S) AJD]]+(TABL12[[#This Row],[(STORGE DIFF.) AJD]])+TABL12[[#This Row],[البخر  AJD]]/1000)</f>
        <v>-3</v>
      </c>
      <c r="AE98" s="6">
        <v>30</v>
      </c>
      <c r="AF98" s="33">
        <v>58.805999999999997</v>
      </c>
      <c r="AG98" s="6">
        <v>1495732</v>
      </c>
      <c r="AH98" s="6">
        <f>TABL12[[#This Row],[ (RESV. STORGE) BER]]/10</f>
        <v>149573.20000000001</v>
      </c>
      <c r="AI98" s="6">
        <v>2493</v>
      </c>
      <c r="AJ98" s="6">
        <f>TABL12[[#This Row],[(A/B TOT) AJD]]-TABL12[[#This Row],[BER_ IN]]</f>
        <v>528</v>
      </c>
      <c r="AK98" s="6">
        <v>0</v>
      </c>
      <c r="AL98" s="33">
        <v>44.624000000000002</v>
      </c>
      <c r="AM98" s="6">
        <v>3995389</v>
      </c>
      <c r="AN98" s="6">
        <f>TABL12[[#This Row],[ (RESV. STORGE) SER]]/10</f>
        <v>399538.9</v>
      </c>
      <c r="AO98" s="6">
        <v>1275</v>
      </c>
      <c r="AP98" s="32">
        <f>TABL12[[#This Row],[(A/S TOT) AJD]]-TABL12[[#This Row],[SER_ IN]]</f>
        <v>243</v>
      </c>
    </row>
    <row r="99" spans="1:42" x14ac:dyDescent="0.25">
      <c r="A99" s="2">
        <v>45755</v>
      </c>
      <c r="B99" s="28">
        <v>41</v>
      </c>
      <c r="C99" s="28">
        <v>338</v>
      </c>
      <c r="D99" s="28">
        <v>40</v>
      </c>
      <c r="E99" s="28">
        <v>0</v>
      </c>
      <c r="F99" s="28">
        <v>88</v>
      </c>
      <c r="G99" s="28">
        <v>524</v>
      </c>
      <c r="H99" s="28">
        <v>0</v>
      </c>
      <c r="I99" s="28">
        <v>408</v>
      </c>
      <c r="J99" s="28">
        <v>427</v>
      </c>
      <c r="K99" s="28">
        <f>TABL12[[#This Row],[خط (T/B  TOT) SAR]]+TABL12[[#This Row],[خط (S/S  TOT) SAR2]]</f>
        <v>835</v>
      </c>
      <c r="L99" s="28">
        <v>311</v>
      </c>
      <c r="M99" s="29">
        <v>24.7</v>
      </c>
      <c r="N99" s="30">
        <v>7.32</v>
      </c>
      <c r="O99" s="3">
        <v>378</v>
      </c>
      <c r="P99" s="3">
        <f>TABL12[[#This Row],[خط (S/S  TOT) SAR2]]-TABL12[[#This Row],[(S/S TOT) AJD]]</f>
        <v>49</v>
      </c>
      <c r="Q99" s="3">
        <v>420</v>
      </c>
      <c r="R99" s="3">
        <f>TABL12[[#This Row],[خط (T/B  TOT) SAR]]-TABL12[[#This Row],[(T/B TOT) AJD]]</f>
        <v>-12</v>
      </c>
      <c r="S99" s="3">
        <f>TABL12[[#This Row],[الفرق بين بداية ونهاية خط  S/S]]+TABL12[[#This Row],[الفرق بين بداية ونهاية خط  T/B]]</f>
        <v>37</v>
      </c>
      <c r="T99" s="3">
        <f t="shared" si="4"/>
        <v>798</v>
      </c>
      <c r="U99" s="3">
        <v>562</v>
      </c>
      <c r="V99" s="3">
        <v>234</v>
      </c>
      <c r="W99" s="3">
        <f t="shared" si="5"/>
        <v>796</v>
      </c>
      <c r="X99" s="3">
        <f t="shared" si="6"/>
        <v>2</v>
      </c>
      <c r="Y99" s="4">
        <v>91.92</v>
      </c>
      <c r="Z99" s="3">
        <v>0</v>
      </c>
      <c r="AA99" s="3">
        <f>TABL12[[#This Row],[(RESV. STORGE) AJD]]/10</f>
        <v>0</v>
      </c>
      <c r="AB99" s="3">
        <f t="shared" si="7"/>
        <v>0</v>
      </c>
      <c r="AC99" s="6">
        <v>0</v>
      </c>
      <c r="AD99" s="5">
        <f>TABL12[[#This Row],[( S/S+T/B) AJD]]-(TABL12[[#This Row],[(A/B + A/S) AJD]]+(TABL12[[#This Row],[(STORGE DIFF.) AJD]])+TABL12[[#This Row],[البخر  AJD]]/1000)</f>
        <v>2</v>
      </c>
      <c r="AE99" s="6">
        <v>30</v>
      </c>
      <c r="AF99" s="33">
        <v>58.725999999999999</v>
      </c>
      <c r="AG99" s="6">
        <v>1443078</v>
      </c>
      <c r="AH99" s="6">
        <f>TABL12[[#This Row],[ (RESV. STORGE) BER]]/10</f>
        <v>144307.79999999999</v>
      </c>
      <c r="AI99" s="6">
        <v>2974</v>
      </c>
      <c r="AJ99" s="6">
        <f>TABL12[[#This Row],[(A/B TOT) AJD]]-TABL12[[#This Row],[BER_ IN]]</f>
        <v>532</v>
      </c>
      <c r="AK99" s="6">
        <v>0</v>
      </c>
      <c r="AL99" s="33">
        <v>44.615000000000002</v>
      </c>
      <c r="AM99" s="6">
        <v>3990406</v>
      </c>
      <c r="AN99" s="6">
        <f>TABL12[[#This Row],[ (RESV. STORGE) SER]]/10</f>
        <v>399040.6</v>
      </c>
      <c r="AO99" s="6">
        <v>1120</v>
      </c>
      <c r="AP99" s="32">
        <f>TABL12[[#This Row],[(A/S TOT) AJD]]-TABL12[[#This Row],[SER_ IN]]</f>
        <v>234</v>
      </c>
    </row>
    <row r="100" spans="1:42" x14ac:dyDescent="0.25">
      <c r="A100" s="2">
        <v>45756</v>
      </c>
      <c r="B100" s="28">
        <v>38</v>
      </c>
      <c r="C100" s="28">
        <v>327</v>
      </c>
      <c r="D100" s="28">
        <v>38</v>
      </c>
      <c r="E100" s="28">
        <v>0</v>
      </c>
      <c r="F100" s="28">
        <v>87</v>
      </c>
      <c r="G100" s="28">
        <v>514</v>
      </c>
      <c r="H100" s="28">
        <v>1</v>
      </c>
      <c r="I100" s="28">
        <v>409</v>
      </c>
      <c r="J100" s="28">
        <v>424</v>
      </c>
      <c r="K100" s="28">
        <f>TABL12[[#This Row],[خط (T/B  TOT) SAR]]+TABL12[[#This Row],[خط (S/S  TOT) SAR2]]</f>
        <v>833</v>
      </c>
      <c r="L100" s="28">
        <v>319</v>
      </c>
      <c r="M100" s="29">
        <v>24.7</v>
      </c>
      <c r="N100" s="30">
        <v>7.39</v>
      </c>
      <c r="O100" s="3">
        <v>379</v>
      </c>
      <c r="P100" s="3">
        <f>TABL12[[#This Row],[خط (S/S  TOT) SAR2]]-TABL12[[#This Row],[(S/S TOT) AJD]]</f>
        <v>45</v>
      </c>
      <c r="Q100" s="3">
        <v>421</v>
      </c>
      <c r="R100" s="3">
        <f>TABL12[[#This Row],[خط (T/B  TOT) SAR]]-TABL12[[#This Row],[(T/B TOT) AJD]]</f>
        <v>-12</v>
      </c>
      <c r="S100" s="3">
        <f>TABL12[[#This Row],[الفرق بين بداية ونهاية خط  S/S]]+TABL12[[#This Row],[الفرق بين بداية ونهاية خط  T/B]]</f>
        <v>33</v>
      </c>
      <c r="T100" s="3">
        <f t="shared" si="4"/>
        <v>800</v>
      </c>
      <c r="U100" s="3">
        <v>563</v>
      </c>
      <c r="V100" s="3">
        <v>230</v>
      </c>
      <c r="W100" s="3">
        <f t="shared" si="5"/>
        <v>793</v>
      </c>
      <c r="X100" s="3">
        <f t="shared" si="6"/>
        <v>7</v>
      </c>
      <c r="Y100" s="4">
        <v>91.92</v>
      </c>
      <c r="Z100" s="3">
        <v>0</v>
      </c>
      <c r="AA100" s="3">
        <f>TABL12[[#This Row],[(RESV. STORGE) AJD]]/10</f>
        <v>0</v>
      </c>
      <c r="AB100" s="3">
        <f t="shared" si="7"/>
        <v>0</v>
      </c>
      <c r="AC100" s="6">
        <v>0</v>
      </c>
      <c r="AD100" s="5">
        <f>TABL12[[#This Row],[( S/S+T/B) AJD]]-(TABL12[[#This Row],[(A/B + A/S) AJD]]+(TABL12[[#This Row],[(STORGE DIFF.) AJD]])+TABL12[[#This Row],[البخر  AJD]]/1000)</f>
        <v>7</v>
      </c>
      <c r="AE100" s="6">
        <v>40</v>
      </c>
      <c r="AF100" s="33">
        <v>58.661999999999999</v>
      </c>
      <c r="AG100" s="6">
        <v>1400994</v>
      </c>
      <c r="AH100" s="6">
        <f>TABL12[[#This Row],[ (RESV. STORGE) BER]]/10</f>
        <v>140099.4</v>
      </c>
      <c r="AI100" s="6">
        <v>2403</v>
      </c>
      <c r="AJ100" s="6">
        <f>TABL12[[#This Row],[(A/B TOT) AJD]]-TABL12[[#This Row],[BER_ IN]]</f>
        <v>523</v>
      </c>
      <c r="AK100" s="6">
        <v>0</v>
      </c>
      <c r="AL100" s="33">
        <v>44.597999999999999</v>
      </c>
      <c r="AM100" s="6">
        <v>3980997</v>
      </c>
      <c r="AN100" s="6">
        <f>TABL12[[#This Row],[ (RESV. STORGE) SER]]/10</f>
        <v>398099.7</v>
      </c>
      <c r="AO100" s="6">
        <v>1175</v>
      </c>
      <c r="AP100" s="32">
        <f>TABL12[[#This Row],[(A/S TOT) AJD]]-TABL12[[#This Row],[SER_ IN]]</f>
        <v>230</v>
      </c>
    </row>
    <row r="101" spans="1:42" x14ac:dyDescent="0.25">
      <c r="A101" s="2">
        <v>45757</v>
      </c>
      <c r="B101" s="28">
        <v>39</v>
      </c>
      <c r="C101" s="28">
        <v>334</v>
      </c>
      <c r="D101" s="28">
        <v>39</v>
      </c>
      <c r="E101" s="28">
        <v>0</v>
      </c>
      <c r="F101" s="28">
        <v>87</v>
      </c>
      <c r="G101" s="28">
        <v>524</v>
      </c>
      <c r="H101" s="28">
        <v>1</v>
      </c>
      <c r="I101" s="28">
        <v>409</v>
      </c>
      <c r="J101" s="28">
        <v>428</v>
      </c>
      <c r="K101" s="28">
        <f>TABL12[[#This Row],[خط (T/B  TOT) SAR]]+TABL12[[#This Row],[خط (S/S  TOT) SAR2]]</f>
        <v>837</v>
      </c>
      <c r="L101" s="28">
        <v>313</v>
      </c>
      <c r="M101" s="29">
        <v>24.7</v>
      </c>
      <c r="N101" s="30">
        <v>7.43</v>
      </c>
      <c r="O101" s="3">
        <v>382</v>
      </c>
      <c r="P101" s="3">
        <f>TABL12[[#This Row],[خط (S/S  TOT) SAR2]]-TABL12[[#This Row],[(S/S TOT) AJD]]</f>
        <v>46</v>
      </c>
      <c r="Q101" s="3">
        <v>424</v>
      </c>
      <c r="R101" s="3">
        <f>TABL12[[#This Row],[خط (T/B  TOT) SAR]]-TABL12[[#This Row],[(T/B TOT) AJD]]</f>
        <v>-15</v>
      </c>
      <c r="S101" s="3">
        <f>TABL12[[#This Row],[الفرق بين بداية ونهاية خط  S/S]]+TABL12[[#This Row],[الفرق بين بداية ونهاية خط  T/B]]</f>
        <v>31</v>
      </c>
      <c r="T101" s="3">
        <f t="shared" si="4"/>
        <v>806</v>
      </c>
      <c r="U101" s="3">
        <v>570</v>
      </c>
      <c r="V101" s="3">
        <v>230</v>
      </c>
      <c r="W101" s="3">
        <f t="shared" si="5"/>
        <v>800</v>
      </c>
      <c r="X101" s="3">
        <f t="shared" si="6"/>
        <v>6</v>
      </c>
      <c r="Y101" s="4">
        <v>91.92</v>
      </c>
      <c r="Z101" s="3">
        <v>0</v>
      </c>
      <c r="AA101" s="3">
        <f>TABL12[[#This Row],[(RESV. STORGE) AJD]]/10</f>
        <v>0</v>
      </c>
      <c r="AB101" s="3">
        <f t="shared" si="7"/>
        <v>0</v>
      </c>
      <c r="AC101" s="6">
        <v>0</v>
      </c>
      <c r="AD101" s="5">
        <f>TABL12[[#This Row],[( S/S+T/B) AJD]]-(TABL12[[#This Row],[(A/B + A/S) AJD]]+(TABL12[[#This Row],[(STORGE DIFF.) AJD]])+TABL12[[#This Row],[البخر  AJD]]/1000)</f>
        <v>6</v>
      </c>
      <c r="AE101" s="6">
        <v>64</v>
      </c>
      <c r="AF101" s="33">
        <v>58.634999999999998</v>
      </c>
      <c r="AG101" s="6">
        <v>1383250</v>
      </c>
      <c r="AH101" s="6">
        <f>TABL12[[#This Row],[ (RESV. STORGE) BER]]/10</f>
        <v>138325</v>
      </c>
      <c r="AI101" s="6">
        <v>2063</v>
      </c>
      <c r="AJ101" s="6">
        <f>TABL12[[#This Row],[(A/B TOT) AJD]]-TABL12[[#This Row],[BER_ IN]]</f>
        <v>506</v>
      </c>
      <c r="AK101" s="6">
        <v>24</v>
      </c>
      <c r="AL101" s="33">
        <v>44.622999999999998</v>
      </c>
      <c r="AM101" s="6">
        <v>3998835</v>
      </c>
      <c r="AN101" s="6">
        <f>TABL12[[#This Row],[ (RESV. STORGE) SER]]/10</f>
        <v>399883.5</v>
      </c>
      <c r="AO101" s="6">
        <v>1155</v>
      </c>
      <c r="AP101" s="32">
        <f>TABL12[[#This Row],[(A/S TOT) AJD]]-TABL12[[#This Row],[SER_ IN]]</f>
        <v>206</v>
      </c>
    </row>
    <row r="102" spans="1:42" x14ac:dyDescent="0.25">
      <c r="A102" s="2">
        <v>45758</v>
      </c>
      <c r="B102" s="28">
        <v>39</v>
      </c>
      <c r="C102" s="28">
        <v>334</v>
      </c>
      <c r="D102" s="28">
        <v>39</v>
      </c>
      <c r="E102" s="28">
        <v>0</v>
      </c>
      <c r="F102" s="28">
        <v>88</v>
      </c>
      <c r="G102" s="28">
        <v>527</v>
      </c>
      <c r="H102" s="28">
        <v>0</v>
      </c>
      <c r="I102" s="28">
        <v>412</v>
      </c>
      <c r="J102" s="28">
        <v>430</v>
      </c>
      <c r="K102" s="28">
        <f>TABL12[[#This Row],[خط (T/B  TOT) SAR]]+TABL12[[#This Row],[خط (S/S  TOT) SAR2]]</f>
        <v>842</v>
      </c>
      <c r="L102" s="28">
        <v>315</v>
      </c>
      <c r="M102" s="29">
        <v>24.7</v>
      </c>
      <c r="N102" s="30">
        <v>7.49</v>
      </c>
      <c r="O102" s="3">
        <v>383</v>
      </c>
      <c r="P102" s="3">
        <f>TABL12[[#This Row],[خط (S/S  TOT) SAR2]]-TABL12[[#This Row],[(S/S TOT) AJD]]</f>
        <v>47</v>
      </c>
      <c r="Q102" s="3">
        <v>425</v>
      </c>
      <c r="R102" s="3">
        <f>TABL12[[#This Row],[خط (T/B  TOT) SAR]]-TABL12[[#This Row],[(T/B TOT) AJD]]</f>
        <v>-13</v>
      </c>
      <c r="S102" s="3">
        <f>TABL12[[#This Row],[الفرق بين بداية ونهاية خط  S/S]]+TABL12[[#This Row],[الفرق بين بداية ونهاية خط  T/B]]</f>
        <v>34</v>
      </c>
      <c r="T102" s="3">
        <f t="shared" si="4"/>
        <v>808</v>
      </c>
      <c r="U102" s="3">
        <v>553</v>
      </c>
      <c r="V102" s="3">
        <v>256</v>
      </c>
      <c r="W102" s="3">
        <f t="shared" si="5"/>
        <v>809</v>
      </c>
      <c r="X102" s="3">
        <f t="shared" si="6"/>
        <v>-1</v>
      </c>
      <c r="Y102" s="4">
        <v>91.92</v>
      </c>
      <c r="Z102" s="3">
        <v>0</v>
      </c>
      <c r="AA102" s="3">
        <f>TABL12[[#This Row],[(RESV. STORGE) AJD]]/10</f>
        <v>0</v>
      </c>
      <c r="AB102" s="3">
        <f t="shared" si="7"/>
        <v>0</v>
      </c>
      <c r="AC102" s="6">
        <v>0</v>
      </c>
      <c r="AD102" s="5">
        <f>TABL12[[#This Row],[( S/S+T/B) AJD]]-(TABL12[[#This Row],[(A/B + A/S) AJD]]+(TABL12[[#This Row],[(STORGE DIFF.) AJD]])+TABL12[[#This Row],[البخر  AJD]]/1000)</f>
        <v>-1</v>
      </c>
      <c r="AE102" s="6">
        <v>70</v>
      </c>
      <c r="AF102" s="33">
        <v>58.64</v>
      </c>
      <c r="AG102" s="6">
        <v>1386536</v>
      </c>
      <c r="AH102" s="6">
        <f>TABL12[[#This Row],[ (RESV. STORGE) BER]]/10</f>
        <v>138653.6</v>
      </c>
      <c r="AI102" s="6">
        <v>1974</v>
      </c>
      <c r="AJ102" s="6">
        <f>TABL12[[#This Row],[(A/B TOT) AJD]]-TABL12[[#This Row],[BER_ IN]]</f>
        <v>483</v>
      </c>
      <c r="AK102" s="6">
        <v>40</v>
      </c>
      <c r="AL102" s="33">
        <v>44.616999999999997</v>
      </c>
      <c r="AM102" s="6">
        <v>3991514</v>
      </c>
      <c r="AN102" s="6">
        <f>TABL12[[#This Row],[ (RESV. STORGE) SER]]/10</f>
        <v>399151.4</v>
      </c>
      <c r="AO102" s="6">
        <v>1230</v>
      </c>
      <c r="AP102" s="32">
        <f>TABL12[[#This Row],[(A/S TOT) AJD]]-TABL12[[#This Row],[SER_ IN]]</f>
        <v>216</v>
      </c>
    </row>
    <row r="103" spans="1:42" x14ac:dyDescent="0.25">
      <c r="A103" s="2">
        <v>45759</v>
      </c>
      <c r="B103" s="28">
        <v>39</v>
      </c>
      <c r="C103" s="28">
        <v>332</v>
      </c>
      <c r="D103" s="28">
        <v>39</v>
      </c>
      <c r="E103" s="28">
        <v>0</v>
      </c>
      <c r="F103" s="28">
        <v>88</v>
      </c>
      <c r="G103" s="28">
        <v>512</v>
      </c>
      <c r="H103" s="28">
        <v>0</v>
      </c>
      <c r="I103" s="28">
        <v>404</v>
      </c>
      <c r="J103" s="28">
        <v>434</v>
      </c>
      <c r="K103" s="28">
        <f>TABL12[[#This Row],[خط (T/B  TOT) SAR]]+TABL12[[#This Row],[خط (S/S  TOT) SAR2]]</f>
        <v>838</v>
      </c>
      <c r="L103" s="28">
        <v>317</v>
      </c>
      <c r="M103" s="29">
        <v>24.7</v>
      </c>
      <c r="N103" s="30">
        <v>7.57</v>
      </c>
      <c r="O103" s="3">
        <v>388</v>
      </c>
      <c r="P103" s="3">
        <f>TABL12[[#This Row],[خط (S/S  TOT) SAR2]]-TABL12[[#This Row],[(S/S TOT) AJD]]</f>
        <v>46</v>
      </c>
      <c r="Q103" s="3">
        <v>430</v>
      </c>
      <c r="R103" s="3">
        <f>TABL12[[#This Row],[خط (T/B  TOT) SAR]]-TABL12[[#This Row],[(T/B TOT) AJD]]</f>
        <v>-26</v>
      </c>
      <c r="S103" s="3">
        <f>TABL12[[#This Row],[الفرق بين بداية ونهاية خط  S/S]]+TABL12[[#This Row],[الفرق بين بداية ونهاية خط  T/B]]</f>
        <v>20</v>
      </c>
      <c r="T103" s="3">
        <f t="shared" si="4"/>
        <v>818</v>
      </c>
      <c r="U103" s="3">
        <v>539</v>
      </c>
      <c r="V103" s="3">
        <v>287</v>
      </c>
      <c r="W103" s="3">
        <f t="shared" si="5"/>
        <v>826</v>
      </c>
      <c r="X103" s="3">
        <f t="shared" si="6"/>
        <v>-8</v>
      </c>
      <c r="Y103" s="4">
        <v>91.92</v>
      </c>
      <c r="Z103" s="3">
        <v>0</v>
      </c>
      <c r="AA103" s="3">
        <f>TABL12[[#This Row],[(RESV. STORGE) AJD]]/10</f>
        <v>0</v>
      </c>
      <c r="AB103" s="3">
        <f t="shared" si="7"/>
        <v>0</v>
      </c>
      <c r="AC103" s="6">
        <v>0</v>
      </c>
      <c r="AD103" s="5">
        <f>TABL12[[#This Row],[( S/S+T/B) AJD]]-(TABL12[[#This Row],[(A/B + A/S) AJD]]+(TABL12[[#This Row],[(STORGE DIFF.) AJD]])+TABL12[[#This Row],[البخر  AJD]]/1000)</f>
        <v>-8</v>
      </c>
      <c r="AE103" s="6">
        <v>70</v>
      </c>
      <c r="AF103" s="33">
        <v>58.649000000000001</v>
      </c>
      <c r="AG103" s="6">
        <v>1392450</v>
      </c>
      <c r="AH103" s="6">
        <f>TABL12[[#This Row],[ (RESV. STORGE) BER]]/10</f>
        <v>139245</v>
      </c>
      <c r="AI103" s="6">
        <v>2499</v>
      </c>
      <c r="AJ103" s="6">
        <f>TABL12[[#This Row],[(A/B TOT) AJD]]-TABL12[[#This Row],[BER_ IN]]</f>
        <v>469</v>
      </c>
      <c r="AK103" s="6">
        <v>36</v>
      </c>
      <c r="AL103" s="33">
        <v>44.652000000000001</v>
      </c>
      <c r="AM103" s="6">
        <v>4010895</v>
      </c>
      <c r="AN103" s="6">
        <f>TABL12[[#This Row],[ (RESV. STORGE) SER]]/10</f>
        <v>401089.5</v>
      </c>
      <c r="AO103" s="6">
        <v>1375</v>
      </c>
      <c r="AP103" s="32">
        <f>TABL12[[#This Row],[(A/S TOT) AJD]]-TABL12[[#This Row],[SER_ IN]]</f>
        <v>251</v>
      </c>
    </row>
    <row r="104" spans="1:42" x14ac:dyDescent="0.25">
      <c r="A104" s="2">
        <v>45760</v>
      </c>
      <c r="B104" s="28">
        <v>40</v>
      </c>
      <c r="C104" s="28">
        <v>340</v>
      </c>
      <c r="D104" s="28">
        <v>40</v>
      </c>
      <c r="E104" s="28">
        <v>0</v>
      </c>
      <c r="F104" s="28">
        <v>88</v>
      </c>
      <c r="G104" s="28">
        <v>529</v>
      </c>
      <c r="H104" s="28">
        <v>0</v>
      </c>
      <c r="I104" s="28">
        <v>414</v>
      </c>
      <c r="J104" s="28">
        <v>433</v>
      </c>
      <c r="K104" s="28">
        <f>TABL12[[#This Row],[خط (T/B  TOT) SAR]]+TABL12[[#This Row],[خط (S/S  TOT) SAR2]]</f>
        <v>847</v>
      </c>
      <c r="L104" s="28">
        <v>318</v>
      </c>
      <c r="M104" s="29">
        <v>24.7</v>
      </c>
      <c r="N104" s="30">
        <v>7.61</v>
      </c>
      <c r="O104" s="3">
        <v>385</v>
      </c>
      <c r="P104" s="3">
        <f>TABL12[[#This Row],[خط (S/S  TOT) SAR2]]-TABL12[[#This Row],[(S/S TOT) AJD]]</f>
        <v>48</v>
      </c>
      <c r="Q104" s="3">
        <v>426</v>
      </c>
      <c r="R104" s="3">
        <f>TABL12[[#This Row],[خط (T/B  TOT) SAR]]-TABL12[[#This Row],[(T/B TOT) AJD]]</f>
        <v>-12</v>
      </c>
      <c r="S104" s="3">
        <f>TABL12[[#This Row],[الفرق بين بداية ونهاية خط  S/S]]+TABL12[[#This Row],[الفرق بين بداية ونهاية خط  T/B]]</f>
        <v>36</v>
      </c>
      <c r="T104" s="3">
        <f t="shared" si="4"/>
        <v>811</v>
      </c>
      <c r="U104" s="3">
        <v>517</v>
      </c>
      <c r="V104" s="3">
        <v>293</v>
      </c>
      <c r="W104" s="3">
        <f t="shared" si="5"/>
        <v>810</v>
      </c>
      <c r="X104" s="3">
        <f t="shared" si="6"/>
        <v>1</v>
      </c>
      <c r="Y104" s="4">
        <v>91.92</v>
      </c>
      <c r="Z104" s="3">
        <v>0</v>
      </c>
      <c r="AA104" s="3">
        <f>TABL12[[#This Row],[(RESV. STORGE) AJD]]/10</f>
        <v>0</v>
      </c>
      <c r="AB104" s="3">
        <f t="shared" si="7"/>
        <v>0</v>
      </c>
      <c r="AC104" s="6">
        <v>0</v>
      </c>
      <c r="AD104" s="5">
        <f>TABL12[[#This Row],[( S/S+T/B) AJD]]-(TABL12[[#This Row],[(A/B + A/S) AJD]]+(TABL12[[#This Row],[(STORGE DIFF.) AJD]])+TABL12[[#This Row],[البخر  AJD]]/1000)</f>
        <v>1</v>
      </c>
      <c r="AE104" s="6">
        <v>70</v>
      </c>
      <c r="AF104" s="33">
        <v>58.655000000000001</v>
      </c>
      <c r="AG104" s="6">
        <v>1396393</v>
      </c>
      <c r="AH104" s="6">
        <f>TABL12[[#This Row],[ (RESV. STORGE) BER]]/10</f>
        <v>139639.29999999999</v>
      </c>
      <c r="AI104" s="6">
        <v>2146</v>
      </c>
      <c r="AJ104" s="6">
        <f>TABL12[[#This Row],[(A/B TOT) AJD]]-TABL12[[#This Row],[BER_ IN]]</f>
        <v>447</v>
      </c>
      <c r="AK104" s="6">
        <v>42</v>
      </c>
      <c r="AL104" s="33">
        <v>44.652999999999999</v>
      </c>
      <c r="AM104" s="6">
        <v>4011449</v>
      </c>
      <c r="AN104" s="6">
        <f>TABL12[[#This Row],[ (RESV. STORGE) SER]]/10</f>
        <v>401144.9</v>
      </c>
      <c r="AO104" s="6">
        <v>1390</v>
      </c>
      <c r="AP104" s="32">
        <f>TABL12[[#This Row],[(A/S TOT) AJD]]-TABL12[[#This Row],[SER_ IN]]</f>
        <v>251</v>
      </c>
    </row>
    <row r="105" spans="1:42" x14ac:dyDescent="0.25">
      <c r="A105" s="2">
        <v>45761</v>
      </c>
      <c r="B105" s="28">
        <v>39</v>
      </c>
      <c r="C105" s="28">
        <v>336</v>
      </c>
      <c r="D105" s="28">
        <v>39</v>
      </c>
      <c r="E105" s="28">
        <v>0</v>
      </c>
      <c r="F105" s="28">
        <v>88</v>
      </c>
      <c r="G105" s="28">
        <v>528</v>
      </c>
      <c r="H105" s="28">
        <v>0</v>
      </c>
      <c r="I105" s="28">
        <v>413</v>
      </c>
      <c r="J105" s="28">
        <v>433</v>
      </c>
      <c r="K105" s="28">
        <f>TABL12[[#This Row],[خط (T/B  TOT) SAR]]+TABL12[[#This Row],[خط (S/S  TOT) SAR2]]</f>
        <v>846</v>
      </c>
      <c r="L105" s="28">
        <v>318</v>
      </c>
      <c r="M105" s="29">
        <v>24.7</v>
      </c>
      <c r="N105" s="30">
        <v>7.67</v>
      </c>
      <c r="O105" s="3">
        <v>383</v>
      </c>
      <c r="P105" s="3">
        <f>TABL12[[#This Row],[خط (S/S  TOT) SAR2]]-TABL12[[#This Row],[(S/S TOT) AJD]]</f>
        <v>50</v>
      </c>
      <c r="Q105" s="3">
        <v>426</v>
      </c>
      <c r="R105" s="3">
        <f>TABL12[[#This Row],[خط (T/B  TOT) SAR]]-TABL12[[#This Row],[(T/B TOT) AJD]]</f>
        <v>-13</v>
      </c>
      <c r="S105" s="3">
        <f>TABL12[[#This Row],[الفرق بين بداية ونهاية خط  S/S]]+TABL12[[#This Row],[الفرق بين بداية ونهاية خط  T/B]]</f>
        <v>37</v>
      </c>
      <c r="T105" s="3">
        <f t="shared" si="4"/>
        <v>809</v>
      </c>
      <c r="U105" s="3">
        <v>522</v>
      </c>
      <c r="V105" s="3">
        <v>281</v>
      </c>
      <c r="W105" s="3">
        <f t="shared" si="5"/>
        <v>803</v>
      </c>
      <c r="X105" s="3">
        <f t="shared" si="6"/>
        <v>6</v>
      </c>
      <c r="Y105" s="4">
        <v>91.92</v>
      </c>
      <c r="Z105" s="3">
        <v>0</v>
      </c>
      <c r="AA105" s="3">
        <f>TABL12[[#This Row],[(RESV. STORGE) AJD]]/10</f>
        <v>0</v>
      </c>
      <c r="AB105" s="3">
        <f t="shared" si="7"/>
        <v>0</v>
      </c>
      <c r="AC105" s="6">
        <v>0</v>
      </c>
      <c r="AD105" s="5">
        <f>TABL12[[#This Row],[( S/S+T/B) AJD]]-(TABL12[[#This Row],[(A/B + A/S) AJD]]+(TABL12[[#This Row],[(STORGE DIFF.) AJD]])+TABL12[[#This Row],[البخر  AJD]]/1000)</f>
        <v>6</v>
      </c>
      <c r="AE105" s="6">
        <v>70</v>
      </c>
      <c r="AF105" s="33">
        <v>58.66</v>
      </c>
      <c r="AG105" s="6">
        <v>1399679</v>
      </c>
      <c r="AH105" s="6">
        <f>TABL12[[#This Row],[ (RESV. STORGE) BER]]/10</f>
        <v>139967.9</v>
      </c>
      <c r="AI105" s="6">
        <v>2803</v>
      </c>
      <c r="AJ105" s="6">
        <f>TABL12[[#This Row],[(A/B TOT) AJD]]-TABL12[[#This Row],[BER_ IN]]</f>
        <v>452</v>
      </c>
      <c r="AK105" s="6">
        <v>36</v>
      </c>
      <c r="AL105" s="33">
        <v>44.67</v>
      </c>
      <c r="AM105" s="6">
        <v>4022480</v>
      </c>
      <c r="AN105" s="6">
        <f>TABL12[[#This Row],[ (RESV. STORGE) SER]]/10</f>
        <v>402248</v>
      </c>
      <c r="AO105" s="6">
        <v>1425</v>
      </c>
      <c r="AP105" s="32">
        <f>TABL12[[#This Row],[(A/S TOT) AJD]]-TABL12[[#This Row],[SER_ IN]]</f>
        <v>245</v>
      </c>
    </row>
    <row r="106" spans="1:42" x14ac:dyDescent="0.25">
      <c r="A106" s="2">
        <v>45762</v>
      </c>
      <c r="B106" s="28">
        <v>39</v>
      </c>
      <c r="C106" s="28">
        <v>333</v>
      </c>
      <c r="D106" s="28">
        <v>39</v>
      </c>
      <c r="E106" s="28">
        <v>0</v>
      </c>
      <c r="F106" s="28">
        <v>88</v>
      </c>
      <c r="G106" s="28">
        <v>538</v>
      </c>
      <c r="H106" s="28">
        <v>0</v>
      </c>
      <c r="I106" s="28">
        <v>420</v>
      </c>
      <c r="J106" s="28">
        <v>439</v>
      </c>
      <c r="K106" s="28">
        <f>TABL12[[#This Row],[خط (T/B  TOT) SAR]]+TABL12[[#This Row],[خط (S/S  TOT) SAR2]]</f>
        <v>859</v>
      </c>
      <c r="L106" s="28">
        <v>321</v>
      </c>
      <c r="M106" s="29">
        <v>24.7</v>
      </c>
      <c r="N106" s="30">
        <v>7.73</v>
      </c>
      <c r="O106" s="3">
        <v>386</v>
      </c>
      <c r="P106" s="3">
        <f>TABL12[[#This Row],[خط (S/S  TOT) SAR2]]-TABL12[[#This Row],[(S/S TOT) AJD]]</f>
        <v>53</v>
      </c>
      <c r="Q106" s="3">
        <v>428</v>
      </c>
      <c r="R106" s="3">
        <f>TABL12[[#This Row],[خط (T/B  TOT) SAR]]-TABL12[[#This Row],[(T/B TOT) AJD]]</f>
        <v>-8</v>
      </c>
      <c r="S106" s="3">
        <f>TABL12[[#This Row],[الفرق بين بداية ونهاية خط  S/S]]+TABL12[[#This Row],[الفرق بين بداية ونهاية خط  T/B]]</f>
        <v>45</v>
      </c>
      <c r="T106" s="3">
        <f t="shared" si="4"/>
        <v>814</v>
      </c>
      <c r="U106" s="3">
        <v>549</v>
      </c>
      <c r="V106" s="3">
        <v>268</v>
      </c>
      <c r="W106" s="3">
        <f t="shared" si="5"/>
        <v>817</v>
      </c>
      <c r="X106" s="3">
        <f t="shared" si="6"/>
        <v>-3</v>
      </c>
      <c r="Y106" s="4">
        <v>91.92</v>
      </c>
      <c r="Z106" s="3">
        <v>0</v>
      </c>
      <c r="AA106" s="3">
        <f>TABL12[[#This Row],[(RESV. STORGE) AJD]]/10</f>
        <v>0</v>
      </c>
      <c r="AB106" s="3">
        <f t="shared" si="7"/>
        <v>0</v>
      </c>
      <c r="AC106" s="6">
        <v>0</v>
      </c>
      <c r="AD106" s="5">
        <f>TABL12[[#This Row],[( S/S+T/B) AJD]]-(TABL12[[#This Row],[(A/B + A/S) AJD]]+(TABL12[[#This Row],[(STORGE DIFF.) AJD]])+TABL12[[#This Row],[البخر  AJD]]/1000)</f>
        <v>-3</v>
      </c>
      <c r="AE106" s="6">
        <v>70</v>
      </c>
      <c r="AF106" s="33">
        <v>58.664000000000001</v>
      </c>
      <c r="AG106" s="6">
        <v>1402309</v>
      </c>
      <c r="AH106" s="6">
        <f>TABL12[[#This Row],[ (RESV. STORGE) BER]]/10</f>
        <v>140230.9</v>
      </c>
      <c r="AI106" s="6">
        <v>2630</v>
      </c>
      <c r="AJ106" s="6">
        <f>TABL12[[#This Row],[(A/B TOT) AJD]]-TABL12[[#This Row],[BER_ IN]]</f>
        <v>479</v>
      </c>
      <c r="AK106" s="6">
        <v>28</v>
      </c>
      <c r="AL106" s="33">
        <v>44.663699999999999</v>
      </c>
      <c r="AM106" s="6">
        <v>4019330</v>
      </c>
      <c r="AN106" s="6">
        <f>TABL12[[#This Row],[ (RESV. STORGE) SER]]/10</f>
        <v>401933</v>
      </c>
      <c r="AO106" s="6">
        <v>1500</v>
      </c>
      <c r="AP106" s="32">
        <f>TABL12[[#This Row],[(A/S TOT) AJD]]-TABL12[[#This Row],[SER_ IN]]</f>
        <v>240</v>
      </c>
    </row>
    <row r="107" spans="1:42" x14ac:dyDescent="0.25">
      <c r="A107" s="2">
        <v>45763</v>
      </c>
      <c r="B107" s="28">
        <v>39</v>
      </c>
      <c r="C107" s="28">
        <v>313</v>
      </c>
      <c r="D107" s="28">
        <v>39</v>
      </c>
      <c r="E107" s="28">
        <v>0</v>
      </c>
      <c r="F107" s="28">
        <v>88</v>
      </c>
      <c r="G107" s="28">
        <v>534</v>
      </c>
      <c r="H107" s="28">
        <v>0</v>
      </c>
      <c r="I107" s="28">
        <v>417</v>
      </c>
      <c r="J107" s="28">
        <v>437</v>
      </c>
      <c r="K107" s="28">
        <f>TABL12[[#This Row],[خط (T/B  TOT) SAR]]+TABL12[[#This Row],[خط (S/S  TOT) SAR2]]</f>
        <v>854</v>
      </c>
      <c r="L107" s="28">
        <v>320</v>
      </c>
      <c r="M107" s="29">
        <v>24.7</v>
      </c>
      <c r="N107" s="30">
        <v>7.72</v>
      </c>
      <c r="O107" s="3">
        <v>389</v>
      </c>
      <c r="P107" s="3">
        <f>TABL12[[#This Row],[خط (S/S  TOT) SAR2]]-TABL12[[#This Row],[(S/S TOT) AJD]]</f>
        <v>48</v>
      </c>
      <c r="Q107" s="3">
        <v>431</v>
      </c>
      <c r="R107" s="3">
        <f>TABL12[[#This Row],[خط (T/B  TOT) SAR]]-TABL12[[#This Row],[(T/B TOT) AJD]]</f>
        <v>-14</v>
      </c>
      <c r="S107" s="3">
        <f>TABL12[[#This Row],[الفرق بين بداية ونهاية خط  S/S]]+TABL12[[#This Row],[الفرق بين بداية ونهاية خط  T/B]]</f>
        <v>34</v>
      </c>
      <c r="T107" s="3">
        <f t="shared" si="4"/>
        <v>820</v>
      </c>
      <c r="U107" s="3">
        <v>533</v>
      </c>
      <c r="V107" s="3">
        <v>283</v>
      </c>
      <c r="W107" s="3">
        <f t="shared" si="5"/>
        <v>816</v>
      </c>
      <c r="X107" s="3">
        <f t="shared" si="6"/>
        <v>4</v>
      </c>
      <c r="Y107" s="4">
        <v>91.92</v>
      </c>
      <c r="Z107" s="3">
        <v>0</v>
      </c>
      <c r="AA107" s="3">
        <f>TABL12[[#This Row],[(RESV. STORGE) AJD]]/10</f>
        <v>0</v>
      </c>
      <c r="AB107" s="3">
        <f t="shared" si="7"/>
        <v>0</v>
      </c>
      <c r="AC107" s="6">
        <v>0</v>
      </c>
      <c r="AD107" s="5">
        <f>TABL12[[#This Row],[( S/S+T/B) AJD]]-(TABL12[[#This Row],[(A/B + A/S) AJD]]+(TABL12[[#This Row],[(STORGE DIFF.) AJD]])+TABL12[[#This Row],[البخر  AJD]]/1000)</f>
        <v>4</v>
      </c>
      <c r="AE107" s="6">
        <v>70</v>
      </c>
      <c r="AF107" s="33">
        <v>58.645000000000003</v>
      </c>
      <c r="AG107" s="6">
        <v>1389821</v>
      </c>
      <c r="AH107" s="6">
        <f>TABL12[[#This Row],[ (RESV. STORGE) BER]]/10</f>
        <v>138982.1</v>
      </c>
      <c r="AI107" s="6">
        <v>2807</v>
      </c>
      <c r="AJ107" s="6">
        <f>TABL12[[#This Row],[(A/B TOT) AJD]]-TABL12[[#This Row],[BER_ IN]]</f>
        <v>463</v>
      </c>
      <c r="AK107" s="6">
        <v>20</v>
      </c>
      <c r="AL107" s="33">
        <v>44.629399999999997</v>
      </c>
      <c r="AM107" s="6">
        <v>4000410</v>
      </c>
      <c r="AN107" s="6">
        <f>TABL12[[#This Row],[ (RESV. STORGE) SER]]/10</f>
        <v>400041</v>
      </c>
      <c r="AO107" s="6">
        <v>1920</v>
      </c>
      <c r="AP107" s="32">
        <f>TABL12[[#This Row],[(A/S TOT) AJD]]-TABL12[[#This Row],[SER_ IN]]</f>
        <v>263</v>
      </c>
    </row>
    <row r="108" spans="1:42" x14ac:dyDescent="0.25">
      <c r="A108" s="2">
        <v>45764</v>
      </c>
      <c r="B108" s="28">
        <v>39</v>
      </c>
      <c r="C108" s="28">
        <v>329</v>
      </c>
      <c r="D108" s="28">
        <v>39</v>
      </c>
      <c r="E108" s="28">
        <v>0</v>
      </c>
      <c r="F108" s="28">
        <v>88</v>
      </c>
      <c r="G108" s="28">
        <v>536</v>
      </c>
      <c r="H108" s="28">
        <v>0</v>
      </c>
      <c r="I108" s="28">
        <v>418</v>
      </c>
      <c r="J108" s="28">
        <v>438</v>
      </c>
      <c r="K108" s="28">
        <f>TABL12[[#This Row],[خط (T/B  TOT) SAR]]+TABL12[[#This Row],[خط (S/S  TOT) SAR2]]</f>
        <v>856</v>
      </c>
      <c r="L108" s="28">
        <v>320</v>
      </c>
      <c r="M108" s="29">
        <v>24.7</v>
      </c>
      <c r="N108" s="30">
        <v>7.75</v>
      </c>
      <c r="O108" s="3">
        <v>388</v>
      </c>
      <c r="P108" s="3">
        <f>TABL12[[#This Row],[خط (S/S  TOT) SAR2]]-TABL12[[#This Row],[(S/S TOT) AJD]]</f>
        <v>50</v>
      </c>
      <c r="Q108" s="3">
        <v>431</v>
      </c>
      <c r="R108" s="3">
        <f>TABL12[[#This Row],[خط (T/B  TOT) SAR]]-TABL12[[#This Row],[(T/B TOT) AJD]]</f>
        <v>-13</v>
      </c>
      <c r="S108" s="3">
        <f>TABL12[[#This Row],[الفرق بين بداية ونهاية خط  S/S]]+TABL12[[#This Row],[الفرق بين بداية ونهاية خط  T/B]]</f>
        <v>37</v>
      </c>
      <c r="T108" s="3">
        <f t="shared" si="4"/>
        <v>819</v>
      </c>
      <c r="U108" s="3">
        <v>548</v>
      </c>
      <c r="V108" s="3">
        <v>273</v>
      </c>
      <c r="W108" s="3">
        <f t="shared" si="5"/>
        <v>821</v>
      </c>
      <c r="X108" s="3">
        <f t="shared" si="6"/>
        <v>-2</v>
      </c>
      <c r="Y108" s="4">
        <v>91.92</v>
      </c>
      <c r="Z108" s="3">
        <v>0</v>
      </c>
      <c r="AA108" s="3">
        <f>TABL12[[#This Row],[(RESV. STORGE) AJD]]/10</f>
        <v>0</v>
      </c>
      <c r="AB108" s="3">
        <f t="shared" si="7"/>
        <v>0</v>
      </c>
      <c r="AC108" s="6">
        <v>0</v>
      </c>
      <c r="AD108" s="5">
        <f>TABL12[[#This Row],[( S/S+T/B) AJD]]-(TABL12[[#This Row],[(A/B + A/S) AJD]]+(TABL12[[#This Row],[(STORGE DIFF.) AJD]])+TABL12[[#This Row],[البخر  AJD]]/1000)</f>
        <v>-2</v>
      </c>
      <c r="AE108" s="6">
        <v>70</v>
      </c>
      <c r="AF108" s="33">
        <v>58.627000000000002</v>
      </c>
      <c r="AG108" s="6">
        <v>1377944</v>
      </c>
      <c r="AH108" s="6">
        <f>TABL12[[#This Row],[ (RESV. STORGE) BER]]/10</f>
        <v>137794.4</v>
      </c>
      <c r="AI108" s="6">
        <v>2147</v>
      </c>
      <c r="AJ108" s="6">
        <f>TABL12[[#This Row],[(A/B TOT) AJD]]-TABL12[[#This Row],[BER_ IN]]</f>
        <v>478</v>
      </c>
      <c r="AK108" s="6">
        <v>20</v>
      </c>
      <c r="AL108" s="33">
        <v>44.617699999999999</v>
      </c>
      <c r="AM108" s="6">
        <v>3990770</v>
      </c>
      <c r="AN108" s="6">
        <f>TABL12[[#This Row],[ (RESV. STORGE) SER]]/10</f>
        <v>399077</v>
      </c>
      <c r="AO108" s="6">
        <v>1640</v>
      </c>
      <c r="AP108" s="32">
        <f>TABL12[[#This Row],[(A/S TOT) AJD]]-TABL12[[#This Row],[SER_ IN]]</f>
        <v>253</v>
      </c>
    </row>
    <row r="109" spans="1:42" x14ac:dyDescent="0.25">
      <c r="A109" s="2">
        <v>45765</v>
      </c>
      <c r="B109" s="28">
        <v>39</v>
      </c>
      <c r="C109" s="28">
        <v>327</v>
      </c>
      <c r="D109" s="28">
        <v>39</v>
      </c>
      <c r="E109" s="28">
        <v>0</v>
      </c>
      <c r="F109" s="28">
        <v>88</v>
      </c>
      <c r="G109" s="28">
        <v>538</v>
      </c>
      <c r="H109" s="28">
        <v>0</v>
      </c>
      <c r="I109" s="28">
        <v>420</v>
      </c>
      <c r="J109" s="28">
        <v>439</v>
      </c>
      <c r="K109" s="28">
        <f>TABL12[[#This Row],[خط (T/B  TOT) SAR]]+TABL12[[#This Row],[خط (S/S  TOT) SAR2]]</f>
        <v>859</v>
      </c>
      <c r="L109" s="28">
        <v>321</v>
      </c>
      <c r="M109" s="29">
        <v>24.7</v>
      </c>
      <c r="N109" s="30">
        <v>7.7</v>
      </c>
      <c r="O109" s="3">
        <v>388</v>
      </c>
      <c r="P109" s="3">
        <f>TABL12[[#This Row],[خط (S/S  TOT) SAR2]]-TABL12[[#This Row],[(S/S TOT) AJD]]</f>
        <v>51</v>
      </c>
      <c r="Q109" s="3">
        <v>430</v>
      </c>
      <c r="R109" s="3">
        <f>TABL12[[#This Row],[خط (T/B  TOT) SAR]]-TABL12[[#This Row],[(T/B TOT) AJD]]</f>
        <v>-10</v>
      </c>
      <c r="S109" s="3">
        <f>TABL12[[#This Row],[الفرق بين بداية ونهاية خط  S/S]]+TABL12[[#This Row],[الفرق بين بداية ونهاية خط  T/B]]</f>
        <v>41</v>
      </c>
      <c r="T109" s="3">
        <f t="shared" si="4"/>
        <v>818</v>
      </c>
      <c r="U109" s="3">
        <v>555</v>
      </c>
      <c r="V109" s="3">
        <v>264</v>
      </c>
      <c r="W109" s="3">
        <f t="shared" si="5"/>
        <v>819</v>
      </c>
      <c r="X109" s="3">
        <f t="shared" si="6"/>
        <v>-1</v>
      </c>
      <c r="Y109" s="4">
        <v>91.92</v>
      </c>
      <c r="Z109" s="3">
        <v>0</v>
      </c>
      <c r="AA109" s="3">
        <f>TABL12[[#This Row],[(RESV. STORGE) AJD]]/10</f>
        <v>0</v>
      </c>
      <c r="AB109" s="3">
        <f t="shared" si="7"/>
        <v>0</v>
      </c>
      <c r="AC109" s="6">
        <v>0</v>
      </c>
      <c r="AD109" s="5">
        <f>TABL12[[#This Row],[( S/S+T/B) AJD]]-(TABL12[[#This Row],[(A/B + A/S) AJD]]+(TABL12[[#This Row],[(STORGE DIFF.) AJD]])+TABL12[[#This Row],[البخر  AJD]]/1000)</f>
        <v>-1</v>
      </c>
      <c r="AE109" s="6">
        <v>70</v>
      </c>
      <c r="AF109" s="33">
        <v>58.607999999999997</v>
      </c>
      <c r="AG109" s="6">
        <v>1365513</v>
      </c>
      <c r="AH109" s="6">
        <f>TABL12[[#This Row],[ (RESV. STORGE) BER]]/10</f>
        <v>136551.29999999999</v>
      </c>
      <c r="AI109" s="6">
        <v>2801</v>
      </c>
      <c r="AJ109" s="6">
        <f>TABL12[[#This Row],[(A/B TOT) AJD]]-TABL12[[#This Row],[BER_ IN]]</f>
        <v>485</v>
      </c>
      <c r="AK109" s="6">
        <v>26</v>
      </c>
      <c r="AL109" s="33">
        <v>44.617800000000003</v>
      </c>
      <c r="AM109" s="6">
        <v>3994090</v>
      </c>
      <c r="AN109" s="6">
        <f>TABL12[[#This Row],[ (RESV. STORGE) SER]]/10</f>
        <v>399409</v>
      </c>
      <c r="AO109" s="6">
        <v>1680</v>
      </c>
      <c r="AP109" s="32">
        <f>TABL12[[#This Row],[(A/S TOT) AJD]]-TABL12[[#This Row],[SER_ IN]]</f>
        <v>238</v>
      </c>
    </row>
    <row r="110" spans="1:42" x14ac:dyDescent="0.25">
      <c r="A110" s="2">
        <v>45766</v>
      </c>
      <c r="B110" s="28">
        <v>38</v>
      </c>
      <c r="C110" s="28">
        <v>317</v>
      </c>
      <c r="D110" s="28">
        <v>39</v>
      </c>
      <c r="E110" s="28">
        <v>0</v>
      </c>
      <c r="F110" s="28">
        <v>88</v>
      </c>
      <c r="G110" s="28">
        <v>533</v>
      </c>
      <c r="H110" s="28">
        <v>0</v>
      </c>
      <c r="I110" s="28">
        <v>417</v>
      </c>
      <c r="J110" s="28">
        <v>436</v>
      </c>
      <c r="K110" s="28">
        <f>TABL12[[#This Row],[خط (T/B  TOT) SAR]]+TABL12[[#This Row],[خط (S/S  TOT) SAR2]]</f>
        <v>853</v>
      </c>
      <c r="L110" s="28">
        <v>320</v>
      </c>
      <c r="M110" s="29">
        <v>24.7</v>
      </c>
      <c r="N110" s="30">
        <v>7.82</v>
      </c>
      <c r="O110" s="3">
        <v>388</v>
      </c>
      <c r="P110" s="3">
        <f>TABL12[[#This Row],[خط (S/S  TOT) SAR2]]-TABL12[[#This Row],[(S/S TOT) AJD]]</f>
        <v>48</v>
      </c>
      <c r="Q110" s="3">
        <v>430</v>
      </c>
      <c r="R110" s="3">
        <f>TABL12[[#This Row],[خط (T/B  TOT) SAR]]-TABL12[[#This Row],[(T/B TOT) AJD]]</f>
        <v>-13</v>
      </c>
      <c r="S110" s="3">
        <f>TABL12[[#This Row],[الفرق بين بداية ونهاية خط  S/S]]+TABL12[[#This Row],[الفرق بين بداية ونهاية خط  T/B]]</f>
        <v>35</v>
      </c>
      <c r="T110" s="3">
        <f t="shared" si="4"/>
        <v>818</v>
      </c>
      <c r="U110" s="3">
        <v>537</v>
      </c>
      <c r="V110" s="3">
        <v>285</v>
      </c>
      <c r="W110" s="3">
        <f t="shared" si="5"/>
        <v>822</v>
      </c>
      <c r="X110" s="3">
        <f t="shared" si="6"/>
        <v>-4</v>
      </c>
      <c r="Y110" s="4">
        <v>91.92</v>
      </c>
      <c r="Z110" s="3">
        <v>0</v>
      </c>
      <c r="AA110" s="3">
        <f>TABL12[[#This Row],[(RESV. STORGE) AJD]]/10</f>
        <v>0</v>
      </c>
      <c r="AB110" s="3">
        <f t="shared" si="7"/>
        <v>0</v>
      </c>
      <c r="AC110" s="6">
        <v>0</v>
      </c>
      <c r="AD110" s="5">
        <f>TABL12[[#This Row],[( S/S+T/B) AJD]]-(TABL12[[#This Row],[(A/B + A/S) AJD]]+(TABL12[[#This Row],[(STORGE DIFF.) AJD]])+TABL12[[#This Row],[البخر  AJD]]/1000)</f>
        <v>-4</v>
      </c>
      <c r="AE110" s="6">
        <v>70</v>
      </c>
      <c r="AF110" s="33">
        <v>58.616999999999997</v>
      </c>
      <c r="AG110" s="6">
        <v>1371425</v>
      </c>
      <c r="AH110" s="6">
        <f>TABL12[[#This Row],[ (RESV. STORGE) BER]]/10</f>
        <v>137142.5</v>
      </c>
      <c r="AI110" s="6">
        <v>2688</v>
      </c>
      <c r="AJ110" s="6">
        <f>TABL12[[#This Row],[(A/B TOT) AJD]]-TABL12[[#This Row],[BER_ IN]]</f>
        <v>467</v>
      </c>
      <c r="AK110" s="6">
        <v>40</v>
      </c>
      <c r="AL110" s="33">
        <v>44.692700000000002</v>
      </c>
      <c r="AM110" s="6">
        <v>4031780</v>
      </c>
      <c r="AN110" s="6">
        <f>TABL12[[#This Row],[ (RESV. STORGE) SER]]/10</f>
        <v>403178</v>
      </c>
      <c r="AO110" s="6">
        <v>2130</v>
      </c>
      <c r="AP110" s="32">
        <f>TABL12[[#This Row],[(A/S TOT) AJD]]-TABL12[[#This Row],[SER_ IN]]</f>
        <v>245</v>
      </c>
    </row>
    <row r="111" spans="1:42" x14ac:dyDescent="0.25">
      <c r="A111" s="2">
        <v>45767</v>
      </c>
      <c r="B111" s="28">
        <v>40</v>
      </c>
      <c r="C111" s="28">
        <v>324</v>
      </c>
      <c r="D111" s="28">
        <v>40</v>
      </c>
      <c r="E111" s="28">
        <v>0</v>
      </c>
      <c r="F111" s="28">
        <v>88</v>
      </c>
      <c r="G111" s="28">
        <v>519</v>
      </c>
      <c r="H111" s="28">
        <v>0</v>
      </c>
      <c r="I111" s="28">
        <v>411</v>
      </c>
      <c r="J111" s="28">
        <v>429</v>
      </c>
      <c r="K111" s="28">
        <f>TABL12[[#This Row],[خط (T/B  TOT) SAR]]+TABL12[[#This Row],[خط (S/S  TOT) SAR2]]</f>
        <v>840</v>
      </c>
      <c r="L111" s="28">
        <v>321</v>
      </c>
      <c r="M111" s="29">
        <v>24.7</v>
      </c>
      <c r="N111" s="30">
        <v>7.82</v>
      </c>
      <c r="O111" s="3">
        <v>387</v>
      </c>
      <c r="P111" s="3">
        <f>TABL12[[#This Row],[خط (S/S  TOT) SAR2]]-TABL12[[#This Row],[(S/S TOT) AJD]]</f>
        <v>42</v>
      </c>
      <c r="Q111" s="3">
        <v>428</v>
      </c>
      <c r="R111" s="3">
        <f>TABL12[[#This Row],[خط (T/B  TOT) SAR]]-TABL12[[#This Row],[(T/B TOT) AJD]]</f>
        <v>-17</v>
      </c>
      <c r="S111" s="3">
        <f>TABL12[[#This Row],[الفرق بين بداية ونهاية خط  S/S]]+TABL12[[#This Row],[الفرق بين بداية ونهاية خط  T/B]]</f>
        <v>25</v>
      </c>
      <c r="T111" s="3">
        <f t="shared" si="4"/>
        <v>815</v>
      </c>
      <c r="U111" s="3">
        <v>526</v>
      </c>
      <c r="V111" s="3">
        <v>294</v>
      </c>
      <c r="W111" s="3">
        <f t="shared" si="5"/>
        <v>820</v>
      </c>
      <c r="X111" s="3">
        <f t="shared" si="6"/>
        <v>-5</v>
      </c>
      <c r="Y111" s="4">
        <v>91.92</v>
      </c>
      <c r="Z111" s="3">
        <v>0</v>
      </c>
      <c r="AA111" s="3">
        <f>TABL12[[#This Row],[(RESV. STORGE) AJD]]/10</f>
        <v>0</v>
      </c>
      <c r="AB111" s="3">
        <f t="shared" si="7"/>
        <v>0</v>
      </c>
      <c r="AC111" s="6">
        <v>0</v>
      </c>
      <c r="AD111" s="5">
        <f>TABL12[[#This Row],[( S/S+T/B) AJD]]-(TABL12[[#This Row],[(A/B + A/S) AJD]]+(TABL12[[#This Row],[(STORGE DIFF.) AJD]])+TABL12[[#This Row],[البخر  AJD]]/1000)</f>
        <v>-5</v>
      </c>
      <c r="AE111" s="6">
        <v>70</v>
      </c>
      <c r="AF111" s="33">
        <v>58.598999999999997</v>
      </c>
      <c r="AG111" s="6">
        <v>1359602</v>
      </c>
      <c r="AH111" s="6">
        <f>TABL12[[#This Row],[ (RESV. STORGE) BER]]/10</f>
        <v>135960.20000000001</v>
      </c>
      <c r="AI111" s="6">
        <v>2142</v>
      </c>
      <c r="AJ111" s="6">
        <f>TABL12[[#This Row],[(A/B TOT) AJD]]-TABL12[[#This Row],[BER_ IN]]</f>
        <v>456</v>
      </c>
      <c r="AK111" s="6">
        <v>37</v>
      </c>
      <c r="AL111" s="33">
        <v>44.709899999999998</v>
      </c>
      <c r="AM111" s="6">
        <v>4045080</v>
      </c>
      <c r="AN111" s="6">
        <f>TABL12[[#This Row],[ (RESV. STORGE) SER]]/10</f>
        <v>404508</v>
      </c>
      <c r="AO111" s="6">
        <v>1700</v>
      </c>
      <c r="AP111" s="32">
        <f>TABL12[[#This Row],[(A/S TOT) AJD]]-TABL12[[#This Row],[SER_ IN]]</f>
        <v>257</v>
      </c>
    </row>
    <row r="112" spans="1:42" x14ac:dyDescent="0.25">
      <c r="A112" s="2">
        <v>45768</v>
      </c>
      <c r="B112" s="28">
        <v>40</v>
      </c>
      <c r="C112" s="28">
        <v>333</v>
      </c>
      <c r="D112" s="28">
        <v>40</v>
      </c>
      <c r="E112" s="28">
        <v>0</v>
      </c>
      <c r="F112" s="28">
        <v>88</v>
      </c>
      <c r="G112" s="28">
        <v>530</v>
      </c>
      <c r="H112" s="28">
        <v>0</v>
      </c>
      <c r="I112" s="28">
        <v>417</v>
      </c>
      <c r="J112" s="28">
        <v>436</v>
      </c>
      <c r="K112" s="28">
        <f>TABL12[[#This Row],[خط (T/B  TOT) SAR]]+TABL12[[#This Row],[خط (S/S  TOT) SAR2]]</f>
        <v>853</v>
      </c>
      <c r="L112" s="28">
        <v>323</v>
      </c>
      <c r="M112" s="29">
        <v>24.7</v>
      </c>
      <c r="N112" s="30">
        <v>7.89</v>
      </c>
      <c r="O112" s="3">
        <v>384</v>
      </c>
      <c r="P112" s="3">
        <f>TABL12[[#This Row],[خط (S/S  TOT) SAR2]]-TABL12[[#This Row],[(S/S TOT) AJD]]</f>
        <v>52</v>
      </c>
      <c r="Q112" s="3">
        <v>427</v>
      </c>
      <c r="R112" s="3">
        <f>TABL12[[#This Row],[خط (T/B  TOT) SAR]]-TABL12[[#This Row],[(T/B TOT) AJD]]</f>
        <v>-10</v>
      </c>
      <c r="S112" s="3">
        <f>TABL12[[#This Row],[الفرق بين بداية ونهاية خط  S/S]]+TABL12[[#This Row],[الفرق بين بداية ونهاية خط  T/B]]</f>
        <v>42</v>
      </c>
      <c r="T112" s="3">
        <f t="shared" si="4"/>
        <v>811</v>
      </c>
      <c r="U112" s="3">
        <v>545</v>
      </c>
      <c r="V112" s="3">
        <v>266</v>
      </c>
      <c r="W112" s="3">
        <f t="shared" si="5"/>
        <v>811</v>
      </c>
      <c r="X112" s="3">
        <f t="shared" si="6"/>
        <v>0</v>
      </c>
      <c r="Y112" s="4">
        <v>91.92</v>
      </c>
      <c r="Z112" s="3">
        <v>0</v>
      </c>
      <c r="AA112" s="3">
        <f>TABL12[[#This Row],[(RESV. STORGE) AJD]]/10</f>
        <v>0</v>
      </c>
      <c r="AB112" s="3">
        <f t="shared" si="7"/>
        <v>0</v>
      </c>
      <c r="AC112" s="6">
        <v>0</v>
      </c>
      <c r="AD112" s="5">
        <f>TABL12[[#This Row],[( S/S+T/B) AJD]]-(TABL12[[#This Row],[(A/B + A/S) AJD]]+(TABL12[[#This Row],[(STORGE DIFF.) AJD]])+TABL12[[#This Row],[البخر  AJD]]/1000)</f>
        <v>0</v>
      </c>
      <c r="AE112" s="6">
        <v>70</v>
      </c>
      <c r="AF112" s="33">
        <v>58.615000000000002</v>
      </c>
      <c r="AG112" s="6">
        <v>1370111</v>
      </c>
      <c r="AH112" s="6">
        <f>TABL12[[#This Row],[ (RESV. STORGE) BER]]/10</f>
        <v>137011.1</v>
      </c>
      <c r="AI112" s="6">
        <v>1391</v>
      </c>
      <c r="AJ112" s="6">
        <f>TABL12[[#This Row],[(A/B TOT) AJD]]-TABL12[[#This Row],[BER_ IN]]</f>
        <v>475</v>
      </c>
      <c r="AK112" s="6">
        <v>20</v>
      </c>
      <c r="AL112" s="33">
        <v>44.703499999999998</v>
      </c>
      <c r="AM112" s="6">
        <v>4041200</v>
      </c>
      <c r="AN112" s="6">
        <f>TABL12[[#This Row],[ (RESV. STORGE) SER]]/10</f>
        <v>404120</v>
      </c>
      <c r="AO112" s="6">
        <v>1880</v>
      </c>
      <c r="AP112" s="32">
        <f>TABL12[[#This Row],[(A/S TOT) AJD]]-TABL12[[#This Row],[SER_ IN]]</f>
        <v>246</v>
      </c>
    </row>
    <row r="113" spans="1:42" x14ac:dyDescent="0.25">
      <c r="A113" s="2">
        <v>45769</v>
      </c>
      <c r="B113" s="28">
        <v>39</v>
      </c>
      <c r="C113" s="28">
        <v>321</v>
      </c>
      <c r="D113" s="28">
        <v>40</v>
      </c>
      <c r="E113" s="28">
        <v>0</v>
      </c>
      <c r="F113" s="28">
        <v>88</v>
      </c>
      <c r="G113" s="28">
        <v>521</v>
      </c>
      <c r="H113" s="28">
        <v>0</v>
      </c>
      <c r="I113" s="28">
        <v>412</v>
      </c>
      <c r="J113" s="28">
        <v>429</v>
      </c>
      <c r="K113" s="28">
        <f>TABL12[[#This Row],[خط (T/B  TOT) SAR]]+TABL12[[#This Row],[خط (S/S  TOT) SAR2]]</f>
        <v>841</v>
      </c>
      <c r="L113" s="28">
        <v>320</v>
      </c>
      <c r="M113" s="29">
        <v>24.7</v>
      </c>
      <c r="N113" s="30">
        <v>7.92</v>
      </c>
      <c r="O113" s="3">
        <v>384</v>
      </c>
      <c r="P113" s="3">
        <f>TABL12[[#This Row],[خط (S/S  TOT) SAR2]]-TABL12[[#This Row],[(S/S TOT) AJD]]</f>
        <v>45</v>
      </c>
      <c r="Q113" s="3">
        <v>426</v>
      </c>
      <c r="R113" s="3">
        <f>TABL12[[#This Row],[خط (T/B  TOT) SAR]]-TABL12[[#This Row],[(T/B TOT) AJD]]</f>
        <v>-14</v>
      </c>
      <c r="S113" s="3">
        <f>TABL12[[#This Row],[الفرق بين بداية ونهاية خط  S/S]]+TABL12[[#This Row],[الفرق بين بداية ونهاية خط  T/B]]</f>
        <v>31</v>
      </c>
      <c r="T113" s="3">
        <f t="shared" si="4"/>
        <v>810</v>
      </c>
      <c r="U113" s="3">
        <v>529</v>
      </c>
      <c r="V113" s="3">
        <v>285</v>
      </c>
      <c r="W113" s="3">
        <f t="shared" si="5"/>
        <v>814</v>
      </c>
      <c r="X113" s="3">
        <f t="shared" si="6"/>
        <v>-4</v>
      </c>
      <c r="Y113" s="4">
        <v>91.92</v>
      </c>
      <c r="Z113" s="3">
        <v>0</v>
      </c>
      <c r="AA113" s="3">
        <f>TABL12[[#This Row],[(RESV. STORGE) AJD]]/10</f>
        <v>0</v>
      </c>
      <c r="AB113" s="3">
        <f t="shared" si="7"/>
        <v>0</v>
      </c>
      <c r="AC113" s="6">
        <v>0</v>
      </c>
      <c r="AD113" s="5">
        <f>TABL12[[#This Row],[( S/S+T/B) AJD]]-(TABL12[[#This Row],[(A/B + A/S) AJD]]+(TABL12[[#This Row],[(STORGE DIFF.) AJD]])+TABL12[[#This Row],[البخر  AJD]]/1000)</f>
        <v>-4</v>
      </c>
      <c r="AE113" s="6">
        <v>70</v>
      </c>
      <c r="AF113" s="33">
        <v>58.597000000000001</v>
      </c>
      <c r="AG113" s="6">
        <v>1358289</v>
      </c>
      <c r="AH113" s="6">
        <f>TABL12[[#This Row],[ (RESV. STORGE) BER]]/10</f>
        <v>135828.9</v>
      </c>
      <c r="AI113" s="6">
        <v>2142</v>
      </c>
      <c r="AJ113" s="6">
        <f>TABL12[[#This Row],[(A/B TOT) AJD]]-TABL12[[#This Row],[BER_ IN]]</f>
        <v>459</v>
      </c>
      <c r="AK113" s="6">
        <v>20</v>
      </c>
      <c r="AL113" s="33">
        <v>44.671399999999998</v>
      </c>
      <c r="AM113" s="6">
        <v>4023460</v>
      </c>
      <c r="AN113" s="6">
        <f>TABL12[[#This Row],[ (RESV. STORGE) SER]]/10</f>
        <v>402346</v>
      </c>
      <c r="AO113" s="6">
        <v>1740</v>
      </c>
      <c r="AP113" s="32">
        <f>TABL12[[#This Row],[(A/S TOT) AJD]]-TABL12[[#This Row],[SER_ IN]]</f>
        <v>265</v>
      </c>
    </row>
    <row r="114" spans="1:42" x14ac:dyDescent="0.25">
      <c r="A114" s="2">
        <v>45770</v>
      </c>
      <c r="B114" s="28">
        <v>39</v>
      </c>
      <c r="C114" s="28">
        <v>322</v>
      </c>
      <c r="D114" s="28">
        <v>40</v>
      </c>
      <c r="E114" s="28">
        <v>0</v>
      </c>
      <c r="F114" s="28">
        <v>88</v>
      </c>
      <c r="G114" s="28">
        <v>530</v>
      </c>
      <c r="H114" s="28">
        <v>0</v>
      </c>
      <c r="I114" s="28">
        <v>417</v>
      </c>
      <c r="J114" s="28">
        <v>436</v>
      </c>
      <c r="K114" s="28">
        <f>TABL12[[#This Row],[خط (T/B  TOT) SAR]]+TABL12[[#This Row],[خط (S/S  TOT) SAR2]]</f>
        <v>853</v>
      </c>
      <c r="L114" s="28">
        <v>323</v>
      </c>
      <c r="M114" s="29">
        <v>24.7</v>
      </c>
      <c r="N114" s="30">
        <v>7.91</v>
      </c>
      <c r="O114" s="3">
        <v>384</v>
      </c>
      <c r="P114" s="3">
        <f>TABL12[[#This Row],[خط (S/S  TOT) SAR2]]-TABL12[[#This Row],[(S/S TOT) AJD]]</f>
        <v>52</v>
      </c>
      <c r="Q114" s="3">
        <v>426</v>
      </c>
      <c r="R114" s="3">
        <f>TABL12[[#This Row],[خط (T/B  TOT) SAR]]-TABL12[[#This Row],[(T/B TOT) AJD]]</f>
        <v>-9</v>
      </c>
      <c r="S114" s="3">
        <f>TABL12[[#This Row],[الفرق بين بداية ونهاية خط  S/S]]+TABL12[[#This Row],[الفرق بين بداية ونهاية خط  T/B]]</f>
        <v>43</v>
      </c>
      <c r="T114" s="3">
        <f t="shared" si="4"/>
        <v>810</v>
      </c>
      <c r="U114" s="3">
        <v>550</v>
      </c>
      <c r="V114" s="3">
        <v>261</v>
      </c>
      <c r="W114" s="3">
        <f t="shared" si="5"/>
        <v>811</v>
      </c>
      <c r="X114" s="3">
        <f t="shared" si="6"/>
        <v>-1</v>
      </c>
      <c r="Y114" s="4">
        <v>91.92</v>
      </c>
      <c r="Z114" s="3">
        <v>0</v>
      </c>
      <c r="AA114" s="3">
        <f>TABL12[[#This Row],[(RESV. STORGE) AJD]]/10</f>
        <v>0</v>
      </c>
      <c r="AB114" s="3">
        <f t="shared" si="7"/>
        <v>0</v>
      </c>
      <c r="AC114" s="6">
        <v>0</v>
      </c>
      <c r="AD114" s="5">
        <f>TABL12[[#This Row],[( S/S+T/B) AJD]]-(TABL12[[#This Row],[(A/B + A/S) AJD]]+(TABL12[[#This Row],[(STORGE DIFF.) AJD]])+TABL12[[#This Row],[البخر  AJD]]/1000)</f>
        <v>-1</v>
      </c>
      <c r="AE114" s="6">
        <v>70</v>
      </c>
      <c r="AF114" s="33">
        <v>58.598999999999997</v>
      </c>
      <c r="AG114" s="6">
        <v>1359602</v>
      </c>
      <c r="AH114" s="6">
        <f>TABL12[[#This Row],[ (RESV. STORGE) BER]]/10</f>
        <v>135960.20000000001</v>
      </c>
      <c r="AI114" s="6">
        <v>2286</v>
      </c>
      <c r="AJ114" s="6">
        <f>TABL12[[#This Row],[(A/B TOT) AJD]]-TABL12[[#This Row],[BER_ IN]]</f>
        <v>480</v>
      </c>
      <c r="AK114" s="6">
        <v>20</v>
      </c>
      <c r="AL114" s="33">
        <v>44.628599999999999</v>
      </c>
      <c r="AM114" s="6">
        <v>4000190</v>
      </c>
      <c r="AN114" s="6">
        <f>TABL12[[#This Row],[ (RESV. STORGE) SER]]/10</f>
        <v>400019</v>
      </c>
      <c r="AO114" s="6">
        <v>1270</v>
      </c>
      <c r="AP114" s="32">
        <f>TABL12[[#This Row],[(A/S TOT) AJD]]-TABL12[[#This Row],[SER_ IN]]</f>
        <v>241</v>
      </c>
    </row>
    <row r="115" spans="1:42" x14ac:dyDescent="0.25">
      <c r="A115" s="2">
        <v>45771</v>
      </c>
      <c r="B115" s="28">
        <v>40</v>
      </c>
      <c r="C115" s="28">
        <v>334</v>
      </c>
      <c r="D115" s="28">
        <v>40</v>
      </c>
      <c r="E115" s="28">
        <v>0</v>
      </c>
      <c r="F115" s="28">
        <v>88</v>
      </c>
      <c r="G115" s="28">
        <v>528</v>
      </c>
      <c r="H115" s="28">
        <v>0</v>
      </c>
      <c r="I115" s="28">
        <v>416</v>
      </c>
      <c r="J115" s="28">
        <v>436</v>
      </c>
      <c r="K115" s="28">
        <f>TABL12[[#This Row],[خط (T/B  TOT) SAR]]+TABL12[[#This Row],[خط (S/S  TOT) SAR2]]</f>
        <v>852</v>
      </c>
      <c r="L115" s="28">
        <v>324</v>
      </c>
      <c r="M115" s="29">
        <v>24.7</v>
      </c>
      <c r="N115" s="30">
        <v>7.96</v>
      </c>
      <c r="O115" s="3">
        <v>384</v>
      </c>
      <c r="P115" s="3">
        <f>TABL12[[#This Row],[خط (S/S  TOT) SAR2]]-TABL12[[#This Row],[(S/S TOT) AJD]]</f>
        <v>52</v>
      </c>
      <c r="Q115" s="3">
        <v>426</v>
      </c>
      <c r="R115" s="3">
        <f>TABL12[[#This Row],[خط (T/B  TOT) SAR]]-TABL12[[#This Row],[(T/B TOT) AJD]]</f>
        <v>-10</v>
      </c>
      <c r="S115" s="3">
        <f>TABL12[[#This Row],[الفرق بين بداية ونهاية خط  S/S]]+TABL12[[#This Row],[الفرق بين بداية ونهاية خط  T/B]]</f>
        <v>42</v>
      </c>
      <c r="T115" s="3">
        <f t="shared" si="4"/>
        <v>810</v>
      </c>
      <c r="U115" s="3">
        <v>545</v>
      </c>
      <c r="V115" s="3">
        <v>268</v>
      </c>
      <c r="W115" s="3">
        <f t="shared" si="5"/>
        <v>813</v>
      </c>
      <c r="X115" s="3">
        <f t="shared" si="6"/>
        <v>-3</v>
      </c>
      <c r="Y115" s="4">
        <v>91.92</v>
      </c>
      <c r="Z115" s="3">
        <v>0</v>
      </c>
      <c r="AA115" s="3">
        <f>TABL12[[#This Row],[(RESV. STORGE) AJD]]/10</f>
        <v>0</v>
      </c>
      <c r="AB115" s="3">
        <f t="shared" si="7"/>
        <v>0</v>
      </c>
      <c r="AC115" s="6">
        <v>0</v>
      </c>
      <c r="AD115" s="5">
        <f>TABL12[[#This Row],[( S/S+T/B) AJD]]-(TABL12[[#This Row],[(A/B + A/S) AJD]]+(TABL12[[#This Row],[(STORGE DIFF.) AJD]])+TABL12[[#This Row],[البخر  AJD]]/1000)</f>
        <v>-3</v>
      </c>
      <c r="AE115" s="6">
        <v>70</v>
      </c>
      <c r="AF115" s="33">
        <v>58.610999999999997</v>
      </c>
      <c r="AG115" s="6">
        <v>1367484</v>
      </c>
      <c r="AH115" s="6">
        <f>TABL12[[#This Row],[ (RESV. STORGE) BER]]/10</f>
        <v>136748.4</v>
      </c>
      <c r="AI115" s="6">
        <v>2358</v>
      </c>
      <c r="AJ115" s="6">
        <f>TABL12[[#This Row],[(A/B TOT) AJD]]-TABL12[[#This Row],[BER_ IN]]</f>
        <v>475</v>
      </c>
      <c r="AK115" s="6">
        <v>20</v>
      </c>
      <c r="AL115" s="33">
        <v>44.478299999999997</v>
      </c>
      <c r="AM115" s="6">
        <v>3917180</v>
      </c>
      <c r="AN115" s="6">
        <f>TABL12[[#This Row],[ (RESV. STORGE) SER]]/10</f>
        <v>391718</v>
      </c>
      <c r="AO115" s="6">
        <v>1010</v>
      </c>
      <c r="AP115" s="32">
        <f>TABL12[[#This Row],[(A/S TOT) AJD]]-TABL12[[#This Row],[SER_ IN]]</f>
        <v>248</v>
      </c>
    </row>
    <row r="116" spans="1:42" x14ac:dyDescent="0.25">
      <c r="A116" s="2">
        <v>45772</v>
      </c>
      <c r="B116" s="28">
        <v>40</v>
      </c>
      <c r="C116" s="28">
        <v>334</v>
      </c>
      <c r="D116" s="28">
        <v>40</v>
      </c>
      <c r="E116" s="28">
        <v>0</v>
      </c>
      <c r="F116" s="28">
        <v>88</v>
      </c>
      <c r="G116" s="28">
        <v>529</v>
      </c>
      <c r="H116" s="28">
        <v>0</v>
      </c>
      <c r="I116" s="28">
        <v>417</v>
      </c>
      <c r="J116" s="28">
        <v>436</v>
      </c>
      <c r="K116" s="28">
        <f>TABL12[[#This Row],[خط (T/B  TOT) SAR]]+TABL12[[#This Row],[خط (S/S  TOT) SAR2]]</f>
        <v>853</v>
      </c>
      <c r="L116" s="28">
        <v>324</v>
      </c>
      <c r="M116" s="29">
        <v>24.7</v>
      </c>
      <c r="N116" s="30">
        <v>8.08</v>
      </c>
      <c r="O116" s="3">
        <v>385</v>
      </c>
      <c r="P116" s="3">
        <f>TABL12[[#This Row],[خط (S/S  TOT) SAR2]]-TABL12[[#This Row],[(S/S TOT) AJD]]</f>
        <v>51</v>
      </c>
      <c r="Q116" s="3">
        <v>427</v>
      </c>
      <c r="R116" s="3">
        <f>TABL12[[#This Row],[خط (T/B  TOT) SAR]]-TABL12[[#This Row],[(T/B TOT) AJD]]</f>
        <v>-10</v>
      </c>
      <c r="S116" s="3">
        <f>TABL12[[#This Row],[الفرق بين بداية ونهاية خط  S/S]]+TABL12[[#This Row],[الفرق بين بداية ونهاية خط  T/B]]</f>
        <v>41</v>
      </c>
      <c r="T116" s="3">
        <f t="shared" si="4"/>
        <v>812</v>
      </c>
      <c r="U116" s="3">
        <v>539</v>
      </c>
      <c r="V116" s="3">
        <v>274</v>
      </c>
      <c r="W116" s="3">
        <f t="shared" si="5"/>
        <v>813</v>
      </c>
      <c r="X116" s="3">
        <f t="shared" si="6"/>
        <v>-1</v>
      </c>
      <c r="Y116" s="4">
        <v>91.92</v>
      </c>
      <c r="Z116" s="3">
        <v>0</v>
      </c>
      <c r="AA116" s="3">
        <f>TABL12[[#This Row],[(RESV. STORGE) AJD]]/10</f>
        <v>0</v>
      </c>
      <c r="AB116" s="3">
        <f t="shared" si="7"/>
        <v>0</v>
      </c>
      <c r="AC116" s="6">
        <v>0</v>
      </c>
      <c r="AD116" s="5">
        <f>TABL12[[#This Row],[( S/S+T/B) AJD]]-(TABL12[[#This Row],[(A/B + A/S) AJD]]+(TABL12[[#This Row],[(STORGE DIFF.) AJD]])+TABL12[[#This Row],[البخر  AJD]]/1000)</f>
        <v>-1</v>
      </c>
      <c r="AE116" s="6">
        <v>70</v>
      </c>
      <c r="AF116" s="33">
        <v>58.622999999999998</v>
      </c>
      <c r="AG116" s="6">
        <v>1375366</v>
      </c>
      <c r="AH116" s="6">
        <f>TABL12[[#This Row],[ (RESV. STORGE) BER]]/10</f>
        <v>137536.6</v>
      </c>
      <c r="AI116" s="6">
        <v>2357</v>
      </c>
      <c r="AJ116" s="6">
        <f>TABL12[[#This Row],[(A/B TOT) AJD]]-TABL12[[#This Row],[BER_ IN]]</f>
        <v>469</v>
      </c>
      <c r="AK116" s="6">
        <v>20</v>
      </c>
      <c r="AL116" s="33">
        <v>44.319400000000002</v>
      </c>
      <c r="AM116" s="6">
        <v>3828830</v>
      </c>
      <c r="AN116" s="6">
        <f>TABL12[[#This Row],[ (RESV. STORGE) SER]]/10</f>
        <v>382883</v>
      </c>
      <c r="AO116" s="6">
        <v>1350</v>
      </c>
      <c r="AP116" s="32">
        <f>TABL12[[#This Row],[(A/S TOT) AJD]]-TABL12[[#This Row],[SER_ IN]]</f>
        <v>254</v>
      </c>
    </row>
    <row r="117" spans="1:42" x14ac:dyDescent="0.25">
      <c r="A117" s="2">
        <v>45773</v>
      </c>
      <c r="B117" s="28">
        <v>40</v>
      </c>
      <c r="C117" s="28">
        <v>330</v>
      </c>
      <c r="D117" s="28">
        <v>40</v>
      </c>
      <c r="E117" s="28">
        <v>0</v>
      </c>
      <c r="F117" s="28">
        <v>88</v>
      </c>
      <c r="G117" s="28">
        <v>524</v>
      </c>
      <c r="H117" s="28">
        <v>0</v>
      </c>
      <c r="I117" s="28">
        <v>415</v>
      </c>
      <c r="J117" s="28">
        <v>434</v>
      </c>
      <c r="K117" s="28">
        <f>TABL12[[#This Row],[خط (T/B  TOT) SAR]]+TABL12[[#This Row],[خط (S/S  TOT) SAR2]]</f>
        <v>849</v>
      </c>
      <c r="L117" s="28">
        <v>325</v>
      </c>
      <c r="M117" s="29">
        <v>24.7</v>
      </c>
      <c r="N117" s="30">
        <v>8.11</v>
      </c>
      <c r="O117" s="3">
        <v>385</v>
      </c>
      <c r="P117" s="3">
        <f>TABL12[[#This Row],[خط (S/S  TOT) SAR2]]-TABL12[[#This Row],[(S/S TOT) AJD]]</f>
        <v>49</v>
      </c>
      <c r="Q117" s="3">
        <v>427</v>
      </c>
      <c r="R117" s="3">
        <f>TABL12[[#This Row],[خط (T/B  TOT) SAR]]-TABL12[[#This Row],[(T/B TOT) AJD]]</f>
        <v>-12</v>
      </c>
      <c r="S117" s="3">
        <f>TABL12[[#This Row],[الفرق بين بداية ونهاية خط  S/S]]+TABL12[[#This Row],[الفرق بين بداية ونهاية خط  T/B]]</f>
        <v>37</v>
      </c>
      <c r="T117" s="3">
        <f t="shared" si="4"/>
        <v>812</v>
      </c>
      <c r="U117" s="3">
        <v>532</v>
      </c>
      <c r="V117" s="3">
        <v>283</v>
      </c>
      <c r="W117" s="3">
        <f t="shared" si="5"/>
        <v>815</v>
      </c>
      <c r="X117" s="3">
        <f t="shared" si="6"/>
        <v>-3</v>
      </c>
      <c r="Y117" s="4">
        <v>91.92</v>
      </c>
      <c r="Z117" s="3">
        <v>0</v>
      </c>
      <c r="AA117" s="3">
        <f>TABL12[[#This Row],[(RESV. STORGE) AJD]]/10</f>
        <v>0</v>
      </c>
      <c r="AB117" s="3">
        <f t="shared" si="7"/>
        <v>0</v>
      </c>
      <c r="AC117" s="6">
        <v>0</v>
      </c>
      <c r="AD117" s="5">
        <f>TABL12[[#This Row],[( S/S+T/B) AJD]]-(TABL12[[#This Row],[(A/B + A/S) AJD]]+(TABL12[[#This Row],[(STORGE DIFF.) AJD]])+TABL12[[#This Row],[البخر  AJD]]/1000)</f>
        <v>-3</v>
      </c>
      <c r="AE117" s="6">
        <v>70</v>
      </c>
      <c r="AF117" s="33">
        <v>58.634999999999998</v>
      </c>
      <c r="AG117" s="6">
        <v>1383250</v>
      </c>
      <c r="AH117" s="6">
        <f>TABL12[[#This Row],[ (RESV. STORGE) BER]]/10</f>
        <v>138325</v>
      </c>
      <c r="AI117" s="6">
        <v>2355</v>
      </c>
      <c r="AJ117" s="6">
        <f>TABL12[[#This Row],[(A/B TOT) AJD]]-TABL12[[#This Row],[BER_ IN]]</f>
        <v>462</v>
      </c>
      <c r="AK117" s="6">
        <v>20</v>
      </c>
      <c r="AL117" s="33">
        <v>44.189799999999998</v>
      </c>
      <c r="AM117" s="6">
        <v>3757750</v>
      </c>
      <c r="AN117" s="6">
        <f>TABL12[[#This Row],[ (RESV. STORGE) SER]]/10</f>
        <v>375775</v>
      </c>
      <c r="AO117" s="6">
        <v>1080</v>
      </c>
      <c r="AP117" s="32">
        <f>TABL12[[#This Row],[(A/S TOT) AJD]]-TABL12[[#This Row],[SER_ IN]]</f>
        <v>263</v>
      </c>
    </row>
    <row r="118" spans="1:42" x14ac:dyDescent="0.25">
      <c r="A118" s="2">
        <v>45774</v>
      </c>
      <c r="B118" s="28">
        <v>38</v>
      </c>
      <c r="C118" s="28">
        <v>313</v>
      </c>
      <c r="D118" s="28">
        <v>38</v>
      </c>
      <c r="E118" s="28">
        <v>0</v>
      </c>
      <c r="F118" s="28">
        <v>88</v>
      </c>
      <c r="G118" s="28">
        <v>529</v>
      </c>
      <c r="H118" s="28">
        <v>0</v>
      </c>
      <c r="I118" s="28">
        <v>418</v>
      </c>
      <c r="J118" s="28">
        <v>436</v>
      </c>
      <c r="K118" s="28">
        <f>TABL12[[#This Row],[خط (T/B  TOT) SAR]]+TABL12[[#This Row],[خط (S/S  TOT) SAR2]]</f>
        <v>854</v>
      </c>
      <c r="L118" s="28">
        <v>325</v>
      </c>
      <c r="M118" s="29">
        <v>24.7</v>
      </c>
      <c r="N118" s="30">
        <v>8.07</v>
      </c>
      <c r="O118" s="3">
        <v>386</v>
      </c>
      <c r="P118" s="3">
        <f>TABL12[[#This Row],[خط (S/S  TOT) SAR2]]-TABL12[[#This Row],[(S/S TOT) AJD]]</f>
        <v>50</v>
      </c>
      <c r="Q118" s="3">
        <v>429</v>
      </c>
      <c r="R118" s="3">
        <f>TABL12[[#This Row],[خط (T/B  TOT) SAR]]-TABL12[[#This Row],[(T/B TOT) AJD]]</f>
        <v>-11</v>
      </c>
      <c r="S118" s="3">
        <f>TABL12[[#This Row],[الفرق بين بداية ونهاية خط  S/S]]+TABL12[[#This Row],[الفرق بين بداية ونهاية خط  T/B]]</f>
        <v>39</v>
      </c>
      <c r="T118" s="3">
        <f t="shared" si="4"/>
        <v>815</v>
      </c>
      <c r="U118" s="3">
        <v>541</v>
      </c>
      <c r="V118" s="3">
        <v>278</v>
      </c>
      <c r="W118" s="3">
        <f t="shared" si="5"/>
        <v>819</v>
      </c>
      <c r="X118" s="3">
        <f t="shared" si="6"/>
        <v>-4</v>
      </c>
      <c r="Y118" s="4">
        <v>91.92</v>
      </c>
      <c r="Z118" s="3">
        <v>0</v>
      </c>
      <c r="AA118" s="3">
        <f>TABL12[[#This Row],[(RESV. STORGE) AJD]]/10</f>
        <v>0</v>
      </c>
      <c r="AB118" s="3">
        <f t="shared" si="7"/>
        <v>0</v>
      </c>
      <c r="AC118" s="6">
        <v>0</v>
      </c>
      <c r="AD118" s="5">
        <f>TABL12[[#This Row],[( S/S+T/B) AJD]]-(TABL12[[#This Row],[(A/B + A/S) AJD]]+(TABL12[[#This Row],[(STORGE DIFF.) AJD]])+TABL12[[#This Row],[البخر  AJD]]/1000)</f>
        <v>-4</v>
      </c>
      <c r="AE118" s="6">
        <v>70</v>
      </c>
      <c r="AF118" s="33">
        <v>58.655000000000001</v>
      </c>
      <c r="AG118" s="6">
        <v>1396393</v>
      </c>
      <c r="AH118" s="6">
        <f>TABL12[[#This Row],[ (RESV. STORGE) BER]]/10</f>
        <v>139639.29999999999</v>
      </c>
      <c r="AI118" s="6">
        <v>2077</v>
      </c>
      <c r="AJ118" s="6">
        <f>TABL12[[#This Row],[(A/B TOT) AJD]]-TABL12[[#This Row],[BER_ IN]]</f>
        <v>471</v>
      </c>
      <c r="AK118" s="6">
        <v>20</v>
      </c>
      <c r="AL118" s="33">
        <v>44.0642</v>
      </c>
      <c r="AM118" s="6">
        <v>3688110</v>
      </c>
      <c r="AN118" s="6">
        <f>TABL12[[#This Row],[ (RESV. STORGE) SER]]/10</f>
        <v>368811</v>
      </c>
      <c r="AO118" s="6">
        <v>1640</v>
      </c>
      <c r="AP118" s="32">
        <f>TABL12[[#This Row],[(A/S TOT) AJD]]-TABL12[[#This Row],[SER_ IN]]</f>
        <v>258</v>
      </c>
    </row>
    <row r="119" spans="1:42" x14ac:dyDescent="0.25">
      <c r="A119" s="2">
        <v>45775</v>
      </c>
      <c r="B119" s="28">
        <v>38</v>
      </c>
      <c r="C119" s="28">
        <v>302</v>
      </c>
      <c r="D119" s="28">
        <v>36</v>
      </c>
      <c r="E119" s="28">
        <v>0</v>
      </c>
      <c r="F119" s="28">
        <v>88</v>
      </c>
      <c r="G119" s="28">
        <v>526</v>
      </c>
      <c r="H119" s="28">
        <v>0</v>
      </c>
      <c r="I119" s="28">
        <v>416</v>
      </c>
      <c r="J119" s="28">
        <v>435</v>
      </c>
      <c r="K119" s="28">
        <f>TABL12[[#This Row],[خط (T/B  TOT) SAR]]+TABL12[[#This Row],[خط (S/S  TOT) SAR2]]</f>
        <v>851</v>
      </c>
      <c r="L119" s="28">
        <v>325</v>
      </c>
      <c r="M119" s="29">
        <v>24.7</v>
      </c>
      <c r="N119" s="30">
        <v>7.97</v>
      </c>
      <c r="O119" s="3">
        <v>386</v>
      </c>
      <c r="P119" s="3">
        <f>TABL12[[#This Row],[خط (S/S  TOT) SAR2]]-TABL12[[#This Row],[(S/S TOT) AJD]]</f>
        <v>49</v>
      </c>
      <c r="Q119" s="3">
        <v>428</v>
      </c>
      <c r="R119" s="3">
        <f>TABL12[[#This Row],[خط (T/B  TOT) SAR]]-TABL12[[#This Row],[(T/B TOT) AJD]]</f>
        <v>-12</v>
      </c>
      <c r="S119" s="3">
        <f>TABL12[[#This Row],[الفرق بين بداية ونهاية خط  S/S]]+TABL12[[#This Row],[الفرق بين بداية ونهاية خط  T/B]]</f>
        <v>37</v>
      </c>
      <c r="T119" s="3">
        <f t="shared" si="4"/>
        <v>814</v>
      </c>
      <c r="U119" s="3">
        <v>518</v>
      </c>
      <c r="V119" s="3">
        <v>298</v>
      </c>
      <c r="W119" s="3">
        <f t="shared" si="5"/>
        <v>816</v>
      </c>
      <c r="X119" s="3">
        <f t="shared" si="6"/>
        <v>-2</v>
      </c>
      <c r="Y119" s="4">
        <v>91.92</v>
      </c>
      <c r="Z119" s="3">
        <v>0</v>
      </c>
      <c r="AA119" s="3">
        <f>TABL12[[#This Row],[(RESV. STORGE) AJD]]/10</f>
        <v>0</v>
      </c>
      <c r="AB119" s="3">
        <f t="shared" si="7"/>
        <v>0</v>
      </c>
      <c r="AC119" s="6">
        <v>0</v>
      </c>
      <c r="AD119" s="5">
        <f>TABL12[[#This Row],[( S/S+T/B) AJD]]-(TABL12[[#This Row],[(A/B + A/S) AJD]]+(TABL12[[#This Row],[(STORGE DIFF.) AJD]])+TABL12[[#This Row],[البخر  AJD]]/1000)</f>
        <v>-2</v>
      </c>
      <c r="AE119" s="6">
        <v>70</v>
      </c>
      <c r="AF119" s="33">
        <v>58.656999999999996</v>
      </c>
      <c r="AG119" s="6">
        <v>1397708</v>
      </c>
      <c r="AH119" s="6">
        <f>TABL12[[#This Row],[ (RESV. STORGE) BER]]/10</f>
        <v>139770.79999999999</v>
      </c>
      <c r="AI119" s="6">
        <v>2285</v>
      </c>
      <c r="AJ119" s="6">
        <f>TABL12[[#This Row],[(A/B TOT) AJD]]-TABL12[[#This Row],[BER_ IN]]</f>
        <v>448</v>
      </c>
      <c r="AK119" s="6">
        <v>20</v>
      </c>
      <c r="AL119" s="33">
        <v>44.005499999999998</v>
      </c>
      <c r="AM119" s="6">
        <v>3656590</v>
      </c>
      <c r="AN119" s="6">
        <f>TABL12[[#This Row],[ (RESV. STORGE) SER]]/10</f>
        <v>365659</v>
      </c>
      <c r="AO119" s="6">
        <v>1520</v>
      </c>
      <c r="AP119" s="32">
        <f>TABL12[[#This Row],[(A/S TOT) AJD]]-TABL12[[#This Row],[SER_ IN]]</f>
        <v>278</v>
      </c>
    </row>
    <row r="120" spans="1:42" x14ac:dyDescent="0.25">
      <c r="A120" s="2">
        <v>45776</v>
      </c>
      <c r="B120" s="28">
        <v>38</v>
      </c>
      <c r="C120" s="28">
        <v>313</v>
      </c>
      <c r="D120" s="28">
        <v>38</v>
      </c>
      <c r="E120" s="28">
        <v>0</v>
      </c>
      <c r="F120" s="28">
        <v>88</v>
      </c>
      <c r="G120" s="28">
        <v>529</v>
      </c>
      <c r="H120" s="28">
        <v>0</v>
      </c>
      <c r="I120" s="28">
        <v>417</v>
      </c>
      <c r="J120" s="28">
        <v>436</v>
      </c>
      <c r="K120" s="28">
        <f>TABL12[[#This Row],[خط (T/B  TOT) SAR]]+TABL12[[#This Row],[خط (S/S  TOT) SAR2]]</f>
        <v>853</v>
      </c>
      <c r="L120" s="28">
        <v>324</v>
      </c>
      <c r="M120" s="29">
        <v>24.7</v>
      </c>
      <c r="N120" s="30">
        <v>7.87</v>
      </c>
      <c r="O120" s="3">
        <v>384</v>
      </c>
      <c r="P120" s="3">
        <f>TABL12[[#This Row],[خط (S/S  TOT) SAR2]]-TABL12[[#This Row],[(S/S TOT) AJD]]</f>
        <v>52</v>
      </c>
      <c r="Q120" s="3">
        <v>426</v>
      </c>
      <c r="R120" s="3">
        <f>TABL12[[#This Row],[خط (T/B  TOT) SAR]]-TABL12[[#This Row],[(T/B TOT) AJD]]</f>
        <v>-9</v>
      </c>
      <c r="S120" s="3">
        <f>TABL12[[#This Row],[الفرق بين بداية ونهاية خط  S/S]]+TABL12[[#This Row],[الفرق بين بداية ونهاية خط  T/B]]</f>
        <v>43</v>
      </c>
      <c r="T120" s="3">
        <f t="shared" si="4"/>
        <v>810</v>
      </c>
      <c r="U120" s="3">
        <v>531</v>
      </c>
      <c r="V120" s="3">
        <v>281</v>
      </c>
      <c r="W120" s="3">
        <f t="shared" si="5"/>
        <v>812</v>
      </c>
      <c r="X120" s="3">
        <f t="shared" si="6"/>
        <v>-2</v>
      </c>
      <c r="Y120" s="4">
        <v>91.92</v>
      </c>
      <c r="Z120" s="3">
        <v>0</v>
      </c>
      <c r="AA120" s="3">
        <f>TABL12[[#This Row],[(RESV. STORGE) AJD]]/10</f>
        <v>0</v>
      </c>
      <c r="AB120" s="3">
        <f t="shared" si="7"/>
        <v>0</v>
      </c>
      <c r="AC120" s="6">
        <v>0</v>
      </c>
      <c r="AD120" s="5">
        <f>TABL12[[#This Row],[( S/S+T/B) AJD]]-(TABL12[[#This Row],[(A/B + A/S) AJD]]+(TABL12[[#This Row],[(STORGE DIFF.) AJD]])+TABL12[[#This Row],[البخر  AJD]]/1000)</f>
        <v>-2</v>
      </c>
      <c r="AE120" s="6">
        <v>70</v>
      </c>
      <c r="AF120" s="33">
        <v>58.639000000000003</v>
      </c>
      <c r="AG120" s="6">
        <v>1385879</v>
      </c>
      <c r="AH120" s="6">
        <f>TABL12[[#This Row],[ (RESV. STORGE) BER]]/10</f>
        <v>138587.9</v>
      </c>
      <c r="AI120" s="6">
        <v>2148</v>
      </c>
      <c r="AJ120" s="6">
        <f>TABL12[[#This Row],[(A/B TOT) AJD]]-TABL12[[#This Row],[BER_ IN]]</f>
        <v>461</v>
      </c>
      <c r="AK120" s="6">
        <v>20</v>
      </c>
      <c r="AL120" s="33">
        <v>44.0396</v>
      </c>
      <c r="AM120" s="6">
        <v>3675140</v>
      </c>
      <c r="AN120" s="6">
        <f>TABL12[[#This Row],[ (RESV. STORGE) SER]]/10</f>
        <v>367514</v>
      </c>
      <c r="AO120" s="6">
        <v>1450</v>
      </c>
      <c r="AP120" s="32">
        <f>TABL12[[#This Row],[(A/S TOT) AJD]]-TABL12[[#This Row],[SER_ IN]]</f>
        <v>261</v>
      </c>
    </row>
    <row r="121" spans="1:42" x14ac:dyDescent="0.25">
      <c r="A121" s="2">
        <v>45777</v>
      </c>
      <c r="B121" s="28">
        <v>38</v>
      </c>
      <c r="C121" s="28">
        <v>319</v>
      </c>
      <c r="D121" s="28">
        <v>38</v>
      </c>
      <c r="E121" s="28">
        <v>0</v>
      </c>
      <c r="F121" s="28">
        <v>88</v>
      </c>
      <c r="G121" s="28">
        <v>526</v>
      </c>
      <c r="H121" s="28">
        <v>0</v>
      </c>
      <c r="I121" s="28">
        <v>415</v>
      </c>
      <c r="J121" s="28">
        <v>435</v>
      </c>
      <c r="K121" s="28">
        <f>TABL12[[#This Row],[خط (T/B  TOT) SAR]]+TABL12[[#This Row],[خط (S/S  TOT) SAR2]]</f>
        <v>850</v>
      </c>
      <c r="L121" s="28">
        <v>324</v>
      </c>
      <c r="M121" s="29">
        <v>24.7</v>
      </c>
      <c r="N121" s="30">
        <v>7.87</v>
      </c>
      <c r="O121" s="3">
        <v>385</v>
      </c>
      <c r="P121" s="3">
        <f>TABL12[[#This Row],[خط (S/S  TOT) SAR2]]-TABL12[[#This Row],[(S/S TOT) AJD]]</f>
        <v>50</v>
      </c>
      <c r="Q121" s="3">
        <v>427</v>
      </c>
      <c r="R121" s="3">
        <f>TABL12[[#This Row],[خط (T/B  TOT) SAR]]-TABL12[[#This Row],[(T/B TOT) AJD]]</f>
        <v>-12</v>
      </c>
      <c r="S121" s="3">
        <f>TABL12[[#This Row],[الفرق بين بداية ونهاية خط  S/S]]+TABL12[[#This Row],[الفرق بين بداية ونهاية خط  T/B]]</f>
        <v>38</v>
      </c>
      <c r="T121" s="3">
        <f t="shared" si="4"/>
        <v>812</v>
      </c>
      <c r="U121" s="3">
        <v>525</v>
      </c>
      <c r="V121" s="3">
        <v>289</v>
      </c>
      <c r="W121" s="3">
        <f t="shared" si="5"/>
        <v>814</v>
      </c>
      <c r="X121" s="3">
        <f t="shared" si="6"/>
        <v>-2</v>
      </c>
      <c r="Y121" s="4">
        <v>91.92</v>
      </c>
      <c r="Z121" s="3">
        <v>0</v>
      </c>
      <c r="AA121" s="3">
        <f>TABL12[[#This Row],[(RESV. STORGE) AJD]]/10</f>
        <v>0</v>
      </c>
      <c r="AB121" s="3">
        <f t="shared" si="7"/>
        <v>0</v>
      </c>
      <c r="AC121" s="6">
        <v>0</v>
      </c>
      <c r="AD121" s="5">
        <f>TABL12[[#This Row],[( S/S+T/B) AJD]]-(TABL12[[#This Row],[(A/B + A/S) AJD]]+(TABL12[[#This Row],[(STORGE DIFF.) AJD]])+TABL12[[#This Row],[البخر  AJD]]/1000)</f>
        <v>-2</v>
      </c>
      <c r="AE121" s="6">
        <v>70</v>
      </c>
      <c r="AF121" s="33">
        <v>58.633000000000003</v>
      </c>
      <c r="AG121" s="6">
        <v>1381936</v>
      </c>
      <c r="AH121" s="6">
        <f>TABL12[[#This Row],[ (RESV. STORGE) BER]]/10</f>
        <v>138193.60000000001</v>
      </c>
      <c r="AI121" s="6">
        <v>2519</v>
      </c>
      <c r="AJ121" s="6">
        <f>TABL12[[#This Row],[(A/B TOT) AJD]]-TABL12[[#This Row],[BER_ IN]]</f>
        <v>455</v>
      </c>
      <c r="AK121" s="6">
        <v>23</v>
      </c>
      <c r="AL121" s="33">
        <v>44.082999999999998</v>
      </c>
      <c r="AM121" s="6">
        <v>3697013</v>
      </c>
      <c r="AN121" s="6">
        <f>TABL12[[#This Row],[ (RESV. STORGE) SER]]/10</f>
        <v>369701.3</v>
      </c>
      <c r="AO121" s="6">
        <v>1127</v>
      </c>
      <c r="AP121" s="32">
        <f>TABL12[[#This Row],[(A/S TOT) AJD]]-TABL12[[#This Row],[SER_ IN]]</f>
        <v>266</v>
      </c>
    </row>
    <row r="122" spans="1:42" x14ac:dyDescent="0.25">
      <c r="A122" s="2">
        <v>45778</v>
      </c>
      <c r="B122" s="28">
        <v>38</v>
      </c>
      <c r="C122" s="28">
        <v>316</v>
      </c>
      <c r="D122" s="28">
        <v>38</v>
      </c>
      <c r="E122" s="28">
        <v>0</v>
      </c>
      <c r="F122" s="28">
        <v>88</v>
      </c>
      <c r="G122" s="28">
        <v>525</v>
      </c>
      <c r="H122" s="28">
        <v>0</v>
      </c>
      <c r="I122" s="28">
        <v>414</v>
      </c>
      <c r="J122" s="28">
        <v>433</v>
      </c>
      <c r="K122" s="28">
        <f>TABL12[[#This Row],[خط (T/B  TOT) SAR]]+TABL12[[#This Row],[خط (S/S  TOT) SAR2]]</f>
        <v>847</v>
      </c>
      <c r="L122" s="28">
        <v>322</v>
      </c>
      <c r="M122" s="29">
        <v>24.7</v>
      </c>
      <c r="N122" s="30">
        <v>7.85</v>
      </c>
      <c r="O122" s="3">
        <v>384</v>
      </c>
      <c r="P122" s="3">
        <f>TABL12[[#This Row],[خط (S/S  TOT) SAR2]]-TABL12[[#This Row],[(S/S TOT) AJD]]</f>
        <v>49</v>
      </c>
      <c r="Q122" s="3">
        <v>426</v>
      </c>
      <c r="R122" s="3">
        <f>TABL12[[#This Row],[خط (T/B  TOT) SAR]]-TABL12[[#This Row],[(T/B TOT) AJD]]</f>
        <v>-12</v>
      </c>
      <c r="S122" s="3">
        <f>TABL12[[#This Row],[الفرق بين بداية ونهاية خط  S/S]]+TABL12[[#This Row],[الفرق بين بداية ونهاية خط  T/B]]</f>
        <v>37</v>
      </c>
      <c r="T122" s="3">
        <f t="shared" si="4"/>
        <v>810</v>
      </c>
      <c r="U122" s="3">
        <v>541</v>
      </c>
      <c r="V122" s="3">
        <v>267</v>
      </c>
      <c r="W122" s="3">
        <f t="shared" si="5"/>
        <v>808</v>
      </c>
      <c r="X122" s="3">
        <f t="shared" si="6"/>
        <v>2</v>
      </c>
      <c r="Y122" s="4">
        <v>91.92</v>
      </c>
      <c r="Z122" s="3">
        <v>0</v>
      </c>
      <c r="AA122" s="3">
        <f>TABL12[[#This Row],[(RESV. STORGE) AJD]]/10</f>
        <v>0</v>
      </c>
      <c r="AB122" s="3">
        <f t="shared" si="7"/>
        <v>0</v>
      </c>
      <c r="AC122" s="6">
        <v>0</v>
      </c>
      <c r="AD122" s="5">
        <f>TABL12[[#This Row],[( S/S+T/B) AJD]]-(TABL12[[#This Row],[(A/B + A/S) AJD]]+(TABL12[[#This Row],[(STORGE DIFF.) AJD]])+TABL12[[#This Row],[البخر  AJD]]/1000)</f>
        <v>2</v>
      </c>
      <c r="AE122" s="6">
        <v>70</v>
      </c>
      <c r="AF122" s="33">
        <v>58.615000000000002</v>
      </c>
      <c r="AG122" s="6">
        <v>1370111</v>
      </c>
      <c r="AH122" s="6">
        <f>TABL12[[#This Row],[ (RESV. STORGE) BER]]/10</f>
        <v>137011.1</v>
      </c>
      <c r="AI122" s="6">
        <v>2145</v>
      </c>
      <c r="AJ122" s="6">
        <f>TABL12[[#This Row],[(A/B TOT) AJD]]-TABL12[[#This Row],[BER_ IN]]</f>
        <v>471</v>
      </c>
      <c r="AK122" s="6">
        <v>23</v>
      </c>
      <c r="AL122" s="33">
        <v>44.112499999999997</v>
      </c>
      <c r="AM122" s="6">
        <v>3715380</v>
      </c>
      <c r="AN122" s="6">
        <f>TABL12[[#This Row],[ (RESV. STORGE) SER]]/10</f>
        <v>371538</v>
      </c>
      <c r="AO122" s="6">
        <v>1400</v>
      </c>
      <c r="AP122" s="32">
        <f>TABL12[[#This Row],[(A/S TOT) AJD]]-TABL12[[#This Row],[SER_ IN]]</f>
        <v>244</v>
      </c>
    </row>
    <row r="123" spans="1:42" x14ac:dyDescent="0.25">
      <c r="A123" s="2">
        <v>45779</v>
      </c>
      <c r="B123" s="28">
        <v>37</v>
      </c>
      <c r="C123" s="28">
        <v>311</v>
      </c>
      <c r="D123" s="28">
        <v>38</v>
      </c>
      <c r="E123" s="28">
        <v>0</v>
      </c>
      <c r="F123" s="28">
        <v>88</v>
      </c>
      <c r="G123" s="28">
        <v>530</v>
      </c>
      <c r="H123" s="28">
        <v>0</v>
      </c>
      <c r="I123" s="28">
        <v>415</v>
      </c>
      <c r="J123" s="28">
        <v>435</v>
      </c>
      <c r="K123" s="28">
        <f>TABL12[[#This Row],[خط (T/B  TOT) SAR]]+TABL12[[#This Row],[خط (S/S  TOT) SAR2]]</f>
        <v>850</v>
      </c>
      <c r="L123" s="28">
        <v>320</v>
      </c>
      <c r="M123" s="29">
        <v>24.7</v>
      </c>
      <c r="N123" s="30">
        <v>7.77</v>
      </c>
      <c r="O123" s="3">
        <v>385</v>
      </c>
      <c r="P123" s="3">
        <f>TABL12[[#This Row],[خط (S/S  TOT) SAR2]]-TABL12[[#This Row],[(S/S TOT) AJD]]</f>
        <v>50</v>
      </c>
      <c r="Q123" s="3">
        <v>427</v>
      </c>
      <c r="R123" s="3">
        <f>TABL12[[#This Row],[خط (T/B  TOT) SAR]]-TABL12[[#This Row],[(T/B TOT) AJD]]</f>
        <v>-12</v>
      </c>
      <c r="S123" s="3">
        <f>TABL12[[#This Row],[الفرق بين بداية ونهاية خط  S/S]]+TABL12[[#This Row],[الفرق بين بداية ونهاية خط  T/B]]</f>
        <v>38</v>
      </c>
      <c r="T123" s="3">
        <f t="shared" si="4"/>
        <v>812</v>
      </c>
      <c r="U123" s="3">
        <v>556</v>
      </c>
      <c r="V123" s="3">
        <v>258</v>
      </c>
      <c r="W123" s="3">
        <f t="shared" si="5"/>
        <v>814</v>
      </c>
      <c r="X123" s="3">
        <f t="shared" si="6"/>
        <v>-2</v>
      </c>
      <c r="Y123" s="4">
        <v>91.92</v>
      </c>
      <c r="Z123" s="3">
        <v>0</v>
      </c>
      <c r="AA123" s="3">
        <f>TABL12[[#This Row],[(RESV. STORGE) AJD]]/10</f>
        <v>0</v>
      </c>
      <c r="AB123" s="3">
        <f t="shared" si="7"/>
        <v>0</v>
      </c>
      <c r="AC123" s="6">
        <v>0</v>
      </c>
      <c r="AD123" s="5">
        <f>TABL12[[#This Row],[( S/S+T/B) AJD]]-(TABL12[[#This Row],[(A/B + A/S) AJD]]+(TABL12[[#This Row],[(STORGE DIFF.) AJD]])+TABL12[[#This Row],[البخر  AJD]]/1000)</f>
        <v>-2</v>
      </c>
      <c r="AE123" s="6">
        <v>70</v>
      </c>
      <c r="AF123" s="33">
        <v>58.624000000000002</v>
      </c>
      <c r="AG123" s="6">
        <v>1376023</v>
      </c>
      <c r="AH123" s="6">
        <f>TABL12[[#This Row],[ (RESV. STORGE) BER]]/10</f>
        <v>137602.29999999999</v>
      </c>
      <c r="AI123" s="6">
        <v>2667</v>
      </c>
      <c r="AJ123" s="6">
        <f>TABL12[[#This Row],[(A/B TOT) AJD]]-TABL12[[#This Row],[BER_ IN]]</f>
        <v>486</v>
      </c>
      <c r="AK123" s="6">
        <v>23</v>
      </c>
      <c r="AL123" s="33">
        <v>44.143900000000002</v>
      </c>
      <c r="AM123" s="6">
        <v>3732200</v>
      </c>
      <c r="AN123" s="6">
        <f>TABL12[[#This Row],[ (RESV. STORGE) SER]]/10</f>
        <v>373220</v>
      </c>
      <c r="AO123" s="6">
        <v>1570</v>
      </c>
      <c r="AP123" s="32">
        <f>TABL12[[#This Row],[(A/S TOT) AJD]]-TABL12[[#This Row],[SER_ IN]]</f>
        <v>235</v>
      </c>
    </row>
    <row r="124" spans="1:42" x14ac:dyDescent="0.25">
      <c r="A124" s="2">
        <v>45780</v>
      </c>
      <c r="B124" s="28">
        <v>38</v>
      </c>
      <c r="C124" s="28">
        <v>309</v>
      </c>
      <c r="D124" s="28">
        <v>39</v>
      </c>
      <c r="E124" s="28">
        <v>0</v>
      </c>
      <c r="F124" s="28">
        <v>88</v>
      </c>
      <c r="G124" s="28">
        <v>532</v>
      </c>
      <c r="H124" s="28">
        <v>0</v>
      </c>
      <c r="I124" s="28">
        <v>416</v>
      </c>
      <c r="J124" s="28">
        <v>435</v>
      </c>
      <c r="K124" s="28">
        <f>TABL12[[#This Row],[خط (T/B  TOT) SAR]]+TABL12[[#This Row],[خط (S/S  TOT) SAR2]]</f>
        <v>851</v>
      </c>
      <c r="L124" s="28">
        <v>319</v>
      </c>
      <c r="M124" s="29">
        <v>24.7</v>
      </c>
      <c r="N124" s="30">
        <v>7.7</v>
      </c>
      <c r="O124" s="3">
        <v>390</v>
      </c>
      <c r="P124" s="3">
        <f>TABL12[[#This Row],[خط (S/S  TOT) SAR2]]-TABL12[[#This Row],[(S/S TOT) AJD]]</f>
        <v>45</v>
      </c>
      <c r="Q124" s="3">
        <v>430</v>
      </c>
      <c r="R124" s="3">
        <f>TABL12[[#This Row],[خط (T/B  TOT) SAR]]-TABL12[[#This Row],[(T/B TOT) AJD]]</f>
        <v>-14</v>
      </c>
      <c r="S124" s="3">
        <f>TABL12[[#This Row],[الفرق بين بداية ونهاية خط  S/S]]+TABL12[[#This Row],[الفرق بين بداية ونهاية خط  T/B]]</f>
        <v>31</v>
      </c>
      <c r="T124" s="3">
        <f t="shared" si="4"/>
        <v>820</v>
      </c>
      <c r="U124" s="3">
        <v>556</v>
      </c>
      <c r="V124" s="3">
        <v>265</v>
      </c>
      <c r="W124" s="3">
        <f t="shared" si="5"/>
        <v>821</v>
      </c>
      <c r="X124" s="3">
        <f t="shared" si="6"/>
        <v>-1</v>
      </c>
      <c r="Y124" s="4">
        <v>91.92</v>
      </c>
      <c r="Z124" s="3">
        <v>0</v>
      </c>
      <c r="AA124" s="3">
        <f>TABL12[[#This Row],[(RESV. STORGE) AJD]]/10</f>
        <v>0</v>
      </c>
      <c r="AB124" s="3">
        <f t="shared" si="7"/>
        <v>0</v>
      </c>
      <c r="AC124" s="6">
        <v>0</v>
      </c>
      <c r="AD124" s="5">
        <f>TABL12[[#This Row],[( S/S+T/B) AJD]]-(TABL12[[#This Row],[(A/B + A/S) AJD]]+(TABL12[[#This Row],[(STORGE DIFF.) AJD]])+TABL12[[#This Row],[البخر  AJD]]/1000)</f>
        <v>-1</v>
      </c>
      <c r="AE124" s="6">
        <v>70</v>
      </c>
      <c r="AF124" s="33">
        <v>58.604999999999997</v>
      </c>
      <c r="AG124" s="6">
        <v>1363543</v>
      </c>
      <c r="AH124" s="6">
        <f>TABL12[[#This Row],[ (RESV. STORGE) BER]]/10</f>
        <v>136354.29999999999</v>
      </c>
      <c r="AI124" s="6">
        <v>2800</v>
      </c>
      <c r="AJ124" s="6">
        <f>TABL12[[#This Row],[(A/B TOT) AJD]]-TABL12[[#This Row],[BER_ IN]]</f>
        <v>486</v>
      </c>
      <c r="AK124" s="6">
        <v>24</v>
      </c>
      <c r="AL124" s="33">
        <v>44.189799999999998</v>
      </c>
      <c r="AM124" s="6">
        <v>3756200</v>
      </c>
      <c r="AN124" s="6">
        <f>TABL12[[#This Row],[ (RESV. STORGE) SER]]/10</f>
        <v>375620</v>
      </c>
      <c r="AO124" s="6">
        <v>1570</v>
      </c>
      <c r="AP124" s="32">
        <f>TABL12[[#This Row],[(A/S TOT) AJD]]-TABL12[[#This Row],[SER_ IN]]</f>
        <v>241</v>
      </c>
    </row>
    <row r="125" spans="1:42" x14ac:dyDescent="0.25">
      <c r="A125" s="2">
        <v>45781</v>
      </c>
      <c r="B125" s="28">
        <v>41</v>
      </c>
      <c r="C125" s="28">
        <v>323</v>
      </c>
      <c r="D125" s="28">
        <v>42</v>
      </c>
      <c r="E125" s="28">
        <v>0</v>
      </c>
      <c r="F125" s="28">
        <v>88</v>
      </c>
      <c r="G125" s="28">
        <v>530</v>
      </c>
      <c r="H125" s="28">
        <v>0</v>
      </c>
      <c r="I125" s="28">
        <v>415</v>
      </c>
      <c r="J125" s="28">
        <v>435</v>
      </c>
      <c r="K125" s="28">
        <f>TABL12[[#This Row],[خط (T/B  TOT) SAR]]+TABL12[[#This Row],[خط (S/S  TOT) SAR2]]</f>
        <v>850</v>
      </c>
      <c r="L125" s="28">
        <v>320</v>
      </c>
      <c r="M125" s="29">
        <v>24.7</v>
      </c>
      <c r="N125" s="30">
        <v>7.68</v>
      </c>
      <c r="O125" s="3">
        <v>386</v>
      </c>
      <c r="P125" s="3">
        <f>TABL12[[#This Row],[خط (S/S  TOT) SAR2]]-TABL12[[#This Row],[(S/S TOT) AJD]]</f>
        <v>49</v>
      </c>
      <c r="Q125" s="3">
        <v>429</v>
      </c>
      <c r="R125" s="3">
        <f>TABL12[[#This Row],[خط (T/B  TOT) SAR]]-TABL12[[#This Row],[(T/B TOT) AJD]]</f>
        <v>-14</v>
      </c>
      <c r="S125" s="3">
        <f>TABL12[[#This Row],[الفرق بين بداية ونهاية خط  S/S]]+TABL12[[#This Row],[الفرق بين بداية ونهاية خط  T/B]]</f>
        <v>35</v>
      </c>
      <c r="T125" s="3">
        <f t="shared" si="4"/>
        <v>815</v>
      </c>
      <c r="U125" s="3">
        <v>537</v>
      </c>
      <c r="V125" s="3">
        <v>278</v>
      </c>
      <c r="W125" s="3">
        <f t="shared" si="5"/>
        <v>815</v>
      </c>
      <c r="X125" s="3">
        <f t="shared" si="6"/>
        <v>0</v>
      </c>
      <c r="Y125" s="4">
        <v>91.92</v>
      </c>
      <c r="Z125" s="3">
        <v>0</v>
      </c>
      <c r="AA125" s="3">
        <f>TABL12[[#This Row],[(RESV. STORGE) AJD]]/10</f>
        <v>0</v>
      </c>
      <c r="AB125" s="3">
        <f t="shared" si="7"/>
        <v>0</v>
      </c>
      <c r="AC125" s="6">
        <v>0</v>
      </c>
      <c r="AD125" s="5">
        <f>TABL12[[#This Row],[( S/S+T/B) AJD]]-(TABL12[[#This Row],[(A/B + A/S) AJD]]+(TABL12[[#This Row],[(STORGE DIFF.) AJD]])+TABL12[[#This Row],[البخر  AJD]]/1000)</f>
        <v>0</v>
      </c>
      <c r="AE125" s="6">
        <v>70</v>
      </c>
      <c r="AF125" s="33">
        <v>58.594999999999999</v>
      </c>
      <c r="AG125" s="6">
        <v>1356975</v>
      </c>
      <c r="AH125" s="6">
        <f>TABL12[[#This Row],[ (RESV. STORGE) BER]]/10</f>
        <v>135697.5</v>
      </c>
      <c r="AI125" s="6">
        <v>2863</v>
      </c>
      <c r="AJ125" s="6">
        <f>TABL12[[#This Row],[(A/B TOT) AJD]]-TABL12[[#This Row],[BER_ IN]]</f>
        <v>467</v>
      </c>
      <c r="AK125" s="6">
        <v>23</v>
      </c>
      <c r="AL125" s="33">
        <v>44.218299999999999</v>
      </c>
      <c r="AM125" s="6">
        <v>3773160</v>
      </c>
      <c r="AN125" s="6">
        <f>TABL12[[#This Row],[ (RESV. STORGE) SER]]/10</f>
        <v>377316</v>
      </c>
      <c r="AO125" s="6">
        <v>1545</v>
      </c>
      <c r="AP125" s="32">
        <f>TABL12[[#This Row],[(A/S TOT) AJD]]-TABL12[[#This Row],[SER_ IN]]</f>
        <v>255</v>
      </c>
    </row>
    <row r="126" spans="1:42" x14ac:dyDescent="0.25">
      <c r="A126" s="2">
        <v>45782</v>
      </c>
      <c r="B126" s="28">
        <v>41</v>
      </c>
      <c r="C126" s="28">
        <v>331</v>
      </c>
      <c r="D126" s="28">
        <v>41</v>
      </c>
      <c r="E126" s="28">
        <v>0</v>
      </c>
      <c r="F126" s="28">
        <v>88</v>
      </c>
      <c r="G126" s="28">
        <v>534</v>
      </c>
      <c r="H126" s="28">
        <v>0</v>
      </c>
      <c r="I126" s="28">
        <v>417</v>
      </c>
      <c r="J126" s="28">
        <v>437</v>
      </c>
      <c r="K126" s="28">
        <f>TABL12[[#This Row],[خط (T/B  TOT) SAR]]+TABL12[[#This Row],[خط (S/S  TOT) SAR2]]</f>
        <v>854</v>
      </c>
      <c r="L126" s="28">
        <v>320</v>
      </c>
      <c r="M126" s="29">
        <v>24.7</v>
      </c>
      <c r="N126" s="30">
        <v>7.73</v>
      </c>
      <c r="O126" s="3">
        <v>385</v>
      </c>
      <c r="P126" s="3">
        <f>TABL12[[#This Row],[خط (S/S  TOT) SAR2]]-TABL12[[#This Row],[(S/S TOT) AJD]]</f>
        <v>52</v>
      </c>
      <c r="Q126" s="3">
        <v>428</v>
      </c>
      <c r="R126" s="3">
        <f>TABL12[[#This Row],[خط (T/B  TOT) SAR]]-TABL12[[#This Row],[(T/B TOT) AJD]]</f>
        <v>-11</v>
      </c>
      <c r="S126" s="3">
        <f>TABL12[[#This Row],[الفرق بين بداية ونهاية خط  S/S]]+TABL12[[#This Row],[الفرق بين بداية ونهاية خط  T/B]]</f>
        <v>41</v>
      </c>
      <c r="T126" s="3">
        <f t="shared" si="4"/>
        <v>813</v>
      </c>
      <c r="U126" s="3">
        <v>544</v>
      </c>
      <c r="V126" s="3">
        <v>273</v>
      </c>
      <c r="W126" s="3">
        <f t="shared" si="5"/>
        <v>817</v>
      </c>
      <c r="X126" s="3">
        <f t="shared" si="6"/>
        <v>-4</v>
      </c>
      <c r="Y126" s="4">
        <v>91.92</v>
      </c>
      <c r="Z126" s="3">
        <v>0</v>
      </c>
      <c r="AA126" s="3">
        <f>TABL12[[#This Row],[(RESV. STORGE) AJD]]/10</f>
        <v>0</v>
      </c>
      <c r="AB126" s="3">
        <f t="shared" si="7"/>
        <v>0</v>
      </c>
      <c r="AC126" s="6">
        <v>0</v>
      </c>
      <c r="AD126" s="5">
        <f>TABL12[[#This Row],[( S/S+T/B) AJD]]-(TABL12[[#This Row],[(A/B + A/S) AJD]]+(TABL12[[#This Row],[(STORGE DIFF.) AJD]])+TABL12[[#This Row],[البخر  AJD]]/1000)</f>
        <v>-4</v>
      </c>
      <c r="AE126" s="6">
        <v>70</v>
      </c>
      <c r="AF126" s="33">
        <v>58.591000000000001</v>
      </c>
      <c r="AG126" s="6">
        <v>1354349</v>
      </c>
      <c r="AH126" s="6">
        <f>TABL12[[#This Row],[ (RESV. STORGE) BER]]/10</f>
        <v>135434.9</v>
      </c>
      <c r="AI126" s="6">
        <v>2740</v>
      </c>
      <c r="AJ126" s="6">
        <f>TABL12[[#This Row],[(A/B TOT) AJD]]-TABL12[[#This Row],[BER_ IN]]</f>
        <v>474</v>
      </c>
      <c r="AK126" s="6">
        <v>23</v>
      </c>
      <c r="AL126" s="33">
        <v>44.240499999999997</v>
      </c>
      <c r="AM126" s="6">
        <v>3785490</v>
      </c>
      <c r="AN126" s="6">
        <f>TABL12[[#This Row],[ (RESV. STORGE) SER]]/10</f>
        <v>378549</v>
      </c>
      <c r="AO126" s="6">
        <v>1620</v>
      </c>
      <c r="AP126" s="32">
        <f>TABL12[[#This Row],[(A/S TOT) AJD]]-TABL12[[#This Row],[SER_ IN]]</f>
        <v>250</v>
      </c>
    </row>
    <row r="127" spans="1:42" x14ac:dyDescent="0.25">
      <c r="A127" s="2">
        <v>45783</v>
      </c>
      <c r="B127" s="28">
        <v>38</v>
      </c>
      <c r="C127" s="28">
        <v>320</v>
      </c>
      <c r="D127" s="28">
        <v>39</v>
      </c>
      <c r="E127" s="28">
        <v>0</v>
      </c>
      <c r="F127" s="28">
        <v>88</v>
      </c>
      <c r="G127" s="28">
        <v>526</v>
      </c>
      <c r="H127" s="28">
        <v>0</v>
      </c>
      <c r="I127" s="28">
        <v>413</v>
      </c>
      <c r="J127" s="28">
        <v>433</v>
      </c>
      <c r="K127" s="28">
        <f>TABL12[[#This Row],[خط (T/B  TOT) SAR]]+TABL12[[#This Row],[خط (S/S  TOT) SAR2]]</f>
        <v>846</v>
      </c>
      <c r="L127" s="28">
        <v>320</v>
      </c>
      <c r="M127" s="29">
        <v>24.7</v>
      </c>
      <c r="N127" s="30">
        <v>7.75</v>
      </c>
      <c r="O127" s="3">
        <v>386</v>
      </c>
      <c r="P127" s="3">
        <f>TABL12[[#This Row],[خط (S/S  TOT) SAR2]]-TABL12[[#This Row],[(S/S TOT) AJD]]</f>
        <v>47</v>
      </c>
      <c r="Q127" s="3">
        <v>429</v>
      </c>
      <c r="R127" s="3">
        <f>TABL12[[#This Row],[خط (T/B  TOT) SAR]]-TABL12[[#This Row],[(T/B TOT) AJD]]</f>
        <v>-16</v>
      </c>
      <c r="S127" s="3">
        <f>TABL12[[#This Row],[الفرق بين بداية ونهاية خط  S/S]]+TABL12[[#This Row],[الفرق بين بداية ونهاية خط  T/B]]</f>
        <v>31</v>
      </c>
      <c r="T127" s="3">
        <f t="shared" si="4"/>
        <v>815</v>
      </c>
      <c r="U127" s="3">
        <v>509</v>
      </c>
      <c r="V127" s="3">
        <v>311</v>
      </c>
      <c r="W127" s="3">
        <f t="shared" si="5"/>
        <v>820</v>
      </c>
      <c r="X127" s="3">
        <f t="shared" si="6"/>
        <v>-5</v>
      </c>
      <c r="Y127" s="4">
        <v>91.92</v>
      </c>
      <c r="Z127" s="3">
        <v>0</v>
      </c>
      <c r="AA127" s="3">
        <f>TABL12[[#This Row],[(RESV. STORGE) AJD]]/10</f>
        <v>0</v>
      </c>
      <c r="AB127" s="3">
        <f t="shared" si="7"/>
        <v>0</v>
      </c>
      <c r="AC127" s="6">
        <v>0</v>
      </c>
      <c r="AD127" s="5">
        <f>TABL12[[#This Row],[( S/S+T/B) AJD]]-(TABL12[[#This Row],[(A/B + A/S) AJD]]+(TABL12[[#This Row],[(STORGE DIFF.) AJD]])+TABL12[[#This Row],[البخر  AJD]]/1000)</f>
        <v>-5</v>
      </c>
      <c r="AE127" s="6">
        <v>70</v>
      </c>
      <c r="AF127" s="33">
        <v>58.573</v>
      </c>
      <c r="AG127" s="6">
        <v>1342530</v>
      </c>
      <c r="AH127" s="6">
        <f>TABL12[[#This Row],[ (RESV. STORGE) BER]]/10</f>
        <v>134253</v>
      </c>
      <c r="AI127" s="6">
        <v>2138</v>
      </c>
      <c r="AJ127" s="6">
        <f>TABL12[[#This Row],[(A/B TOT) AJD]]-TABL12[[#This Row],[BER_ IN]]</f>
        <v>439</v>
      </c>
      <c r="AK127" s="6">
        <v>23</v>
      </c>
      <c r="AL127" s="33">
        <v>44.270600000000002</v>
      </c>
      <c r="AM127" s="6">
        <v>3801280</v>
      </c>
      <c r="AN127" s="6">
        <f>TABL12[[#This Row],[ (RESV. STORGE) SER]]/10</f>
        <v>380128</v>
      </c>
      <c r="AO127" s="6">
        <v>1685</v>
      </c>
      <c r="AP127" s="32">
        <f>TABL12[[#This Row],[(A/S TOT) AJD]]-TABL12[[#This Row],[SER_ IN]]</f>
        <v>288</v>
      </c>
    </row>
    <row r="128" spans="1:42" x14ac:dyDescent="0.25">
      <c r="A128" s="2">
        <v>45784</v>
      </c>
      <c r="B128" s="28">
        <v>39</v>
      </c>
      <c r="C128" s="28">
        <v>325</v>
      </c>
      <c r="D128" s="28">
        <v>39</v>
      </c>
      <c r="E128" s="28">
        <v>0</v>
      </c>
      <c r="F128" s="28">
        <v>88</v>
      </c>
      <c r="G128" s="28">
        <v>536</v>
      </c>
      <c r="H128" s="28">
        <v>0</v>
      </c>
      <c r="I128" s="28">
        <v>419</v>
      </c>
      <c r="J128" s="28">
        <v>439</v>
      </c>
      <c r="K128" s="28">
        <f>TABL12[[#This Row],[خط (T/B  TOT) SAR]]+TABL12[[#This Row],[خط (S/S  TOT) SAR2]]</f>
        <v>858</v>
      </c>
      <c r="L128" s="28">
        <v>322</v>
      </c>
      <c r="M128" s="29">
        <v>24.7</v>
      </c>
      <c r="N128" s="30">
        <v>7.77</v>
      </c>
      <c r="O128" s="3">
        <v>388</v>
      </c>
      <c r="P128" s="3">
        <f>TABL12[[#This Row],[خط (S/S  TOT) SAR2]]-TABL12[[#This Row],[(S/S TOT) AJD]]</f>
        <v>51</v>
      </c>
      <c r="Q128" s="3">
        <v>430</v>
      </c>
      <c r="R128" s="3">
        <f>TABL12[[#This Row],[خط (T/B  TOT) SAR]]-TABL12[[#This Row],[(T/B TOT) AJD]]</f>
        <v>-11</v>
      </c>
      <c r="S128" s="3">
        <f>TABL12[[#This Row],[الفرق بين بداية ونهاية خط  S/S]]+TABL12[[#This Row],[الفرق بين بداية ونهاية خط  T/B]]</f>
        <v>40</v>
      </c>
      <c r="T128" s="3">
        <f t="shared" si="4"/>
        <v>818</v>
      </c>
      <c r="U128" s="3">
        <v>529</v>
      </c>
      <c r="V128" s="3">
        <v>291</v>
      </c>
      <c r="W128" s="3">
        <f t="shared" si="5"/>
        <v>820</v>
      </c>
      <c r="X128" s="3">
        <f t="shared" si="6"/>
        <v>-2</v>
      </c>
      <c r="Y128" s="4">
        <v>91.92</v>
      </c>
      <c r="Z128" s="3">
        <v>0</v>
      </c>
      <c r="AA128" s="3">
        <f>TABL12[[#This Row],[(RESV. STORGE) AJD]]/10</f>
        <v>0</v>
      </c>
      <c r="AB128" s="3">
        <f t="shared" si="7"/>
        <v>0</v>
      </c>
      <c r="AC128" s="6">
        <v>0</v>
      </c>
      <c r="AD128" s="5">
        <f>TABL12[[#This Row],[( S/S+T/B) AJD]]-(TABL12[[#This Row],[(A/B + A/S) AJD]]+(TABL12[[#This Row],[(STORGE DIFF.) AJD]])+TABL12[[#This Row],[البخر  AJD]]/1000)</f>
        <v>-2</v>
      </c>
      <c r="AE128" s="6">
        <v>70</v>
      </c>
      <c r="AF128" s="33">
        <v>58.554000000000002</v>
      </c>
      <c r="AG128" s="6">
        <v>1330058</v>
      </c>
      <c r="AH128" s="6">
        <f>TABL12[[#This Row],[ (RESV. STORGE) BER]]/10</f>
        <v>133005.79999999999</v>
      </c>
      <c r="AI128" s="6">
        <v>2768</v>
      </c>
      <c r="AJ128" s="6">
        <f>TABL12[[#This Row],[(A/B TOT) AJD]]-TABL12[[#This Row],[BER_ IN]]</f>
        <v>459</v>
      </c>
      <c r="AK128" s="6">
        <v>13</v>
      </c>
      <c r="AL128" s="33">
        <v>44.2819</v>
      </c>
      <c r="AM128" s="6">
        <v>3808430</v>
      </c>
      <c r="AN128" s="6">
        <f>TABL12[[#This Row],[ (RESV. STORGE) SER]]/10</f>
        <v>380843</v>
      </c>
      <c r="AO128" s="6">
        <v>1765</v>
      </c>
      <c r="AP128" s="32">
        <f>TABL12[[#This Row],[(A/S TOT) AJD]]-TABL12[[#This Row],[SER_ IN]]</f>
        <v>278</v>
      </c>
    </row>
    <row r="129" spans="1:42" x14ac:dyDescent="0.25">
      <c r="A129" s="2">
        <v>45785</v>
      </c>
      <c r="B129" s="28">
        <v>39</v>
      </c>
      <c r="C129" s="28">
        <v>328</v>
      </c>
      <c r="D129" s="28">
        <v>39</v>
      </c>
      <c r="E129" s="28">
        <v>0</v>
      </c>
      <c r="F129" s="28">
        <v>88</v>
      </c>
      <c r="G129" s="28">
        <v>563</v>
      </c>
      <c r="H129" s="28">
        <v>0</v>
      </c>
      <c r="I129" s="28">
        <v>420</v>
      </c>
      <c r="J129" s="28">
        <v>440</v>
      </c>
      <c r="K129" s="28">
        <f>TABL12[[#This Row],[خط (T/B  TOT) SAR]]+TABL12[[#This Row],[خط (S/S  TOT) SAR2]]</f>
        <v>860</v>
      </c>
      <c r="L129" s="28">
        <v>324</v>
      </c>
      <c r="M129" s="29">
        <v>24.7</v>
      </c>
      <c r="N129" s="30">
        <v>7.81</v>
      </c>
      <c r="O129" s="3">
        <v>386</v>
      </c>
      <c r="P129" s="3">
        <f>TABL12[[#This Row],[خط (S/S  TOT) SAR2]]-TABL12[[#This Row],[(S/S TOT) AJD]]</f>
        <v>54</v>
      </c>
      <c r="Q129" s="3">
        <v>429</v>
      </c>
      <c r="R129" s="3">
        <f>TABL12[[#This Row],[خط (T/B  TOT) SAR]]-TABL12[[#This Row],[(T/B TOT) AJD]]</f>
        <v>-9</v>
      </c>
      <c r="S129" s="3">
        <f>TABL12[[#This Row],[الفرق بين بداية ونهاية خط  S/S]]+TABL12[[#This Row],[الفرق بين بداية ونهاية خط  T/B]]</f>
        <v>45</v>
      </c>
      <c r="T129" s="3">
        <f t="shared" si="4"/>
        <v>815</v>
      </c>
      <c r="U129" s="3">
        <v>557</v>
      </c>
      <c r="V129" s="3">
        <v>260</v>
      </c>
      <c r="W129" s="3">
        <f t="shared" si="5"/>
        <v>817</v>
      </c>
      <c r="X129" s="3">
        <f t="shared" si="6"/>
        <v>-2</v>
      </c>
      <c r="Y129" s="4">
        <v>91.92</v>
      </c>
      <c r="Z129" s="3">
        <v>0</v>
      </c>
      <c r="AA129" s="3">
        <f>TABL12[[#This Row],[(RESV. STORGE) AJD]]/10</f>
        <v>0</v>
      </c>
      <c r="AB129" s="3">
        <f t="shared" si="7"/>
        <v>0</v>
      </c>
      <c r="AC129" s="6">
        <v>0</v>
      </c>
      <c r="AD129" s="5">
        <f>TABL12[[#This Row],[( S/S+T/B) AJD]]-(TABL12[[#This Row],[(A/B + A/S) AJD]]+(TABL12[[#This Row],[(STORGE DIFF.) AJD]])+TABL12[[#This Row],[البخر  AJD]]/1000)</f>
        <v>-2</v>
      </c>
      <c r="AE129" s="6">
        <v>51</v>
      </c>
      <c r="AF129" s="33">
        <v>58.506</v>
      </c>
      <c r="AG129" s="6">
        <v>1298562</v>
      </c>
      <c r="AH129" s="6">
        <f>TABL12[[#This Row],[ (RESV. STORGE) BER]]/10</f>
        <v>129856.2</v>
      </c>
      <c r="AI129" s="6">
        <v>2815</v>
      </c>
      <c r="AJ129" s="6">
        <f>TABL12[[#This Row],[(A/B TOT) AJD]]-TABL12[[#This Row],[BER_ IN]]</f>
        <v>506</v>
      </c>
      <c r="AK129" s="6">
        <v>0</v>
      </c>
      <c r="AL129" s="33">
        <v>44.255099999999999</v>
      </c>
      <c r="AM129" s="6">
        <v>3793550</v>
      </c>
      <c r="AN129" s="6">
        <f>TABL12[[#This Row],[ (RESV. STORGE) SER]]/10</f>
        <v>379355</v>
      </c>
      <c r="AO129" s="6">
        <v>1795</v>
      </c>
      <c r="AP129" s="32">
        <f>TABL12[[#This Row],[(A/S TOT) AJD]]-TABL12[[#This Row],[SER_ IN]]</f>
        <v>260</v>
      </c>
    </row>
    <row r="130" spans="1:42" x14ac:dyDescent="0.25">
      <c r="A130" s="2">
        <v>45786</v>
      </c>
      <c r="B130" s="28">
        <v>39</v>
      </c>
      <c r="C130" s="28">
        <v>323</v>
      </c>
      <c r="D130" s="28">
        <v>39</v>
      </c>
      <c r="E130" s="28">
        <v>0</v>
      </c>
      <c r="F130" s="28">
        <v>88</v>
      </c>
      <c r="G130" s="28">
        <v>533</v>
      </c>
      <c r="H130" s="28">
        <v>0</v>
      </c>
      <c r="I130" s="28">
        <v>420</v>
      </c>
      <c r="J130" s="28">
        <v>437</v>
      </c>
      <c r="K130" s="28">
        <f>TABL12[[#This Row],[خط (T/B  TOT) SAR]]+TABL12[[#This Row],[خط (S/S  TOT) SAR2]]</f>
        <v>857</v>
      </c>
      <c r="L130" s="28">
        <v>324</v>
      </c>
      <c r="M130" s="29">
        <v>24.7</v>
      </c>
      <c r="N130" s="30">
        <v>7.83</v>
      </c>
      <c r="O130" s="3">
        <v>392</v>
      </c>
      <c r="P130" s="3">
        <f>TABL12[[#This Row],[خط (S/S  TOT) SAR2]]-TABL12[[#This Row],[(S/S TOT) AJD]]</f>
        <v>45</v>
      </c>
      <c r="Q130" s="3">
        <v>435</v>
      </c>
      <c r="R130" s="3">
        <f>TABL12[[#This Row],[خط (T/B  TOT) SAR]]-TABL12[[#This Row],[(T/B TOT) AJD]]</f>
        <v>-15</v>
      </c>
      <c r="S130" s="3">
        <f>TABL12[[#This Row],[الفرق بين بداية ونهاية خط  S/S]]+TABL12[[#This Row],[الفرق بين بداية ونهاية خط  T/B]]</f>
        <v>30</v>
      </c>
      <c r="T130" s="3">
        <f t="shared" ref="T130:T193" si="8">O130+Q130</f>
        <v>827</v>
      </c>
      <c r="U130" s="3">
        <v>512</v>
      </c>
      <c r="V130" s="3">
        <v>320</v>
      </c>
      <c r="W130" s="3">
        <f t="shared" ref="W130:W193" si="9">U130+V130</f>
        <v>832</v>
      </c>
      <c r="X130" s="3">
        <f t="shared" ref="X130:X193" si="10">T130-W130</f>
        <v>-5</v>
      </c>
      <c r="Y130" s="4">
        <v>91.92</v>
      </c>
      <c r="Z130" s="3">
        <v>0</v>
      </c>
      <c r="AA130" s="3">
        <f>TABL12[[#This Row],[(RESV. STORGE) AJD]]/10</f>
        <v>0</v>
      </c>
      <c r="AB130" s="3">
        <f t="shared" si="7"/>
        <v>0</v>
      </c>
      <c r="AC130" s="6">
        <v>0</v>
      </c>
      <c r="AD130" s="5">
        <f>TABL12[[#This Row],[( S/S+T/B) AJD]]-(TABL12[[#This Row],[(A/B + A/S) AJD]]+(TABL12[[#This Row],[(STORGE DIFF.) AJD]])+TABL12[[#This Row],[البخر  AJD]]/1000)</f>
        <v>-5</v>
      </c>
      <c r="AE130" s="6">
        <v>57</v>
      </c>
      <c r="AF130" s="33">
        <v>58.466000000000001</v>
      </c>
      <c r="AG130" s="6">
        <v>1272332</v>
      </c>
      <c r="AH130" s="6">
        <f>TABL12[[#This Row],[ (RESV. STORGE) BER]]/10</f>
        <v>127233.2</v>
      </c>
      <c r="AI130" s="6">
        <v>3550</v>
      </c>
      <c r="AJ130" s="6">
        <f>TABL12[[#This Row],[(A/B TOT) AJD]]-TABL12[[#This Row],[BER_ IN]]</f>
        <v>455</v>
      </c>
      <c r="AK130" s="6">
        <v>0</v>
      </c>
      <c r="AL130" s="33">
        <v>44.236499999999999</v>
      </c>
      <c r="AM130" s="6">
        <v>3783250</v>
      </c>
      <c r="AN130" s="6">
        <f>TABL12[[#This Row],[ (RESV. STORGE) SER]]/10</f>
        <v>378325</v>
      </c>
      <c r="AO130" s="6">
        <v>1825</v>
      </c>
      <c r="AP130" s="32">
        <f>TABL12[[#This Row],[(A/S TOT) AJD]]-TABL12[[#This Row],[SER_ IN]]</f>
        <v>320</v>
      </c>
    </row>
    <row r="131" spans="1:42" x14ac:dyDescent="0.25">
      <c r="A131" s="2">
        <v>45787</v>
      </c>
      <c r="B131" s="28">
        <v>39</v>
      </c>
      <c r="C131" s="28">
        <v>326</v>
      </c>
      <c r="D131" s="28">
        <v>39</v>
      </c>
      <c r="E131" s="28">
        <v>0</v>
      </c>
      <c r="F131" s="28">
        <v>88</v>
      </c>
      <c r="G131" s="28">
        <v>534</v>
      </c>
      <c r="H131" s="28">
        <v>0</v>
      </c>
      <c r="I131" s="28">
        <v>420</v>
      </c>
      <c r="J131" s="28">
        <v>438</v>
      </c>
      <c r="K131" s="28">
        <f>TABL12[[#This Row],[خط (T/B  TOT) SAR]]+TABL12[[#This Row],[خط (S/S  TOT) SAR2]]</f>
        <v>858</v>
      </c>
      <c r="L131" s="28">
        <v>324</v>
      </c>
      <c r="M131" s="29">
        <v>24.7</v>
      </c>
      <c r="N131" s="30">
        <v>7.86</v>
      </c>
      <c r="O131" s="3">
        <v>386</v>
      </c>
      <c r="P131" s="3">
        <f>TABL12[[#This Row],[خط (S/S  TOT) SAR2]]-TABL12[[#This Row],[(S/S TOT) AJD]]</f>
        <v>52</v>
      </c>
      <c r="Q131" s="3">
        <v>430</v>
      </c>
      <c r="R131" s="3">
        <f>TABL12[[#This Row],[خط (T/B  TOT) SAR]]-TABL12[[#This Row],[(T/B TOT) AJD]]</f>
        <v>-10</v>
      </c>
      <c r="S131" s="3">
        <f>TABL12[[#This Row],[الفرق بين بداية ونهاية خط  S/S]]+TABL12[[#This Row],[الفرق بين بداية ونهاية خط  T/B]]</f>
        <v>42</v>
      </c>
      <c r="T131" s="3">
        <f t="shared" si="8"/>
        <v>816</v>
      </c>
      <c r="U131" s="3">
        <v>530</v>
      </c>
      <c r="V131" s="3">
        <v>289</v>
      </c>
      <c r="W131" s="3">
        <f t="shared" si="9"/>
        <v>819</v>
      </c>
      <c r="X131" s="3">
        <f t="shared" si="10"/>
        <v>-3</v>
      </c>
      <c r="Y131" s="4">
        <v>91.92</v>
      </c>
      <c r="Z131" s="3">
        <v>0</v>
      </c>
      <c r="AA131" s="3">
        <f>TABL12[[#This Row],[(RESV. STORGE) AJD]]/10</f>
        <v>0</v>
      </c>
      <c r="AB131" s="3">
        <f t="shared" ref="AB131:AB194" si="11">(Z131-Z130)/1000</f>
        <v>0</v>
      </c>
      <c r="AC131" s="6">
        <v>0</v>
      </c>
      <c r="AD131" s="5">
        <f>TABL12[[#This Row],[( S/S+T/B) AJD]]-(TABL12[[#This Row],[(A/B + A/S) AJD]]+(TABL12[[#This Row],[(STORGE DIFF.) AJD]])+TABL12[[#This Row],[البخر  AJD]]/1000)</f>
        <v>-3</v>
      </c>
      <c r="AE131" s="6">
        <v>63</v>
      </c>
      <c r="AF131" s="33">
        <v>58.435000000000002</v>
      </c>
      <c r="AG131" s="6">
        <v>1252012</v>
      </c>
      <c r="AH131" s="6">
        <f>TABL12[[#This Row],[ (RESV. STORGE) BER]]/10</f>
        <v>125201.2</v>
      </c>
      <c r="AI131" s="6">
        <v>3639</v>
      </c>
      <c r="AJ131" s="6">
        <f>TABL12[[#This Row],[(A/B TOT) AJD]]-TABL12[[#This Row],[BER_ IN]]</f>
        <v>467</v>
      </c>
      <c r="AK131" s="6">
        <v>25</v>
      </c>
      <c r="AL131" s="33">
        <v>44.275599999999997</v>
      </c>
      <c r="AM131" s="6">
        <v>3803590</v>
      </c>
      <c r="AN131" s="6">
        <f>TABL12[[#This Row],[ (RESV. STORGE) SER]]/10</f>
        <v>380359</v>
      </c>
      <c r="AO131" s="6">
        <v>1875</v>
      </c>
      <c r="AP131" s="32">
        <f>TABL12[[#This Row],[(A/S TOT) AJD]]-TABL12[[#This Row],[SER_ IN]]</f>
        <v>264</v>
      </c>
    </row>
    <row r="132" spans="1:42" x14ac:dyDescent="0.25">
      <c r="A132" s="2">
        <v>45788</v>
      </c>
      <c r="B132" s="28">
        <v>39</v>
      </c>
      <c r="C132" s="28">
        <v>311</v>
      </c>
      <c r="D132" s="28">
        <v>39</v>
      </c>
      <c r="E132" s="28">
        <v>0</v>
      </c>
      <c r="F132" s="28">
        <v>87</v>
      </c>
      <c r="G132" s="28">
        <v>530</v>
      </c>
      <c r="H132" s="28">
        <v>1</v>
      </c>
      <c r="I132" s="28">
        <v>417</v>
      </c>
      <c r="J132" s="28">
        <v>437</v>
      </c>
      <c r="K132" s="28">
        <f>TABL12[[#This Row],[خط (T/B  TOT) SAR]]+TABL12[[#This Row],[خط (S/S  TOT) SAR2]]</f>
        <v>854</v>
      </c>
      <c r="L132" s="28">
        <v>324</v>
      </c>
      <c r="M132" s="29">
        <v>24.7</v>
      </c>
      <c r="N132" s="30">
        <v>7.82</v>
      </c>
      <c r="O132" s="3">
        <v>387</v>
      </c>
      <c r="P132" s="3">
        <f>TABL12[[#This Row],[خط (S/S  TOT) SAR2]]-TABL12[[#This Row],[(S/S TOT) AJD]]</f>
        <v>50</v>
      </c>
      <c r="Q132" s="3">
        <v>430</v>
      </c>
      <c r="R132" s="3">
        <f>TABL12[[#This Row],[خط (T/B  TOT) SAR]]-TABL12[[#This Row],[(T/B TOT) AJD]]</f>
        <v>-13</v>
      </c>
      <c r="S132" s="3">
        <f>TABL12[[#This Row],[الفرق بين بداية ونهاية خط  S/S]]+TABL12[[#This Row],[الفرق بين بداية ونهاية خط  T/B]]</f>
        <v>37</v>
      </c>
      <c r="T132" s="3">
        <f t="shared" si="8"/>
        <v>817</v>
      </c>
      <c r="U132" s="3">
        <v>562</v>
      </c>
      <c r="V132" s="3">
        <v>246</v>
      </c>
      <c r="W132" s="3">
        <f t="shared" si="9"/>
        <v>808</v>
      </c>
      <c r="X132" s="3">
        <f t="shared" si="10"/>
        <v>9</v>
      </c>
      <c r="Y132" s="4">
        <v>91.92</v>
      </c>
      <c r="Z132" s="3">
        <v>0</v>
      </c>
      <c r="AA132" s="3">
        <f>TABL12[[#This Row],[(RESV. STORGE) AJD]]/10</f>
        <v>0</v>
      </c>
      <c r="AB132" s="3">
        <f t="shared" si="11"/>
        <v>0</v>
      </c>
      <c r="AC132" s="6">
        <v>0</v>
      </c>
      <c r="AD132" s="5">
        <f>TABL12[[#This Row],[( S/S+T/B) AJD]]-(TABL12[[#This Row],[(A/B + A/S) AJD]]+(TABL12[[#This Row],[(STORGE DIFF.) AJD]])+TABL12[[#This Row],[البخر  AJD]]/1000)</f>
        <v>9</v>
      </c>
      <c r="AE132" s="6">
        <v>73</v>
      </c>
      <c r="AF132" s="33">
        <v>58.42</v>
      </c>
      <c r="AG132" s="6">
        <v>1242183</v>
      </c>
      <c r="AH132" s="6">
        <f>TABL12[[#This Row],[ (RESV. STORGE) BER]]/10</f>
        <v>124218.3</v>
      </c>
      <c r="AI132" s="6">
        <v>3184</v>
      </c>
      <c r="AJ132" s="6">
        <f>TABL12[[#This Row],[(A/B TOT) AJD]]-TABL12[[#This Row],[BER_ IN]]</f>
        <v>489</v>
      </c>
      <c r="AK132" s="6">
        <v>34</v>
      </c>
      <c r="AL132" s="33">
        <v>44.326900000000002</v>
      </c>
      <c r="AM132" s="6">
        <v>3833240</v>
      </c>
      <c r="AN132" s="6">
        <f>TABL12[[#This Row],[ (RESV. STORGE) SER]]/10</f>
        <v>383324</v>
      </c>
      <c r="AO132" s="6">
        <v>1830</v>
      </c>
      <c r="AP132" s="32">
        <f>TABL12[[#This Row],[(A/S TOT) AJD]]-TABL12[[#This Row],[SER_ IN]]</f>
        <v>212</v>
      </c>
    </row>
    <row r="133" spans="1:42" x14ac:dyDescent="0.25">
      <c r="A133" s="2">
        <v>45789</v>
      </c>
      <c r="B133" s="28">
        <v>39</v>
      </c>
      <c r="C133" s="28">
        <v>316</v>
      </c>
      <c r="D133" s="28">
        <v>39</v>
      </c>
      <c r="E133" s="28">
        <v>0</v>
      </c>
      <c r="F133" s="28">
        <v>87</v>
      </c>
      <c r="G133" s="28">
        <v>532</v>
      </c>
      <c r="H133" s="28">
        <v>1</v>
      </c>
      <c r="I133" s="28">
        <v>417</v>
      </c>
      <c r="J133" s="28">
        <v>437</v>
      </c>
      <c r="K133" s="28">
        <f>TABL12[[#This Row],[خط (T/B  TOT) SAR]]+TABL12[[#This Row],[خط (S/S  TOT) SAR2]]</f>
        <v>854</v>
      </c>
      <c r="L133" s="28">
        <v>322</v>
      </c>
      <c r="M133" s="29">
        <v>24.7</v>
      </c>
      <c r="N133" s="30">
        <v>7.75</v>
      </c>
      <c r="O133" s="3">
        <v>386</v>
      </c>
      <c r="P133" s="3">
        <f>TABL12[[#This Row],[خط (S/S  TOT) SAR2]]-TABL12[[#This Row],[(S/S TOT) AJD]]</f>
        <v>51</v>
      </c>
      <c r="Q133" s="3">
        <v>429</v>
      </c>
      <c r="R133" s="3">
        <f>TABL12[[#This Row],[خط (T/B  TOT) SAR]]-TABL12[[#This Row],[(T/B TOT) AJD]]</f>
        <v>-12</v>
      </c>
      <c r="S133" s="3">
        <f>TABL12[[#This Row],[الفرق بين بداية ونهاية خط  S/S]]+TABL12[[#This Row],[الفرق بين بداية ونهاية خط  T/B]]</f>
        <v>39</v>
      </c>
      <c r="T133" s="3">
        <f t="shared" si="8"/>
        <v>815</v>
      </c>
      <c r="U133" s="3">
        <v>557</v>
      </c>
      <c r="V133" s="3">
        <v>260</v>
      </c>
      <c r="W133" s="3">
        <f t="shared" si="9"/>
        <v>817</v>
      </c>
      <c r="X133" s="3">
        <f t="shared" si="10"/>
        <v>-2</v>
      </c>
      <c r="Y133" s="4">
        <v>91.92</v>
      </c>
      <c r="Z133" s="3">
        <v>0</v>
      </c>
      <c r="AA133" s="3">
        <f>TABL12[[#This Row],[(RESV. STORGE) AJD]]/10</f>
        <v>0</v>
      </c>
      <c r="AB133" s="3">
        <f t="shared" si="11"/>
        <v>0</v>
      </c>
      <c r="AC133" s="6">
        <v>0</v>
      </c>
      <c r="AD133" s="5">
        <f>TABL12[[#This Row],[( S/S+T/B) AJD]]-(TABL12[[#This Row],[(A/B + A/S) AJD]]+(TABL12[[#This Row],[(STORGE DIFF.) AJD]])+TABL12[[#This Row],[البخر  AJD]]/1000)</f>
        <v>-2</v>
      </c>
      <c r="AE133" s="6">
        <v>80</v>
      </c>
      <c r="AF133" s="33">
        <v>58.417000000000002</v>
      </c>
      <c r="AG133" s="6">
        <v>1240218</v>
      </c>
      <c r="AH133" s="6">
        <f>TABL12[[#This Row],[ (RESV. STORGE) BER]]/10</f>
        <v>124021.8</v>
      </c>
      <c r="AI133" s="6">
        <v>2285</v>
      </c>
      <c r="AJ133" s="6">
        <f>TABL12[[#This Row],[(A/B TOT) AJD]]-TABL12[[#This Row],[BER_ IN]]</f>
        <v>477</v>
      </c>
      <c r="AK133" s="6">
        <v>43</v>
      </c>
      <c r="AL133" s="33">
        <v>44.397300000000001</v>
      </c>
      <c r="AM133" s="6">
        <v>3871880</v>
      </c>
      <c r="AN133" s="6">
        <f>TABL12[[#This Row],[ (RESV. STORGE) SER]]/10</f>
        <v>387188</v>
      </c>
      <c r="AO133" s="6">
        <v>1860</v>
      </c>
      <c r="AP133" s="32">
        <f>TABL12[[#This Row],[(A/S TOT) AJD]]-TABL12[[#This Row],[SER_ IN]]</f>
        <v>217</v>
      </c>
    </row>
    <row r="134" spans="1:42" x14ac:dyDescent="0.25">
      <c r="A134" s="2">
        <v>45790</v>
      </c>
      <c r="B134" s="28">
        <v>39</v>
      </c>
      <c r="C134" s="28">
        <v>308</v>
      </c>
      <c r="D134" s="28">
        <v>39</v>
      </c>
      <c r="E134" s="28">
        <v>0</v>
      </c>
      <c r="F134" s="28">
        <v>89</v>
      </c>
      <c r="G134" s="28">
        <v>532</v>
      </c>
      <c r="H134" s="28">
        <v>0</v>
      </c>
      <c r="I134" s="28">
        <v>418</v>
      </c>
      <c r="J134" s="28">
        <v>435</v>
      </c>
      <c r="K134" s="28">
        <f>TABL12[[#This Row],[خط (T/B  TOT) SAR]]+TABL12[[#This Row],[خط (S/S  TOT) SAR2]]</f>
        <v>853</v>
      </c>
      <c r="L134" s="28">
        <v>321</v>
      </c>
      <c r="M134" s="29">
        <v>24.7</v>
      </c>
      <c r="N134" s="30">
        <v>7.68</v>
      </c>
      <c r="O134" s="3">
        <v>386</v>
      </c>
      <c r="P134" s="3">
        <f>TABL12[[#This Row],[خط (S/S  TOT) SAR2]]-TABL12[[#This Row],[(S/S TOT) AJD]]</f>
        <v>49</v>
      </c>
      <c r="Q134" s="3">
        <v>429</v>
      </c>
      <c r="R134" s="3">
        <f>TABL12[[#This Row],[خط (T/B  TOT) SAR]]-TABL12[[#This Row],[(T/B TOT) AJD]]</f>
        <v>-11</v>
      </c>
      <c r="S134" s="3">
        <f>TABL12[[#This Row],[الفرق بين بداية ونهاية خط  S/S]]+TABL12[[#This Row],[الفرق بين بداية ونهاية خط  T/B]]</f>
        <v>38</v>
      </c>
      <c r="T134" s="3">
        <f t="shared" si="8"/>
        <v>815</v>
      </c>
      <c r="U134" s="3">
        <v>550</v>
      </c>
      <c r="V134" s="3">
        <v>268</v>
      </c>
      <c r="W134" s="3">
        <f t="shared" si="9"/>
        <v>818</v>
      </c>
      <c r="X134" s="3">
        <f t="shared" si="10"/>
        <v>-3</v>
      </c>
      <c r="Y134" s="4">
        <v>91.92</v>
      </c>
      <c r="Z134" s="3">
        <v>0</v>
      </c>
      <c r="AA134" s="3">
        <f>TABL12[[#This Row],[(RESV. STORGE) AJD]]/10</f>
        <v>0</v>
      </c>
      <c r="AB134" s="3">
        <f t="shared" si="11"/>
        <v>0</v>
      </c>
      <c r="AC134" s="6">
        <v>0</v>
      </c>
      <c r="AD134" s="5">
        <f>TABL12[[#This Row],[( S/S+T/B) AJD]]-(TABL12[[#This Row],[(A/B + A/S) AJD]]+(TABL12[[#This Row],[(STORGE DIFF.) AJD]])+TABL12[[#This Row],[البخر  AJD]]/1000)</f>
        <v>-3</v>
      </c>
      <c r="AE134" s="6">
        <v>80</v>
      </c>
      <c r="AF134" s="33">
        <v>58.412999999999997</v>
      </c>
      <c r="AG134" s="6">
        <v>1237597</v>
      </c>
      <c r="AH134" s="6">
        <f>TABL12[[#This Row],[ (RESV. STORGE) BER]]/10</f>
        <v>123759.7</v>
      </c>
      <c r="AI134" s="6">
        <v>2940</v>
      </c>
      <c r="AJ134" s="6">
        <f>TABL12[[#This Row],[(A/B TOT) AJD]]-TABL12[[#This Row],[BER_ IN]]</f>
        <v>470</v>
      </c>
      <c r="AK134" s="6">
        <v>43</v>
      </c>
      <c r="AL134" s="33">
        <v>44.456499999999998</v>
      </c>
      <c r="AM134" s="6">
        <v>3904470</v>
      </c>
      <c r="AN134" s="6">
        <f>TABL12[[#This Row],[ (RESV. STORGE) SER]]/10</f>
        <v>390447</v>
      </c>
      <c r="AO134" s="6">
        <v>1825</v>
      </c>
      <c r="AP134" s="32">
        <f>TABL12[[#This Row],[(A/S TOT) AJD]]-TABL12[[#This Row],[SER_ IN]]</f>
        <v>225</v>
      </c>
    </row>
    <row r="135" spans="1:42" x14ac:dyDescent="0.25">
      <c r="A135" s="2">
        <v>45791</v>
      </c>
      <c r="B135" s="28">
        <v>39</v>
      </c>
      <c r="C135" s="28">
        <v>320</v>
      </c>
      <c r="D135" s="28">
        <v>39</v>
      </c>
      <c r="E135" s="28">
        <v>0</v>
      </c>
      <c r="F135" s="28">
        <v>89</v>
      </c>
      <c r="G135" s="28">
        <v>536</v>
      </c>
      <c r="H135" s="28">
        <v>0</v>
      </c>
      <c r="I135" s="28">
        <v>418</v>
      </c>
      <c r="J135" s="28">
        <v>438</v>
      </c>
      <c r="K135" s="28">
        <f>TABL12[[#This Row],[خط (T/B  TOT) SAR]]+TABL12[[#This Row],[خط (S/S  TOT) SAR2]]</f>
        <v>856</v>
      </c>
      <c r="L135" s="28">
        <v>320</v>
      </c>
      <c r="M135" s="29">
        <v>24.7</v>
      </c>
      <c r="N135" s="30">
        <v>7.64</v>
      </c>
      <c r="O135" s="3">
        <v>387</v>
      </c>
      <c r="P135" s="3">
        <f>TABL12[[#This Row],[خط (S/S  TOT) SAR2]]-TABL12[[#This Row],[(S/S TOT) AJD]]</f>
        <v>51</v>
      </c>
      <c r="Q135" s="3">
        <v>430</v>
      </c>
      <c r="R135" s="3">
        <f>TABL12[[#This Row],[خط (T/B  TOT) SAR]]-TABL12[[#This Row],[(T/B TOT) AJD]]</f>
        <v>-12</v>
      </c>
      <c r="S135" s="3">
        <f>TABL12[[#This Row],[الفرق بين بداية ونهاية خط  S/S]]+TABL12[[#This Row],[الفرق بين بداية ونهاية خط  T/B]]</f>
        <v>39</v>
      </c>
      <c r="T135" s="3">
        <f t="shared" si="8"/>
        <v>817</v>
      </c>
      <c r="U135" s="3">
        <v>508</v>
      </c>
      <c r="V135" s="3">
        <v>312</v>
      </c>
      <c r="W135" s="3">
        <f t="shared" si="9"/>
        <v>820</v>
      </c>
      <c r="X135" s="3">
        <f t="shared" si="10"/>
        <v>-3</v>
      </c>
      <c r="Y135" s="4">
        <v>91.92</v>
      </c>
      <c r="Z135" s="3">
        <v>0</v>
      </c>
      <c r="AA135" s="3">
        <f>TABL12[[#This Row],[(RESV. STORGE) AJD]]/10</f>
        <v>0</v>
      </c>
      <c r="AB135" s="3">
        <f t="shared" si="11"/>
        <v>0</v>
      </c>
      <c r="AC135" s="6">
        <v>0</v>
      </c>
      <c r="AD135" s="5">
        <f>TABL12[[#This Row],[( S/S+T/B) AJD]]-(TABL12[[#This Row],[(A/B + A/S) AJD]]+(TABL12[[#This Row],[(STORGE DIFF.) AJD]])+TABL12[[#This Row],[البخر  AJD]]/1000)</f>
        <v>-3</v>
      </c>
      <c r="AE135" s="6">
        <v>59</v>
      </c>
      <c r="AF135" s="33">
        <v>58.377000000000002</v>
      </c>
      <c r="AG135" s="6">
        <v>1214018</v>
      </c>
      <c r="AH135" s="6">
        <f>TABL12[[#This Row],[ (RESV. STORGE) BER]]/10</f>
        <v>121401.8</v>
      </c>
      <c r="AI135" s="6">
        <v>2899</v>
      </c>
      <c r="AJ135" s="6">
        <f>TABL12[[#This Row],[(A/B TOT) AJD]]-TABL12[[#This Row],[BER_ IN]]</f>
        <v>449</v>
      </c>
      <c r="AK135" s="6">
        <v>23</v>
      </c>
      <c r="AL135" s="33">
        <v>44.486600000000003</v>
      </c>
      <c r="AM135" s="6">
        <v>3921600</v>
      </c>
      <c r="AN135" s="6">
        <f>TABL12[[#This Row],[ (RESV. STORGE) SER]]/10</f>
        <v>392160</v>
      </c>
      <c r="AO135" s="6">
        <v>1765</v>
      </c>
      <c r="AP135" s="32">
        <f>TABL12[[#This Row],[(A/S TOT) AJD]]-TABL12[[#This Row],[SER_ IN]]</f>
        <v>289</v>
      </c>
    </row>
    <row r="136" spans="1:42" x14ac:dyDescent="0.25">
      <c r="A136" s="2">
        <v>45792</v>
      </c>
      <c r="B136" s="28">
        <v>40</v>
      </c>
      <c r="C136" s="28">
        <v>332</v>
      </c>
      <c r="D136" s="28">
        <v>40</v>
      </c>
      <c r="E136" s="28">
        <v>0</v>
      </c>
      <c r="F136" s="28">
        <v>90</v>
      </c>
      <c r="G136" s="28">
        <v>542</v>
      </c>
      <c r="H136" s="28">
        <v>0</v>
      </c>
      <c r="I136" s="28">
        <v>425</v>
      </c>
      <c r="J136" s="28">
        <v>442</v>
      </c>
      <c r="K136" s="28">
        <f>TABL12[[#This Row],[خط (T/B  TOT) SAR]]+TABL12[[#This Row],[خط (S/S  TOT) SAR2]]</f>
        <v>867</v>
      </c>
      <c r="L136" s="28">
        <v>325</v>
      </c>
      <c r="M136" s="29">
        <v>24.7</v>
      </c>
      <c r="N136" s="30">
        <v>7.7</v>
      </c>
      <c r="O136" s="3">
        <v>390</v>
      </c>
      <c r="P136" s="3">
        <f>TABL12[[#This Row],[خط (S/S  TOT) SAR2]]-TABL12[[#This Row],[(S/S TOT) AJD]]</f>
        <v>52</v>
      </c>
      <c r="Q136" s="3">
        <v>431</v>
      </c>
      <c r="R136" s="3">
        <f>TABL12[[#This Row],[خط (T/B  TOT) SAR]]-TABL12[[#This Row],[(T/B TOT) AJD]]</f>
        <v>-6</v>
      </c>
      <c r="S136" s="3">
        <f>TABL12[[#This Row],[الفرق بين بداية ونهاية خط  S/S]]+TABL12[[#This Row],[الفرق بين بداية ونهاية خط  T/B]]</f>
        <v>46</v>
      </c>
      <c r="T136" s="3">
        <f t="shared" si="8"/>
        <v>821</v>
      </c>
      <c r="U136" s="3">
        <v>529</v>
      </c>
      <c r="V136" s="3">
        <v>293</v>
      </c>
      <c r="W136" s="3">
        <f t="shared" si="9"/>
        <v>822</v>
      </c>
      <c r="X136" s="3">
        <f t="shared" si="10"/>
        <v>-1</v>
      </c>
      <c r="Y136" s="4">
        <v>91.92</v>
      </c>
      <c r="Z136" s="3">
        <v>0</v>
      </c>
      <c r="AA136" s="3">
        <f>TABL12[[#This Row],[(RESV. STORGE) AJD]]/10</f>
        <v>0</v>
      </c>
      <c r="AB136" s="3">
        <f t="shared" si="11"/>
        <v>0</v>
      </c>
      <c r="AC136" s="6">
        <v>0</v>
      </c>
      <c r="AD136" s="5">
        <f>TABL12[[#This Row],[( S/S+T/B) AJD]]-(TABL12[[#This Row],[(A/B + A/S) AJD]]+(TABL12[[#This Row],[(STORGE DIFF.) AJD]])+TABL12[[#This Row],[البخر  AJD]]/1000)</f>
        <v>-1</v>
      </c>
      <c r="AE136" s="6">
        <v>50</v>
      </c>
      <c r="AF136" s="33">
        <v>58.328000000000003</v>
      </c>
      <c r="AG136" s="6">
        <v>1181941</v>
      </c>
      <c r="AH136" s="6">
        <f>TABL12[[#This Row],[ (RESV. STORGE) BER]]/10</f>
        <v>118194.1</v>
      </c>
      <c r="AI136" s="6">
        <v>2396</v>
      </c>
      <c r="AJ136" s="6">
        <f>TABL12[[#This Row],[(A/B TOT) AJD]]-TABL12[[#This Row],[BER_ IN]]</f>
        <v>479</v>
      </c>
      <c r="AK136" s="6">
        <v>25</v>
      </c>
      <c r="AL136" s="33">
        <v>44.510800000000003</v>
      </c>
      <c r="AM136" s="6">
        <v>3934870</v>
      </c>
      <c r="AN136" s="6">
        <f>TABL12[[#This Row],[ (RESV. STORGE) SER]]/10</f>
        <v>393487</v>
      </c>
      <c r="AO136" s="6">
        <v>1850</v>
      </c>
      <c r="AP136" s="32">
        <f>TABL12[[#This Row],[(A/S TOT) AJD]]-TABL12[[#This Row],[SER_ IN]]</f>
        <v>268</v>
      </c>
    </row>
    <row r="137" spans="1:42" x14ac:dyDescent="0.25">
      <c r="A137" s="2">
        <v>45793</v>
      </c>
      <c r="B137" s="28">
        <v>40</v>
      </c>
      <c r="C137" s="28">
        <v>316</v>
      </c>
      <c r="D137" s="28">
        <v>40</v>
      </c>
      <c r="E137" s="28">
        <v>0</v>
      </c>
      <c r="F137" s="28">
        <v>90</v>
      </c>
      <c r="G137" s="28">
        <v>540</v>
      </c>
      <c r="H137" s="28">
        <v>0</v>
      </c>
      <c r="I137" s="28">
        <v>420</v>
      </c>
      <c r="J137" s="28">
        <v>440</v>
      </c>
      <c r="K137" s="28">
        <f>TABL12[[#This Row],[خط (T/B  TOT) SAR]]+TABL12[[#This Row],[خط (S/S  TOT) SAR2]]</f>
        <v>860</v>
      </c>
      <c r="L137" s="28">
        <v>320</v>
      </c>
      <c r="M137" s="29">
        <v>24.7</v>
      </c>
      <c r="N137" s="30">
        <v>7.74</v>
      </c>
      <c r="O137" s="3">
        <v>392</v>
      </c>
      <c r="P137" s="3">
        <f>TABL12[[#This Row],[خط (S/S  TOT) SAR2]]-TABL12[[#This Row],[(S/S TOT) AJD]]</f>
        <v>48</v>
      </c>
      <c r="Q137" s="3">
        <v>435</v>
      </c>
      <c r="R137" s="3">
        <f>TABL12[[#This Row],[خط (T/B  TOT) SAR]]-TABL12[[#This Row],[(T/B TOT) AJD]]</f>
        <v>-15</v>
      </c>
      <c r="S137" s="3">
        <f>TABL12[[#This Row],[الفرق بين بداية ونهاية خط  S/S]]+TABL12[[#This Row],[الفرق بين بداية ونهاية خط  T/B]]</f>
        <v>33</v>
      </c>
      <c r="T137" s="3">
        <f t="shared" si="8"/>
        <v>827</v>
      </c>
      <c r="U137" s="3">
        <v>512</v>
      </c>
      <c r="V137" s="3">
        <v>320</v>
      </c>
      <c r="W137" s="3">
        <f t="shared" si="9"/>
        <v>832</v>
      </c>
      <c r="X137" s="3">
        <f t="shared" si="10"/>
        <v>-5</v>
      </c>
      <c r="Y137" s="4">
        <v>91.92</v>
      </c>
      <c r="Z137" s="3">
        <v>0</v>
      </c>
      <c r="AA137" s="3">
        <f>TABL12[[#This Row],[(RESV. STORGE) AJD]]/10</f>
        <v>0</v>
      </c>
      <c r="AB137" s="3">
        <f t="shared" si="11"/>
        <v>0</v>
      </c>
      <c r="AC137" s="6">
        <v>0</v>
      </c>
      <c r="AD137" s="5">
        <f>TABL12[[#This Row],[( S/S+T/B) AJD]]-(TABL12[[#This Row],[(A/B + A/S) AJD]]+(TABL12[[#This Row],[(STORGE DIFF.) AJD]])+TABL12[[#This Row],[البخر  AJD]]/1000)</f>
        <v>-5</v>
      </c>
      <c r="AE137" s="6">
        <v>50</v>
      </c>
      <c r="AF137" s="33">
        <v>58.326999999999998</v>
      </c>
      <c r="AG137" s="6">
        <v>1181287</v>
      </c>
      <c r="AH137" s="6">
        <f>TABL12[[#This Row],[ (RESV. STORGE) BER]]/10</f>
        <v>118128.7</v>
      </c>
      <c r="AI137" s="6">
        <v>2791</v>
      </c>
      <c r="AJ137" s="6">
        <f>TABL12[[#This Row],[(A/B TOT) AJD]]-TABL12[[#This Row],[BER_ IN]]</f>
        <v>462</v>
      </c>
      <c r="AK137" s="6">
        <v>28</v>
      </c>
      <c r="AL137" s="33">
        <v>44.642299999999999</v>
      </c>
      <c r="AM137" s="6">
        <v>4007390</v>
      </c>
      <c r="AN137" s="6">
        <f>TABL12[[#This Row],[ (RESV. STORGE) SER]]/10</f>
        <v>400739</v>
      </c>
      <c r="AO137" s="6">
        <v>1410</v>
      </c>
      <c r="AP137" s="32">
        <f>TABL12[[#This Row],[(A/S TOT) AJD]]-TABL12[[#This Row],[SER_ IN]]</f>
        <v>292</v>
      </c>
    </row>
    <row r="138" spans="1:42" x14ac:dyDescent="0.25">
      <c r="A138" s="2">
        <v>45794</v>
      </c>
      <c r="B138" s="28">
        <v>38</v>
      </c>
      <c r="C138" s="28">
        <v>280</v>
      </c>
      <c r="D138" s="28">
        <v>36</v>
      </c>
      <c r="E138" s="28">
        <v>0</v>
      </c>
      <c r="F138" s="28">
        <v>90</v>
      </c>
      <c r="G138" s="28">
        <v>538</v>
      </c>
      <c r="H138" s="28">
        <v>0</v>
      </c>
      <c r="I138" s="28">
        <v>420</v>
      </c>
      <c r="J138" s="28">
        <v>436</v>
      </c>
      <c r="K138" s="28">
        <f>TABL12[[#This Row],[خط (T/B  TOT) SAR]]+TABL12[[#This Row],[خط (S/S  TOT) SAR2]]</f>
        <v>856</v>
      </c>
      <c r="L138" s="28">
        <v>318</v>
      </c>
      <c r="M138" s="29">
        <v>24.7</v>
      </c>
      <c r="N138" s="30">
        <v>7.61</v>
      </c>
      <c r="O138" s="3">
        <v>390</v>
      </c>
      <c r="P138" s="3">
        <f>TABL12[[#This Row],[خط (S/S  TOT) SAR2]]-TABL12[[#This Row],[(S/S TOT) AJD]]</f>
        <v>46</v>
      </c>
      <c r="Q138" s="3">
        <v>432</v>
      </c>
      <c r="R138" s="3">
        <f>TABL12[[#This Row],[خط (T/B  TOT) SAR]]-TABL12[[#This Row],[(T/B TOT) AJD]]</f>
        <v>-12</v>
      </c>
      <c r="S138" s="3">
        <f>TABL12[[#This Row],[الفرق بين بداية ونهاية خط  S/S]]+TABL12[[#This Row],[الفرق بين بداية ونهاية خط  T/B]]</f>
        <v>34</v>
      </c>
      <c r="T138" s="3">
        <f t="shared" si="8"/>
        <v>822</v>
      </c>
      <c r="U138" s="3">
        <v>524</v>
      </c>
      <c r="V138" s="3">
        <v>294</v>
      </c>
      <c r="W138" s="3">
        <f t="shared" si="9"/>
        <v>818</v>
      </c>
      <c r="X138" s="3">
        <f t="shared" si="10"/>
        <v>4</v>
      </c>
      <c r="Y138" s="4">
        <v>91.92</v>
      </c>
      <c r="Z138" s="3">
        <v>0</v>
      </c>
      <c r="AA138" s="3">
        <f>TABL12[[#This Row],[(RESV. STORGE) AJD]]/10</f>
        <v>0</v>
      </c>
      <c r="AB138" s="3">
        <f t="shared" si="11"/>
        <v>0</v>
      </c>
      <c r="AC138" s="6">
        <v>0</v>
      </c>
      <c r="AD138" s="5">
        <f>TABL12[[#This Row],[( S/S+T/B) AJD]]-(TABL12[[#This Row],[(A/B + A/S) AJD]]+(TABL12[[#This Row],[(STORGE DIFF.) AJD]])+TABL12[[#This Row],[البخر  AJD]]/1000)</f>
        <v>4</v>
      </c>
      <c r="AE138" s="6">
        <v>50</v>
      </c>
      <c r="AF138" s="33">
        <v>58.323999999999998</v>
      </c>
      <c r="AG138" s="6">
        <v>1179324</v>
      </c>
      <c r="AH138" s="6">
        <f>TABL12[[#This Row],[ (RESV. STORGE) BER]]/10</f>
        <v>117932.4</v>
      </c>
      <c r="AI138" s="6">
        <v>2163</v>
      </c>
      <c r="AJ138" s="6">
        <f>TABL12[[#This Row],[(A/B TOT) AJD]]-TABL12[[#This Row],[BER_ IN]]</f>
        <v>474</v>
      </c>
      <c r="AK138" s="6">
        <v>28</v>
      </c>
      <c r="AL138" s="33">
        <v>44.595500000000001</v>
      </c>
      <c r="AM138" s="6">
        <v>3980800</v>
      </c>
      <c r="AN138" s="6">
        <f>TABL12[[#This Row],[ (RESV. STORGE) SER]]/10</f>
        <v>398080</v>
      </c>
      <c r="AO138" s="6">
        <v>1500</v>
      </c>
      <c r="AP138" s="32">
        <f>TABL12[[#This Row],[(A/S TOT) AJD]]-TABL12[[#This Row],[SER_ IN]]</f>
        <v>266</v>
      </c>
    </row>
    <row r="139" spans="1:42" x14ac:dyDescent="0.25">
      <c r="A139" s="2">
        <v>45795</v>
      </c>
      <c r="B139" s="28">
        <v>39</v>
      </c>
      <c r="C139" s="28">
        <v>304</v>
      </c>
      <c r="D139" s="28">
        <v>39</v>
      </c>
      <c r="E139" s="28">
        <v>0</v>
      </c>
      <c r="F139" s="28">
        <v>90</v>
      </c>
      <c r="G139" s="28">
        <v>536</v>
      </c>
      <c r="H139" s="28">
        <v>0</v>
      </c>
      <c r="I139" s="28">
        <v>420</v>
      </c>
      <c r="J139" s="28">
        <v>433</v>
      </c>
      <c r="K139" s="28">
        <f>TABL12[[#This Row],[خط (T/B  TOT) SAR]]+TABL12[[#This Row],[خط (S/S  TOT) SAR2]]</f>
        <v>853</v>
      </c>
      <c r="L139" s="28">
        <v>317</v>
      </c>
      <c r="M139" s="29">
        <v>24.7</v>
      </c>
      <c r="N139" s="30">
        <v>7.47</v>
      </c>
      <c r="O139" s="3">
        <v>386</v>
      </c>
      <c r="P139" s="3">
        <f>TABL12[[#This Row],[خط (S/S  TOT) SAR2]]-TABL12[[#This Row],[(S/S TOT) AJD]]</f>
        <v>47</v>
      </c>
      <c r="Q139" s="3">
        <v>430</v>
      </c>
      <c r="R139" s="3">
        <f>TABL12[[#This Row],[خط (T/B  TOT) SAR]]-TABL12[[#This Row],[(T/B TOT) AJD]]</f>
        <v>-10</v>
      </c>
      <c r="S139" s="3">
        <f>TABL12[[#This Row],[الفرق بين بداية ونهاية خط  S/S]]+TABL12[[#This Row],[الفرق بين بداية ونهاية خط  T/B]]</f>
        <v>37</v>
      </c>
      <c r="T139" s="3">
        <f t="shared" si="8"/>
        <v>816</v>
      </c>
      <c r="U139" s="3">
        <v>530</v>
      </c>
      <c r="V139" s="3">
        <v>289</v>
      </c>
      <c r="W139" s="3">
        <f t="shared" si="9"/>
        <v>819</v>
      </c>
      <c r="X139" s="3">
        <f t="shared" si="10"/>
        <v>-3</v>
      </c>
      <c r="Y139" s="4">
        <v>91.92</v>
      </c>
      <c r="Z139" s="3">
        <v>0</v>
      </c>
      <c r="AA139" s="3">
        <f>TABL12[[#This Row],[(RESV. STORGE) AJD]]/10</f>
        <v>0</v>
      </c>
      <c r="AB139" s="3">
        <f t="shared" si="11"/>
        <v>0</v>
      </c>
      <c r="AC139" s="6">
        <v>0</v>
      </c>
      <c r="AD139" s="5">
        <f>TABL12[[#This Row],[( S/S+T/B) AJD]]-(TABL12[[#This Row],[(A/B + A/S) AJD]]+(TABL12[[#This Row],[(STORGE DIFF.) AJD]])+TABL12[[#This Row],[البخر  AJD]]/1000)</f>
        <v>-3</v>
      </c>
      <c r="AE139" s="6">
        <v>50</v>
      </c>
      <c r="AF139" s="33">
        <v>58.274999999999999</v>
      </c>
      <c r="AG139" s="6">
        <v>1147270</v>
      </c>
      <c r="AH139" s="6">
        <f>TABL12[[#This Row],[ (RESV. STORGE) BER]]/10</f>
        <v>114727</v>
      </c>
      <c r="AI139" s="6">
        <v>2373</v>
      </c>
      <c r="AJ139" s="6">
        <f>TABL12[[#This Row],[(A/B TOT) AJD]]-TABL12[[#This Row],[BER_ IN]]</f>
        <v>480</v>
      </c>
      <c r="AK139" s="6">
        <v>28</v>
      </c>
      <c r="AL139" s="33">
        <v>44.642299999999999</v>
      </c>
      <c r="AM139" s="6">
        <v>4007390</v>
      </c>
      <c r="AN139" s="6">
        <f>TABL12[[#This Row],[ (RESV. STORGE) SER]]/10</f>
        <v>400739</v>
      </c>
      <c r="AO139" s="6">
        <v>1410</v>
      </c>
      <c r="AP139" s="32">
        <f>TABL12[[#This Row],[(A/S TOT) AJD]]-TABL12[[#This Row],[SER_ IN]]</f>
        <v>261</v>
      </c>
    </row>
    <row r="140" spans="1:42" x14ac:dyDescent="0.25">
      <c r="A140" s="2">
        <v>45796</v>
      </c>
      <c r="B140" s="28">
        <v>39</v>
      </c>
      <c r="C140" s="28">
        <v>309</v>
      </c>
      <c r="D140" s="28">
        <v>39</v>
      </c>
      <c r="E140" s="28">
        <v>0</v>
      </c>
      <c r="F140" s="28">
        <v>90</v>
      </c>
      <c r="G140" s="28">
        <v>551</v>
      </c>
      <c r="H140" s="28">
        <v>0</v>
      </c>
      <c r="I140" s="28">
        <v>437</v>
      </c>
      <c r="J140" s="28">
        <v>430</v>
      </c>
      <c r="K140" s="28">
        <f>TABL12[[#This Row],[خط (T/B  TOT) SAR]]+TABL12[[#This Row],[خط (S/S  TOT) SAR2]]</f>
        <v>867</v>
      </c>
      <c r="L140" s="28">
        <v>316</v>
      </c>
      <c r="M140" s="29">
        <v>24.7</v>
      </c>
      <c r="N140" s="30">
        <v>7.47</v>
      </c>
      <c r="O140" s="3">
        <v>385</v>
      </c>
      <c r="P140" s="3">
        <f>TABL12[[#This Row],[خط (S/S  TOT) SAR2]]-TABL12[[#This Row],[(S/S TOT) AJD]]</f>
        <v>45</v>
      </c>
      <c r="Q140" s="3">
        <v>426</v>
      </c>
      <c r="R140" s="3">
        <f>TABL12[[#This Row],[خط (T/B  TOT) SAR]]-TABL12[[#This Row],[(T/B TOT) AJD]]</f>
        <v>11</v>
      </c>
      <c r="S140" s="3">
        <f>TABL12[[#This Row],[الفرق بين بداية ونهاية خط  S/S]]+TABL12[[#This Row],[الفرق بين بداية ونهاية خط  T/B]]</f>
        <v>56</v>
      </c>
      <c r="T140" s="3">
        <f t="shared" si="8"/>
        <v>811</v>
      </c>
      <c r="U140" s="3">
        <v>530</v>
      </c>
      <c r="V140" s="3">
        <v>269</v>
      </c>
      <c r="W140" s="3">
        <f t="shared" si="9"/>
        <v>799</v>
      </c>
      <c r="X140" s="3">
        <f t="shared" si="10"/>
        <v>12</v>
      </c>
      <c r="Y140" s="4">
        <v>91.92</v>
      </c>
      <c r="Z140" s="3">
        <v>0</v>
      </c>
      <c r="AA140" s="3">
        <f>TABL12[[#This Row],[(RESV. STORGE) AJD]]/10</f>
        <v>0</v>
      </c>
      <c r="AB140" s="3">
        <f t="shared" si="11"/>
        <v>0</v>
      </c>
      <c r="AC140" s="6">
        <v>0</v>
      </c>
      <c r="AD140" s="5">
        <f>TABL12[[#This Row],[( S/S+T/B) AJD]]-(TABL12[[#This Row],[(A/B + A/S) AJD]]+(TABL12[[#This Row],[(STORGE DIFF.) AJD]])+TABL12[[#This Row],[البخر  AJD]]/1000)</f>
        <v>12</v>
      </c>
      <c r="AE140" s="6">
        <v>55</v>
      </c>
      <c r="AF140" s="33">
        <v>58.234000000000002</v>
      </c>
      <c r="AG140" s="6">
        <v>1120465</v>
      </c>
      <c r="AH140" s="6">
        <f>TABL12[[#This Row],[ (RESV. STORGE) BER]]/10</f>
        <v>112046.5</v>
      </c>
      <c r="AI140" s="6">
        <v>2124</v>
      </c>
      <c r="AJ140" s="6">
        <f>TABL12[[#This Row],[(A/B TOT) AJD]]-TABL12[[#This Row],[BER_ IN]]</f>
        <v>475</v>
      </c>
      <c r="AK140" s="6">
        <v>28</v>
      </c>
      <c r="AL140" s="33">
        <v>44.673000000000002</v>
      </c>
      <c r="AM140" s="6">
        <v>4025050</v>
      </c>
      <c r="AN140" s="6">
        <f>TABL12[[#This Row],[ (RESV. STORGE) SER]]/10</f>
        <v>402505</v>
      </c>
      <c r="AO140" s="6">
        <v>1800</v>
      </c>
      <c r="AP140" s="32">
        <f>TABL12[[#This Row],[(A/S TOT) AJD]]-TABL12[[#This Row],[SER_ IN]]</f>
        <v>241</v>
      </c>
    </row>
    <row r="141" spans="1:42" x14ac:dyDescent="0.25">
      <c r="A141" s="2">
        <v>45797</v>
      </c>
      <c r="B141" s="28">
        <v>37</v>
      </c>
      <c r="C141" s="28">
        <v>306</v>
      </c>
      <c r="D141" s="28">
        <v>39</v>
      </c>
      <c r="E141" s="28">
        <v>0</v>
      </c>
      <c r="F141" s="28">
        <v>89</v>
      </c>
      <c r="G141" s="28">
        <v>535</v>
      </c>
      <c r="H141" s="28">
        <v>1</v>
      </c>
      <c r="I141" s="28">
        <v>418</v>
      </c>
      <c r="J141" s="28">
        <v>433</v>
      </c>
      <c r="K141" s="28">
        <f>TABL12[[#This Row],[خط (T/B  TOT) SAR]]+TABL12[[#This Row],[خط (S/S  TOT) SAR2]]</f>
        <v>851</v>
      </c>
      <c r="L141" s="28">
        <v>316</v>
      </c>
      <c r="M141" s="29">
        <v>24.7</v>
      </c>
      <c r="N141" s="30">
        <v>7.4</v>
      </c>
      <c r="O141" s="3">
        <v>384</v>
      </c>
      <c r="P141" s="3">
        <f>TABL12[[#This Row],[خط (S/S  TOT) SAR2]]-TABL12[[#This Row],[(S/S TOT) AJD]]</f>
        <v>49</v>
      </c>
      <c r="Q141" s="3">
        <v>427</v>
      </c>
      <c r="R141" s="3">
        <f>TABL12[[#This Row],[خط (T/B  TOT) SAR]]-TABL12[[#This Row],[(T/B TOT) AJD]]</f>
        <v>-9</v>
      </c>
      <c r="S141" s="3">
        <f>TABL12[[#This Row],[الفرق بين بداية ونهاية خط  S/S]]+TABL12[[#This Row],[الفرق بين بداية ونهاية خط  T/B]]</f>
        <v>40</v>
      </c>
      <c r="T141" s="3">
        <f t="shared" si="8"/>
        <v>811</v>
      </c>
      <c r="U141" s="3">
        <v>537</v>
      </c>
      <c r="V141" s="3">
        <v>271</v>
      </c>
      <c r="W141" s="3">
        <f t="shared" si="9"/>
        <v>808</v>
      </c>
      <c r="X141" s="3">
        <f t="shared" si="10"/>
        <v>3</v>
      </c>
      <c r="Y141" s="4">
        <v>91.92</v>
      </c>
      <c r="Z141" s="3">
        <v>0</v>
      </c>
      <c r="AA141" s="3">
        <f>TABL12[[#This Row],[(RESV. STORGE) AJD]]/10</f>
        <v>0</v>
      </c>
      <c r="AB141" s="3">
        <f t="shared" si="11"/>
        <v>0</v>
      </c>
      <c r="AC141" s="6">
        <v>0</v>
      </c>
      <c r="AD141" s="5">
        <f>TABL12[[#This Row],[( S/S+T/B) AJD]]-(TABL12[[#This Row],[(A/B + A/S) AJD]]+(TABL12[[#This Row],[(STORGE DIFF.) AJD]])+TABL12[[#This Row],[البخر  AJD]]/1000)</f>
        <v>3</v>
      </c>
      <c r="AE141" s="6">
        <v>60</v>
      </c>
      <c r="AF141" s="33">
        <v>58.201000000000001</v>
      </c>
      <c r="AG141" s="6">
        <v>1098901</v>
      </c>
      <c r="AH141" s="6">
        <f>TABL12[[#This Row],[ (RESV. STORGE) BER]]/10</f>
        <v>109890.1</v>
      </c>
      <c r="AI141" s="6">
        <v>2204</v>
      </c>
      <c r="AJ141" s="6">
        <f>TABL12[[#This Row],[(A/B TOT) AJD]]-TABL12[[#This Row],[BER_ IN]]</f>
        <v>477</v>
      </c>
      <c r="AK141" s="6">
        <v>28</v>
      </c>
      <c r="AL141" s="33">
        <v>44.7027</v>
      </c>
      <c r="AM141" s="6">
        <v>4041200</v>
      </c>
      <c r="AN141" s="6">
        <f>TABL12[[#This Row],[ (RESV. STORGE) SER]]/10</f>
        <v>404120</v>
      </c>
      <c r="AO141" s="6">
        <v>1850</v>
      </c>
      <c r="AP141" s="32">
        <f>TABL12[[#This Row],[(A/S TOT) AJD]]-TABL12[[#This Row],[SER_ IN]]</f>
        <v>243</v>
      </c>
    </row>
    <row r="142" spans="1:42" x14ac:dyDescent="0.25">
      <c r="A142" s="2">
        <v>45798</v>
      </c>
      <c r="B142" s="28">
        <v>35</v>
      </c>
      <c r="C142" s="28">
        <v>283</v>
      </c>
      <c r="D142" s="28">
        <v>38</v>
      </c>
      <c r="E142" s="28">
        <v>0</v>
      </c>
      <c r="F142" s="28">
        <v>90</v>
      </c>
      <c r="G142" s="28">
        <v>536</v>
      </c>
      <c r="H142" s="28">
        <v>1</v>
      </c>
      <c r="I142" s="28">
        <v>418</v>
      </c>
      <c r="J142" s="28">
        <v>432</v>
      </c>
      <c r="K142" s="28">
        <f>TABL12[[#This Row],[خط (T/B  TOT) SAR]]+TABL12[[#This Row],[خط (S/S  TOT) SAR2]]</f>
        <v>850</v>
      </c>
      <c r="L142" s="28">
        <v>314</v>
      </c>
      <c r="M142" s="29">
        <v>24.7</v>
      </c>
      <c r="N142" s="30">
        <v>7.4</v>
      </c>
      <c r="O142" s="3">
        <v>381</v>
      </c>
      <c r="P142" s="3">
        <f>TABL12[[#This Row],[خط (S/S  TOT) SAR2]]-TABL12[[#This Row],[(S/S TOT) AJD]]</f>
        <v>51</v>
      </c>
      <c r="Q142" s="3">
        <v>427</v>
      </c>
      <c r="R142" s="3">
        <f>TABL12[[#This Row],[خط (T/B  TOT) SAR]]-TABL12[[#This Row],[(T/B TOT) AJD]]</f>
        <v>-9</v>
      </c>
      <c r="S142" s="3">
        <f>TABL12[[#This Row],[الفرق بين بداية ونهاية خط  S/S]]+TABL12[[#This Row],[الفرق بين بداية ونهاية خط  T/B]]</f>
        <v>42</v>
      </c>
      <c r="T142" s="3">
        <f t="shared" si="8"/>
        <v>808</v>
      </c>
      <c r="U142" s="3">
        <v>544</v>
      </c>
      <c r="V142" s="3">
        <v>263</v>
      </c>
      <c r="W142" s="3">
        <f t="shared" si="9"/>
        <v>807</v>
      </c>
      <c r="X142" s="3">
        <f t="shared" si="10"/>
        <v>1</v>
      </c>
      <c r="Y142" s="4">
        <v>91.92</v>
      </c>
      <c r="Z142" s="3">
        <v>0</v>
      </c>
      <c r="AA142" s="3">
        <f>TABL12[[#This Row],[(RESV. STORGE) AJD]]/10</f>
        <v>0</v>
      </c>
      <c r="AB142" s="3">
        <f t="shared" si="11"/>
        <v>0</v>
      </c>
      <c r="AC142" s="6">
        <v>0</v>
      </c>
      <c r="AD142" s="5">
        <f>TABL12[[#This Row],[( S/S+T/B) AJD]]-(TABL12[[#This Row],[(A/B + A/S) AJD]]+(TABL12[[#This Row],[(STORGE DIFF.) AJD]])+TABL12[[#This Row],[البخر  AJD]]/1000)</f>
        <v>1</v>
      </c>
      <c r="AE142" s="6">
        <v>60</v>
      </c>
      <c r="AF142" s="33">
        <v>58.201000000000001</v>
      </c>
      <c r="AG142" s="6">
        <v>1098901</v>
      </c>
      <c r="AH142" s="6">
        <f>TABL12[[#This Row],[ (RESV. STORGE) BER]]/10</f>
        <v>109890.1</v>
      </c>
      <c r="AI142" s="6">
        <v>2853</v>
      </c>
      <c r="AJ142" s="6">
        <f>TABL12[[#This Row],[(A/B TOT) AJD]]-TABL12[[#This Row],[BER_ IN]]</f>
        <v>484</v>
      </c>
      <c r="AK142" s="6">
        <v>28</v>
      </c>
      <c r="AL142" s="33">
        <v>44.724600000000002</v>
      </c>
      <c r="AM142" s="6">
        <v>4053160</v>
      </c>
      <c r="AN142" s="6">
        <f>TABL12[[#This Row],[ (RESV. STORGE) SER]]/10</f>
        <v>405316</v>
      </c>
      <c r="AO142" s="6">
        <v>1840</v>
      </c>
      <c r="AP142" s="32">
        <f>TABL12[[#This Row],[(A/S TOT) AJD]]-TABL12[[#This Row],[SER_ IN]]</f>
        <v>235</v>
      </c>
    </row>
    <row r="143" spans="1:42" x14ac:dyDescent="0.25">
      <c r="A143" s="2">
        <v>45799</v>
      </c>
      <c r="B143" s="28">
        <v>36</v>
      </c>
      <c r="C143" s="28">
        <v>289</v>
      </c>
      <c r="D143" s="28">
        <v>37</v>
      </c>
      <c r="E143" s="28">
        <v>0</v>
      </c>
      <c r="F143" s="28">
        <v>90</v>
      </c>
      <c r="G143" s="28">
        <v>532</v>
      </c>
      <c r="H143" s="28">
        <v>2</v>
      </c>
      <c r="I143" s="28">
        <v>415</v>
      </c>
      <c r="J143" s="28">
        <v>430</v>
      </c>
      <c r="K143" s="28">
        <f>TABL12[[#This Row],[خط (T/B  TOT) SAR]]+TABL12[[#This Row],[خط (S/S  TOT) SAR2]]</f>
        <v>845</v>
      </c>
      <c r="L143" s="28">
        <v>313</v>
      </c>
      <c r="M143" s="29">
        <v>24.7</v>
      </c>
      <c r="N143" s="30">
        <v>7.35</v>
      </c>
      <c r="O143" s="3">
        <v>380</v>
      </c>
      <c r="P143" s="3">
        <f>TABL12[[#This Row],[خط (S/S  TOT) SAR2]]-TABL12[[#This Row],[(S/S TOT) AJD]]</f>
        <v>50</v>
      </c>
      <c r="Q143" s="3">
        <v>426</v>
      </c>
      <c r="R143" s="3">
        <f>TABL12[[#This Row],[خط (T/B  TOT) SAR]]-TABL12[[#This Row],[(T/B TOT) AJD]]</f>
        <v>-11</v>
      </c>
      <c r="S143" s="3">
        <f>TABL12[[#This Row],[الفرق بين بداية ونهاية خط  S/S]]+TABL12[[#This Row],[الفرق بين بداية ونهاية خط  T/B]]</f>
        <v>39</v>
      </c>
      <c r="T143" s="3">
        <f t="shared" si="8"/>
        <v>806</v>
      </c>
      <c r="U143" s="3">
        <v>493</v>
      </c>
      <c r="V143" s="3">
        <v>311</v>
      </c>
      <c r="W143" s="3">
        <f t="shared" si="9"/>
        <v>804</v>
      </c>
      <c r="X143" s="3">
        <f t="shared" si="10"/>
        <v>2</v>
      </c>
      <c r="Y143" s="4">
        <v>91.92</v>
      </c>
      <c r="Z143" s="3">
        <v>0</v>
      </c>
      <c r="AA143" s="3">
        <f>TABL12[[#This Row],[(RESV. STORGE) AJD]]/10</f>
        <v>0</v>
      </c>
      <c r="AB143" s="3">
        <f t="shared" si="11"/>
        <v>0</v>
      </c>
      <c r="AC143" s="6">
        <v>0</v>
      </c>
      <c r="AD143" s="5">
        <f>TABL12[[#This Row],[( S/S+T/B) AJD]]-(TABL12[[#This Row],[(A/B + A/S) AJD]]+(TABL12[[#This Row],[(STORGE DIFF.) AJD]])+TABL12[[#This Row],[البخر  AJD]]/1000)</f>
        <v>2</v>
      </c>
      <c r="AE143" s="6">
        <v>82</v>
      </c>
      <c r="AF143" s="33">
        <v>58.262</v>
      </c>
      <c r="AG143" s="6">
        <v>1138769</v>
      </c>
      <c r="AH143" s="6">
        <f>TABL12[[#This Row],[ (RESV. STORGE) BER]]/10</f>
        <v>113876.9</v>
      </c>
      <c r="AI143" s="6">
        <v>2291</v>
      </c>
      <c r="AJ143" s="6">
        <f>TABL12[[#This Row],[(A/B TOT) AJD]]-TABL12[[#This Row],[BER_ IN]]</f>
        <v>411</v>
      </c>
      <c r="AK143" s="6">
        <v>28</v>
      </c>
      <c r="AL143" s="33">
        <v>44.742600000000003</v>
      </c>
      <c r="AM143" s="6">
        <v>4062840</v>
      </c>
      <c r="AN143" s="6">
        <f>TABL12[[#This Row],[ (RESV. STORGE) SER]]/10</f>
        <v>406284</v>
      </c>
      <c r="AO143" s="6">
        <v>1820</v>
      </c>
      <c r="AP143" s="32">
        <f>TABL12[[#This Row],[(A/S TOT) AJD]]-TABL12[[#This Row],[SER_ IN]]</f>
        <v>283</v>
      </c>
    </row>
    <row r="144" spans="1:42" x14ac:dyDescent="0.25">
      <c r="A144" s="2">
        <v>45800</v>
      </c>
      <c r="B144" s="28">
        <v>38</v>
      </c>
      <c r="C144" s="28">
        <v>302</v>
      </c>
      <c r="D144" s="28">
        <v>38</v>
      </c>
      <c r="E144" s="28">
        <v>0</v>
      </c>
      <c r="F144" s="28">
        <v>90</v>
      </c>
      <c r="G144" s="28">
        <v>526</v>
      </c>
      <c r="H144" s="28">
        <v>2</v>
      </c>
      <c r="I144" s="28">
        <v>410</v>
      </c>
      <c r="J144" s="28">
        <v>423</v>
      </c>
      <c r="K144" s="28">
        <f>TABL12[[#This Row],[خط (T/B  TOT) SAR]]+TABL12[[#This Row],[خط (S/S  TOT) SAR2]]</f>
        <v>833</v>
      </c>
      <c r="L144" s="28">
        <v>307</v>
      </c>
      <c r="M144" s="29">
        <v>24.7</v>
      </c>
      <c r="N144" s="30">
        <v>7.33</v>
      </c>
      <c r="O144" s="3">
        <v>376</v>
      </c>
      <c r="P144" s="3">
        <f>TABL12[[#This Row],[خط (S/S  TOT) SAR2]]-TABL12[[#This Row],[(S/S TOT) AJD]]</f>
        <v>47</v>
      </c>
      <c r="Q144" s="3">
        <v>422</v>
      </c>
      <c r="R144" s="3">
        <f>TABL12[[#This Row],[خط (T/B  TOT) SAR]]-TABL12[[#This Row],[(T/B TOT) AJD]]</f>
        <v>-12</v>
      </c>
      <c r="S144" s="3">
        <f>TABL12[[#This Row],[الفرق بين بداية ونهاية خط  S/S]]+TABL12[[#This Row],[الفرق بين بداية ونهاية خط  T/B]]</f>
        <v>35</v>
      </c>
      <c r="T144" s="3">
        <f t="shared" si="8"/>
        <v>798</v>
      </c>
      <c r="U144" s="3">
        <v>486</v>
      </c>
      <c r="V144" s="3">
        <v>313</v>
      </c>
      <c r="W144" s="3">
        <f t="shared" si="9"/>
        <v>799</v>
      </c>
      <c r="X144" s="3">
        <f t="shared" si="10"/>
        <v>-1</v>
      </c>
      <c r="Y144" s="4">
        <v>91.92</v>
      </c>
      <c r="Z144" s="3">
        <v>0</v>
      </c>
      <c r="AA144" s="3">
        <f>TABL12[[#This Row],[(RESV. STORGE) AJD]]/10</f>
        <v>0</v>
      </c>
      <c r="AB144" s="3">
        <f t="shared" si="11"/>
        <v>0</v>
      </c>
      <c r="AC144" s="6">
        <v>0</v>
      </c>
      <c r="AD144" s="5">
        <f>TABL12[[#This Row],[( S/S+T/B) AJD]]-(TABL12[[#This Row],[(A/B + A/S) AJD]]+(TABL12[[#This Row],[(STORGE DIFF.) AJD]])+TABL12[[#This Row],[البخر  AJD]]/1000)</f>
        <v>-1</v>
      </c>
      <c r="AE144" s="6">
        <v>74</v>
      </c>
      <c r="AF144" s="33">
        <v>58.249000000000002</v>
      </c>
      <c r="AG144" s="6">
        <v>1130270</v>
      </c>
      <c r="AH144" s="6">
        <f>TABL12[[#This Row],[ (RESV. STORGE) BER]]/10</f>
        <v>113027</v>
      </c>
      <c r="AI144" s="6">
        <v>2819</v>
      </c>
      <c r="AJ144" s="6">
        <f>TABL12[[#This Row],[(A/B TOT) AJD]]-TABL12[[#This Row],[BER_ IN]]</f>
        <v>412</v>
      </c>
      <c r="AK144" s="6">
        <v>28</v>
      </c>
      <c r="AL144" s="33">
        <v>44.683799999999998</v>
      </c>
      <c r="AM144" s="6">
        <v>4030320</v>
      </c>
      <c r="AN144" s="6">
        <f>TABL12[[#This Row],[ (RESV. STORGE) SER]]/10</f>
        <v>403032</v>
      </c>
      <c r="AO144" s="6">
        <v>1920</v>
      </c>
      <c r="AP144" s="32">
        <f>TABL12[[#This Row],[(A/S TOT) AJD]]-TABL12[[#This Row],[SER_ IN]]</f>
        <v>285</v>
      </c>
    </row>
    <row r="145" spans="1:42" x14ac:dyDescent="0.25">
      <c r="A145" s="2">
        <v>45801</v>
      </c>
      <c r="B145" s="28">
        <v>36</v>
      </c>
      <c r="C145" s="28">
        <v>270</v>
      </c>
      <c r="D145" s="28">
        <v>38</v>
      </c>
      <c r="E145" s="28">
        <v>0</v>
      </c>
      <c r="F145" s="28">
        <v>50</v>
      </c>
      <c r="G145" s="28">
        <v>327</v>
      </c>
      <c r="H145" s="28">
        <v>42</v>
      </c>
      <c r="I145" s="28">
        <v>284</v>
      </c>
      <c r="J145" s="28">
        <v>327</v>
      </c>
      <c r="K145" s="28">
        <f>TABL12[[#This Row],[خط (T/B  TOT) SAR]]+TABL12[[#This Row],[خط (S/S  TOT) SAR2]]</f>
        <v>611</v>
      </c>
      <c r="L145" s="28">
        <v>284</v>
      </c>
      <c r="M145" s="29">
        <v>0</v>
      </c>
      <c r="N145" s="30">
        <v>7.2</v>
      </c>
      <c r="O145" s="3">
        <v>374</v>
      </c>
      <c r="P145" s="3">
        <f>TABL12[[#This Row],[خط (S/S  TOT) SAR2]]-TABL12[[#This Row],[(S/S TOT) AJD]]</f>
        <v>-47</v>
      </c>
      <c r="Q145" s="3">
        <v>314</v>
      </c>
      <c r="R145" s="3">
        <f>TABL12[[#This Row],[خط (T/B  TOT) SAR]]-TABL12[[#This Row],[(T/B TOT) AJD]]</f>
        <v>-30</v>
      </c>
      <c r="S145" s="3">
        <f>TABL12[[#This Row],[الفرق بين بداية ونهاية خط  S/S]]+TABL12[[#This Row],[الفرق بين بداية ونهاية خط  T/B]]</f>
        <v>-77</v>
      </c>
      <c r="T145" s="3">
        <f t="shared" si="8"/>
        <v>688</v>
      </c>
      <c r="U145" s="3">
        <v>460</v>
      </c>
      <c r="V145" s="3">
        <v>316</v>
      </c>
      <c r="W145" s="3">
        <f t="shared" si="9"/>
        <v>776</v>
      </c>
      <c r="X145" s="3">
        <f t="shared" si="10"/>
        <v>-88</v>
      </c>
      <c r="Y145" s="4">
        <v>91.92</v>
      </c>
      <c r="Z145" s="3">
        <v>0</v>
      </c>
      <c r="AA145" s="3">
        <f>TABL12[[#This Row],[(RESV. STORGE) AJD]]/10</f>
        <v>0</v>
      </c>
      <c r="AB145" s="3">
        <f t="shared" si="11"/>
        <v>0</v>
      </c>
      <c r="AC145" s="6">
        <v>0</v>
      </c>
      <c r="AD145" s="5">
        <f>TABL12[[#This Row],[( S/S+T/B) AJD]]-(TABL12[[#This Row],[(A/B + A/S) AJD]]+(TABL12[[#This Row],[(STORGE DIFF.) AJD]])+TABL12[[#This Row],[البخر  AJD]]/1000)</f>
        <v>-88</v>
      </c>
      <c r="AE145" s="6">
        <v>92</v>
      </c>
      <c r="AF145" s="33">
        <v>58.289000000000001</v>
      </c>
      <c r="AG145" s="6">
        <v>1156426</v>
      </c>
      <c r="AH145" s="6">
        <f>TABL12[[#This Row],[ (RESV. STORGE) BER]]/10</f>
        <v>115642.6</v>
      </c>
      <c r="AI145" s="6">
        <v>3593</v>
      </c>
      <c r="AJ145" s="6">
        <f>TABL12[[#This Row],[(A/B TOT) AJD]]-TABL12[[#This Row],[BER_ IN]]</f>
        <v>368</v>
      </c>
      <c r="AK145" s="6">
        <v>28</v>
      </c>
      <c r="AL145" s="33">
        <v>44.579300000000003</v>
      </c>
      <c r="AM145" s="6">
        <v>3972500</v>
      </c>
      <c r="AN145" s="6">
        <f>TABL12[[#This Row],[ (RESV. STORGE) SER]]/10</f>
        <v>397250</v>
      </c>
      <c r="AO145" s="6">
        <v>1820</v>
      </c>
      <c r="AP145" s="32">
        <f>TABL12[[#This Row],[(A/S TOT) AJD]]-TABL12[[#This Row],[SER_ IN]]</f>
        <v>288</v>
      </c>
    </row>
    <row r="146" spans="1:42" x14ac:dyDescent="0.25">
      <c r="A146" s="2">
        <v>45802</v>
      </c>
      <c r="B146" s="28">
        <v>36</v>
      </c>
      <c r="C146" s="28">
        <v>246</v>
      </c>
      <c r="D146" s="28">
        <v>36</v>
      </c>
      <c r="E146" s="28">
        <v>0</v>
      </c>
      <c r="F146" s="28">
        <v>88</v>
      </c>
      <c r="G146" s="28">
        <v>499</v>
      </c>
      <c r="H146" s="28">
        <v>4</v>
      </c>
      <c r="I146" s="28">
        <v>374</v>
      </c>
      <c r="J146" s="28">
        <v>361</v>
      </c>
      <c r="K146" s="28">
        <f>TABL12[[#This Row],[خط (T/B  TOT) SAR]]+TABL12[[#This Row],[خط (S/S  TOT) SAR2]]</f>
        <v>735</v>
      </c>
      <c r="L146" s="28">
        <v>236</v>
      </c>
      <c r="M146" s="29">
        <v>0</v>
      </c>
      <c r="N146" s="30">
        <v>6.7</v>
      </c>
      <c r="O146" s="3">
        <v>266</v>
      </c>
      <c r="P146" s="3">
        <f>TABL12[[#This Row],[خط (S/S  TOT) SAR2]]-TABL12[[#This Row],[(S/S TOT) AJD]]</f>
        <v>95</v>
      </c>
      <c r="Q146" s="3">
        <v>312</v>
      </c>
      <c r="R146" s="3">
        <f>TABL12[[#This Row],[خط (T/B  TOT) SAR]]-TABL12[[#This Row],[(T/B TOT) AJD]]</f>
        <v>62</v>
      </c>
      <c r="S146" s="3">
        <f>TABL12[[#This Row],[الفرق بين بداية ونهاية خط  S/S]]+TABL12[[#This Row],[الفرق بين بداية ونهاية خط  T/B]]</f>
        <v>157</v>
      </c>
      <c r="T146" s="3">
        <f t="shared" si="8"/>
        <v>578</v>
      </c>
      <c r="U146" s="3">
        <v>341</v>
      </c>
      <c r="V146" s="3">
        <v>238</v>
      </c>
      <c r="W146" s="3">
        <f t="shared" si="9"/>
        <v>579</v>
      </c>
      <c r="X146" s="3">
        <f t="shared" si="10"/>
        <v>-1</v>
      </c>
      <c r="Y146" s="4">
        <v>91.92</v>
      </c>
      <c r="Z146" s="3">
        <v>0</v>
      </c>
      <c r="AA146" s="3">
        <f>TABL12[[#This Row],[(RESV. STORGE) AJD]]/10</f>
        <v>0</v>
      </c>
      <c r="AB146" s="3">
        <f t="shared" si="11"/>
        <v>0</v>
      </c>
      <c r="AC146" s="6">
        <v>0</v>
      </c>
      <c r="AD146" s="5">
        <f>TABL12[[#This Row],[( S/S+T/B) AJD]]-(TABL12[[#This Row],[(A/B + A/S) AJD]]+(TABL12[[#This Row],[(STORGE DIFF.) AJD]])+TABL12[[#This Row],[البخر  AJD]]/1000)</f>
        <v>-1</v>
      </c>
      <c r="AE146" s="6">
        <v>25</v>
      </c>
      <c r="AF146" s="33">
        <v>58.268999999999998</v>
      </c>
      <c r="AG146" s="6">
        <v>1143346</v>
      </c>
      <c r="AH146" s="6">
        <f>TABL12[[#This Row],[ (RESV. STORGE) BER]]/10</f>
        <v>114334.6</v>
      </c>
      <c r="AI146" s="6">
        <v>3550</v>
      </c>
      <c r="AJ146" s="6">
        <f>TABL12[[#This Row],[(A/B TOT) AJD]]-TABL12[[#This Row],[BER_ IN]]</f>
        <v>316</v>
      </c>
      <c r="AK146" s="6">
        <v>2</v>
      </c>
      <c r="AL146" s="33">
        <v>44.503599999999999</v>
      </c>
      <c r="AM146" s="6">
        <v>3930390</v>
      </c>
      <c r="AN146" s="6">
        <f>TABL12[[#This Row],[ (RESV. STORGE) SER]]/10</f>
        <v>393039</v>
      </c>
      <c r="AO146" s="6">
        <v>1710</v>
      </c>
      <c r="AP146" s="32">
        <f>TABL12[[#This Row],[(A/S TOT) AJD]]-TABL12[[#This Row],[SER_ IN]]</f>
        <v>236</v>
      </c>
    </row>
    <row r="147" spans="1:42" x14ac:dyDescent="0.25">
      <c r="A147" s="2">
        <v>45803</v>
      </c>
      <c r="B147" s="28">
        <v>34</v>
      </c>
      <c r="C147" s="28">
        <v>258</v>
      </c>
      <c r="D147" s="28">
        <v>35</v>
      </c>
      <c r="E147" s="28">
        <v>0</v>
      </c>
      <c r="F147" s="28">
        <v>88</v>
      </c>
      <c r="G147" s="28">
        <v>558</v>
      </c>
      <c r="H147" s="28">
        <v>4</v>
      </c>
      <c r="I147" s="28">
        <v>398</v>
      </c>
      <c r="J147" s="28">
        <v>380</v>
      </c>
      <c r="K147" s="28">
        <f>TABL12[[#This Row],[خط (T/B  TOT) SAR]]+TABL12[[#This Row],[خط (S/S  TOT) SAR2]]</f>
        <v>778</v>
      </c>
      <c r="L147" s="28">
        <v>220</v>
      </c>
      <c r="M147" s="29">
        <v>0</v>
      </c>
      <c r="N147" s="30">
        <v>6.9</v>
      </c>
      <c r="O147" s="3">
        <v>323</v>
      </c>
      <c r="P147" s="3">
        <f>TABL12[[#This Row],[خط (S/S  TOT) SAR2]]-TABL12[[#This Row],[(S/S TOT) AJD]]</f>
        <v>57</v>
      </c>
      <c r="Q147" s="3">
        <v>366</v>
      </c>
      <c r="R147" s="3">
        <f>TABL12[[#This Row],[خط (T/B  TOT) SAR]]-TABL12[[#This Row],[(T/B TOT) AJD]]</f>
        <v>32</v>
      </c>
      <c r="S147" s="3">
        <f>TABL12[[#This Row],[الفرق بين بداية ونهاية خط  S/S]]+TABL12[[#This Row],[الفرق بين بداية ونهاية خط  T/B]]</f>
        <v>89</v>
      </c>
      <c r="T147" s="3">
        <f t="shared" si="8"/>
        <v>689</v>
      </c>
      <c r="U147" s="3">
        <v>451</v>
      </c>
      <c r="V147" s="3">
        <v>238</v>
      </c>
      <c r="W147" s="3">
        <f t="shared" si="9"/>
        <v>689</v>
      </c>
      <c r="X147" s="3">
        <f t="shared" si="10"/>
        <v>0</v>
      </c>
      <c r="Y147" s="4">
        <v>91.92</v>
      </c>
      <c r="Z147" s="3">
        <v>0</v>
      </c>
      <c r="AA147" s="3">
        <f>TABL12[[#This Row],[(RESV. STORGE) AJD]]/10</f>
        <v>0</v>
      </c>
      <c r="AB147" s="3">
        <f t="shared" si="11"/>
        <v>0</v>
      </c>
      <c r="AC147" s="6">
        <v>0</v>
      </c>
      <c r="AD147" s="5">
        <f>TABL12[[#This Row],[( S/S+T/B) AJD]]-(TABL12[[#This Row],[(A/B + A/S) AJD]]+(TABL12[[#This Row],[(STORGE DIFF.) AJD]])+TABL12[[#This Row],[البخر  AJD]]/1000)</f>
        <v>0</v>
      </c>
      <c r="AE147" s="6">
        <v>20</v>
      </c>
      <c r="AF147" s="33">
        <v>58.203000000000003</v>
      </c>
      <c r="AG147" s="6">
        <v>1100208</v>
      </c>
      <c r="AH147" s="6">
        <f>TABL12[[#This Row],[ (RESV. STORGE) BER]]/10</f>
        <v>110020.8</v>
      </c>
      <c r="AI147" s="6">
        <v>3378</v>
      </c>
      <c r="AJ147" s="6">
        <f>TABL12[[#This Row],[(A/B TOT) AJD]]-TABL12[[#This Row],[BER_ IN]]</f>
        <v>431</v>
      </c>
      <c r="AK147" s="6">
        <v>0</v>
      </c>
      <c r="AL147" s="33">
        <v>44.487400000000001</v>
      </c>
      <c r="AM147" s="6">
        <v>3921600</v>
      </c>
      <c r="AN147" s="6">
        <f>TABL12[[#This Row],[ (RESV. STORGE) SER]]/10</f>
        <v>392160</v>
      </c>
      <c r="AO147" s="6">
        <v>1790</v>
      </c>
      <c r="AP147" s="32">
        <f>TABL12[[#This Row],[(A/S TOT) AJD]]-TABL12[[#This Row],[SER_ IN]]</f>
        <v>238</v>
      </c>
    </row>
    <row r="148" spans="1:42" x14ac:dyDescent="0.25">
      <c r="A148" s="2">
        <v>45804</v>
      </c>
      <c r="B148" s="28">
        <v>37</v>
      </c>
      <c r="C148" s="28">
        <v>285</v>
      </c>
      <c r="D148" s="28">
        <v>37</v>
      </c>
      <c r="E148" s="28">
        <v>0</v>
      </c>
      <c r="F148" s="28">
        <v>90</v>
      </c>
      <c r="G148" s="28">
        <v>565</v>
      </c>
      <c r="H148" s="28">
        <v>2</v>
      </c>
      <c r="I148" s="28">
        <v>409</v>
      </c>
      <c r="J148" s="28">
        <v>395</v>
      </c>
      <c r="K148" s="28">
        <f>TABL12[[#This Row],[خط (T/B  TOT) SAR]]+TABL12[[#This Row],[خط (S/S  TOT) SAR2]]</f>
        <v>804</v>
      </c>
      <c r="L148" s="28">
        <v>239</v>
      </c>
      <c r="M148" s="29">
        <v>24.7</v>
      </c>
      <c r="N148" s="30">
        <v>7.1</v>
      </c>
      <c r="O148" s="3">
        <v>334</v>
      </c>
      <c r="P148" s="3">
        <f>TABL12[[#This Row],[خط (S/S  TOT) SAR2]]-TABL12[[#This Row],[(S/S TOT) AJD]]</f>
        <v>61</v>
      </c>
      <c r="Q148" s="3">
        <v>377</v>
      </c>
      <c r="R148" s="3">
        <f>TABL12[[#This Row],[خط (T/B  TOT) SAR]]-TABL12[[#This Row],[(T/B TOT) AJD]]</f>
        <v>32</v>
      </c>
      <c r="S148" s="3">
        <f>TABL12[[#This Row],[الفرق بين بداية ونهاية خط  S/S]]+TABL12[[#This Row],[الفرق بين بداية ونهاية خط  T/B]]</f>
        <v>93</v>
      </c>
      <c r="T148" s="3">
        <f t="shared" si="8"/>
        <v>711</v>
      </c>
      <c r="U148" s="3">
        <v>473</v>
      </c>
      <c r="V148" s="3">
        <v>239</v>
      </c>
      <c r="W148" s="3">
        <f t="shared" si="9"/>
        <v>712</v>
      </c>
      <c r="X148" s="3">
        <f t="shared" si="10"/>
        <v>-1</v>
      </c>
      <c r="Y148" s="4">
        <v>91.92</v>
      </c>
      <c r="Z148" s="3">
        <v>0</v>
      </c>
      <c r="AA148" s="3">
        <f>TABL12[[#This Row],[(RESV. STORGE) AJD]]/10</f>
        <v>0</v>
      </c>
      <c r="AB148" s="3">
        <f t="shared" si="11"/>
        <v>0</v>
      </c>
      <c r="AC148" s="6">
        <v>0</v>
      </c>
      <c r="AD148" s="5">
        <f>TABL12[[#This Row],[( S/S+T/B) AJD]]-(TABL12[[#This Row],[(A/B + A/S) AJD]]+(TABL12[[#This Row],[(STORGE DIFF.) AJD]])+TABL12[[#This Row],[البخر  AJD]]/1000)</f>
        <v>-1</v>
      </c>
      <c r="AE148" s="6">
        <v>20</v>
      </c>
      <c r="AF148" s="33">
        <v>58.228999999999999</v>
      </c>
      <c r="AG148" s="6">
        <v>1117197</v>
      </c>
      <c r="AH148" s="6">
        <f>TABL12[[#This Row],[ (RESV. STORGE) BER]]/10</f>
        <v>111719.7</v>
      </c>
      <c r="AI148" s="6">
        <v>3010</v>
      </c>
      <c r="AJ148" s="6">
        <f>TABL12[[#This Row],[(A/B TOT) AJD]]-TABL12[[#This Row],[BER_ IN]]</f>
        <v>453</v>
      </c>
      <c r="AK148" s="6">
        <v>0</v>
      </c>
      <c r="AL148" s="33">
        <v>44.472299999999997</v>
      </c>
      <c r="AM148" s="6">
        <v>3913310</v>
      </c>
      <c r="AN148" s="6">
        <f>TABL12[[#This Row],[ (RESV. STORGE) SER]]/10</f>
        <v>391331</v>
      </c>
      <c r="AO148" s="6">
        <v>1790</v>
      </c>
      <c r="AP148" s="32">
        <f>TABL12[[#This Row],[(A/S TOT) AJD]]-TABL12[[#This Row],[SER_ IN]]</f>
        <v>239</v>
      </c>
    </row>
    <row r="149" spans="1:42" x14ac:dyDescent="0.25">
      <c r="A149" s="2">
        <v>45805</v>
      </c>
      <c r="B149" s="28">
        <v>38</v>
      </c>
      <c r="C149" s="28">
        <v>297</v>
      </c>
      <c r="D149" s="28">
        <v>38</v>
      </c>
      <c r="E149" s="28">
        <v>0</v>
      </c>
      <c r="F149" s="28">
        <v>92</v>
      </c>
      <c r="G149" s="28">
        <v>580</v>
      </c>
      <c r="H149" s="28">
        <v>0</v>
      </c>
      <c r="I149" s="28">
        <v>418</v>
      </c>
      <c r="J149" s="28">
        <v>410</v>
      </c>
      <c r="K149" s="28">
        <f>TABL12[[#This Row],[خط (T/B  TOT) SAR]]+TABL12[[#This Row],[خط (S/S  TOT) SAR2]]</f>
        <v>828</v>
      </c>
      <c r="L149" s="28">
        <v>248</v>
      </c>
      <c r="M149" s="29">
        <v>24.7</v>
      </c>
      <c r="N149" s="30">
        <v>7.1</v>
      </c>
      <c r="O149" s="3">
        <v>348</v>
      </c>
      <c r="P149" s="3">
        <f>TABL12[[#This Row],[خط (S/S  TOT) SAR2]]-TABL12[[#This Row],[(S/S TOT) AJD]]</f>
        <v>62</v>
      </c>
      <c r="Q149" s="3">
        <v>392</v>
      </c>
      <c r="R149" s="3">
        <f>TABL12[[#This Row],[خط (T/B  TOT) SAR]]-TABL12[[#This Row],[(T/B TOT) AJD]]</f>
        <v>26</v>
      </c>
      <c r="S149" s="3">
        <f>TABL12[[#This Row],[الفرق بين بداية ونهاية خط  S/S]]+TABL12[[#This Row],[الفرق بين بداية ونهاية خط  T/B]]</f>
        <v>88</v>
      </c>
      <c r="T149" s="3">
        <f t="shared" si="8"/>
        <v>740</v>
      </c>
      <c r="U149" s="3">
        <v>505</v>
      </c>
      <c r="V149" s="3">
        <v>238</v>
      </c>
      <c r="W149" s="3">
        <f t="shared" si="9"/>
        <v>743</v>
      </c>
      <c r="X149" s="3">
        <f t="shared" si="10"/>
        <v>-3</v>
      </c>
      <c r="Y149" s="4">
        <v>91.92</v>
      </c>
      <c r="Z149" s="3">
        <v>0</v>
      </c>
      <c r="AA149" s="3">
        <f>TABL12[[#This Row],[(RESV. STORGE) AJD]]/10</f>
        <v>0</v>
      </c>
      <c r="AB149" s="3">
        <f t="shared" si="11"/>
        <v>0</v>
      </c>
      <c r="AC149" s="6">
        <v>0</v>
      </c>
      <c r="AD149" s="5">
        <f>TABL12[[#This Row],[( S/S+T/B) AJD]]-(TABL12[[#This Row],[(A/B + A/S) AJD]]+(TABL12[[#This Row],[(STORGE DIFF.) AJD]])+TABL12[[#This Row],[البخر  AJD]]/1000)</f>
        <v>-3</v>
      </c>
      <c r="AE149" s="6">
        <v>20</v>
      </c>
      <c r="AF149" s="33">
        <v>58.255000000000003</v>
      </c>
      <c r="AG149" s="6">
        <v>1134193</v>
      </c>
      <c r="AH149" s="6">
        <f>TABL12[[#This Row],[ (RESV. STORGE) BER]]/10</f>
        <v>113419.3</v>
      </c>
      <c r="AI149" s="6">
        <v>3004</v>
      </c>
      <c r="AJ149" s="6">
        <f>TABL12[[#This Row],[(A/B TOT) AJD]]-TABL12[[#This Row],[BER_ IN]]</f>
        <v>485</v>
      </c>
      <c r="AK149" s="6">
        <v>0</v>
      </c>
      <c r="AL149" s="33">
        <v>44.457799999999999</v>
      </c>
      <c r="AM149" s="6">
        <v>3905020</v>
      </c>
      <c r="AN149" s="6">
        <f>TABL12[[#This Row],[ (RESV. STORGE) SER]]/10</f>
        <v>390502</v>
      </c>
      <c r="AO149" s="6">
        <v>1890</v>
      </c>
      <c r="AP149" s="32">
        <f>TABL12[[#This Row],[(A/S TOT) AJD]]-TABL12[[#This Row],[SER_ IN]]</f>
        <v>238</v>
      </c>
    </row>
    <row r="150" spans="1:42" x14ac:dyDescent="0.25">
      <c r="A150" s="2">
        <v>45806</v>
      </c>
      <c r="B150" s="28">
        <v>37</v>
      </c>
      <c r="C150" s="28">
        <v>296</v>
      </c>
      <c r="D150" s="28">
        <v>37</v>
      </c>
      <c r="E150" s="28">
        <v>0</v>
      </c>
      <c r="F150" s="28">
        <v>92</v>
      </c>
      <c r="G150" s="28">
        <v>586</v>
      </c>
      <c r="H150" s="28">
        <v>0</v>
      </c>
      <c r="I150" s="28">
        <v>420</v>
      </c>
      <c r="J150" s="28">
        <v>418</v>
      </c>
      <c r="K150" s="28">
        <f>TABL12[[#This Row],[خط (T/B  TOT) SAR]]+TABL12[[#This Row],[خط (S/S  TOT) SAR2]]</f>
        <v>838</v>
      </c>
      <c r="L150" s="28">
        <v>252</v>
      </c>
      <c r="M150" s="29">
        <v>18.399999999999999</v>
      </c>
      <c r="N150" s="30">
        <v>7.6</v>
      </c>
      <c r="O150" s="3">
        <v>359</v>
      </c>
      <c r="P150" s="3">
        <f>TABL12[[#This Row],[خط (S/S  TOT) SAR2]]-TABL12[[#This Row],[(S/S TOT) AJD]]</f>
        <v>59</v>
      </c>
      <c r="Q150" s="3">
        <v>404</v>
      </c>
      <c r="R150" s="3">
        <f>TABL12[[#This Row],[خط (T/B  TOT) SAR]]-TABL12[[#This Row],[(T/B TOT) AJD]]</f>
        <v>16</v>
      </c>
      <c r="S150" s="3">
        <f>TABL12[[#This Row],[الفرق بين بداية ونهاية خط  S/S]]+TABL12[[#This Row],[الفرق بين بداية ونهاية خط  T/B]]</f>
        <v>75</v>
      </c>
      <c r="T150" s="3">
        <f t="shared" si="8"/>
        <v>763</v>
      </c>
      <c r="U150" s="3">
        <v>518</v>
      </c>
      <c r="V150" s="3">
        <v>246</v>
      </c>
      <c r="W150" s="3">
        <f t="shared" si="9"/>
        <v>764</v>
      </c>
      <c r="X150" s="3">
        <f t="shared" si="10"/>
        <v>-1</v>
      </c>
      <c r="Y150" s="4">
        <v>91.92</v>
      </c>
      <c r="Z150" s="3">
        <v>0</v>
      </c>
      <c r="AA150" s="3">
        <f>TABL12[[#This Row],[(RESV. STORGE) AJD]]/10</f>
        <v>0</v>
      </c>
      <c r="AB150" s="3">
        <f t="shared" si="11"/>
        <v>0</v>
      </c>
      <c r="AC150" s="6">
        <v>0</v>
      </c>
      <c r="AD150" s="5">
        <f>TABL12[[#This Row],[( S/S+T/B) AJD]]-(TABL12[[#This Row],[(A/B + A/S) AJD]]+(TABL12[[#This Row],[(STORGE DIFF.) AJD]])+TABL12[[#This Row],[البخر  AJD]]/1000)</f>
        <v>-1</v>
      </c>
      <c r="AE150" s="6">
        <v>20</v>
      </c>
      <c r="AF150" s="33">
        <v>58.280999999999999</v>
      </c>
      <c r="AG150" s="6">
        <v>1151194</v>
      </c>
      <c r="AH150" s="6">
        <f>TABL12[[#This Row],[ (RESV. STORGE) BER]]/10</f>
        <v>115119.4</v>
      </c>
      <c r="AI150" s="6">
        <v>2998</v>
      </c>
      <c r="AJ150" s="6">
        <f>TABL12[[#This Row],[(A/B TOT) AJD]]-TABL12[[#This Row],[BER_ IN]]</f>
        <v>498</v>
      </c>
      <c r="AK150" s="6">
        <v>0</v>
      </c>
      <c r="AL150" s="33">
        <v>44.450299999999999</v>
      </c>
      <c r="AM150" s="6">
        <v>3901150</v>
      </c>
      <c r="AN150" s="6">
        <f>TABL12[[#This Row],[ (RESV. STORGE) SER]]/10</f>
        <v>390115</v>
      </c>
      <c r="AO150" s="6">
        <v>1870</v>
      </c>
      <c r="AP150" s="32">
        <f>TABL12[[#This Row],[(A/S TOT) AJD]]-TABL12[[#This Row],[SER_ IN]]</f>
        <v>246</v>
      </c>
    </row>
    <row r="151" spans="1:42" x14ac:dyDescent="0.25">
      <c r="A151" s="2">
        <v>45807</v>
      </c>
      <c r="B151" s="28">
        <v>37</v>
      </c>
      <c r="C151" s="28">
        <v>293</v>
      </c>
      <c r="D151" s="28">
        <v>37</v>
      </c>
      <c r="E151" s="28">
        <v>0</v>
      </c>
      <c r="F151" s="28">
        <v>92</v>
      </c>
      <c r="G151" s="28">
        <v>583</v>
      </c>
      <c r="H151" s="28">
        <v>0</v>
      </c>
      <c r="I151" s="28">
        <v>419</v>
      </c>
      <c r="J151" s="28">
        <v>416</v>
      </c>
      <c r="K151" s="28">
        <f>TABL12[[#This Row],[خط (T/B  TOT) SAR]]+TABL12[[#This Row],[خط (S/S  TOT) SAR2]]</f>
        <v>835</v>
      </c>
      <c r="L151" s="28">
        <v>252</v>
      </c>
      <c r="M151" s="29">
        <v>19.399999999999999</v>
      </c>
      <c r="N151" s="30">
        <v>7.8</v>
      </c>
      <c r="O151" s="3">
        <v>363</v>
      </c>
      <c r="P151" s="3">
        <f>TABL12[[#This Row],[خط (S/S  TOT) SAR2]]-TABL12[[#This Row],[(S/S TOT) AJD]]</f>
        <v>53</v>
      </c>
      <c r="Q151" s="3">
        <v>409</v>
      </c>
      <c r="R151" s="3">
        <f>TABL12[[#This Row],[خط (T/B  TOT) SAR]]-TABL12[[#This Row],[(T/B TOT) AJD]]</f>
        <v>10</v>
      </c>
      <c r="S151" s="3">
        <f>TABL12[[#This Row],[الفرق بين بداية ونهاية خط  S/S]]+TABL12[[#This Row],[الفرق بين بداية ونهاية خط  T/B]]</f>
        <v>63</v>
      </c>
      <c r="T151" s="3">
        <f t="shared" si="8"/>
        <v>772</v>
      </c>
      <c r="U151" s="3">
        <v>510</v>
      </c>
      <c r="V151" s="3">
        <v>267</v>
      </c>
      <c r="W151" s="3">
        <f t="shared" si="9"/>
        <v>777</v>
      </c>
      <c r="X151" s="3">
        <f t="shared" si="10"/>
        <v>-5</v>
      </c>
      <c r="Y151" s="4">
        <v>91.92</v>
      </c>
      <c r="Z151" s="3">
        <v>0</v>
      </c>
      <c r="AA151" s="3">
        <f>TABL12[[#This Row],[(RESV. STORGE) AJD]]/10</f>
        <v>0</v>
      </c>
      <c r="AB151" s="3">
        <f t="shared" si="11"/>
        <v>0</v>
      </c>
      <c r="AC151" s="6">
        <v>0</v>
      </c>
      <c r="AD151" s="5">
        <f>TABL12[[#This Row],[( S/S+T/B) AJD]]-(TABL12[[#This Row],[(A/B + A/S) AJD]]+(TABL12[[#This Row],[(STORGE DIFF.) AJD]])+TABL12[[#This Row],[البخر  AJD]]/1000)</f>
        <v>-5</v>
      </c>
      <c r="AE151" s="6">
        <v>20</v>
      </c>
      <c r="AF151" s="33">
        <v>58.307000000000002</v>
      </c>
      <c r="AG151" s="6">
        <v>1168201</v>
      </c>
      <c r="AH151" s="6">
        <f>TABL12[[#This Row],[ (RESV. STORGE) BER]]/10</f>
        <v>116820.1</v>
      </c>
      <c r="AI151" s="6">
        <v>2992</v>
      </c>
      <c r="AJ151" s="6">
        <f>TABL12[[#This Row],[(A/B TOT) AJD]]-TABL12[[#This Row],[BER_ IN]]</f>
        <v>490</v>
      </c>
      <c r="AK151" s="6">
        <v>0</v>
      </c>
      <c r="AL151" s="33">
        <v>44.426699999999997</v>
      </c>
      <c r="AM151" s="6">
        <v>3888450</v>
      </c>
      <c r="AN151" s="6">
        <f>TABL12[[#This Row],[ (RESV. STORGE) SER]]/10</f>
        <v>388845</v>
      </c>
      <c r="AO151" s="6">
        <v>1700</v>
      </c>
      <c r="AP151" s="32">
        <f>TABL12[[#This Row],[(A/S TOT) AJD]]-TABL12[[#This Row],[SER_ IN]]</f>
        <v>267</v>
      </c>
    </row>
    <row r="152" spans="1:42" x14ac:dyDescent="0.25">
      <c r="A152" s="2">
        <v>45808</v>
      </c>
      <c r="B152" s="28">
        <v>36</v>
      </c>
      <c r="C152" s="28">
        <v>287</v>
      </c>
      <c r="D152" s="28">
        <v>36</v>
      </c>
      <c r="E152" s="28">
        <v>0</v>
      </c>
      <c r="F152" s="28">
        <v>92</v>
      </c>
      <c r="G152" s="28">
        <v>579</v>
      </c>
      <c r="H152" s="28">
        <v>0</v>
      </c>
      <c r="I152" s="28">
        <v>425</v>
      </c>
      <c r="J152" s="28">
        <v>422</v>
      </c>
      <c r="K152" s="28">
        <f>TABL12[[#This Row],[خط (T/B  TOT) SAR]]+TABL12[[#This Row],[خط (S/S  TOT) SAR2]]</f>
        <v>847</v>
      </c>
      <c r="L152" s="28">
        <v>268</v>
      </c>
      <c r="M152" s="29">
        <v>20.8</v>
      </c>
      <c r="N152" s="30">
        <v>8</v>
      </c>
      <c r="O152" s="3">
        <v>365</v>
      </c>
      <c r="P152" s="3">
        <f>TABL12[[#This Row],[خط (S/S  TOT) SAR2]]-TABL12[[#This Row],[(S/S TOT) AJD]]</f>
        <v>57</v>
      </c>
      <c r="Q152" s="3">
        <v>409</v>
      </c>
      <c r="R152" s="3">
        <f>TABL12[[#This Row],[خط (T/B  TOT) SAR]]-TABL12[[#This Row],[(T/B TOT) AJD]]</f>
        <v>16</v>
      </c>
      <c r="S152" s="3">
        <f>TABL12[[#This Row],[الفرق بين بداية ونهاية خط  S/S]]+TABL12[[#This Row],[الفرق بين بداية ونهاية خط  T/B]]</f>
        <v>73</v>
      </c>
      <c r="T152" s="3">
        <f t="shared" si="8"/>
        <v>774</v>
      </c>
      <c r="U152" s="3">
        <v>504</v>
      </c>
      <c r="V152" s="3">
        <v>271</v>
      </c>
      <c r="W152" s="3">
        <f t="shared" si="9"/>
        <v>775</v>
      </c>
      <c r="X152" s="3">
        <f t="shared" si="10"/>
        <v>-1</v>
      </c>
      <c r="Y152" s="4">
        <v>91.92</v>
      </c>
      <c r="Z152" s="3">
        <v>0</v>
      </c>
      <c r="AA152" s="3">
        <f>TABL12[[#This Row],[(RESV. STORGE) AJD]]/10</f>
        <v>0</v>
      </c>
      <c r="AB152" s="3">
        <f t="shared" si="11"/>
        <v>0</v>
      </c>
      <c r="AC152" s="6">
        <v>0</v>
      </c>
      <c r="AD152" s="5">
        <f>TABL12[[#This Row],[( S/S+T/B) AJD]]-(TABL12[[#This Row],[(A/B + A/S) AJD]]+(TABL12[[#This Row],[(STORGE DIFF.) AJD]])+TABL12[[#This Row],[البخر  AJD]]/1000)</f>
        <v>-1</v>
      </c>
      <c r="AE152" s="6">
        <v>20</v>
      </c>
      <c r="AF152" s="33">
        <v>58.332999999999998</v>
      </c>
      <c r="AG152" s="6">
        <v>1185214</v>
      </c>
      <c r="AH152" s="6">
        <f>TABL12[[#This Row],[ (RESV. STORGE) BER]]/10</f>
        <v>118521.4</v>
      </c>
      <c r="AI152" s="6">
        <v>2987</v>
      </c>
      <c r="AJ152" s="6">
        <f>TABL12[[#This Row],[(A/B TOT) AJD]]-TABL12[[#This Row],[BER_ IN]]</f>
        <v>484</v>
      </c>
      <c r="AK152" s="6">
        <v>0</v>
      </c>
      <c r="AL152" s="33">
        <v>44.418700000000001</v>
      </c>
      <c r="AM152" s="6">
        <v>3884020</v>
      </c>
      <c r="AN152" s="6">
        <f>TABL12[[#This Row],[ (RESV. STORGE) SER]]/10</f>
        <v>388402</v>
      </c>
      <c r="AO152" s="6">
        <v>1830</v>
      </c>
      <c r="AP152" s="32">
        <f>TABL12[[#This Row],[(A/S TOT) AJD]]-TABL12[[#This Row],[SER_ IN]]</f>
        <v>271</v>
      </c>
    </row>
    <row r="153" spans="1:42" x14ac:dyDescent="0.25">
      <c r="A153" s="2">
        <v>45809</v>
      </c>
      <c r="B153" s="28">
        <v>37</v>
      </c>
      <c r="C153" s="28">
        <v>307</v>
      </c>
      <c r="D153" s="28">
        <v>37</v>
      </c>
      <c r="E153" s="28">
        <v>0</v>
      </c>
      <c r="F153" s="28">
        <v>92</v>
      </c>
      <c r="G153" s="28">
        <v>561</v>
      </c>
      <c r="H153" s="28">
        <v>0</v>
      </c>
      <c r="I153" s="28">
        <v>420</v>
      </c>
      <c r="J153" s="28">
        <v>430</v>
      </c>
      <c r="K153" s="28">
        <f>TABL12[[#This Row],[خط (T/B  TOT) SAR]]+TABL12[[#This Row],[خط (S/S  TOT) SAR2]]</f>
        <v>850</v>
      </c>
      <c r="L153" s="28">
        <v>289</v>
      </c>
      <c r="M153" s="29">
        <v>22.6</v>
      </c>
      <c r="N153" s="30">
        <v>8</v>
      </c>
      <c r="O153" s="10">
        <v>370</v>
      </c>
      <c r="P153" s="10">
        <f>TABL12[[#This Row],[خط (S/S  TOT) SAR2]]-TABL12[[#This Row],[(S/S TOT) AJD]]</f>
        <v>60</v>
      </c>
      <c r="Q153" s="10">
        <v>416</v>
      </c>
      <c r="R153" s="10">
        <f>TABL12[[#This Row],[خط (T/B  TOT) SAR]]-TABL12[[#This Row],[(T/B TOT) AJD]]</f>
        <v>4</v>
      </c>
      <c r="S153" s="10">
        <f>TABL12[[#This Row],[الفرق بين بداية ونهاية خط  S/S]]+TABL12[[#This Row],[الفرق بين بداية ونهاية خط  T/B]]</f>
        <v>64</v>
      </c>
      <c r="T153" s="10">
        <f t="shared" si="8"/>
        <v>786</v>
      </c>
      <c r="U153" s="10">
        <v>508</v>
      </c>
      <c r="V153" s="10">
        <v>282</v>
      </c>
      <c r="W153" s="10">
        <f t="shared" si="9"/>
        <v>790</v>
      </c>
      <c r="X153" s="10">
        <f t="shared" si="10"/>
        <v>-4</v>
      </c>
      <c r="Y153" s="4">
        <v>91.92</v>
      </c>
      <c r="Z153" s="10">
        <v>0</v>
      </c>
      <c r="AA153" s="10">
        <f>TABL12[[#This Row],[(RESV. STORGE) AJD]]/10</f>
        <v>0</v>
      </c>
      <c r="AB153" s="3">
        <f t="shared" si="11"/>
        <v>0</v>
      </c>
      <c r="AC153" s="6">
        <v>0</v>
      </c>
      <c r="AD153" s="5">
        <f>TABL12[[#This Row],[( S/S+T/B) AJD]]-(TABL12[[#This Row],[(A/B + A/S) AJD]]+(TABL12[[#This Row],[(STORGE DIFF.) AJD]])+TABL12[[#This Row],[البخر  AJD]]/1000)</f>
        <v>-4</v>
      </c>
      <c r="AE153" s="6">
        <v>20</v>
      </c>
      <c r="AF153" s="33">
        <v>58.357999999999997</v>
      </c>
      <c r="AG153" s="6">
        <v>1202232</v>
      </c>
      <c r="AH153" s="6">
        <f>TABL12[[#This Row],[ (RESV. STORGE) BER]]/10</f>
        <v>120223.2</v>
      </c>
      <c r="AI153" s="6">
        <v>2981</v>
      </c>
      <c r="AJ153" s="6">
        <f>TABL12[[#This Row],[(A/B TOT) AJD]]-TABL12[[#This Row],[BER_ IN]]</f>
        <v>488</v>
      </c>
      <c r="AK153" s="6">
        <v>0</v>
      </c>
      <c r="AL153" s="33">
        <v>44.403399999999998</v>
      </c>
      <c r="AM153" s="6">
        <v>3875340</v>
      </c>
      <c r="AN153" s="6">
        <f>TABL12[[#This Row],[ (RESV. STORGE) SER]]/10</f>
        <v>387534</v>
      </c>
      <c r="AO153" s="6">
        <v>1870</v>
      </c>
      <c r="AP153" s="32">
        <f>TABL12[[#This Row],[(A/S TOT) AJD]]-TABL12[[#This Row],[SER_ IN]]</f>
        <v>282</v>
      </c>
    </row>
    <row r="154" spans="1:42" x14ac:dyDescent="0.25">
      <c r="A154" s="2">
        <v>45810</v>
      </c>
      <c r="B154" s="28">
        <v>37</v>
      </c>
      <c r="C154" s="28">
        <v>302</v>
      </c>
      <c r="D154" s="28">
        <v>37</v>
      </c>
      <c r="E154" s="28">
        <v>0</v>
      </c>
      <c r="F154" s="28">
        <v>92</v>
      </c>
      <c r="G154" s="28">
        <v>550</v>
      </c>
      <c r="H154" s="28">
        <v>0</v>
      </c>
      <c r="I154" s="28">
        <v>422</v>
      </c>
      <c r="J154" s="28">
        <v>438</v>
      </c>
      <c r="K154" s="28">
        <f>TABL12[[#This Row],[خط (T/B  TOT) SAR]]+TABL12[[#This Row],[خط (S/S  TOT) SAR2]]</f>
        <v>860</v>
      </c>
      <c r="L154" s="28">
        <v>310</v>
      </c>
      <c r="M154" s="29">
        <v>23.6</v>
      </c>
      <c r="N154" s="30">
        <v>7.9</v>
      </c>
      <c r="O154" s="10">
        <v>382</v>
      </c>
      <c r="P154" s="10">
        <f>TABL12[[#This Row],[خط (S/S  TOT) SAR2]]-TABL12[[#This Row],[(S/S TOT) AJD]]</f>
        <v>56</v>
      </c>
      <c r="Q154" s="10">
        <v>428</v>
      </c>
      <c r="R154" s="10">
        <f>TABL12[[#This Row],[خط (T/B  TOT) SAR]]-TABL12[[#This Row],[(T/B TOT) AJD]]</f>
        <v>-6</v>
      </c>
      <c r="S154" s="10">
        <f>TABL12[[#This Row],[الفرق بين بداية ونهاية خط  S/S]]+TABL12[[#This Row],[الفرق بين بداية ونهاية خط  T/B]]</f>
        <v>50</v>
      </c>
      <c r="T154" s="10">
        <f t="shared" si="8"/>
        <v>810</v>
      </c>
      <c r="U154" s="10">
        <v>550</v>
      </c>
      <c r="V154" s="10">
        <v>256</v>
      </c>
      <c r="W154" s="10">
        <f t="shared" si="9"/>
        <v>806</v>
      </c>
      <c r="X154" s="10">
        <f t="shared" si="10"/>
        <v>4</v>
      </c>
      <c r="Y154" s="4">
        <v>91.92</v>
      </c>
      <c r="Z154" s="10">
        <v>0</v>
      </c>
      <c r="AA154" s="10">
        <f>TABL12[[#This Row],[(RESV. STORGE) AJD]]/10</f>
        <v>0</v>
      </c>
      <c r="AB154" s="3">
        <f t="shared" si="11"/>
        <v>0</v>
      </c>
      <c r="AC154" s="6">
        <v>0</v>
      </c>
      <c r="AD154" s="5">
        <f>TABL12[[#This Row],[( S/S+T/B) AJD]]-(TABL12[[#This Row],[(A/B + A/S) AJD]]+(TABL12[[#This Row],[(STORGE DIFF.) AJD]])+TABL12[[#This Row],[البخر  AJD]]/1000)</f>
        <v>4</v>
      </c>
      <c r="AE154" s="6">
        <v>28</v>
      </c>
      <c r="AF154" s="33">
        <v>58.398000000000003</v>
      </c>
      <c r="AG154" s="6">
        <v>1227771</v>
      </c>
      <c r="AH154" s="6">
        <f>TABL12[[#This Row],[ (RESV. STORGE) BER]]/10</f>
        <v>122777.1</v>
      </c>
      <c r="AI154" s="6">
        <v>2461</v>
      </c>
      <c r="AJ154" s="6">
        <f>TABL12[[#This Row],[(A/B TOT) AJD]]-TABL12[[#This Row],[BER_ IN]]</f>
        <v>522</v>
      </c>
      <c r="AK154" s="6">
        <v>0</v>
      </c>
      <c r="AL154" s="33">
        <v>44.326900000000002</v>
      </c>
      <c r="AM154" s="6">
        <v>3833240</v>
      </c>
      <c r="AN154" s="6">
        <f>TABL12[[#This Row],[ (RESV. STORGE) SER]]/10</f>
        <v>383324</v>
      </c>
      <c r="AO154" s="6">
        <v>1845</v>
      </c>
      <c r="AP154" s="32">
        <f>TABL12[[#This Row],[(A/S TOT) AJD]]-TABL12[[#This Row],[SER_ IN]]</f>
        <v>256</v>
      </c>
    </row>
    <row r="155" spans="1:42" x14ac:dyDescent="0.25">
      <c r="A155" s="2">
        <v>45811</v>
      </c>
      <c r="B155" s="28">
        <v>37</v>
      </c>
      <c r="C155" s="28">
        <v>297</v>
      </c>
      <c r="D155" s="28">
        <v>37</v>
      </c>
      <c r="E155" s="28">
        <v>0</v>
      </c>
      <c r="F155" s="28">
        <v>92</v>
      </c>
      <c r="G155" s="28">
        <v>535</v>
      </c>
      <c r="H155" s="28">
        <v>0</v>
      </c>
      <c r="I155" s="28">
        <v>414</v>
      </c>
      <c r="J155" s="28">
        <v>430</v>
      </c>
      <c r="K155" s="28">
        <f>TABL12[[#This Row],[خط (T/B  TOT) SAR]]+TABL12[[#This Row],[خط (S/S  TOT) SAR2]]</f>
        <v>844</v>
      </c>
      <c r="L155" s="28">
        <v>309</v>
      </c>
      <c r="M155" s="29">
        <v>23.6</v>
      </c>
      <c r="N155" s="30">
        <v>7.9</v>
      </c>
      <c r="O155" s="10">
        <v>385</v>
      </c>
      <c r="P155" s="10">
        <f>TABL12[[#This Row],[خط (S/S  TOT) SAR2]]-TABL12[[#This Row],[(S/S TOT) AJD]]</f>
        <v>45</v>
      </c>
      <c r="Q155" s="10">
        <v>432</v>
      </c>
      <c r="R155" s="10">
        <f>TABL12[[#This Row],[خط (T/B  TOT) SAR]]-TABL12[[#This Row],[(T/B TOT) AJD]]</f>
        <v>-18</v>
      </c>
      <c r="S155" s="10">
        <f>TABL12[[#This Row],[الفرق بين بداية ونهاية خط  S/S]]+TABL12[[#This Row],[الفرق بين بداية ونهاية خط  T/B]]</f>
        <v>27</v>
      </c>
      <c r="T155" s="10">
        <f t="shared" si="8"/>
        <v>817</v>
      </c>
      <c r="U155" s="10">
        <v>562</v>
      </c>
      <c r="V155" s="10">
        <v>259</v>
      </c>
      <c r="W155" s="10">
        <f t="shared" si="9"/>
        <v>821</v>
      </c>
      <c r="X155" s="10">
        <f t="shared" si="10"/>
        <v>-4</v>
      </c>
      <c r="Y155" s="4">
        <v>91.92</v>
      </c>
      <c r="Z155" s="10">
        <v>0</v>
      </c>
      <c r="AA155" s="10">
        <f>TABL12[[#This Row],[(RESV. STORGE) AJD]]/10</f>
        <v>0</v>
      </c>
      <c r="AB155" s="3">
        <f t="shared" si="11"/>
        <v>0</v>
      </c>
      <c r="AC155" s="6">
        <v>0</v>
      </c>
      <c r="AD155" s="5">
        <f>TABL12[[#This Row],[( S/S+T/B) AJD]]-(TABL12[[#This Row],[(A/B + A/S) AJD]]+(TABL12[[#This Row],[(STORGE DIFF.) AJD]])+TABL12[[#This Row],[البخر  AJD]]/1000)</f>
        <v>-4</v>
      </c>
      <c r="AE155" s="6">
        <v>35</v>
      </c>
      <c r="AF155" s="33">
        <v>58.447000000000003</v>
      </c>
      <c r="AG155" s="6">
        <v>1259877</v>
      </c>
      <c r="AH155" s="6">
        <f>TABL12[[#This Row],[ (RESV. STORGE) BER]]/10</f>
        <v>125987.7</v>
      </c>
      <c r="AI155" s="6">
        <v>2894</v>
      </c>
      <c r="AJ155" s="6">
        <f>TABL12[[#This Row],[(A/B TOT) AJD]]-TABL12[[#This Row],[BER_ IN]]</f>
        <v>527</v>
      </c>
      <c r="AK155" s="6">
        <v>0</v>
      </c>
      <c r="AL155" s="33">
        <v>44.3035</v>
      </c>
      <c r="AM155" s="6">
        <v>3820430</v>
      </c>
      <c r="AN155" s="6">
        <f>TABL12[[#This Row],[ (RESV. STORGE) SER]]/10</f>
        <v>382043</v>
      </c>
      <c r="AO155" s="6">
        <v>1785</v>
      </c>
      <c r="AP155" s="32">
        <f>TABL12[[#This Row],[(A/S TOT) AJD]]-TABL12[[#This Row],[SER_ IN]]</f>
        <v>259</v>
      </c>
    </row>
    <row r="156" spans="1:42" x14ac:dyDescent="0.25">
      <c r="A156" s="2">
        <v>45812</v>
      </c>
      <c r="B156" s="28">
        <v>37</v>
      </c>
      <c r="C156" s="28">
        <v>291</v>
      </c>
      <c r="D156" s="28">
        <v>37</v>
      </c>
      <c r="E156" s="28">
        <v>0</v>
      </c>
      <c r="F156" s="28">
        <v>91</v>
      </c>
      <c r="G156" s="28">
        <v>548</v>
      </c>
      <c r="H156" s="28">
        <v>1</v>
      </c>
      <c r="I156" s="28">
        <v>422</v>
      </c>
      <c r="J156" s="28">
        <v>436</v>
      </c>
      <c r="K156" s="28">
        <f>TABL12[[#This Row],[خط (T/B  TOT) SAR]]+TABL12[[#This Row],[خط (S/S  TOT) SAR2]]</f>
        <v>858</v>
      </c>
      <c r="L156" s="28">
        <v>310</v>
      </c>
      <c r="M156" s="29">
        <v>23.6</v>
      </c>
      <c r="N156" s="30">
        <v>7.7</v>
      </c>
      <c r="O156" s="10">
        <v>380</v>
      </c>
      <c r="P156" s="10">
        <f>TABL12[[#This Row],[خط (S/S  TOT) SAR2]]-TABL12[[#This Row],[(S/S TOT) AJD]]</f>
        <v>56</v>
      </c>
      <c r="Q156" s="10">
        <v>427</v>
      </c>
      <c r="R156" s="10">
        <f>TABL12[[#This Row],[خط (T/B  TOT) SAR]]-TABL12[[#This Row],[(T/B TOT) AJD]]</f>
        <v>-5</v>
      </c>
      <c r="S156" s="10">
        <f>TABL12[[#This Row],[الفرق بين بداية ونهاية خط  S/S]]+TABL12[[#This Row],[الفرق بين بداية ونهاية خط  T/B]]</f>
        <v>51</v>
      </c>
      <c r="T156" s="10">
        <f t="shared" si="8"/>
        <v>807</v>
      </c>
      <c r="U156" s="10">
        <v>549</v>
      </c>
      <c r="V156" s="10">
        <v>261</v>
      </c>
      <c r="W156" s="10">
        <f t="shared" si="9"/>
        <v>810</v>
      </c>
      <c r="X156" s="10">
        <f t="shared" si="10"/>
        <v>-3</v>
      </c>
      <c r="Y156" s="4">
        <v>91.92</v>
      </c>
      <c r="Z156" s="10">
        <v>0</v>
      </c>
      <c r="AA156" s="10">
        <f>TABL12[[#This Row],[(RESV. STORGE) AJD]]/10</f>
        <v>0</v>
      </c>
      <c r="AB156" s="3">
        <f t="shared" si="11"/>
        <v>0</v>
      </c>
      <c r="AC156" s="6">
        <v>0</v>
      </c>
      <c r="AD156" s="5">
        <f>TABL12[[#This Row],[( S/S+T/B) AJD]]-(TABL12[[#This Row],[(A/B + A/S) AJD]]+(TABL12[[#This Row],[(STORGE DIFF.) AJD]])+TABL12[[#This Row],[البخر  AJD]]/1000)</f>
        <v>-3</v>
      </c>
      <c r="AE156" s="6">
        <v>35</v>
      </c>
      <c r="AF156" s="33">
        <v>58.496000000000002</v>
      </c>
      <c r="AG156" s="6">
        <v>1294877</v>
      </c>
      <c r="AH156" s="6">
        <f>TABL12[[#This Row],[ (RESV. STORGE) BER]]/10</f>
        <v>129487.7</v>
      </c>
      <c r="AI156" s="6">
        <v>2873</v>
      </c>
      <c r="AJ156" s="6">
        <f>TABL12[[#This Row],[(A/B TOT) AJD]]-TABL12[[#This Row],[BER_ IN]]</f>
        <v>514</v>
      </c>
      <c r="AK156" s="6">
        <v>0</v>
      </c>
      <c r="AL156" s="33">
        <v>44.2819</v>
      </c>
      <c r="AM156" s="6">
        <v>3808430</v>
      </c>
      <c r="AN156" s="6">
        <f>TABL12[[#This Row],[ (RESV. STORGE) SER]]/10</f>
        <v>380843</v>
      </c>
      <c r="AO156" s="6">
        <v>1760</v>
      </c>
      <c r="AP156" s="32">
        <f>TABL12[[#This Row],[(A/S TOT) AJD]]-TABL12[[#This Row],[SER_ IN]]</f>
        <v>261</v>
      </c>
    </row>
    <row r="157" spans="1:42" x14ac:dyDescent="0.25">
      <c r="A157" s="2">
        <v>45813</v>
      </c>
      <c r="B157" s="28">
        <v>37</v>
      </c>
      <c r="C157" s="28">
        <v>292</v>
      </c>
      <c r="D157" s="28">
        <v>37</v>
      </c>
      <c r="E157" s="28">
        <v>0</v>
      </c>
      <c r="F157" s="28">
        <v>91</v>
      </c>
      <c r="G157" s="28">
        <v>549</v>
      </c>
      <c r="H157" s="28">
        <v>1</v>
      </c>
      <c r="I157" s="28">
        <v>422</v>
      </c>
      <c r="J157" s="28">
        <v>435</v>
      </c>
      <c r="K157" s="28">
        <f>TABL12[[#This Row],[خط (T/B  TOT) SAR]]+TABL12[[#This Row],[خط (S/S  TOT) SAR2]]</f>
        <v>857</v>
      </c>
      <c r="L157" s="28">
        <v>308</v>
      </c>
      <c r="M157" s="29">
        <v>23.6</v>
      </c>
      <c r="N157" s="30">
        <v>7.7</v>
      </c>
      <c r="O157" s="10">
        <v>383</v>
      </c>
      <c r="P157" s="10">
        <f>TABL12[[#This Row],[خط (S/S  TOT) SAR2]]-TABL12[[#This Row],[(S/S TOT) AJD]]</f>
        <v>52</v>
      </c>
      <c r="Q157" s="10">
        <v>431</v>
      </c>
      <c r="R157" s="10">
        <f>TABL12[[#This Row],[خط (T/B  TOT) SAR]]-TABL12[[#This Row],[(T/B TOT) AJD]]</f>
        <v>-9</v>
      </c>
      <c r="S157" s="10">
        <f>TABL12[[#This Row],[الفرق بين بداية ونهاية خط  S/S]]+TABL12[[#This Row],[الفرق بين بداية ونهاية خط  T/B]]</f>
        <v>43</v>
      </c>
      <c r="T157" s="10">
        <f t="shared" si="8"/>
        <v>814</v>
      </c>
      <c r="U157" s="10">
        <v>559</v>
      </c>
      <c r="V157" s="10">
        <v>258</v>
      </c>
      <c r="W157" s="10">
        <f t="shared" si="9"/>
        <v>817</v>
      </c>
      <c r="X157" s="10">
        <f t="shared" si="10"/>
        <v>-3</v>
      </c>
      <c r="Y157" s="4">
        <v>91.92</v>
      </c>
      <c r="Z157" s="10">
        <v>0</v>
      </c>
      <c r="AA157" s="10">
        <f>TABL12[[#This Row],[(RESV. STORGE) AJD]]/10</f>
        <v>0</v>
      </c>
      <c r="AB157" s="3">
        <f t="shared" si="11"/>
        <v>0</v>
      </c>
      <c r="AC157" s="6">
        <v>0</v>
      </c>
      <c r="AD157" s="5">
        <f>TABL12[[#This Row],[( S/S+T/B) AJD]]-(TABL12[[#This Row],[(A/B + A/S) AJD]]+(TABL12[[#This Row],[(STORGE DIFF.) AJD]])+TABL12[[#This Row],[البخر  AJD]]/1000)</f>
        <v>-3</v>
      </c>
      <c r="AE157" s="6">
        <v>35</v>
      </c>
      <c r="AF157" s="33">
        <v>58.545999999999999</v>
      </c>
      <c r="AG157" s="6">
        <v>1324807</v>
      </c>
      <c r="AH157" s="6">
        <f>TABL12[[#This Row],[ (RESV. STORGE) BER]]/10</f>
        <v>132480.70000000001</v>
      </c>
      <c r="AI157" s="6">
        <v>2196</v>
      </c>
      <c r="AJ157" s="6">
        <f>TABL12[[#This Row],[(A/B TOT) AJD]]-TABL12[[#This Row],[BER_ IN]]</f>
        <v>524</v>
      </c>
      <c r="AK157" s="6">
        <v>0</v>
      </c>
      <c r="AL157" s="33">
        <v>44.228200000000001</v>
      </c>
      <c r="AM157" s="6">
        <v>3778570</v>
      </c>
      <c r="AN157" s="6">
        <f>TABL12[[#This Row],[ (RESV. STORGE) SER]]/10</f>
        <v>377857</v>
      </c>
      <c r="AO157" s="6">
        <v>1745</v>
      </c>
      <c r="AP157" s="32">
        <f>TABL12[[#This Row],[(A/S TOT) AJD]]-TABL12[[#This Row],[SER_ IN]]</f>
        <v>258</v>
      </c>
    </row>
    <row r="158" spans="1:42" x14ac:dyDescent="0.25">
      <c r="A158" s="2">
        <v>45814</v>
      </c>
      <c r="B158" s="28">
        <v>36</v>
      </c>
      <c r="C158" s="28">
        <v>284</v>
      </c>
      <c r="D158" s="28">
        <v>36</v>
      </c>
      <c r="E158" s="28">
        <v>0</v>
      </c>
      <c r="F158" s="28">
        <v>91</v>
      </c>
      <c r="G158" s="28">
        <v>539</v>
      </c>
      <c r="H158" s="28">
        <v>1</v>
      </c>
      <c r="I158" s="28">
        <v>415</v>
      </c>
      <c r="J158" s="28">
        <v>428</v>
      </c>
      <c r="K158" s="28">
        <f>TABL12[[#This Row],[خط (T/B  TOT) SAR]]+TABL12[[#This Row],[خط (S/S  TOT) SAR2]]</f>
        <v>843</v>
      </c>
      <c r="L158" s="28">
        <v>304</v>
      </c>
      <c r="M158" s="29">
        <v>23.6</v>
      </c>
      <c r="N158" s="30">
        <v>7.6</v>
      </c>
      <c r="O158" s="10">
        <v>378</v>
      </c>
      <c r="P158" s="10">
        <f>TABL12[[#This Row],[خط (S/S  TOT) SAR2]]-TABL12[[#This Row],[(S/S TOT) AJD]]</f>
        <v>50</v>
      </c>
      <c r="Q158" s="10">
        <v>425</v>
      </c>
      <c r="R158" s="10">
        <f>TABL12[[#This Row],[خط (T/B  TOT) SAR]]-TABL12[[#This Row],[(T/B TOT) AJD]]</f>
        <v>-10</v>
      </c>
      <c r="S158" s="10">
        <f>TABL12[[#This Row],[الفرق بين بداية ونهاية خط  S/S]]+TABL12[[#This Row],[الفرق بين بداية ونهاية خط  T/B]]</f>
        <v>40</v>
      </c>
      <c r="T158" s="10">
        <f t="shared" si="8"/>
        <v>803</v>
      </c>
      <c r="U158" s="10">
        <v>528</v>
      </c>
      <c r="V158" s="10">
        <v>278</v>
      </c>
      <c r="W158" s="10">
        <f t="shared" si="9"/>
        <v>806</v>
      </c>
      <c r="X158" s="10">
        <f t="shared" si="10"/>
        <v>-3</v>
      </c>
      <c r="Y158" s="4">
        <v>91.92</v>
      </c>
      <c r="Z158" s="10">
        <v>0</v>
      </c>
      <c r="AA158" s="10">
        <f>TABL12[[#This Row],[(RESV. STORGE) AJD]]/10</f>
        <v>0</v>
      </c>
      <c r="AB158" s="3">
        <f t="shared" si="11"/>
        <v>0</v>
      </c>
      <c r="AC158" s="6">
        <v>0</v>
      </c>
      <c r="AD158" s="5">
        <f>TABL12[[#This Row],[( S/S+T/B) AJD]]-(TABL12[[#This Row],[(A/B + A/S) AJD]]+(TABL12[[#This Row],[(STORGE DIFF.) AJD]])+TABL12[[#This Row],[البخر  AJD]]/1000)</f>
        <v>-3</v>
      </c>
      <c r="AE158" s="6">
        <v>35</v>
      </c>
      <c r="AF158" s="33">
        <v>58.594999999999999</v>
      </c>
      <c r="AG158" s="6">
        <v>1356975</v>
      </c>
      <c r="AH158" s="6">
        <f>TABL12[[#This Row],[ (RESV. STORGE) BER]]/10</f>
        <v>135697.5</v>
      </c>
      <c r="AI158" s="6">
        <v>2831</v>
      </c>
      <c r="AJ158" s="6">
        <f>TABL12[[#This Row],[(A/B TOT) AJD]]-TABL12[[#This Row],[BER_ IN]]</f>
        <v>493</v>
      </c>
      <c r="AK158" s="6">
        <v>0</v>
      </c>
      <c r="AL158" s="33">
        <v>44.036999999999999</v>
      </c>
      <c r="AM158" s="6">
        <v>3673612</v>
      </c>
      <c r="AN158" s="6">
        <f>TABL12[[#This Row],[ (RESV. STORGE) SER]]/10</f>
        <v>367361.2</v>
      </c>
      <c r="AO158" s="6">
        <v>2800</v>
      </c>
      <c r="AP158" s="32">
        <f>TABL12[[#This Row],[(A/S TOT) AJD]]-TABL12[[#This Row],[SER_ IN]]</f>
        <v>278</v>
      </c>
    </row>
    <row r="159" spans="1:42" x14ac:dyDescent="0.25">
      <c r="A159" s="2">
        <v>45815</v>
      </c>
      <c r="B159" s="28">
        <v>36</v>
      </c>
      <c r="C159" s="28">
        <v>281</v>
      </c>
      <c r="D159" s="28">
        <v>36</v>
      </c>
      <c r="E159" s="28">
        <v>0</v>
      </c>
      <c r="F159" s="28">
        <v>91</v>
      </c>
      <c r="G159" s="28">
        <v>544</v>
      </c>
      <c r="H159" s="28">
        <v>1</v>
      </c>
      <c r="I159" s="28">
        <v>418</v>
      </c>
      <c r="J159" s="28">
        <v>432</v>
      </c>
      <c r="K159" s="28">
        <f>TABL12[[#This Row],[خط (T/B  TOT) SAR]]+TABL12[[#This Row],[خط (S/S  TOT) SAR2]]</f>
        <v>850</v>
      </c>
      <c r="L159" s="28">
        <v>306</v>
      </c>
      <c r="M159" s="29">
        <v>23.6</v>
      </c>
      <c r="N159" s="30">
        <v>7.5</v>
      </c>
      <c r="O159" s="10">
        <v>379</v>
      </c>
      <c r="P159" s="10">
        <f>TABL12[[#This Row],[خط (S/S  TOT) SAR2]]-TABL12[[#This Row],[(S/S TOT) AJD]]</f>
        <v>53</v>
      </c>
      <c r="Q159" s="10">
        <v>426</v>
      </c>
      <c r="R159" s="10">
        <f>TABL12[[#This Row],[خط (T/B  TOT) SAR]]-TABL12[[#This Row],[(T/B TOT) AJD]]</f>
        <v>-8</v>
      </c>
      <c r="S159" s="10">
        <f>TABL12[[#This Row],[الفرق بين بداية ونهاية خط  S/S]]+TABL12[[#This Row],[الفرق بين بداية ونهاية خط  T/B]]</f>
        <v>45</v>
      </c>
      <c r="T159" s="10">
        <f t="shared" si="8"/>
        <v>805</v>
      </c>
      <c r="U159" s="10">
        <v>516</v>
      </c>
      <c r="V159" s="10">
        <v>290</v>
      </c>
      <c r="W159" s="10">
        <f t="shared" si="9"/>
        <v>806</v>
      </c>
      <c r="X159" s="10">
        <f t="shared" si="10"/>
        <v>-1</v>
      </c>
      <c r="Y159" s="4">
        <v>91.92</v>
      </c>
      <c r="Z159" s="10">
        <v>0</v>
      </c>
      <c r="AA159" s="10">
        <f>TABL12[[#This Row],[(RESV. STORGE) AJD]]/10</f>
        <v>0</v>
      </c>
      <c r="AB159" s="3">
        <f t="shared" si="11"/>
        <v>0</v>
      </c>
      <c r="AC159" s="6">
        <v>0</v>
      </c>
      <c r="AD159" s="5">
        <f>TABL12[[#This Row],[( S/S+T/B) AJD]]-(TABL12[[#This Row],[(A/B + A/S) AJD]]+(TABL12[[#This Row],[(STORGE DIFF.) AJD]])+TABL12[[#This Row],[البخر  AJD]]/1000)</f>
        <v>-1</v>
      </c>
      <c r="AE159" s="6">
        <v>27</v>
      </c>
      <c r="AF159" s="33">
        <v>58.631999999999998</v>
      </c>
      <c r="AG159" s="6">
        <v>1381279</v>
      </c>
      <c r="AH159" s="6">
        <f>TABL12[[#This Row],[ (RESV. STORGE) BER]]/10</f>
        <v>138127.9</v>
      </c>
      <c r="AI159" s="6">
        <v>2695</v>
      </c>
      <c r="AJ159" s="6">
        <f>TABL12[[#This Row],[(A/B TOT) AJD]]-TABL12[[#This Row],[BER_ IN]]</f>
        <v>489</v>
      </c>
      <c r="AK159" s="6">
        <v>0</v>
      </c>
      <c r="AL159" s="33">
        <v>43.869799999999998</v>
      </c>
      <c r="AM159" s="6">
        <v>3581480</v>
      </c>
      <c r="AN159" s="6">
        <f>TABL12[[#This Row],[ (RESV. STORGE) SER]]/10</f>
        <v>358148</v>
      </c>
      <c r="AO159" s="6">
        <v>1745</v>
      </c>
      <c r="AP159" s="32">
        <f>TABL12[[#This Row],[(A/S TOT) AJD]]-TABL12[[#This Row],[SER_ IN]]</f>
        <v>290</v>
      </c>
    </row>
    <row r="160" spans="1:42" x14ac:dyDescent="0.25">
      <c r="A160" s="2">
        <v>45816</v>
      </c>
      <c r="B160" s="28">
        <v>36</v>
      </c>
      <c r="C160" s="28">
        <v>265</v>
      </c>
      <c r="D160" s="28">
        <v>36</v>
      </c>
      <c r="E160" s="28">
        <v>0</v>
      </c>
      <c r="F160" s="28">
        <v>91</v>
      </c>
      <c r="G160" s="28">
        <v>543</v>
      </c>
      <c r="H160" s="28">
        <v>1</v>
      </c>
      <c r="I160" s="28">
        <v>416</v>
      </c>
      <c r="J160" s="28">
        <v>429</v>
      </c>
      <c r="K160" s="28">
        <f>TABL12[[#This Row],[خط (T/B  TOT) SAR]]+TABL12[[#This Row],[خط (S/S  TOT) SAR2]]</f>
        <v>845</v>
      </c>
      <c r="L160" s="28">
        <v>302</v>
      </c>
      <c r="M160" s="29">
        <v>23.6</v>
      </c>
      <c r="N160" s="30">
        <v>7.3</v>
      </c>
      <c r="O160" s="10">
        <v>378</v>
      </c>
      <c r="P160" s="10">
        <f>TABL12[[#This Row],[خط (S/S  TOT) SAR2]]-TABL12[[#This Row],[(S/S TOT) AJD]]</f>
        <v>51</v>
      </c>
      <c r="Q160" s="10">
        <v>425</v>
      </c>
      <c r="R160" s="10">
        <f>TABL12[[#This Row],[خط (T/B  TOT) SAR]]-TABL12[[#This Row],[(T/B TOT) AJD]]</f>
        <v>-9</v>
      </c>
      <c r="S160" s="10">
        <f>TABL12[[#This Row],[الفرق بين بداية ونهاية خط  S/S]]+TABL12[[#This Row],[الفرق بين بداية ونهاية خط  T/B]]</f>
        <v>42</v>
      </c>
      <c r="T160" s="10">
        <f t="shared" si="8"/>
        <v>803</v>
      </c>
      <c r="U160" s="10">
        <v>528</v>
      </c>
      <c r="V160" s="10">
        <v>278</v>
      </c>
      <c r="W160" s="10">
        <f t="shared" si="9"/>
        <v>806</v>
      </c>
      <c r="X160" s="10">
        <f t="shared" si="10"/>
        <v>-3</v>
      </c>
      <c r="Y160" s="4">
        <v>91.92</v>
      </c>
      <c r="Z160" s="10">
        <v>0</v>
      </c>
      <c r="AA160" s="10">
        <f>TABL12[[#This Row],[(RESV. STORGE) AJD]]/10</f>
        <v>0</v>
      </c>
      <c r="AB160" s="3">
        <f t="shared" si="11"/>
        <v>0</v>
      </c>
      <c r="AC160" s="6">
        <v>0</v>
      </c>
      <c r="AD160" s="5">
        <f>TABL12[[#This Row],[( S/S+T/B) AJD]]-(TABL12[[#This Row],[(A/B + A/S) AJD]]+(TABL12[[#This Row],[(STORGE DIFF.) AJD]])+TABL12[[#This Row],[البخر  AJD]]/1000)</f>
        <v>-3</v>
      </c>
      <c r="AE160" s="6">
        <v>20</v>
      </c>
      <c r="AF160" s="33">
        <v>58.658000000000001</v>
      </c>
      <c r="AG160" s="6">
        <v>1398365</v>
      </c>
      <c r="AH160" s="6">
        <f>TABL12[[#This Row],[ (RESV. STORGE) BER]]/10</f>
        <v>139836.5</v>
      </c>
      <c r="AI160" s="6">
        <v>2914</v>
      </c>
      <c r="AJ160" s="6">
        <f>TABL12[[#This Row],[(A/B TOT) AJD]]-TABL12[[#This Row],[BER_ IN]]</f>
        <v>508</v>
      </c>
      <c r="AK160" s="6">
        <v>0</v>
      </c>
      <c r="AL160" s="33">
        <v>43.772500000000001</v>
      </c>
      <c r="AM160" s="6">
        <v>3528720</v>
      </c>
      <c r="AN160" s="6">
        <f>TABL12[[#This Row],[ (RESV. STORGE) SER]]/10</f>
        <v>352872</v>
      </c>
      <c r="AO160" s="6">
        <v>1880</v>
      </c>
      <c r="AP160" s="32">
        <f>TABL12[[#This Row],[(A/S TOT) AJD]]-TABL12[[#This Row],[SER_ IN]]</f>
        <v>278</v>
      </c>
    </row>
    <row r="161" spans="1:42" x14ac:dyDescent="0.25">
      <c r="A161" s="2">
        <v>45817</v>
      </c>
      <c r="B161" s="28">
        <v>33</v>
      </c>
      <c r="C161" s="28">
        <v>272</v>
      </c>
      <c r="D161" s="28">
        <v>34</v>
      </c>
      <c r="E161" s="28">
        <v>0</v>
      </c>
      <c r="F161" s="28">
        <v>91</v>
      </c>
      <c r="G161" s="28">
        <v>545</v>
      </c>
      <c r="H161" s="28">
        <v>1</v>
      </c>
      <c r="I161" s="28">
        <v>416</v>
      </c>
      <c r="J161" s="28">
        <v>428</v>
      </c>
      <c r="K161" s="28">
        <f>TABL12[[#This Row],[خط (T/B  TOT) SAR]]+TABL12[[#This Row],[خط (S/S  TOT) SAR2]]</f>
        <v>844</v>
      </c>
      <c r="L161" s="28">
        <v>299</v>
      </c>
      <c r="M161" s="29">
        <v>23.6</v>
      </c>
      <c r="N161" s="30">
        <v>7.1</v>
      </c>
      <c r="O161" s="10">
        <v>376</v>
      </c>
      <c r="P161" s="10">
        <f>TABL12[[#This Row],[خط (S/S  TOT) SAR2]]-TABL12[[#This Row],[(S/S TOT) AJD]]</f>
        <v>52</v>
      </c>
      <c r="Q161" s="10">
        <v>424</v>
      </c>
      <c r="R161" s="10">
        <f>TABL12[[#This Row],[خط (T/B  TOT) SAR]]-TABL12[[#This Row],[(T/B TOT) AJD]]</f>
        <v>-8</v>
      </c>
      <c r="S161" s="10">
        <f>TABL12[[#This Row],[الفرق بين بداية ونهاية خط  S/S]]+TABL12[[#This Row],[الفرق بين بداية ونهاية خط  T/B]]</f>
        <v>44</v>
      </c>
      <c r="T161" s="10">
        <f t="shared" si="8"/>
        <v>800</v>
      </c>
      <c r="U161" s="10">
        <v>527</v>
      </c>
      <c r="V161" s="10">
        <v>272</v>
      </c>
      <c r="W161" s="10">
        <f t="shared" si="9"/>
        <v>799</v>
      </c>
      <c r="X161" s="10">
        <f t="shared" si="10"/>
        <v>1</v>
      </c>
      <c r="Y161" s="4">
        <v>91.92</v>
      </c>
      <c r="Z161" s="10">
        <v>0</v>
      </c>
      <c r="AA161" s="10">
        <f>TABL12[[#This Row],[(RESV. STORGE) AJD]]/10</f>
        <v>0</v>
      </c>
      <c r="AB161" s="3">
        <f t="shared" si="11"/>
        <v>0</v>
      </c>
      <c r="AC161" s="6">
        <v>0</v>
      </c>
      <c r="AD161" s="5">
        <f>TABL12[[#This Row],[( S/S+T/B) AJD]]-(TABL12[[#This Row],[(A/B + A/S) AJD]]+(TABL12[[#This Row],[(STORGE DIFF.) AJD]])+TABL12[[#This Row],[البخر  AJD]]/1000)</f>
        <v>1</v>
      </c>
      <c r="AE161" s="6">
        <v>20</v>
      </c>
      <c r="AF161" s="33">
        <v>58.683999999999997</v>
      </c>
      <c r="AG161" s="6">
        <v>1415456</v>
      </c>
      <c r="AH161" s="6">
        <f>TABL12[[#This Row],[ (RESV. STORGE) BER]]/10</f>
        <v>141545.60000000001</v>
      </c>
      <c r="AI161" s="6">
        <v>2908</v>
      </c>
      <c r="AJ161" s="6">
        <f>TABL12[[#This Row],[(A/B TOT) AJD]]-TABL12[[#This Row],[BER_ IN]]</f>
        <v>507</v>
      </c>
      <c r="AK161" s="6">
        <v>0</v>
      </c>
      <c r="AL161" s="33">
        <v>43.746600000000001</v>
      </c>
      <c r="AM161" s="6">
        <v>3514650</v>
      </c>
      <c r="AN161" s="6">
        <f>TABL12[[#This Row],[ (RESV. STORGE) SER]]/10</f>
        <v>351465</v>
      </c>
      <c r="AO161" s="6">
        <v>1950</v>
      </c>
      <c r="AP161" s="32">
        <f>TABL12[[#This Row],[(A/S TOT) AJD]]-TABL12[[#This Row],[SER_ IN]]</f>
        <v>272</v>
      </c>
    </row>
    <row r="162" spans="1:42" x14ac:dyDescent="0.25">
      <c r="A162" s="2">
        <v>45818</v>
      </c>
      <c r="B162" s="28">
        <v>33</v>
      </c>
      <c r="C162" s="28">
        <v>271</v>
      </c>
      <c r="D162" s="28">
        <v>33</v>
      </c>
      <c r="E162" s="28">
        <v>0</v>
      </c>
      <c r="F162" s="28">
        <v>89</v>
      </c>
      <c r="G162" s="28">
        <v>550</v>
      </c>
      <c r="H162" s="28">
        <v>3</v>
      </c>
      <c r="I162" s="28">
        <v>417</v>
      </c>
      <c r="J162" s="28">
        <v>429</v>
      </c>
      <c r="K162" s="28">
        <f>TABL12[[#This Row],[خط (T/B  TOT) SAR]]+TABL12[[#This Row],[خط (S/S  TOT) SAR2]]</f>
        <v>846</v>
      </c>
      <c r="L162" s="28">
        <v>296</v>
      </c>
      <c r="M162" s="29">
        <v>23.6</v>
      </c>
      <c r="N162" s="30">
        <v>7</v>
      </c>
      <c r="O162" s="10">
        <v>376</v>
      </c>
      <c r="P162" s="10">
        <f>TABL12[[#This Row],[خط (S/S  TOT) SAR2]]-TABL12[[#This Row],[(S/S TOT) AJD]]</f>
        <v>53</v>
      </c>
      <c r="Q162" s="10">
        <v>423</v>
      </c>
      <c r="R162" s="10">
        <f>TABL12[[#This Row],[خط (T/B  TOT) SAR]]-TABL12[[#This Row],[(T/B TOT) AJD]]</f>
        <v>-6</v>
      </c>
      <c r="S162" s="10">
        <f>TABL12[[#This Row],[الفرق بين بداية ونهاية خط  S/S]]+TABL12[[#This Row],[الفرق بين بداية ونهاية خط  T/B]]</f>
        <v>47</v>
      </c>
      <c r="T162" s="10">
        <f t="shared" si="8"/>
        <v>799</v>
      </c>
      <c r="U162" s="10">
        <v>530</v>
      </c>
      <c r="V162" s="10">
        <v>267</v>
      </c>
      <c r="W162" s="10">
        <f t="shared" si="9"/>
        <v>797</v>
      </c>
      <c r="X162" s="10">
        <f t="shared" si="10"/>
        <v>2</v>
      </c>
      <c r="Y162" s="4">
        <v>91.92</v>
      </c>
      <c r="Z162" s="10">
        <v>0</v>
      </c>
      <c r="AA162" s="10">
        <f>TABL12[[#This Row],[(RESV. STORGE) AJD]]/10</f>
        <v>0</v>
      </c>
      <c r="AB162" s="3">
        <f t="shared" si="11"/>
        <v>0</v>
      </c>
      <c r="AC162" s="6">
        <v>0</v>
      </c>
      <c r="AD162" s="5">
        <f>TABL12[[#This Row],[( S/S+T/B) AJD]]-(TABL12[[#This Row],[(A/B + A/S) AJD]]+(TABL12[[#This Row],[(STORGE DIFF.) AJD]])+TABL12[[#This Row],[البخر  AJD]]/1000)</f>
        <v>2</v>
      </c>
      <c r="AE162" s="6">
        <v>20</v>
      </c>
      <c r="AF162" s="33">
        <v>58.71</v>
      </c>
      <c r="AG162" s="6">
        <v>1432554</v>
      </c>
      <c r="AH162" s="6">
        <f>TABL12[[#This Row],[ (RESV. STORGE) BER]]/10</f>
        <v>143255.4</v>
      </c>
      <c r="AI162" s="6">
        <v>2902</v>
      </c>
      <c r="AJ162" s="6">
        <f>TABL12[[#This Row],[(A/B TOT) AJD]]-TABL12[[#This Row],[BER_ IN]]</f>
        <v>510</v>
      </c>
      <c r="AK162" s="6">
        <v>0</v>
      </c>
      <c r="AL162" s="33">
        <v>43.730800000000002</v>
      </c>
      <c r="AM162" s="6">
        <v>3505892</v>
      </c>
      <c r="AN162" s="6">
        <f>TABL12[[#This Row],[ (RESV. STORGE) SER]]/10</f>
        <v>350589.2</v>
      </c>
      <c r="AO162" s="6">
        <v>1760</v>
      </c>
      <c r="AP162" s="32">
        <f>TABL12[[#This Row],[(A/S TOT) AJD]]-TABL12[[#This Row],[SER_ IN]]</f>
        <v>267</v>
      </c>
    </row>
    <row r="163" spans="1:42" x14ac:dyDescent="0.25">
      <c r="A163" s="2">
        <v>45819</v>
      </c>
      <c r="B163" s="28">
        <v>34</v>
      </c>
      <c r="C163" s="28">
        <v>272</v>
      </c>
      <c r="D163" s="28">
        <v>34</v>
      </c>
      <c r="E163" s="28">
        <v>0</v>
      </c>
      <c r="F163" s="28">
        <v>91</v>
      </c>
      <c r="G163" s="28">
        <v>560</v>
      </c>
      <c r="H163" s="28">
        <v>1</v>
      </c>
      <c r="I163" s="28">
        <v>418</v>
      </c>
      <c r="J163" s="28">
        <v>428</v>
      </c>
      <c r="K163" s="28">
        <f>TABL12[[#This Row],[خط (T/B  TOT) SAR]]+TABL12[[#This Row],[خط (S/S  TOT) SAR2]]</f>
        <v>846</v>
      </c>
      <c r="L163" s="28">
        <v>286</v>
      </c>
      <c r="M163" s="29">
        <v>23.3</v>
      </c>
      <c r="N163" s="30">
        <v>6.9</v>
      </c>
      <c r="O163" s="10">
        <v>377</v>
      </c>
      <c r="P163" s="10">
        <f>TABL12[[#This Row],[خط (S/S  TOT) SAR2]]-TABL12[[#This Row],[(S/S TOT) AJD]]</f>
        <v>51</v>
      </c>
      <c r="Q163" s="10">
        <v>423</v>
      </c>
      <c r="R163" s="10">
        <f>TABL12[[#This Row],[خط (T/B  TOT) SAR]]-TABL12[[#This Row],[(T/B TOT) AJD]]</f>
        <v>-5</v>
      </c>
      <c r="S163" s="10">
        <f>TABL12[[#This Row],[الفرق بين بداية ونهاية خط  S/S]]+TABL12[[#This Row],[الفرق بين بداية ونهاية خط  T/B]]</f>
        <v>46</v>
      </c>
      <c r="T163" s="10">
        <f t="shared" si="8"/>
        <v>800</v>
      </c>
      <c r="U163" s="10">
        <v>545</v>
      </c>
      <c r="V163" s="10">
        <v>258</v>
      </c>
      <c r="W163" s="10">
        <f t="shared" si="9"/>
        <v>803</v>
      </c>
      <c r="X163" s="10">
        <f t="shared" si="10"/>
        <v>-3</v>
      </c>
      <c r="Y163" s="4">
        <v>91.92</v>
      </c>
      <c r="Z163" s="10">
        <v>0</v>
      </c>
      <c r="AA163" s="10">
        <f>TABL12[[#This Row],[(RESV. STORGE) AJD]]/10</f>
        <v>0</v>
      </c>
      <c r="AB163" s="3">
        <f t="shared" si="11"/>
        <v>0</v>
      </c>
      <c r="AC163" s="6">
        <v>0</v>
      </c>
      <c r="AD163" s="5">
        <f>TABL12[[#This Row],[( S/S+T/B) AJD]]-(TABL12[[#This Row],[(A/B + A/S) AJD]]+(TABL12[[#This Row],[(STORGE DIFF.) AJD]])+TABL12[[#This Row],[البخر  AJD]]/1000)</f>
        <v>-3</v>
      </c>
      <c r="AE163" s="6">
        <v>38</v>
      </c>
      <c r="AF163" s="33">
        <v>58.720999999999997</v>
      </c>
      <c r="AG163" s="6">
        <v>1439789</v>
      </c>
      <c r="AH163" s="6">
        <f>TABL12[[#This Row],[ (RESV. STORGE) BER]]/10</f>
        <v>143978.9</v>
      </c>
      <c r="AI163" s="6">
        <v>3208</v>
      </c>
      <c r="AJ163" s="6">
        <f>TABL12[[#This Row],[(A/B TOT) AJD]]-TABL12[[#This Row],[BER_ IN]]</f>
        <v>507</v>
      </c>
      <c r="AK163" s="6">
        <v>0</v>
      </c>
      <c r="AL163" s="33">
        <v>43.713000000000001</v>
      </c>
      <c r="AM163" s="6">
        <v>3495980</v>
      </c>
      <c r="AN163" s="6">
        <f>TABL12[[#This Row],[ (RESV. STORGE) SER]]/10</f>
        <v>349598</v>
      </c>
      <c r="AO163" s="6">
        <v>1855</v>
      </c>
      <c r="AP163" s="32">
        <f>TABL12[[#This Row],[(A/S TOT) AJD]]-TABL12[[#This Row],[SER_ IN]]</f>
        <v>258</v>
      </c>
    </row>
    <row r="164" spans="1:42" x14ac:dyDescent="0.25">
      <c r="A164" s="2">
        <v>45820</v>
      </c>
      <c r="B164" s="28">
        <v>34</v>
      </c>
      <c r="C164" s="28">
        <v>289</v>
      </c>
      <c r="D164" s="28">
        <v>34</v>
      </c>
      <c r="E164" s="28">
        <v>0</v>
      </c>
      <c r="F164" s="28">
        <v>91</v>
      </c>
      <c r="G164" s="28">
        <v>567</v>
      </c>
      <c r="H164" s="28">
        <v>1</v>
      </c>
      <c r="I164" s="28">
        <v>416</v>
      </c>
      <c r="J164" s="28">
        <v>420</v>
      </c>
      <c r="K164" s="28">
        <f>TABL12[[#This Row],[خط (T/B  TOT) SAR]]+TABL12[[#This Row],[خط (S/S  TOT) SAR2]]</f>
        <v>836</v>
      </c>
      <c r="L164" s="28">
        <v>269</v>
      </c>
      <c r="M164" s="29">
        <v>22.1</v>
      </c>
      <c r="N164" s="30">
        <v>7</v>
      </c>
      <c r="O164" s="10">
        <v>373</v>
      </c>
      <c r="P164" s="10">
        <f>TABL12[[#This Row],[خط (S/S  TOT) SAR2]]-TABL12[[#This Row],[(S/S TOT) AJD]]</f>
        <v>47</v>
      </c>
      <c r="Q164" s="10">
        <v>419</v>
      </c>
      <c r="R164" s="10">
        <f>TABL12[[#This Row],[خط (T/B  TOT) SAR]]-TABL12[[#This Row],[(T/B TOT) AJD]]</f>
        <v>-3</v>
      </c>
      <c r="S164" s="10">
        <f>TABL12[[#This Row],[الفرق بين بداية ونهاية خط  S/S]]+TABL12[[#This Row],[الفرق بين بداية ونهاية خط  T/B]]</f>
        <v>44</v>
      </c>
      <c r="T164" s="10">
        <f t="shared" si="8"/>
        <v>792</v>
      </c>
      <c r="U164" s="10">
        <v>541</v>
      </c>
      <c r="V164" s="10">
        <v>248</v>
      </c>
      <c r="W164" s="10">
        <f t="shared" si="9"/>
        <v>789</v>
      </c>
      <c r="X164" s="10">
        <f t="shared" si="10"/>
        <v>3</v>
      </c>
      <c r="Y164" s="4">
        <v>91.92</v>
      </c>
      <c r="Z164" s="10">
        <v>0</v>
      </c>
      <c r="AA164" s="10">
        <f>TABL12[[#This Row],[(RESV. STORGE) AJD]]/10</f>
        <v>0</v>
      </c>
      <c r="AB164" s="3">
        <f t="shared" si="11"/>
        <v>0</v>
      </c>
      <c r="AC164" s="6">
        <v>0</v>
      </c>
      <c r="AD164" s="5">
        <f>TABL12[[#This Row],[( S/S+T/B) AJD]]-(TABL12[[#This Row],[(A/B + A/S) AJD]]+(TABL12[[#This Row],[(STORGE DIFF.) AJD]])+TABL12[[#This Row],[البخر  AJD]]/1000)</f>
        <v>3</v>
      </c>
      <c r="AE164" s="6">
        <v>45</v>
      </c>
      <c r="AF164" s="33">
        <v>58.753</v>
      </c>
      <c r="AG164" s="6">
        <v>1460843</v>
      </c>
      <c r="AH164" s="6">
        <f>TABL12[[#This Row],[ (RESV. STORGE) BER]]/10</f>
        <v>146084.29999999999</v>
      </c>
      <c r="AI164" s="6">
        <v>3030</v>
      </c>
      <c r="AJ164" s="6">
        <f>TABL12[[#This Row],[(A/B TOT) AJD]]-TABL12[[#This Row],[BER_ IN]]</f>
        <v>496</v>
      </c>
      <c r="AK164" s="6">
        <v>0</v>
      </c>
      <c r="AL164" s="33">
        <v>43.699800000000003</v>
      </c>
      <c r="AM164" s="6">
        <v>3488473</v>
      </c>
      <c r="AN164" s="6">
        <f>TABL12[[#This Row],[ (RESV. STORGE) SER]]/10</f>
        <v>348847.3</v>
      </c>
      <c r="AO164" s="6">
        <v>1620</v>
      </c>
      <c r="AP164" s="32">
        <f>TABL12[[#This Row],[(A/S TOT) AJD]]-TABL12[[#This Row],[SER_ IN]]</f>
        <v>248</v>
      </c>
    </row>
    <row r="165" spans="1:42" x14ac:dyDescent="0.25">
      <c r="A165" s="2">
        <v>45821</v>
      </c>
      <c r="B165" s="28">
        <v>34</v>
      </c>
      <c r="C165" s="28">
        <v>287</v>
      </c>
      <c r="D165" s="28">
        <v>34</v>
      </c>
      <c r="E165" s="28">
        <v>0</v>
      </c>
      <c r="F165" s="28">
        <v>91</v>
      </c>
      <c r="G165" s="28">
        <v>564</v>
      </c>
      <c r="H165" s="28">
        <v>1</v>
      </c>
      <c r="I165" s="28">
        <v>415</v>
      </c>
      <c r="J165" s="28">
        <v>419</v>
      </c>
      <c r="K165" s="28">
        <f>TABL12[[#This Row],[خط (T/B  TOT) SAR]]+TABL12[[#This Row],[خط (S/S  TOT) SAR2]]</f>
        <v>834</v>
      </c>
      <c r="L165" s="28">
        <v>270</v>
      </c>
      <c r="M165" s="29">
        <v>22.1</v>
      </c>
      <c r="N165" s="30">
        <v>7.1</v>
      </c>
      <c r="O165" s="10">
        <v>371</v>
      </c>
      <c r="P165" s="10">
        <f>TABL12[[#This Row],[خط (S/S  TOT) SAR2]]-TABL12[[#This Row],[(S/S TOT) AJD]]</f>
        <v>48</v>
      </c>
      <c r="Q165" s="10">
        <v>415</v>
      </c>
      <c r="R165" s="10">
        <f>TABL12[[#This Row],[خط (T/B  TOT) SAR]]-TABL12[[#This Row],[(T/B TOT) AJD]]</f>
        <v>0</v>
      </c>
      <c r="S165" s="10">
        <f>TABL12[[#This Row],[الفرق بين بداية ونهاية خط  S/S]]+TABL12[[#This Row],[الفرق بين بداية ونهاية خط  T/B]]</f>
        <v>48</v>
      </c>
      <c r="T165" s="10">
        <f t="shared" si="8"/>
        <v>786</v>
      </c>
      <c r="U165" s="10">
        <v>536</v>
      </c>
      <c r="V165" s="10">
        <v>251</v>
      </c>
      <c r="W165" s="10">
        <f t="shared" si="9"/>
        <v>787</v>
      </c>
      <c r="X165" s="10">
        <f t="shared" si="10"/>
        <v>-1</v>
      </c>
      <c r="Y165" s="4">
        <v>91.92</v>
      </c>
      <c r="Z165" s="11"/>
      <c r="AA165" s="11">
        <f>TABL12[[#This Row],[(RESV. STORGE) AJD]]/10</f>
        <v>0</v>
      </c>
      <c r="AB165" s="3">
        <f t="shared" si="11"/>
        <v>0</v>
      </c>
      <c r="AC165" s="6">
        <v>0</v>
      </c>
      <c r="AD165" s="5">
        <f>TABL12[[#This Row],[( S/S+T/B) AJD]]-(TABL12[[#This Row],[(A/B + A/S) AJD]]+(TABL12[[#This Row],[(STORGE DIFF.) AJD]])+TABL12[[#This Row],[البخر  AJD]]/1000)</f>
        <v>-1</v>
      </c>
      <c r="AE165" s="6">
        <v>45</v>
      </c>
      <c r="AF165" s="33">
        <v>58.759</v>
      </c>
      <c r="AG165" s="6">
        <v>1464791</v>
      </c>
      <c r="AH165" s="6">
        <f>TABL12[[#This Row],[ (RESV. STORGE) BER]]/10</f>
        <v>146479.1</v>
      </c>
      <c r="AI165" s="6">
        <v>2705</v>
      </c>
      <c r="AJ165" s="6">
        <f>TABL12[[#This Row],[(A/B TOT) AJD]]-TABL12[[#This Row],[BER_ IN]]</f>
        <v>491</v>
      </c>
      <c r="AK165" s="6">
        <v>0</v>
      </c>
      <c r="AL165" s="33">
        <v>43.677</v>
      </c>
      <c r="AM165" s="6">
        <v>3486871</v>
      </c>
      <c r="AN165" s="6">
        <f>TABL12[[#This Row],[ (RESV. STORGE) SER]]/10</f>
        <v>348687.1</v>
      </c>
      <c r="AO165" s="6">
        <v>1780</v>
      </c>
      <c r="AP165" s="32">
        <f>TABL12[[#This Row],[(A/S TOT) AJD]]-TABL12[[#This Row],[SER_ IN]]</f>
        <v>251</v>
      </c>
    </row>
    <row r="166" spans="1:42" x14ac:dyDescent="0.25">
      <c r="A166" s="2">
        <v>45822</v>
      </c>
      <c r="B166" s="28">
        <v>34</v>
      </c>
      <c r="C166" s="28">
        <v>274</v>
      </c>
      <c r="D166" s="28">
        <v>34</v>
      </c>
      <c r="E166" s="28">
        <v>0</v>
      </c>
      <c r="F166" s="28">
        <v>91</v>
      </c>
      <c r="G166" s="28">
        <v>565</v>
      </c>
      <c r="H166" s="28">
        <v>1</v>
      </c>
      <c r="I166" s="28">
        <v>416</v>
      </c>
      <c r="J166" s="28">
        <v>421</v>
      </c>
      <c r="K166" s="28">
        <f>TABL12[[#This Row],[خط (T/B  TOT) SAR]]+TABL12[[#This Row],[خط (S/S  TOT) SAR2]]</f>
        <v>837</v>
      </c>
      <c r="L166" s="28">
        <v>272</v>
      </c>
      <c r="M166" s="29">
        <v>22.1</v>
      </c>
      <c r="N166" s="30">
        <v>7.11</v>
      </c>
      <c r="O166" s="10">
        <v>370</v>
      </c>
      <c r="P166" s="10">
        <f>TABL12[[#This Row],[خط (S/S  TOT) SAR2]]-TABL12[[#This Row],[(S/S TOT) AJD]]</f>
        <v>51</v>
      </c>
      <c r="Q166" s="10">
        <v>414</v>
      </c>
      <c r="R166" s="10">
        <f>TABL12[[#This Row],[خط (T/B  TOT) SAR]]-TABL12[[#This Row],[(T/B TOT) AJD]]</f>
        <v>2</v>
      </c>
      <c r="S166" s="10">
        <f>TABL12[[#This Row],[الفرق بين بداية ونهاية خط  S/S]]+TABL12[[#This Row],[الفرق بين بداية ونهاية خط  T/B]]</f>
        <v>53</v>
      </c>
      <c r="T166" s="10">
        <f t="shared" si="8"/>
        <v>784</v>
      </c>
      <c r="U166" s="10">
        <v>540</v>
      </c>
      <c r="V166" s="10">
        <v>248</v>
      </c>
      <c r="W166" s="10">
        <f t="shared" si="9"/>
        <v>788</v>
      </c>
      <c r="X166" s="10">
        <f t="shared" si="10"/>
        <v>-4</v>
      </c>
      <c r="Y166" s="4">
        <v>91.92</v>
      </c>
      <c r="Z166" s="10">
        <v>0</v>
      </c>
      <c r="AA166" s="10">
        <f>TABL12[[#This Row],[(RESV. STORGE) AJD]]/10</f>
        <v>0</v>
      </c>
      <c r="AB166" s="3">
        <f t="shared" si="11"/>
        <v>0</v>
      </c>
      <c r="AC166" s="6">
        <v>0</v>
      </c>
      <c r="AD166" s="5">
        <f>TABL12[[#This Row],[( S/S+T/B) AJD]]-(TABL12[[#This Row],[(A/B + A/S) AJD]]+(TABL12[[#This Row],[(STORGE DIFF.) AJD]])+TABL12[[#This Row],[البخر  AJD]]/1000)</f>
        <v>-4</v>
      </c>
      <c r="AE166" s="6">
        <v>45</v>
      </c>
      <c r="AF166" s="33">
        <v>58.762</v>
      </c>
      <c r="AG166" s="6">
        <v>1466766</v>
      </c>
      <c r="AH166" s="6">
        <f>TABL12[[#This Row],[ (RESV. STORGE) BER]]/10</f>
        <v>146676.6</v>
      </c>
      <c r="AI166" s="6">
        <v>3185</v>
      </c>
      <c r="AJ166" s="6">
        <f>TABL12[[#This Row],[(A/B TOT) AJD]]-TABL12[[#This Row],[BER_ IN]]</f>
        <v>495</v>
      </c>
      <c r="AK166" s="6">
        <v>0</v>
      </c>
      <c r="AL166" s="33">
        <v>43.675199999999997</v>
      </c>
      <c r="AM166" s="6">
        <v>3474783</v>
      </c>
      <c r="AN166" s="6">
        <f>TABL12[[#This Row],[ (RESV. STORGE) SER]]/10</f>
        <v>347478.3</v>
      </c>
      <c r="AO166" s="6">
        <v>2088</v>
      </c>
      <c r="AP166" s="32">
        <f>TABL12[[#This Row],[(A/S TOT) AJD]]-TABL12[[#This Row],[SER_ IN]]</f>
        <v>248</v>
      </c>
    </row>
    <row r="167" spans="1:42" x14ac:dyDescent="0.25">
      <c r="A167" s="2">
        <v>45823</v>
      </c>
      <c r="B167" s="28">
        <v>32</v>
      </c>
      <c r="C167" s="28">
        <v>275</v>
      </c>
      <c r="D167" s="28">
        <v>34</v>
      </c>
      <c r="E167" s="28">
        <v>0</v>
      </c>
      <c r="F167" s="28">
        <v>91</v>
      </c>
      <c r="G167" s="28">
        <v>563</v>
      </c>
      <c r="H167" s="28">
        <v>1</v>
      </c>
      <c r="I167" s="28">
        <v>419</v>
      </c>
      <c r="J167" s="28">
        <v>415</v>
      </c>
      <c r="K167" s="28">
        <f>TABL12[[#This Row],[خط (T/B  TOT) SAR]]+TABL12[[#This Row],[خط (S/S  TOT) SAR2]]</f>
        <v>834</v>
      </c>
      <c r="L167" s="28">
        <v>271</v>
      </c>
      <c r="M167" s="29">
        <v>22.1</v>
      </c>
      <c r="N167" s="30">
        <v>7.13</v>
      </c>
      <c r="O167" s="10">
        <v>370</v>
      </c>
      <c r="P167" s="10">
        <f>TABL12[[#This Row],[خط (S/S  TOT) SAR2]]-TABL12[[#This Row],[(S/S TOT) AJD]]</f>
        <v>45</v>
      </c>
      <c r="Q167" s="10">
        <v>415</v>
      </c>
      <c r="R167" s="10">
        <f>TABL12[[#This Row],[خط (T/B  TOT) SAR]]-TABL12[[#This Row],[(T/B TOT) AJD]]</f>
        <v>4</v>
      </c>
      <c r="S167" s="10">
        <f>TABL12[[#This Row],[الفرق بين بداية ونهاية خط  S/S]]+TABL12[[#This Row],[الفرق بين بداية ونهاية خط  T/B]]</f>
        <v>49</v>
      </c>
      <c r="T167" s="10">
        <f t="shared" si="8"/>
        <v>785</v>
      </c>
      <c r="U167" s="10">
        <v>493</v>
      </c>
      <c r="V167" s="10">
        <v>293</v>
      </c>
      <c r="W167" s="10">
        <f t="shared" si="9"/>
        <v>786</v>
      </c>
      <c r="X167" s="10">
        <f t="shared" si="10"/>
        <v>-1</v>
      </c>
      <c r="Y167" s="4">
        <v>91.92</v>
      </c>
      <c r="Z167" s="10">
        <v>0</v>
      </c>
      <c r="AA167" s="10">
        <f>TABL12[[#This Row],[(RESV. STORGE) AJD]]/10</f>
        <v>0</v>
      </c>
      <c r="AB167" s="3">
        <f t="shared" si="11"/>
        <v>0</v>
      </c>
      <c r="AC167" s="6">
        <v>0</v>
      </c>
      <c r="AD167" s="5">
        <f>TABL12[[#This Row],[( S/S+T/B) AJD]]-(TABL12[[#This Row],[(A/B + A/S) AJD]]+(TABL12[[#This Row],[(STORGE DIFF.) AJD]])+TABL12[[#This Row],[البخر  AJD]]/1000)</f>
        <v>-1</v>
      </c>
      <c r="AE167" s="6">
        <v>28</v>
      </c>
      <c r="AF167" s="33">
        <v>58.738999999999997</v>
      </c>
      <c r="AG167" s="6">
        <v>1451631</v>
      </c>
      <c r="AH167" s="6">
        <f>TABL12[[#This Row],[ (RESV. STORGE) BER]]/10</f>
        <v>145163.1</v>
      </c>
      <c r="AI167" s="6">
        <v>3295</v>
      </c>
      <c r="AJ167" s="6">
        <f>TABL12[[#This Row],[(A/B TOT) AJD]]-TABL12[[#This Row],[BER_ IN]]</f>
        <v>465</v>
      </c>
      <c r="AK167" s="6">
        <v>0</v>
      </c>
      <c r="AL167" s="33">
        <v>43.654600000000002</v>
      </c>
      <c r="AM167" s="6">
        <v>3463822</v>
      </c>
      <c r="AN167" s="6">
        <f>TABL12[[#This Row],[ (RESV. STORGE) SER]]/10</f>
        <v>346382.2</v>
      </c>
      <c r="AO167" s="6">
        <v>1570</v>
      </c>
      <c r="AP167" s="32">
        <f>TABL12[[#This Row],[(A/S TOT) AJD]]-TABL12[[#This Row],[SER_ IN]]</f>
        <v>293</v>
      </c>
    </row>
    <row r="168" spans="1:42" x14ac:dyDescent="0.25">
      <c r="A168" s="2">
        <v>45824</v>
      </c>
      <c r="B168" s="28">
        <v>32</v>
      </c>
      <c r="C168" s="28">
        <v>257</v>
      </c>
      <c r="D168" s="28">
        <v>32</v>
      </c>
      <c r="E168" s="28">
        <v>0</v>
      </c>
      <c r="F168" s="28">
        <v>91</v>
      </c>
      <c r="G168" s="28">
        <v>573</v>
      </c>
      <c r="H168" s="28">
        <v>1</v>
      </c>
      <c r="I168" s="28">
        <v>420</v>
      </c>
      <c r="J168" s="28">
        <v>428</v>
      </c>
      <c r="K168" s="28">
        <f>TABL12[[#This Row],[خط (T/B  TOT) SAR]]+TABL12[[#This Row],[خط (S/S  TOT) SAR2]]</f>
        <v>848</v>
      </c>
      <c r="L168" s="28">
        <v>275</v>
      </c>
      <c r="M168" s="29">
        <v>22.1</v>
      </c>
      <c r="N168" s="30">
        <v>7.1</v>
      </c>
      <c r="O168" s="10">
        <v>370</v>
      </c>
      <c r="P168" s="10">
        <f>TABL12[[#This Row],[خط (S/S  TOT) SAR2]]-TABL12[[#This Row],[(S/S TOT) AJD]]</f>
        <v>58</v>
      </c>
      <c r="Q168" s="10">
        <v>415</v>
      </c>
      <c r="R168" s="10">
        <f>TABL12[[#This Row],[خط (T/B  TOT) SAR]]-TABL12[[#This Row],[(T/B TOT) AJD]]</f>
        <v>5</v>
      </c>
      <c r="S168" s="10">
        <f>TABL12[[#This Row],[الفرق بين بداية ونهاية خط  S/S]]+TABL12[[#This Row],[الفرق بين بداية ونهاية خط  T/B]]</f>
        <v>63</v>
      </c>
      <c r="T168" s="10">
        <f t="shared" si="8"/>
        <v>785</v>
      </c>
      <c r="U168" s="10">
        <v>512</v>
      </c>
      <c r="V168" s="10">
        <v>276</v>
      </c>
      <c r="W168" s="10">
        <f t="shared" si="9"/>
        <v>788</v>
      </c>
      <c r="X168" s="10">
        <f t="shared" si="10"/>
        <v>-3</v>
      </c>
      <c r="Y168" s="4">
        <v>91.92</v>
      </c>
      <c r="Z168" s="10">
        <v>0</v>
      </c>
      <c r="AA168" s="10">
        <f>TABL12[[#This Row],[(RESV. STORGE) AJD]]/10</f>
        <v>0</v>
      </c>
      <c r="AB168" s="3">
        <f t="shared" si="11"/>
        <v>0</v>
      </c>
      <c r="AC168" s="6">
        <v>0</v>
      </c>
      <c r="AD168" s="5">
        <f>TABL12[[#This Row],[( S/S+T/B) AJD]]-(TABL12[[#This Row],[(A/B + A/S) AJD]]+(TABL12[[#This Row],[(STORGE DIFF.) AJD]])+TABL12[[#This Row],[البخر  AJD]]/1000)</f>
        <v>-3</v>
      </c>
      <c r="AE168" s="6">
        <v>25</v>
      </c>
      <c r="AF168" s="33">
        <v>58.710999999999999</v>
      </c>
      <c r="AG168" s="6">
        <v>1433211</v>
      </c>
      <c r="AH168" s="6">
        <f>TABL12[[#This Row],[ (RESV. STORGE) BER]]/10</f>
        <v>143321.1</v>
      </c>
      <c r="AI168" s="6">
        <v>3579</v>
      </c>
      <c r="AJ168" s="6">
        <f>TABL12[[#This Row],[(A/B TOT) AJD]]-TABL12[[#This Row],[BER_ IN]]</f>
        <v>487</v>
      </c>
      <c r="AK168" s="6">
        <v>0</v>
      </c>
      <c r="AL168" s="33">
        <v>43.630899999999997</v>
      </c>
      <c r="AM168" s="6">
        <v>3451550</v>
      </c>
      <c r="AN168" s="6">
        <f>TABL12[[#This Row],[ (RESV. STORGE) SER]]/10</f>
        <v>345155</v>
      </c>
      <c r="AO168" s="6">
        <v>1750</v>
      </c>
      <c r="AP168" s="32">
        <f>TABL12[[#This Row],[(A/S TOT) AJD]]-TABL12[[#This Row],[SER_ IN]]</f>
        <v>276</v>
      </c>
    </row>
    <row r="169" spans="1:42" x14ac:dyDescent="0.25">
      <c r="A169" s="2">
        <v>45825</v>
      </c>
      <c r="B169" s="28">
        <v>32</v>
      </c>
      <c r="C169" s="28">
        <v>260</v>
      </c>
      <c r="D169" s="28">
        <v>31</v>
      </c>
      <c r="E169" s="28">
        <v>0</v>
      </c>
      <c r="F169" s="28">
        <v>91</v>
      </c>
      <c r="G169" s="28">
        <v>577</v>
      </c>
      <c r="H169" s="28">
        <v>1</v>
      </c>
      <c r="I169" s="28">
        <v>420</v>
      </c>
      <c r="J169" s="28">
        <v>428</v>
      </c>
      <c r="K169" s="28">
        <f>TABL12[[#This Row],[خط (T/B  TOT) SAR]]+TABL12[[#This Row],[خط (S/S  TOT) SAR2]]</f>
        <v>848</v>
      </c>
      <c r="L169" s="28">
        <v>271</v>
      </c>
      <c r="M169" s="29">
        <v>22.1</v>
      </c>
      <c r="N169" s="30">
        <v>7.07</v>
      </c>
      <c r="O169" s="10">
        <v>372</v>
      </c>
      <c r="P169" s="10">
        <f>TABL12[[#This Row],[خط (S/S  TOT) SAR2]]-TABL12[[#This Row],[(S/S TOT) AJD]]</f>
        <v>56</v>
      </c>
      <c r="Q169" s="10">
        <v>418</v>
      </c>
      <c r="R169" s="10">
        <f>TABL12[[#This Row],[خط (T/B  TOT) SAR]]-TABL12[[#This Row],[(T/B TOT) AJD]]</f>
        <v>2</v>
      </c>
      <c r="S169" s="10">
        <f>TABL12[[#This Row],[الفرق بين بداية ونهاية خط  S/S]]+TABL12[[#This Row],[الفرق بين بداية ونهاية خط  T/B]]</f>
        <v>58</v>
      </c>
      <c r="T169" s="10">
        <f t="shared" si="8"/>
        <v>790</v>
      </c>
      <c r="U169" s="10">
        <v>518</v>
      </c>
      <c r="V169" s="10">
        <v>273</v>
      </c>
      <c r="W169" s="10">
        <f t="shared" si="9"/>
        <v>791</v>
      </c>
      <c r="X169" s="10">
        <f t="shared" si="10"/>
        <v>-1</v>
      </c>
      <c r="Y169" s="4">
        <v>91.92</v>
      </c>
      <c r="Z169" s="10">
        <v>0</v>
      </c>
      <c r="AA169" s="10">
        <f>TABL12[[#This Row],[(RESV. STORGE) AJD]]/10</f>
        <v>0</v>
      </c>
      <c r="AB169" s="3">
        <f t="shared" si="11"/>
        <v>0</v>
      </c>
      <c r="AC169" s="6">
        <v>0</v>
      </c>
      <c r="AD169" s="5">
        <f>TABL12[[#This Row],[( S/S+T/B) AJD]]-(TABL12[[#This Row],[(A/B + A/S) AJD]]+(TABL12[[#This Row],[(STORGE DIFF.) AJD]])+TABL12[[#This Row],[البخر  AJD]]/1000)</f>
        <v>-1</v>
      </c>
      <c r="AE169" s="6">
        <v>35</v>
      </c>
      <c r="AF169" s="33">
        <v>58.698</v>
      </c>
      <c r="AG169" s="6">
        <v>1424662</v>
      </c>
      <c r="AH169" s="6">
        <f>TABL12[[#This Row],[ (RESV. STORGE) BER]]/10</f>
        <v>142466.20000000001</v>
      </c>
      <c r="AI169" s="6">
        <v>3709</v>
      </c>
      <c r="AJ169" s="6">
        <f>TABL12[[#This Row],[(A/B TOT) AJD]]-TABL12[[#This Row],[BER_ IN]]</f>
        <v>483</v>
      </c>
      <c r="AK169" s="6">
        <v>0</v>
      </c>
      <c r="AL169" s="33">
        <v>43.607900000000001</v>
      </c>
      <c r="AM169" s="6">
        <v>3438680</v>
      </c>
      <c r="AN169" s="6">
        <f>TABL12[[#This Row],[ (RESV. STORGE) SER]]/10</f>
        <v>343868</v>
      </c>
      <c r="AO169" s="6">
        <v>1870</v>
      </c>
      <c r="AP169" s="32">
        <f>TABL12[[#This Row],[(A/S TOT) AJD]]-TABL12[[#This Row],[SER_ IN]]</f>
        <v>273</v>
      </c>
    </row>
    <row r="170" spans="1:42" x14ac:dyDescent="0.25">
      <c r="A170" s="2">
        <v>45826</v>
      </c>
      <c r="B170" s="28">
        <v>32</v>
      </c>
      <c r="C170" s="28">
        <v>262</v>
      </c>
      <c r="D170" s="28">
        <v>34</v>
      </c>
      <c r="E170" s="28">
        <v>0</v>
      </c>
      <c r="F170" s="28">
        <v>91</v>
      </c>
      <c r="G170" s="28">
        <v>606</v>
      </c>
      <c r="H170" s="28">
        <v>1</v>
      </c>
      <c r="I170" s="28">
        <v>437</v>
      </c>
      <c r="J170" s="28">
        <v>439</v>
      </c>
      <c r="K170" s="28">
        <f>TABL12[[#This Row],[خط (T/B  TOT) SAR]]+TABL12[[#This Row],[خط (S/S  TOT) SAR2]]</f>
        <v>876</v>
      </c>
      <c r="L170" s="28">
        <v>270</v>
      </c>
      <c r="M170" s="29">
        <v>22.1</v>
      </c>
      <c r="N170" s="30">
        <v>6.95</v>
      </c>
      <c r="O170" s="3">
        <v>376</v>
      </c>
      <c r="P170" s="3">
        <f>TABL12[[#This Row],[خط (S/S  TOT) SAR2]]-TABL12[[#This Row],[(S/S TOT) AJD]]</f>
        <v>63</v>
      </c>
      <c r="Q170" s="3">
        <v>423</v>
      </c>
      <c r="R170" s="3">
        <f>TABL12[[#This Row],[خط (T/B  TOT) SAR]]-TABL12[[#This Row],[(T/B TOT) AJD]]</f>
        <v>14</v>
      </c>
      <c r="S170" s="3">
        <f>TABL12[[#This Row],[الفرق بين بداية ونهاية خط  S/S]]+TABL12[[#This Row],[الفرق بين بداية ونهاية خط  T/B]]</f>
        <v>77</v>
      </c>
      <c r="T170" s="3">
        <f t="shared" si="8"/>
        <v>799</v>
      </c>
      <c r="U170" s="3">
        <v>531</v>
      </c>
      <c r="V170" s="3">
        <v>265</v>
      </c>
      <c r="W170" s="3">
        <f t="shared" si="9"/>
        <v>796</v>
      </c>
      <c r="X170" s="3">
        <f t="shared" si="10"/>
        <v>3</v>
      </c>
      <c r="Y170" s="4">
        <v>91.92</v>
      </c>
      <c r="Z170" s="3">
        <v>0</v>
      </c>
      <c r="AA170" s="3">
        <f>TABL12[[#This Row],[(RESV. STORGE) AJD]]/10</f>
        <v>0</v>
      </c>
      <c r="AB170" s="3">
        <f t="shared" si="11"/>
        <v>0</v>
      </c>
      <c r="AC170" s="6">
        <v>0</v>
      </c>
      <c r="AD170" s="5">
        <f>TABL12[[#This Row],[( S/S+T/B) AJD]]-(TABL12[[#This Row],[(A/B + A/S) AJD]]+(TABL12[[#This Row],[(STORGE DIFF.) AJD]])+TABL12[[#This Row],[البخر  AJD]]/1000)</f>
        <v>3</v>
      </c>
      <c r="AE170" s="6">
        <v>40</v>
      </c>
      <c r="AF170" s="33">
        <v>58.692999999999998</v>
      </c>
      <c r="AG170" s="6">
        <v>1421374</v>
      </c>
      <c r="AH170" s="6">
        <f>TABL12[[#This Row],[ (RESV. STORGE) BER]]/10</f>
        <v>142137.4</v>
      </c>
      <c r="AI170" s="6">
        <v>3447</v>
      </c>
      <c r="AJ170" s="6">
        <f>TABL12[[#This Row],[(A/B TOT) AJD]]-TABL12[[#This Row],[BER_ IN]]</f>
        <v>491</v>
      </c>
      <c r="AK170" s="6">
        <v>5</v>
      </c>
      <c r="AL170" s="33">
        <v>43.607799999999997</v>
      </c>
      <c r="AM170" s="6">
        <v>3438660</v>
      </c>
      <c r="AN170" s="6">
        <f>TABL12[[#This Row],[ (RESV. STORGE) SER]]/10</f>
        <v>343866</v>
      </c>
      <c r="AO170" s="6">
        <v>1720</v>
      </c>
      <c r="AP170" s="32">
        <f>TABL12[[#This Row],[(A/S TOT) AJD]]-TABL12[[#This Row],[SER_ IN]]</f>
        <v>260</v>
      </c>
    </row>
    <row r="171" spans="1:42" x14ac:dyDescent="0.25">
      <c r="A171" s="2">
        <v>45827</v>
      </c>
      <c r="B171" s="28">
        <v>34</v>
      </c>
      <c r="C171" s="28">
        <v>280</v>
      </c>
      <c r="D171" s="28">
        <v>34</v>
      </c>
      <c r="E171" s="28">
        <v>0</v>
      </c>
      <c r="F171" s="28">
        <v>91</v>
      </c>
      <c r="G171" s="28">
        <v>596</v>
      </c>
      <c r="H171" s="28">
        <v>1</v>
      </c>
      <c r="I171" s="28">
        <v>440</v>
      </c>
      <c r="J171" s="28">
        <v>427</v>
      </c>
      <c r="K171" s="28">
        <f>TABL12[[#This Row],[خط (T/B  TOT) SAR]]+TABL12[[#This Row],[خط (S/S  TOT) SAR2]]</f>
        <v>867</v>
      </c>
      <c r="L171" s="28">
        <v>271</v>
      </c>
      <c r="M171" s="29">
        <v>22.1</v>
      </c>
      <c r="N171" s="30">
        <v>7.03</v>
      </c>
      <c r="O171" s="3">
        <v>372</v>
      </c>
      <c r="P171" s="3">
        <f>TABL12[[#This Row],[خط (S/S  TOT) SAR2]]-TABL12[[#This Row],[(S/S TOT) AJD]]</f>
        <v>55</v>
      </c>
      <c r="Q171" s="3">
        <v>418</v>
      </c>
      <c r="R171" s="3">
        <f>TABL12[[#This Row],[خط (T/B  TOT) SAR]]-TABL12[[#This Row],[(T/B TOT) AJD]]</f>
        <v>22</v>
      </c>
      <c r="S171" s="3">
        <f>TABL12[[#This Row],[الفرق بين بداية ونهاية خط  S/S]]+TABL12[[#This Row],[الفرق بين بداية ونهاية خط  T/B]]</f>
        <v>77</v>
      </c>
      <c r="T171" s="3">
        <f t="shared" si="8"/>
        <v>790</v>
      </c>
      <c r="U171" s="3">
        <v>516</v>
      </c>
      <c r="V171" s="3">
        <v>268</v>
      </c>
      <c r="W171" s="3">
        <f t="shared" si="9"/>
        <v>784</v>
      </c>
      <c r="X171" s="3">
        <f t="shared" si="10"/>
        <v>6</v>
      </c>
      <c r="Y171" s="4">
        <v>91.92</v>
      </c>
      <c r="Z171" s="3">
        <v>0</v>
      </c>
      <c r="AA171" s="3">
        <f>TABL12[[#This Row],[(RESV. STORGE) AJD]]/10</f>
        <v>0</v>
      </c>
      <c r="AB171" s="3">
        <f t="shared" si="11"/>
        <v>0</v>
      </c>
      <c r="AC171" s="6">
        <v>0</v>
      </c>
      <c r="AD171" s="5">
        <f>TABL12[[#This Row],[( S/S+T/B) AJD]]-(TABL12[[#This Row],[(A/B + A/S) AJD]]+(TABL12[[#This Row],[(STORGE DIFF.) AJD]])+TABL12[[#This Row],[البخر  AJD]]/1000)</f>
        <v>6</v>
      </c>
      <c r="AE171" s="6">
        <v>40</v>
      </c>
      <c r="AF171" s="33">
        <v>58.692999999999998</v>
      </c>
      <c r="AG171" s="6">
        <v>1421374</v>
      </c>
      <c r="AH171" s="6">
        <f>TABL12[[#This Row],[ (RESV. STORGE) BER]]/10</f>
        <v>142137.4</v>
      </c>
      <c r="AI171" s="6">
        <v>3480</v>
      </c>
      <c r="AJ171" s="6">
        <f>TABL12[[#This Row],[(A/B TOT) AJD]]-TABL12[[#This Row],[BER_ IN]]</f>
        <v>476</v>
      </c>
      <c r="AK171" s="6">
        <v>20</v>
      </c>
      <c r="AL171" s="33">
        <v>43.607900000000001</v>
      </c>
      <c r="AM171" s="6">
        <v>3438680</v>
      </c>
      <c r="AN171" s="6">
        <f>TABL12[[#This Row],[ (RESV. STORGE) SER]]/10</f>
        <v>343868</v>
      </c>
      <c r="AO171" s="6">
        <v>1980</v>
      </c>
      <c r="AP171" s="32">
        <f>TABL12[[#This Row],[(A/S TOT) AJD]]-TABL12[[#This Row],[SER_ IN]]</f>
        <v>248</v>
      </c>
    </row>
    <row r="172" spans="1:42" x14ac:dyDescent="0.25">
      <c r="A172" s="2">
        <v>45828</v>
      </c>
      <c r="B172" s="28">
        <v>35</v>
      </c>
      <c r="C172" s="28">
        <v>292</v>
      </c>
      <c r="D172" s="28">
        <v>35</v>
      </c>
      <c r="E172" s="28">
        <v>0</v>
      </c>
      <c r="F172" s="28">
        <v>92</v>
      </c>
      <c r="G172" s="28">
        <v>603</v>
      </c>
      <c r="H172" s="28">
        <v>0</v>
      </c>
      <c r="I172" s="28">
        <v>444</v>
      </c>
      <c r="J172" s="28">
        <v>431</v>
      </c>
      <c r="K172" s="28">
        <f>TABL12[[#This Row],[خط (T/B  TOT) SAR]]+TABL12[[#This Row],[خط (S/S  TOT) SAR2]]</f>
        <v>875</v>
      </c>
      <c r="L172" s="28">
        <v>272</v>
      </c>
      <c r="M172" s="29">
        <v>22.1</v>
      </c>
      <c r="N172" s="30">
        <v>7.03</v>
      </c>
      <c r="O172" s="3">
        <v>374</v>
      </c>
      <c r="P172" s="3">
        <f>TABL12[[#This Row],[خط (S/S  TOT) SAR2]]-TABL12[[#This Row],[(S/S TOT) AJD]]</f>
        <v>57</v>
      </c>
      <c r="Q172" s="3">
        <v>420</v>
      </c>
      <c r="R172" s="3">
        <f>TABL12[[#This Row],[خط (T/B  TOT) SAR]]-TABL12[[#This Row],[(T/B TOT) AJD]]</f>
        <v>24</v>
      </c>
      <c r="S172" s="3">
        <f>TABL12[[#This Row],[الفرق بين بداية ونهاية خط  S/S]]+TABL12[[#This Row],[الفرق بين بداية ونهاية خط  T/B]]</f>
        <v>81</v>
      </c>
      <c r="T172" s="3">
        <f t="shared" si="8"/>
        <v>794</v>
      </c>
      <c r="U172" s="3">
        <v>526</v>
      </c>
      <c r="V172" s="3">
        <v>269</v>
      </c>
      <c r="W172" s="3">
        <f t="shared" si="9"/>
        <v>795</v>
      </c>
      <c r="X172" s="3">
        <f t="shared" si="10"/>
        <v>-1</v>
      </c>
      <c r="Y172" s="4">
        <v>91.92</v>
      </c>
      <c r="Z172" s="3">
        <v>0</v>
      </c>
      <c r="AA172" s="3">
        <f>TABL12[[#This Row],[(RESV. STORGE) AJD]]/10</f>
        <v>0</v>
      </c>
      <c r="AB172" s="3">
        <f t="shared" si="11"/>
        <v>0</v>
      </c>
      <c r="AC172" s="6">
        <v>0</v>
      </c>
      <c r="AD172" s="5">
        <f>TABL12[[#This Row],[( S/S+T/B) AJD]]-(TABL12[[#This Row],[(A/B + A/S) AJD]]+(TABL12[[#This Row],[(STORGE DIFF.) AJD]])+TABL12[[#This Row],[البخر  AJD]]/1000)</f>
        <v>-1</v>
      </c>
      <c r="AE172" s="6">
        <v>55</v>
      </c>
      <c r="AF172" s="33">
        <v>58.710999999999999</v>
      </c>
      <c r="AG172" s="6">
        <v>1433211</v>
      </c>
      <c r="AH172" s="6">
        <f>TABL12[[#This Row],[ (RESV. STORGE) BER]]/10</f>
        <v>143321.1</v>
      </c>
      <c r="AI172" s="6">
        <v>3322</v>
      </c>
      <c r="AJ172" s="6">
        <f>TABL12[[#This Row],[(A/B TOT) AJD]]-TABL12[[#This Row],[BER_ IN]]</f>
        <v>471</v>
      </c>
      <c r="AK172" s="6">
        <v>20</v>
      </c>
      <c r="AL172" s="33">
        <v>43.612900000000003</v>
      </c>
      <c r="AM172" s="6">
        <v>3441400</v>
      </c>
      <c r="AN172" s="6">
        <f>TABL12[[#This Row],[ (RESV. STORGE) SER]]/10</f>
        <v>344140</v>
      </c>
      <c r="AO172" s="6">
        <v>1780</v>
      </c>
      <c r="AP172" s="32">
        <f>TABL12[[#This Row],[(A/S TOT) AJD]]-TABL12[[#This Row],[SER_ IN]]</f>
        <v>249</v>
      </c>
    </row>
    <row r="173" spans="1:42" x14ac:dyDescent="0.25">
      <c r="A173" s="2">
        <v>45829</v>
      </c>
      <c r="B173" s="28">
        <v>34</v>
      </c>
      <c r="C173" s="28">
        <v>276</v>
      </c>
      <c r="D173" s="28">
        <v>36</v>
      </c>
      <c r="E173" s="28">
        <v>0</v>
      </c>
      <c r="F173" s="28">
        <v>92</v>
      </c>
      <c r="G173" s="28">
        <v>606</v>
      </c>
      <c r="H173" s="28">
        <v>0</v>
      </c>
      <c r="I173" s="28">
        <v>446</v>
      </c>
      <c r="J173" s="28">
        <v>431</v>
      </c>
      <c r="K173" s="28">
        <f>TABL12[[#This Row],[خط (T/B  TOT) SAR]]+TABL12[[#This Row],[خط (S/S  TOT) SAR2]]</f>
        <v>877</v>
      </c>
      <c r="L173" s="28">
        <v>271</v>
      </c>
      <c r="M173" s="29">
        <v>22.1</v>
      </c>
      <c r="N173" s="30">
        <v>7.02</v>
      </c>
      <c r="O173" s="3">
        <v>377</v>
      </c>
      <c r="P173" s="3">
        <f>TABL12[[#This Row],[خط (S/S  TOT) SAR2]]-TABL12[[#This Row],[(S/S TOT) AJD]]</f>
        <v>54</v>
      </c>
      <c r="Q173" s="3">
        <v>422</v>
      </c>
      <c r="R173" s="3">
        <f>TABL12[[#This Row],[خط (T/B  TOT) SAR]]-TABL12[[#This Row],[(T/B TOT) AJD]]</f>
        <v>24</v>
      </c>
      <c r="S173" s="3">
        <f>TABL12[[#This Row],[الفرق بين بداية ونهاية خط  S/S]]+TABL12[[#This Row],[الفرق بين بداية ونهاية خط  T/B]]</f>
        <v>78</v>
      </c>
      <c r="T173" s="3">
        <f t="shared" si="8"/>
        <v>799</v>
      </c>
      <c r="U173" s="3">
        <v>537</v>
      </c>
      <c r="V173" s="3">
        <v>265</v>
      </c>
      <c r="W173" s="3">
        <f t="shared" si="9"/>
        <v>802</v>
      </c>
      <c r="X173" s="3">
        <f t="shared" si="10"/>
        <v>-3</v>
      </c>
      <c r="Y173" s="4">
        <v>91.92</v>
      </c>
      <c r="Z173" s="3">
        <v>0</v>
      </c>
      <c r="AA173" s="3">
        <f>TABL12[[#This Row],[(RESV. STORGE) AJD]]/10</f>
        <v>0</v>
      </c>
      <c r="AB173" s="3">
        <f t="shared" si="11"/>
        <v>0</v>
      </c>
      <c r="AC173" s="6">
        <v>0</v>
      </c>
      <c r="AD173" s="5">
        <f>TABL12[[#This Row],[( S/S+T/B) AJD]]-(TABL12[[#This Row],[(A/B + A/S) AJD]]+(TABL12[[#This Row],[(STORGE DIFF.) AJD]])+TABL12[[#This Row],[البخر  AJD]]/1000)</f>
        <v>-3</v>
      </c>
      <c r="AE173" s="6">
        <v>60</v>
      </c>
      <c r="AF173" s="33">
        <v>58.735999999999997</v>
      </c>
      <c r="AG173" s="6">
        <v>1449657</v>
      </c>
      <c r="AH173" s="6">
        <f>TABL12[[#This Row],[ (RESV. STORGE) BER]]/10</f>
        <v>144965.70000000001</v>
      </c>
      <c r="AI173" s="6">
        <v>3714</v>
      </c>
      <c r="AJ173" s="6">
        <f>TABL12[[#This Row],[(A/B TOT) AJD]]-TABL12[[#This Row],[BER_ IN]]</f>
        <v>477</v>
      </c>
      <c r="AK173" s="6">
        <v>20</v>
      </c>
      <c r="AL173" s="33">
        <v>43.637700000000002</v>
      </c>
      <c r="AM173" s="6">
        <v>3454040</v>
      </c>
      <c r="AN173" s="6">
        <f>TABL12[[#This Row],[ (RESV. STORGE) SER]]/10</f>
        <v>345404</v>
      </c>
      <c r="AO173" s="6">
        <v>1860</v>
      </c>
      <c r="AP173" s="32">
        <f>TABL12[[#This Row],[(A/S TOT) AJD]]-TABL12[[#This Row],[SER_ IN]]</f>
        <v>245</v>
      </c>
    </row>
    <row r="174" spans="1:42" x14ac:dyDescent="0.25">
      <c r="A174" s="2">
        <v>45830</v>
      </c>
      <c r="B174" s="28">
        <v>37</v>
      </c>
      <c r="C174" s="28">
        <v>284</v>
      </c>
      <c r="D174" s="28">
        <v>37</v>
      </c>
      <c r="E174" s="28">
        <v>0</v>
      </c>
      <c r="F174" s="28">
        <v>93</v>
      </c>
      <c r="G174" s="28">
        <v>599</v>
      </c>
      <c r="H174" s="28">
        <v>0</v>
      </c>
      <c r="I174" s="28">
        <v>443</v>
      </c>
      <c r="J174" s="28">
        <v>431</v>
      </c>
      <c r="K174" s="28">
        <f>TABL12[[#This Row],[خط (T/B  TOT) SAR]]+TABL12[[#This Row],[خط (S/S  TOT) SAR2]]</f>
        <v>874</v>
      </c>
      <c r="L174" s="28">
        <v>275</v>
      </c>
      <c r="M174" s="29">
        <v>22.1</v>
      </c>
      <c r="N174" s="30">
        <v>7.2</v>
      </c>
      <c r="O174" s="3">
        <v>381</v>
      </c>
      <c r="P174" s="3">
        <f>TABL12[[#This Row],[خط (S/S  TOT) SAR2]]-TABL12[[#This Row],[(S/S TOT) AJD]]</f>
        <v>50</v>
      </c>
      <c r="Q174" s="3">
        <v>425</v>
      </c>
      <c r="R174" s="3">
        <f>TABL12[[#This Row],[خط (T/B  TOT) SAR]]-TABL12[[#This Row],[(T/B TOT) AJD]]</f>
        <v>18</v>
      </c>
      <c r="S174" s="3">
        <f>TABL12[[#This Row],[الفرق بين بداية ونهاية خط  S/S]]+TABL12[[#This Row],[الفرق بين بداية ونهاية خط  T/B]]</f>
        <v>68</v>
      </c>
      <c r="T174" s="3">
        <f t="shared" si="8"/>
        <v>806</v>
      </c>
      <c r="U174" s="3">
        <v>527</v>
      </c>
      <c r="V174" s="3">
        <v>287</v>
      </c>
      <c r="W174" s="3">
        <f t="shared" si="9"/>
        <v>814</v>
      </c>
      <c r="X174" s="3">
        <f t="shared" si="10"/>
        <v>-8</v>
      </c>
      <c r="Y174" s="4">
        <v>91.92</v>
      </c>
      <c r="Z174" s="3">
        <v>0</v>
      </c>
      <c r="AA174" s="3">
        <f>TABL12[[#This Row],[(RESV. STORGE) AJD]]/10</f>
        <v>0</v>
      </c>
      <c r="AB174" s="3">
        <f t="shared" si="11"/>
        <v>0</v>
      </c>
      <c r="AC174" s="6">
        <v>0</v>
      </c>
      <c r="AD174" s="5">
        <f>TABL12[[#This Row],[( S/S+T/B) AJD]]-(TABL12[[#This Row],[(A/B + A/S) AJD]]+(TABL12[[#This Row],[(STORGE DIFF.) AJD]])+TABL12[[#This Row],[البخر  AJD]]/1000)</f>
        <v>-8</v>
      </c>
      <c r="AE174" s="6">
        <v>60</v>
      </c>
      <c r="AF174" s="33">
        <v>58.805</v>
      </c>
      <c r="AG174" s="6">
        <v>1495074</v>
      </c>
      <c r="AH174" s="6">
        <f>TABL12[[#This Row],[ (RESV. STORGE) BER]]/10</f>
        <v>149507.4</v>
      </c>
      <c r="AI174" s="6">
        <v>3792</v>
      </c>
      <c r="AJ174" s="6">
        <f>TABL12[[#This Row],[(A/B TOT) AJD]]-TABL12[[#This Row],[BER_ IN]]</f>
        <v>467</v>
      </c>
      <c r="AK174" s="6">
        <v>20</v>
      </c>
      <c r="AL174" s="33">
        <v>43.646700000000003</v>
      </c>
      <c r="AM174" s="6">
        <v>3459980</v>
      </c>
      <c r="AN174" s="6">
        <f>TABL12[[#This Row],[ (RESV. STORGE) SER]]/10</f>
        <v>345998</v>
      </c>
      <c r="AO174" s="6">
        <v>1860</v>
      </c>
      <c r="AP174" s="32">
        <f>TABL12[[#This Row],[(A/S TOT) AJD]]-TABL12[[#This Row],[SER_ IN]]</f>
        <v>267</v>
      </c>
    </row>
    <row r="175" spans="1:42" x14ac:dyDescent="0.25">
      <c r="A175" s="2">
        <v>45831</v>
      </c>
      <c r="B175" s="28">
        <v>37</v>
      </c>
      <c r="C175" s="28">
        <v>289</v>
      </c>
      <c r="D175" s="28">
        <v>37</v>
      </c>
      <c r="E175" s="28">
        <v>0</v>
      </c>
      <c r="F175" s="28">
        <v>94</v>
      </c>
      <c r="G175" s="28">
        <v>599</v>
      </c>
      <c r="H175" s="28">
        <v>0</v>
      </c>
      <c r="I175" s="28">
        <v>444</v>
      </c>
      <c r="J175" s="28">
        <v>431</v>
      </c>
      <c r="K175" s="28">
        <f>TABL12[[#This Row],[خط (T/B  TOT) SAR]]+TABL12[[#This Row],[خط (S/S  TOT) SAR2]]</f>
        <v>875</v>
      </c>
      <c r="L175" s="28">
        <v>276</v>
      </c>
      <c r="M175" s="29">
        <v>22.1</v>
      </c>
      <c r="N175" s="30">
        <v>7.3</v>
      </c>
      <c r="O175" s="3">
        <v>379</v>
      </c>
      <c r="P175" s="3">
        <f>TABL12[[#This Row],[خط (S/S  TOT) SAR2]]-TABL12[[#This Row],[(S/S TOT) AJD]]</f>
        <v>52</v>
      </c>
      <c r="Q175" s="3">
        <v>420</v>
      </c>
      <c r="R175" s="3">
        <f>TABL12[[#This Row],[خط (T/B  TOT) SAR]]-TABL12[[#This Row],[(T/B TOT) AJD]]</f>
        <v>24</v>
      </c>
      <c r="S175" s="3">
        <f>TABL12[[#This Row],[الفرق بين بداية ونهاية خط  S/S]]+TABL12[[#This Row],[الفرق بين بداية ونهاية خط  T/B]]</f>
        <v>76</v>
      </c>
      <c r="T175" s="3">
        <f t="shared" si="8"/>
        <v>799</v>
      </c>
      <c r="U175" s="3">
        <v>515</v>
      </c>
      <c r="V175" s="3">
        <v>277</v>
      </c>
      <c r="W175" s="3">
        <f t="shared" si="9"/>
        <v>792</v>
      </c>
      <c r="X175" s="3">
        <f t="shared" si="10"/>
        <v>7</v>
      </c>
      <c r="Y175" s="4">
        <v>91.92</v>
      </c>
      <c r="Z175" s="3">
        <v>0</v>
      </c>
      <c r="AA175" s="3">
        <f>TABL12[[#This Row],[(RESV. STORGE) AJD]]/10</f>
        <v>0</v>
      </c>
      <c r="AB175" s="3">
        <f t="shared" si="11"/>
        <v>0</v>
      </c>
      <c r="AC175" s="6">
        <v>0</v>
      </c>
      <c r="AD175" s="5">
        <f>TABL12[[#This Row],[( S/S+T/B) AJD]]-(TABL12[[#This Row],[(A/B + A/S) AJD]]+(TABL12[[#This Row],[(STORGE DIFF.) AJD]])+TABL12[[#This Row],[البخر  AJD]]/1000)</f>
        <v>7</v>
      </c>
      <c r="AE175" s="6">
        <v>48</v>
      </c>
      <c r="AF175" s="33">
        <v>58.823</v>
      </c>
      <c r="AG175" s="6">
        <v>1506929</v>
      </c>
      <c r="AH175" s="6">
        <f>TABL12[[#This Row],[ (RESV. STORGE) BER]]/10</f>
        <v>150692.9</v>
      </c>
      <c r="AI175" s="6">
        <v>3775</v>
      </c>
      <c r="AJ175" s="6">
        <f>TABL12[[#This Row],[(A/B TOT) AJD]]-TABL12[[#This Row],[BER_ IN]]</f>
        <v>467</v>
      </c>
      <c r="AK175" s="6">
        <v>20</v>
      </c>
      <c r="AL175" s="33">
        <v>43.656199999999998</v>
      </c>
      <c r="AM175" s="6">
        <v>3464620</v>
      </c>
      <c r="AN175" s="6">
        <f>TABL12[[#This Row],[ (RESV. STORGE) SER]]/10</f>
        <v>346462</v>
      </c>
      <c r="AO175" s="6">
        <v>1860</v>
      </c>
      <c r="AP175" s="32">
        <f>TABL12[[#This Row],[(A/S TOT) AJD]]-TABL12[[#This Row],[SER_ IN]]</f>
        <v>257</v>
      </c>
    </row>
    <row r="176" spans="1:42" x14ac:dyDescent="0.25">
      <c r="A176" s="2">
        <v>45832</v>
      </c>
      <c r="B176" s="28">
        <v>36</v>
      </c>
      <c r="C176" s="28">
        <v>285</v>
      </c>
      <c r="D176" s="28">
        <v>37</v>
      </c>
      <c r="E176" s="28">
        <v>0</v>
      </c>
      <c r="F176" s="28">
        <v>95</v>
      </c>
      <c r="G176" s="28">
        <v>589</v>
      </c>
      <c r="H176" s="28">
        <v>0</v>
      </c>
      <c r="I176" s="28">
        <v>443</v>
      </c>
      <c r="J176" s="28">
        <v>431</v>
      </c>
      <c r="K176" s="28">
        <f>TABL12[[#This Row],[خط (T/B  TOT) SAR]]+TABL12[[#This Row],[خط (S/S  TOT) SAR2]]</f>
        <v>874</v>
      </c>
      <c r="L176" s="28">
        <v>276</v>
      </c>
      <c r="M176" s="29">
        <v>22.1</v>
      </c>
      <c r="N176" s="30">
        <v>7.3</v>
      </c>
      <c r="O176" s="3">
        <v>381</v>
      </c>
      <c r="P176" s="3">
        <f>TABL12[[#This Row],[خط (S/S  TOT) SAR2]]-TABL12[[#This Row],[(S/S TOT) AJD]]</f>
        <v>50</v>
      </c>
      <c r="Q176" s="3">
        <v>422</v>
      </c>
      <c r="R176" s="3">
        <f>TABL12[[#This Row],[خط (T/B  TOT) SAR]]-TABL12[[#This Row],[(T/B TOT) AJD]]</f>
        <v>21</v>
      </c>
      <c r="S176" s="3">
        <f>TABL12[[#This Row],[الفرق بين بداية ونهاية خط  S/S]]+TABL12[[#This Row],[الفرق بين بداية ونهاية خط  T/B]]</f>
        <v>71</v>
      </c>
      <c r="T176" s="3">
        <f t="shared" si="8"/>
        <v>803</v>
      </c>
      <c r="U176" s="3">
        <v>537</v>
      </c>
      <c r="V176" s="3">
        <v>235</v>
      </c>
      <c r="W176" s="3">
        <f t="shared" si="9"/>
        <v>772</v>
      </c>
      <c r="X176" s="3">
        <f t="shared" si="10"/>
        <v>31</v>
      </c>
      <c r="Y176" s="4">
        <v>91.92</v>
      </c>
      <c r="Z176" s="3">
        <v>0</v>
      </c>
      <c r="AA176" s="3">
        <f>TABL12[[#This Row],[(RESV. STORGE) AJD]]/10</f>
        <v>0</v>
      </c>
      <c r="AB176" s="3">
        <f t="shared" si="11"/>
        <v>0</v>
      </c>
      <c r="AC176" s="6">
        <v>0</v>
      </c>
      <c r="AD176" s="5">
        <f>TABL12[[#This Row],[( S/S+T/B) AJD]]-(TABL12[[#This Row],[(A/B + A/S) AJD]]+(TABL12[[#This Row],[(STORGE DIFF.) AJD]])+TABL12[[#This Row],[البخر  AJD]]/1000)</f>
        <v>31</v>
      </c>
      <c r="AE176" s="6">
        <v>60</v>
      </c>
      <c r="AF176" s="33">
        <v>58.848999999999997</v>
      </c>
      <c r="AG176" s="6">
        <v>1524057</v>
      </c>
      <c r="AH176" s="6">
        <f>TABL12[[#This Row],[ (RESV. STORGE) BER]]/10</f>
        <v>152405.70000000001</v>
      </c>
      <c r="AI176" s="6">
        <v>3031</v>
      </c>
      <c r="AJ176" s="6">
        <f>TABL12[[#This Row],[(A/B TOT) AJD]]-TABL12[[#This Row],[BER_ IN]]</f>
        <v>477</v>
      </c>
      <c r="AK176" s="6">
        <v>20</v>
      </c>
      <c r="AL176" s="33">
        <v>43.669400000000003</v>
      </c>
      <c r="AM176" s="6">
        <v>3472000</v>
      </c>
      <c r="AN176" s="6">
        <f>TABL12[[#This Row],[ (RESV. STORGE) SER]]/10</f>
        <v>347200</v>
      </c>
      <c r="AO176" s="6">
        <v>1620</v>
      </c>
      <c r="AP176" s="32">
        <f>TABL12[[#This Row],[(A/S TOT) AJD]]-TABL12[[#This Row],[SER_ IN]]</f>
        <v>215</v>
      </c>
    </row>
    <row r="177" spans="1:42" x14ac:dyDescent="0.25">
      <c r="A177" s="2">
        <v>45833</v>
      </c>
      <c r="B177" s="28">
        <v>37</v>
      </c>
      <c r="C177" s="28">
        <v>287</v>
      </c>
      <c r="D177" s="28">
        <v>37</v>
      </c>
      <c r="E177" s="28">
        <v>0</v>
      </c>
      <c r="F177" s="28">
        <v>96</v>
      </c>
      <c r="G177" s="28">
        <v>605</v>
      </c>
      <c r="H177" s="28">
        <v>0</v>
      </c>
      <c r="I177" s="28">
        <v>448</v>
      </c>
      <c r="J177" s="28">
        <v>435</v>
      </c>
      <c r="K177" s="28">
        <f>TABL12[[#This Row],[خط (T/B  TOT) SAR]]+TABL12[[#This Row],[خط (S/S  TOT) SAR2]]</f>
        <v>883</v>
      </c>
      <c r="L177" s="28">
        <v>278</v>
      </c>
      <c r="M177" s="29">
        <v>22.1</v>
      </c>
      <c r="N177" s="30">
        <v>7.4</v>
      </c>
      <c r="O177" s="3">
        <v>380</v>
      </c>
      <c r="P177" s="3">
        <f>TABL12[[#This Row],[خط (S/S  TOT) SAR2]]-TABL12[[#This Row],[(S/S TOT) AJD]]</f>
        <v>55</v>
      </c>
      <c r="Q177" s="3">
        <v>421</v>
      </c>
      <c r="R177" s="3">
        <f>TABL12[[#This Row],[خط (T/B  TOT) SAR]]-TABL12[[#This Row],[(T/B TOT) AJD]]</f>
        <v>27</v>
      </c>
      <c r="S177" s="3">
        <f>TABL12[[#This Row],[الفرق بين بداية ونهاية خط  S/S]]+TABL12[[#This Row],[الفرق بين بداية ونهاية خط  T/B]]</f>
        <v>82</v>
      </c>
      <c r="T177" s="3">
        <f t="shared" si="8"/>
        <v>801</v>
      </c>
      <c r="U177" s="3">
        <v>536</v>
      </c>
      <c r="V177" s="3">
        <v>270</v>
      </c>
      <c r="W177" s="3">
        <f t="shared" si="9"/>
        <v>806</v>
      </c>
      <c r="X177" s="3">
        <f t="shared" si="10"/>
        <v>-5</v>
      </c>
      <c r="Y177" s="4">
        <v>91.92</v>
      </c>
      <c r="Z177" s="3">
        <v>0</v>
      </c>
      <c r="AA177" s="3">
        <f>TABL12[[#This Row],[(RESV. STORGE) AJD]]/10</f>
        <v>0</v>
      </c>
      <c r="AB177" s="3">
        <f t="shared" si="11"/>
        <v>0</v>
      </c>
      <c r="AC177" s="6">
        <v>0</v>
      </c>
      <c r="AD177" s="5">
        <f>TABL12[[#This Row],[( S/S+T/B) AJD]]-(TABL12[[#This Row],[(A/B + A/S) AJD]]+(TABL12[[#This Row],[(STORGE DIFF.) AJD]])+TABL12[[#This Row],[البخر  AJD]]/1000)</f>
        <v>-5</v>
      </c>
      <c r="AE177" s="6">
        <v>60</v>
      </c>
      <c r="AF177" s="33">
        <v>58.874000000000002</v>
      </c>
      <c r="AG177" s="6">
        <v>1540532</v>
      </c>
      <c r="AH177" s="6">
        <f>TABL12[[#This Row],[ (RESV. STORGE) BER]]/10</f>
        <v>154053.20000000001</v>
      </c>
      <c r="AI177" s="6">
        <v>3684</v>
      </c>
      <c r="AJ177" s="6">
        <f>TABL12[[#This Row],[(A/B TOT) AJD]]-TABL12[[#This Row],[BER_ IN]]</f>
        <v>476</v>
      </c>
      <c r="AK177" s="6">
        <v>20</v>
      </c>
      <c r="AL177" s="33">
        <v>43.678699999999999</v>
      </c>
      <c r="AM177" s="6">
        <v>3477470</v>
      </c>
      <c r="AN177" s="6">
        <f>TABL12[[#This Row],[ (RESV. STORGE) SER]]/10</f>
        <v>347747</v>
      </c>
      <c r="AO177" s="6">
        <v>1730</v>
      </c>
      <c r="AP177" s="32">
        <f>TABL12[[#This Row],[(A/S TOT) AJD]]-TABL12[[#This Row],[SER_ IN]]</f>
        <v>250</v>
      </c>
    </row>
    <row r="178" spans="1:42" x14ac:dyDescent="0.25">
      <c r="A178" s="2">
        <v>45834</v>
      </c>
      <c r="B178" s="28">
        <v>35</v>
      </c>
      <c r="C178" s="28">
        <v>277</v>
      </c>
      <c r="D178" s="28">
        <v>36</v>
      </c>
      <c r="E178" s="28">
        <v>0</v>
      </c>
      <c r="F178" s="28">
        <v>97</v>
      </c>
      <c r="G178" s="28">
        <v>636</v>
      </c>
      <c r="H178" s="28">
        <v>0</v>
      </c>
      <c r="I178" s="28">
        <v>466</v>
      </c>
      <c r="J178" s="28">
        <v>449</v>
      </c>
      <c r="K178" s="28">
        <f>TABL12[[#This Row],[خط (T/B  TOT) SAR]]+TABL12[[#This Row],[خط (S/S  TOT) SAR2]]</f>
        <v>915</v>
      </c>
      <c r="L178" s="28">
        <v>279</v>
      </c>
      <c r="M178" s="29">
        <v>22.1</v>
      </c>
      <c r="N178" s="30">
        <v>7.4</v>
      </c>
      <c r="O178" s="3">
        <v>388</v>
      </c>
      <c r="P178" s="3">
        <f>TABL12[[#This Row],[خط (S/S  TOT) SAR2]]-TABL12[[#This Row],[(S/S TOT) AJD]]</f>
        <v>61</v>
      </c>
      <c r="Q178" s="3">
        <v>430</v>
      </c>
      <c r="R178" s="3">
        <f>TABL12[[#This Row],[خط (T/B  TOT) SAR]]-TABL12[[#This Row],[(T/B TOT) AJD]]</f>
        <v>36</v>
      </c>
      <c r="S178" s="3">
        <f>TABL12[[#This Row],[الفرق بين بداية ونهاية خط  S/S]]+TABL12[[#This Row],[الفرق بين بداية ونهاية خط  T/B]]</f>
        <v>97</v>
      </c>
      <c r="T178" s="3">
        <f t="shared" si="8"/>
        <v>818</v>
      </c>
      <c r="U178" s="3">
        <v>487</v>
      </c>
      <c r="V178" s="3">
        <v>267</v>
      </c>
      <c r="W178" s="3">
        <f t="shared" si="9"/>
        <v>754</v>
      </c>
      <c r="X178" s="3">
        <f t="shared" si="10"/>
        <v>64</v>
      </c>
      <c r="Y178" s="4">
        <v>91.92</v>
      </c>
      <c r="Z178" s="3">
        <v>0</v>
      </c>
      <c r="AA178" s="3">
        <f>TABL12[[#This Row],[(RESV. STORGE) AJD]]/10</f>
        <v>0</v>
      </c>
      <c r="AB178" s="3">
        <f t="shared" si="11"/>
        <v>0</v>
      </c>
      <c r="AC178" s="6">
        <v>0</v>
      </c>
      <c r="AD178" s="5">
        <f>TABL12[[#This Row],[( S/S+T/B) AJD]]-(TABL12[[#This Row],[(A/B + A/S) AJD]]+(TABL12[[#This Row],[(STORGE DIFF.) AJD]])+TABL12[[#This Row],[البخر  AJD]]/1000)</f>
        <v>64</v>
      </c>
      <c r="AE178" s="6">
        <v>44</v>
      </c>
      <c r="AF178" s="33">
        <v>58.88</v>
      </c>
      <c r="AG178" s="6">
        <v>1544487</v>
      </c>
      <c r="AH178" s="6">
        <f>TABL12[[#This Row],[ (RESV. STORGE) BER]]/10</f>
        <v>154448.70000000001</v>
      </c>
      <c r="AI178" s="6">
        <v>3525</v>
      </c>
      <c r="AJ178" s="6">
        <f>TABL12[[#This Row],[(A/B TOT) AJD]]-TABL12[[#This Row],[BER_ IN]]</f>
        <v>443</v>
      </c>
      <c r="AK178" s="6">
        <v>3.5</v>
      </c>
      <c r="AL178" s="33">
        <v>43.669400000000003</v>
      </c>
      <c r="AM178" s="6">
        <v>3472000</v>
      </c>
      <c r="AN178" s="6">
        <f>TABL12[[#This Row],[ (RESV. STORGE) SER]]/10</f>
        <v>347200</v>
      </c>
      <c r="AO178" s="6">
        <v>1970</v>
      </c>
      <c r="AP178" s="32">
        <f>TABL12[[#This Row],[(A/S TOT) AJD]]-TABL12[[#This Row],[SER_ IN]]</f>
        <v>263.5</v>
      </c>
    </row>
    <row r="179" spans="1:42" x14ac:dyDescent="0.25">
      <c r="A179" s="2">
        <v>45835</v>
      </c>
      <c r="B179" s="28">
        <v>36</v>
      </c>
      <c r="C179" s="28">
        <v>293</v>
      </c>
      <c r="D179" s="28">
        <v>36</v>
      </c>
      <c r="E179" s="28">
        <v>0</v>
      </c>
      <c r="F179" s="28">
        <v>96</v>
      </c>
      <c r="G179" s="28">
        <v>637</v>
      </c>
      <c r="H179" s="28">
        <v>1</v>
      </c>
      <c r="I179" s="28">
        <v>462</v>
      </c>
      <c r="J179" s="28">
        <v>445</v>
      </c>
      <c r="K179" s="28">
        <f>TABL12[[#This Row],[خط (T/B  TOT) SAR]]+TABL12[[#This Row],[خط (S/S  TOT) SAR2]]</f>
        <v>907</v>
      </c>
      <c r="L179" s="28">
        <v>270</v>
      </c>
      <c r="M179" s="29">
        <v>22.1</v>
      </c>
      <c r="N179" s="30">
        <v>7.4</v>
      </c>
      <c r="O179" s="3">
        <v>395</v>
      </c>
      <c r="P179" s="3">
        <f>TABL12[[#This Row],[خط (S/S  TOT) SAR2]]-TABL12[[#This Row],[(S/S TOT) AJD]]</f>
        <v>50</v>
      </c>
      <c r="Q179" s="3">
        <v>435</v>
      </c>
      <c r="R179" s="3">
        <f>TABL12[[#This Row],[خط (T/B  TOT) SAR]]-TABL12[[#This Row],[(T/B TOT) AJD]]</f>
        <v>27</v>
      </c>
      <c r="S179" s="3">
        <f>TABL12[[#This Row],[الفرق بين بداية ونهاية خط  S/S]]+TABL12[[#This Row],[الفرق بين بداية ونهاية خط  T/B]]</f>
        <v>77</v>
      </c>
      <c r="T179" s="3">
        <f t="shared" si="8"/>
        <v>830</v>
      </c>
      <c r="U179" s="3">
        <v>495</v>
      </c>
      <c r="V179" s="3">
        <v>265</v>
      </c>
      <c r="W179" s="3">
        <f t="shared" si="9"/>
        <v>760</v>
      </c>
      <c r="X179" s="3">
        <f t="shared" si="10"/>
        <v>70</v>
      </c>
      <c r="Y179" s="4">
        <v>91.92</v>
      </c>
      <c r="Z179" s="3">
        <v>0</v>
      </c>
      <c r="AA179" s="3">
        <f>TABL12[[#This Row],[(RESV. STORGE) AJD]]/10</f>
        <v>0</v>
      </c>
      <c r="AB179" s="3">
        <f t="shared" si="11"/>
        <v>0</v>
      </c>
      <c r="AC179" s="6">
        <v>0</v>
      </c>
      <c r="AD179" s="5">
        <f>TABL12[[#This Row],[( S/S+T/B) AJD]]-(TABL12[[#This Row],[(A/B + A/S) AJD]]+(TABL12[[#This Row],[(STORGE DIFF.) AJD]])+TABL12[[#This Row],[البخر  AJD]]/1000)</f>
        <v>70</v>
      </c>
      <c r="AE179" s="6">
        <v>40</v>
      </c>
      <c r="AF179" s="33">
        <v>58.875</v>
      </c>
      <c r="AG179" s="6">
        <v>1541191</v>
      </c>
      <c r="AH179" s="6">
        <f>TABL12[[#This Row],[ (RESV. STORGE) BER]]/10</f>
        <v>154119.1</v>
      </c>
      <c r="AI179" s="6">
        <v>3455</v>
      </c>
      <c r="AJ179" s="6">
        <f>TABL12[[#This Row],[(A/B TOT) AJD]]-TABL12[[#This Row],[BER_ IN]]</f>
        <v>455</v>
      </c>
      <c r="AK179" s="6">
        <v>0</v>
      </c>
      <c r="AL179" s="33">
        <v>43.646999999999998</v>
      </c>
      <c r="AM179" s="6">
        <v>3460200</v>
      </c>
      <c r="AN179" s="6">
        <f>TABL12[[#This Row],[ (RESV. STORGE) SER]]/10</f>
        <v>346020</v>
      </c>
      <c r="AO179" s="6">
        <v>1800</v>
      </c>
      <c r="AP179" s="32">
        <f>TABL12[[#This Row],[(A/S TOT) AJD]]-TABL12[[#This Row],[SER_ IN]]</f>
        <v>265</v>
      </c>
    </row>
    <row r="180" spans="1:42" x14ac:dyDescent="0.25">
      <c r="A180" s="2">
        <v>45836</v>
      </c>
      <c r="B180" s="28">
        <v>36</v>
      </c>
      <c r="C180" s="28">
        <v>283</v>
      </c>
      <c r="D180" s="28">
        <v>36</v>
      </c>
      <c r="E180" s="28">
        <v>0</v>
      </c>
      <c r="F180" s="28">
        <v>99</v>
      </c>
      <c r="G180" s="28">
        <v>657</v>
      </c>
      <c r="H180" s="28">
        <v>0</v>
      </c>
      <c r="I180" s="28">
        <v>480</v>
      </c>
      <c r="J180" s="28">
        <v>457</v>
      </c>
      <c r="K180" s="28">
        <f>TABL12[[#This Row],[خط (T/B  TOT) SAR]]+TABL12[[#This Row],[خط (S/S  TOT) SAR2]]</f>
        <v>937</v>
      </c>
      <c r="L180" s="28">
        <v>280</v>
      </c>
      <c r="M180" s="29">
        <v>22.1</v>
      </c>
      <c r="N180" s="30">
        <v>7.5</v>
      </c>
      <c r="O180" s="3">
        <v>398</v>
      </c>
      <c r="P180" s="3">
        <f>TABL12[[#This Row],[خط (S/S  TOT) SAR2]]-TABL12[[#This Row],[(S/S TOT) AJD]]</f>
        <v>59</v>
      </c>
      <c r="Q180" s="3">
        <v>440</v>
      </c>
      <c r="R180" s="3">
        <f>TABL12[[#This Row],[خط (T/B  TOT) SAR]]-TABL12[[#This Row],[(T/B TOT) AJD]]</f>
        <v>40</v>
      </c>
      <c r="S180" s="3">
        <f>TABL12[[#This Row],[الفرق بين بداية ونهاية خط  S/S]]+TABL12[[#This Row],[الفرق بين بداية ونهاية خط  T/B]]</f>
        <v>99</v>
      </c>
      <c r="T180" s="3">
        <f t="shared" si="8"/>
        <v>838</v>
      </c>
      <c r="U180" s="3">
        <v>508</v>
      </c>
      <c r="V180" s="3">
        <v>248</v>
      </c>
      <c r="W180" s="3">
        <f t="shared" si="9"/>
        <v>756</v>
      </c>
      <c r="X180" s="3">
        <f t="shared" si="10"/>
        <v>82</v>
      </c>
      <c r="Y180" s="4">
        <v>91.92</v>
      </c>
      <c r="Z180" s="3">
        <v>0</v>
      </c>
      <c r="AA180" s="3">
        <f>TABL12[[#This Row],[(RESV. STORGE) AJD]]/10</f>
        <v>0</v>
      </c>
      <c r="AB180" s="3">
        <f t="shared" si="11"/>
        <v>0</v>
      </c>
      <c r="AC180" s="6">
        <v>0</v>
      </c>
      <c r="AD180" s="5">
        <f>TABL12[[#This Row],[( S/S+T/B) AJD]]-(TABL12[[#This Row],[(A/B + A/S) AJD]]+(TABL12[[#This Row],[(STORGE DIFF.) AJD]])+TABL12[[#This Row],[البخر  AJD]]/1000)</f>
        <v>82</v>
      </c>
      <c r="AE180" s="6">
        <v>40</v>
      </c>
      <c r="AF180" s="33">
        <v>58.886000000000003</v>
      </c>
      <c r="AG180" s="6">
        <v>1548442</v>
      </c>
      <c r="AH180" s="6">
        <f>TABL12[[#This Row],[ (RESV. STORGE) BER]]/10</f>
        <v>154844.20000000001</v>
      </c>
      <c r="AI180" s="6">
        <v>3699</v>
      </c>
      <c r="AJ180" s="6">
        <f>TABL12[[#This Row],[(A/B TOT) AJD]]-TABL12[[#This Row],[BER_ IN]]</f>
        <v>468</v>
      </c>
      <c r="AK180" s="6">
        <v>0</v>
      </c>
      <c r="AL180" s="33">
        <v>43.646999999999998</v>
      </c>
      <c r="AM180" s="6">
        <v>3458226</v>
      </c>
      <c r="AN180" s="6">
        <f>TABL12[[#This Row],[ (RESV. STORGE) SER]]/10</f>
        <v>345822.6</v>
      </c>
      <c r="AO180" s="6">
        <v>1974</v>
      </c>
      <c r="AP180" s="32">
        <f>TABL12[[#This Row],[(A/S TOT) AJD]]-TABL12[[#This Row],[SER_ IN]]</f>
        <v>248</v>
      </c>
    </row>
    <row r="181" spans="1:42" x14ac:dyDescent="0.25">
      <c r="A181" s="2">
        <v>45837</v>
      </c>
      <c r="B181" s="28">
        <v>36</v>
      </c>
      <c r="C181" s="28">
        <v>288</v>
      </c>
      <c r="D181" s="28">
        <v>36</v>
      </c>
      <c r="E181" s="28">
        <v>0</v>
      </c>
      <c r="F181" s="28">
        <v>99</v>
      </c>
      <c r="G181" s="28">
        <v>651</v>
      </c>
      <c r="H181" s="28">
        <v>0</v>
      </c>
      <c r="I181" s="28">
        <v>473</v>
      </c>
      <c r="J181" s="28">
        <v>457</v>
      </c>
      <c r="K181" s="28">
        <f>TABL12[[#This Row],[خط (T/B  TOT) SAR]]+TABL12[[#This Row],[خط (S/S  TOT) SAR2]]</f>
        <v>930</v>
      </c>
      <c r="L181" s="28">
        <v>279</v>
      </c>
      <c r="M181" s="29">
        <v>22.1</v>
      </c>
      <c r="N181" s="30">
        <v>7.5</v>
      </c>
      <c r="O181" s="3">
        <v>405</v>
      </c>
      <c r="P181" s="3">
        <f>TABL12[[#This Row],[خط (S/S  TOT) SAR2]]-TABL12[[#This Row],[(S/S TOT) AJD]]</f>
        <v>52</v>
      </c>
      <c r="Q181" s="3">
        <v>446</v>
      </c>
      <c r="R181" s="3">
        <f>TABL12[[#This Row],[خط (T/B  TOT) SAR]]-TABL12[[#This Row],[(T/B TOT) AJD]]</f>
        <v>27</v>
      </c>
      <c r="S181" s="3">
        <f>TABL12[[#This Row],[الفرق بين بداية ونهاية خط  S/S]]+TABL12[[#This Row],[الفرق بين بداية ونهاية خط  T/B]]</f>
        <v>79</v>
      </c>
      <c r="T181" s="3">
        <f t="shared" si="8"/>
        <v>851</v>
      </c>
      <c r="U181" s="3">
        <v>528</v>
      </c>
      <c r="V181" s="3">
        <v>258</v>
      </c>
      <c r="W181" s="3">
        <f t="shared" si="9"/>
        <v>786</v>
      </c>
      <c r="X181" s="3">
        <f t="shared" si="10"/>
        <v>65</v>
      </c>
      <c r="Y181" s="4">
        <v>91.923000000000002</v>
      </c>
      <c r="Z181" s="3">
        <v>154284</v>
      </c>
      <c r="AA181" s="3">
        <f>TABL12[[#This Row],[(RESV. STORGE) AJD]]/10</f>
        <v>15428.4</v>
      </c>
      <c r="AB181" s="3">
        <f t="shared" si="11"/>
        <v>154.28399999999999</v>
      </c>
      <c r="AC181" s="6">
        <v>0</v>
      </c>
      <c r="AD181" s="5">
        <f>TABL12[[#This Row],[( S/S+T/B) AJD]]-(TABL12[[#This Row],[(A/B + A/S) AJD]]+(TABL12[[#This Row],[(STORGE DIFF.) AJD]])+TABL12[[#This Row],[البخر  AJD]]/1000)</f>
        <v>-89.283999999999992</v>
      </c>
      <c r="AE181" s="6">
        <v>40</v>
      </c>
      <c r="AF181" s="33">
        <v>58.881</v>
      </c>
      <c r="AG181" s="6">
        <v>1545146</v>
      </c>
      <c r="AH181" s="6">
        <f>TABL12[[#This Row],[ (RESV. STORGE) BER]]/10</f>
        <v>154514.6</v>
      </c>
      <c r="AI181" s="6">
        <v>3455</v>
      </c>
      <c r="AJ181" s="6">
        <f>TABL12[[#This Row],[(A/B TOT) AJD]]-TABL12[[#This Row],[BER_ IN]]</f>
        <v>488</v>
      </c>
      <c r="AK181" s="6">
        <v>0</v>
      </c>
      <c r="AL181" s="33">
        <v>43.628300000000003</v>
      </c>
      <c r="AM181" s="6">
        <v>3449900</v>
      </c>
      <c r="AN181" s="6">
        <f>TABL12[[#This Row],[ (RESV. STORGE) SER]]/10</f>
        <v>344990</v>
      </c>
      <c r="AO181" s="6">
        <v>1726</v>
      </c>
      <c r="AP181" s="32">
        <f>TABL12[[#This Row],[(A/S TOT) AJD]]-TABL12[[#This Row],[SER_ IN]]</f>
        <v>258</v>
      </c>
    </row>
    <row r="182" spans="1:42" x14ac:dyDescent="0.25">
      <c r="A182" s="2">
        <v>45838</v>
      </c>
      <c r="B182" s="28">
        <v>36</v>
      </c>
      <c r="C182" s="28">
        <v>275</v>
      </c>
      <c r="D182" s="28">
        <v>36</v>
      </c>
      <c r="E182" s="28">
        <v>0</v>
      </c>
      <c r="F182" s="28">
        <v>100</v>
      </c>
      <c r="G182" s="28">
        <v>657</v>
      </c>
      <c r="H182" s="28">
        <v>0</v>
      </c>
      <c r="I182" s="28">
        <v>477</v>
      </c>
      <c r="J182" s="28">
        <v>461</v>
      </c>
      <c r="K182" s="28">
        <f>TABL12[[#This Row],[خط (T/B  TOT) SAR]]+TABL12[[#This Row],[خط (S/S  TOT) SAR2]]</f>
        <v>938</v>
      </c>
      <c r="L182" s="28">
        <v>281</v>
      </c>
      <c r="M182" s="29">
        <v>22.1</v>
      </c>
      <c r="N182" s="30">
        <v>7.6</v>
      </c>
      <c r="O182" s="3">
        <v>407</v>
      </c>
      <c r="P182" s="3">
        <f>TABL12[[#This Row],[خط (S/S  TOT) SAR2]]-TABL12[[#This Row],[(S/S TOT) AJD]]</f>
        <v>54</v>
      </c>
      <c r="Q182" s="3">
        <v>448</v>
      </c>
      <c r="R182" s="3">
        <f>TABL12[[#This Row],[خط (T/B  TOT) SAR]]-TABL12[[#This Row],[(T/B TOT) AJD]]</f>
        <v>29</v>
      </c>
      <c r="S182" s="3">
        <f>TABL12[[#This Row],[الفرق بين بداية ونهاية خط  S/S]]+TABL12[[#This Row],[الفرق بين بداية ونهاية خط  T/B]]</f>
        <v>83</v>
      </c>
      <c r="T182" s="3">
        <f t="shared" si="8"/>
        <v>855</v>
      </c>
      <c r="U182" s="3">
        <v>528</v>
      </c>
      <c r="V182" s="3">
        <v>273</v>
      </c>
      <c r="W182" s="3">
        <f t="shared" si="9"/>
        <v>801</v>
      </c>
      <c r="X182" s="3">
        <f t="shared" si="10"/>
        <v>54</v>
      </c>
      <c r="Y182" s="4">
        <v>91.977999999999994</v>
      </c>
      <c r="Z182" s="3">
        <v>186798</v>
      </c>
      <c r="AA182" s="3">
        <f>TABL12[[#This Row],[(RESV. STORGE) AJD]]/10</f>
        <v>18679.8</v>
      </c>
      <c r="AB182" s="3">
        <f t="shared" si="11"/>
        <v>32.514000000000003</v>
      </c>
      <c r="AC182" s="6">
        <v>0</v>
      </c>
      <c r="AD182" s="5">
        <f>TABL12[[#This Row],[( S/S+T/B) AJD]]-(TABL12[[#This Row],[(A/B + A/S) AJD]]+(TABL12[[#This Row],[(STORGE DIFF.) AJD]])+TABL12[[#This Row],[البخر  AJD]]/1000)</f>
        <v>21.48599999999999</v>
      </c>
      <c r="AE182" s="6">
        <v>53</v>
      </c>
      <c r="AF182" s="33">
        <v>58.896000000000001</v>
      </c>
      <c r="AG182" s="6">
        <v>1555035</v>
      </c>
      <c r="AH182" s="6">
        <f>TABL12[[#This Row],[ (RESV. STORGE) BER]]/10</f>
        <v>155503.5</v>
      </c>
      <c r="AI182" s="6">
        <v>3271</v>
      </c>
      <c r="AJ182" s="6">
        <f>TABL12[[#This Row],[(A/B TOT) AJD]]-TABL12[[#This Row],[BER_ IN]]</f>
        <v>475</v>
      </c>
      <c r="AK182" s="6">
        <v>6.5</v>
      </c>
      <c r="AL182" s="33">
        <v>43.630899999999997</v>
      </c>
      <c r="AM182" s="6">
        <v>3451240</v>
      </c>
      <c r="AN182" s="6">
        <f>TABL12[[#This Row],[ (RESV. STORGE) SER]]/10</f>
        <v>345124</v>
      </c>
      <c r="AO182" s="6">
        <v>1760</v>
      </c>
      <c r="AP182" s="32">
        <f>TABL12[[#This Row],[(A/S TOT) AJD]]-TABL12[[#This Row],[SER_ IN]]</f>
        <v>266.5</v>
      </c>
    </row>
    <row r="183" spans="1:42" ht="15.75" x14ac:dyDescent="0.25">
      <c r="A183" s="2">
        <v>45839</v>
      </c>
      <c r="B183" s="28">
        <v>36</v>
      </c>
      <c r="C183" s="28">
        <v>273</v>
      </c>
      <c r="D183" s="28">
        <v>36</v>
      </c>
      <c r="E183" s="28">
        <v>0</v>
      </c>
      <c r="F183" s="28">
        <v>101</v>
      </c>
      <c r="G183" s="28">
        <v>655</v>
      </c>
      <c r="H183" s="28">
        <v>0</v>
      </c>
      <c r="I183" s="28">
        <v>475</v>
      </c>
      <c r="J183" s="28">
        <v>461</v>
      </c>
      <c r="K183" s="28">
        <f>TABL12[[#This Row],[خط (T/B  TOT) SAR]]+TABL12[[#This Row],[خط (S/S  TOT) SAR2]]</f>
        <v>936</v>
      </c>
      <c r="L183" s="28">
        <v>281</v>
      </c>
      <c r="M183" s="29">
        <v>22.1</v>
      </c>
      <c r="N183" s="30">
        <v>7.55</v>
      </c>
      <c r="O183" s="12">
        <v>410</v>
      </c>
      <c r="P183" s="12">
        <f>TABL12[[#This Row],[خط (S/S  TOT) SAR2]]-TABL12[[#This Row],[(S/S TOT) AJD]]</f>
        <v>51</v>
      </c>
      <c r="Q183" s="12">
        <v>450</v>
      </c>
      <c r="R183" s="12">
        <f>TABL12[[#This Row],[خط (T/B  TOT) SAR]]-TABL12[[#This Row],[(T/B TOT) AJD]]</f>
        <v>25</v>
      </c>
      <c r="S183" s="12">
        <f>TABL12[[#This Row],[الفرق بين بداية ونهاية خط  S/S]]+TABL12[[#This Row],[الفرق بين بداية ونهاية خط  T/B]]</f>
        <v>76</v>
      </c>
      <c r="T183" s="12">
        <f t="shared" si="8"/>
        <v>860</v>
      </c>
      <c r="U183" s="12">
        <v>529</v>
      </c>
      <c r="V183" s="12">
        <v>295</v>
      </c>
      <c r="W183" s="12">
        <f t="shared" si="9"/>
        <v>824</v>
      </c>
      <c r="X183" s="12">
        <f t="shared" si="10"/>
        <v>36</v>
      </c>
      <c r="Y183" s="13">
        <v>92.033000000000001</v>
      </c>
      <c r="Z183" s="12">
        <v>219338</v>
      </c>
      <c r="AA183" s="12">
        <f>TABL12[[#This Row],[(RESV. STORGE) AJD]]/10</f>
        <v>21933.8</v>
      </c>
      <c r="AB183" s="3">
        <f t="shared" si="11"/>
        <v>32.54</v>
      </c>
      <c r="AC183" s="6">
        <v>0</v>
      </c>
      <c r="AD183" s="5">
        <f>TABL12[[#This Row],[( S/S+T/B) AJD]]-(TABL12[[#This Row],[(A/B + A/S) AJD]]+(TABL12[[#This Row],[(STORGE DIFF.) AJD]])+TABL12[[#This Row],[البخر  AJD]]/1000)</f>
        <v>3.4600000000000364</v>
      </c>
      <c r="AE183" s="6">
        <v>60</v>
      </c>
      <c r="AF183" s="33">
        <v>58.878</v>
      </c>
      <c r="AG183" s="6">
        <v>1543169</v>
      </c>
      <c r="AH183" s="6">
        <f>TABL12[[#This Row],[ (RESV. STORGE) BER]]/10</f>
        <v>154316.9</v>
      </c>
      <c r="AI183" s="6">
        <v>2981</v>
      </c>
      <c r="AJ183" s="6">
        <f>TABL12[[#This Row],[(A/B TOT) AJD]]-TABL12[[#This Row],[BER_ IN]]</f>
        <v>469</v>
      </c>
      <c r="AK183" s="6">
        <v>0</v>
      </c>
      <c r="AL183" s="33">
        <v>44.403399999999998</v>
      </c>
      <c r="AM183" s="6">
        <v>3875340</v>
      </c>
      <c r="AN183" s="6">
        <f>TABL12[[#This Row],[ (RESV. STORGE) SER]]/10</f>
        <v>387534</v>
      </c>
      <c r="AO183" s="6">
        <v>1870</v>
      </c>
      <c r="AP183" s="32">
        <f>TABL12[[#This Row],[(A/S TOT) AJD]]-TABL12[[#This Row],[SER_ IN]]</f>
        <v>295</v>
      </c>
    </row>
    <row r="184" spans="1:42" ht="15.75" x14ac:dyDescent="0.25">
      <c r="A184" s="2">
        <v>45840</v>
      </c>
      <c r="B184" s="28">
        <v>33</v>
      </c>
      <c r="C184" s="28">
        <v>274</v>
      </c>
      <c r="D184" s="28">
        <v>33</v>
      </c>
      <c r="E184" s="28">
        <v>0</v>
      </c>
      <c r="F184" s="28">
        <v>101</v>
      </c>
      <c r="G184" s="28">
        <v>661</v>
      </c>
      <c r="H184" s="28">
        <v>0</v>
      </c>
      <c r="I184" s="28">
        <v>478</v>
      </c>
      <c r="J184" s="28">
        <v>462</v>
      </c>
      <c r="K184" s="28">
        <f>TABL12[[#This Row],[خط (T/B  TOT) SAR]]+TABL12[[#This Row],[خط (S/S  TOT) SAR2]]</f>
        <v>940</v>
      </c>
      <c r="L184" s="28">
        <v>279</v>
      </c>
      <c r="M184" s="29">
        <v>22.1</v>
      </c>
      <c r="N184" s="30">
        <v>7.53</v>
      </c>
      <c r="O184" s="12">
        <v>409</v>
      </c>
      <c r="P184" s="12">
        <f>TABL12[[#This Row],[خط (S/S  TOT) SAR2]]-TABL12[[#This Row],[(S/S TOT) AJD]]</f>
        <v>53</v>
      </c>
      <c r="Q184" s="12">
        <v>450</v>
      </c>
      <c r="R184" s="12">
        <f>TABL12[[#This Row],[خط (T/B  TOT) SAR]]-TABL12[[#This Row],[(T/B TOT) AJD]]</f>
        <v>28</v>
      </c>
      <c r="S184" s="12">
        <f>TABL12[[#This Row],[الفرق بين بداية ونهاية خط  S/S]]+TABL12[[#This Row],[الفرق بين بداية ونهاية خط  T/B]]</f>
        <v>81</v>
      </c>
      <c r="T184" s="12">
        <f t="shared" si="8"/>
        <v>859</v>
      </c>
      <c r="U184" s="12">
        <v>550</v>
      </c>
      <c r="V184" s="12">
        <v>299</v>
      </c>
      <c r="W184" s="12">
        <f t="shared" si="9"/>
        <v>849</v>
      </c>
      <c r="X184" s="12">
        <f t="shared" si="10"/>
        <v>10</v>
      </c>
      <c r="Y184" s="13">
        <v>92.042000000000002</v>
      </c>
      <c r="Z184" s="12">
        <v>225258</v>
      </c>
      <c r="AA184" s="12">
        <f>TABL12[[#This Row],[(RESV. STORGE) AJD]]/10</f>
        <v>22525.8</v>
      </c>
      <c r="AB184" s="3">
        <f t="shared" si="11"/>
        <v>5.92</v>
      </c>
      <c r="AC184" s="6">
        <v>0</v>
      </c>
      <c r="AD184" s="5">
        <f>TABL12[[#This Row],[( S/S+T/B) AJD]]-(TABL12[[#This Row],[(A/B + A/S) AJD]]+(TABL12[[#This Row],[(STORGE DIFF.) AJD]])+TABL12[[#This Row],[البخر  AJD]]/1000)</f>
        <v>4.0800000000000409</v>
      </c>
      <c r="AE184" s="6">
        <v>73</v>
      </c>
      <c r="AF184" s="33">
        <v>58.862000000000002</v>
      </c>
      <c r="AG184" s="6">
        <v>1532624</v>
      </c>
      <c r="AH184" s="6">
        <f>TABL12[[#This Row],[ (RESV. STORGE) BER]]/10</f>
        <v>153262.39999999999</v>
      </c>
      <c r="AI184" s="6">
        <v>3865</v>
      </c>
      <c r="AJ184" s="6">
        <f>TABL12[[#This Row],[(A/B TOT) AJD]]-TABL12[[#This Row],[BER_ IN]]</f>
        <v>477</v>
      </c>
      <c r="AK184" s="6">
        <v>38</v>
      </c>
      <c r="AL184" s="33">
        <v>43.687199999999997</v>
      </c>
      <c r="AM184" s="6">
        <v>3481690</v>
      </c>
      <c r="AN184" s="6">
        <f>TABL12[[#This Row],[ (RESV. STORGE) SER]]/10</f>
        <v>348169</v>
      </c>
      <c r="AO184" s="6">
        <v>1775</v>
      </c>
      <c r="AP184" s="32">
        <f>TABL12[[#This Row],[(A/S TOT) AJD]]-TABL12[[#This Row],[SER_ IN]]</f>
        <v>261</v>
      </c>
    </row>
    <row r="185" spans="1:42" ht="15.75" x14ac:dyDescent="0.25">
      <c r="A185" s="2">
        <v>45841</v>
      </c>
      <c r="B185" s="28">
        <v>33</v>
      </c>
      <c r="C185" s="28">
        <v>274</v>
      </c>
      <c r="D185" s="28">
        <v>33</v>
      </c>
      <c r="E185" s="28">
        <v>0</v>
      </c>
      <c r="F185" s="28">
        <v>102</v>
      </c>
      <c r="G185" s="28">
        <v>659</v>
      </c>
      <c r="H185" s="28">
        <v>0</v>
      </c>
      <c r="I185" s="28">
        <v>479</v>
      </c>
      <c r="J185" s="28">
        <v>459</v>
      </c>
      <c r="K185" s="28">
        <f>TABL12[[#This Row],[خط (T/B  TOT) SAR]]+TABL12[[#This Row],[خط (S/S  TOT) SAR2]]</f>
        <v>938</v>
      </c>
      <c r="L185" s="28">
        <v>279</v>
      </c>
      <c r="M185" s="29">
        <v>22.1</v>
      </c>
      <c r="N185" s="30">
        <v>7.5</v>
      </c>
      <c r="O185" s="12">
        <v>410</v>
      </c>
      <c r="P185" s="12">
        <f>TABL12[[#This Row],[خط (S/S  TOT) SAR2]]-TABL12[[#This Row],[(S/S TOT) AJD]]</f>
        <v>49</v>
      </c>
      <c r="Q185" s="12">
        <v>450</v>
      </c>
      <c r="R185" s="12">
        <f>TABL12[[#This Row],[خط (T/B  TOT) SAR]]-TABL12[[#This Row],[(T/B TOT) AJD]]</f>
        <v>29</v>
      </c>
      <c r="S185" s="12">
        <f>TABL12[[#This Row],[الفرق بين بداية ونهاية خط  S/S]]+TABL12[[#This Row],[الفرق بين بداية ونهاية خط  T/B]]</f>
        <v>78</v>
      </c>
      <c r="T185" s="12">
        <f t="shared" si="8"/>
        <v>860</v>
      </c>
      <c r="U185" s="12">
        <v>557</v>
      </c>
      <c r="V185" s="12">
        <v>295</v>
      </c>
      <c r="W185" s="12">
        <f t="shared" si="9"/>
        <v>852</v>
      </c>
      <c r="X185" s="12">
        <f t="shared" si="10"/>
        <v>8</v>
      </c>
      <c r="Y185" s="13">
        <v>92.022999999999996</v>
      </c>
      <c r="Z185" s="12">
        <v>213423</v>
      </c>
      <c r="AA185" s="12">
        <f>TABL12[[#This Row],[(RESV. STORGE) AJD]]/10</f>
        <v>21342.3</v>
      </c>
      <c r="AB185" s="3">
        <f t="shared" si="11"/>
        <v>-11.835000000000001</v>
      </c>
      <c r="AC185" s="6">
        <v>0</v>
      </c>
      <c r="AD185" s="5">
        <f>TABL12[[#This Row],[( S/S+T/B) AJD]]-(TABL12[[#This Row],[(A/B + A/S) AJD]]+(TABL12[[#This Row],[(STORGE DIFF.) AJD]])+TABL12[[#This Row],[البخر  AJD]]/1000)</f>
        <v>19.835000000000036</v>
      </c>
      <c r="AE185" s="6">
        <v>80</v>
      </c>
      <c r="AF185" s="33">
        <v>58.856999999999999</v>
      </c>
      <c r="AG185" s="6">
        <v>1529329</v>
      </c>
      <c r="AH185" s="6">
        <f>TABL12[[#This Row],[ (RESV. STORGE) BER]]/10</f>
        <v>152932.9</v>
      </c>
      <c r="AI185" s="6">
        <v>3614</v>
      </c>
      <c r="AJ185" s="6">
        <f>TABL12[[#This Row],[(A/B TOT) AJD]]-TABL12[[#This Row],[BER_ IN]]</f>
        <v>477</v>
      </c>
      <c r="AK185" s="6">
        <v>36</v>
      </c>
      <c r="AL185" s="33">
        <v>43.712400000000002</v>
      </c>
      <c r="AM185" s="6">
        <v>3495900</v>
      </c>
      <c r="AN185" s="6">
        <f>TABL12[[#This Row],[ (RESV. STORGE) SER]]/10</f>
        <v>349590</v>
      </c>
      <c r="AO185" s="6">
        <v>1773</v>
      </c>
      <c r="AP185" s="32">
        <f>TABL12[[#This Row],[(A/S TOT) AJD]]-TABL12[[#This Row],[SER_ IN]]</f>
        <v>259</v>
      </c>
    </row>
    <row r="186" spans="1:42" ht="15.75" x14ac:dyDescent="0.25">
      <c r="A186" s="2">
        <v>45842</v>
      </c>
      <c r="B186" s="28">
        <v>32</v>
      </c>
      <c r="C186" s="28">
        <v>263</v>
      </c>
      <c r="D186" s="28">
        <v>33</v>
      </c>
      <c r="E186" s="28">
        <v>0</v>
      </c>
      <c r="F186" s="28">
        <v>102</v>
      </c>
      <c r="G186" s="28">
        <v>661</v>
      </c>
      <c r="H186" s="28">
        <v>0</v>
      </c>
      <c r="I186" s="28">
        <v>477</v>
      </c>
      <c r="J186" s="28">
        <v>461</v>
      </c>
      <c r="K186" s="28">
        <f>TABL12[[#This Row],[خط (T/B  TOT) SAR]]+TABL12[[#This Row],[خط (S/S  TOT) SAR2]]</f>
        <v>938</v>
      </c>
      <c r="L186" s="28">
        <v>277</v>
      </c>
      <c r="M186" s="29">
        <v>22.1</v>
      </c>
      <c r="N186" s="30">
        <v>7.4</v>
      </c>
      <c r="O186" s="12">
        <v>410</v>
      </c>
      <c r="P186" s="12">
        <f>TABL12[[#This Row],[خط (S/S  TOT) SAR2]]-TABL12[[#This Row],[(S/S TOT) AJD]]</f>
        <v>51</v>
      </c>
      <c r="Q186" s="12">
        <v>451</v>
      </c>
      <c r="R186" s="12">
        <f>TABL12[[#This Row],[خط (T/B  TOT) SAR]]-TABL12[[#This Row],[(T/B TOT) AJD]]</f>
        <v>26</v>
      </c>
      <c r="S186" s="12">
        <f>TABL12[[#This Row],[الفرق بين بداية ونهاية خط  S/S]]+TABL12[[#This Row],[الفرق بين بداية ونهاية خط  T/B]]</f>
        <v>77</v>
      </c>
      <c r="T186" s="12">
        <f t="shared" si="8"/>
        <v>861</v>
      </c>
      <c r="U186" s="12">
        <v>545</v>
      </c>
      <c r="V186" s="12">
        <v>277</v>
      </c>
      <c r="W186" s="12">
        <f t="shared" si="9"/>
        <v>822</v>
      </c>
      <c r="X186" s="12">
        <f t="shared" si="10"/>
        <v>39</v>
      </c>
      <c r="Y186" s="13">
        <v>92.072999999999993</v>
      </c>
      <c r="Z186" s="12">
        <v>243018</v>
      </c>
      <c r="AA186" s="12">
        <f>TABL12[[#This Row],[(RESV. STORGE) AJD]]/10</f>
        <v>24301.8</v>
      </c>
      <c r="AB186" s="3">
        <f t="shared" si="11"/>
        <v>29.594999999999999</v>
      </c>
      <c r="AC186" s="6">
        <v>2487</v>
      </c>
      <c r="AD186" s="5">
        <f>TABL12[[#This Row],[( S/S+T/B) AJD]]-(TABL12[[#This Row],[(A/B + A/S) AJD]]+(TABL12[[#This Row],[(STORGE DIFF.) AJD]])+TABL12[[#This Row],[البخر  AJD]]/1000)</f>
        <v>6.9180000000000064</v>
      </c>
      <c r="AE186" s="6">
        <v>80</v>
      </c>
      <c r="AF186" s="33">
        <v>58.887999999999998</v>
      </c>
      <c r="AG186" s="6">
        <v>1549761</v>
      </c>
      <c r="AH186" s="6">
        <f>TABL12[[#This Row],[ (RESV. STORGE) BER]]/10</f>
        <v>154976.1</v>
      </c>
      <c r="AI186" s="6">
        <v>3127</v>
      </c>
      <c r="AJ186" s="6">
        <f>TABL12[[#This Row],[(A/B TOT) AJD]]-TABL12[[#This Row],[BER_ IN]]</f>
        <v>465</v>
      </c>
      <c r="AK186" s="6">
        <v>35</v>
      </c>
      <c r="AL186" s="33">
        <v>43.737900000000003</v>
      </c>
      <c r="AM186" s="6">
        <v>3509720</v>
      </c>
      <c r="AN186" s="6">
        <f>TABL12[[#This Row],[ (RESV. STORGE) SER]]/10</f>
        <v>350972</v>
      </c>
      <c r="AO186" s="6">
        <v>1780</v>
      </c>
      <c r="AP186" s="32">
        <f>TABL12[[#This Row],[(A/S TOT) AJD]]-TABL12[[#This Row],[SER_ IN]]</f>
        <v>242</v>
      </c>
    </row>
    <row r="187" spans="1:42" ht="15.75" x14ac:dyDescent="0.25">
      <c r="A187" s="2">
        <v>45843</v>
      </c>
      <c r="B187" s="28">
        <v>32</v>
      </c>
      <c r="C187" s="28">
        <v>259</v>
      </c>
      <c r="D187" s="28">
        <v>32</v>
      </c>
      <c r="E187" s="28">
        <v>0</v>
      </c>
      <c r="F187" s="28">
        <v>102</v>
      </c>
      <c r="G187" s="28">
        <v>661</v>
      </c>
      <c r="H187" s="28">
        <v>0</v>
      </c>
      <c r="I187" s="28">
        <v>476</v>
      </c>
      <c r="J187" s="28">
        <v>462</v>
      </c>
      <c r="K187" s="28">
        <f>TABL12[[#This Row],[خط (T/B  TOT) SAR]]+TABL12[[#This Row],[خط (S/S  TOT) SAR2]]</f>
        <v>938</v>
      </c>
      <c r="L187" s="28">
        <v>277</v>
      </c>
      <c r="M187" s="29">
        <v>22.1</v>
      </c>
      <c r="N187" s="30">
        <v>7.3</v>
      </c>
      <c r="O187" s="12">
        <v>410</v>
      </c>
      <c r="P187" s="12">
        <f>TABL12[[#This Row],[خط (S/S  TOT) SAR2]]-TABL12[[#This Row],[(S/S TOT) AJD]]</f>
        <v>52</v>
      </c>
      <c r="Q187" s="12">
        <v>452</v>
      </c>
      <c r="R187" s="12">
        <f>TABL12[[#This Row],[خط (T/B  TOT) SAR]]-TABL12[[#This Row],[(T/B TOT) AJD]]</f>
        <v>24</v>
      </c>
      <c r="S187" s="12">
        <f>TABL12[[#This Row],[الفرق بين بداية ونهاية خط  S/S]]+TABL12[[#This Row],[الفرق بين بداية ونهاية خط  T/B]]</f>
        <v>76</v>
      </c>
      <c r="T187" s="12">
        <f t="shared" si="8"/>
        <v>862</v>
      </c>
      <c r="U187" s="12">
        <v>560</v>
      </c>
      <c r="V187" s="10">
        <v>271</v>
      </c>
      <c r="W187" s="10">
        <f t="shared" si="9"/>
        <v>831</v>
      </c>
      <c r="X187" s="10">
        <f t="shared" si="10"/>
        <v>31</v>
      </c>
      <c r="Y187" s="13">
        <v>92.108000000000004</v>
      </c>
      <c r="Z187" s="12">
        <v>263752</v>
      </c>
      <c r="AA187" s="12">
        <f>TABL12[[#This Row],[(RESV. STORGE) AJD]]/10</f>
        <v>26375.200000000001</v>
      </c>
      <c r="AB187" s="3">
        <f t="shared" si="11"/>
        <v>20.734000000000002</v>
      </c>
      <c r="AC187" s="6">
        <v>1875</v>
      </c>
      <c r="AD187" s="5">
        <f>TABL12[[#This Row],[( S/S+T/B) AJD]]-(TABL12[[#This Row],[(A/B + A/S) AJD]]+(TABL12[[#This Row],[(STORGE DIFF.) AJD]])+TABL12[[#This Row],[البخر  AJD]]/1000)</f>
        <v>8.3909999999999627</v>
      </c>
      <c r="AE187" s="6">
        <v>80</v>
      </c>
      <c r="AF187" s="33">
        <v>58.944000000000003</v>
      </c>
      <c r="AG187" s="6">
        <v>1586691</v>
      </c>
      <c r="AH187" s="6">
        <f>TABL12[[#This Row],[ (RESV. STORGE) BER]]/10</f>
        <v>158669.1</v>
      </c>
      <c r="AI187" s="6">
        <v>3229</v>
      </c>
      <c r="AJ187" s="6">
        <f>TABL12[[#This Row],[(A/B TOT) AJD]]-TABL12[[#This Row],[BER_ IN]]</f>
        <v>480</v>
      </c>
      <c r="AK187" s="6">
        <v>34</v>
      </c>
      <c r="AL187" s="33">
        <v>43.784399999999998</v>
      </c>
      <c r="AM187" s="6">
        <v>3534897</v>
      </c>
      <c r="AN187" s="6">
        <f>TABL12[[#This Row],[ (RESV. STORGE) SER]]/10</f>
        <v>353489.7</v>
      </c>
      <c r="AO187" s="6">
        <v>1790</v>
      </c>
      <c r="AP187" s="32">
        <f>TABL12[[#This Row],[(A/S TOT) AJD]]-TABL12[[#This Row],[SER_ IN]]</f>
        <v>237</v>
      </c>
    </row>
    <row r="188" spans="1:42" ht="15.75" x14ac:dyDescent="0.25">
      <c r="A188" s="2">
        <v>45844</v>
      </c>
      <c r="B188" s="28">
        <v>32</v>
      </c>
      <c r="C188" s="28">
        <v>252</v>
      </c>
      <c r="D188" s="28">
        <v>32</v>
      </c>
      <c r="E188" s="28">
        <v>0</v>
      </c>
      <c r="F188" s="28">
        <v>102</v>
      </c>
      <c r="G188" s="28">
        <v>660</v>
      </c>
      <c r="H188" s="28">
        <v>0</v>
      </c>
      <c r="I188" s="28">
        <v>475</v>
      </c>
      <c r="J188" s="28">
        <v>460</v>
      </c>
      <c r="K188" s="28">
        <f>TABL12[[#This Row],[خط (T/B  TOT) SAR]]+TABL12[[#This Row],[خط (S/S  TOT) SAR2]]</f>
        <v>935</v>
      </c>
      <c r="L188" s="28">
        <v>275</v>
      </c>
      <c r="M188" s="29">
        <v>22.1</v>
      </c>
      <c r="N188" s="30">
        <v>7.2</v>
      </c>
      <c r="O188" s="12">
        <v>411</v>
      </c>
      <c r="P188" s="12">
        <f>TABL12[[#This Row],[خط (S/S  TOT) SAR2]]-TABL12[[#This Row],[(S/S TOT) AJD]]</f>
        <v>49</v>
      </c>
      <c r="Q188" s="12">
        <v>453</v>
      </c>
      <c r="R188" s="12">
        <f>TABL12[[#This Row],[خط (T/B  TOT) SAR]]-TABL12[[#This Row],[(T/B TOT) AJD]]</f>
        <v>22</v>
      </c>
      <c r="S188" s="12">
        <f>TABL12[[#This Row],[الفرق بين بداية ونهاية خط  S/S]]+TABL12[[#This Row],[الفرق بين بداية ونهاية خط  T/B]]</f>
        <v>71</v>
      </c>
      <c r="T188" s="12">
        <f t="shared" si="8"/>
        <v>864</v>
      </c>
      <c r="U188" s="12">
        <v>557</v>
      </c>
      <c r="V188" s="12">
        <v>265</v>
      </c>
      <c r="W188" s="12">
        <f t="shared" si="9"/>
        <v>822</v>
      </c>
      <c r="X188" s="12">
        <f t="shared" si="10"/>
        <v>42</v>
      </c>
      <c r="Y188" s="13">
        <v>92.17</v>
      </c>
      <c r="Z188" s="12">
        <v>300501</v>
      </c>
      <c r="AA188" s="12">
        <f>TABL12[[#This Row],[(RESV. STORGE) AJD]]/10</f>
        <v>30050.1</v>
      </c>
      <c r="AB188" s="3">
        <f t="shared" si="11"/>
        <v>36.749000000000002</v>
      </c>
      <c r="AC188" s="6">
        <v>0</v>
      </c>
      <c r="AD188" s="5">
        <f>TABL12[[#This Row],[( S/S+T/B) AJD]]-(TABL12[[#This Row],[(A/B + A/S) AJD]]+(TABL12[[#This Row],[(STORGE DIFF.) AJD]])+TABL12[[#This Row],[البخر  AJD]]/1000)</f>
        <v>5.2509999999999764</v>
      </c>
      <c r="AE188" s="6">
        <v>80</v>
      </c>
      <c r="AF188" s="33">
        <v>59.003</v>
      </c>
      <c r="AG188" s="6">
        <v>1625630</v>
      </c>
      <c r="AH188" s="6">
        <f>TABL12[[#This Row],[ (RESV. STORGE) BER]]/10</f>
        <v>162563</v>
      </c>
      <c r="AI188" s="6">
        <v>3296</v>
      </c>
      <c r="AJ188" s="6">
        <f>TABL12[[#This Row],[(A/B TOT) AJD]]-TABL12[[#This Row],[BER_ IN]]</f>
        <v>477</v>
      </c>
      <c r="AK188" s="6">
        <v>36</v>
      </c>
      <c r="AL188" s="33">
        <v>43.746600000000001</v>
      </c>
      <c r="AM188" s="6">
        <v>3514650</v>
      </c>
      <c r="AN188" s="6">
        <f>TABL12[[#This Row],[ (RESV. STORGE) SER]]/10</f>
        <v>351465</v>
      </c>
      <c r="AO188" s="6">
        <v>1810</v>
      </c>
      <c r="AP188" s="32">
        <f>TABL12[[#This Row],[(A/S TOT) AJD]]-TABL12[[#This Row],[SER_ IN]]</f>
        <v>229</v>
      </c>
    </row>
    <row r="189" spans="1:42" ht="15.75" x14ac:dyDescent="0.25">
      <c r="A189" s="2">
        <v>45845</v>
      </c>
      <c r="B189" s="28">
        <v>36</v>
      </c>
      <c r="C189" s="28">
        <v>251</v>
      </c>
      <c r="D189" s="28">
        <v>32</v>
      </c>
      <c r="E189" s="28">
        <v>0</v>
      </c>
      <c r="F189" s="28">
        <v>102</v>
      </c>
      <c r="G189" s="28">
        <v>652</v>
      </c>
      <c r="H189" s="28">
        <v>0</v>
      </c>
      <c r="I189" s="28">
        <v>470</v>
      </c>
      <c r="J189" s="28">
        <v>455</v>
      </c>
      <c r="K189" s="28">
        <f>TABL12[[#This Row],[خط (T/B  TOT) SAR]]+TABL12[[#This Row],[خط (S/S  TOT) SAR2]]</f>
        <v>925</v>
      </c>
      <c r="L189" s="28">
        <v>273</v>
      </c>
      <c r="M189" s="29">
        <v>22.1</v>
      </c>
      <c r="N189" s="30">
        <v>7.1</v>
      </c>
      <c r="O189" s="12">
        <v>411</v>
      </c>
      <c r="P189" s="12">
        <f>TABL12[[#This Row],[خط (S/S  TOT) SAR2]]-TABL12[[#This Row],[(S/S TOT) AJD]]</f>
        <v>44</v>
      </c>
      <c r="Q189" s="12">
        <v>449</v>
      </c>
      <c r="R189" s="12">
        <f>TABL12[[#This Row],[خط (T/B  TOT) SAR]]-TABL12[[#This Row],[(T/B TOT) AJD]]</f>
        <v>21</v>
      </c>
      <c r="S189" s="12">
        <f>TABL12[[#This Row],[الفرق بين بداية ونهاية خط  S/S]]+TABL12[[#This Row],[الفرق بين بداية ونهاية خط  T/B]]</f>
        <v>65</v>
      </c>
      <c r="T189" s="12">
        <f t="shared" si="8"/>
        <v>860</v>
      </c>
      <c r="U189" s="12">
        <v>550</v>
      </c>
      <c r="V189" s="12">
        <v>257</v>
      </c>
      <c r="W189" s="12">
        <f t="shared" si="9"/>
        <v>807</v>
      </c>
      <c r="X189" s="12">
        <f t="shared" si="10"/>
        <v>53</v>
      </c>
      <c r="Y189" s="13">
        <v>92.242999999999995</v>
      </c>
      <c r="Z189" s="12">
        <v>343808</v>
      </c>
      <c r="AA189" s="12">
        <f>TABL12[[#This Row],[(RESV. STORGE) AJD]]/10</f>
        <v>34380.800000000003</v>
      </c>
      <c r="AB189" s="3">
        <f t="shared" si="11"/>
        <v>43.307000000000002</v>
      </c>
      <c r="AC189" s="6">
        <v>0</v>
      </c>
      <c r="AD189" s="5">
        <f>TABL12[[#This Row],[( S/S+T/B) AJD]]-(TABL12[[#This Row],[(A/B + A/S) AJD]]+(TABL12[[#This Row],[(STORGE DIFF.) AJD]])+TABL12[[#This Row],[البخر  AJD]]/1000)</f>
        <v>9.6929999999999836</v>
      </c>
      <c r="AE189" s="6">
        <v>80</v>
      </c>
      <c r="AF189" s="33">
        <v>59.066000000000003</v>
      </c>
      <c r="AG189" s="6">
        <v>1667241</v>
      </c>
      <c r="AH189" s="6">
        <f>TABL12[[#This Row],[ (RESV. STORGE) BER]]/10</f>
        <v>166724.1</v>
      </c>
      <c r="AI189" s="6">
        <v>3252</v>
      </c>
      <c r="AJ189" s="6">
        <f>TABL12[[#This Row],[(A/B TOT) AJD]]-TABL12[[#This Row],[BER_ IN]]</f>
        <v>470</v>
      </c>
      <c r="AK189" s="6">
        <v>36</v>
      </c>
      <c r="AL189" s="33">
        <v>43.7239</v>
      </c>
      <c r="AM189" s="6">
        <v>3502080</v>
      </c>
      <c r="AN189" s="6">
        <f>TABL12[[#This Row],[ (RESV. STORGE) SER]]/10</f>
        <v>350208</v>
      </c>
      <c r="AO189" s="6">
        <v>1890</v>
      </c>
      <c r="AP189" s="32">
        <f>TABL12[[#This Row],[(A/S TOT) AJD]]-TABL12[[#This Row],[SER_ IN]]</f>
        <v>221</v>
      </c>
    </row>
    <row r="190" spans="1:42" ht="15.75" x14ac:dyDescent="0.25">
      <c r="A190" s="2">
        <v>45846</v>
      </c>
      <c r="B190" s="28">
        <v>30</v>
      </c>
      <c r="C190" s="28">
        <v>243</v>
      </c>
      <c r="D190" s="28">
        <v>31</v>
      </c>
      <c r="E190" s="28">
        <v>0</v>
      </c>
      <c r="F190" s="28">
        <v>102</v>
      </c>
      <c r="G190" s="28">
        <v>658</v>
      </c>
      <c r="H190" s="28">
        <v>0</v>
      </c>
      <c r="I190" s="28">
        <v>471</v>
      </c>
      <c r="J190" s="28">
        <v>458</v>
      </c>
      <c r="K190" s="28">
        <f>TABL12[[#This Row],[خط (T/B  TOT) SAR]]+TABL12[[#This Row],[خط (S/S  TOT) SAR2]]</f>
        <v>929</v>
      </c>
      <c r="L190" s="28">
        <v>271</v>
      </c>
      <c r="M190" s="29">
        <v>22.1</v>
      </c>
      <c r="N190" s="30">
        <v>7.03</v>
      </c>
      <c r="O190" s="12">
        <v>400</v>
      </c>
      <c r="P190" s="12">
        <f>TABL12[[#This Row],[خط (S/S  TOT) SAR2]]-TABL12[[#This Row],[(S/S TOT) AJD]]</f>
        <v>58</v>
      </c>
      <c r="Q190" s="12">
        <v>443</v>
      </c>
      <c r="R190" s="12">
        <f>TABL12[[#This Row],[خط (T/B  TOT) SAR]]-TABL12[[#This Row],[(T/B TOT) AJD]]</f>
        <v>28</v>
      </c>
      <c r="S190" s="12">
        <f>TABL12[[#This Row],[الفرق بين بداية ونهاية خط  S/S]]+TABL12[[#This Row],[الفرق بين بداية ونهاية خط  T/B]]</f>
        <v>86</v>
      </c>
      <c r="T190" s="12">
        <f t="shared" si="8"/>
        <v>843</v>
      </c>
      <c r="U190" s="12">
        <v>561</v>
      </c>
      <c r="V190" s="12">
        <v>255</v>
      </c>
      <c r="W190" s="12">
        <f t="shared" si="9"/>
        <v>816</v>
      </c>
      <c r="X190" s="12">
        <f t="shared" si="10"/>
        <v>27</v>
      </c>
      <c r="Y190" s="13">
        <v>92.27</v>
      </c>
      <c r="Z190" s="12">
        <v>359834</v>
      </c>
      <c r="AA190" s="12">
        <f>TABL12[[#This Row],[(RESV. STORGE) AJD]]/10</f>
        <v>35983.4</v>
      </c>
      <c r="AB190" s="3">
        <f t="shared" si="11"/>
        <v>16.026</v>
      </c>
      <c r="AC190" s="6">
        <v>2610</v>
      </c>
      <c r="AD190" s="5">
        <f>TABL12[[#This Row],[( S/S+T/B) AJD]]-(TABL12[[#This Row],[(A/B + A/S) AJD]]+(TABL12[[#This Row],[(STORGE DIFF.) AJD]])+TABL12[[#This Row],[البخر  AJD]]/1000)</f>
        <v>8.3640000000000327</v>
      </c>
      <c r="AE190" s="6">
        <v>80</v>
      </c>
      <c r="AF190" s="33">
        <v>59.151000000000003</v>
      </c>
      <c r="AG190" s="6">
        <v>1723438</v>
      </c>
      <c r="AH190" s="6">
        <f>TABL12[[#This Row],[ (RESV. STORGE) BER]]/10</f>
        <v>172343.8</v>
      </c>
      <c r="AI190" s="6">
        <v>3053</v>
      </c>
      <c r="AJ190" s="6">
        <f>TABL12[[#This Row],[(A/B TOT) AJD]]-TABL12[[#This Row],[BER_ IN]]</f>
        <v>481</v>
      </c>
      <c r="AK190" s="6">
        <v>36</v>
      </c>
      <c r="AL190" s="33">
        <v>43.7074</v>
      </c>
      <c r="AM190" s="6">
        <v>3493110</v>
      </c>
      <c r="AN190" s="6">
        <f>TABL12[[#This Row],[ (RESV. STORGE) SER]]/10</f>
        <v>349311</v>
      </c>
      <c r="AO190" s="6">
        <v>1950</v>
      </c>
      <c r="AP190" s="32">
        <f>TABL12[[#This Row],[(A/S TOT) AJD]]-TABL12[[#This Row],[SER_ IN]]</f>
        <v>219</v>
      </c>
    </row>
    <row r="191" spans="1:42" ht="15.75" x14ac:dyDescent="0.25">
      <c r="A191" s="2">
        <v>45847</v>
      </c>
      <c r="B191" s="28">
        <v>30</v>
      </c>
      <c r="C191" s="28">
        <v>242</v>
      </c>
      <c r="D191" s="28">
        <v>31</v>
      </c>
      <c r="E191" s="28">
        <v>0</v>
      </c>
      <c r="F191" s="28">
        <v>102</v>
      </c>
      <c r="G191" s="28">
        <v>677</v>
      </c>
      <c r="H191" s="28">
        <v>0</v>
      </c>
      <c r="I191" s="28">
        <v>490</v>
      </c>
      <c r="J191" s="28">
        <v>458</v>
      </c>
      <c r="K191" s="28">
        <f>TABL12[[#This Row],[خط (T/B  TOT) SAR]]+TABL12[[#This Row],[خط (S/S  TOT) SAR2]]</f>
        <v>948</v>
      </c>
      <c r="L191" s="28">
        <v>271</v>
      </c>
      <c r="M191" s="29">
        <v>22.1</v>
      </c>
      <c r="N191" s="30">
        <v>6.98</v>
      </c>
      <c r="O191" s="12">
        <v>404</v>
      </c>
      <c r="P191" s="12">
        <f>TABL12[[#This Row],[خط (S/S  TOT) SAR2]]-TABL12[[#This Row],[(S/S TOT) AJD]]</f>
        <v>54</v>
      </c>
      <c r="Q191" s="12">
        <v>447</v>
      </c>
      <c r="R191" s="12">
        <f>TABL12[[#This Row],[خط (T/B  TOT) SAR]]-TABL12[[#This Row],[(T/B TOT) AJD]]</f>
        <v>43</v>
      </c>
      <c r="S191" s="12">
        <f>TABL12[[#This Row],[الفرق بين بداية ونهاية خط  S/S]]+TABL12[[#This Row],[الفرق بين بداية ونهاية خط  T/B]]</f>
        <v>97</v>
      </c>
      <c r="T191" s="12">
        <f t="shared" si="8"/>
        <v>851</v>
      </c>
      <c r="U191" s="12">
        <v>586</v>
      </c>
      <c r="V191" s="12">
        <v>304</v>
      </c>
      <c r="W191" s="12">
        <f t="shared" si="9"/>
        <v>890</v>
      </c>
      <c r="X191" s="12">
        <f t="shared" si="10"/>
        <v>-39</v>
      </c>
      <c r="Y191" s="13">
        <v>92.19</v>
      </c>
      <c r="Z191" s="12">
        <v>312364</v>
      </c>
      <c r="AA191" s="12">
        <f>TABL12[[#This Row],[(RESV. STORGE) AJD]]/10</f>
        <v>31236.400000000001</v>
      </c>
      <c r="AB191" s="3">
        <f t="shared" si="11"/>
        <v>-47.47</v>
      </c>
      <c r="AC191" s="6">
        <v>2768</v>
      </c>
      <c r="AD191" s="5">
        <f>TABL12[[#This Row],[( S/S+T/B) AJD]]-(TABL12[[#This Row],[(A/B + A/S) AJD]]+(TABL12[[#This Row],[(STORGE DIFF.) AJD]])+TABL12[[#This Row],[البخر  AJD]]/1000)</f>
        <v>5.7019999999999982</v>
      </c>
      <c r="AE191" s="6">
        <v>80</v>
      </c>
      <c r="AF191" s="33">
        <v>59.207000000000001</v>
      </c>
      <c r="AG191" s="6">
        <v>1760496</v>
      </c>
      <c r="AH191" s="6">
        <f>TABL12[[#This Row],[ (RESV. STORGE) BER]]/10</f>
        <v>176049.6</v>
      </c>
      <c r="AI191" s="6">
        <v>3102</v>
      </c>
      <c r="AJ191" s="6">
        <f>TABL12[[#This Row],[(A/B TOT) AJD]]-TABL12[[#This Row],[BER_ IN]]</f>
        <v>506</v>
      </c>
      <c r="AK191" s="6">
        <v>38</v>
      </c>
      <c r="AL191" s="33">
        <v>43.700699999999998</v>
      </c>
      <c r="AM191" s="6">
        <v>3489490</v>
      </c>
      <c r="AN191" s="6">
        <f>TABL12[[#This Row],[ (RESV. STORGE) SER]]/10</f>
        <v>348949</v>
      </c>
      <c r="AO191" s="6">
        <v>2120</v>
      </c>
      <c r="AP191" s="32">
        <f>TABL12[[#This Row],[(A/S TOT) AJD]]-TABL12[[#This Row],[SER_ IN]]</f>
        <v>266</v>
      </c>
    </row>
    <row r="192" spans="1:42" ht="15.75" x14ac:dyDescent="0.25">
      <c r="A192" s="2">
        <v>45848</v>
      </c>
      <c r="B192" s="28">
        <v>31</v>
      </c>
      <c r="C192" s="28">
        <v>251</v>
      </c>
      <c r="D192" s="28">
        <v>31</v>
      </c>
      <c r="E192" s="28">
        <v>0</v>
      </c>
      <c r="F192" s="28">
        <v>102</v>
      </c>
      <c r="G192" s="28">
        <v>668</v>
      </c>
      <c r="H192" s="28">
        <v>0</v>
      </c>
      <c r="I192" s="28">
        <v>461</v>
      </c>
      <c r="J192" s="28">
        <v>456</v>
      </c>
      <c r="K192" s="28">
        <f>TABL12[[#This Row],[خط (T/B  TOT) SAR]]+TABL12[[#This Row],[خط (S/S  TOT) SAR2]]</f>
        <v>917</v>
      </c>
      <c r="L192" s="28">
        <v>249</v>
      </c>
      <c r="M192" s="29">
        <v>20.8</v>
      </c>
      <c r="N192" s="30">
        <v>6.77</v>
      </c>
      <c r="O192" s="12">
        <v>402</v>
      </c>
      <c r="P192" s="12">
        <f>TABL12[[#This Row],[خط (S/S  TOT) SAR2]]-TABL12[[#This Row],[(S/S TOT) AJD]]</f>
        <v>54</v>
      </c>
      <c r="Q192" s="12">
        <v>444</v>
      </c>
      <c r="R192" s="12">
        <f>TABL12[[#This Row],[خط (T/B  TOT) SAR]]-TABL12[[#This Row],[(T/B TOT) AJD]]</f>
        <v>17</v>
      </c>
      <c r="S192" s="12">
        <f>TABL12[[#This Row],[الفرق بين بداية ونهاية خط  S/S]]+TABL12[[#This Row],[الفرق بين بداية ونهاية خط  T/B]]</f>
        <v>71</v>
      </c>
      <c r="T192" s="12">
        <f t="shared" si="8"/>
        <v>846</v>
      </c>
      <c r="U192" s="12">
        <v>572</v>
      </c>
      <c r="V192" s="12">
        <v>298</v>
      </c>
      <c r="W192" s="12">
        <f t="shared" si="9"/>
        <v>870</v>
      </c>
      <c r="X192" s="12">
        <f t="shared" si="10"/>
        <v>-24</v>
      </c>
      <c r="Y192" s="13">
        <v>92.113</v>
      </c>
      <c r="Z192" s="12">
        <v>266936</v>
      </c>
      <c r="AA192" s="12">
        <f>TABL12[[#This Row],[(RESV. STORGE) AJD]]/10</f>
        <v>26693.599999999999</v>
      </c>
      <c r="AB192" s="3">
        <f t="shared" si="11"/>
        <v>-45.427999999999997</v>
      </c>
      <c r="AC192" s="6">
        <v>0</v>
      </c>
      <c r="AD192" s="5">
        <f>TABL12[[#This Row],[( S/S+T/B) AJD]]-(TABL12[[#This Row],[(A/B + A/S) AJD]]+(TABL12[[#This Row],[(STORGE DIFF.) AJD]])+TABL12[[#This Row],[البخر  AJD]]/1000)</f>
        <v>21.427999999999997</v>
      </c>
      <c r="AE192" s="6">
        <v>80</v>
      </c>
      <c r="AF192" s="33">
        <v>59.225000000000001</v>
      </c>
      <c r="AG192" s="6">
        <v>1772414</v>
      </c>
      <c r="AH192" s="6">
        <f>TABL12[[#This Row],[ (RESV. STORGE) BER]]/10</f>
        <v>177241.4</v>
      </c>
      <c r="AI192" s="6">
        <v>2927</v>
      </c>
      <c r="AJ192" s="6">
        <f>TABL12[[#This Row],[(A/B TOT) AJD]]-TABL12[[#This Row],[BER_ IN]]</f>
        <v>492</v>
      </c>
      <c r="AK192" s="6">
        <v>39</v>
      </c>
      <c r="AL192" s="33">
        <v>43.6616</v>
      </c>
      <c r="AM192" s="6">
        <v>3468170</v>
      </c>
      <c r="AN192" s="6">
        <f>TABL12[[#This Row],[ (RESV. STORGE) SER]]/10</f>
        <v>346817</v>
      </c>
      <c r="AO192" s="6">
        <v>2135</v>
      </c>
      <c r="AP192" s="32">
        <f>TABL12[[#This Row],[(A/S TOT) AJD]]-TABL12[[#This Row],[SER_ IN]]</f>
        <v>259</v>
      </c>
    </row>
    <row r="193" spans="1:42" ht="15.75" x14ac:dyDescent="0.25">
      <c r="A193" s="2">
        <v>45849</v>
      </c>
      <c r="B193" s="28">
        <v>31</v>
      </c>
      <c r="C193" s="28">
        <v>257</v>
      </c>
      <c r="D193" s="28">
        <v>31</v>
      </c>
      <c r="E193" s="28">
        <v>0</v>
      </c>
      <c r="F193" s="28">
        <v>102</v>
      </c>
      <c r="G193" s="28">
        <v>668</v>
      </c>
      <c r="H193" s="28">
        <v>0</v>
      </c>
      <c r="I193" s="28">
        <v>470</v>
      </c>
      <c r="J193" s="28">
        <v>453</v>
      </c>
      <c r="K193" s="28">
        <f>TABL12[[#This Row],[خط (T/B  TOT) SAR]]+TABL12[[#This Row],[خط (S/S  TOT) SAR2]]</f>
        <v>923</v>
      </c>
      <c r="L193" s="28">
        <v>255</v>
      </c>
      <c r="M193" s="29">
        <v>20.8</v>
      </c>
      <c r="N193" s="30">
        <v>6.79</v>
      </c>
      <c r="O193" s="12">
        <v>409</v>
      </c>
      <c r="P193" s="12">
        <f>TABL12[[#This Row],[خط (S/S  TOT) SAR2]]-TABL12[[#This Row],[(S/S TOT) AJD]]</f>
        <v>44</v>
      </c>
      <c r="Q193" s="12">
        <v>436</v>
      </c>
      <c r="R193" s="12">
        <f>TABL12[[#This Row],[خط (T/B  TOT) SAR]]-TABL12[[#This Row],[(T/B TOT) AJD]]</f>
        <v>34</v>
      </c>
      <c r="S193" s="12">
        <f>TABL12[[#This Row],[الفرق بين بداية ونهاية خط  S/S]]+TABL12[[#This Row],[الفرق بين بداية ونهاية خط  T/B]]</f>
        <v>78</v>
      </c>
      <c r="T193" s="12">
        <f t="shared" si="8"/>
        <v>845</v>
      </c>
      <c r="U193" s="12">
        <v>575</v>
      </c>
      <c r="V193" s="12">
        <v>294</v>
      </c>
      <c r="W193" s="12">
        <f t="shared" si="9"/>
        <v>869</v>
      </c>
      <c r="X193" s="12">
        <f t="shared" si="10"/>
        <v>-24</v>
      </c>
      <c r="Y193" s="13">
        <v>92.037999999999997</v>
      </c>
      <c r="Z193" s="12">
        <v>222300</v>
      </c>
      <c r="AA193" s="12">
        <f>TABL12[[#This Row],[(RESV. STORGE) AJD]]/10</f>
        <v>22230</v>
      </c>
      <c r="AB193" s="3">
        <f t="shared" si="11"/>
        <v>-44.636000000000003</v>
      </c>
      <c r="AC193" s="6">
        <v>0</v>
      </c>
      <c r="AD193" s="5">
        <f>TABL12[[#This Row],[( S/S+T/B) AJD]]-(TABL12[[#This Row],[(A/B + A/S) AJD]]+(TABL12[[#This Row],[(STORGE DIFF.) AJD]])+TABL12[[#This Row],[البخر  AJD]]/1000)</f>
        <v>20.635999999999967</v>
      </c>
      <c r="AE193" s="6">
        <v>80</v>
      </c>
      <c r="AF193" s="33">
        <v>59.220999999999997</v>
      </c>
      <c r="AG193" s="6">
        <v>1769765</v>
      </c>
      <c r="AH193" s="6">
        <f>TABL12[[#This Row],[ (RESV. STORGE) BER]]/10</f>
        <v>176976.5</v>
      </c>
      <c r="AI193" s="6">
        <v>2968</v>
      </c>
      <c r="AJ193" s="6">
        <f>TABL12[[#This Row],[(A/B TOT) AJD]]-TABL12[[#This Row],[BER_ IN]]</f>
        <v>495</v>
      </c>
      <c r="AK193" s="6">
        <v>36</v>
      </c>
      <c r="AL193" s="33">
        <v>43.478900000000003</v>
      </c>
      <c r="AM193" s="6">
        <v>3368325</v>
      </c>
      <c r="AN193" s="6">
        <f>TABL12[[#This Row],[ (RESV. STORGE) SER]]/10</f>
        <v>336832.5</v>
      </c>
      <c r="AO193" s="6">
        <v>2050</v>
      </c>
      <c r="AP193" s="32">
        <f>TABL12[[#This Row],[(A/S TOT) AJD]]-TABL12[[#This Row],[SER_ IN]]</f>
        <v>258</v>
      </c>
    </row>
    <row r="194" spans="1:42" ht="15.75" x14ac:dyDescent="0.25">
      <c r="A194" s="2">
        <v>45850</v>
      </c>
      <c r="B194" s="28">
        <v>31</v>
      </c>
      <c r="C194" s="28">
        <v>259</v>
      </c>
      <c r="D194" s="28">
        <v>31</v>
      </c>
      <c r="E194" s="28">
        <v>0</v>
      </c>
      <c r="F194" s="28">
        <v>102</v>
      </c>
      <c r="G194" s="28">
        <v>669</v>
      </c>
      <c r="H194" s="28">
        <v>0</v>
      </c>
      <c r="I194" s="28">
        <v>468</v>
      </c>
      <c r="J194" s="28">
        <v>448</v>
      </c>
      <c r="K194" s="28">
        <f>TABL12[[#This Row],[خط (T/B  TOT) SAR]]+TABL12[[#This Row],[خط (S/S  TOT) SAR2]]</f>
        <v>916</v>
      </c>
      <c r="L194" s="28">
        <v>247</v>
      </c>
      <c r="M194" s="29">
        <v>20</v>
      </c>
      <c r="N194" s="30">
        <v>6.86</v>
      </c>
      <c r="O194" s="12">
        <v>399</v>
      </c>
      <c r="P194" s="12">
        <f>TABL12[[#This Row],[خط (S/S  TOT) SAR2]]-TABL12[[#This Row],[(S/S TOT) AJD]]</f>
        <v>49</v>
      </c>
      <c r="Q194" s="12">
        <v>441</v>
      </c>
      <c r="R194" s="12">
        <f>TABL12[[#This Row],[خط (T/B  TOT) SAR]]-TABL12[[#This Row],[(T/B TOT) AJD]]</f>
        <v>27</v>
      </c>
      <c r="S194" s="12">
        <f>TABL12[[#This Row],[الفرق بين بداية ونهاية خط  S/S]]+TABL12[[#This Row],[الفرق بين بداية ونهاية خط  T/B]]</f>
        <v>76</v>
      </c>
      <c r="T194" s="12">
        <f t="shared" ref="T194:T257" si="12">O194+Q194</f>
        <v>840</v>
      </c>
      <c r="U194" s="12">
        <v>574</v>
      </c>
      <c r="V194" s="12">
        <v>300</v>
      </c>
      <c r="W194" s="12">
        <f t="shared" ref="W194:W257" si="13">U194+V194</f>
        <v>874</v>
      </c>
      <c r="X194" s="12">
        <f t="shared" ref="X194:X257" si="14">T194-W194</f>
        <v>-34</v>
      </c>
      <c r="Y194" s="13">
        <v>91.968000000000004</v>
      </c>
      <c r="Z194" s="12">
        <v>180660</v>
      </c>
      <c r="AA194" s="12">
        <f>TABL12[[#This Row],[(RESV. STORGE) AJD]]/10</f>
        <v>18066</v>
      </c>
      <c r="AB194" s="3">
        <f t="shared" si="11"/>
        <v>-41.64</v>
      </c>
      <c r="AC194" s="6">
        <v>2293</v>
      </c>
      <c r="AD194" s="5">
        <f>TABL12[[#This Row],[( S/S+T/B) AJD]]-(TABL12[[#This Row],[(A/B + A/S) AJD]]+(TABL12[[#This Row],[(STORGE DIFF.) AJD]])+TABL12[[#This Row],[البخر  AJD]]/1000)</f>
        <v>5.34699999999998</v>
      </c>
      <c r="AE194" s="6">
        <v>80</v>
      </c>
      <c r="AF194" s="33">
        <v>59.218000000000004</v>
      </c>
      <c r="AG194" s="6">
        <v>1767779</v>
      </c>
      <c r="AH194" s="6">
        <f>TABL12[[#This Row],[ (RESV. STORGE) BER]]/10</f>
        <v>176777.9</v>
      </c>
      <c r="AI194" s="6">
        <v>2306</v>
      </c>
      <c r="AJ194" s="6">
        <f>TABL12[[#This Row],[(A/B TOT) AJD]]-TABL12[[#This Row],[BER_ IN]]</f>
        <v>494</v>
      </c>
      <c r="AK194" s="6">
        <v>35</v>
      </c>
      <c r="AL194" s="33">
        <v>43.330300000000001</v>
      </c>
      <c r="AM194" s="6">
        <v>3287230</v>
      </c>
      <c r="AN194" s="6">
        <f>TABL12[[#This Row],[ (RESV. STORGE) SER]]/10</f>
        <v>328723</v>
      </c>
      <c r="AO194" s="6">
        <v>2010</v>
      </c>
      <c r="AP194" s="32">
        <f>TABL12[[#This Row],[(A/S TOT) AJD]]-TABL12[[#This Row],[SER_ IN]]</f>
        <v>265</v>
      </c>
    </row>
    <row r="195" spans="1:42" ht="15.75" x14ac:dyDescent="0.25">
      <c r="A195" s="2">
        <v>45851</v>
      </c>
      <c r="B195" s="28">
        <v>30</v>
      </c>
      <c r="C195" s="28">
        <v>258</v>
      </c>
      <c r="D195" s="28">
        <v>30</v>
      </c>
      <c r="E195" s="28">
        <v>0</v>
      </c>
      <c r="F195" s="28">
        <v>102</v>
      </c>
      <c r="G195" s="28">
        <v>668</v>
      </c>
      <c r="H195" s="28">
        <v>0</v>
      </c>
      <c r="I195" s="28">
        <v>466</v>
      </c>
      <c r="J195" s="28">
        <v>449</v>
      </c>
      <c r="K195" s="28">
        <f>TABL12[[#This Row],[خط (T/B  TOT) SAR]]+TABL12[[#This Row],[خط (S/S  TOT) SAR2]]</f>
        <v>915</v>
      </c>
      <c r="L195" s="28">
        <v>247</v>
      </c>
      <c r="M195" s="29">
        <v>20</v>
      </c>
      <c r="N195" s="30">
        <v>6.94</v>
      </c>
      <c r="O195" s="12">
        <v>397</v>
      </c>
      <c r="P195" s="12">
        <f>TABL12[[#This Row],[خط (S/S  TOT) SAR2]]-TABL12[[#This Row],[(S/S TOT) AJD]]</f>
        <v>52</v>
      </c>
      <c r="Q195" s="12">
        <v>438</v>
      </c>
      <c r="R195" s="12">
        <f>TABL12[[#This Row],[خط (T/B  TOT) SAR]]-TABL12[[#This Row],[(T/B TOT) AJD]]</f>
        <v>28</v>
      </c>
      <c r="S195" s="12">
        <f>TABL12[[#This Row],[الفرق بين بداية ونهاية خط  S/S]]+TABL12[[#This Row],[الفرق بين بداية ونهاية خط  T/B]]</f>
        <v>80</v>
      </c>
      <c r="T195" s="12">
        <f t="shared" si="12"/>
        <v>835</v>
      </c>
      <c r="U195" s="12">
        <v>573</v>
      </c>
      <c r="V195" s="12">
        <v>273</v>
      </c>
      <c r="W195" s="12">
        <f t="shared" si="13"/>
        <v>846</v>
      </c>
      <c r="X195" s="12">
        <f t="shared" si="14"/>
        <v>-11</v>
      </c>
      <c r="Y195" s="13">
        <v>91.930999999999997</v>
      </c>
      <c r="Z195" s="12">
        <v>159014</v>
      </c>
      <c r="AA195" s="12">
        <f>TABL12[[#This Row],[(RESV. STORGE) AJD]]/10</f>
        <v>15901.4</v>
      </c>
      <c r="AB195" s="3">
        <f t="shared" ref="AB195:AB258" si="15">(Z195-Z194)/1000</f>
        <v>-21.646000000000001</v>
      </c>
      <c r="AC195" s="6">
        <v>0</v>
      </c>
      <c r="AD195" s="5">
        <f>TABL12[[#This Row],[( S/S+T/B) AJD]]-(TABL12[[#This Row],[(A/B + A/S) AJD]]+(TABL12[[#This Row],[(STORGE DIFF.) AJD]])+TABL12[[#This Row],[البخر  AJD]]/1000)</f>
        <v>10.645999999999958</v>
      </c>
      <c r="AE195" s="6">
        <v>80</v>
      </c>
      <c r="AF195" s="33">
        <v>59.213999999999999</v>
      </c>
      <c r="AG195" s="6">
        <v>1765130</v>
      </c>
      <c r="AH195" s="6">
        <f>TABL12[[#This Row],[ (RESV. STORGE) BER]]/10</f>
        <v>176513</v>
      </c>
      <c r="AI195" s="6">
        <v>2968</v>
      </c>
      <c r="AJ195" s="6">
        <f>TABL12[[#This Row],[(A/B TOT) AJD]]-TABL12[[#This Row],[BER_ IN]]</f>
        <v>493</v>
      </c>
      <c r="AK195" s="6">
        <v>35</v>
      </c>
      <c r="AL195" s="33">
        <v>43.202599999999997</v>
      </c>
      <c r="AM195" s="6">
        <v>3218380</v>
      </c>
      <c r="AN195" s="6">
        <f>TABL12[[#This Row],[ (RESV. STORGE) SER]]/10</f>
        <v>321838</v>
      </c>
      <c r="AO195" s="6">
        <v>2120</v>
      </c>
      <c r="AP195" s="32">
        <f>TABL12[[#This Row],[(A/S TOT) AJD]]-TABL12[[#This Row],[SER_ IN]]</f>
        <v>238</v>
      </c>
    </row>
    <row r="196" spans="1:42" ht="15.75" x14ac:dyDescent="0.25">
      <c r="A196" s="2">
        <v>45852</v>
      </c>
      <c r="B196" s="28">
        <v>30</v>
      </c>
      <c r="C196" s="28">
        <v>256</v>
      </c>
      <c r="D196" s="28">
        <v>30</v>
      </c>
      <c r="E196" s="28">
        <v>0</v>
      </c>
      <c r="F196" s="28">
        <v>102</v>
      </c>
      <c r="G196" s="28">
        <v>662</v>
      </c>
      <c r="H196" s="28">
        <v>0</v>
      </c>
      <c r="I196" s="28">
        <v>465</v>
      </c>
      <c r="J196" s="28">
        <v>446</v>
      </c>
      <c r="K196" s="28">
        <f>TABL12[[#This Row],[خط (T/B  TOT) SAR]]+TABL12[[#This Row],[خط (S/S  TOT) SAR2]]</f>
        <v>911</v>
      </c>
      <c r="L196" s="28">
        <v>249</v>
      </c>
      <c r="M196" s="29">
        <v>20</v>
      </c>
      <c r="N196" s="30">
        <v>7</v>
      </c>
      <c r="O196" s="12">
        <v>399</v>
      </c>
      <c r="P196" s="12">
        <f>TABL12[[#This Row],[خط (S/S  TOT) SAR2]]-TABL12[[#This Row],[(S/S TOT) AJD]]</f>
        <v>47</v>
      </c>
      <c r="Q196" s="12">
        <v>441</v>
      </c>
      <c r="R196" s="12">
        <f>TABL12[[#This Row],[خط (T/B  TOT) SAR]]-TABL12[[#This Row],[(T/B TOT) AJD]]</f>
        <v>24</v>
      </c>
      <c r="S196" s="12">
        <f>TABL12[[#This Row],[الفرق بين بداية ونهاية خط  S/S]]+TABL12[[#This Row],[الفرق بين بداية ونهاية خط  T/B]]</f>
        <v>71</v>
      </c>
      <c r="T196" s="12">
        <f t="shared" si="12"/>
        <v>840</v>
      </c>
      <c r="U196" s="12">
        <v>572</v>
      </c>
      <c r="V196" s="12">
        <v>272</v>
      </c>
      <c r="W196" s="12">
        <f t="shared" si="13"/>
        <v>844</v>
      </c>
      <c r="X196" s="12">
        <f t="shared" si="14"/>
        <v>-4</v>
      </c>
      <c r="Y196" s="13">
        <v>91.92</v>
      </c>
      <c r="Z196" s="12">
        <v>152512</v>
      </c>
      <c r="AA196" s="12">
        <f>TABL12[[#This Row],[(RESV. STORGE) AJD]]/10</f>
        <v>15251.2</v>
      </c>
      <c r="AB196" s="3">
        <f t="shared" si="15"/>
        <v>-6.5019999999999998</v>
      </c>
      <c r="AC196" s="6">
        <v>0</v>
      </c>
      <c r="AD196" s="5">
        <f>TABL12[[#This Row],[( S/S+T/B) AJD]]-(TABL12[[#This Row],[(A/B + A/S) AJD]]+(TABL12[[#This Row],[(STORGE DIFF.) AJD]])+TABL12[[#This Row],[البخر  AJD]]/1000)</f>
        <v>2.5019999999999527</v>
      </c>
      <c r="AE196" s="6">
        <v>58</v>
      </c>
      <c r="AF196" s="33">
        <v>59.228999999999999</v>
      </c>
      <c r="AG196" s="6">
        <v>1775062</v>
      </c>
      <c r="AH196" s="6">
        <f>TABL12[[#This Row],[ (RESV. STORGE) BER]]/10</f>
        <v>177506.2</v>
      </c>
      <c r="AI196" s="6">
        <v>3248</v>
      </c>
      <c r="AJ196" s="6">
        <f>TABL12[[#This Row],[(A/B TOT) AJD]]-TABL12[[#This Row],[BER_ IN]]</f>
        <v>514</v>
      </c>
      <c r="AK196" s="6">
        <v>35</v>
      </c>
      <c r="AL196" s="33">
        <v>43.073</v>
      </c>
      <c r="AM196" s="6">
        <v>3148280</v>
      </c>
      <c r="AN196" s="6">
        <f>TABL12[[#This Row],[ (RESV. STORGE) SER]]/10</f>
        <v>314828</v>
      </c>
      <c r="AO196" s="6">
        <v>2100</v>
      </c>
      <c r="AP196" s="32">
        <f>TABL12[[#This Row],[(A/S TOT) AJD]]-TABL12[[#This Row],[SER_ IN]]</f>
        <v>237</v>
      </c>
    </row>
    <row r="197" spans="1:42" ht="15.75" x14ac:dyDescent="0.25">
      <c r="A197" s="2">
        <v>45853</v>
      </c>
      <c r="B197" s="28">
        <v>30</v>
      </c>
      <c r="C197" s="28">
        <v>251</v>
      </c>
      <c r="D197" s="28">
        <v>30</v>
      </c>
      <c r="E197" s="28">
        <v>0</v>
      </c>
      <c r="F197" s="28">
        <v>101</v>
      </c>
      <c r="G197" s="28">
        <v>669</v>
      </c>
      <c r="H197" s="28">
        <v>1</v>
      </c>
      <c r="I197" s="28">
        <v>467</v>
      </c>
      <c r="J197" s="28">
        <v>451</v>
      </c>
      <c r="K197" s="28">
        <f>TABL12[[#This Row],[خط (T/B  TOT) SAR]]+TABL12[[#This Row],[خط (S/S  TOT) SAR2]]</f>
        <v>918</v>
      </c>
      <c r="L197" s="28">
        <v>249</v>
      </c>
      <c r="M197" s="29">
        <v>20</v>
      </c>
      <c r="N197" s="30">
        <v>6.99</v>
      </c>
      <c r="O197" s="12">
        <v>398</v>
      </c>
      <c r="P197" s="12">
        <f>TABL12[[#This Row],[خط (S/S  TOT) SAR2]]-TABL12[[#This Row],[(S/S TOT) AJD]]</f>
        <v>53</v>
      </c>
      <c r="Q197" s="12">
        <v>436</v>
      </c>
      <c r="R197" s="12">
        <f>TABL12[[#This Row],[خط (T/B  TOT) SAR]]-TABL12[[#This Row],[(T/B TOT) AJD]]</f>
        <v>31</v>
      </c>
      <c r="S197" s="12">
        <f>TABL12[[#This Row],[الفرق بين بداية ونهاية خط  S/S]]+TABL12[[#This Row],[الفرق بين بداية ونهاية خط  T/B]]</f>
        <v>84</v>
      </c>
      <c r="T197" s="12">
        <f t="shared" si="12"/>
        <v>834</v>
      </c>
      <c r="U197" s="12">
        <v>548</v>
      </c>
      <c r="V197" s="12">
        <v>272</v>
      </c>
      <c r="W197" s="12">
        <f t="shared" si="13"/>
        <v>820</v>
      </c>
      <c r="X197" s="12">
        <f t="shared" si="14"/>
        <v>14</v>
      </c>
      <c r="Y197" s="13">
        <v>91.92</v>
      </c>
      <c r="Z197" s="12">
        <v>152512</v>
      </c>
      <c r="AA197" s="12">
        <f>TABL12[[#This Row],[(RESV. STORGE) AJD]]/10</f>
        <v>15251.2</v>
      </c>
      <c r="AB197" s="3">
        <f t="shared" si="15"/>
        <v>0</v>
      </c>
      <c r="AC197" s="6">
        <v>0</v>
      </c>
      <c r="AD197" s="5">
        <f>TABL12[[#This Row],[( S/S+T/B) AJD]]-(TABL12[[#This Row],[(A/B + A/S) AJD]]+(TABL12[[#This Row],[(STORGE DIFF.) AJD]])+TABL12[[#This Row],[البخر  AJD]]/1000)</f>
        <v>14</v>
      </c>
      <c r="AE197" s="6">
        <v>40</v>
      </c>
      <c r="AF197" s="33">
        <v>59.244999999999997</v>
      </c>
      <c r="AG197" s="6">
        <v>1785658</v>
      </c>
      <c r="AH197" s="6">
        <f>TABL12[[#This Row],[ (RESV. STORGE) BER]]/10</f>
        <v>178565.8</v>
      </c>
      <c r="AI197" s="6">
        <v>3125</v>
      </c>
      <c r="AJ197" s="6">
        <f>TABL12[[#This Row],[(A/B TOT) AJD]]-TABL12[[#This Row],[BER_ IN]]</f>
        <v>508</v>
      </c>
      <c r="AK197" s="6">
        <v>36</v>
      </c>
      <c r="AL197" s="33">
        <v>43.034199999999998</v>
      </c>
      <c r="AM197" s="6">
        <v>3126610</v>
      </c>
      <c r="AN197" s="6">
        <f>TABL12[[#This Row],[ (RESV. STORGE) SER]]/10</f>
        <v>312661</v>
      </c>
      <c r="AO197" s="6">
        <v>2075</v>
      </c>
      <c r="AP197" s="32">
        <f>TABL12[[#This Row],[(A/S TOT) AJD]]-TABL12[[#This Row],[SER_ IN]]</f>
        <v>236</v>
      </c>
    </row>
    <row r="198" spans="1:42" ht="15.75" x14ac:dyDescent="0.25">
      <c r="A198" s="2">
        <v>45854</v>
      </c>
      <c r="B198" s="28">
        <v>30</v>
      </c>
      <c r="C198" s="28">
        <v>254</v>
      </c>
      <c r="D198" s="28">
        <v>30</v>
      </c>
      <c r="E198" s="28">
        <v>0</v>
      </c>
      <c r="F198" s="28">
        <v>102</v>
      </c>
      <c r="G198" s="28">
        <v>680</v>
      </c>
      <c r="H198" s="28">
        <v>0</v>
      </c>
      <c r="I198" s="28">
        <v>472</v>
      </c>
      <c r="J198" s="28">
        <v>458</v>
      </c>
      <c r="K198" s="28">
        <f>TABL12[[#This Row],[خط (T/B  TOT) SAR]]+TABL12[[#This Row],[خط (S/S  TOT) SAR2]]</f>
        <v>930</v>
      </c>
      <c r="L198" s="28">
        <v>250</v>
      </c>
      <c r="M198" s="29">
        <v>20</v>
      </c>
      <c r="N198" s="30">
        <v>7.04</v>
      </c>
      <c r="O198" s="12">
        <v>397</v>
      </c>
      <c r="P198" s="12">
        <f>TABL12[[#This Row],[خط (S/S  TOT) SAR2]]-TABL12[[#This Row],[(S/S TOT) AJD]]</f>
        <v>61</v>
      </c>
      <c r="Q198" s="12">
        <v>419</v>
      </c>
      <c r="R198" s="12">
        <f>TABL12[[#This Row],[خط (T/B  TOT) SAR]]-TABL12[[#This Row],[(T/B TOT) AJD]]</f>
        <v>53</v>
      </c>
      <c r="S198" s="12">
        <f>TABL12[[#This Row],[الفرق بين بداية ونهاية خط  S/S]]+TABL12[[#This Row],[الفرق بين بداية ونهاية خط  T/B]]</f>
        <v>114</v>
      </c>
      <c r="T198" s="12">
        <f t="shared" si="12"/>
        <v>816</v>
      </c>
      <c r="U198" s="12">
        <v>550</v>
      </c>
      <c r="V198" s="12">
        <v>278</v>
      </c>
      <c r="W198" s="12">
        <f t="shared" si="13"/>
        <v>828</v>
      </c>
      <c r="X198" s="12">
        <f t="shared" si="14"/>
        <v>-12</v>
      </c>
      <c r="Y198" s="13">
        <v>91.92</v>
      </c>
      <c r="Z198" s="12">
        <v>152512</v>
      </c>
      <c r="AA198" s="12">
        <f>TABL12[[#This Row],[(RESV. STORGE) AJD]]/10</f>
        <v>15251.2</v>
      </c>
      <c r="AB198" s="3">
        <f t="shared" si="15"/>
        <v>0</v>
      </c>
      <c r="AC198" s="6">
        <v>0</v>
      </c>
      <c r="AD198" s="5">
        <f>TABL12[[#This Row],[( S/S+T/B) AJD]]-(TABL12[[#This Row],[(A/B + A/S) AJD]]+(TABL12[[#This Row],[(STORGE DIFF.) AJD]])+TABL12[[#This Row],[البخر  AJD]]/1000)</f>
        <v>-12</v>
      </c>
      <c r="AE198" s="6">
        <v>40</v>
      </c>
      <c r="AF198" s="33">
        <v>59.25</v>
      </c>
      <c r="AG198" s="6">
        <v>1788970</v>
      </c>
      <c r="AH198" s="6">
        <f>TABL12[[#This Row],[ (RESV. STORGE) BER]]/10</f>
        <v>178897</v>
      </c>
      <c r="AI198" s="6">
        <v>2658</v>
      </c>
      <c r="AJ198" s="6">
        <f>TABL12[[#This Row],[(A/B TOT) AJD]]-TABL12[[#This Row],[BER_ IN]]</f>
        <v>510</v>
      </c>
      <c r="AK198" s="6">
        <v>35</v>
      </c>
      <c r="AL198" s="33">
        <v>43.0625</v>
      </c>
      <c r="AM198" s="6">
        <v>3141320</v>
      </c>
      <c r="AN198" s="6">
        <f>TABL12[[#This Row],[ (RESV. STORGE) SER]]/10</f>
        <v>314132</v>
      </c>
      <c r="AO198" s="6">
        <v>1790</v>
      </c>
      <c r="AP198" s="32">
        <f>TABL12[[#This Row],[(A/S TOT) AJD]]-TABL12[[#This Row],[SER_ IN]]</f>
        <v>243</v>
      </c>
    </row>
    <row r="199" spans="1:42" ht="15.75" x14ac:dyDescent="0.25">
      <c r="A199" s="2">
        <v>45855</v>
      </c>
      <c r="B199" s="28">
        <v>30</v>
      </c>
      <c r="C199" s="28">
        <v>252</v>
      </c>
      <c r="D199" s="28">
        <v>30</v>
      </c>
      <c r="E199" s="28">
        <v>0</v>
      </c>
      <c r="F199" s="28">
        <v>103</v>
      </c>
      <c r="G199" s="28">
        <v>685</v>
      </c>
      <c r="H199" s="28">
        <v>0</v>
      </c>
      <c r="I199" s="28">
        <v>475</v>
      </c>
      <c r="J199" s="28">
        <v>459</v>
      </c>
      <c r="K199" s="28">
        <f>TABL12[[#This Row],[خط (T/B  TOT) SAR]]+TABL12[[#This Row],[خط (S/S  TOT) SAR2]]</f>
        <v>934</v>
      </c>
      <c r="L199" s="28">
        <v>249</v>
      </c>
      <c r="M199" s="29">
        <v>20</v>
      </c>
      <c r="N199" s="30">
        <v>7.06</v>
      </c>
      <c r="O199" s="12">
        <v>405</v>
      </c>
      <c r="P199" s="12">
        <f>TABL12[[#This Row],[خط (S/S  TOT) SAR2]]-TABL12[[#This Row],[(S/S TOT) AJD]]</f>
        <v>54</v>
      </c>
      <c r="Q199" s="12">
        <v>443</v>
      </c>
      <c r="R199" s="12">
        <f>TABL12[[#This Row],[خط (T/B  TOT) SAR]]-TABL12[[#This Row],[(T/B TOT) AJD]]</f>
        <v>32</v>
      </c>
      <c r="S199" s="12">
        <f>TABL12[[#This Row],[الفرق بين بداية ونهاية خط  S/S]]+TABL12[[#This Row],[الفرق بين بداية ونهاية خط  T/B]]</f>
        <v>86</v>
      </c>
      <c r="T199" s="12">
        <f t="shared" si="12"/>
        <v>848</v>
      </c>
      <c r="U199" s="12">
        <v>518</v>
      </c>
      <c r="V199" s="12">
        <v>257</v>
      </c>
      <c r="W199" s="12">
        <f t="shared" si="13"/>
        <v>775</v>
      </c>
      <c r="X199" s="12">
        <f t="shared" si="14"/>
        <v>73</v>
      </c>
      <c r="Y199" s="13">
        <v>91.92</v>
      </c>
      <c r="Z199" s="12">
        <v>152512</v>
      </c>
      <c r="AA199" s="12">
        <f>TABL12[[#This Row],[(RESV. STORGE) AJD]]/10</f>
        <v>15251.2</v>
      </c>
      <c r="AB199" s="3">
        <f t="shared" si="15"/>
        <v>0</v>
      </c>
      <c r="AC199" s="6">
        <v>0</v>
      </c>
      <c r="AD199" s="5">
        <f>TABL12[[#This Row],[( S/S+T/B) AJD]]-(TABL12[[#This Row],[(A/B + A/S) AJD]]+(TABL12[[#This Row],[(STORGE DIFF.) AJD]])+TABL12[[#This Row],[البخر  AJD]]/1000)</f>
        <v>73</v>
      </c>
      <c r="AE199" s="6">
        <v>24</v>
      </c>
      <c r="AF199" s="33">
        <v>59.222000000000001</v>
      </c>
      <c r="AG199" s="6">
        <v>1770427</v>
      </c>
      <c r="AH199" s="6">
        <f>TABL12[[#This Row],[ (RESV. STORGE) BER]]/10</f>
        <v>177042.7</v>
      </c>
      <c r="AI199" s="6">
        <v>2702</v>
      </c>
      <c r="AJ199" s="6">
        <f>TABL12[[#This Row],[(A/B TOT) AJD]]-TABL12[[#This Row],[BER_ IN]]</f>
        <v>494</v>
      </c>
      <c r="AK199" s="6">
        <v>35</v>
      </c>
      <c r="AL199" s="33">
        <v>43.095599999999997</v>
      </c>
      <c r="AM199" s="6">
        <v>3160200</v>
      </c>
      <c r="AN199" s="6">
        <f>TABL12[[#This Row],[ (RESV. STORGE) SER]]/10</f>
        <v>316020</v>
      </c>
      <c r="AO199" s="6">
        <v>1820</v>
      </c>
      <c r="AP199" s="32">
        <f>TABL12[[#This Row],[(A/S TOT) AJD]]-TABL12[[#This Row],[SER_ IN]]</f>
        <v>222</v>
      </c>
    </row>
    <row r="200" spans="1:42" ht="15.75" x14ac:dyDescent="0.25">
      <c r="A200" s="2">
        <v>45856</v>
      </c>
      <c r="B200" s="28">
        <v>30</v>
      </c>
      <c r="C200" s="28">
        <v>251</v>
      </c>
      <c r="D200" s="28">
        <v>30</v>
      </c>
      <c r="E200" s="28">
        <v>0</v>
      </c>
      <c r="F200" s="28">
        <v>103</v>
      </c>
      <c r="G200" s="28">
        <v>684</v>
      </c>
      <c r="H200" s="28">
        <v>0</v>
      </c>
      <c r="I200" s="28">
        <v>475</v>
      </c>
      <c r="J200" s="28">
        <v>459</v>
      </c>
      <c r="K200" s="28">
        <f>TABL12[[#This Row],[خط (T/B  TOT) SAR]]+TABL12[[#This Row],[خط (S/S  TOT) SAR2]]</f>
        <v>934</v>
      </c>
      <c r="L200" s="28">
        <v>250</v>
      </c>
      <c r="M200" s="29">
        <v>20</v>
      </c>
      <c r="N200" s="30">
        <v>7.08</v>
      </c>
      <c r="O200" s="12">
        <v>409</v>
      </c>
      <c r="P200" s="12">
        <f>TABL12[[#This Row],[خط (S/S  TOT) SAR2]]-TABL12[[#This Row],[(S/S TOT) AJD]]</f>
        <v>50</v>
      </c>
      <c r="Q200" s="12">
        <v>447</v>
      </c>
      <c r="R200" s="12">
        <f>TABL12[[#This Row],[خط (T/B  TOT) SAR]]-TABL12[[#This Row],[(T/B TOT) AJD]]</f>
        <v>28</v>
      </c>
      <c r="S200" s="12">
        <f>TABL12[[#This Row],[الفرق بين بداية ونهاية خط  S/S]]+TABL12[[#This Row],[الفرق بين بداية ونهاية خط  T/B]]</f>
        <v>78</v>
      </c>
      <c r="T200" s="12">
        <f t="shared" si="12"/>
        <v>856</v>
      </c>
      <c r="U200" s="12">
        <v>491</v>
      </c>
      <c r="V200" s="12">
        <v>354</v>
      </c>
      <c r="W200" s="12">
        <f t="shared" si="13"/>
        <v>845</v>
      </c>
      <c r="X200" s="12">
        <f t="shared" si="14"/>
        <v>11</v>
      </c>
      <c r="Y200" s="13">
        <v>92.010999999999996</v>
      </c>
      <c r="Z200" s="12">
        <v>206322</v>
      </c>
      <c r="AA200" s="12">
        <f>TABL12[[#This Row],[(RESV. STORGE) AJD]]/10</f>
        <v>20632.2</v>
      </c>
      <c r="AB200" s="3">
        <f t="shared" si="15"/>
        <v>53.81</v>
      </c>
      <c r="AC200" s="6">
        <v>0</v>
      </c>
      <c r="AD200" s="5">
        <f>TABL12[[#This Row],[( S/S+T/B) AJD]]-(TABL12[[#This Row],[(A/B + A/S) AJD]]+(TABL12[[#This Row],[(STORGE DIFF.) AJD]])+TABL12[[#This Row],[البخر  AJD]]/1000)</f>
        <v>-42.809999999999945</v>
      </c>
      <c r="AE200" s="6">
        <v>20</v>
      </c>
      <c r="AF200" s="33">
        <v>59.188000000000002</v>
      </c>
      <c r="AG200" s="6">
        <v>1747920</v>
      </c>
      <c r="AH200" s="6">
        <f>TABL12[[#This Row],[ (RESV. STORGE) BER]]/10</f>
        <v>174792</v>
      </c>
      <c r="AI200" s="6">
        <v>2667</v>
      </c>
      <c r="AJ200" s="6">
        <f>TABL12[[#This Row],[(A/B TOT) AJD]]-TABL12[[#This Row],[BER_ IN]]</f>
        <v>471</v>
      </c>
      <c r="AK200" s="6">
        <v>35</v>
      </c>
      <c r="AL200" s="33">
        <v>43.126300000000001</v>
      </c>
      <c r="AM200" s="6">
        <v>3176460</v>
      </c>
      <c r="AN200" s="6">
        <f>TABL12[[#This Row],[ (RESV. STORGE) SER]]/10</f>
        <v>317646</v>
      </c>
      <c r="AO200" s="6">
        <v>1740</v>
      </c>
      <c r="AP200" s="32">
        <f>TABL12[[#This Row],[(A/S TOT) AJD]]-TABL12[[#This Row],[SER_ IN]]</f>
        <v>319</v>
      </c>
    </row>
    <row r="201" spans="1:42" ht="15.75" x14ac:dyDescent="0.25">
      <c r="A201" s="2">
        <v>45857</v>
      </c>
      <c r="B201" s="28">
        <v>30</v>
      </c>
      <c r="C201" s="28">
        <v>247</v>
      </c>
      <c r="D201" s="28">
        <v>30</v>
      </c>
      <c r="E201" s="28">
        <v>0</v>
      </c>
      <c r="F201" s="28">
        <v>103</v>
      </c>
      <c r="G201" s="28">
        <v>677</v>
      </c>
      <c r="H201" s="28">
        <v>0</v>
      </c>
      <c r="I201" s="28">
        <v>471</v>
      </c>
      <c r="J201" s="28">
        <v>455</v>
      </c>
      <c r="K201" s="28">
        <f>TABL12[[#This Row],[خط (T/B  TOT) SAR]]+TABL12[[#This Row],[خط (S/S  TOT) SAR2]]</f>
        <v>926</v>
      </c>
      <c r="L201" s="28">
        <v>249</v>
      </c>
      <c r="M201" s="29">
        <v>20</v>
      </c>
      <c r="N201" s="30">
        <v>7.04</v>
      </c>
      <c r="O201" s="12">
        <v>411</v>
      </c>
      <c r="P201" s="12">
        <f>TABL12[[#This Row],[خط (S/S  TOT) SAR2]]-TABL12[[#This Row],[(S/S TOT) AJD]]</f>
        <v>44</v>
      </c>
      <c r="Q201" s="12">
        <v>448</v>
      </c>
      <c r="R201" s="12">
        <f>TABL12[[#This Row],[خط (T/B  TOT) SAR]]-TABL12[[#This Row],[(T/B TOT) AJD]]</f>
        <v>23</v>
      </c>
      <c r="S201" s="12">
        <f>TABL12[[#This Row],[الفرق بين بداية ونهاية خط  S/S]]+TABL12[[#This Row],[الفرق بين بداية ونهاية خط  T/B]]</f>
        <v>67</v>
      </c>
      <c r="T201" s="12">
        <f t="shared" si="12"/>
        <v>859</v>
      </c>
      <c r="U201" s="12">
        <v>497</v>
      </c>
      <c r="V201" s="12">
        <v>302</v>
      </c>
      <c r="W201" s="12">
        <f t="shared" si="13"/>
        <v>799</v>
      </c>
      <c r="X201" s="12">
        <f t="shared" si="14"/>
        <v>60</v>
      </c>
      <c r="Y201" s="13">
        <v>92.094999999999999</v>
      </c>
      <c r="Z201" s="12">
        <v>256050</v>
      </c>
      <c r="AA201" s="12">
        <f>TABL12[[#This Row],[(RESV. STORGE) AJD]]/10</f>
        <v>25605</v>
      </c>
      <c r="AB201" s="3">
        <f t="shared" si="15"/>
        <v>49.728000000000002</v>
      </c>
      <c r="AC201" s="6">
        <v>0</v>
      </c>
      <c r="AD201" s="5">
        <f>TABL12[[#This Row],[( S/S+T/B) AJD]]-(TABL12[[#This Row],[(A/B + A/S) AJD]]+(TABL12[[#This Row],[(STORGE DIFF.) AJD]])+TABL12[[#This Row],[البخر  AJD]]/1000)</f>
        <v>10.272000000000048</v>
      </c>
      <c r="AE201" s="6">
        <v>20</v>
      </c>
      <c r="AF201" s="33">
        <v>59.152999999999999</v>
      </c>
      <c r="AG201" s="6">
        <v>1724761</v>
      </c>
      <c r="AH201" s="6">
        <f>TABL12[[#This Row],[ (RESV. STORGE) BER]]/10</f>
        <v>172476.1</v>
      </c>
      <c r="AI201" s="6">
        <v>3318</v>
      </c>
      <c r="AJ201" s="6">
        <f>TABL12[[#This Row],[(A/B TOT) AJD]]-TABL12[[#This Row],[BER_ IN]]</f>
        <v>477</v>
      </c>
      <c r="AK201" s="6">
        <v>35</v>
      </c>
      <c r="AL201" s="33">
        <v>43.152500000000003</v>
      </c>
      <c r="AM201" s="6">
        <v>3190050</v>
      </c>
      <c r="AN201" s="6">
        <f>TABL12[[#This Row],[ (RESV. STORGE) SER]]/10</f>
        <v>319005</v>
      </c>
      <c r="AO201" s="6">
        <v>1810</v>
      </c>
      <c r="AP201" s="32">
        <f>TABL12[[#This Row],[(A/S TOT) AJD]]-TABL12[[#This Row],[SER_ IN]]</f>
        <v>267</v>
      </c>
    </row>
    <row r="202" spans="1:42" ht="15.75" x14ac:dyDescent="0.25">
      <c r="A202" s="2">
        <v>45858</v>
      </c>
      <c r="B202" s="28">
        <v>29</v>
      </c>
      <c r="C202" s="28">
        <v>246</v>
      </c>
      <c r="D202" s="28">
        <v>29</v>
      </c>
      <c r="E202" s="28">
        <v>0</v>
      </c>
      <c r="F202" s="28">
        <v>103</v>
      </c>
      <c r="G202" s="28">
        <v>676</v>
      </c>
      <c r="H202" s="28">
        <v>0</v>
      </c>
      <c r="I202" s="28">
        <v>470</v>
      </c>
      <c r="J202" s="28">
        <v>454</v>
      </c>
      <c r="K202" s="28">
        <f>TABL12[[#This Row],[خط (T/B  TOT) SAR]]+TABL12[[#This Row],[خط (S/S  TOT) SAR2]]</f>
        <v>924</v>
      </c>
      <c r="L202" s="28">
        <v>248</v>
      </c>
      <c r="M202" s="29">
        <v>20</v>
      </c>
      <c r="N202" s="30">
        <v>6.99</v>
      </c>
      <c r="O202" s="12">
        <v>406</v>
      </c>
      <c r="P202" s="12">
        <f>TABL12[[#This Row],[خط (S/S  TOT) SAR2]]-TABL12[[#This Row],[(S/S TOT) AJD]]</f>
        <v>48</v>
      </c>
      <c r="Q202" s="12">
        <v>446</v>
      </c>
      <c r="R202" s="12">
        <f>TABL12[[#This Row],[خط (T/B  TOT) SAR]]-TABL12[[#This Row],[(T/B TOT) AJD]]</f>
        <v>24</v>
      </c>
      <c r="S202" s="12">
        <f>TABL12[[#This Row],[الفرق بين بداية ونهاية خط  S/S]]+TABL12[[#This Row],[الفرق بين بداية ونهاية خط  T/B]]</f>
        <v>72</v>
      </c>
      <c r="T202" s="12">
        <f t="shared" si="12"/>
        <v>852</v>
      </c>
      <c r="U202" s="12">
        <v>505</v>
      </c>
      <c r="V202" s="12">
        <v>284</v>
      </c>
      <c r="W202" s="12">
        <f t="shared" si="13"/>
        <v>789</v>
      </c>
      <c r="X202" s="12">
        <f t="shared" si="14"/>
        <v>63</v>
      </c>
      <c r="Y202" s="13">
        <v>92.165000000000006</v>
      </c>
      <c r="Z202" s="12">
        <v>297535</v>
      </c>
      <c r="AA202" s="12">
        <f>TABL12[[#This Row],[(RESV. STORGE) AJD]]/10</f>
        <v>29753.5</v>
      </c>
      <c r="AB202" s="3">
        <f t="shared" si="15"/>
        <v>41.484999999999999</v>
      </c>
      <c r="AC202" s="6">
        <v>0</v>
      </c>
      <c r="AD202" s="5">
        <f>TABL12[[#This Row],[( S/S+T/B) AJD]]-(TABL12[[#This Row],[(A/B + A/S) AJD]]+(TABL12[[#This Row],[(STORGE DIFF.) AJD]])+TABL12[[#This Row],[البخر  AJD]]/1000)</f>
        <v>21.514999999999986</v>
      </c>
      <c r="AE202" s="6">
        <v>20</v>
      </c>
      <c r="AF202" s="33">
        <v>59.118000000000002</v>
      </c>
      <c r="AG202" s="6">
        <v>1701613</v>
      </c>
      <c r="AH202" s="6">
        <f>TABL12[[#This Row],[ (RESV. STORGE) BER]]/10</f>
        <v>170161.3</v>
      </c>
      <c r="AI202" s="6">
        <v>3308</v>
      </c>
      <c r="AJ202" s="6">
        <f>TABL12[[#This Row],[(A/B TOT) AJD]]-TABL12[[#This Row],[BER_ IN]]</f>
        <v>485</v>
      </c>
      <c r="AK202" s="6">
        <v>35</v>
      </c>
      <c r="AL202" s="33">
        <v>43.18</v>
      </c>
      <c r="AM202" s="6">
        <v>3205740</v>
      </c>
      <c r="AN202" s="6">
        <f>TABL12[[#This Row],[ (RESV. STORGE) SER]]/10</f>
        <v>320574</v>
      </c>
      <c r="AO202" s="6">
        <v>1810</v>
      </c>
      <c r="AP202" s="32">
        <f>TABL12[[#This Row],[(A/S TOT) AJD]]-TABL12[[#This Row],[SER_ IN]]</f>
        <v>249</v>
      </c>
    </row>
    <row r="203" spans="1:42" ht="15.75" x14ac:dyDescent="0.25">
      <c r="A203" s="2">
        <v>45859</v>
      </c>
      <c r="B203" s="28">
        <v>29</v>
      </c>
      <c r="C203" s="28">
        <v>251</v>
      </c>
      <c r="D203" s="28">
        <v>29</v>
      </c>
      <c r="E203" s="28">
        <v>0</v>
      </c>
      <c r="F203" s="28">
        <v>103</v>
      </c>
      <c r="G203" s="28">
        <v>676</v>
      </c>
      <c r="H203" s="28">
        <v>0</v>
      </c>
      <c r="I203" s="28">
        <v>470</v>
      </c>
      <c r="J203" s="28">
        <v>453</v>
      </c>
      <c r="K203" s="28">
        <f>TABL12[[#This Row],[خط (T/B  TOT) SAR]]+TABL12[[#This Row],[خط (S/S  TOT) SAR2]]</f>
        <v>923</v>
      </c>
      <c r="L203" s="28">
        <v>247</v>
      </c>
      <c r="M203" s="29">
        <v>20</v>
      </c>
      <c r="N203" s="30">
        <v>6.94</v>
      </c>
      <c r="O203" s="12">
        <v>404</v>
      </c>
      <c r="P203" s="12">
        <f>TABL12[[#This Row],[خط (S/S  TOT) SAR2]]-TABL12[[#This Row],[(S/S TOT) AJD]]</f>
        <v>49</v>
      </c>
      <c r="Q203" s="12">
        <v>443</v>
      </c>
      <c r="R203" s="12">
        <f>TABL12[[#This Row],[خط (T/B  TOT) SAR]]-TABL12[[#This Row],[(T/B TOT) AJD]]</f>
        <v>27</v>
      </c>
      <c r="S203" s="12">
        <f>TABL12[[#This Row],[الفرق بين بداية ونهاية خط  S/S]]+TABL12[[#This Row],[الفرق بين بداية ونهاية خط  T/B]]</f>
        <v>76</v>
      </c>
      <c r="T203" s="12">
        <f t="shared" si="12"/>
        <v>847</v>
      </c>
      <c r="U203" s="12">
        <v>498</v>
      </c>
      <c r="V203" s="12">
        <v>286</v>
      </c>
      <c r="W203" s="12">
        <f t="shared" si="13"/>
        <v>784</v>
      </c>
      <c r="X203" s="12">
        <f t="shared" si="14"/>
        <v>63</v>
      </c>
      <c r="Y203" s="13">
        <v>92.242999999999995</v>
      </c>
      <c r="Z203" s="12">
        <v>343805</v>
      </c>
      <c r="AA203" s="12">
        <f>TABL12[[#This Row],[(RESV. STORGE) AJD]]/10</f>
        <v>34380.5</v>
      </c>
      <c r="AB203" s="3">
        <f t="shared" si="15"/>
        <v>46.27</v>
      </c>
      <c r="AC203" s="6">
        <v>0</v>
      </c>
      <c r="AD203" s="5">
        <f>TABL12[[#This Row],[( S/S+T/B) AJD]]-(TABL12[[#This Row],[(A/B + A/S) AJD]]+(TABL12[[#This Row],[(STORGE DIFF.) AJD]])+TABL12[[#This Row],[البخر  AJD]]/1000)</f>
        <v>16.730000000000018</v>
      </c>
      <c r="AE203" s="6">
        <v>20</v>
      </c>
      <c r="AF203" s="33">
        <v>59.082999999999998</v>
      </c>
      <c r="AG203" s="6">
        <v>1678476</v>
      </c>
      <c r="AH203" s="6">
        <f>TABL12[[#This Row],[ (RESV. STORGE) BER]]/10</f>
        <v>167847.6</v>
      </c>
      <c r="AI203" s="6">
        <v>3297</v>
      </c>
      <c r="AJ203" s="6">
        <f>TABL12[[#This Row],[(A/B TOT) AJD]]-TABL12[[#This Row],[BER_ IN]]</f>
        <v>478</v>
      </c>
      <c r="AK203" s="6">
        <v>35</v>
      </c>
      <c r="AL203" s="33">
        <v>43.194800000000001</v>
      </c>
      <c r="AM203" s="6">
        <v>3213880</v>
      </c>
      <c r="AN203" s="6">
        <f>TABL12[[#This Row],[ (RESV. STORGE) SER]]/10</f>
        <v>321388</v>
      </c>
      <c r="AO203" s="6">
        <v>1860</v>
      </c>
      <c r="AP203" s="32">
        <f>TABL12[[#This Row],[(A/S TOT) AJD]]-TABL12[[#This Row],[SER_ IN]]</f>
        <v>251</v>
      </c>
    </row>
    <row r="204" spans="1:42" ht="15.75" x14ac:dyDescent="0.25">
      <c r="A204" s="2">
        <v>45860</v>
      </c>
      <c r="B204" s="28">
        <v>29</v>
      </c>
      <c r="C204" s="28">
        <v>244</v>
      </c>
      <c r="D204" s="28">
        <v>29</v>
      </c>
      <c r="E204" s="28">
        <v>0</v>
      </c>
      <c r="F204" s="28">
        <v>103</v>
      </c>
      <c r="G204" s="28">
        <v>671</v>
      </c>
      <c r="H204" s="28">
        <v>0</v>
      </c>
      <c r="I204" s="28">
        <v>468</v>
      </c>
      <c r="J204" s="28">
        <v>450</v>
      </c>
      <c r="K204" s="28">
        <f>TABL12[[#This Row],[خط (T/B  TOT) SAR]]+TABL12[[#This Row],[خط (S/S  TOT) SAR2]]</f>
        <v>918</v>
      </c>
      <c r="L204" s="28">
        <v>247</v>
      </c>
      <c r="M204" s="29">
        <v>20</v>
      </c>
      <c r="N204" s="30">
        <v>6.88</v>
      </c>
      <c r="O204" s="12">
        <v>403</v>
      </c>
      <c r="P204" s="12">
        <f>TABL12[[#This Row],[خط (S/S  TOT) SAR2]]-TABL12[[#This Row],[(S/S TOT) AJD]]</f>
        <v>47</v>
      </c>
      <c r="Q204" s="12">
        <v>442</v>
      </c>
      <c r="R204" s="12">
        <f>TABL12[[#This Row],[خط (T/B  TOT) SAR]]-TABL12[[#This Row],[(T/B TOT) AJD]]</f>
        <v>26</v>
      </c>
      <c r="S204" s="12">
        <f>TABL12[[#This Row],[الفرق بين بداية ونهاية خط  S/S]]+TABL12[[#This Row],[الفرق بين بداية ونهاية خط  T/B]]</f>
        <v>73</v>
      </c>
      <c r="T204" s="12">
        <f t="shared" si="12"/>
        <v>845</v>
      </c>
      <c r="U204" s="12">
        <v>505</v>
      </c>
      <c r="V204" s="12">
        <v>288</v>
      </c>
      <c r="W204" s="12">
        <f t="shared" si="13"/>
        <v>793</v>
      </c>
      <c r="X204" s="12">
        <f t="shared" si="14"/>
        <v>52</v>
      </c>
      <c r="Y204" s="13">
        <v>92.3</v>
      </c>
      <c r="Z204" s="12">
        <v>377652</v>
      </c>
      <c r="AA204" s="12">
        <f>TABL12[[#This Row],[(RESV. STORGE) AJD]]/10</f>
        <v>37765.199999999997</v>
      </c>
      <c r="AB204" s="3">
        <f t="shared" si="15"/>
        <v>33.847000000000001</v>
      </c>
      <c r="AC204" s="6">
        <v>0</v>
      </c>
      <c r="AD204" s="5">
        <f>TABL12[[#This Row],[( S/S+T/B) AJD]]-(TABL12[[#This Row],[(A/B + A/S) AJD]]+(TABL12[[#This Row],[(STORGE DIFF.) AJD]])+TABL12[[#This Row],[البخر  AJD]]/1000)</f>
        <v>18.15300000000002</v>
      </c>
      <c r="AE204" s="6">
        <v>20</v>
      </c>
      <c r="AF204" s="33">
        <v>59.046999999999997</v>
      </c>
      <c r="AG204" s="6">
        <v>1654688</v>
      </c>
      <c r="AH204" s="6">
        <f>TABL12[[#This Row],[ (RESV. STORGE) BER]]/10</f>
        <v>165468.79999999999</v>
      </c>
      <c r="AI204" s="6">
        <v>3947</v>
      </c>
      <c r="AJ204" s="6">
        <f>TABL12[[#This Row],[(A/B TOT) AJD]]-TABL12[[#This Row],[BER_ IN]]</f>
        <v>485</v>
      </c>
      <c r="AK204" s="6">
        <v>35</v>
      </c>
      <c r="AL204" s="33">
        <v>43.2333</v>
      </c>
      <c r="AM204" s="6">
        <v>3234880</v>
      </c>
      <c r="AN204" s="6">
        <f>TABL12[[#This Row],[ (RESV. STORGE) SER]]/10</f>
        <v>323488</v>
      </c>
      <c r="AO204" s="6">
        <v>1800</v>
      </c>
      <c r="AP204" s="32">
        <f>TABL12[[#This Row],[(A/S TOT) AJD]]-TABL12[[#This Row],[SER_ IN]]</f>
        <v>253</v>
      </c>
    </row>
    <row r="205" spans="1:42" ht="15.75" x14ac:dyDescent="0.25">
      <c r="A205" s="2">
        <v>45861</v>
      </c>
      <c r="B205" s="28">
        <v>30</v>
      </c>
      <c r="C205" s="28">
        <v>248</v>
      </c>
      <c r="D205" s="28">
        <v>30</v>
      </c>
      <c r="E205" s="28">
        <v>0</v>
      </c>
      <c r="F205" s="28">
        <v>103</v>
      </c>
      <c r="G205" s="28">
        <v>676</v>
      </c>
      <c r="H205" s="28">
        <v>0</v>
      </c>
      <c r="I205" s="28">
        <v>469</v>
      </c>
      <c r="J205" s="28">
        <v>452</v>
      </c>
      <c r="K205" s="28">
        <f>TABL12[[#This Row],[خط (T/B  TOT) SAR]]+TABL12[[#This Row],[خط (S/S  TOT) SAR2]]</f>
        <v>921</v>
      </c>
      <c r="L205" s="28">
        <v>245</v>
      </c>
      <c r="M205" s="29">
        <v>20</v>
      </c>
      <c r="N205" s="30">
        <v>6.83</v>
      </c>
      <c r="O205" s="12">
        <v>401</v>
      </c>
      <c r="P205" s="12">
        <f>TABL12[[#This Row],[خط (S/S  TOT) SAR2]]-TABL12[[#This Row],[(S/S TOT) AJD]]</f>
        <v>51</v>
      </c>
      <c r="Q205" s="12">
        <v>438</v>
      </c>
      <c r="R205" s="12">
        <f>TABL12[[#This Row],[خط (T/B  TOT) SAR]]-TABL12[[#This Row],[(T/B TOT) AJD]]</f>
        <v>31</v>
      </c>
      <c r="S205" s="12">
        <f>TABL12[[#This Row],[الفرق بين بداية ونهاية خط  S/S]]+TABL12[[#This Row],[الفرق بين بداية ونهاية خط  T/B]]</f>
        <v>82</v>
      </c>
      <c r="T205" s="12">
        <f t="shared" si="12"/>
        <v>839</v>
      </c>
      <c r="U205" s="12">
        <v>483</v>
      </c>
      <c r="V205" s="12">
        <v>302</v>
      </c>
      <c r="W205" s="12">
        <f t="shared" si="13"/>
        <v>785</v>
      </c>
      <c r="X205" s="12">
        <f t="shared" si="14"/>
        <v>54</v>
      </c>
      <c r="Y205" s="13">
        <v>92.363</v>
      </c>
      <c r="Z205" s="12">
        <v>414499</v>
      </c>
      <c r="AA205" s="12">
        <f>TABL12[[#This Row],[(RESV. STORGE) AJD]]/10</f>
        <v>41449.9</v>
      </c>
      <c r="AB205" s="3">
        <f t="shared" si="15"/>
        <v>36.847000000000001</v>
      </c>
      <c r="AC205" s="6">
        <v>0</v>
      </c>
      <c r="AD205" s="5">
        <f>TABL12[[#This Row],[( S/S+T/B) AJD]]-(TABL12[[#This Row],[(A/B + A/S) AJD]]+(TABL12[[#This Row],[(STORGE DIFF.) AJD]])+TABL12[[#This Row],[البخر  AJD]]/1000)</f>
        <v>17.15300000000002</v>
      </c>
      <c r="AE205" s="6">
        <v>20</v>
      </c>
      <c r="AF205" s="33">
        <v>59.042000000000002</v>
      </c>
      <c r="AG205" s="6">
        <v>1651385</v>
      </c>
      <c r="AH205" s="6">
        <f>TABL12[[#This Row],[ (RESV. STORGE) BER]]/10</f>
        <v>165138.5</v>
      </c>
      <c r="AI205" s="6">
        <v>3382</v>
      </c>
      <c r="AJ205" s="6">
        <f>TABL12[[#This Row],[(A/B TOT) AJD]]-TABL12[[#This Row],[BER_ IN]]</f>
        <v>463</v>
      </c>
      <c r="AK205" s="6">
        <v>35</v>
      </c>
      <c r="AL205" s="33">
        <v>43.271799999999999</v>
      </c>
      <c r="AM205" s="6">
        <v>3255690</v>
      </c>
      <c r="AN205" s="6">
        <f>TABL12[[#This Row],[ (RESV. STORGE) SER]]/10</f>
        <v>325569</v>
      </c>
      <c r="AO205" s="6">
        <v>1770</v>
      </c>
      <c r="AP205" s="32">
        <f>TABL12[[#This Row],[(A/S TOT) AJD]]-TABL12[[#This Row],[SER_ IN]]</f>
        <v>267</v>
      </c>
    </row>
    <row r="206" spans="1:42" ht="15.75" x14ac:dyDescent="0.25">
      <c r="A206" s="2">
        <v>45862</v>
      </c>
      <c r="B206" s="28">
        <v>31</v>
      </c>
      <c r="C206" s="28">
        <v>252</v>
      </c>
      <c r="D206" s="28">
        <v>31</v>
      </c>
      <c r="E206" s="28">
        <v>0</v>
      </c>
      <c r="F206" s="28">
        <v>103</v>
      </c>
      <c r="G206" s="28">
        <v>675</v>
      </c>
      <c r="H206" s="28">
        <v>0</v>
      </c>
      <c r="I206" s="28">
        <v>469</v>
      </c>
      <c r="J206" s="28">
        <v>451</v>
      </c>
      <c r="K206" s="28">
        <f>TABL12[[#This Row],[خط (T/B  TOT) SAR]]+TABL12[[#This Row],[خط (S/S  TOT) SAR2]]</f>
        <v>920</v>
      </c>
      <c r="L206" s="28">
        <v>245</v>
      </c>
      <c r="M206" s="29">
        <v>20</v>
      </c>
      <c r="N206" s="30">
        <v>6.81</v>
      </c>
      <c r="O206" s="12">
        <v>401</v>
      </c>
      <c r="P206" s="12">
        <f>TABL12[[#This Row],[خط (S/S  TOT) SAR2]]-TABL12[[#This Row],[(S/S TOT) AJD]]</f>
        <v>50</v>
      </c>
      <c r="Q206" s="12">
        <v>439</v>
      </c>
      <c r="R206" s="12">
        <f>TABL12[[#This Row],[خط (T/B  TOT) SAR]]-TABL12[[#This Row],[(T/B TOT) AJD]]</f>
        <v>30</v>
      </c>
      <c r="S206" s="12">
        <f>TABL12[[#This Row],[الفرق بين بداية ونهاية خط  S/S]]+TABL12[[#This Row],[الفرق بين بداية ونهاية خط  T/B]]</f>
        <v>80</v>
      </c>
      <c r="T206" s="12">
        <f t="shared" si="12"/>
        <v>840</v>
      </c>
      <c r="U206" s="12">
        <v>503</v>
      </c>
      <c r="V206" s="12">
        <v>307</v>
      </c>
      <c r="W206" s="12">
        <f t="shared" si="13"/>
        <v>810</v>
      </c>
      <c r="X206" s="12">
        <f t="shared" si="14"/>
        <v>30</v>
      </c>
      <c r="Y206" s="13">
        <v>92.38</v>
      </c>
      <c r="Z206" s="12">
        <v>425205</v>
      </c>
      <c r="AA206" s="12">
        <f>TABL12[[#This Row],[(RESV. STORGE) AJD]]/10</f>
        <v>42520.5</v>
      </c>
      <c r="AB206" s="3">
        <f t="shared" si="15"/>
        <v>10.706</v>
      </c>
      <c r="AC206" s="6">
        <v>0</v>
      </c>
      <c r="AD206" s="5">
        <f>TABL12[[#This Row],[( S/S+T/B) AJD]]-(TABL12[[#This Row],[(A/B + A/S) AJD]]+(TABL12[[#This Row],[(STORGE DIFF.) AJD]])+TABL12[[#This Row],[البخر  AJD]]/1000)</f>
        <v>19.293999999999983</v>
      </c>
      <c r="AE206" s="6">
        <v>20</v>
      </c>
      <c r="AF206" s="33">
        <v>59.006999999999998</v>
      </c>
      <c r="AG206" s="6">
        <v>1628271</v>
      </c>
      <c r="AH206" s="6">
        <f>TABL12[[#This Row],[ (RESV. STORGE) BER]]/10</f>
        <v>162827.1</v>
      </c>
      <c r="AI206" s="6">
        <v>3274</v>
      </c>
      <c r="AJ206" s="6">
        <f>TABL12[[#This Row],[(A/B TOT) AJD]]-TABL12[[#This Row],[BER_ IN]]</f>
        <v>483</v>
      </c>
      <c r="AK206" s="6">
        <v>35</v>
      </c>
      <c r="AL206" s="33">
        <v>43.302500000000002</v>
      </c>
      <c r="AM206" s="6">
        <v>3272000</v>
      </c>
      <c r="AN206" s="6">
        <f>TABL12[[#This Row],[ (RESV. STORGE) SER]]/10</f>
        <v>327200</v>
      </c>
      <c r="AO206" s="6">
        <v>1890</v>
      </c>
      <c r="AP206" s="32">
        <f>TABL12[[#This Row],[(A/S TOT) AJD]]-TABL12[[#This Row],[SER_ IN]]</f>
        <v>272</v>
      </c>
    </row>
    <row r="207" spans="1:42" ht="15.75" x14ac:dyDescent="0.25">
      <c r="A207" s="2">
        <v>45863</v>
      </c>
      <c r="B207" s="28">
        <v>31</v>
      </c>
      <c r="C207" s="28">
        <v>250</v>
      </c>
      <c r="D207" s="28">
        <v>31</v>
      </c>
      <c r="E207" s="28">
        <v>0</v>
      </c>
      <c r="F207" s="28">
        <v>103</v>
      </c>
      <c r="G207" s="28">
        <v>675</v>
      </c>
      <c r="H207" s="28">
        <v>0</v>
      </c>
      <c r="I207" s="28">
        <v>468</v>
      </c>
      <c r="J207" s="28">
        <v>452</v>
      </c>
      <c r="K207" s="28">
        <f>TABL12[[#This Row],[خط (T/B  TOT) SAR]]+TABL12[[#This Row],[خط (S/S  TOT) SAR2]]</f>
        <v>920</v>
      </c>
      <c r="L207" s="28">
        <v>245</v>
      </c>
      <c r="M207" s="29">
        <v>20</v>
      </c>
      <c r="N207" s="30">
        <v>6.78</v>
      </c>
      <c r="O207" s="12">
        <v>402</v>
      </c>
      <c r="P207" s="12">
        <f>TABL12[[#This Row],[خط (S/S  TOT) SAR2]]-TABL12[[#This Row],[(S/S TOT) AJD]]</f>
        <v>50</v>
      </c>
      <c r="Q207" s="12">
        <v>439</v>
      </c>
      <c r="R207" s="12">
        <f>TABL12[[#This Row],[خط (T/B  TOT) SAR]]-TABL12[[#This Row],[(T/B TOT) AJD]]</f>
        <v>29</v>
      </c>
      <c r="S207" s="12">
        <f>TABL12[[#This Row],[الفرق بين بداية ونهاية خط  S/S]]+TABL12[[#This Row],[الفرق بين بداية ونهاية خط  T/B]]</f>
        <v>79</v>
      </c>
      <c r="T207" s="12">
        <f t="shared" si="12"/>
        <v>841</v>
      </c>
      <c r="U207" s="12">
        <v>503</v>
      </c>
      <c r="V207" s="12">
        <v>292</v>
      </c>
      <c r="W207" s="12">
        <f t="shared" si="13"/>
        <v>795</v>
      </c>
      <c r="X207" s="12">
        <f t="shared" si="14"/>
        <v>46</v>
      </c>
      <c r="Y207" s="13">
        <v>92.427000000000007</v>
      </c>
      <c r="Z207" s="12">
        <v>454947</v>
      </c>
      <c r="AA207" s="12">
        <f>TABL12[[#This Row],[(RESV. STORGE) AJD]]/10</f>
        <v>45494.7</v>
      </c>
      <c r="AB207" s="3">
        <f t="shared" si="15"/>
        <v>29.742000000000001</v>
      </c>
      <c r="AC207" s="6">
        <v>4470</v>
      </c>
      <c r="AD207" s="5">
        <f>TABL12[[#This Row],[( S/S+T/B) AJD]]-(TABL12[[#This Row],[(A/B + A/S) AJD]]+(TABL12[[#This Row],[(STORGE DIFF.) AJD]])+TABL12[[#This Row],[البخر  AJD]]/1000)</f>
        <v>11.788000000000011</v>
      </c>
      <c r="AE207" s="6">
        <v>35</v>
      </c>
      <c r="AF207" s="33">
        <v>58.994999999999997</v>
      </c>
      <c r="AG207" s="6">
        <v>1620384</v>
      </c>
      <c r="AH207" s="6">
        <f>TABL12[[#This Row],[ (RESV. STORGE) BER]]/10</f>
        <v>162038.39999999999</v>
      </c>
      <c r="AI207" s="6">
        <v>3082</v>
      </c>
      <c r="AJ207" s="6">
        <f>TABL12[[#This Row],[(A/B TOT) AJD]]-TABL12[[#This Row],[BER_ IN]]</f>
        <v>468</v>
      </c>
      <c r="AK207" s="6">
        <v>35</v>
      </c>
      <c r="AL207" s="33">
        <v>43.343000000000004</v>
      </c>
      <c r="AM207" s="6">
        <v>3292660</v>
      </c>
      <c r="AN207" s="6">
        <f>TABL12[[#This Row],[ (RESV. STORGE) SER]]/10</f>
        <v>329266</v>
      </c>
      <c r="AO207" s="6">
        <v>1840</v>
      </c>
      <c r="AP207" s="32">
        <f>TABL12[[#This Row],[(A/S TOT) AJD]]-TABL12[[#This Row],[SER_ IN]]</f>
        <v>257</v>
      </c>
    </row>
    <row r="208" spans="1:42" ht="15.75" x14ac:dyDescent="0.25">
      <c r="A208" s="2">
        <v>45864</v>
      </c>
      <c r="B208" s="28">
        <v>31</v>
      </c>
      <c r="C208" s="28">
        <v>247</v>
      </c>
      <c r="D208" s="28">
        <v>31</v>
      </c>
      <c r="E208" s="28">
        <v>0</v>
      </c>
      <c r="F208" s="28">
        <v>103</v>
      </c>
      <c r="G208" s="28">
        <v>675</v>
      </c>
      <c r="H208" s="28">
        <v>0</v>
      </c>
      <c r="I208" s="28">
        <v>468</v>
      </c>
      <c r="J208" s="28">
        <v>452</v>
      </c>
      <c r="K208" s="28">
        <f>TABL12[[#This Row],[خط (T/B  TOT) SAR]]+TABL12[[#This Row],[خط (S/S  TOT) SAR2]]</f>
        <v>920</v>
      </c>
      <c r="L208" s="28">
        <v>245</v>
      </c>
      <c r="M208" s="29">
        <v>20</v>
      </c>
      <c r="N208" s="30">
        <v>6.78</v>
      </c>
      <c r="O208" s="12">
        <v>402</v>
      </c>
      <c r="P208" s="12">
        <f>TABL12[[#This Row],[خط (S/S  TOT) SAR2]]-TABL12[[#This Row],[(S/S TOT) AJD]]</f>
        <v>50</v>
      </c>
      <c r="Q208" s="12">
        <v>442</v>
      </c>
      <c r="R208" s="12">
        <f>TABL12[[#This Row],[خط (T/B  TOT) SAR]]-TABL12[[#This Row],[(T/B TOT) AJD]]</f>
        <v>26</v>
      </c>
      <c r="S208" s="12">
        <f>TABL12[[#This Row],[الفرق بين بداية ونهاية خط  S/S]]+TABL12[[#This Row],[الفرق بين بداية ونهاية خط  T/B]]</f>
        <v>76</v>
      </c>
      <c r="T208" s="12">
        <f t="shared" si="12"/>
        <v>844</v>
      </c>
      <c r="U208" s="12">
        <v>505</v>
      </c>
      <c r="V208" s="12">
        <v>281</v>
      </c>
      <c r="W208" s="12">
        <f t="shared" si="13"/>
        <v>786</v>
      </c>
      <c r="X208" s="12">
        <f t="shared" si="14"/>
        <v>58</v>
      </c>
      <c r="Y208" s="13">
        <v>92.486999999999995</v>
      </c>
      <c r="Z208" s="12">
        <v>488876</v>
      </c>
      <c r="AA208" s="12">
        <f>TABL12[[#This Row],[(RESV. STORGE) AJD]]/10</f>
        <v>48887.6</v>
      </c>
      <c r="AB208" s="3">
        <f t="shared" si="15"/>
        <v>33.929000000000002</v>
      </c>
      <c r="AC208" s="6">
        <v>3640</v>
      </c>
      <c r="AD208" s="5">
        <f>TABL12[[#This Row],[( S/S+T/B) AJD]]-(TABL12[[#This Row],[(A/B + A/S) AJD]]+(TABL12[[#This Row],[(STORGE DIFF.) AJD]])+TABL12[[#This Row],[البخر  AJD]]/1000)</f>
        <v>20.43100000000004</v>
      </c>
      <c r="AE208" s="6">
        <v>40</v>
      </c>
      <c r="AF208" s="33">
        <v>58.99</v>
      </c>
      <c r="AG208" s="6">
        <v>1617048</v>
      </c>
      <c r="AH208" s="6">
        <f>TABL12[[#This Row],[ (RESV. STORGE) BER]]/10</f>
        <v>161704.79999999999</v>
      </c>
      <c r="AI208" s="6">
        <v>3460</v>
      </c>
      <c r="AJ208" s="6">
        <f>TABL12[[#This Row],[(A/B TOT) AJD]]-TABL12[[#This Row],[BER_ IN]]</f>
        <v>465</v>
      </c>
      <c r="AK208" s="6">
        <v>35</v>
      </c>
      <c r="AL208" s="33">
        <v>43.394399999999997</v>
      </c>
      <c r="AM208" s="6">
        <v>3322340</v>
      </c>
      <c r="AN208" s="6">
        <f>TABL12[[#This Row],[ (RESV. STORGE) SER]]/10</f>
        <v>332234</v>
      </c>
      <c r="AO208" s="6">
        <v>1820</v>
      </c>
      <c r="AP208" s="32">
        <f>TABL12[[#This Row],[(A/S TOT) AJD]]-TABL12[[#This Row],[SER_ IN]]</f>
        <v>246</v>
      </c>
    </row>
    <row r="209" spans="1:42" ht="15.75" x14ac:dyDescent="0.25">
      <c r="A209" s="2">
        <v>45865</v>
      </c>
      <c r="B209" s="28">
        <v>31</v>
      </c>
      <c r="C209" s="28">
        <v>249</v>
      </c>
      <c r="D209" s="28">
        <v>31</v>
      </c>
      <c r="E209" s="28">
        <v>0</v>
      </c>
      <c r="F209" s="28">
        <v>103</v>
      </c>
      <c r="G209" s="28">
        <v>675</v>
      </c>
      <c r="H209" s="28">
        <v>0</v>
      </c>
      <c r="I209" s="28">
        <v>468</v>
      </c>
      <c r="J209" s="28">
        <v>452</v>
      </c>
      <c r="K209" s="28">
        <f>TABL12[[#This Row],[خط (T/B  TOT) SAR]]+TABL12[[#This Row],[خط (S/S  TOT) SAR2]]</f>
        <v>920</v>
      </c>
      <c r="L209" s="28">
        <v>245</v>
      </c>
      <c r="M209" s="29">
        <v>20</v>
      </c>
      <c r="N209" s="30">
        <v>6.78</v>
      </c>
      <c r="O209" s="12">
        <v>403</v>
      </c>
      <c r="P209" s="12">
        <f>TABL12[[#This Row],[خط (S/S  TOT) SAR2]]-TABL12[[#This Row],[(S/S TOT) AJD]]</f>
        <v>49</v>
      </c>
      <c r="Q209" s="12">
        <v>442</v>
      </c>
      <c r="R209" s="12">
        <f>TABL12[[#This Row],[خط (T/B  TOT) SAR]]-TABL12[[#This Row],[(T/B TOT) AJD]]</f>
        <v>26</v>
      </c>
      <c r="S209" s="12">
        <f>TABL12[[#This Row],[الفرق بين بداية ونهاية خط  S/S]]+TABL12[[#This Row],[الفرق بين بداية ونهاية خط  T/B]]</f>
        <v>75</v>
      </c>
      <c r="T209" s="12">
        <f t="shared" si="12"/>
        <v>845</v>
      </c>
      <c r="U209" s="12">
        <v>517</v>
      </c>
      <c r="V209" s="12">
        <v>285</v>
      </c>
      <c r="W209" s="12">
        <f t="shared" si="13"/>
        <v>802</v>
      </c>
      <c r="X209" s="12">
        <f t="shared" si="14"/>
        <v>43</v>
      </c>
      <c r="Y209" s="13">
        <v>92.524000000000001</v>
      </c>
      <c r="Z209" s="12">
        <v>510932</v>
      </c>
      <c r="AA209" s="12">
        <f>TABL12[[#This Row],[(RESV. STORGE) AJD]]/10</f>
        <v>51093.2</v>
      </c>
      <c r="AB209" s="3">
        <f t="shared" si="15"/>
        <v>22.056000000000001</v>
      </c>
      <c r="AC209" s="6">
        <v>4004</v>
      </c>
      <c r="AD209" s="5">
        <f>TABL12[[#This Row],[( S/S+T/B) AJD]]-(TABL12[[#This Row],[(A/B + A/S) AJD]]+(TABL12[[#This Row],[(STORGE DIFF.) AJD]])+TABL12[[#This Row],[البخر  AJD]]/1000)</f>
        <v>16.939999999999941</v>
      </c>
      <c r="AE209" s="6">
        <v>40</v>
      </c>
      <c r="AF209" s="33">
        <v>58.984999999999999</v>
      </c>
      <c r="AG209" s="6">
        <v>1613747</v>
      </c>
      <c r="AH209" s="6">
        <f>TABL12[[#This Row],[ (RESV. STORGE) BER]]/10</f>
        <v>161374.70000000001</v>
      </c>
      <c r="AI209" s="6">
        <v>3460</v>
      </c>
      <c r="AJ209" s="6">
        <f>TABL12[[#This Row],[(A/B TOT) AJD]]-TABL12[[#This Row],[BER_ IN]]</f>
        <v>477</v>
      </c>
      <c r="AK209" s="6">
        <v>35</v>
      </c>
      <c r="AL209" s="33">
        <v>43.426000000000002</v>
      </c>
      <c r="AM209" s="6">
        <v>3339300</v>
      </c>
      <c r="AN209" s="6">
        <f>TABL12[[#This Row],[ (RESV. STORGE) SER]]/10</f>
        <v>333930</v>
      </c>
      <c r="AO209" s="6">
        <v>1940</v>
      </c>
      <c r="AP209" s="32">
        <f>TABL12[[#This Row],[(A/S TOT) AJD]]-TABL12[[#This Row],[SER_ IN]]</f>
        <v>250</v>
      </c>
    </row>
    <row r="210" spans="1:42" ht="15.75" x14ac:dyDescent="0.25">
      <c r="A210" s="2">
        <v>45866</v>
      </c>
      <c r="B210" s="28">
        <v>31</v>
      </c>
      <c r="C210" s="28">
        <v>254</v>
      </c>
      <c r="D210" s="28">
        <v>31</v>
      </c>
      <c r="E210" s="28">
        <v>0</v>
      </c>
      <c r="F210" s="28">
        <v>103</v>
      </c>
      <c r="G210" s="28">
        <v>675</v>
      </c>
      <c r="H210" s="28">
        <v>0</v>
      </c>
      <c r="I210" s="28">
        <v>469</v>
      </c>
      <c r="J210" s="28">
        <v>453</v>
      </c>
      <c r="K210" s="28">
        <f>TABL12[[#This Row],[خط (T/B  TOT) SAR]]+TABL12[[#This Row],[خط (S/S  TOT) SAR2]]</f>
        <v>922</v>
      </c>
      <c r="L210" s="28">
        <v>245</v>
      </c>
      <c r="M210" s="29">
        <v>20</v>
      </c>
      <c r="N210" s="30">
        <v>6.78</v>
      </c>
      <c r="O210" s="12">
        <v>406</v>
      </c>
      <c r="P210" s="12">
        <f>TABL12[[#This Row],[خط (S/S  TOT) SAR2]]-TABL12[[#This Row],[(S/S TOT) AJD]]</f>
        <v>47</v>
      </c>
      <c r="Q210" s="12">
        <v>444</v>
      </c>
      <c r="R210" s="12">
        <f>TABL12[[#This Row],[خط (T/B  TOT) SAR]]-TABL12[[#This Row],[(T/B TOT) AJD]]</f>
        <v>25</v>
      </c>
      <c r="S210" s="12">
        <f>TABL12[[#This Row],[الفرق بين بداية ونهاية خط  S/S]]+TABL12[[#This Row],[الفرق بين بداية ونهاية خط  T/B]]</f>
        <v>72</v>
      </c>
      <c r="T210" s="12">
        <f t="shared" si="12"/>
        <v>850</v>
      </c>
      <c r="U210" s="12">
        <v>522</v>
      </c>
      <c r="V210" s="12">
        <v>283</v>
      </c>
      <c r="W210" s="12">
        <f t="shared" si="13"/>
        <v>805</v>
      </c>
      <c r="X210" s="12">
        <f t="shared" si="14"/>
        <v>45</v>
      </c>
      <c r="Y210" s="13">
        <v>92.584999999999994</v>
      </c>
      <c r="Z210" s="12">
        <v>547286</v>
      </c>
      <c r="AA210" s="12">
        <f>TABL12[[#This Row],[(RESV. STORGE) AJD]]/10</f>
        <v>54728.6</v>
      </c>
      <c r="AB210" s="3">
        <f t="shared" si="15"/>
        <v>36.353999999999999</v>
      </c>
      <c r="AC210" s="6">
        <v>0</v>
      </c>
      <c r="AD210" s="5">
        <f>TABL12[[#This Row],[( S/S+T/B) AJD]]-(TABL12[[#This Row],[(A/B + A/S) AJD]]+(TABL12[[#This Row],[(STORGE DIFF.) AJD]])+TABL12[[#This Row],[البخر  AJD]]/1000)</f>
        <v>8.6459999999999582</v>
      </c>
      <c r="AE210" s="6">
        <v>40</v>
      </c>
      <c r="AF210" s="33">
        <v>58.98</v>
      </c>
      <c r="AG210" s="6">
        <v>1610447</v>
      </c>
      <c r="AH210" s="6">
        <f>TABL12[[#This Row],[ (RESV. STORGE) BER]]/10</f>
        <v>161044.70000000001</v>
      </c>
      <c r="AI210" s="6">
        <v>3460</v>
      </c>
      <c r="AJ210" s="6">
        <f>TABL12[[#This Row],[(A/B TOT) AJD]]-TABL12[[#This Row],[BER_ IN]]</f>
        <v>482</v>
      </c>
      <c r="AK210" s="6">
        <v>35</v>
      </c>
      <c r="AL210" s="33">
        <v>43.454900000000002</v>
      </c>
      <c r="AM210" s="6">
        <v>3355210</v>
      </c>
      <c r="AN210" s="6">
        <f>TABL12[[#This Row],[ (RESV. STORGE) SER]]/10</f>
        <v>335521</v>
      </c>
      <c r="AO210" s="6">
        <v>1890</v>
      </c>
      <c r="AP210" s="32">
        <f>TABL12[[#This Row],[(A/S TOT) AJD]]-TABL12[[#This Row],[SER_ IN]]</f>
        <v>248</v>
      </c>
    </row>
    <row r="211" spans="1:42" ht="15.75" x14ac:dyDescent="0.25">
      <c r="A211" s="2">
        <v>45867</v>
      </c>
      <c r="B211" s="28">
        <v>31</v>
      </c>
      <c r="C211" s="28">
        <v>255</v>
      </c>
      <c r="D211" s="28">
        <v>31</v>
      </c>
      <c r="E211" s="28">
        <v>0</v>
      </c>
      <c r="F211" s="28">
        <v>103</v>
      </c>
      <c r="G211" s="28">
        <v>677</v>
      </c>
      <c r="H211" s="28">
        <v>0</v>
      </c>
      <c r="I211" s="28">
        <v>455</v>
      </c>
      <c r="J211" s="28">
        <v>437</v>
      </c>
      <c r="K211" s="28">
        <f>TABL12[[#This Row],[خط (T/B  TOT) SAR]]+TABL12[[#This Row],[خط (S/S  TOT) SAR2]]</f>
        <v>892</v>
      </c>
      <c r="L211" s="28">
        <v>215</v>
      </c>
      <c r="M211" s="29">
        <v>18.3</v>
      </c>
      <c r="N211" s="30">
        <v>7</v>
      </c>
      <c r="O211" s="12">
        <v>400</v>
      </c>
      <c r="P211" s="12">
        <f>TABL12[[#This Row],[خط (S/S  TOT) SAR2]]-TABL12[[#This Row],[(S/S TOT) AJD]]</f>
        <v>37</v>
      </c>
      <c r="Q211" s="12">
        <v>441</v>
      </c>
      <c r="R211" s="12">
        <f>TABL12[[#This Row],[خط (T/B  TOT) SAR]]-TABL12[[#This Row],[(T/B TOT) AJD]]</f>
        <v>14</v>
      </c>
      <c r="S211" s="12">
        <f>TABL12[[#This Row],[الفرق بين بداية ونهاية خط  S/S]]+TABL12[[#This Row],[الفرق بين بداية ونهاية خط  T/B]]</f>
        <v>51</v>
      </c>
      <c r="T211" s="12">
        <f t="shared" si="12"/>
        <v>841</v>
      </c>
      <c r="U211" s="12">
        <v>519</v>
      </c>
      <c r="V211" s="12">
        <v>298</v>
      </c>
      <c r="W211" s="12">
        <f t="shared" si="13"/>
        <v>817</v>
      </c>
      <c r="X211" s="12">
        <f t="shared" si="14"/>
        <v>24</v>
      </c>
      <c r="Y211" s="13">
        <v>92.557000000000002</v>
      </c>
      <c r="Z211" s="12">
        <v>530591</v>
      </c>
      <c r="AA211" s="12">
        <f>TABL12[[#This Row],[(RESV. STORGE) AJD]]/10</f>
        <v>53059.1</v>
      </c>
      <c r="AB211" s="3">
        <f t="shared" si="15"/>
        <v>-16.695</v>
      </c>
      <c r="AC211" s="6">
        <v>0</v>
      </c>
      <c r="AD211" s="5">
        <f>TABL12[[#This Row],[( S/S+T/B) AJD]]-(TABL12[[#This Row],[(A/B + A/S) AJD]]+(TABL12[[#This Row],[(STORGE DIFF.) AJD]])+TABL12[[#This Row],[البخر  AJD]]/1000)</f>
        <v>40.69500000000005</v>
      </c>
      <c r="AE211" s="6">
        <v>40</v>
      </c>
      <c r="AF211" s="33">
        <v>58.975000000000001</v>
      </c>
      <c r="AG211" s="6">
        <v>1607147</v>
      </c>
      <c r="AH211" s="6">
        <f>TABL12[[#This Row],[ (RESV. STORGE) BER]]/10</f>
        <v>160714.70000000001</v>
      </c>
      <c r="AI211" s="6">
        <v>3460</v>
      </c>
      <c r="AJ211" s="6">
        <f>TABL12[[#This Row],[(A/B TOT) AJD]]-TABL12[[#This Row],[BER_ IN]]</f>
        <v>479</v>
      </c>
      <c r="AK211" s="6">
        <v>35</v>
      </c>
      <c r="AL211" s="33">
        <v>43.475299999999997</v>
      </c>
      <c r="AM211" s="6">
        <v>3366150</v>
      </c>
      <c r="AN211" s="6">
        <f>TABL12[[#This Row],[ (RESV. STORGE) SER]]/10</f>
        <v>336615</v>
      </c>
      <c r="AO211" s="6">
        <v>1860</v>
      </c>
      <c r="AP211" s="32">
        <f>TABL12[[#This Row],[(A/S TOT) AJD]]-TABL12[[#This Row],[SER_ IN]]</f>
        <v>263</v>
      </c>
    </row>
    <row r="212" spans="1:42" ht="15.75" x14ac:dyDescent="0.25">
      <c r="A212" s="2">
        <v>45868</v>
      </c>
      <c r="B212" s="28">
        <v>33</v>
      </c>
      <c r="C212" s="28">
        <v>267</v>
      </c>
      <c r="D212" s="28">
        <v>33</v>
      </c>
      <c r="E212" s="28">
        <v>0</v>
      </c>
      <c r="F212" s="28">
        <v>103</v>
      </c>
      <c r="G212" s="28">
        <v>677</v>
      </c>
      <c r="H212" s="28">
        <v>0</v>
      </c>
      <c r="I212" s="28">
        <v>455</v>
      </c>
      <c r="J212" s="28">
        <v>437</v>
      </c>
      <c r="K212" s="28">
        <f>TABL12[[#This Row],[خط (T/B  TOT) SAR]]+TABL12[[#This Row],[خط (S/S  TOT) SAR2]]</f>
        <v>892</v>
      </c>
      <c r="L212" s="28">
        <v>215</v>
      </c>
      <c r="M212" s="29">
        <v>18.3</v>
      </c>
      <c r="N212" s="30">
        <v>7.27</v>
      </c>
      <c r="O212" s="12">
        <v>390</v>
      </c>
      <c r="P212" s="12">
        <f>TABL12[[#This Row],[خط (S/S  TOT) SAR2]]-TABL12[[#This Row],[(S/S TOT) AJD]]</f>
        <v>47</v>
      </c>
      <c r="Q212" s="12">
        <v>429</v>
      </c>
      <c r="R212" s="12">
        <f>TABL12[[#This Row],[خط (T/B  TOT) SAR]]-TABL12[[#This Row],[(T/B TOT) AJD]]</f>
        <v>26</v>
      </c>
      <c r="S212" s="12">
        <f>TABL12[[#This Row],[الفرق بين بداية ونهاية خط  S/S]]+TABL12[[#This Row],[الفرق بين بداية ونهاية خط  T/B]]</f>
        <v>73</v>
      </c>
      <c r="T212" s="12">
        <f t="shared" si="12"/>
        <v>819</v>
      </c>
      <c r="U212" s="12">
        <v>520</v>
      </c>
      <c r="V212" s="12">
        <v>297</v>
      </c>
      <c r="W212" s="12">
        <f t="shared" si="13"/>
        <v>817</v>
      </c>
      <c r="X212" s="12">
        <f t="shared" si="14"/>
        <v>2</v>
      </c>
      <c r="Y212" s="13">
        <v>92.528999999999996</v>
      </c>
      <c r="Z212" s="12">
        <v>513897</v>
      </c>
      <c r="AA212" s="12">
        <f>TABL12[[#This Row],[(RESV. STORGE) AJD]]/10</f>
        <v>51389.7</v>
      </c>
      <c r="AB212" s="3">
        <f t="shared" si="15"/>
        <v>-16.693999999999999</v>
      </c>
      <c r="AC212" s="6">
        <v>0</v>
      </c>
      <c r="AD212" s="5">
        <f>TABL12[[#This Row],[( S/S+T/B) AJD]]-(TABL12[[#This Row],[(A/B + A/S) AJD]]+(TABL12[[#This Row],[(STORGE DIFF.) AJD]])+TABL12[[#This Row],[البخر  AJD]]/1000)</f>
        <v>18.69399999999996</v>
      </c>
      <c r="AE212" s="6">
        <v>40</v>
      </c>
      <c r="AF212" s="33">
        <v>58.97</v>
      </c>
      <c r="AG212" s="6">
        <v>1603847</v>
      </c>
      <c r="AH212" s="6">
        <f>TABL12[[#This Row],[ (RESV. STORGE) BER]]/10</f>
        <v>160384.70000000001</v>
      </c>
      <c r="AI212" s="6">
        <v>3459</v>
      </c>
      <c r="AJ212" s="6">
        <f>TABL12[[#This Row],[(A/B TOT) AJD]]-TABL12[[#This Row],[BER_ IN]]</f>
        <v>480</v>
      </c>
      <c r="AK212" s="6">
        <v>35</v>
      </c>
      <c r="AL212" s="33">
        <v>43.499299999999998</v>
      </c>
      <c r="AM212" s="6">
        <v>3379210</v>
      </c>
      <c r="AN212" s="6">
        <f>TABL12[[#This Row],[ (RESV. STORGE) SER]]/10</f>
        <v>337921</v>
      </c>
      <c r="AO212" s="6">
        <v>1840</v>
      </c>
      <c r="AP212" s="32">
        <f>TABL12[[#This Row],[(A/S TOT) AJD]]-TABL12[[#This Row],[SER_ IN]]</f>
        <v>262</v>
      </c>
    </row>
    <row r="213" spans="1:42" ht="15.75" x14ac:dyDescent="0.25">
      <c r="A213" s="2">
        <v>45869</v>
      </c>
      <c r="B213" s="28">
        <v>33</v>
      </c>
      <c r="C213" s="28">
        <v>276</v>
      </c>
      <c r="D213" s="28">
        <v>33</v>
      </c>
      <c r="E213" s="28">
        <v>0</v>
      </c>
      <c r="F213" s="28">
        <v>103</v>
      </c>
      <c r="G213" s="28">
        <v>677</v>
      </c>
      <c r="H213" s="28">
        <v>0</v>
      </c>
      <c r="I213" s="28">
        <v>457</v>
      </c>
      <c r="J213" s="28">
        <v>440</v>
      </c>
      <c r="K213" s="28">
        <f>TABL12[[#This Row],[خط (T/B  TOT) SAR]]+TABL12[[#This Row],[خط (S/S  TOT) SAR2]]</f>
        <v>897</v>
      </c>
      <c r="L213" s="28">
        <v>220</v>
      </c>
      <c r="M213" s="29">
        <v>18.3</v>
      </c>
      <c r="N213" s="30">
        <v>7.53</v>
      </c>
      <c r="O213" s="12">
        <v>392</v>
      </c>
      <c r="P213" s="12">
        <f>TABL12[[#This Row],[خط (S/S  TOT) SAR2]]-TABL12[[#This Row],[(S/S TOT) AJD]]</f>
        <v>48</v>
      </c>
      <c r="Q213" s="12">
        <v>431</v>
      </c>
      <c r="R213" s="12">
        <f>TABL12[[#This Row],[خط (T/B  TOT) SAR]]-TABL12[[#This Row],[(T/B TOT) AJD]]</f>
        <v>26</v>
      </c>
      <c r="S213" s="12">
        <f>TABL12[[#This Row],[الفرق بين بداية ونهاية خط  S/S]]+TABL12[[#This Row],[الفرق بين بداية ونهاية خط  T/B]]</f>
        <v>74</v>
      </c>
      <c r="T213" s="12">
        <f t="shared" si="12"/>
        <v>823</v>
      </c>
      <c r="U213" s="12">
        <v>523</v>
      </c>
      <c r="V213" s="12">
        <v>287</v>
      </c>
      <c r="W213" s="12">
        <f t="shared" si="13"/>
        <v>810</v>
      </c>
      <c r="X213" s="12">
        <f t="shared" si="14"/>
        <v>13</v>
      </c>
      <c r="Y213" s="13">
        <v>92.504999999999995</v>
      </c>
      <c r="Z213" s="12">
        <v>499601</v>
      </c>
      <c r="AA213" s="12">
        <f>TABL12[[#This Row],[(RESV. STORGE) AJD]]/10</f>
        <v>49960.1</v>
      </c>
      <c r="AB213" s="3">
        <f t="shared" si="15"/>
        <v>-14.295999999999999</v>
      </c>
      <c r="AC213" s="6">
        <v>2106</v>
      </c>
      <c r="AD213" s="5">
        <f>TABL12[[#This Row],[( S/S+T/B) AJD]]-(TABL12[[#This Row],[(A/B + A/S) AJD]]+(TABL12[[#This Row],[(STORGE DIFF.) AJD]])+TABL12[[#This Row],[البخر  AJD]]/1000)</f>
        <v>25.190000000000055</v>
      </c>
      <c r="AE213" s="6">
        <v>40</v>
      </c>
      <c r="AF213" s="33">
        <v>58.965000000000003</v>
      </c>
      <c r="AG213" s="6">
        <v>1600547</v>
      </c>
      <c r="AH213" s="6">
        <f>TABL12[[#This Row],[ (RESV. STORGE) BER]]/10</f>
        <v>160054.70000000001</v>
      </c>
      <c r="AI213" s="6">
        <v>3459</v>
      </c>
      <c r="AJ213" s="6">
        <f>TABL12[[#This Row],[(A/B TOT) AJD]]-TABL12[[#This Row],[BER_ IN]]</f>
        <v>483</v>
      </c>
      <c r="AK213" s="6">
        <v>35</v>
      </c>
      <c r="AL213" s="33">
        <v>43.535200000000003</v>
      </c>
      <c r="AM213" s="6">
        <v>3397237</v>
      </c>
      <c r="AN213" s="6">
        <f>TABL12[[#This Row],[ (RESV. STORGE) SER]]/10</f>
        <v>339723.7</v>
      </c>
      <c r="AO213" s="6">
        <v>1873</v>
      </c>
      <c r="AP213" s="32">
        <f>TABL12[[#This Row],[(A/S TOT) AJD]]-TABL12[[#This Row],[SER_ IN]]</f>
        <v>252</v>
      </c>
    </row>
    <row r="214" spans="1:42" x14ac:dyDescent="0.25">
      <c r="A214" s="2">
        <v>45870</v>
      </c>
      <c r="B214" s="28">
        <v>33</v>
      </c>
      <c r="C214" s="28">
        <v>272</v>
      </c>
      <c r="D214" s="28">
        <v>33</v>
      </c>
      <c r="E214" s="28">
        <v>0</v>
      </c>
      <c r="F214" s="28">
        <v>103</v>
      </c>
      <c r="G214" s="28">
        <v>676</v>
      </c>
      <c r="H214" s="28">
        <v>0</v>
      </c>
      <c r="I214" s="28">
        <v>457</v>
      </c>
      <c r="J214" s="28">
        <v>442</v>
      </c>
      <c r="K214" s="28">
        <f>TABL12[[#This Row],[خط (T/B  TOT) SAR]]+TABL12[[#This Row],[خط (S/S  TOT) SAR2]]</f>
        <v>899</v>
      </c>
      <c r="L214" s="28">
        <v>223</v>
      </c>
      <c r="M214" s="29">
        <v>18.3</v>
      </c>
      <c r="N214" s="30">
        <v>7.76</v>
      </c>
      <c r="O214" s="3">
        <v>391</v>
      </c>
      <c r="P214" s="3">
        <f>TABL12[[#This Row],[خط (S/S  TOT) SAR2]]-TABL12[[#This Row],[(S/S TOT) AJD]]</f>
        <v>51</v>
      </c>
      <c r="Q214" s="3">
        <v>429</v>
      </c>
      <c r="R214" s="3">
        <f>TABL12[[#This Row],[خط (T/B  TOT) SAR]]-TABL12[[#This Row],[(T/B TOT) AJD]]</f>
        <v>28</v>
      </c>
      <c r="S214" s="3">
        <f>TABL12[[#This Row],[الفرق بين بداية ونهاية خط  S/S]]+TABL12[[#This Row],[الفرق بين بداية ونهاية خط  T/B]]</f>
        <v>79</v>
      </c>
      <c r="T214" s="3">
        <f t="shared" si="12"/>
        <v>820</v>
      </c>
      <c r="U214" s="3">
        <v>519</v>
      </c>
      <c r="V214" s="3">
        <v>293</v>
      </c>
      <c r="W214" s="3">
        <f t="shared" si="13"/>
        <v>812</v>
      </c>
      <c r="X214" s="3">
        <f t="shared" si="14"/>
        <v>8</v>
      </c>
      <c r="Y214" s="4">
        <v>92.486999999999995</v>
      </c>
      <c r="Z214" s="3">
        <v>488888</v>
      </c>
      <c r="AA214" s="3">
        <f>TABL12[[#This Row],[(RESV. STORGE) AJD]]/10</f>
        <v>48888.800000000003</v>
      </c>
      <c r="AB214" s="3">
        <f t="shared" si="15"/>
        <v>-10.712999999999999</v>
      </c>
      <c r="AC214" s="6">
        <v>0</v>
      </c>
      <c r="AD214" s="5">
        <f>TABL12[[#This Row],[( S/S+T/B) AJD]]-(TABL12[[#This Row],[(A/B + A/S) AJD]]+(TABL12[[#This Row],[(STORGE DIFF.) AJD]])+TABL12[[#This Row],[البخر  AJD]]/1000)</f>
        <v>18.712999999999965</v>
      </c>
      <c r="AE214" s="6">
        <v>40</v>
      </c>
      <c r="AF214" s="33">
        <v>58.972000000000001</v>
      </c>
      <c r="AG214" s="6">
        <v>1605167</v>
      </c>
      <c r="AH214" s="6">
        <f>TABL12[[#This Row],[ (RESV. STORGE) BER]]/10</f>
        <v>160516.70000000001</v>
      </c>
      <c r="AI214" s="6">
        <v>3425</v>
      </c>
      <c r="AJ214" s="6">
        <f>TABL12[[#This Row],[(A/B TOT) AJD]]-TABL12[[#This Row],[BER_ IN]]</f>
        <v>479</v>
      </c>
      <c r="AK214" s="6">
        <v>35</v>
      </c>
      <c r="AL214" s="33">
        <v>43.577199999999998</v>
      </c>
      <c r="AM214" s="6">
        <v>3421763</v>
      </c>
      <c r="AN214" s="6">
        <f>TABL12[[#This Row],[ (RESV. STORGE) SER]]/10</f>
        <v>342176.3</v>
      </c>
      <c r="AO214" s="6">
        <v>1910</v>
      </c>
      <c r="AP214" s="32">
        <f>TABL12[[#This Row],[(A/S TOT) AJD]]-TABL12[[#This Row],[SER_ IN]]</f>
        <v>258</v>
      </c>
    </row>
    <row r="215" spans="1:42" x14ac:dyDescent="0.25">
      <c r="A215" s="2">
        <v>45871</v>
      </c>
      <c r="B215" s="28">
        <v>34</v>
      </c>
      <c r="C215" s="28">
        <v>279</v>
      </c>
      <c r="D215" s="28">
        <v>34</v>
      </c>
      <c r="E215" s="28">
        <v>0</v>
      </c>
      <c r="F215" s="28">
        <v>103</v>
      </c>
      <c r="G215" s="28">
        <v>679</v>
      </c>
      <c r="H215" s="28">
        <v>0</v>
      </c>
      <c r="I215" s="28">
        <v>477</v>
      </c>
      <c r="J215" s="28">
        <v>462</v>
      </c>
      <c r="K215" s="28">
        <f>TABL12[[#This Row],[خط (T/B  TOT) SAR]]+TABL12[[#This Row],[خط (S/S  TOT) SAR2]]</f>
        <v>939</v>
      </c>
      <c r="L215" s="28">
        <v>260</v>
      </c>
      <c r="M215" s="29">
        <v>20.399999999999999</v>
      </c>
      <c r="N215" s="30">
        <v>7.8</v>
      </c>
      <c r="O215" s="3">
        <v>395</v>
      </c>
      <c r="P215" s="3">
        <f>TABL12[[#This Row],[خط (S/S  TOT) SAR2]]-TABL12[[#This Row],[(S/S TOT) AJD]]</f>
        <v>67</v>
      </c>
      <c r="Q215" s="3">
        <v>434</v>
      </c>
      <c r="R215" s="3">
        <f>TABL12[[#This Row],[خط (T/B  TOT) SAR]]-TABL12[[#This Row],[(T/B TOT) AJD]]</f>
        <v>43</v>
      </c>
      <c r="S215" s="3">
        <f>TABL12[[#This Row],[الفرق بين بداية ونهاية خط  S/S]]+TABL12[[#This Row],[الفرق بين بداية ونهاية خط  T/B]]</f>
        <v>110</v>
      </c>
      <c r="T215" s="3">
        <f t="shared" si="12"/>
        <v>829</v>
      </c>
      <c r="U215" s="3">
        <v>517</v>
      </c>
      <c r="V215" s="3">
        <v>272</v>
      </c>
      <c r="W215" s="3">
        <f t="shared" si="13"/>
        <v>789</v>
      </c>
      <c r="X215" s="3">
        <f t="shared" si="14"/>
        <v>40</v>
      </c>
      <c r="Y215" s="4">
        <v>92.512</v>
      </c>
      <c r="Z215" s="3">
        <v>503774</v>
      </c>
      <c r="AA215" s="3">
        <f>TABL12[[#This Row],[(RESV. STORGE) AJD]]/10</f>
        <v>50377.4</v>
      </c>
      <c r="AB215" s="3">
        <f t="shared" si="15"/>
        <v>14.885999999999999</v>
      </c>
      <c r="AC215" s="6">
        <v>0</v>
      </c>
      <c r="AD215" s="5">
        <f>TABL12[[#This Row],[( S/S+T/B) AJD]]-(TABL12[[#This Row],[(A/B + A/S) AJD]]+(TABL12[[#This Row],[(STORGE DIFF.) AJD]])+TABL12[[#This Row],[البخر  AJD]]/1000)</f>
        <v>25.114000000000033</v>
      </c>
      <c r="AE215" s="6">
        <v>40</v>
      </c>
      <c r="AF215" s="33">
        <v>58.966999999999999</v>
      </c>
      <c r="AG215" s="6">
        <v>1601867</v>
      </c>
      <c r="AH215" s="6">
        <f>TABL12[[#This Row],[ (RESV. STORGE) BER]]/10</f>
        <v>160186.70000000001</v>
      </c>
      <c r="AI215" s="6">
        <v>3459</v>
      </c>
      <c r="AJ215" s="6">
        <f>TABL12[[#This Row],[(A/B TOT) AJD]]-TABL12[[#This Row],[BER_ IN]]</f>
        <v>477</v>
      </c>
      <c r="AK215" s="6">
        <v>36</v>
      </c>
      <c r="AL215" s="33">
        <v>43.629300000000001</v>
      </c>
      <c r="AM215" s="6">
        <v>3450167</v>
      </c>
      <c r="AN215" s="6">
        <f>TABL12[[#This Row],[ (RESV. STORGE) SER]]/10</f>
        <v>345016.7</v>
      </c>
      <c r="AO215" s="6">
        <v>1830</v>
      </c>
      <c r="AP215" s="32">
        <f>TABL12[[#This Row],[(A/S TOT) AJD]]-TABL12[[#This Row],[SER_ IN]]</f>
        <v>236</v>
      </c>
    </row>
    <row r="216" spans="1:42" x14ac:dyDescent="0.25">
      <c r="A216" s="2">
        <v>45872</v>
      </c>
      <c r="B216" s="28">
        <v>33</v>
      </c>
      <c r="C216" s="28">
        <v>230</v>
      </c>
      <c r="D216" s="28">
        <v>33</v>
      </c>
      <c r="E216" s="28">
        <v>0</v>
      </c>
      <c r="F216" s="28">
        <v>103</v>
      </c>
      <c r="G216" s="28">
        <v>671</v>
      </c>
      <c r="H216" s="28">
        <v>0</v>
      </c>
      <c r="I216" s="28">
        <v>477</v>
      </c>
      <c r="J216" s="28">
        <v>462</v>
      </c>
      <c r="K216" s="28">
        <f>TABL12[[#This Row],[خط (T/B  TOT) SAR]]+TABL12[[#This Row],[خط (S/S  TOT) SAR2]]</f>
        <v>939</v>
      </c>
      <c r="L216" s="28">
        <v>268</v>
      </c>
      <c r="M216" s="29">
        <v>20.399999999999999</v>
      </c>
      <c r="N216" s="30">
        <v>7.74</v>
      </c>
      <c r="O216" s="3">
        <v>410</v>
      </c>
      <c r="P216" s="3">
        <f>TABL12[[#This Row],[خط (S/S  TOT) SAR2]]-TABL12[[#This Row],[(S/S TOT) AJD]]</f>
        <v>52</v>
      </c>
      <c r="Q216" s="3">
        <v>449</v>
      </c>
      <c r="R216" s="3">
        <f>TABL12[[#This Row],[خط (T/B  TOT) SAR]]-TABL12[[#This Row],[(T/B TOT) AJD]]</f>
        <v>28</v>
      </c>
      <c r="S216" s="3">
        <f>TABL12[[#This Row],[الفرق بين بداية ونهاية خط  S/S]]+TABL12[[#This Row],[الفرق بين بداية ونهاية خط  T/B]]</f>
        <v>80</v>
      </c>
      <c r="T216" s="3">
        <f t="shared" si="12"/>
        <v>859</v>
      </c>
      <c r="U216" s="3">
        <v>518</v>
      </c>
      <c r="V216" s="3">
        <v>285</v>
      </c>
      <c r="W216" s="3">
        <f t="shared" si="13"/>
        <v>803</v>
      </c>
      <c r="X216" s="3">
        <f t="shared" si="14"/>
        <v>56</v>
      </c>
      <c r="Y216" s="4">
        <v>92.563999999999993</v>
      </c>
      <c r="Z216" s="3">
        <v>534766</v>
      </c>
      <c r="AA216" s="3">
        <f>TABL12[[#This Row],[(RESV. STORGE) AJD]]/10</f>
        <v>53476.6</v>
      </c>
      <c r="AB216" s="3">
        <f t="shared" si="15"/>
        <v>30.992000000000001</v>
      </c>
      <c r="AC216" s="6">
        <v>0</v>
      </c>
      <c r="AD216" s="5">
        <f>TABL12[[#This Row],[( S/S+T/B) AJD]]-(TABL12[[#This Row],[(A/B + A/S) AJD]]+(TABL12[[#This Row],[(STORGE DIFF.) AJD]])+TABL12[[#This Row],[البخر  AJD]]/1000)</f>
        <v>25.008000000000038</v>
      </c>
      <c r="AE216" s="6">
        <v>40</v>
      </c>
      <c r="AF216" s="33">
        <v>58.962000000000003</v>
      </c>
      <c r="AG216" s="6">
        <v>1598568</v>
      </c>
      <c r="AH216" s="6">
        <f>TABL12[[#This Row],[ (RESV. STORGE) BER]]/10</f>
        <v>159856.79999999999</v>
      </c>
      <c r="AI216" s="6">
        <v>3459</v>
      </c>
      <c r="AJ216" s="6">
        <f>TABL12[[#This Row],[(A/B TOT) AJD]]-TABL12[[#This Row],[BER_ IN]]</f>
        <v>478</v>
      </c>
      <c r="AK216" s="6">
        <v>34</v>
      </c>
      <c r="AL216" s="33">
        <v>43.657499999999999</v>
      </c>
      <c r="AM216" s="6">
        <v>3465470</v>
      </c>
      <c r="AN216" s="6">
        <f>TABL12[[#This Row],[ (RESV. STORGE) SER]]/10</f>
        <v>346547</v>
      </c>
      <c r="AO216" s="6">
        <v>1895</v>
      </c>
      <c r="AP216" s="32">
        <f>TABL12[[#This Row],[(A/S TOT) AJD]]-TABL12[[#This Row],[SER_ IN]]</f>
        <v>251</v>
      </c>
    </row>
    <row r="217" spans="1:42" x14ac:dyDescent="0.25">
      <c r="A217" s="2">
        <v>45873</v>
      </c>
      <c r="B217" s="28">
        <v>24</v>
      </c>
      <c r="C217" s="28">
        <v>150</v>
      </c>
      <c r="D217" s="28">
        <v>24</v>
      </c>
      <c r="E217" s="28">
        <v>0</v>
      </c>
      <c r="F217" s="28">
        <v>103</v>
      </c>
      <c r="G217" s="28">
        <v>659</v>
      </c>
      <c r="H217" s="28">
        <v>0</v>
      </c>
      <c r="I217" s="28">
        <v>454</v>
      </c>
      <c r="J217" s="28">
        <v>438</v>
      </c>
      <c r="K217" s="28">
        <f>TABL12[[#This Row],[خط (T/B  TOT) SAR]]+TABL12[[#This Row],[خط (S/S  TOT) SAR2]]</f>
        <v>892</v>
      </c>
      <c r="L217" s="28">
        <v>233</v>
      </c>
      <c r="M217" s="29">
        <v>19.2</v>
      </c>
      <c r="N217" s="30">
        <v>7.12</v>
      </c>
      <c r="O217" s="3">
        <v>406</v>
      </c>
      <c r="P217" s="3">
        <f>TABL12[[#This Row],[خط (S/S  TOT) SAR2]]-TABL12[[#This Row],[(S/S TOT) AJD]]</f>
        <v>32</v>
      </c>
      <c r="Q217" s="3">
        <v>446</v>
      </c>
      <c r="R217" s="3">
        <f>TABL12[[#This Row],[خط (T/B  TOT) SAR]]-TABL12[[#This Row],[(T/B TOT) AJD]]</f>
        <v>8</v>
      </c>
      <c r="S217" s="3">
        <f>TABL12[[#This Row],[الفرق بين بداية ونهاية خط  S/S]]+TABL12[[#This Row],[الفرق بين بداية ونهاية خط  T/B]]</f>
        <v>40</v>
      </c>
      <c r="T217" s="3">
        <f t="shared" si="12"/>
        <v>852</v>
      </c>
      <c r="U217" s="3">
        <v>513</v>
      </c>
      <c r="V217" s="3">
        <v>275</v>
      </c>
      <c r="W217" s="3">
        <f t="shared" si="13"/>
        <v>788</v>
      </c>
      <c r="X217" s="3">
        <f t="shared" si="14"/>
        <v>64</v>
      </c>
      <c r="Y217" s="4">
        <v>92.634</v>
      </c>
      <c r="Z217" s="3">
        <v>576521</v>
      </c>
      <c r="AA217" s="3">
        <f>TABL12[[#This Row],[(RESV. STORGE) AJD]]/10</f>
        <v>57652.1</v>
      </c>
      <c r="AB217" s="3">
        <f t="shared" si="15"/>
        <v>41.755000000000003</v>
      </c>
      <c r="AC217" s="6">
        <v>0</v>
      </c>
      <c r="AD217" s="5">
        <f>TABL12[[#This Row],[( S/S+T/B) AJD]]-(TABL12[[#This Row],[(A/B + A/S) AJD]]+(TABL12[[#This Row],[(STORGE DIFF.) AJD]])+TABL12[[#This Row],[البخر  AJD]]/1000)</f>
        <v>22.245000000000005</v>
      </c>
      <c r="AE217" s="6">
        <v>30</v>
      </c>
      <c r="AF217" s="33">
        <v>58.942</v>
      </c>
      <c r="AG217" s="6">
        <v>1585372</v>
      </c>
      <c r="AH217" s="6">
        <f>TABL12[[#This Row],[ (RESV. STORGE) BER]]/10</f>
        <v>158537.20000000001</v>
      </c>
      <c r="AI217" s="6">
        <v>3355</v>
      </c>
      <c r="AJ217" s="6">
        <f>TABL12[[#This Row],[(A/B TOT) AJD]]-TABL12[[#This Row],[BER_ IN]]</f>
        <v>483</v>
      </c>
      <c r="AK217" s="6">
        <v>20</v>
      </c>
      <c r="AL217" s="33">
        <v>43.669400000000003</v>
      </c>
      <c r="AM217" s="6">
        <v>3472000</v>
      </c>
      <c r="AN217" s="6">
        <f>TABL12[[#This Row],[ (RESV. STORGE) SER]]/10</f>
        <v>347200</v>
      </c>
      <c r="AO217" s="6">
        <v>2150</v>
      </c>
      <c r="AP217" s="32">
        <f>TABL12[[#This Row],[(A/S TOT) AJD]]-TABL12[[#This Row],[SER_ IN]]</f>
        <v>255</v>
      </c>
    </row>
    <row r="218" spans="1:42" x14ac:dyDescent="0.25">
      <c r="A218" s="2">
        <v>45874</v>
      </c>
      <c r="B218" s="28">
        <v>21</v>
      </c>
      <c r="C218" s="28">
        <v>201</v>
      </c>
      <c r="D218" s="28">
        <v>21</v>
      </c>
      <c r="E218" s="28">
        <v>0</v>
      </c>
      <c r="F218" s="28">
        <v>103</v>
      </c>
      <c r="G218" s="28">
        <v>659</v>
      </c>
      <c r="H218" s="28">
        <v>0</v>
      </c>
      <c r="I218" s="28">
        <v>430</v>
      </c>
      <c r="J218" s="28">
        <v>414</v>
      </c>
      <c r="K218" s="28">
        <f>TABL12[[#This Row],[خط (T/B  TOT) SAR]]+TABL12[[#This Row],[خط (S/S  TOT) SAR2]]</f>
        <v>844</v>
      </c>
      <c r="L218" s="28">
        <v>185</v>
      </c>
      <c r="M218" s="29">
        <v>16.3</v>
      </c>
      <c r="N218" s="30">
        <v>6.7</v>
      </c>
      <c r="O218" s="3">
        <v>391</v>
      </c>
      <c r="P218" s="3">
        <f>TABL12[[#This Row],[خط (S/S  TOT) SAR2]]-TABL12[[#This Row],[(S/S TOT) AJD]]</f>
        <v>23</v>
      </c>
      <c r="Q218" s="3">
        <v>430</v>
      </c>
      <c r="R218" s="3">
        <f>TABL12[[#This Row],[خط (T/B  TOT) SAR]]-TABL12[[#This Row],[(T/B TOT) AJD]]</f>
        <v>0</v>
      </c>
      <c r="S218" s="3">
        <f>TABL12[[#This Row],[الفرق بين بداية ونهاية خط  S/S]]+TABL12[[#This Row],[الفرق بين بداية ونهاية خط  T/B]]</f>
        <v>23</v>
      </c>
      <c r="T218" s="3">
        <f t="shared" si="12"/>
        <v>821</v>
      </c>
      <c r="U218" s="3">
        <v>510</v>
      </c>
      <c r="V218" s="3">
        <v>258</v>
      </c>
      <c r="W218" s="3">
        <f t="shared" si="13"/>
        <v>768</v>
      </c>
      <c r="X218" s="3">
        <f t="shared" si="14"/>
        <v>53</v>
      </c>
      <c r="Y218" s="4">
        <v>92.679000000000002</v>
      </c>
      <c r="Z218" s="3">
        <v>603307</v>
      </c>
      <c r="AA218" s="3">
        <f>TABL12[[#This Row],[(RESV. STORGE) AJD]]/10</f>
        <v>60330.7</v>
      </c>
      <c r="AB218" s="3">
        <f t="shared" si="15"/>
        <v>26.786000000000001</v>
      </c>
      <c r="AC218" s="6">
        <v>0</v>
      </c>
      <c r="AD218" s="5">
        <f>TABL12[[#This Row],[( S/S+T/B) AJD]]-(TABL12[[#This Row],[(A/B + A/S) AJD]]+(TABL12[[#This Row],[(STORGE DIFF.) AJD]])+TABL12[[#This Row],[البخر  AJD]]/1000)</f>
        <v>26.213999999999942</v>
      </c>
      <c r="AE218" s="6">
        <v>30</v>
      </c>
      <c r="AF218" s="33">
        <v>58.921999999999997</v>
      </c>
      <c r="AG218" s="6">
        <v>1572180</v>
      </c>
      <c r="AH218" s="6">
        <f>TABL12[[#This Row],[ (RESV. STORGE) BER]]/10</f>
        <v>157218</v>
      </c>
      <c r="AI218" s="6">
        <v>3352</v>
      </c>
      <c r="AJ218" s="6">
        <f>TABL12[[#This Row],[(A/B TOT) AJD]]-TABL12[[#This Row],[BER_ IN]]</f>
        <v>480</v>
      </c>
      <c r="AK218" s="6">
        <v>0</v>
      </c>
      <c r="AL218" s="33">
        <v>43.639600000000002</v>
      </c>
      <c r="AM218" s="6">
        <v>3456160</v>
      </c>
      <c r="AN218" s="6">
        <f>TABL12[[#This Row],[ (RESV. STORGE) SER]]/10</f>
        <v>345616</v>
      </c>
      <c r="AO218" s="6">
        <v>2230</v>
      </c>
      <c r="AP218" s="32">
        <f>TABL12[[#This Row],[(A/S TOT) AJD]]-TABL12[[#This Row],[SER_ IN]]</f>
        <v>258</v>
      </c>
    </row>
    <row r="219" spans="1:42" x14ac:dyDescent="0.25">
      <c r="A219" s="2">
        <v>45875</v>
      </c>
      <c r="B219" s="28">
        <v>25</v>
      </c>
      <c r="C219" s="28">
        <v>222</v>
      </c>
      <c r="D219" s="28">
        <v>25</v>
      </c>
      <c r="E219" s="28">
        <v>0</v>
      </c>
      <c r="F219" s="28">
        <v>103</v>
      </c>
      <c r="G219" s="28">
        <v>659</v>
      </c>
      <c r="H219" s="28">
        <v>0</v>
      </c>
      <c r="I219" s="28">
        <v>430</v>
      </c>
      <c r="J219" s="28">
        <v>414</v>
      </c>
      <c r="K219" s="28">
        <f>TABL12[[#This Row],[خط (T/B  TOT) SAR]]+TABL12[[#This Row],[خط (S/S  TOT) SAR2]]</f>
        <v>844</v>
      </c>
      <c r="L219" s="28">
        <v>185</v>
      </c>
      <c r="M219" s="29">
        <v>16.3</v>
      </c>
      <c r="N219" s="30">
        <v>6.77</v>
      </c>
      <c r="O219" s="3">
        <v>367</v>
      </c>
      <c r="P219" s="3">
        <f>TABL12[[#This Row],[خط (S/S  TOT) SAR2]]-TABL12[[#This Row],[(S/S TOT) AJD]]</f>
        <v>47</v>
      </c>
      <c r="Q219" s="3">
        <v>405</v>
      </c>
      <c r="R219" s="3">
        <f>TABL12[[#This Row],[خط (T/B  TOT) SAR]]-TABL12[[#This Row],[(T/B TOT) AJD]]</f>
        <v>25</v>
      </c>
      <c r="S219" s="3">
        <f>TABL12[[#This Row],[الفرق بين بداية ونهاية خط  S/S]]+TABL12[[#This Row],[الفرق بين بداية ونهاية خط  T/B]]</f>
        <v>72</v>
      </c>
      <c r="T219" s="3">
        <f t="shared" si="12"/>
        <v>772</v>
      </c>
      <c r="U219" s="3">
        <v>513</v>
      </c>
      <c r="V219" s="3">
        <v>262</v>
      </c>
      <c r="W219" s="3">
        <f t="shared" si="13"/>
        <v>775</v>
      </c>
      <c r="X219" s="3">
        <f t="shared" si="14"/>
        <v>-3</v>
      </c>
      <c r="Y219" s="4">
        <v>92.623999999999995</v>
      </c>
      <c r="Z219" s="3">
        <v>570532</v>
      </c>
      <c r="AA219" s="3">
        <f>TABL12[[#This Row],[(RESV. STORGE) AJD]]/10</f>
        <v>57053.2</v>
      </c>
      <c r="AB219" s="3">
        <f t="shared" si="15"/>
        <v>-32.774999999999999</v>
      </c>
      <c r="AC219" s="6">
        <v>2728</v>
      </c>
      <c r="AD219" s="5">
        <f>TABL12[[#This Row],[( S/S+T/B) AJD]]-(TABL12[[#This Row],[(A/B + A/S) AJD]]+(TABL12[[#This Row],[(STORGE DIFF.) AJD]])+TABL12[[#This Row],[البخر  AJD]]/1000)</f>
        <v>27.047000000000025</v>
      </c>
      <c r="AE219" s="6">
        <v>20</v>
      </c>
      <c r="AF219" s="33">
        <v>58.904000000000003</v>
      </c>
      <c r="AG219" s="6">
        <v>1560310</v>
      </c>
      <c r="AH219" s="6">
        <f>TABL12[[#This Row],[ (RESV. STORGE) BER]]/10</f>
        <v>156031</v>
      </c>
      <c r="AI219" s="6">
        <v>3473</v>
      </c>
      <c r="AJ219" s="6">
        <f>TABL12[[#This Row],[(A/B TOT) AJD]]-TABL12[[#This Row],[BER_ IN]]</f>
        <v>493</v>
      </c>
      <c r="AK219" s="6">
        <v>0</v>
      </c>
      <c r="AL219" s="33">
        <v>43.608800000000002</v>
      </c>
      <c r="AM219" s="6">
        <v>3439230</v>
      </c>
      <c r="AN219" s="6">
        <f>TABL12[[#This Row],[ (RESV. STORGE) SER]]/10</f>
        <v>343923</v>
      </c>
      <c r="AO219" s="6">
        <v>2245</v>
      </c>
      <c r="AP219" s="32">
        <f>TABL12[[#This Row],[(A/S TOT) AJD]]-TABL12[[#This Row],[SER_ IN]]</f>
        <v>262</v>
      </c>
    </row>
    <row r="220" spans="1:42" x14ac:dyDescent="0.25">
      <c r="A220" s="2">
        <v>45876</v>
      </c>
      <c r="B220" s="28">
        <v>28</v>
      </c>
      <c r="C220" s="28">
        <v>239</v>
      </c>
      <c r="D220" s="28">
        <v>28</v>
      </c>
      <c r="E220" s="28">
        <v>0</v>
      </c>
      <c r="F220" s="28">
        <v>103</v>
      </c>
      <c r="G220" s="28">
        <v>660</v>
      </c>
      <c r="H220" s="28">
        <v>0</v>
      </c>
      <c r="I220" s="28">
        <v>430</v>
      </c>
      <c r="J220" s="28">
        <v>415</v>
      </c>
      <c r="K220" s="28">
        <f>TABL12[[#This Row],[خط (T/B  TOT) SAR]]+TABL12[[#This Row],[خط (S/S  TOT) SAR2]]</f>
        <v>845</v>
      </c>
      <c r="L220" s="28">
        <v>185</v>
      </c>
      <c r="M220" s="29">
        <v>16.3</v>
      </c>
      <c r="N220" s="30">
        <v>7.03</v>
      </c>
      <c r="O220" s="3">
        <v>367</v>
      </c>
      <c r="P220" s="3">
        <f>TABL12[[#This Row],[خط (S/S  TOT) SAR2]]-TABL12[[#This Row],[(S/S TOT) AJD]]</f>
        <v>48</v>
      </c>
      <c r="Q220" s="3">
        <v>404</v>
      </c>
      <c r="R220" s="3">
        <f>TABL12[[#This Row],[خط (T/B  TOT) SAR]]-TABL12[[#This Row],[(T/B TOT) AJD]]</f>
        <v>26</v>
      </c>
      <c r="S220" s="3">
        <f>TABL12[[#This Row],[الفرق بين بداية ونهاية خط  S/S]]+TABL12[[#This Row],[الفرق بين بداية ونهاية خط  T/B]]</f>
        <v>74</v>
      </c>
      <c r="T220" s="3">
        <f t="shared" si="12"/>
        <v>771</v>
      </c>
      <c r="U220" s="3">
        <v>515</v>
      </c>
      <c r="V220" s="3">
        <v>275</v>
      </c>
      <c r="W220" s="3">
        <f t="shared" si="13"/>
        <v>790</v>
      </c>
      <c r="X220" s="3">
        <f t="shared" si="14"/>
        <v>-19</v>
      </c>
      <c r="Y220" s="4">
        <v>92.55</v>
      </c>
      <c r="Z220" s="3">
        <v>526629</v>
      </c>
      <c r="AA220" s="3">
        <f>TABL12[[#This Row],[(RESV. STORGE) AJD]]/10</f>
        <v>52662.9</v>
      </c>
      <c r="AB220" s="3">
        <f t="shared" si="15"/>
        <v>-43.902999999999999</v>
      </c>
      <c r="AC220" s="6">
        <v>2687</v>
      </c>
      <c r="AD220" s="5">
        <f>TABL12[[#This Row],[( S/S+T/B) AJD]]-(TABL12[[#This Row],[(A/B + A/S) AJD]]+(TABL12[[#This Row],[(STORGE DIFF.) AJD]])+TABL12[[#This Row],[البخر  AJD]]/1000)</f>
        <v>22.216000000000008</v>
      </c>
      <c r="AE220" s="6">
        <v>20</v>
      </c>
      <c r="AF220" s="33">
        <v>58.872</v>
      </c>
      <c r="AG220" s="6">
        <v>1539214</v>
      </c>
      <c r="AH220" s="6">
        <f>TABL12[[#This Row],[ (RESV. STORGE) BER]]/10</f>
        <v>153921.4</v>
      </c>
      <c r="AI220" s="6">
        <v>3192</v>
      </c>
      <c r="AJ220" s="6">
        <f>TABL12[[#This Row],[(A/B TOT) AJD]]-TABL12[[#This Row],[BER_ IN]]</f>
        <v>495</v>
      </c>
      <c r="AK220" s="6">
        <v>0</v>
      </c>
      <c r="AL220" s="33">
        <v>43.6008</v>
      </c>
      <c r="AM220" s="6">
        <v>3434860</v>
      </c>
      <c r="AN220" s="6">
        <f>TABL12[[#This Row],[ (RESV. STORGE) SER]]/10</f>
        <v>343486</v>
      </c>
      <c r="AO220" s="6">
        <v>2235</v>
      </c>
      <c r="AP220" s="32">
        <f>TABL12[[#This Row],[(A/S TOT) AJD]]-TABL12[[#This Row],[SER_ IN]]</f>
        <v>275</v>
      </c>
    </row>
    <row r="221" spans="1:42" x14ac:dyDescent="0.25">
      <c r="A221" s="2">
        <v>45877</v>
      </c>
      <c r="B221" s="28">
        <v>30</v>
      </c>
      <c r="C221" s="28">
        <v>231</v>
      </c>
      <c r="D221" s="28">
        <v>30</v>
      </c>
      <c r="E221" s="28">
        <v>0</v>
      </c>
      <c r="F221" s="28">
        <v>103</v>
      </c>
      <c r="G221" s="28">
        <v>659</v>
      </c>
      <c r="H221" s="28">
        <v>0</v>
      </c>
      <c r="I221" s="28">
        <v>430</v>
      </c>
      <c r="J221" s="28">
        <v>417</v>
      </c>
      <c r="K221" s="28">
        <f>TABL12[[#This Row],[خط (T/B  TOT) SAR]]+TABL12[[#This Row],[خط (S/S  TOT) SAR2]]</f>
        <v>847</v>
      </c>
      <c r="L221" s="28">
        <v>188</v>
      </c>
      <c r="M221" s="29">
        <v>16.3</v>
      </c>
      <c r="N221" s="30">
        <v>7.32</v>
      </c>
      <c r="O221" s="3">
        <v>368</v>
      </c>
      <c r="P221" s="3">
        <f>TABL12[[#This Row],[خط (S/S  TOT) SAR2]]-TABL12[[#This Row],[(S/S TOT) AJD]]</f>
        <v>49</v>
      </c>
      <c r="Q221" s="3">
        <v>404</v>
      </c>
      <c r="R221" s="3">
        <f>TABL12[[#This Row],[خط (T/B  TOT) SAR]]-TABL12[[#This Row],[(T/B TOT) AJD]]</f>
        <v>26</v>
      </c>
      <c r="S221" s="3">
        <f>TABL12[[#This Row],[الفرق بين بداية ونهاية خط  S/S]]+TABL12[[#This Row],[الفرق بين بداية ونهاية خط  T/B]]</f>
        <v>75</v>
      </c>
      <c r="T221" s="3">
        <f t="shared" si="12"/>
        <v>772</v>
      </c>
      <c r="U221" s="3">
        <v>506</v>
      </c>
      <c r="V221" s="3">
        <v>272</v>
      </c>
      <c r="W221" s="3">
        <f t="shared" si="13"/>
        <v>778</v>
      </c>
      <c r="X221" s="3">
        <f t="shared" si="14"/>
        <v>-6</v>
      </c>
      <c r="Y221" s="4">
        <v>92.501999999999995</v>
      </c>
      <c r="Z221" s="3">
        <v>526629</v>
      </c>
      <c r="AA221" s="3">
        <f>TABL12[[#This Row],[(RESV. STORGE) AJD]]/10</f>
        <v>52662.9</v>
      </c>
      <c r="AB221" s="3">
        <f t="shared" si="15"/>
        <v>0</v>
      </c>
      <c r="AC221" s="6">
        <v>2752</v>
      </c>
      <c r="AD221" s="5">
        <f>TABL12[[#This Row],[( S/S+T/B) AJD]]-(TABL12[[#This Row],[(A/B + A/S) AJD]]+(TABL12[[#This Row],[(STORGE DIFF.) AJD]])+TABL12[[#This Row],[البخر  AJD]]/1000)</f>
        <v>-8.7519999999999527</v>
      </c>
      <c r="AE221" s="6">
        <v>20</v>
      </c>
      <c r="AF221" s="33">
        <v>58.837000000000003</v>
      </c>
      <c r="AG221" s="6">
        <v>1516151</v>
      </c>
      <c r="AH221" s="6">
        <f>TABL12[[#This Row],[ (RESV. STORGE) BER]]/10</f>
        <v>151615.1</v>
      </c>
      <c r="AI221" s="6">
        <v>3362</v>
      </c>
      <c r="AJ221" s="6">
        <f>TABL12[[#This Row],[(A/B TOT) AJD]]-TABL12[[#This Row],[BER_ IN]]</f>
        <v>486</v>
      </c>
      <c r="AK221" s="6">
        <v>0</v>
      </c>
      <c r="AL221" s="33">
        <v>43.552900000000001</v>
      </c>
      <c r="AM221" s="6">
        <v>3409550</v>
      </c>
      <c r="AN221" s="6">
        <f>TABL12[[#This Row],[ (RESV. STORGE) SER]]/10</f>
        <v>340955</v>
      </c>
      <c r="AO221" s="6">
        <v>2120</v>
      </c>
      <c r="AP221" s="32">
        <f>TABL12[[#This Row],[(A/S TOT) AJD]]-TABL12[[#This Row],[SER_ IN]]</f>
        <v>272</v>
      </c>
    </row>
    <row r="222" spans="1:42" x14ac:dyDescent="0.25">
      <c r="A222" s="2">
        <v>45878</v>
      </c>
      <c r="B222" s="28">
        <v>31</v>
      </c>
      <c r="C222" s="28">
        <v>236</v>
      </c>
      <c r="D222" s="28">
        <v>31</v>
      </c>
      <c r="E222" s="28">
        <v>0</v>
      </c>
      <c r="F222" s="28">
        <v>103</v>
      </c>
      <c r="G222" s="28">
        <v>659</v>
      </c>
      <c r="H222" s="28">
        <v>0</v>
      </c>
      <c r="I222" s="28">
        <v>432</v>
      </c>
      <c r="J222" s="28">
        <v>417</v>
      </c>
      <c r="K222" s="28">
        <f>TABL12[[#This Row],[خط (T/B  TOT) SAR]]+TABL12[[#This Row],[خط (S/S  TOT) SAR2]]</f>
        <v>849</v>
      </c>
      <c r="L222" s="28">
        <v>190</v>
      </c>
      <c r="M222" s="29">
        <v>16.3</v>
      </c>
      <c r="N222" s="30">
        <v>7.55</v>
      </c>
      <c r="O222" s="3">
        <v>373</v>
      </c>
      <c r="P222" s="3">
        <f>TABL12[[#This Row],[خط (S/S  TOT) SAR2]]-TABL12[[#This Row],[(S/S TOT) AJD]]</f>
        <v>44</v>
      </c>
      <c r="Q222" s="3">
        <v>407</v>
      </c>
      <c r="R222" s="3">
        <f>TABL12[[#This Row],[خط (T/B  TOT) SAR]]-TABL12[[#This Row],[(T/B TOT) AJD]]</f>
        <v>25</v>
      </c>
      <c r="S222" s="3">
        <f>TABL12[[#This Row],[الفرق بين بداية ونهاية خط  S/S]]+TABL12[[#This Row],[الفرق بين بداية ونهاية خط  T/B]]</f>
        <v>69</v>
      </c>
      <c r="T222" s="3">
        <f t="shared" si="12"/>
        <v>780</v>
      </c>
      <c r="U222" s="3">
        <v>505</v>
      </c>
      <c r="V222" s="3">
        <v>249</v>
      </c>
      <c r="W222" s="3">
        <f t="shared" si="13"/>
        <v>754</v>
      </c>
      <c r="X222" s="3">
        <f t="shared" si="14"/>
        <v>26</v>
      </c>
      <c r="Y222" s="4">
        <v>92.5</v>
      </c>
      <c r="Z222" s="3">
        <v>496624</v>
      </c>
      <c r="AA222" s="3">
        <f>TABL12[[#This Row],[(RESV. STORGE) AJD]]/10</f>
        <v>49662.400000000001</v>
      </c>
      <c r="AB222" s="3">
        <f t="shared" si="15"/>
        <v>-30.004999999999999</v>
      </c>
      <c r="AC222" s="6">
        <v>2744</v>
      </c>
      <c r="AD222" s="5">
        <f>TABL12[[#This Row],[( S/S+T/B) AJD]]-(TABL12[[#This Row],[(A/B + A/S) AJD]]+(TABL12[[#This Row],[(STORGE DIFF.) AJD]])+TABL12[[#This Row],[البخر  AJD]]/1000)</f>
        <v>53.260999999999967</v>
      </c>
      <c r="AE222" s="6">
        <v>20</v>
      </c>
      <c r="AF222" s="33">
        <v>58.802</v>
      </c>
      <c r="AG222" s="6">
        <v>1493098</v>
      </c>
      <c r="AH222" s="6">
        <f>TABL12[[#This Row],[ (RESV. STORGE) BER]]/10</f>
        <v>149309.79999999999</v>
      </c>
      <c r="AI222" s="6">
        <v>3212</v>
      </c>
      <c r="AJ222" s="6">
        <f>TABL12[[#This Row],[(A/B TOT) AJD]]-TABL12[[#This Row],[BER_ IN]]</f>
        <v>485</v>
      </c>
      <c r="AK222" s="6">
        <v>0</v>
      </c>
      <c r="AL222" s="33">
        <v>43.509599999999999</v>
      </c>
      <c r="AM222" s="6">
        <v>3385410</v>
      </c>
      <c r="AN222" s="6">
        <f>TABL12[[#This Row],[ (RESV. STORGE) SER]]/10</f>
        <v>338541</v>
      </c>
      <c r="AO222" s="6">
        <v>2100</v>
      </c>
      <c r="AP222" s="32">
        <f>TABL12[[#This Row],[(A/S TOT) AJD]]-TABL12[[#This Row],[SER_ IN]]</f>
        <v>249</v>
      </c>
    </row>
    <row r="223" spans="1:42" x14ac:dyDescent="0.25">
      <c r="A223" s="2">
        <v>45879</v>
      </c>
      <c r="B223" s="28">
        <v>31</v>
      </c>
      <c r="C223" s="28">
        <v>244</v>
      </c>
      <c r="D223" s="28">
        <v>31</v>
      </c>
      <c r="E223" s="28">
        <v>0</v>
      </c>
      <c r="F223" s="28">
        <v>103</v>
      </c>
      <c r="G223" s="28">
        <v>658</v>
      </c>
      <c r="H223" s="28">
        <v>0</v>
      </c>
      <c r="I223" s="28">
        <v>446</v>
      </c>
      <c r="J223" s="28">
        <v>430</v>
      </c>
      <c r="K223" s="28">
        <f>TABL12[[#This Row],[خط (T/B  TOT) SAR]]+TABL12[[#This Row],[خط (S/S  TOT) SAR2]]</f>
        <v>876</v>
      </c>
      <c r="L223" s="28">
        <v>218</v>
      </c>
      <c r="M223" s="29">
        <v>17.600000000000001</v>
      </c>
      <c r="N223" s="30">
        <v>7.73</v>
      </c>
      <c r="O223" s="3">
        <v>376</v>
      </c>
      <c r="P223" s="3">
        <f>TABL12[[#This Row],[خط (S/S  TOT) SAR2]]-TABL12[[#This Row],[(S/S TOT) AJD]]</f>
        <v>54</v>
      </c>
      <c r="Q223" s="3">
        <v>410</v>
      </c>
      <c r="R223" s="3">
        <f>TABL12[[#This Row],[خط (T/B  TOT) SAR]]-TABL12[[#This Row],[(T/B TOT) AJD]]</f>
        <v>36</v>
      </c>
      <c r="S223" s="3">
        <f>TABL12[[#This Row],[الفرق بين بداية ونهاية خط  S/S]]+TABL12[[#This Row],[الفرق بين بداية ونهاية خط  T/B]]</f>
        <v>90</v>
      </c>
      <c r="T223" s="3">
        <f t="shared" si="12"/>
        <v>786</v>
      </c>
      <c r="U223" s="3">
        <v>508</v>
      </c>
      <c r="V223" s="3">
        <v>254</v>
      </c>
      <c r="W223" s="3">
        <f t="shared" si="13"/>
        <v>762</v>
      </c>
      <c r="X223" s="3">
        <f t="shared" si="14"/>
        <v>24</v>
      </c>
      <c r="Y223" s="4">
        <v>92.515000000000001</v>
      </c>
      <c r="Z223" s="3">
        <v>505560</v>
      </c>
      <c r="AA223" s="3">
        <f>TABL12[[#This Row],[(RESV. STORGE) AJD]]/10</f>
        <v>50556</v>
      </c>
      <c r="AB223" s="3">
        <f t="shared" si="15"/>
        <v>8.9359999999999999</v>
      </c>
      <c r="AC223" s="6">
        <v>2819</v>
      </c>
      <c r="AD223" s="5">
        <f>TABL12[[#This Row],[( S/S+T/B) AJD]]-(TABL12[[#This Row],[(A/B + A/S) AJD]]+(TABL12[[#This Row],[(STORGE DIFF.) AJD]])+TABL12[[#This Row],[البخر  AJD]]/1000)</f>
        <v>12.245000000000005</v>
      </c>
      <c r="AE223" s="6">
        <v>20</v>
      </c>
      <c r="AF223" s="33">
        <v>58.767000000000003</v>
      </c>
      <c r="AG223" s="6">
        <v>1470056</v>
      </c>
      <c r="AH223" s="6">
        <f>TABL12[[#This Row],[ (RESV. STORGE) BER]]/10</f>
        <v>147005.6</v>
      </c>
      <c r="AI223" s="6">
        <v>3201</v>
      </c>
      <c r="AJ223" s="6">
        <f>TABL12[[#This Row],[(A/B TOT) AJD]]-TABL12[[#This Row],[BER_ IN]]</f>
        <v>488</v>
      </c>
      <c r="AK223" s="6">
        <v>0</v>
      </c>
      <c r="AL223" s="33">
        <v>43.4696</v>
      </c>
      <c r="AM223" s="6">
        <v>3363423</v>
      </c>
      <c r="AN223" s="6">
        <f>TABL12[[#This Row],[ (RESV. STORGE) SER]]/10</f>
        <v>336342.3</v>
      </c>
      <c r="AO223" s="6">
        <v>2160</v>
      </c>
      <c r="AP223" s="32">
        <f>TABL12[[#This Row],[(A/S TOT) AJD]]-TABL12[[#This Row],[SER_ IN]]</f>
        <v>254</v>
      </c>
    </row>
    <row r="224" spans="1:42" x14ac:dyDescent="0.25">
      <c r="A224" s="2">
        <v>45880</v>
      </c>
      <c r="B224" s="28">
        <v>30</v>
      </c>
      <c r="C224" s="28">
        <v>240</v>
      </c>
      <c r="D224" s="28">
        <v>30</v>
      </c>
      <c r="E224" s="28">
        <v>0</v>
      </c>
      <c r="F224" s="28">
        <v>103</v>
      </c>
      <c r="G224" s="28">
        <v>677</v>
      </c>
      <c r="H224" s="28">
        <v>0</v>
      </c>
      <c r="I224" s="28">
        <v>464</v>
      </c>
      <c r="J224" s="28">
        <v>449</v>
      </c>
      <c r="K224" s="28">
        <f>TABL12[[#This Row],[خط (T/B  TOT) SAR]]+TABL12[[#This Row],[خط (S/S  TOT) SAR2]]</f>
        <v>913</v>
      </c>
      <c r="L224" s="28">
        <v>236</v>
      </c>
      <c r="M224" s="29">
        <v>18.5</v>
      </c>
      <c r="N224" s="30">
        <v>7.75</v>
      </c>
      <c r="O224" s="3">
        <v>384</v>
      </c>
      <c r="P224" s="3">
        <f>TABL12[[#This Row],[خط (S/S  TOT) SAR2]]-TABL12[[#This Row],[(S/S TOT) AJD]]</f>
        <v>65</v>
      </c>
      <c r="Q224" s="3">
        <v>420</v>
      </c>
      <c r="R224" s="3">
        <f>TABL12[[#This Row],[خط (T/B  TOT) SAR]]-TABL12[[#This Row],[(T/B TOT) AJD]]</f>
        <v>44</v>
      </c>
      <c r="S224" s="3">
        <f>TABL12[[#This Row],[الفرق بين بداية ونهاية خط  S/S]]+TABL12[[#This Row],[الفرق بين بداية ونهاية خط  T/B]]</f>
        <v>109</v>
      </c>
      <c r="T224" s="3">
        <f t="shared" si="12"/>
        <v>804</v>
      </c>
      <c r="U224" s="3">
        <v>510</v>
      </c>
      <c r="V224" s="3">
        <v>233</v>
      </c>
      <c r="W224" s="3">
        <f t="shared" si="13"/>
        <v>743</v>
      </c>
      <c r="X224" s="3">
        <f t="shared" si="14"/>
        <v>61</v>
      </c>
      <c r="Y224" s="4">
        <v>92.555000000000007</v>
      </c>
      <c r="Z224" s="3">
        <v>529591</v>
      </c>
      <c r="AA224" s="3">
        <f>TABL12[[#This Row],[(RESV. STORGE) AJD]]/10</f>
        <v>52959.1</v>
      </c>
      <c r="AB224" s="3">
        <f t="shared" si="15"/>
        <v>24.030999999999999</v>
      </c>
      <c r="AC224" s="6">
        <v>3480</v>
      </c>
      <c r="AD224" s="5">
        <f>TABL12[[#This Row],[( S/S+T/B) AJD]]-(TABL12[[#This Row],[(A/B + A/S) AJD]]+(TABL12[[#This Row],[(STORGE DIFF.) AJD]])+TABL12[[#This Row],[البخر  AJD]]/1000)</f>
        <v>33.489000000000033</v>
      </c>
      <c r="AE224" s="6">
        <v>20</v>
      </c>
      <c r="AF224" s="33">
        <v>58.73</v>
      </c>
      <c r="AG224" s="6">
        <v>1445709</v>
      </c>
      <c r="AH224" s="6">
        <f>TABL12[[#This Row],[ (RESV. STORGE) BER]]/10</f>
        <v>144570.9</v>
      </c>
      <c r="AI224" s="6">
        <v>4507</v>
      </c>
      <c r="AJ224" s="6">
        <f>TABL12[[#This Row],[(A/B TOT) AJD]]-TABL12[[#This Row],[BER_ IN]]</f>
        <v>490</v>
      </c>
      <c r="AK224" s="6">
        <v>0</v>
      </c>
      <c r="AL224" s="33">
        <v>43.426200000000001</v>
      </c>
      <c r="AM224" s="6">
        <v>3339480</v>
      </c>
      <c r="AN224" s="6">
        <f>TABL12[[#This Row],[ (RESV. STORGE) SER]]/10</f>
        <v>333948</v>
      </c>
      <c r="AO224" s="6">
        <v>2140</v>
      </c>
      <c r="AP224" s="32">
        <f>TABL12[[#This Row],[(A/S TOT) AJD]]-TABL12[[#This Row],[SER_ IN]]</f>
        <v>233</v>
      </c>
    </row>
    <row r="225" spans="1:42" x14ac:dyDescent="0.25">
      <c r="A225" s="2">
        <v>45881</v>
      </c>
      <c r="B225" s="28">
        <v>36</v>
      </c>
      <c r="C225" s="28">
        <v>266</v>
      </c>
      <c r="D225" s="28">
        <v>36</v>
      </c>
      <c r="E225" s="28">
        <v>0</v>
      </c>
      <c r="F225" s="28">
        <v>86</v>
      </c>
      <c r="G225" s="28">
        <v>568</v>
      </c>
      <c r="H225" s="28">
        <v>17</v>
      </c>
      <c r="I225" s="28">
        <v>410</v>
      </c>
      <c r="J225" s="28">
        <v>396</v>
      </c>
      <c r="K225" s="28">
        <f>TABL12[[#This Row],[خط (T/B  TOT) SAR]]+TABL12[[#This Row],[خط (S/S  TOT) SAR2]]</f>
        <v>806</v>
      </c>
      <c r="L225" s="28">
        <v>238</v>
      </c>
      <c r="M225" s="29">
        <v>18.5</v>
      </c>
      <c r="N225" s="30">
        <v>7.87</v>
      </c>
      <c r="O225" s="3">
        <v>395</v>
      </c>
      <c r="P225" s="3">
        <f>TABL12[[#This Row],[خط (S/S  TOT) SAR2]]-TABL12[[#This Row],[(S/S TOT) AJD]]</f>
        <v>1</v>
      </c>
      <c r="Q225" s="3">
        <v>433</v>
      </c>
      <c r="R225" s="3">
        <f>TABL12[[#This Row],[خط (T/B  TOT) SAR]]-TABL12[[#This Row],[(T/B TOT) AJD]]</f>
        <v>-23</v>
      </c>
      <c r="S225" s="3">
        <f>TABL12[[#This Row],[الفرق بين بداية ونهاية خط  S/S]]+TABL12[[#This Row],[الفرق بين بداية ونهاية خط  T/B]]</f>
        <v>-22</v>
      </c>
      <c r="T225" s="3">
        <f t="shared" si="12"/>
        <v>828</v>
      </c>
      <c r="U225" s="3">
        <v>521</v>
      </c>
      <c r="V225" s="3">
        <v>258</v>
      </c>
      <c r="W225" s="3">
        <f t="shared" si="13"/>
        <v>779</v>
      </c>
      <c r="X225" s="3">
        <f t="shared" si="14"/>
        <v>49</v>
      </c>
      <c r="Y225" s="4">
        <v>92.591999999999999</v>
      </c>
      <c r="Z225" s="3">
        <v>552655</v>
      </c>
      <c r="AA225" s="3">
        <f>TABL12[[#This Row],[(RESV. STORGE) AJD]]/10</f>
        <v>55265.5</v>
      </c>
      <c r="AB225" s="3">
        <f t="shared" si="15"/>
        <v>23.064</v>
      </c>
      <c r="AC225" s="6">
        <v>0</v>
      </c>
      <c r="AD225" s="5">
        <f>TABL12[[#This Row],[( S/S+T/B) AJD]]-(TABL12[[#This Row],[(A/B + A/S) AJD]]+(TABL12[[#This Row],[(STORGE DIFF.) AJD]])+TABL12[[#This Row],[البخر  AJD]]/1000)</f>
        <v>25.936000000000035</v>
      </c>
      <c r="AE225" s="6">
        <v>20</v>
      </c>
      <c r="AF225" s="33">
        <v>58.694000000000003</v>
      </c>
      <c r="AG225" s="6">
        <v>1422032</v>
      </c>
      <c r="AH225" s="6">
        <f>TABL12[[#This Row],[ (RESV. STORGE) BER]]/10</f>
        <v>142203.20000000001</v>
      </c>
      <c r="AI225" s="6">
        <v>3837</v>
      </c>
      <c r="AJ225" s="6">
        <f>TABL12[[#This Row],[(A/B TOT) AJD]]-TABL12[[#This Row],[BER_ IN]]</f>
        <v>501</v>
      </c>
      <c r="AK225" s="6">
        <v>0</v>
      </c>
      <c r="AL225" s="33">
        <v>43.372</v>
      </c>
      <c r="AM225" s="6">
        <v>3310116</v>
      </c>
      <c r="AN225" s="6">
        <f>TABL12[[#This Row],[ (RESV. STORGE) SER]]/10</f>
        <v>331011.59999999998</v>
      </c>
      <c r="AO225" s="6">
        <v>2030</v>
      </c>
      <c r="AP225" s="32">
        <f>TABL12[[#This Row],[(A/S TOT) AJD]]-TABL12[[#This Row],[SER_ IN]]</f>
        <v>258</v>
      </c>
    </row>
    <row r="226" spans="1:42" x14ac:dyDescent="0.25">
      <c r="A226" s="2">
        <v>45882</v>
      </c>
      <c r="B226" s="28">
        <v>37</v>
      </c>
      <c r="C226" s="28">
        <v>291</v>
      </c>
      <c r="D226" s="28">
        <v>37</v>
      </c>
      <c r="E226" s="28">
        <v>0</v>
      </c>
      <c r="F226" s="28">
        <v>103</v>
      </c>
      <c r="G226" s="28">
        <v>682</v>
      </c>
      <c r="H226" s="28">
        <v>0</v>
      </c>
      <c r="I226" s="28">
        <v>480</v>
      </c>
      <c r="J226" s="28">
        <v>466</v>
      </c>
      <c r="K226" s="28">
        <f>TABL12[[#This Row],[خط (T/B  TOT) SAR]]+TABL12[[#This Row],[خط (S/S  TOT) SAR2]]</f>
        <v>946</v>
      </c>
      <c r="L226" s="28">
        <v>264</v>
      </c>
      <c r="M226" s="29">
        <v>19.5</v>
      </c>
      <c r="N226" s="30">
        <v>8.06</v>
      </c>
      <c r="O226" s="3">
        <v>370</v>
      </c>
      <c r="P226" s="3">
        <f>TABL12[[#This Row],[خط (S/S  TOT) SAR2]]-TABL12[[#This Row],[(S/S TOT) AJD]]</f>
        <v>96</v>
      </c>
      <c r="Q226" s="3">
        <v>407</v>
      </c>
      <c r="R226" s="3">
        <f>TABL12[[#This Row],[خط (T/B  TOT) SAR]]-TABL12[[#This Row],[(T/B TOT) AJD]]</f>
        <v>73</v>
      </c>
      <c r="S226" s="3">
        <f>TABL12[[#This Row],[الفرق بين بداية ونهاية خط  S/S]]+TABL12[[#This Row],[الفرق بين بداية ونهاية خط  T/B]]</f>
        <v>169</v>
      </c>
      <c r="T226" s="3">
        <f t="shared" si="12"/>
        <v>777</v>
      </c>
      <c r="U226" s="3">
        <v>518</v>
      </c>
      <c r="V226" s="3">
        <v>270</v>
      </c>
      <c r="W226" s="3">
        <f t="shared" si="13"/>
        <v>788</v>
      </c>
      <c r="X226" s="3">
        <f t="shared" si="14"/>
        <v>-11</v>
      </c>
      <c r="Y226" s="4">
        <v>92.528999999999996</v>
      </c>
      <c r="Z226" s="3">
        <v>512711</v>
      </c>
      <c r="AA226" s="3">
        <f>TABL12[[#This Row],[(RESV. STORGE) AJD]]/10</f>
        <v>51271.1</v>
      </c>
      <c r="AB226" s="3">
        <f t="shared" si="15"/>
        <v>-39.944000000000003</v>
      </c>
      <c r="AC226" s="6">
        <v>3204</v>
      </c>
      <c r="AD226" s="5">
        <f>TABL12[[#This Row],[( S/S+T/B) AJD]]-(TABL12[[#This Row],[(A/B + A/S) AJD]]+(TABL12[[#This Row],[(STORGE DIFF.) AJD]])+TABL12[[#This Row],[البخر  AJD]]/1000)</f>
        <v>25.740000000000009</v>
      </c>
      <c r="AE226" s="6">
        <v>20</v>
      </c>
      <c r="AF226" s="33">
        <v>58.658000000000001</v>
      </c>
      <c r="AG226" s="6">
        <v>1398365</v>
      </c>
      <c r="AH226" s="6">
        <f>TABL12[[#This Row],[ (RESV. STORGE) BER]]/10</f>
        <v>139836.5</v>
      </c>
      <c r="AI226" s="6">
        <v>3826</v>
      </c>
      <c r="AJ226" s="6">
        <f>TABL12[[#This Row],[(A/B TOT) AJD]]-TABL12[[#This Row],[BER_ IN]]</f>
        <v>498</v>
      </c>
      <c r="AK226" s="6">
        <v>0</v>
      </c>
      <c r="AL226" s="33">
        <v>43.333399999999997</v>
      </c>
      <c r="AM226" s="6">
        <v>3288902</v>
      </c>
      <c r="AN226" s="6">
        <f>TABL12[[#This Row],[ (RESV. STORGE) SER]]/10</f>
        <v>328890.2</v>
      </c>
      <c r="AO226" s="6">
        <v>2100</v>
      </c>
      <c r="AP226" s="32">
        <f>TABL12[[#This Row],[(A/S TOT) AJD]]-TABL12[[#This Row],[SER_ IN]]</f>
        <v>270</v>
      </c>
    </row>
    <row r="227" spans="1:42" x14ac:dyDescent="0.25">
      <c r="A227" s="2">
        <v>45883</v>
      </c>
      <c r="B227" s="28">
        <v>37</v>
      </c>
      <c r="C227" s="28">
        <v>297</v>
      </c>
      <c r="D227" s="28">
        <v>37</v>
      </c>
      <c r="E227" s="28">
        <v>0</v>
      </c>
      <c r="F227" s="28">
        <v>103</v>
      </c>
      <c r="G227" s="28">
        <v>685</v>
      </c>
      <c r="H227" s="28">
        <v>0</v>
      </c>
      <c r="I227" s="28">
        <v>485</v>
      </c>
      <c r="J227" s="28">
        <v>471</v>
      </c>
      <c r="K227" s="28">
        <f>TABL12[[#This Row],[خط (T/B  TOT) SAR]]+TABL12[[#This Row],[خط (S/S  TOT) SAR2]]</f>
        <v>956</v>
      </c>
      <c r="L227" s="28">
        <v>271</v>
      </c>
      <c r="M227" s="29">
        <v>20.399999999999999</v>
      </c>
      <c r="N227" s="30">
        <v>8.2200000000000006</v>
      </c>
      <c r="O227" s="3">
        <v>413</v>
      </c>
      <c r="P227" s="3">
        <f>TABL12[[#This Row],[خط (S/S  TOT) SAR2]]-TABL12[[#This Row],[(S/S TOT) AJD]]</f>
        <v>58</v>
      </c>
      <c r="Q227" s="3">
        <v>447</v>
      </c>
      <c r="R227" s="3">
        <f>TABL12[[#This Row],[خط (T/B  TOT) SAR]]-TABL12[[#This Row],[(T/B TOT) AJD]]</f>
        <v>38</v>
      </c>
      <c r="S227" s="3">
        <f>TABL12[[#This Row],[الفرق بين بداية ونهاية خط  S/S]]+TABL12[[#This Row],[الفرق بين بداية ونهاية خط  T/B]]</f>
        <v>96</v>
      </c>
      <c r="T227" s="3">
        <f t="shared" si="12"/>
        <v>860</v>
      </c>
      <c r="U227" s="3">
        <v>521</v>
      </c>
      <c r="V227" s="3">
        <v>280</v>
      </c>
      <c r="W227" s="3">
        <f t="shared" si="13"/>
        <v>801</v>
      </c>
      <c r="X227" s="3">
        <f t="shared" si="14"/>
        <v>59</v>
      </c>
      <c r="Y227" s="4">
        <v>92.578999999999994</v>
      </c>
      <c r="Z227" s="3">
        <v>543710</v>
      </c>
      <c r="AA227" s="3">
        <f>TABL12[[#This Row],[(RESV. STORGE) AJD]]/10</f>
        <v>54371</v>
      </c>
      <c r="AB227" s="3">
        <f t="shared" si="15"/>
        <v>30.998999999999999</v>
      </c>
      <c r="AC227" s="6">
        <v>0</v>
      </c>
      <c r="AD227" s="5">
        <f>TABL12[[#This Row],[( S/S+T/B) AJD]]-(TABL12[[#This Row],[(A/B + A/S) AJD]]+(TABL12[[#This Row],[(STORGE DIFF.) AJD]])+TABL12[[#This Row],[البخر  AJD]]/1000)</f>
        <v>28.000999999999976</v>
      </c>
      <c r="AE227" s="6">
        <v>20</v>
      </c>
      <c r="AF227" s="33">
        <v>58.622999999999998</v>
      </c>
      <c r="AG227" s="6">
        <v>1375366</v>
      </c>
      <c r="AH227" s="6">
        <f>TABL12[[#This Row],[ (RESV. STORGE) BER]]/10</f>
        <v>137536.6</v>
      </c>
      <c r="AI227" s="6">
        <v>3158</v>
      </c>
      <c r="AJ227" s="6">
        <f>TABL12[[#This Row],[(A/B TOT) AJD]]-TABL12[[#This Row],[BER_ IN]]</f>
        <v>501</v>
      </c>
      <c r="AK227" s="6">
        <v>0</v>
      </c>
      <c r="AL227" s="33">
        <v>43.298699999999997</v>
      </c>
      <c r="AM227" s="6">
        <v>3271376</v>
      </c>
      <c r="AN227" s="6">
        <f>TABL12[[#This Row],[ (RESV. STORGE) SER]]/10</f>
        <v>327137.59999999998</v>
      </c>
      <c r="AO227" s="6">
        <v>2200</v>
      </c>
      <c r="AP227" s="32">
        <f>TABL12[[#This Row],[(A/S TOT) AJD]]-TABL12[[#This Row],[SER_ IN]]</f>
        <v>280</v>
      </c>
    </row>
    <row r="228" spans="1:42" x14ac:dyDescent="0.25">
      <c r="A228" s="2">
        <v>45884</v>
      </c>
      <c r="B228" s="28">
        <v>38</v>
      </c>
      <c r="C228" s="28">
        <v>309</v>
      </c>
      <c r="D228" s="28">
        <v>38</v>
      </c>
      <c r="E228" s="28">
        <v>0</v>
      </c>
      <c r="F228" s="28">
        <v>103</v>
      </c>
      <c r="G228" s="28">
        <v>671</v>
      </c>
      <c r="H228" s="28">
        <v>0</v>
      </c>
      <c r="I228" s="28">
        <v>501</v>
      </c>
      <c r="J228" s="28">
        <v>489</v>
      </c>
      <c r="K228" s="28">
        <f>TABL12[[#This Row],[خط (T/B  TOT) SAR]]+TABL12[[#This Row],[خط (S/S  TOT) SAR2]]</f>
        <v>990</v>
      </c>
      <c r="L228" s="28">
        <v>319</v>
      </c>
      <c r="M228" s="29">
        <v>23.7</v>
      </c>
      <c r="N228" s="30">
        <v>8.2100000000000009</v>
      </c>
      <c r="O228" s="3">
        <v>423</v>
      </c>
      <c r="P228" s="3">
        <f>TABL12[[#This Row],[خط (S/S  TOT) SAR2]]-TABL12[[#This Row],[(S/S TOT) AJD]]</f>
        <v>66</v>
      </c>
      <c r="Q228" s="3">
        <v>461</v>
      </c>
      <c r="R228" s="3">
        <f>TABL12[[#This Row],[خط (T/B  TOT) SAR]]-TABL12[[#This Row],[(T/B TOT) AJD]]</f>
        <v>40</v>
      </c>
      <c r="S228" s="3">
        <f>TABL12[[#This Row],[الفرق بين بداية ونهاية خط  S/S]]+TABL12[[#This Row],[الفرق بين بداية ونهاية خط  T/B]]</f>
        <v>106</v>
      </c>
      <c r="T228" s="3">
        <f t="shared" si="12"/>
        <v>884</v>
      </c>
      <c r="U228" s="3">
        <v>571</v>
      </c>
      <c r="V228" s="3">
        <v>284</v>
      </c>
      <c r="W228" s="3">
        <f t="shared" si="13"/>
        <v>855</v>
      </c>
      <c r="X228" s="3">
        <f t="shared" si="14"/>
        <v>29</v>
      </c>
      <c r="Y228" s="4">
        <v>92.576999999999998</v>
      </c>
      <c r="Z228" s="3">
        <v>543725</v>
      </c>
      <c r="AA228" s="3">
        <f>TABL12[[#This Row],[(RESV. STORGE) AJD]]/10</f>
        <v>54372.5</v>
      </c>
      <c r="AB228" s="3">
        <f t="shared" si="15"/>
        <v>1.4999999999999999E-2</v>
      </c>
      <c r="AC228" s="6">
        <v>0</v>
      </c>
      <c r="AD228" s="5">
        <f>TABL12[[#This Row],[( S/S+T/B) AJD]]-(TABL12[[#This Row],[(A/B + A/S) AJD]]+(TABL12[[#This Row],[(STORGE DIFF.) AJD]])+TABL12[[#This Row],[البخر  AJD]]/1000)</f>
        <v>28.985000000000014</v>
      </c>
      <c r="AE228" s="6">
        <v>37</v>
      </c>
      <c r="AF228" s="33">
        <v>58.613999999999997</v>
      </c>
      <c r="AG228" s="6">
        <v>1369454</v>
      </c>
      <c r="AH228" s="6">
        <f>TABL12[[#This Row],[ (RESV. STORGE) BER]]/10</f>
        <v>136945.4</v>
      </c>
      <c r="AI228" s="6">
        <v>3072</v>
      </c>
      <c r="AJ228" s="6">
        <f>TABL12[[#This Row],[(A/B TOT) AJD]]-TABL12[[#This Row],[BER_ IN]]</f>
        <v>534</v>
      </c>
      <c r="AK228" s="6">
        <v>32</v>
      </c>
      <c r="AL228" s="33">
        <v>43.3018</v>
      </c>
      <c r="AM228" s="6">
        <v>3272002</v>
      </c>
      <c r="AN228" s="6">
        <f>TABL12[[#This Row],[ (RESV. STORGE) SER]]/10</f>
        <v>327200.2</v>
      </c>
      <c r="AO228" s="6">
        <v>2030</v>
      </c>
      <c r="AP228" s="32">
        <f>TABL12[[#This Row],[(A/S TOT) AJD]]-TABL12[[#This Row],[SER_ IN]]</f>
        <v>252</v>
      </c>
    </row>
    <row r="229" spans="1:42" x14ac:dyDescent="0.25">
      <c r="A229" s="2">
        <v>45885</v>
      </c>
      <c r="B229" s="28">
        <v>38</v>
      </c>
      <c r="C229" s="28">
        <v>323</v>
      </c>
      <c r="D229" s="28">
        <v>38</v>
      </c>
      <c r="E229" s="28">
        <v>0</v>
      </c>
      <c r="F229" s="28">
        <v>103</v>
      </c>
      <c r="G229" s="28">
        <v>669</v>
      </c>
      <c r="H229" s="28">
        <v>0</v>
      </c>
      <c r="I229" s="28">
        <v>502</v>
      </c>
      <c r="J229" s="28">
        <v>490</v>
      </c>
      <c r="K229" s="28">
        <f>TABL12[[#This Row],[خط (T/B  TOT) SAR]]+TABL12[[#This Row],[خط (S/S  TOT) SAR2]]</f>
        <v>992</v>
      </c>
      <c r="L229" s="28">
        <v>323</v>
      </c>
      <c r="M229" s="29">
        <v>23.7</v>
      </c>
      <c r="N229" s="30">
        <v>8.25</v>
      </c>
      <c r="O229" s="3">
        <v>438</v>
      </c>
      <c r="P229" s="3">
        <f>TABL12[[#This Row],[خط (S/S  TOT) SAR2]]-TABL12[[#This Row],[(S/S TOT) AJD]]</f>
        <v>52</v>
      </c>
      <c r="Q229" s="3">
        <v>475</v>
      </c>
      <c r="R229" s="3">
        <f>TABL12[[#This Row],[خط (T/B  TOT) SAR]]-TABL12[[#This Row],[(T/B TOT) AJD]]</f>
        <v>27</v>
      </c>
      <c r="S229" s="3">
        <f>TABL12[[#This Row],[الفرق بين بداية ونهاية خط  S/S]]+TABL12[[#This Row],[الفرق بين بداية ونهاية خط  T/B]]</f>
        <v>79</v>
      </c>
      <c r="T229" s="3">
        <f t="shared" si="12"/>
        <v>913</v>
      </c>
      <c r="U229" s="3">
        <v>587</v>
      </c>
      <c r="V229" s="3">
        <v>264</v>
      </c>
      <c r="W229" s="3">
        <f t="shared" si="13"/>
        <v>851</v>
      </c>
      <c r="X229" s="3">
        <f t="shared" si="14"/>
        <v>62</v>
      </c>
      <c r="Y229" s="4">
        <v>92.637</v>
      </c>
      <c r="Z229" s="3">
        <v>578503</v>
      </c>
      <c r="AA229" s="3">
        <f>TABL12[[#This Row],[(RESV. STORGE) AJD]]/10</f>
        <v>57850.3</v>
      </c>
      <c r="AB229" s="3">
        <f t="shared" si="15"/>
        <v>34.777999999999999</v>
      </c>
      <c r="AC229" s="6">
        <v>2674</v>
      </c>
      <c r="AD229" s="5">
        <f>TABL12[[#This Row],[( S/S+T/B) AJD]]-(TABL12[[#This Row],[(A/B + A/S) AJD]]+(TABL12[[#This Row],[(STORGE DIFF.) AJD]])+TABL12[[#This Row],[البخر  AJD]]/1000)</f>
        <v>24.548000000000002</v>
      </c>
      <c r="AE229" s="6">
        <v>40</v>
      </c>
      <c r="AF229" s="33">
        <v>58.609000000000002</v>
      </c>
      <c r="AG229" s="6">
        <v>1366170</v>
      </c>
      <c r="AH229" s="6">
        <f>TABL12[[#This Row],[ (RESV. STORGE) BER]]/10</f>
        <v>136617</v>
      </c>
      <c r="AI229" s="6">
        <v>3444</v>
      </c>
      <c r="AJ229" s="6">
        <f>TABL12[[#This Row],[(A/B TOT) AJD]]-TABL12[[#This Row],[BER_ IN]]</f>
        <v>547</v>
      </c>
      <c r="AK229" s="6">
        <v>32</v>
      </c>
      <c r="AL229" s="33">
        <v>43.328200000000002</v>
      </c>
      <c r="AM229" s="6">
        <v>3286140</v>
      </c>
      <c r="AN229" s="6">
        <f>TABL12[[#This Row],[ (RESV. STORGE) SER]]/10</f>
        <v>328614</v>
      </c>
      <c r="AO229" s="6">
        <v>1862</v>
      </c>
      <c r="AP229" s="32">
        <f>TABL12[[#This Row],[(A/S TOT) AJD]]-TABL12[[#This Row],[SER_ IN]]</f>
        <v>232</v>
      </c>
    </row>
    <row r="230" spans="1:42" x14ac:dyDescent="0.25">
      <c r="A230" s="2">
        <v>45886</v>
      </c>
      <c r="B230" s="28">
        <v>38</v>
      </c>
      <c r="C230" s="28">
        <v>319</v>
      </c>
      <c r="D230" s="28">
        <v>38</v>
      </c>
      <c r="E230" s="28">
        <v>0</v>
      </c>
      <c r="F230" s="28">
        <v>103</v>
      </c>
      <c r="G230" s="28">
        <v>667</v>
      </c>
      <c r="H230" s="28">
        <v>0</v>
      </c>
      <c r="I230" s="28">
        <v>500</v>
      </c>
      <c r="J230" s="28">
        <v>490</v>
      </c>
      <c r="K230" s="28">
        <f>TABL12[[#This Row],[خط (T/B  TOT) SAR]]+TABL12[[#This Row],[خط (S/S  TOT) SAR2]]</f>
        <v>990</v>
      </c>
      <c r="L230" s="28">
        <v>323</v>
      </c>
      <c r="M230" s="29">
        <v>23.7</v>
      </c>
      <c r="N230" s="30">
        <v>8.27</v>
      </c>
      <c r="O230" s="3">
        <v>437</v>
      </c>
      <c r="P230" s="3">
        <f>TABL12[[#This Row],[خط (S/S  TOT) SAR2]]-TABL12[[#This Row],[(S/S TOT) AJD]]</f>
        <v>53</v>
      </c>
      <c r="Q230" s="3">
        <v>477</v>
      </c>
      <c r="R230" s="3">
        <f>TABL12[[#This Row],[خط (T/B  TOT) SAR]]-TABL12[[#This Row],[(T/B TOT) AJD]]</f>
        <v>23</v>
      </c>
      <c r="S230" s="3">
        <f>TABL12[[#This Row],[الفرق بين بداية ونهاية خط  S/S]]+TABL12[[#This Row],[الفرق بين بداية ونهاية خط  T/B]]</f>
        <v>76</v>
      </c>
      <c r="T230" s="3">
        <f t="shared" si="12"/>
        <v>914</v>
      </c>
      <c r="U230" s="3">
        <v>580</v>
      </c>
      <c r="V230" s="3">
        <v>292</v>
      </c>
      <c r="W230" s="3">
        <f t="shared" si="13"/>
        <v>872</v>
      </c>
      <c r="X230" s="3">
        <f t="shared" si="14"/>
        <v>42</v>
      </c>
      <c r="Y230" s="4">
        <v>92.679000000000002</v>
      </c>
      <c r="Z230" s="3">
        <v>605173</v>
      </c>
      <c r="AA230" s="3">
        <f>TABL12[[#This Row],[(RESV. STORGE) AJD]]/10</f>
        <v>60517.3</v>
      </c>
      <c r="AB230" s="3">
        <f t="shared" si="15"/>
        <v>26.67</v>
      </c>
      <c r="AC230" s="6">
        <v>2516</v>
      </c>
      <c r="AD230" s="5">
        <f>TABL12[[#This Row],[( S/S+T/B) AJD]]-(TABL12[[#This Row],[(A/B + A/S) AJD]]+(TABL12[[#This Row],[(STORGE DIFF.) AJD]])+TABL12[[#This Row],[البخر  AJD]]/1000)</f>
        <v>12.814000000000078</v>
      </c>
      <c r="AE230" s="6">
        <v>47</v>
      </c>
      <c r="AF230" s="33">
        <v>58.622</v>
      </c>
      <c r="AG230" s="6">
        <v>1374710</v>
      </c>
      <c r="AH230" s="6">
        <f>TABL12[[#This Row],[ (RESV. STORGE) BER]]/10</f>
        <v>137471</v>
      </c>
      <c r="AI230" s="6">
        <v>3600</v>
      </c>
      <c r="AJ230" s="6">
        <f>TABL12[[#This Row],[(A/B TOT) AJD]]-TABL12[[#This Row],[BER_ IN]]</f>
        <v>533</v>
      </c>
      <c r="AK230" s="6">
        <v>40</v>
      </c>
      <c r="AL230" s="33">
        <v>43.348399999999998</v>
      </c>
      <c r="AM230" s="6">
        <v>3297010</v>
      </c>
      <c r="AN230" s="6">
        <f>TABL12[[#This Row],[ (RESV. STORGE) SER]]/10</f>
        <v>329701</v>
      </c>
      <c r="AO230" s="6">
        <v>1830</v>
      </c>
      <c r="AP230" s="32">
        <f>TABL12[[#This Row],[(A/S TOT) AJD]]-TABL12[[#This Row],[SER_ IN]]</f>
        <v>252</v>
      </c>
    </row>
    <row r="231" spans="1:42" x14ac:dyDescent="0.25">
      <c r="A231" s="2">
        <v>45887</v>
      </c>
      <c r="B231" s="28">
        <v>39</v>
      </c>
      <c r="C231" s="28">
        <v>324</v>
      </c>
      <c r="D231" s="28">
        <v>39</v>
      </c>
      <c r="E231" s="28">
        <v>0</v>
      </c>
      <c r="F231" s="28">
        <v>103</v>
      </c>
      <c r="G231" s="28">
        <v>657</v>
      </c>
      <c r="H231" s="28">
        <v>0</v>
      </c>
      <c r="I231" s="28">
        <v>512</v>
      </c>
      <c r="J231" s="28">
        <v>490</v>
      </c>
      <c r="K231" s="28">
        <f>TABL12[[#This Row],[خط (T/B  TOT) SAR]]+TABL12[[#This Row],[خط (S/S  TOT) SAR2]]</f>
        <v>1002</v>
      </c>
      <c r="L231" s="28">
        <v>345</v>
      </c>
      <c r="M231" s="29">
        <v>24.9</v>
      </c>
      <c r="N231" s="30">
        <v>8.14</v>
      </c>
      <c r="O231" s="3">
        <v>428</v>
      </c>
      <c r="P231" s="3">
        <f>TABL12[[#This Row],[خط (S/S  TOT) SAR2]]-TABL12[[#This Row],[(S/S TOT) AJD]]</f>
        <v>62</v>
      </c>
      <c r="Q231" s="3">
        <v>465</v>
      </c>
      <c r="R231" s="3">
        <f>TABL12[[#This Row],[خط (T/B  TOT) SAR]]-TABL12[[#This Row],[(T/B TOT) AJD]]</f>
        <v>47</v>
      </c>
      <c r="S231" s="3">
        <f>TABL12[[#This Row],[الفرق بين بداية ونهاية خط  S/S]]+TABL12[[#This Row],[الفرق بين بداية ونهاية خط  T/B]]</f>
        <v>109</v>
      </c>
      <c r="T231" s="3">
        <f t="shared" si="12"/>
        <v>893</v>
      </c>
      <c r="U231" s="3">
        <v>561</v>
      </c>
      <c r="V231" s="3">
        <v>307</v>
      </c>
      <c r="W231" s="3">
        <f t="shared" si="13"/>
        <v>868</v>
      </c>
      <c r="X231" s="3">
        <f t="shared" si="14"/>
        <v>25</v>
      </c>
      <c r="Y231" s="4">
        <v>92.679000000000002</v>
      </c>
      <c r="Z231" s="3">
        <v>604700</v>
      </c>
      <c r="AA231" s="3">
        <f>TABL12[[#This Row],[(RESV. STORGE) AJD]]/10</f>
        <v>60470</v>
      </c>
      <c r="AB231" s="3">
        <f t="shared" si="15"/>
        <v>-0.47299999999999998</v>
      </c>
      <c r="AC231" s="6">
        <v>2600</v>
      </c>
      <c r="AD231" s="5">
        <f>TABL12[[#This Row],[( S/S+T/B) AJD]]-(TABL12[[#This Row],[(A/B + A/S) AJD]]+(TABL12[[#This Row],[(STORGE DIFF.) AJD]])+TABL12[[#This Row],[البخر  AJD]]/1000)</f>
        <v>22.872999999999934</v>
      </c>
      <c r="AE231" s="6">
        <v>50</v>
      </c>
      <c r="AF231" s="33">
        <v>58.639000000000003</v>
      </c>
      <c r="AG231" s="6">
        <v>1385579</v>
      </c>
      <c r="AH231" s="6">
        <f>TABL12[[#This Row],[ (RESV. STORGE) BER]]/10</f>
        <v>138557.9</v>
      </c>
      <c r="AI231" s="6">
        <v>3140</v>
      </c>
      <c r="AJ231" s="6">
        <f>TABL12[[#This Row],[(A/B TOT) AJD]]-TABL12[[#This Row],[BER_ IN]]</f>
        <v>511</v>
      </c>
      <c r="AK231" s="6">
        <v>48</v>
      </c>
      <c r="AL231" s="33">
        <v>43.372300000000003</v>
      </c>
      <c r="AM231" s="6">
        <v>3310390</v>
      </c>
      <c r="AN231" s="6">
        <f>TABL12[[#This Row],[ (RESV. STORGE) SER]]/10</f>
        <v>331039</v>
      </c>
      <c r="AO231" s="6">
        <v>1920</v>
      </c>
      <c r="AP231" s="32">
        <f>TABL12[[#This Row],[(A/S TOT) AJD]]-TABL12[[#This Row],[SER_ IN]]</f>
        <v>259</v>
      </c>
    </row>
    <row r="232" spans="1:42" x14ac:dyDescent="0.25">
      <c r="A232" s="2">
        <v>45888</v>
      </c>
      <c r="B232" s="28">
        <v>40</v>
      </c>
      <c r="C232" s="28">
        <v>327</v>
      </c>
      <c r="D232" s="28">
        <v>40</v>
      </c>
      <c r="E232" s="28">
        <v>0</v>
      </c>
      <c r="F232" s="28">
        <v>103</v>
      </c>
      <c r="G232" s="28">
        <v>679</v>
      </c>
      <c r="H232" s="28">
        <v>0</v>
      </c>
      <c r="I232" s="28">
        <v>520</v>
      </c>
      <c r="J232" s="28">
        <v>501</v>
      </c>
      <c r="K232" s="28">
        <f>TABL12[[#This Row],[خط (T/B  TOT) SAR]]+TABL12[[#This Row],[خط (S/S  TOT) SAR2]]</f>
        <v>1021</v>
      </c>
      <c r="L232" s="28">
        <v>342</v>
      </c>
      <c r="M232" s="29">
        <v>24.9</v>
      </c>
      <c r="N232" s="30">
        <v>8.0299999999999994</v>
      </c>
      <c r="O232" s="3">
        <v>460</v>
      </c>
      <c r="P232" s="3">
        <f>TABL12[[#This Row],[خط (S/S  TOT) SAR2]]-TABL12[[#This Row],[(S/S TOT) AJD]]</f>
        <v>41</v>
      </c>
      <c r="Q232" s="3">
        <v>502</v>
      </c>
      <c r="R232" s="3">
        <f>TABL12[[#This Row],[خط (T/B  TOT) SAR]]-TABL12[[#This Row],[(T/B TOT) AJD]]</f>
        <v>18</v>
      </c>
      <c r="S232" s="3">
        <f>TABL12[[#This Row],[الفرق بين بداية ونهاية خط  S/S]]+TABL12[[#This Row],[الفرق بين بداية ونهاية خط  T/B]]</f>
        <v>59</v>
      </c>
      <c r="T232" s="3">
        <f t="shared" si="12"/>
        <v>962</v>
      </c>
      <c r="U232" s="3">
        <v>561</v>
      </c>
      <c r="V232" s="3">
        <v>321</v>
      </c>
      <c r="W232" s="3">
        <f t="shared" si="13"/>
        <v>882</v>
      </c>
      <c r="X232" s="3">
        <f t="shared" si="14"/>
        <v>80</v>
      </c>
      <c r="Y232" s="4">
        <v>92.733999999999995</v>
      </c>
      <c r="Z232" s="3">
        <v>638239</v>
      </c>
      <c r="AA232" s="3">
        <f>TABL12[[#This Row],[(RESV. STORGE) AJD]]/10</f>
        <v>63823.9</v>
      </c>
      <c r="AB232" s="3">
        <f t="shared" si="15"/>
        <v>33.539000000000001</v>
      </c>
      <c r="AC232" s="6">
        <v>0</v>
      </c>
      <c r="AD232" s="5">
        <f>TABL12[[#This Row],[( S/S+T/B) AJD]]-(TABL12[[#This Row],[(A/B + A/S) AJD]]+(TABL12[[#This Row],[(STORGE DIFF.) AJD]])+TABL12[[#This Row],[البخر  AJD]]/1000)</f>
        <v>46.461000000000013</v>
      </c>
      <c r="AE232" s="6">
        <v>50</v>
      </c>
      <c r="AF232" s="33">
        <v>58.658000000000001</v>
      </c>
      <c r="AG232" s="6">
        <v>1398365</v>
      </c>
      <c r="AH232" s="6">
        <f>TABL12[[#This Row],[ (RESV. STORGE) BER]]/10</f>
        <v>139836.5</v>
      </c>
      <c r="AI232" s="6">
        <v>3473</v>
      </c>
      <c r="AJ232" s="6">
        <f>TABL12[[#This Row],[(A/B TOT) AJD]]-TABL12[[#This Row],[BER_ IN]]</f>
        <v>511</v>
      </c>
      <c r="AK232" s="6">
        <v>48</v>
      </c>
      <c r="AL232" s="33">
        <v>43.316699999999997</v>
      </c>
      <c r="AM232" s="6">
        <v>3280150</v>
      </c>
      <c r="AN232" s="6">
        <f>TABL12[[#This Row],[ (RESV. STORGE) SER]]/10</f>
        <v>328015</v>
      </c>
      <c r="AO232" s="6">
        <v>1940</v>
      </c>
      <c r="AP232" s="32">
        <f>TABL12[[#This Row],[(A/S TOT) AJD]]-TABL12[[#This Row],[SER_ IN]]</f>
        <v>273</v>
      </c>
    </row>
    <row r="233" spans="1:42" x14ac:dyDescent="0.25">
      <c r="A233" s="2">
        <v>45889</v>
      </c>
      <c r="B233" s="28">
        <v>39</v>
      </c>
      <c r="C233" s="28">
        <v>327</v>
      </c>
      <c r="D233" s="28">
        <v>39</v>
      </c>
      <c r="E233" s="28">
        <v>0</v>
      </c>
      <c r="F233" s="28">
        <v>103</v>
      </c>
      <c r="G233" s="28">
        <v>668</v>
      </c>
      <c r="H233" s="28">
        <v>0</v>
      </c>
      <c r="I233" s="28">
        <v>508</v>
      </c>
      <c r="J233" s="28">
        <v>500</v>
      </c>
      <c r="K233" s="28">
        <f>TABL12[[#This Row],[خط (T/B  TOT) SAR]]+TABL12[[#This Row],[خط (S/S  TOT) SAR2]]</f>
        <v>1008</v>
      </c>
      <c r="L233" s="28">
        <v>340</v>
      </c>
      <c r="M233" s="29">
        <v>24.9</v>
      </c>
      <c r="N233" s="30">
        <v>7.96</v>
      </c>
      <c r="O233" s="3">
        <v>449</v>
      </c>
      <c r="P233" s="3">
        <f>TABL12[[#This Row],[خط (S/S  TOT) SAR2]]-TABL12[[#This Row],[(S/S TOT) AJD]]</f>
        <v>51</v>
      </c>
      <c r="Q233" s="3">
        <v>490</v>
      </c>
      <c r="R233" s="3">
        <f>TABL12[[#This Row],[خط (T/B  TOT) SAR]]-TABL12[[#This Row],[(T/B TOT) AJD]]</f>
        <v>18</v>
      </c>
      <c r="S233" s="3">
        <f>TABL12[[#This Row],[الفرق بين بداية ونهاية خط  S/S]]+TABL12[[#This Row],[الفرق بين بداية ونهاية خط  T/B]]</f>
        <v>69</v>
      </c>
      <c r="T233" s="3">
        <f t="shared" si="12"/>
        <v>939</v>
      </c>
      <c r="U233" s="3">
        <v>570</v>
      </c>
      <c r="V233" s="3">
        <v>329</v>
      </c>
      <c r="W233" s="3">
        <f t="shared" si="13"/>
        <v>899</v>
      </c>
      <c r="X233" s="3">
        <f t="shared" si="14"/>
        <v>40</v>
      </c>
      <c r="Y233" s="4">
        <v>92.742000000000004</v>
      </c>
      <c r="Z233" s="3">
        <v>638031</v>
      </c>
      <c r="AA233" s="3">
        <f>TABL12[[#This Row],[(RESV. STORGE) AJD]]/10</f>
        <v>63803.1</v>
      </c>
      <c r="AB233" s="3">
        <f t="shared" si="15"/>
        <v>-0.20799999999999999</v>
      </c>
      <c r="AC233" s="6">
        <v>2433</v>
      </c>
      <c r="AD233" s="5">
        <f>TABL12[[#This Row],[( S/S+T/B) AJD]]-(TABL12[[#This Row],[(A/B + A/S) AJD]]+(TABL12[[#This Row],[(STORGE DIFF.) AJD]])+TABL12[[#This Row],[البخر  AJD]]/1000)</f>
        <v>37.774999999999977</v>
      </c>
      <c r="AE233" s="6">
        <v>57</v>
      </c>
      <c r="AF233" s="33">
        <v>58.679000000000002</v>
      </c>
      <c r="AG233" s="6">
        <v>1412169</v>
      </c>
      <c r="AH233" s="6">
        <f>TABL12[[#This Row],[ (RESV. STORGE) BER]]/10</f>
        <v>141216.9</v>
      </c>
      <c r="AI233" s="6">
        <v>3355</v>
      </c>
      <c r="AJ233" s="6">
        <f>TABL12[[#This Row],[(A/B TOT) AJD]]-TABL12[[#This Row],[BER_ IN]]</f>
        <v>513</v>
      </c>
      <c r="AK233" s="6">
        <v>48</v>
      </c>
      <c r="AL233" s="33">
        <v>43.202599999999997</v>
      </c>
      <c r="AM233" s="6">
        <v>3218220</v>
      </c>
      <c r="AN233" s="6">
        <f>TABL12[[#This Row],[ (RESV. STORGE) SER]]/10</f>
        <v>321822</v>
      </c>
      <c r="AO233" s="6">
        <v>1930</v>
      </c>
      <c r="AP233" s="32">
        <f>TABL12[[#This Row],[(A/S TOT) AJD]]-TABL12[[#This Row],[SER_ IN]]</f>
        <v>281</v>
      </c>
    </row>
    <row r="234" spans="1:42" x14ac:dyDescent="0.25">
      <c r="A234" s="2">
        <v>45890</v>
      </c>
      <c r="B234" s="28">
        <v>41</v>
      </c>
      <c r="C234" s="28">
        <v>326</v>
      </c>
      <c r="D234" s="28">
        <v>41</v>
      </c>
      <c r="E234" s="28">
        <v>0</v>
      </c>
      <c r="F234" s="28">
        <v>103</v>
      </c>
      <c r="G234" s="28">
        <v>675</v>
      </c>
      <c r="H234" s="28">
        <v>0</v>
      </c>
      <c r="I234" s="28">
        <v>513</v>
      </c>
      <c r="J234" s="28">
        <v>502</v>
      </c>
      <c r="K234" s="28">
        <f>TABL12[[#This Row],[خط (T/B  TOT) SAR]]+TABL12[[#This Row],[خط (S/S  TOT) SAR2]]</f>
        <v>1015</v>
      </c>
      <c r="L234" s="28">
        <v>340</v>
      </c>
      <c r="M234" s="29">
        <v>24.9</v>
      </c>
      <c r="N234" s="30">
        <v>7.89</v>
      </c>
      <c r="O234" s="3">
        <v>451</v>
      </c>
      <c r="P234" s="3">
        <f>TABL12[[#This Row],[خط (S/S  TOT) SAR2]]-TABL12[[#This Row],[(S/S TOT) AJD]]</f>
        <v>51</v>
      </c>
      <c r="Q234" s="3">
        <v>491</v>
      </c>
      <c r="R234" s="3">
        <f>TABL12[[#This Row],[خط (T/B  TOT) SAR]]-TABL12[[#This Row],[(T/B TOT) AJD]]</f>
        <v>22</v>
      </c>
      <c r="S234" s="3">
        <f>TABL12[[#This Row],[الفرق بين بداية ونهاية خط  S/S]]+TABL12[[#This Row],[الفرق بين بداية ونهاية خط  T/B]]</f>
        <v>73</v>
      </c>
      <c r="T234" s="3">
        <f t="shared" si="12"/>
        <v>942</v>
      </c>
      <c r="U234" s="3">
        <v>562</v>
      </c>
      <c r="V234" s="3">
        <v>331</v>
      </c>
      <c r="W234" s="3">
        <f t="shared" si="13"/>
        <v>893</v>
      </c>
      <c r="X234" s="3">
        <f t="shared" si="14"/>
        <v>49</v>
      </c>
      <c r="Y234" s="4">
        <v>92.769000000000005</v>
      </c>
      <c r="Z234" s="3">
        <v>657157</v>
      </c>
      <c r="AA234" s="3">
        <f>TABL12[[#This Row],[(RESV. STORGE) AJD]]/10</f>
        <v>65715.7</v>
      </c>
      <c r="AB234" s="3">
        <f t="shared" si="15"/>
        <v>19.126000000000001</v>
      </c>
      <c r="AC234" s="6">
        <v>0</v>
      </c>
      <c r="AD234" s="5">
        <f>TABL12[[#This Row],[( S/S+T/B) AJD]]-(TABL12[[#This Row],[(A/B + A/S) AJD]]+(TABL12[[#This Row],[(STORGE DIFF.) AJD]])+TABL12[[#This Row],[البخر  AJD]]/1000)</f>
        <v>29.874000000000024</v>
      </c>
      <c r="AE234" s="6">
        <v>61</v>
      </c>
      <c r="AF234" s="33">
        <v>58.707999999999998</v>
      </c>
      <c r="AG234" s="6">
        <v>1431238</v>
      </c>
      <c r="AH234" s="6">
        <f>TABL12[[#This Row],[ (RESV. STORGE) BER]]/10</f>
        <v>143123.79999999999</v>
      </c>
      <c r="AI234" s="6">
        <v>2920</v>
      </c>
      <c r="AJ234" s="6">
        <f>TABL12[[#This Row],[(A/B TOT) AJD]]-TABL12[[#This Row],[BER_ IN]]</f>
        <v>501</v>
      </c>
      <c r="AK234" s="6">
        <v>48</v>
      </c>
      <c r="AL234" s="33">
        <v>43.126300000000001</v>
      </c>
      <c r="AM234" s="6">
        <v>3176460</v>
      </c>
      <c r="AN234" s="6">
        <f>TABL12[[#This Row],[ (RESV. STORGE) SER]]/10</f>
        <v>317646</v>
      </c>
      <c r="AO234" s="6">
        <v>1960</v>
      </c>
      <c r="AP234" s="32">
        <f>TABL12[[#This Row],[(A/S TOT) AJD]]-TABL12[[#This Row],[SER_ IN]]</f>
        <v>283</v>
      </c>
    </row>
    <row r="235" spans="1:42" x14ac:dyDescent="0.25">
      <c r="A235" s="2">
        <v>45891</v>
      </c>
      <c r="B235" s="28">
        <v>41</v>
      </c>
      <c r="C235" s="28">
        <v>335</v>
      </c>
      <c r="D235" s="28">
        <v>41</v>
      </c>
      <c r="E235" s="28">
        <v>0</v>
      </c>
      <c r="F235" s="28">
        <v>103</v>
      </c>
      <c r="G235" s="28">
        <v>674</v>
      </c>
      <c r="H235" s="28">
        <v>0</v>
      </c>
      <c r="I235" s="28">
        <v>512</v>
      </c>
      <c r="J235" s="28">
        <v>501</v>
      </c>
      <c r="K235" s="28">
        <f>TABL12[[#This Row],[خط (T/B  TOT) SAR]]+TABL12[[#This Row],[خط (S/S  TOT) SAR2]]</f>
        <v>1013</v>
      </c>
      <c r="L235" s="28">
        <v>339</v>
      </c>
      <c r="M235" s="29">
        <v>24.9</v>
      </c>
      <c r="N235" s="30">
        <v>7.87</v>
      </c>
      <c r="O235" s="3">
        <v>449</v>
      </c>
      <c r="P235" s="3">
        <f>TABL12[[#This Row],[خط (S/S  TOT) SAR2]]-TABL12[[#This Row],[(S/S TOT) AJD]]</f>
        <v>52</v>
      </c>
      <c r="Q235" s="3">
        <v>489</v>
      </c>
      <c r="R235" s="3">
        <f>TABL12[[#This Row],[خط (T/B  TOT) SAR]]-TABL12[[#This Row],[(T/B TOT) AJD]]</f>
        <v>23</v>
      </c>
      <c r="S235" s="3">
        <f>TABL12[[#This Row],[الفرق بين بداية ونهاية خط  S/S]]+TABL12[[#This Row],[الفرق بين بداية ونهاية خط  T/B]]</f>
        <v>75</v>
      </c>
      <c r="T235" s="3">
        <f t="shared" si="12"/>
        <v>938</v>
      </c>
      <c r="U235" s="3">
        <v>570</v>
      </c>
      <c r="V235" s="3">
        <v>264</v>
      </c>
      <c r="W235" s="3">
        <f t="shared" si="13"/>
        <v>834</v>
      </c>
      <c r="X235" s="3">
        <f t="shared" si="14"/>
        <v>104</v>
      </c>
      <c r="Y235" s="4">
        <v>92.778999999999996</v>
      </c>
      <c r="Z235" s="3">
        <v>663138</v>
      </c>
      <c r="AA235" s="3">
        <f>TABL12[[#This Row],[(RESV. STORGE) AJD]]/10</f>
        <v>66313.8</v>
      </c>
      <c r="AB235" s="3">
        <f t="shared" si="15"/>
        <v>5.9809999999999999</v>
      </c>
      <c r="AC235" s="6">
        <v>2147</v>
      </c>
      <c r="AD235" s="5">
        <f>TABL12[[#This Row],[( S/S+T/B) AJD]]-(TABL12[[#This Row],[(A/B + A/S) AJD]]+(TABL12[[#This Row],[(STORGE DIFF.) AJD]])+TABL12[[#This Row],[البخر  AJD]]/1000)</f>
        <v>95.871999999999957</v>
      </c>
      <c r="AE235" s="6">
        <v>60</v>
      </c>
      <c r="AF235" s="33">
        <v>58.734000000000002</v>
      </c>
      <c r="AG235" s="6">
        <v>1448341</v>
      </c>
      <c r="AH235" s="6">
        <f>TABL12[[#This Row],[ (RESV. STORGE) BER]]/10</f>
        <v>144834.1</v>
      </c>
      <c r="AI235" s="6">
        <v>3057</v>
      </c>
      <c r="AJ235" s="6">
        <f>TABL12[[#This Row],[(A/B TOT) AJD]]-TABL12[[#This Row],[BER_ IN]]</f>
        <v>510</v>
      </c>
      <c r="AK235" s="6">
        <v>57</v>
      </c>
      <c r="AL235" s="33">
        <v>43.034199999999998</v>
      </c>
      <c r="AM235" s="6">
        <v>3126610</v>
      </c>
      <c r="AN235" s="6">
        <f>TABL12[[#This Row],[ (RESV. STORGE) SER]]/10</f>
        <v>312661</v>
      </c>
      <c r="AO235" s="6">
        <v>1850</v>
      </c>
      <c r="AP235" s="32">
        <f>TABL12[[#This Row],[(A/S TOT) AJD]]-TABL12[[#This Row],[SER_ IN]]</f>
        <v>207</v>
      </c>
    </row>
    <row r="236" spans="1:42" x14ac:dyDescent="0.25">
      <c r="A236" s="2">
        <v>45892</v>
      </c>
      <c r="B236" s="28">
        <v>41</v>
      </c>
      <c r="C236" s="28">
        <v>340</v>
      </c>
      <c r="D236" s="28">
        <v>41</v>
      </c>
      <c r="E236" s="28">
        <v>0</v>
      </c>
      <c r="F236" s="28">
        <v>103</v>
      </c>
      <c r="G236" s="28">
        <v>682</v>
      </c>
      <c r="H236" s="28">
        <v>0</v>
      </c>
      <c r="I236" s="28">
        <v>522</v>
      </c>
      <c r="J236" s="28">
        <v>500</v>
      </c>
      <c r="K236" s="28">
        <f>TABL12[[#This Row],[خط (T/B  TOT) SAR]]+TABL12[[#This Row],[خط (S/S  TOT) SAR2]]</f>
        <v>1022</v>
      </c>
      <c r="L236" s="28">
        <v>340</v>
      </c>
      <c r="M236" s="29">
        <v>24.9</v>
      </c>
      <c r="N236" s="30">
        <v>7.92</v>
      </c>
      <c r="O236" s="3">
        <v>429</v>
      </c>
      <c r="P236" s="3">
        <f>TABL12[[#This Row],[خط (S/S  TOT) SAR2]]-TABL12[[#This Row],[(S/S TOT) AJD]]</f>
        <v>71</v>
      </c>
      <c r="Q236" s="3">
        <v>468</v>
      </c>
      <c r="R236" s="3">
        <f>TABL12[[#This Row],[خط (T/B  TOT) SAR]]-TABL12[[#This Row],[(T/B TOT) AJD]]</f>
        <v>54</v>
      </c>
      <c r="S236" s="3">
        <f>TABL12[[#This Row],[الفرق بين بداية ونهاية خط  S/S]]+TABL12[[#This Row],[الفرق بين بداية ونهاية خط  T/B]]</f>
        <v>125</v>
      </c>
      <c r="T236" s="3">
        <f t="shared" si="12"/>
        <v>897</v>
      </c>
      <c r="U236" s="3">
        <v>539</v>
      </c>
      <c r="V236" s="3">
        <v>331</v>
      </c>
      <c r="W236" s="3">
        <f t="shared" si="13"/>
        <v>870</v>
      </c>
      <c r="X236" s="3">
        <f t="shared" si="14"/>
        <v>27</v>
      </c>
      <c r="Y236" s="4">
        <v>92.728999999999999</v>
      </c>
      <c r="Z236" s="3">
        <v>633248</v>
      </c>
      <c r="AA236" s="3">
        <f>TABL12[[#This Row],[(RESV. STORGE) AJD]]/10</f>
        <v>63324.800000000003</v>
      </c>
      <c r="AB236" s="3">
        <f t="shared" si="15"/>
        <v>-29.89</v>
      </c>
      <c r="AC236" s="6">
        <v>0</v>
      </c>
      <c r="AD236" s="5">
        <f>TABL12[[#This Row],[( S/S+T/B) AJD]]-(TABL12[[#This Row],[(A/B + A/S) AJD]]+(TABL12[[#This Row],[(STORGE DIFF.) AJD]])+TABL12[[#This Row],[البخر  AJD]]/1000)</f>
        <v>56.889999999999986</v>
      </c>
      <c r="AE236" s="6">
        <v>60</v>
      </c>
      <c r="AF236" s="33">
        <v>58.76</v>
      </c>
      <c r="AG236" s="6">
        <v>1465449</v>
      </c>
      <c r="AH236" s="6">
        <f>TABL12[[#This Row],[ (RESV. STORGE) BER]]/10</f>
        <v>146544.9</v>
      </c>
      <c r="AI236" s="6">
        <v>3051</v>
      </c>
      <c r="AJ236" s="6">
        <f>TABL12[[#This Row],[(A/B TOT) AJD]]-TABL12[[#This Row],[BER_ IN]]</f>
        <v>479</v>
      </c>
      <c r="AK236" s="6">
        <v>61</v>
      </c>
      <c r="AL236" s="33">
        <v>43.0032</v>
      </c>
      <c r="AM236" s="6">
        <v>3109920</v>
      </c>
      <c r="AN236" s="6">
        <f>TABL12[[#This Row],[ (RESV. STORGE) SER]]/10</f>
        <v>310992</v>
      </c>
      <c r="AO236" s="6">
        <v>1781</v>
      </c>
      <c r="AP236" s="32">
        <f>TABL12[[#This Row],[(A/S TOT) AJD]]-TABL12[[#This Row],[SER_ IN]]</f>
        <v>270</v>
      </c>
    </row>
    <row r="237" spans="1:42" x14ac:dyDescent="0.25">
      <c r="A237" s="2">
        <v>45893</v>
      </c>
      <c r="B237" s="28">
        <v>42</v>
      </c>
      <c r="C237" s="28">
        <v>326</v>
      </c>
      <c r="D237" s="28">
        <v>42</v>
      </c>
      <c r="E237" s="28">
        <v>0</v>
      </c>
      <c r="F237" s="28">
        <v>102</v>
      </c>
      <c r="G237" s="28">
        <v>665</v>
      </c>
      <c r="H237" s="28">
        <v>1</v>
      </c>
      <c r="I237" s="28">
        <v>510</v>
      </c>
      <c r="J237" s="28">
        <v>495</v>
      </c>
      <c r="K237" s="28">
        <f>TABL12[[#This Row],[خط (T/B  TOT) SAR]]+TABL12[[#This Row],[خط (S/S  TOT) SAR2]]</f>
        <v>1005</v>
      </c>
      <c r="L237" s="28">
        <v>340</v>
      </c>
      <c r="M237" s="29">
        <v>24.9</v>
      </c>
      <c r="N237" s="30">
        <v>7.89</v>
      </c>
      <c r="O237" s="3">
        <v>445</v>
      </c>
      <c r="P237" s="3">
        <f>TABL12[[#This Row],[خط (S/S  TOT) SAR2]]-TABL12[[#This Row],[(S/S TOT) AJD]]</f>
        <v>50</v>
      </c>
      <c r="Q237" s="3">
        <v>486</v>
      </c>
      <c r="R237" s="3">
        <f>TABL12[[#This Row],[خط (T/B  TOT) SAR]]-TABL12[[#This Row],[(T/B TOT) AJD]]</f>
        <v>24</v>
      </c>
      <c r="S237" s="3">
        <f>TABL12[[#This Row],[الفرق بين بداية ونهاية خط  S/S]]+TABL12[[#This Row],[الفرق بين بداية ونهاية خط  T/B]]</f>
        <v>74</v>
      </c>
      <c r="T237" s="3">
        <f t="shared" si="12"/>
        <v>931</v>
      </c>
      <c r="U237" s="3">
        <v>553</v>
      </c>
      <c r="V237" s="3">
        <v>362</v>
      </c>
      <c r="W237" s="3">
        <f t="shared" si="13"/>
        <v>915</v>
      </c>
      <c r="X237" s="3">
        <f t="shared" si="14"/>
        <v>16</v>
      </c>
      <c r="Y237" s="4">
        <v>92.668999999999997</v>
      </c>
      <c r="Z237" s="3">
        <v>597410</v>
      </c>
      <c r="AA237" s="3">
        <f>TABL12[[#This Row],[(RESV. STORGE) AJD]]/10</f>
        <v>59741</v>
      </c>
      <c r="AB237" s="3">
        <f t="shared" si="15"/>
        <v>-35.838000000000001</v>
      </c>
      <c r="AC237" s="6">
        <v>2746</v>
      </c>
      <c r="AD237" s="5">
        <f>TABL12[[#This Row],[( S/S+T/B) AJD]]-(TABL12[[#This Row],[(A/B + A/S) AJD]]+(TABL12[[#This Row],[(STORGE DIFF.) AJD]])+TABL12[[#This Row],[البخر  AJD]]/1000)</f>
        <v>49.091999999999985</v>
      </c>
      <c r="AE237" s="6">
        <v>60</v>
      </c>
      <c r="AF237" s="33">
        <v>58.8</v>
      </c>
      <c r="AG237" s="6">
        <v>1491781</v>
      </c>
      <c r="AH237" s="6">
        <f>TABL12[[#This Row],[ (RESV. STORGE) BER]]/10</f>
        <v>149178.1</v>
      </c>
      <c r="AI237" s="6">
        <v>3289</v>
      </c>
      <c r="AJ237" s="6">
        <f>TABL12[[#This Row],[(A/B TOT) AJD]]-TABL12[[#This Row],[BER_ IN]]</f>
        <v>493</v>
      </c>
      <c r="AK237" s="6">
        <v>62</v>
      </c>
      <c r="AL237" s="33">
        <v>42.950800000000001</v>
      </c>
      <c r="AM237" s="6">
        <v>3081700</v>
      </c>
      <c r="AN237" s="6">
        <f>TABL12[[#This Row],[ (RESV. STORGE) SER]]/10</f>
        <v>308170</v>
      </c>
      <c r="AO237" s="6">
        <v>1820</v>
      </c>
      <c r="AP237" s="32">
        <f>TABL12[[#This Row],[(A/S TOT) AJD]]-TABL12[[#This Row],[SER_ IN]]</f>
        <v>300</v>
      </c>
    </row>
    <row r="238" spans="1:42" x14ac:dyDescent="0.25">
      <c r="A238" s="2">
        <v>45894</v>
      </c>
      <c r="B238" s="28">
        <v>42</v>
      </c>
      <c r="C238" s="28">
        <v>344</v>
      </c>
      <c r="D238" s="28">
        <v>42</v>
      </c>
      <c r="E238" s="28">
        <v>0</v>
      </c>
      <c r="F238" s="28">
        <v>103</v>
      </c>
      <c r="G238" s="28">
        <v>673</v>
      </c>
      <c r="H238" s="28">
        <v>0</v>
      </c>
      <c r="I238" s="28">
        <v>512</v>
      </c>
      <c r="J238" s="28">
        <v>500</v>
      </c>
      <c r="K238" s="28">
        <f>TABL12[[#This Row],[خط (T/B  TOT) SAR]]+TABL12[[#This Row],[خط (S/S  TOT) SAR2]]</f>
        <v>1012</v>
      </c>
      <c r="L238" s="28">
        <v>339</v>
      </c>
      <c r="M238" s="29">
        <v>24.9</v>
      </c>
      <c r="N238" s="30">
        <v>7.89</v>
      </c>
      <c r="O238" s="3">
        <v>443</v>
      </c>
      <c r="P238" s="3">
        <f>TABL12[[#This Row],[خط (S/S  TOT) SAR2]]-TABL12[[#This Row],[(S/S TOT) AJD]]</f>
        <v>57</v>
      </c>
      <c r="Q238" s="3">
        <v>484</v>
      </c>
      <c r="R238" s="3">
        <f>TABL12[[#This Row],[خط (T/B  TOT) SAR]]-TABL12[[#This Row],[(T/B TOT) AJD]]</f>
        <v>28</v>
      </c>
      <c r="S238" s="3">
        <f>TABL12[[#This Row],[الفرق بين بداية ونهاية خط  S/S]]+TABL12[[#This Row],[الفرق بين بداية ونهاية خط  T/B]]</f>
        <v>85</v>
      </c>
      <c r="T238" s="3">
        <f t="shared" si="12"/>
        <v>927</v>
      </c>
      <c r="U238" s="3">
        <v>565</v>
      </c>
      <c r="V238" s="3">
        <v>401</v>
      </c>
      <c r="W238" s="3">
        <f t="shared" si="13"/>
        <v>966</v>
      </c>
      <c r="X238" s="3">
        <f t="shared" si="14"/>
        <v>-39</v>
      </c>
      <c r="Y238" s="4">
        <v>92.614000000000004</v>
      </c>
      <c r="Z238" s="3">
        <v>566373</v>
      </c>
      <c r="AA238" s="3">
        <f>TABL12[[#This Row],[(RESV. STORGE) AJD]]/10</f>
        <v>56637.3</v>
      </c>
      <c r="AB238" s="3">
        <f t="shared" si="15"/>
        <v>-31.036999999999999</v>
      </c>
      <c r="AC238" s="6">
        <v>0</v>
      </c>
      <c r="AD238" s="5">
        <f>TABL12[[#This Row],[( S/S+T/B) AJD]]-(TABL12[[#This Row],[(A/B + A/S) AJD]]+(TABL12[[#This Row],[(STORGE DIFF.) AJD]])+TABL12[[#This Row],[البخر  AJD]]/1000)</f>
        <v>-7.9629999999999654</v>
      </c>
      <c r="AE238" s="6">
        <v>60</v>
      </c>
      <c r="AF238" s="33">
        <v>58.826000000000001</v>
      </c>
      <c r="AG238" s="6">
        <v>1508905</v>
      </c>
      <c r="AH238" s="6">
        <f>TABL12[[#This Row],[ (RESV. STORGE) BER]]/10</f>
        <v>150890.5</v>
      </c>
      <c r="AI238" s="6">
        <v>3036</v>
      </c>
      <c r="AJ238" s="6">
        <f>TABL12[[#This Row],[(A/B TOT) AJD]]-TABL12[[#This Row],[BER_ IN]]</f>
        <v>505</v>
      </c>
      <c r="AK238" s="6">
        <v>62</v>
      </c>
      <c r="AL238" s="33">
        <v>42.979900000000001</v>
      </c>
      <c r="AM238" s="6">
        <v>3097340</v>
      </c>
      <c r="AN238" s="6">
        <f>TABL12[[#This Row],[ (RESV. STORGE) SER]]/10</f>
        <v>309734</v>
      </c>
      <c r="AO238" s="6">
        <v>1960</v>
      </c>
      <c r="AP238" s="32">
        <f>TABL12[[#This Row],[(A/S TOT) AJD]]-TABL12[[#This Row],[SER_ IN]]</f>
        <v>339</v>
      </c>
    </row>
    <row r="239" spans="1:42" x14ac:dyDescent="0.25">
      <c r="A239" s="2">
        <v>45895</v>
      </c>
      <c r="B239" s="28">
        <v>42</v>
      </c>
      <c r="C239" s="28">
        <v>359</v>
      </c>
      <c r="D239" s="28">
        <v>42</v>
      </c>
      <c r="E239" s="28">
        <v>0</v>
      </c>
      <c r="F239" s="28">
        <v>103</v>
      </c>
      <c r="G239" s="28">
        <v>684</v>
      </c>
      <c r="H239" s="28">
        <v>0</v>
      </c>
      <c r="I239" s="28">
        <v>512</v>
      </c>
      <c r="J239" s="28">
        <v>505</v>
      </c>
      <c r="K239" s="28">
        <f>TABL12[[#This Row],[خط (T/B  TOT) SAR]]+TABL12[[#This Row],[خط (S/S  TOT) SAR2]]</f>
        <v>1017</v>
      </c>
      <c r="L239" s="28">
        <v>338</v>
      </c>
      <c r="M239" s="29">
        <v>24.9</v>
      </c>
      <c r="N239" s="30">
        <v>8</v>
      </c>
      <c r="O239" s="3">
        <v>446</v>
      </c>
      <c r="P239" s="3">
        <f>TABL12[[#This Row],[خط (S/S  TOT) SAR2]]-TABL12[[#This Row],[(S/S TOT) AJD]]</f>
        <v>59</v>
      </c>
      <c r="Q239" s="3">
        <v>486</v>
      </c>
      <c r="R239" s="3">
        <f>TABL12[[#This Row],[خط (T/B  TOT) SAR]]-TABL12[[#This Row],[(T/B TOT) AJD]]</f>
        <v>26</v>
      </c>
      <c r="S239" s="3">
        <f>TABL12[[#This Row],[الفرق بين بداية ونهاية خط  S/S]]+TABL12[[#This Row],[الفرق بين بداية ونهاية خط  T/B]]</f>
        <v>85</v>
      </c>
      <c r="T239" s="3">
        <f t="shared" si="12"/>
        <v>932</v>
      </c>
      <c r="U239" s="3">
        <v>565</v>
      </c>
      <c r="V239" s="3">
        <v>350</v>
      </c>
      <c r="W239" s="3">
        <f t="shared" si="13"/>
        <v>915</v>
      </c>
      <c r="X239" s="3">
        <f t="shared" si="14"/>
        <v>17</v>
      </c>
      <c r="Y239" s="4">
        <v>92.561999999999998</v>
      </c>
      <c r="Z239" s="3">
        <v>533570</v>
      </c>
      <c r="AA239" s="3">
        <f>TABL12[[#This Row],[(RESV. STORGE) AJD]]/10</f>
        <v>53357</v>
      </c>
      <c r="AB239" s="3">
        <f t="shared" si="15"/>
        <v>-32.802999999999997</v>
      </c>
      <c r="AC239" s="6">
        <v>0</v>
      </c>
      <c r="AD239" s="5">
        <f>TABL12[[#This Row],[( S/S+T/B) AJD]]-(TABL12[[#This Row],[(A/B + A/S) AJD]]+(TABL12[[#This Row],[(STORGE DIFF.) AJD]])+TABL12[[#This Row],[البخر  AJD]]/1000)</f>
        <v>49.802999999999997</v>
      </c>
      <c r="AE239" s="6">
        <v>60</v>
      </c>
      <c r="AF239" s="33">
        <v>58.851999999999997</v>
      </c>
      <c r="AG239" s="6">
        <v>1526034</v>
      </c>
      <c r="AH239" s="6">
        <f>TABL12[[#This Row],[ (RESV. STORGE) BER]]/10</f>
        <v>152603.4</v>
      </c>
      <c r="AI239" s="6">
        <v>3030</v>
      </c>
      <c r="AJ239" s="6">
        <f>TABL12[[#This Row],[(A/B TOT) AJD]]-TABL12[[#This Row],[BER_ IN]]</f>
        <v>505</v>
      </c>
      <c r="AK239" s="6">
        <v>62</v>
      </c>
      <c r="AL239" s="33">
        <v>43.041899999999998</v>
      </c>
      <c r="AM239" s="6">
        <v>3130930</v>
      </c>
      <c r="AN239" s="6">
        <f>TABL12[[#This Row],[ (RESV. STORGE) SER]]/10</f>
        <v>313093</v>
      </c>
      <c r="AO239" s="6">
        <v>1910</v>
      </c>
      <c r="AP239" s="32">
        <f>TABL12[[#This Row],[(A/S TOT) AJD]]-TABL12[[#This Row],[SER_ IN]]</f>
        <v>288</v>
      </c>
    </row>
    <row r="240" spans="1:42" x14ac:dyDescent="0.25">
      <c r="A240" s="2">
        <v>45896</v>
      </c>
      <c r="B240" s="28">
        <v>43</v>
      </c>
      <c r="C240" s="28">
        <v>357</v>
      </c>
      <c r="D240" s="28">
        <v>43</v>
      </c>
      <c r="E240" s="28">
        <v>0</v>
      </c>
      <c r="F240" s="28">
        <v>103</v>
      </c>
      <c r="G240" s="28">
        <v>680</v>
      </c>
      <c r="H240" s="28">
        <v>0</v>
      </c>
      <c r="I240" s="28">
        <v>510</v>
      </c>
      <c r="J240" s="28">
        <v>497</v>
      </c>
      <c r="K240" s="28">
        <f>TABL12[[#This Row],[خط (T/B  TOT) SAR]]+TABL12[[#This Row],[خط (S/S  TOT) SAR2]]</f>
        <v>1007</v>
      </c>
      <c r="L240" s="28">
        <v>345</v>
      </c>
      <c r="M240" s="29">
        <v>24.9</v>
      </c>
      <c r="N240" s="30">
        <v>8.16</v>
      </c>
      <c r="O240" s="3">
        <v>445</v>
      </c>
      <c r="P240" s="3">
        <f>TABL12[[#This Row],[خط (S/S  TOT) SAR2]]-TABL12[[#This Row],[(S/S TOT) AJD]]</f>
        <v>52</v>
      </c>
      <c r="Q240" s="3">
        <v>486</v>
      </c>
      <c r="R240" s="3">
        <f>TABL12[[#This Row],[خط (T/B  TOT) SAR]]-TABL12[[#This Row],[(T/B TOT) AJD]]</f>
        <v>24</v>
      </c>
      <c r="S240" s="3">
        <f>TABL12[[#This Row],[الفرق بين بداية ونهاية خط  S/S]]+TABL12[[#This Row],[الفرق بين بداية ونهاية خط  T/B]]</f>
        <v>76</v>
      </c>
      <c r="T240" s="3">
        <f t="shared" si="12"/>
        <v>931</v>
      </c>
      <c r="U240" s="3">
        <v>566</v>
      </c>
      <c r="V240" s="3">
        <v>361</v>
      </c>
      <c r="W240" s="3">
        <f t="shared" si="13"/>
        <v>927</v>
      </c>
      <c r="X240" s="3">
        <f t="shared" si="14"/>
        <v>4</v>
      </c>
      <c r="Y240" s="4">
        <v>92.515000000000001</v>
      </c>
      <c r="Z240" s="3">
        <v>505560</v>
      </c>
      <c r="AA240" s="3">
        <f>TABL12[[#This Row],[(RESV. STORGE) AJD]]/10</f>
        <v>50556</v>
      </c>
      <c r="AB240" s="3">
        <f t="shared" si="15"/>
        <v>-28.01</v>
      </c>
      <c r="AC240" s="6">
        <v>0</v>
      </c>
      <c r="AD240" s="5">
        <f>TABL12[[#This Row],[( S/S+T/B) AJD]]-(TABL12[[#This Row],[(A/B + A/S) AJD]]+(TABL12[[#This Row],[(STORGE DIFF.) AJD]])+TABL12[[#This Row],[البخر  AJD]]/1000)</f>
        <v>32.009999999999991</v>
      </c>
      <c r="AE240" s="6">
        <v>60</v>
      </c>
      <c r="AF240" s="33">
        <v>58.878</v>
      </c>
      <c r="AG240" s="6">
        <v>1543169</v>
      </c>
      <c r="AH240" s="6">
        <f>TABL12[[#This Row],[ (RESV. STORGE) BER]]/10</f>
        <v>154316.9</v>
      </c>
      <c r="AI240" s="6">
        <v>3025</v>
      </c>
      <c r="AJ240" s="6">
        <f>TABL12[[#This Row],[(A/B TOT) AJD]]-TABL12[[#This Row],[BER_ IN]]</f>
        <v>506</v>
      </c>
      <c r="AK240" s="6">
        <v>62</v>
      </c>
      <c r="AL240" s="33">
        <v>43.128700000000002</v>
      </c>
      <c r="AM240" s="6">
        <v>3177280</v>
      </c>
      <c r="AN240" s="6">
        <f>TABL12[[#This Row],[ (RESV. STORGE) SER]]/10</f>
        <v>317728</v>
      </c>
      <c r="AO240" s="6">
        <v>1850</v>
      </c>
      <c r="AP240" s="32">
        <f>TABL12[[#This Row],[(A/S TOT) AJD]]-TABL12[[#This Row],[SER_ IN]]</f>
        <v>299</v>
      </c>
    </row>
    <row r="241" spans="1:42" x14ac:dyDescent="0.25">
      <c r="A241" s="2">
        <v>45897</v>
      </c>
      <c r="B241" s="28">
        <v>42</v>
      </c>
      <c r="C241" s="28">
        <v>353</v>
      </c>
      <c r="D241" s="28">
        <v>42</v>
      </c>
      <c r="E241" s="28">
        <v>0</v>
      </c>
      <c r="F241" s="28">
        <v>103</v>
      </c>
      <c r="G241" s="28">
        <v>661</v>
      </c>
      <c r="H241" s="28">
        <v>0</v>
      </c>
      <c r="I241" s="28">
        <v>522</v>
      </c>
      <c r="J241" s="28">
        <v>508</v>
      </c>
      <c r="K241" s="28">
        <f>TABL12[[#This Row],[خط (T/B  TOT) SAR]]+TABL12[[#This Row],[خط (S/S  TOT) SAR2]]</f>
        <v>1030</v>
      </c>
      <c r="L241" s="28">
        <v>369</v>
      </c>
      <c r="M241" s="29">
        <v>26.2</v>
      </c>
      <c r="N241" s="30">
        <v>8.09</v>
      </c>
      <c r="O241" s="3">
        <v>448</v>
      </c>
      <c r="P241" s="3">
        <f>TABL12[[#This Row],[خط (S/S  TOT) SAR2]]-TABL12[[#This Row],[(S/S TOT) AJD]]</f>
        <v>60</v>
      </c>
      <c r="Q241" s="3">
        <v>488</v>
      </c>
      <c r="R241" s="3">
        <f>TABL12[[#This Row],[خط (T/B  TOT) SAR]]-TABL12[[#This Row],[(T/B TOT) AJD]]</f>
        <v>34</v>
      </c>
      <c r="S241" s="3">
        <f>TABL12[[#This Row],[الفرق بين بداية ونهاية خط  S/S]]+TABL12[[#This Row],[الفرق بين بداية ونهاية خط  T/B]]</f>
        <v>94</v>
      </c>
      <c r="T241" s="3">
        <f t="shared" si="12"/>
        <v>936</v>
      </c>
      <c r="U241" s="3">
        <v>561</v>
      </c>
      <c r="V241" s="3">
        <v>360</v>
      </c>
      <c r="W241" s="3">
        <f t="shared" si="13"/>
        <v>921</v>
      </c>
      <c r="X241" s="3">
        <f t="shared" si="14"/>
        <v>15</v>
      </c>
      <c r="Y241" s="4">
        <v>92.49</v>
      </c>
      <c r="Z241" s="3">
        <v>490672</v>
      </c>
      <c r="AA241" s="3">
        <f>TABL12[[#This Row],[(RESV. STORGE) AJD]]/10</f>
        <v>49067.199999999997</v>
      </c>
      <c r="AB241" s="3">
        <f t="shared" si="15"/>
        <v>-14.888</v>
      </c>
      <c r="AC241" s="6">
        <v>0</v>
      </c>
      <c r="AD241" s="5">
        <f>TABL12[[#This Row],[( S/S+T/B) AJD]]-(TABL12[[#This Row],[(A/B + A/S) AJD]]+(TABL12[[#This Row],[(STORGE DIFF.) AJD]])+TABL12[[#This Row],[البخر  AJD]]/1000)</f>
        <v>29.888000000000034</v>
      </c>
      <c r="AE241" s="6">
        <v>60</v>
      </c>
      <c r="AF241" s="33">
        <v>58.904000000000003</v>
      </c>
      <c r="AG241" s="6">
        <v>1560310</v>
      </c>
      <c r="AH241" s="6">
        <f>TABL12[[#This Row],[ (RESV. STORGE) BER]]/10</f>
        <v>156031</v>
      </c>
      <c r="AI241" s="6">
        <v>3019</v>
      </c>
      <c r="AJ241" s="6">
        <f>TABL12[[#This Row],[(A/B TOT) AJD]]-TABL12[[#This Row],[BER_ IN]]</f>
        <v>501</v>
      </c>
      <c r="AK241" s="6">
        <v>62</v>
      </c>
      <c r="AL241" s="33">
        <v>43.213200000000001</v>
      </c>
      <c r="AM241" s="6">
        <v>3223860</v>
      </c>
      <c r="AN241" s="6">
        <f>TABL12[[#This Row],[ (RESV. STORGE) SER]]/10</f>
        <v>322386</v>
      </c>
      <c r="AO241" s="6">
        <v>1820</v>
      </c>
      <c r="AP241" s="32">
        <f>TABL12[[#This Row],[(A/S TOT) AJD]]-TABL12[[#This Row],[SER_ IN]]</f>
        <v>298</v>
      </c>
    </row>
    <row r="242" spans="1:42" x14ac:dyDescent="0.25">
      <c r="A242" s="2">
        <v>45898</v>
      </c>
      <c r="B242" s="28">
        <v>43</v>
      </c>
      <c r="C242" s="28">
        <v>357</v>
      </c>
      <c r="D242" s="28">
        <v>43</v>
      </c>
      <c r="E242" s="28">
        <v>0</v>
      </c>
      <c r="F242" s="28">
        <v>103</v>
      </c>
      <c r="G242" s="28">
        <v>655</v>
      </c>
      <c r="H242" s="28">
        <v>0</v>
      </c>
      <c r="I242" s="28">
        <v>518</v>
      </c>
      <c r="J242" s="28">
        <v>504</v>
      </c>
      <c r="K242" s="28">
        <f>TABL12[[#This Row],[خط (T/B  TOT) SAR]]+TABL12[[#This Row],[خط (S/S  TOT) SAR2]]</f>
        <v>1022</v>
      </c>
      <c r="L242" s="28">
        <v>367</v>
      </c>
      <c r="M242" s="29">
        <v>26.2</v>
      </c>
      <c r="N242" s="30">
        <v>8.01</v>
      </c>
      <c r="O242" s="3">
        <v>453</v>
      </c>
      <c r="P242" s="3">
        <f>TABL12[[#This Row],[خط (S/S  TOT) SAR2]]-TABL12[[#This Row],[(S/S TOT) AJD]]</f>
        <v>51</v>
      </c>
      <c r="Q242" s="3">
        <v>495</v>
      </c>
      <c r="R242" s="3">
        <f>TABL12[[#This Row],[خط (T/B  TOT) SAR]]-TABL12[[#This Row],[(T/B TOT) AJD]]</f>
        <v>23</v>
      </c>
      <c r="S242" s="3">
        <f>TABL12[[#This Row],[الفرق بين بداية ونهاية خط  S/S]]+TABL12[[#This Row],[الفرق بين بداية ونهاية خط  T/B]]</f>
        <v>74</v>
      </c>
      <c r="T242" s="3">
        <f t="shared" si="12"/>
        <v>948</v>
      </c>
      <c r="U242" s="3">
        <v>561</v>
      </c>
      <c r="V242" s="3">
        <v>370</v>
      </c>
      <c r="W242" s="3">
        <f t="shared" si="13"/>
        <v>931</v>
      </c>
      <c r="X242" s="3">
        <f t="shared" si="14"/>
        <v>17</v>
      </c>
      <c r="Y242" s="4">
        <v>92.474999999999994</v>
      </c>
      <c r="Z242" s="3">
        <v>481734</v>
      </c>
      <c r="AA242" s="3">
        <f>TABL12[[#This Row],[(RESV. STORGE) AJD]]/10</f>
        <v>48173.4</v>
      </c>
      <c r="AB242" s="3">
        <f t="shared" si="15"/>
        <v>-8.9380000000000006</v>
      </c>
      <c r="AC242" s="6">
        <v>0</v>
      </c>
      <c r="AD242" s="5">
        <f>TABL12[[#This Row],[( S/S+T/B) AJD]]-(TABL12[[#This Row],[(A/B + A/S) AJD]]+(TABL12[[#This Row],[(STORGE DIFF.) AJD]])+TABL12[[#This Row],[البخر  AJD]]/1000)</f>
        <v>25.937999999999988</v>
      </c>
      <c r="AE242" s="6">
        <v>60</v>
      </c>
      <c r="AF242" s="33">
        <v>58.93</v>
      </c>
      <c r="AG242" s="6">
        <v>1577456</v>
      </c>
      <c r="AH242" s="6">
        <f>TABL12[[#This Row],[ (RESV. STORGE) BER]]/10</f>
        <v>157745.60000000001</v>
      </c>
      <c r="AI242" s="6">
        <v>3013</v>
      </c>
      <c r="AJ242" s="6">
        <f>TABL12[[#This Row],[(A/B TOT) AJD]]-TABL12[[#This Row],[BER_ IN]]</f>
        <v>501</v>
      </c>
      <c r="AK242" s="6">
        <v>62</v>
      </c>
      <c r="AL242" s="33">
        <v>43.2804</v>
      </c>
      <c r="AM242" s="6">
        <v>3260050</v>
      </c>
      <c r="AN242" s="6">
        <f>TABL12[[#This Row],[ (RESV. STORGE) SER]]/10</f>
        <v>326005</v>
      </c>
      <c r="AO242" s="6">
        <v>1910</v>
      </c>
      <c r="AP242" s="32">
        <f>TABL12[[#This Row],[(A/S TOT) AJD]]-TABL12[[#This Row],[SER_ IN]]</f>
        <v>308</v>
      </c>
    </row>
    <row r="243" spans="1:42" x14ac:dyDescent="0.25">
      <c r="A243" s="2">
        <v>45899</v>
      </c>
      <c r="B243" s="28">
        <v>43</v>
      </c>
      <c r="C243" s="28">
        <v>355</v>
      </c>
      <c r="D243" s="28">
        <v>43</v>
      </c>
      <c r="E243" s="28">
        <v>0</v>
      </c>
      <c r="F243" s="28">
        <v>103</v>
      </c>
      <c r="G243" s="28">
        <v>659</v>
      </c>
      <c r="H243" s="28">
        <v>0</v>
      </c>
      <c r="I243" s="28">
        <v>519</v>
      </c>
      <c r="J243" s="28">
        <v>505</v>
      </c>
      <c r="K243" s="28">
        <f>TABL12[[#This Row],[خط (T/B  TOT) SAR]]+TABL12[[#This Row],[خط (S/S  TOT) SAR2]]</f>
        <v>1024</v>
      </c>
      <c r="L243" s="28">
        <v>365</v>
      </c>
      <c r="M243" s="29">
        <v>26.2</v>
      </c>
      <c r="N243" s="30">
        <v>7.97</v>
      </c>
      <c r="O243" s="3">
        <v>453</v>
      </c>
      <c r="P243" s="3">
        <f>TABL12[[#This Row],[خط (S/S  TOT) SAR2]]-TABL12[[#This Row],[(S/S TOT) AJD]]</f>
        <v>52</v>
      </c>
      <c r="Q243" s="3">
        <v>495</v>
      </c>
      <c r="R243" s="3">
        <f>TABL12[[#This Row],[خط (T/B  TOT) SAR]]-TABL12[[#This Row],[(T/B TOT) AJD]]</f>
        <v>24</v>
      </c>
      <c r="S243" s="3">
        <f>TABL12[[#This Row],[الفرق بين بداية ونهاية خط  S/S]]+TABL12[[#This Row],[الفرق بين بداية ونهاية خط  T/B]]</f>
        <v>76</v>
      </c>
      <c r="T243" s="3">
        <f t="shared" si="12"/>
        <v>948</v>
      </c>
      <c r="U243" s="3">
        <v>562</v>
      </c>
      <c r="V243" s="3">
        <v>349</v>
      </c>
      <c r="W243" s="3">
        <f t="shared" si="13"/>
        <v>911</v>
      </c>
      <c r="X243" s="3">
        <f t="shared" si="14"/>
        <v>37</v>
      </c>
      <c r="Y243" s="4">
        <v>92.484999999999999</v>
      </c>
      <c r="Z243" s="3">
        <v>487691</v>
      </c>
      <c r="AA243" s="3">
        <f>TABL12[[#This Row],[(RESV. STORGE) AJD]]/10</f>
        <v>48769.1</v>
      </c>
      <c r="AB243" s="3">
        <f t="shared" si="15"/>
        <v>5.9569999999999999</v>
      </c>
      <c r="AC243" s="6">
        <v>0</v>
      </c>
      <c r="AD243" s="5">
        <f>TABL12[[#This Row],[( S/S+T/B) AJD]]-(TABL12[[#This Row],[(A/B + A/S) AJD]]+(TABL12[[#This Row],[(STORGE DIFF.) AJD]])+TABL12[[#This Row],[البخر  AJD]]/1000)</f>
        <v>31.043000000000006</v>
      </c>
      <c r="AE243" s="6">
        <v>60</v>
      </c>
      <c r="AF243" s="33">
        <v>58.96</v>
      </c>
      <c r="AG243" s="6">
        <v>1597616</v>
      </c>
      <c r="AH243" s="6">
        <f>TABL12[[#This Row],[ (RESV. STORGE) BER]]/10</f>
        <v>159761.60000000001</v>
      </c>
      <c r="AI243" s="6">
        <v>3007</v>
      </c>
      <c r="AJ243" s="6">
        <f>TABL12[[#This Row],[(A/B TOT) AJD]]-TABL12[[#This Row],[BER_ IN]]</f>
        <v>502</v>
      </c>
      <c r="AK243" s="6">
        <v>62</v>
      </c>
      <c r="AL243" s="33">
        <v>43.363199999999999</v>
      </c>
      <c r="AM243" s="6">
        <v>3305170</v>
      </c>
      <c r="AN243" s="6">
        <f>TABL12[[#This Row],[ (RESV. STORGE) SER]]/10</f>
        <v>330517</v>
      </c>
      <c r="AO243" s="6">
        <v>1880</v>
      </c>
      <c r="AP243" s="32">
        <f>TABL12[[#This Row],[(A/S TOT) AJD]]-TABL12[[#This Row],[SER_ IN]]</f>
        <v>287</v>
      </c>
    </row>
    <row r="244" spans="1:42" ht="15.75" thickBot="1" x14ac:dyDescent="0.3">
      <c r="A244" s="2">
        <v>45900</v>
      </c>
      <c r="B244" s="28">
        <v>43</v>
      </c>
      <c r="C244" s="28">
        <v>355</v>
      </c>
      <c r="D244" s="28">
        <v>43</v>
      </c>
      <c r="E244" s="28">
        <v>0</v>
      </c>
      <c r="F244" s="28">
        <v>103</v>
      </c>
      <c r="G244" s="28">
        <v>659</v>
      </c>
      <c r="H244" s="28">
        <v>0</v>
      </c>
      <c r="I244" s="28">
        <v>528</v>
      </c>
      <c r="J244" s="28">
        <v>511</v>
      </c>
      <c r="K244" s="28">
        <f>TABL12[[#This Row],[خط (T/B  TOT) SAR]]+TABL12[[#This Row],[خط (S/S  TOT) SAR2]]</f>
        <v>1039</v>
      </c>
      <c r="L244" s="28">
        <v>366</v>
      </c>
      <c r="M244" s="29">
        <v>26.2</v>
      </c>
      <c r="N244" s="30">
        <v>7.93</v>
      </c>
      <c r="O244" s="3">
        <v>456</v>
      </c>
      <c r="P244" s="3">
        <f>TABL12[[#This Row],[خط (S/S  TOT) SAR2]]-TABL12[[#This Row],[(S/S TOT) AJD]]</f>
        <v>55</v>
      </c>
      <c r="Q244" s="3">
        <v>496</v>
      </c>
      <c r="R244" s="3">
        <f>TABL12[[#This Row],[خط (T/B  TOT) SAR]]-TABL12[[#This Row],[(T/B TOT) AJD]]</f>
        <v>32</v>
      </c>
      <c r="S244" s="3">
        <f>TABL12[[#This Row],[الفرق بين بداية ونهاية خط  S/S]]+TABL12[[#This Row],[الفرق بين بداية ونهاية خط  T/B]]</f>
        <v>87</v>
      </c>
      <c r="T244" s="3">
        <f t="shared" si="12"/>
        <v>952</v>
      </c>
      <c r="U244" s="3">
        <v>565</v>
      </c>
      <c r="V244" s="3">
        <v>343</v>
      </c>
      <c r="W244" s="3">
        <f t="shared" si="13"/>
        <v>908</v>
      </c>
      <c r="X244" s="3">
        <f t="shared" si="14"/>
        <v>44</v>
      </c>
      <c r="Y244" s="4">
        <v>92.524000000000001</v>
      </c>
      <c r="Z244" s="3">
        <v>510919</v>
      </c>
      <c r="AA244" s="3">
        <f>TABL12[[#This Row],[(RESV. STORGE) AJD]]/10</f>
        <v>51091.9</v>
      </c>
      <c r="AB244" s="3">
        <f t="shared" si="15"/>
        <v>23.228000000000002</v>
      </c>
      <c r="AC244" s="6">
        <v>0</v>
      </c>
      <c r="AD244" s="5">
        <f>TABL12[[#This Row],[( S/S+T/B) AJD]]-(TABL12[[#This Row],[(A/B + A/S) AJD]]+(TABL12[[#This Row],[(STORGE DIFF.) AJD]])+TABL12[[#This Row],[البخر  AJD]]/1000)</f>
        <v>20.772000000000048</v>
      </c>
      <c r="AE244" s="6">
        <v>60</v>
      </c>
      <c r="AF244" s="33">
        <v>58.981000000000002</v>
      </c>
      <c r="AG244" s="6">
        <v>1611107</v>
      </c>
      <c r="AH244" s="6">
        <f>TABL12[[#This Row],[ (RESV. STORGE) BER]]/10</f>
        <v>161110.70000000001</v>
      </c>
      <c r="AI244" s="6">
        <v>3661</v>
      </c>
      <c r="AJ244" s="6">
        <f>TABL12[[#This Row],[(A/B TOT) AJD]]-TABL12[[#This Row],[BER_ IN]]</f>
        <v>505</v>
      </c>
      <c r="AK244" s="6">
        <v>62</v>
      </c>
      <c r="AL244" s="33">
        <v>43.445099999999996</v>
      </c>
      <c r="AM244" s="6">
        <v>3348157</v>
      </c>
      <c r="AN244" s="6">
        <f>TABL12[[#This Row],[ (RESV. STORGE) SER]]/10</f>
        <v>334815.7</v>
      </c>
      <c r="AO244" s="6">
        <v>1913</v>
      </c>
      <c r="AP244" s="32">
        <f>TABL12[[#This Row],[(A/S TOT) AJD]]-TABL12[[#This Row],[SER_ IN]]</f>
        <v>281</v>
      </c>
    </row>
    <row r="245" spans="1:42" ht="15.75" thickBot="1" x14ac:dyDescent="0.3">
      <c r="A245" s="2">
        <v>45901</v>
      </c>
      <c r="B245" s="34">
        <v>42</v>
      </c>
      <c r="C245" s="34">
        <v>350</v>
      </c>
      <c r="D245" s="34">
        <v>42</v>
      </c>
      <c r="E245" s="35"/>
      <c r="F245" s="34">
        <v>103</v>
      </c>
      <c r="G245" s="34">
        <v>667</v>
      </c>
      <c r="H245" s="34"/>
      <c r="I245" s="34">
        <v>523</v>
      </c>
      <c r="J245" s="34">
        <v>508</v>
      </c>
      <c r="K245" s="34">
        <f>TABL12[[#This Row],[خط (T/B  TOT) SAR]]+TABL12[[#This Row],[خط (S/S  TOT) SAR2]]</f>
        <v>1031</v>
      </c>
      <c r="L245" s="34">
        <v>364</v>
      </c>
      <c r="M245" s="36">
        <v>26.2</v>
      </c>
      <c r="N245" s="37">
        <v>7.88</v>
      </c>
      <c r="O245" s="14">
        <v>458</v>
      </c>
      <c r="P245" s="14">
        <f>TABL12[[#This Row],[خط (S/S  TOT) SAR2]]-TABL12[[#This Row],[(S/S TOT) AJD]]</f>
        <v>50</v>
      </c>
      <c r="Q245" s="14">
        <v>499</v>
      </c>
      <c r="R245" s="14">
        <f>TABL12[[#This Row],[خط (T/B  TOT) SAR]]-TABL12[[#This Row],[(T/B TOT) AJD]]</f>
        <v>24</v>
      </c>
      <c r="S245" s="14">
        <f>TABL12[[#This Row],[الفرق بين بداية ونهاية خط  S/S]]+TABL12[[#This Row],[الفرق بين بداية ونهاية خط  T/B]]</f>
        <v>74</v>
      </c>
      <c r="T245" s="9">
        <f t="shared" si="12"/>
        <v>957</v>
      </c>
      <c r="U245" s="14">
        <v>565</v>
      </c>
      <c r="V245" s="14">
        <v>371</v>
      </c>
      <c r="W245" s="9">
        <f t="shared" si="13"/>
        <v>936</v>
      </c>
      <c r="X245" s="9">
        <f t="shared" si="14"/>
        <v>21</v>
      </c>
      <c r="Y245" s="15">
        <v>92.516999999999996</v>
      </c>
      <c r="Z245" s="16">
        <v>506751</v>
      </c>
      <c r="AA245" s="38">
        <f>TABL12[[#This Row],[(RESV. STORGE) AJD]]/10</f>
        <v>50675.1</v>
      </c>
      <c r="AB245" s="3">
        <f t="shared" si="15"/>
        <v>-4.1680000000000001</v>
      </c>
      <c r="AC245" s="6">
        <v>0</v>
      </c>
      <c r="AD245" s="5">
        <f>TABL12[[#This Row],[( S/S+T/B) AJD]]-(TABL12[[#This Row],[(A/B + A/S) AJD]]+(TABL12[[#This Row],[(STORGE DIFF.) AJD]])+TABL12[[#This Row],[البخر  AJD]]/1000)</f>
        <v>25.168000000000006</v>
      </c>
      <c r="AE245" s="6">
        <v>60</v>
      </c>
      <c r="AF245" s="33">
        <v>59.046999999999997</v>
      </c>
      <c r="AG245" s="6">
        <v>1654688</v>
      </c>
      <c r="AH245" s="6">
        <f>TABL12[[#This Row],[ (RESV. STORGE) BER]]/10</f>
        <v>165468.79999999999</v>
      </c>
      <c r="AI245" s="6">
        <v>3415</v>
      </c>
      <c r="AJ245" s="6">
        <f>TABL12[[#This Row],[(A/B TOT) AJD]]-TABL12[[#This Row],[BER_ IN]]</f>
        <v>505</v>
      </c>
      <c r="AK245" s="6">
        <v>62</v>
      </c>
      <c r="AL245" s="33">
        <v>43.508699999999997</v>
      </c>
      <c r="AM245" s="6">
        <v>3384676</v>
      </c>
      <c r="AN245" s="6">
        <f>TABL12[[#This Row],[ (RESV. STORGE) SER]]/10</f>
        <v>338467.6</v>
      </c>
      <c r="AO245" s="6">
        <v>1810</v>
      </c>
      <c r="AP245" s="32">
        <f>TABL12[[#This Row],[(A/S TOT) AJD]]-TABL12[[#This Row],[SER_ IN]]</f>
        <v>309</v>
      </c>
    </row>
    <row r="246" spans="1:42" ht="15.75" thickBot="1" x14ac:dyDescent="0.3">
      <c r="A246" s="2">
        <v>45902</v>
      </c>
      <c r="B246" s="34">
        <v>40</v>
      </c>
      <c r="C246" s="34">
        <v>321</v>
      </c>
      <c r="D246" s="34">
        <v>40</v>
      </c>
      <c r="E246" s="35"/>
      <c r="F246" s="34">
        <v>103</v>
      </c>
      <c r="G246" s="34">
        <v>658</v>
      </c>
      <c r="H246" s="34"/>
      <c r="I246" s="34">
        <v>522</v>
      </c>
      <c r="J246" s="34">
        <v>501</v>
      </c>
      <c r="K246" s="34">
        <f>TABL12[[#This Row],[خط (T/B  TOT) SAR]]+TABL12[[#This Row],[خط (S/S  TOT) SAR2]]</f>
        <v>1023</v>
      </c>
      <c r="L246" s="34">
        <v>365</v>
      </c>
      <c r="M246" s="36">
        <v>26.2</v>
      </c>
      <c r="N246" s="37">
        <v>7.78</v>
      </c>
      <c r="O246" s="14">
        <v>457</v>
      </c>
      <c r="P246" s="14">
        <f>TABL12[[#This Row],[خط (S/S  TOT) SAR2]]-TABL12[[#This Row],[(S/S TOT) AJD]]</f>
        <v>44</v>
      </c>
      <c r="Q246" s="14">
        <v>499</v>
      </c>
      <c r="R246" s="14">
        <f>TABL12[[#This Row],[خط (T/B  TOT) SAR]]-TABL12[[#This Row],[(T/B TOT) AJD]]</f>
        <v>23</v>
      </c>
      <c r="S246" s="14">
        <f>TABL12[[#This Row],[الفرق بين بداية ونهاية خط  S/S]]+TABL12[[#This Row],[الفرق بين بداية ونهاية خط  T/B]]</f>
        <v>67</v>
      </c>
      <c r="T246" s="9">
        <f t="shared" si="12"/>
        <v>956</v>
      </c>
      <c r="U246" s="14">
        <v>567</v>
      </c>
      <c r="V246" s="14">
        <v>383</v>
      </c>
      <c r="W246" s="9">
        <f t="shared" si="13"/>
        <v>950</v>
      </c>
      <c r="X246" s="9">
        <f t="shared" si="14"/>
        <v>6</v>
      </c>
      <c r="Y246" s="15">
        <v>92.48</v>
      </c>
      <c r="Z246" s="16">
        <v>484715</v>
      </c>
      <c r="AA246" s="38">
        <f>TABL12[[#This Row],[(RESV. STORGE) AJD]]/10</f>
        <v>48471.5</v>
      </c>
      <c r="AB246" s="3">
        <f t="shared" si="15"/>
        <v>-22.036000000000001</v>
      </c>
      <c r="AC246" s="6">
        <v>0</v>
      </c>
      <c r="AD246" s="5">
        <f>TABL12[[#This Row],[( S/S+T/B) AJD]]-(TABL12[[#This Row],[(A/B + A/S) AJD]]+(TABL12[[#This Row],[(STORGE DIFF.) AJD]])+TABL12[[#This Row],[البخر  AJD]]/1000)</f>
        <v>28.036000000000058</v>
      </c>
      <c r="AE246" s="6">
        <v>60</v>
      </c>
      <c r="AF246" s="33">
        <v>59.09</v>
      </c>
      <c r="AG246" s="6">
        <v>1683102</v>
      </c>
      <c r="AH246" s="6">
        <f>TABL12[[#This Row],[ (RESV. STORGE) BER]]/10</f>
        <v>168310.2</v>
      </c>
      <c r="AI246" s="6">
        <v>3780</v>
      </c>
      <c r="AJ246" s="6">
        <f>TABL12[[#This Row],[(A/B TOT) AJD]]-TABL12[[#This Row],[BER_ IN]]</f>
        <v>507</v>
      </c>
      <c r="AK246" s="6">
        <v>62</v>
      </c>
      <c r="AL246" s="33">
        <v>43.601300000000002</v>
      </c>
      <c r="AM246" s="6">
        <v>3435130</v>
      </c>
      <c r="AN246" s="6">
        <f>TABL12[[#This Row],[ (RESV. STORGE) SER]]/10</f>
        <v>343513</v>
      </c>
      <c r="AO246" s="6">
        <v>1856</v>
      </c>
      <c r="AP246" s="32">
        <f>TABL12[[#This Row],[(A/S TOT) AJD]]-TABL12[[#This Row],[SER_ IN]]</f>
        <v>321</v>
      </c>
    </row>
    <row r="247" spans="1:42" ht="15.75" thickBot="1" x14ac:dyDescent="0.3">
      <c r="A247" s="2">
        <v>45903</v>
      </c>
      <c r="B247" s="34">
        <v>40</v>
      </c>
      <c r="C247" s="34">
        <v>319</v>
      </c>
      <c r="D247" s="34">
        <v>40</v>
      </c>
      <c r="E247" s="35"/>
      <c r="F247" s="34">
        <v>103</v>
      </c>
      <c r="G247" s="34">
        <v>655</v>
      </c>
      <c r="H247" s="34"/>
      <c r="I247" s="34">
        <v>512</v>
      </c>
      <c r="J247" s="34">
        <v>499</v>
      </c>
      <c r="K247" s="34">
        <f>TABL12[[#This Row],[خط (T/B  TOT) SAR]]+TABL12[[#This Row],[خط (S/S  TOT) SAR2]]</f>
        <v>1011</v>
      </c>
      <c r="L247" s="34">
        <v>356</v>
      </c>
      <c r="M247" s="36">
        <v>26.2</v>
      </c>
      <c r="N247" s="37">
        <v>7.51</v>
      </c>
      <c r="O247" s="14">
        <v>452</v>
      </c>
      <c r="P247" s="14">
        <f>TABL12[[#This Row],[خط (S/S  TOT) SAR2]]-TABL12[[#This Row],[(S/S TOT) AJD]]</f>
        <v>47</v>
      </c>
      <c r="Q247" s="14">
        <v>491</v>
      </c>
      <c r="R247" s="14">
        <f>TABL12[[#This Row],[خط (T/B  TOT) SAR]]-TABL12[[#This Row],[(T/B TOT) AJD]]</f>
        <v>21</v>
      </c>
      <c r="S247" s="14">
        <f>TABL12[[#This Row],[الفرق بين بداية ونهاية خط  S/S]]+TABL12[[#This Row],[الفرق بين بداية ونهاية خط  T/B]]</f>
        <v>68</v>
      </c>
      <c r="T247" s="9">
        <f t="shared" si="12"/>
        <v>943</v>
      </c>
      <c r="U247" s="14">
        <v>545</v>
      </c>
      <c r="V247" s="14">
        <v>370</v>
      </c>
      <c r="W247" s="9">
        <f t="shared" si="13"/>
        <v>915</v>
      </c>
      <c r="X247" s="9">
        <f t="shared" si="14"/>
        <v>28</v>
      </c>
      <c r="Y247" s="17">
        <v>92.454999999999998</v>
      </c>
      <c r="Z247" s="16">
        <v>469028</v>
      </c>
      <c r="AA247" s="38">
        <f>TABL12[[#This Row],[(RESV. STORGE) AJD]]/10</f>
        <v>46902.8</v>
      </c>
      <c r="AB247" s="3">
        <f t="shared" si="15"/>
        <v>-15.686999999999999</v>
      </c>
      <c r="AC247" s="6">
        <v>0</v>
      </c>
      <c r="AD247" s="5">
        <f>TABL12[[#This Row],[( S/S+T/B) AJD]]-(TABL12[[#This Row],[(A/B + A/S) AJD]]+(TABL12[[#This Row],[(STORGE DIFF.) AJD]])+TABL12[[#This Row],[البخر  AJD]]/1000)</f>
        <v>43.687000000000012</v>
      </c>
      <c r="AE247" s="6">
        <v>60</v>
      </c>
      <c r="AF247" s="33">
        <v>59.073999999999998</v>
      </c>
      <c r="AG247" s="6">
        <v>1672528</v>
      </c>
      <c r="AH247" s="6">
        <f>TABL12[[#This Row],[ (RESV. STORGE) BER]]/10</f>
        <v>167252.79999999999</v>
      </c>
      <c r="AI247" s="6">
        <v>3483</v>
      </c>
      <c r="AJ247" s="6">
        <f>TABL12[[#This Row],[(A/B TOT) AJD]]-TABL12[[#This Row],[BER_ IN]]</f>
        <v>485</v>
      </c>
      <c r="AK247" s="6">
        <v>62</v>
      </c>
      <c r="AL247" s="33">
        <v>43.700099999999999</v>
      </c>
      <c r="AM247" s="6">
        <v>3488940</v>
      </c>
      <c r="AN247" s="6">
        <f>TABL12[[#This Row],[ (RESV. STORGE) SER]]/10</f>
        <v>348894</v>
      </c>
      <c r="AO247" s="6">
        <v>1843</v>
      </c>
      <c r="AP247" s="32">
        <f>TABL12[[#This Row],[(A/S TOT) AJD]]-TABL12[[#This Row],[SER_ IN]]</f>
        <v>308</v>
      </c>
    </row>
    <row r="248" spans="1:42" ht="15.75" thickBot="1" x14ac:dyDescent="0.3">
      <c r="A248" s="2">
        <v>45904</v>
      </c>
      <c r="B248" s="34">
        <v>43</v>
      </c>
      <c r="C248" s="34">
        <v>351</v>
      </c>
      <c r="D248" s="34">
        <v>43</v>
      </c>
      <c r="E248" s="35"/>
      <c r="F248" s="34">
        <v>103</v>
      </c>
      <c r="G248" s="34">
        <v>659</v>
      </c>
      <c r="H248" s="34"/>
      <c r="I248" s="34">
        <v>514</v>
      </c>
      <c r="J248" s="34">
        <v>501</v>
      </c>
      <c r="K248" s="34">
        <f>TABL12[[#This Row],[خط (T/B  TOT) SAR]]+TABL12[[#This Row],[خط (S/S  TOT) SAR2]]</f>
        <v>1015</v>
      </c>
      <c r="L248" s="34">
        <v>356</v>
      </c>
      <c r="M248" s="36">
        <v>26.2</v>
      </c>
      <c r="N248" s="37">
        <v>7.47</v>
      </c>
      <c r="O248" s="14">
        <v>449</v>
      </c>
      <c r="P248" s="14">
        <f>TABL12[[#This Row],[خط (S/S  TOT) SAR2]]-TABL12[[#This Row],[(S/S TOT) AJD]]</f>
        <v>52</v>
      </c>
      <c r="Q248" s="14">
        <v>491</v>
      </c>
      <c r="R248" s="14">
        <f>TABL12[[#This Row],[خط (T/B  TOT) SAR]]-TABL12[[#This Row],[(T/B TOT) AJD]]</f>
        <v>23</v>
      </c>
      <c r="S248" s="14">
        <f>TABL12[[#This Row],[الفرق بين بداية ونهاية خط  S/S]]+TABL12[[#This Row],[الفرق بين بداية ونهاية خط  T/B]]</f>
        <v>75</v>
      </c>
      <c r="T248" s="9">
        <f t="shared" si="12"/>
        <v>940</v>
      </c>
      <c r="U248" s="14">
        <v>566</v>
      </c>
      <c r="V248" s="14">
        <v>381</v>
      </c>
      <c r="W248" s="9">
        <f t="shared" si="13"/>
        <v>947</v>
      </c>
      <c r="X248" s="9">
        <f t="shared" si="14"/>
        <v>-7</v>
      </c>
      <c r="Y248" s="15">
        <v>92.415000000000006</v>
      </c>
      <c r="Z248" s="16">
        <v>444238</v>
      </c>
      <c r="AA248" s="38">
        <f>TABL12[[#This Row],[(RESV. STORGE) AJD]]/10</f>
        <v>44423.8</v>
      </c>
      <c r="AB248" s="3">
        <f t="shared" si="15"/>
        <v>-24.79</v>
      </c>
      <c r="AC248" s="6">
        <v>0</v>
      </c>
      <c r="AD248" s="5">
        <f>TABL12[[#This Row],[( S/S+T/B) AJD]]-(TABL12[[#This Row],[(A/B + A/S) AJD]]+(TABL12[[#This Row],[(STORGE DIFF.) AJD]])+TABL12[[#This Row],[البخر  AJD]]/1000)</f>
        <v>17.789999999999964</v>
      </c>
      <c r="AE248" s="6">
        <v>60</v>
      </c>
      <c r="AF248" s="33">
        <v>59.039000000000001</v>
      </c>
      <c r="AG248" s="6">
        <v>1649404</v>
      </c>
      <c r="AH248" s="6">
        <f>TABL12[[#This Row],[ (RESV. STORGE) BER]]/10</f>
        <v>164940.4</v>
      </c>
      <c r="AI248" s="6">
        <v>3444</v>
      </c>
      <c r="AJ248" s="6">
        <f>TABL12[[#This Row],[(A/B TOT) AJD]]-TABL12[[#This Row],[BER_ IN]]</f>
        <v>506</v>
      </c>
      <c r="AK248" s="6">
        <v>60</v>
      </c>
      <c r="AL248" s="33">
        <v>43.807099999999998</v>
      </c>
      <c r="AM248" s="6">
        <v>3647480</v>
      </c>
      <c r="AN248" s="6">
        <f>TABL12[[#This Row],[ (RESV. STORGE) SER]]/10</f>
        <v>364748</v>
      </c>
      <c r="AO248" s="6">
        <v>1460</v>
      </c>
      <c r="AP248" s="32">
        <f>TABL12[[#This Row],[(A/S TOT) AJD]]-TABL12[[#This Row],[SER_ IN]]</f>
        <v>321</v>
      </c>
    </row>
    <row r="249" spans="1:42" ht="15.75" thickBot="1" x14ac:dyDescent="0.3">
      <c r="A249" s="2">
        <v>45905</v>
      </c>
      <c r="B249" s="34">
        <v>43</v>
      </c>
      <c r="C249" s="34">
        <v>363</v>
      </c>
      <c r="D249" s="34">
        <v>43</v>
      </c>
      <c r="E249" s="35"/>
      <c r="F249" s="34">
        <v>103</v>
      </c>
      <c r="G249" s="34">
        <v>666</v>
      </c>
      <c r="H249" s="34"/>
      <c r="I249" s="34">
        <v>518</v>
      </c>
      <c r="J249" s="34">
        <v>505</v>
      </c>
      <c r="K249" s="34">
        <f>TABL12[[#This Row],[خط (T/B  TOT) SAR]]+TABL12[[#This Row],[خط (S/S  TOT) SAR2]]</f>
        <v>1023</v>
      </c>
      <c r="L249" s="34">
        <v>357</v>
      </c>
      <c r="M249" s="36">
        <v>26.2</v>
      </c>
      <c r="N249" s="37">
        <v>7.52</v>
      </c>
      <c r="O249" s="14">
        <v>450</v>
      </c>
      <c r="P249" s="14">
        <f>TABL12[[#This Row],[خط (S/S  TOT) SAR2]]-TABL12[[#This Row],[(S/S TOT) AJD]]</f>
        <v>55</v>
      </c>
      <c r="Q249" s="14">
        <v>492</v>
      </c>
      <c r="R249" s="14">
        <f>TABL12[[#This Row],[خط (T/B  TOT) SAR]]-TABL12[[#This Row],[(T/B TOT) AJD]]</f>
        <v>26</v>
      </c>
      <c r="S249" s="14">
        <f>TABL12[[#This Row],[الفرق بين بداية ونهاية خط  S/S]]+TABL12[[#This Row],[الفرق بين بداية ونهاية خط  T/B]]</f>
        <v>81</v>
      </c>
      <c r="T249" s="9">
        <f t="shared" si="12"/>
        <v>942</v>
      </c>
      <c r="U249" s="14">
        <v>544</v>
      </c>
      <c r="V249" s="14">
        <v>356</v>
      </c>
      <c r="W249" s="9">
        <f t="shared" si="13"/>
        <v>900</v>
      </c>
      <c r="X249" s="9">
        <f t="shared" si="14"/>
        <v>42</v>
      </c>
      <c r="Y249" s="15">
        <v>92.421999999999997</v>
      </c>
      <c r="Z249" s="16">
        <v>450185</v>
      </c>
      <c r="AA249" s="38">
        <f>TABL12[[#This Row],[(RESV. STORGE) AJD]]/10</f>
        <v>45018.5</v>
      </c>
      <c r="AB249" s="3">
        <f t="shared" si="15"/>
        <v>5.9470000000000001</v>
      </c>
      <c r="AC249" s="6">
        <v>0</v>
      </c>
      <c r="AD249" s="5">
        <f>TABL12[[#This Row],[( S/S+T/B) AJD]]-(TABL12[[#This Row],[(A/B + A/S) AJD]]+(TABL12[[#This Row],[(STORGE DIFF.) AJD]])+TABL12[[#This Row],[البخر  AJD]]/1000)</f>
        <v>36.052999999999997</v>
      </c>
      <c r="AE249" s="6">
        <v>60</v>
      </c>
      <c r="AF249" s="33">
        <v>59.066000000000003</v>
      </c>
      <c r="AG249" s="6">
        <v>1667241</v>
      </c>
      <c r="AH249" s="6">
        <f>TABL12[[#This Row],[ (RESV. STORGE) BER]]/10</f>
        <v>166724.1</v>
      </c>
      <c r="AI249" s="6">
        <v>3152</v>
      </c>
      <c r="AJ249" s="6">
        <f>TABL12[[#This Row],[(A/B TOT) AJD]]-TABL12[[#This Row],[BER_ IN]]</f>
        <v>484</v>
      </c>
      <c r="AK249" s="6">
        <v>62</v>
      </c>
      <c r="AL249" s="33">
        <v>43.914099999999998</v>
      </c>
      <c r="AM249" s="6">
        <v>3606113</v>
      </c>
      <c r="AN249" s="6">
        <f>TABL12[[#This Row],[ (RESV. STORGE) SER]]/10</f>
        <v>360611.3</v>
      </c>
      <c r="AO249" s="6">
        <v>1600</v>
      </c>
      <c r="AP249" s="32">
        <f>TABL12[[#This Row],[(A/S TOT) AJD]]-TABL12[[#This Row],[SER_ IN]]</f>
        <v>294</v>
      </c>
    </row>
    <row r="250" spans="1:42" x14ac:dyDescent="0.25">
      <c r="A250" s="2">
        <v>45906</v>
      </c>
      <c r="B250" s="28">
        <v>42</v>
      </c>
      <c r="C250" s="28">
        <v>342</v>
      </c>
      <c r="D250" s="28">
        <v>42</v>
      </c>
      <c r="E250" s="35"/>
      <c r="F250" s="28">
        <v>103</v>
      </c>
      <c r="G250" s="28">
        <v>666</v>
      </c>
      <c r="H250" s="28"/>
      <c r="I250" s="28">
        <v>518</v>
      </c>
      <c r="J250" s="28">
        <v>505</v>
      </c>
      <c r="K250" s="28">
        <f>TABL12[[#This Row],[خط (T/B  TOT) SAR]]+TABL12[[#This Row],[خط (S/S  TOT) SAR2]]</f>
        <v>1023</v>
      </c>
      <c r="L250" s="28">
        <v>357</v>
      </c>
      <c r="M250" s="29">
        <v>26.2</v>
      </c>
      <c r="N250" s="30">
        <v>7.51</v>
      </c>
      <c r="O250" s="9">
        <v>449</v>
      </c>
      <c r="P250" s="9">
        <f>TABL12[[#This Row],[خط (S/S  TOT) SAR2]]-TABL12[[#This Row],[(S/S TOT) AJD]]</f>
        <v>56</v>
      </c>
      <c r="Q250" s="9">
        <v>490</v>
      </c>
      <c r="R250" s="9">
        <f>TABL12[[#This Row],[خط (T/B  TOT) SAR]]-TABL12[[#This Row],[(T/B TOT) AJD]]</f>
        <v>28</v>
      </c>
      <c r="S250" s="9">
        <f>TABL12[[#This Row],[الفرق بين بداية ونهاية خط  S/S]]+TABL12[[#This Row],[الفرق بين بداية ونهاية خط  T/B]]</f>
        <v>84</v>
      </c>
      <c r="T250" s="9">
        <f t="shared" si="12"/>
        <v>939</v>
      </c>
      <c r="U250" s="9">
        <v>555</v>
      </c>
      <c r="V250" s="9">
        <v>368</v>
      </c>
      <c r="W250" s="9">
        <f t="shared" si="13"/>
        <v>923</v>
      </c>
      <c r="X250" s="9">
        <f t="shared" si="14"/>
        <v>16</v>
      </c>
      <c r="Y250" s="18">
        <v>92.402000000000001</v>
      </c>
      <c r="Z250" s="9">
        <v>438288</v>
      </c>
      <c r="AA250" s="9">
        <f>TABL12[[#This Row],[(RESV. STORGE) AJD]]/10</f>
        <v>43828.800000000003</v>
      </c>
      <c r="AB250" s="3">
        <f t="shared" si="15"/>
        <v>-11.897</v>
      </c>
      <c r="AC250" s="6">
        <v>0</v>
      </c>
      <c r="AD250" s="5">
        <f>TABL12[[#This Row],[( S/S+T/B) AJD]]-(TABL12[[#This Row],[(A/B + A/S) AJD]]+(TABL12[[#This Row],[(STORGE DIFF.) AJD]])+TABL12[[#This Row],[البخر  AJD]]/1000)</f>
        <v>27.897000000000048</v>
      </c>
      <c r="AE250" s="6">
        <v>60</v>
      </c>
      <c r="AF250" s="33">
        <v>59.09</v>
      </c>
      <c r="AG250" s="6">
        <v>1683102</v>
      </c>
      <c r="AH250" s="6">
        <f>TABL12[[#This Row],[ (RESV. STORGE) BER]]/10</f>
        <v>168310.2</v>
      </c>
      <c r="AI250" s="6">
        <v>2915</v>
      </c>
      <c r="AJ250" s="6">
        <f>TABL12[[#This Row],[(A/B TOT) AJD]]-TABL12[[#This Row],[BER_ IN]]</f>
        <v>495</v>
      </c>
      <c r="AK250" s="6">
        <v>62</v>
      </c>
      <c r="AL250" s="33">
        <v>44.031399999999998</v>
      </c>
      <c r="AM250" s="6">
        <v>3664820</v>
      </c>
      <c r="AN250" s="6">
        <f>TABL12[[#This Row],[ (RESV. STORGE) SER]]/10</f>
        <v>366482</v>
      </c>
      <c r="AO250" s="6">
        <v>1670</v>
      </c>
      <c r="AP250" s="32">
        <f>TABL12[[#This Row],[(A/S TOT) AJD]]-TABL12[[#This Row],[SER_ IN]]</f>
        <v>306</v>
      </c>
    </row>
    <row r="251" spans="1:42" x14ac:dyDescent="0.25">
      <c r="A251" s="2">
        <v>45907</v>
      </c>
      <c r="B251" s="28">
        <v>41</v>
      </c>
      <c r="C251" s="28">
        <v>340</v>
      </c>
      <c r="D251" s="28">
        <v>41</v>
      </c>
      <c r="E251" s="35"/>
      <c r="F251" s="28">
        <v>103</v>
      </c>
      <c r="G251" s="28">
        <v>648</v>
      </c>
      <c r="H251" s="28"/>
      <c r="I251" s="28">
        <v>510</v>
      </c>
      <c r="J251" s="28">
        <v>495</v>
      </c>
      <c r="K251" s="28">
        <f>TABL12[[#This Row],[خط (T/B  TOT) SAR]]+TABL12[[#This Row],[خط (S/S  TOT) SAR2]]</f>
        <v>1005</v>
      </c>
      <c r="L251" s="28">
        <v>357</v>
      </c>
      <c r="M251" s="29">
        <v>26.2</v>
      </c>
      <c r="N251" s="30">
        <v>7.44</v>
      </c>
      <c r="O251" s="9">
        <v>450</v>
      </c>
      <c r="P251" s="9">
        <f>TABL12[[#This Row],[خط (S/S  TOT) SAR2]]-TABL12[[#This Row],[(S/S TOT) AJD]]</f>
        <v>45</v>
      </c>
      <c r="Q251" s="9">
        <v>491</v>
      </c>
      <c r="R251" s="9">
        <f>TABL12[[#This Row],[خط (T/B  TOT) SAR]]-TABL12[[#This Row],[(T/B TOT) AJD]]</f>
        <v>19</v>
      </c>
      <c r="S251" s="9">
        <f>TABL12[[#This Row],[الفرق بين بداية ونهاية خط  S/S]]+TABL12[[#This Row],[الفرق بين بداية ونهاية خط  T/B]]</f>
        <v>64</v>
      </c>
      <c r="T251" s="9">
        <f t="shared" si="12"/>
        <v>941</v>
      </c>
      <c r="U251" s="9">
        <v>561</v>
      </c>
      <c r="V251" s="9">
        <v>374</v>
      </c>
      <c r="W251" s="9">
        <f t="shared" si="13"/>
        <v>935</v>
      </c>
      <c r="X251" s="9">
        <f t="shared" si="14"/>
        <v>6</v>
      </c>
      <c r="Y251" s="18">
        <v>92.375</v>
      </c>
      <c r="Z251" s="9">
        <v>422229</v>
      </c>
      <c r="AA251" s="9">
        <f>TABL12[[#This Row],[(RESV. STORGE) AJD]]/10</f>
        <v>42222.9</v>
      </c>
      <c r="AB251" s="3">
        <f t="shared" si="15"/>
        <v>-16.059000000000001</v>
      </c>
      <c r="AC251" s="6">
        <v>0</v>
      </c>
      <c r="AD251" s="5">
        <f>TABL12[[#This Row],[( S/S+T/B) AJD]]-(TABL12[[#This Row],[(A/B + A/S) AJD]]+(TABL12[[#This Row],[(STORGE DIFF.) AJD]])+TABL12[[#This Row],[البخر  AJD]]/1000)</f>
        <v>22.058999999999969</v>
      </c>
      <c r="AE251" s="6">
        <v>60</v>
      </c>
      <c r="AF251" s="33">
        <v>59.115000000000002</v>
      </c>
      <c r="AG251" s="6">
        <v>1699630</v>
      </c>
      <c r="AH251" s="6">
        <f>TABL12[[#This Row],[ (RESV. STORGE) BER]]/10</f>
        <v>169963</v>
      </c>
      <c r="AI251" s="6">
        <v>3632</v>
      </c>
      <c r="AJ251" s="6">
        <f>TABL12[[#This Row],[(A/B TOT) AJD]]-TABL12[[#This Row],[BER_ IN]]</f>
        <v>501</v>
      </c>
      <c r="AK251" s="6">
        <v>62</v>
      </c>
      <c r="AL251" s="33">
        <v>44.128</v>
      </c>
      <c r="AM251" s="6">
        <v>3723170</v>
      </c>
      <c r="AN251" s="6">
        <f>TABL12[[#This Row],[ (RESV. STORGE) SER]]/10</f>
        <v>372317</v>
      </c>
      <c r="AO251" s="6">
        <v>1750</v>
      </c>
      <c r="AP251" s="32">
        <f>TABL12[[#This Row],[(A/S TOT) AJD]]-TABL12[[#This Row],[SER_ IN]]</f>
        <v>312</v>
      </c>
    </row>
    <row r="252" spans="1:42" x14ac:dyDescent="0.25">
      <c r="A252" s="2">
        <v>45908</v>
      </c>
      <c r="B252" s="28">
        <v>42</v>
      </c>
      <c r="C252" s="28">
        <v>354</v>
      </c>
      <c r="D252" s="28">
        <v>42</v>
      </c>
      <c r="E252" s="35"/>
      <c r="F252" s="28">
        <v>103</v>
      </c>
      <c r="G252" s="28">
        <v>648</v>
      </c>
      <c r="H252" s="28"/>
      <c r="I252" s="28">
        <v>510</v>
      </c>
      <c r="J252" s="28">
        <v>495</v>
      </c>
      <c r="K252" s="28">
        <f>TABL12[[#This Row],[خط (T/B  TOT) SAR]]+TABL12[[#This Row],[خط (S/S  TOT) SAR2]]</f>
        <v>1005</v>
      </c>
      <c r="L252" s="28">
        <v>357</v>
      </c>
      <c r="M252" s="29">
        <v>26.2</v>
      </c>
      <c r="N252" s="30">
        <v>7.42</v>
      </c>
      <c r="O252" s="9">
        <v>446</v>
      </c>
      <c r="P252" s="9">
        <f>TABL12[[#This Row],[خط (S/S  TOT) SAR2]]-TABL12[[#This Row],[(S/S TOT) AJD]]</f>
        <v>49</v>
      </c>
      <c r="Q252" s="9">
        <v>485</v>
      </c>
      <c r="R252" s="9">
        <f>TABL12[[#This Row],[خط (T/B  TOT) SAR]]-TABL12[[#This Row],[(T/B TOT) AJD]]</f>
        <v>25</v>
      </c>
      <c r="S252" s="9">
        <f>TABL12[[#This Row],[الفرق بين بداية ونهاية خط  S/S]]+TABL12[[#This Row],[الفرق بين بداية ونهاية خط  T/B]]</f>
        <v>74</v>
      </c>
      <c r="T252" s="9">
        <f t="shared" si="12"/>
        <v>931</v>
      </c>
      <c r="U252" s="9">
        <v>564</v>
      </c>
      <c r="V252" s="9">
        <v>374</v>
      </c>
      <c r="W252" s="9">
        <f t="shared" si="13"/>
        <v>938</v>
      </c>
      <c r="X252" s="9">
        <f t="shared" si="14"/>
        <v>-7</v>
      </c>
      <c r="Y252" s="18">
        <v>92.32</v>
      </c>
      <c r="Z252" s="9">
        <v>389536</v>
      </c>
      <c r="AA252" s="9">
        <f>TABL12[[#This Row],[(RESV. STORGE) AJD]]/10</f>
        <v>38953.599999999999</v>
      </c>
      <c r="AB252" s="3">
        <f t="shared" si="15"/>
        <v>-32.692999999999998</v>
      </c>
      <c r="AC252" s="6">
        <v>0</v>
      </c>
      <c r="AD252" s="5">
        <f>TABL12[[#This Row],[( S/S+T/B) AJD]]-(TABL12[[#This Row],[(A/B + A/S) AJD]]+(TABL12[[#This Row],[(STORGE DIFF.) AJD]])+TABL12[[#This Row],[البخر  AJD]]/1000)</f>
        <v>25.692999999999984</v>
      </c>
      <c r="AE252" s="6">
        <v>60</v>
      </c>
      <c r="AF252" s="33">
        <v>59.14</v>
      </c>
      <c r="AG252" s="6">
        <v>1716824</v>
      </c>
      <c r="AH252" s="6">
        <f>TABL12[[#This Row],[ (RESV. STORGE) BER]]/10</f>
        <v>171682.4</v>
      </c>
      <c r="AI252" s="6">
        <v>2965</v>
      </c>
      <c r="AJ252" s="6">
        <f>TABL12[[#This Row],[(A/B TOT) AJD]]-TABL12[[#This Row],[BER_ IN]]</f>
        <v>504</v>
      </c>
      <c r="AK252" s="6">
        <v>63</v>
      </c>
      <c r="AL252" s="33">
        <v>44.228200000000001</v>
      </c>
      <c r="AM252" s="6">
        <v>3778670</v>
      </c>
      <c r="AN252" s="6">
        <f>TABL12[[#This Row],[ (RESV. STORGE) SER]]/10</f>
        <v>377867</v>
      </c>
      <c r="AO252" s="6">
        <v>1735</v>
      </c>
      <c r="AP252" s="32">
        <f>TABL12[[#This Row],[(A/S TOT) AJD]]-TABL12[[#This Row],[SER_ IN]]</f>
        <v>311</v>
      </c>
    </row>
    <row r="253" spans="1:42" x14ac:dyDescent="0.25">
      <c r="A253" s="2">
        <v>45909</v>
      </c>
      <c r="B253" s="28">
        <v>42</v>
      </c>
      <c r="C253" s="28">
        <v>336</v>
      </c>
      <c r="D253" s="28">
        <v>24</v>
      </c>
      <c r="E253" s="35"/>
      <c r="F253" s="28">
        <v>102</v>
      </c>
      <c r="G253" s="28">
        <v>648</v>
      </c>
      <c r="H253" s="28"/>
      <c r="I253" s="28">
        <v>508</v>
      </c>
      <c r="J253" s="28">
        <v>494</v>
      </c>
      <c r="K253" s="28">
        <f>TABL12[[#This Row],[خط (T/B  TOT) SAR]]+TABL12[[#This Row],[خط (S/S  TOT) SAR2]]</f>
        <v>1002</v>
      </c>
      <c r="L253" s="28">
        <v>354</v>
      </c>
      <c r="M253" s="29">
        <v>26.2</v>
      </c>
      <c r="N253" s="30">
        <v>7.39</v>
      </c>
      <c r="O253" s="9">
        <v>446</v>
      </c>
      <c r="P253" s="9">
        <f>TABL12[[#This Row],[خط (S/S  TOT) SAR2]]-TABL12[[#This Row],[(S/S TOT) AJD]]</f>
        <v>48</v>
      </c>
      <c r="Q253" s="9">
        <v>485</v>
      </c>
      <c r="R253" s="9">
        <f>TABL12[[#This Row],[خط (T/B  TOT) SAR]]-TABL12[[#This Row],[(T/B TOT) AJD]]</f>
        <v>23</v>
      </c>
      <c r="S253" s="9">
        <f>TABL12[[#This Row],[الفرق بين بداية ونهاية خط  S/S]]+TABL12[[#This Row],[الفرق بين بداية ونهاية خط  T/B]]</f>
        <v>71</v>
      </c>
      <c r="T253" s="9">
        <f t="shared" si="12"/>
        <v>931</v>
      </c>
      <c r="U253" s="9">
        <v>550</v>
      </c>
      <c r="V253" s="9">
        <v>369</v>
      </c>
      <c r="W253" s="9">
        <f t="shared" si="13"/>
        <v>919</v>
      </c>
      <c r="X253" s="9">
        <f t="shared" si="14"/>
        <v>12</v>
      </c>
      <c r="Y253" s="18">
        <v>92.293000000000006</v>
      </c>
      <c r="Z253" s="9">
        <v>376464</v>
      </c>
      <c r="AA253" s="9">
        <f>TABL12[[#This Row],[(RESV. STORGE) AJD]]/10</f>
        <v>37646.400000000001</v>
      </c>
      <c r="AB253" s="3">
        <f t="shared" si="15"/>
        <v>-13.071999999999999</v>
      </c>
      <c r="AC253" s="6">
        <v>0</v>
      </c>
      <c r="AD253" s="5">
        <f>TABL12[[#This Row],[( S/S+T/B) AJD]]-(TABL12[[#This Row],[(A/B + A/S) AJD]]+(TABL12[[#This Row],[(STORGE DIFF.) AJD]])+TABL12[[#This Row],[البخر  AJD]]/1000)</f>
        <v>25.072000000000003</v>
      </c>
      <c r="AE253" s="6">
        <v>60</v>
      </c>
      <c r="AF253" s="33">
        <v>59.171999999999997</v>
      </c>
      <c r="AG253" s="6">
        <v>1737332</v>
      </c>
      <c r="AH253" s="6">
        <f>TABL12[[#This Row],[ (RESV. STORGE) BER]]/10</f>
        <v>173733.2</v>
      </c>
      <c r="AI253" s="6">
        <v>2659</v>
      </c>
      <c r="AJ253" s="6">
        <f>TABL12[[#This Row],[(A/B TOT) AJD]]-TABL12[[#This Row],[BER_ IN]]</f>
        <v>490</v>
      </c>
      <c r="AK253" s="6">
        <v>62</v>
      </c>
      <c r="AL253" s="33">
        <v>44.327100000000002</v>
      </c>
      <c r="AM253" s="6">
        <v>3833450</v>
      </c>
      <c r="AN253" s="6">
        <f>TABL12[[#This Row],[ (RESV. STORGE) SER]]/10</f>
        <v>383345</v>
      </c>
      <c r="AO253" s="6">
        <v>1745</v>
      </c>
      <c r="AP253" s="32">
        <f>TABL12[[#This Row],[(A/S TOT) AJD]]-TABL12[[#This Row],[SER_ IN]]</f>
        <v>307</v>
      </c>
    </row>
    <row r="254" spans="1:42" x14ac:dyDescent="0.25">
      <c r="A254" s="2">
        <v>45910</v>
      </c>
      <c r="B254" s="28">
        <v>42</v>
      </c>
      <c r="C254" s="28">
        <v>327</v>
      </c>
      <c r="D254" s="28">
        <v>42</v>
      </c>
      <c r="E254" s="35"/>
      <c r="F254" s="28">
        <v>103</v>
      </c>
      <c r="G254" s="28">
        <v>652</v>
      </c>
      <c r="H254" s="28"/>
      <c r="I254" s="28">
        <v>504</v>
      </c>
      <c r="J254" s="28">
        <v>492</v>
      </c>
      <c r="K254" s="28">
        <f>TABL12[[#This Row],[خط (T/B  TOT) SAR]]+TABL12[[#This Row],[خط (S/S  TOT) SAR2]]</f>
        <v>996</v>
      </c>
      <c r="L254" s="28">
        <v>344</v>
      </c>
      <c r="M254" s="29">
        <v>25.9</v>
      </c>
      <c r="N254" s="30">
        <v>7.35</v>
      </c>
      <c r="O254" s="9">
        <v>439</v>
      </c>
      <c r="P254" s="9">
        <f>TABL12[[#This Row],[خط (S/S  TOT) SAR2]]-TABL12[[#This Row],[(S/S TOT) AJD]]</f>
        <v>53</v>
      </c>
      <c r="Q254" s="9">
        <v>480</v>
      </c>
      <c r="R254" s="9">
        <f>TABL12[[#This Row],[خط (T/B  TOT) SAR]]-TABL12[[#This Row],[(T/B TOT) AJD]]</f>
        <v>24</v>
      </c>
      <c r="S254" s="9">
        <f>TABL12[[#This Row],[الفرق بين بداية ونهاية خط  S/S]]+TABL12[[#This Row],[الفرق بين بداية ونهاية خط  T/B]]</f>
        <v>77</v>
      </c>
      <c r="T254" s="9">
        <f t="shared" si="12"/>
        <v>919</v>
      </c>
      <c r="U254" s="9">
        <v>562</v>
      </c>
      <c r="V254" s="9">
        <v>351</v>
      </c>
      <c r="W254" s="9">
        <f t="shared" si="13"/>
        <v>913</v>
      </c>
      <c r="X254" s="9">
        <f t="shared" si="14"/>
        <v>6</v>
      </c>
      <c r="Y254" s="18">
        <v>92.268000000000001</v>
      </c>
      <c r="Z254" s="9">
        <v>358647</v>
      </c>
      <c r="AA254" s="9">
        <f>TABL12[[#This Row],[(RESV. STORGE) AJD]]/10</f>
        <v>35864.699999999997</v>
      </c>
      <c r="AB254" s="3">
        <f t="shared" si="15"/>
        <v>-17.817</v>
      </c>
      <c r="AC254" s="6">
        <v>0</v>
      </c>
      <c r="AD254" s="5">
        <f>TABL12[[#This Row],[( S/S+T/B) AJD]]-(TABL12[[#This Row],[(A/B + A/S) AJD]]+(TABL12[[#This Row],[(STORGE DIFF.) AJD]])+TABL12[[#This Row],[البخر  AJD]]/1000)</f>
        <v>23.817000000000007</v>
      </c>
      <c r="AE254" s="6">
        <v>60</v>
      </c>
      <c r="AF254" s="33">
        <v>59.198</v>
      </c>
      <c r="AG254" s="6">
        <v>1754539</v>
      </c>
      <c r="AH254" s="6">
        <f>TABL12[[#This Row],[ (RESV. STORGE) BER]]/10</f>
        <v>175453.9</v>
      </c>
      <c r="AI254" s="6">
        <v>2953</v>
      </c>
      <c r="AJ254" s="6">
        <f>TABL12[[#This Row],[(A/B TOT) AJD]]-TABL12[[#This Row],[BER_ IN]]</f>
        <v>502</v>
      </c>
      <c r="AK254" s="6">
        <v>62</v>
      </c>
      <c r="AL254" s="33">
        <v>44.3889</v>
      </c>
      <c r="AM254" s="6">
        <v>3967460</v>
      </c>
      <c r="AN254" s="6">
        <f>TABL12[[#This Row],[ (RESV. STORGE) SER]]/10</f>
        <v>396746</v>
      </c>
      <c r="AO254" s="6">
        <v>1787</v>
      </c>
      <c r="AP254" s="32">
        <f>TABL12[[#This Row],[(A/S TOT) AJD]]-TABL12[[#This Row],[SER_ IN]]</f>
        <v>289</v>
      </c>
    </row>
    <row r="255" spans="1:42" x14ac:dyDescent="0.25">
      <c r="A255" s="2">
        <v>45911</v>
      </c>
      <c r="B255" s="28">
        <v>41</v>
      </c>
      <c r="C255" s="28">
        <v>336</v>
      </c>
      <c r="D255" s="28">
        <v>41</v>
      </c>
      <c r="E255" s="35"/>
      <c r="F255" s="28">
        <v>103</v>
      </c>
      <c r="G255" s="28">
        <v>656</v>
      </c>
      <c r="H255" s="28"/>
      <c r="I255" s="28">
        <v>506</v>
      </c>
      <c r="J255" s="28">
        <v>490</v>
      </c>
      <c r="K255" s="28">
        <f>TABL12[[#This Row],[خط (T/B  TOT) SAR]]+TABL12[[#This Row],[خط (S/S  TOT) SAR2]]</f>
        <v>996</v>
      </c>
      <c r="L255" s="28">
        <v>340</v>
      </c>
      <c r="M255" s="29">
        <v>25.9</v>
      </c>
      <c r="N255" s="30">
        <v>7.27</v>
      </c>
      <c r="O255" s="9">
        <v>438</v>
      </c>
      <c r="P255" s="9">
        <f>TABL12[[#This Row],[خط (S/S  TOT) SAR2]]-TABL12[[#This Row],[(S/S TOT) AJD]]</f>
        <v>52</v>
      </c>
      <c r="Q255" s="9">
        <v>478</v>
      </c>
      <c r="R255" s="9">
        <f>TABL12[[#This Row],[خط (T/B  TOT) SAR]]-TABL12[[#This Row],[(T/B TOT) AJD]]</f>
        <v>28</v>
      </c>
      <c r="S255" s="9">
        <f>TABL12[[#This Row],[الفرق بين بداية ونهاية خط  S/S]]+TABL12[[#This Row],[الفرق بين بداية ونهاية خط  T/B]]</f>
        <v>80</v>
      </c>
      <c r="T255" s="9">
        <f t="shared" si="12"/>
        <v>916</v>
      </c>
      <c r="U255" s="9">
        <v>564</v>
      </c>
      <c r="V255" s="9">
        <v>354</v>
      </c>
      <c r="W255" s="9">
        <f t="shared" si="13"/>
        <v>918</v>
      </c>
      <c r="X255" s="9">
        <f t="shared" si="14"/>
        <v>-2</v>
      </c>
      <c r="Y255" s="18">
        <v>92.213999999999999</v>
      </c>
      <c r="Z255" s="9">
        <v>327181</v>
      </c>
      <c r="AA255" s="9">
        <f>TABL12[[#This Row],[(RESV. STORGE) AJD]]/10</f>
        <v>32718.1</v>
      </c>
      <c r="AB255" s="3">
        <f t="shared" si="15"/>
        <v>-31.466000000000001</v>
      </c>
      <c r="AC255" s="6">
        <v>0</v>
      </c>
      <c r="AD255" s="5">
        <f>TABL12[[#This Row],[( S/S+T/B) AJD]]-(TABL12[[#This Row],[(A/B + A/S) AJD]]+(TABL12[[#This Row],[(STORGE DIFF.) AJD]])+TABL12[[#This Row],[البخر  AJD]]/1000)</f>
        <v>29.466000000000008</v>
      </c>
      <c r="AE255" s="6">
        <v>60</v>
      </c>
      <c r="AF255" s="33">
        <v>59.237000000000002</v>
      </c>
      <c r="AG255" s="6">
        <v>1780360</v>
      </c>
      <c r="AH255" s="6">
        <f>TABL12[[#This Row],[ (RESV. STORGE) BER]]/10</f>
        <v>178036</v>
      </c>
      <c r="AI255" s="6">
        <v>2638</v>
      </c>
      <c r="AJ255" s="6">
        <f>TABL12[[#This Row],[(A/B TOT) AJD]]-TABL12[[#This Row],[BER_ IN]]</f>
        <v>504</v>
      </c>
      <c r="AK255" s="6">
        <v>63</v>
      </c>
      <c r="AL255" s="33">
        <v>44.454099999999997</v>
      </c>
      <c r="AM255" s="6">
        <v>3903460</v>
      </c>
      <c r="AN255" s="6">
        <f>TABL12[[#This Row],[ (RESV. STORGE) SER]]/10</f>
        <v>390346</v>
      </c>
      <c r="AO255" s="6">
        <v>1670</v>
      </c>
      <c r="AP255" s="32">
        <f>TABL12[[#This Row],[(A/S TOT) AJD]]-TABL12[[#This Row],[SER_ IN]]</f>
        <v>291</v>
      </c>
    </row>
    <row r="256" spans="1:42" x14ac:dyDescent="0.25">
      <c r="A256" s="2">
        <v>45912</v>
      </c>
      <c r="B256" s="28">
        <v>41</v>
      </c>
      <c r="C256" s="28">
        <v>347</v>
      </c>
      <c r="D256" s="28">
        <v>41</v>
      </c>
      <c r="E256" s="35"/>
      <c r="F256" s="28">
        <v>103</v>
      </c>
      <c r="G256" s="28">
        <v>658</v>
      </c>
      <c r="H256" s="28"/>
      <c r="I256" s="28">
        <v>508</v>
      </c>
      <c r="J256" s="28">
        <v>495</v>
      </c>
      <c r="K256" s="28">
        <f>TABL12[[#This Row],[خط (T/B  TOT) SAR]]+TABL12[[#This Row],[خط (S/S  TOT) SAR2]]</f>
        <v>1003</v>
      </c>
      <c r="L256" s="28">
        <v>345</v>
      </c>
      <c r="M256" s="29">
        <v>25.9</v>
      </c>
      <c r="N256" s="30">
        <v>7.31</v>
      </c>
      <c r="O256" s="9">
        <v>441</v>
      </c>
      <c r="P256" s="9">
        <f>TABL12[[#This Row],[خط (S/S  TOT) SAR2]]-TABL12[[#This Row],[(S/S TOT) AJD]]</f>
        <v>54</v>
      </c>
      <c r="Q256" s="9">
        <v>481</v>
      </c>
      <c r="R256" s="9">
        <f>TABL12[[#This Row],[خط (T/B  TOT) SAR]]-TABL12[[#This Row],[(T/B TOT) AJD]]</f>
        <v>27</v>
      </c>
      <c r="S256" s="9">
        <f>TABL12[[#This Row],[الفرق بين بداية ونهاية خط  S/S]]+TABL12[[#This Row],[الفرق بين بداية ونهاية خط  T/B]]</f>
        <v>81</v>
      </c>
      <c r="T256" s="9">
        <f t="shared" si="12"/>
        <v>922</v>
      </c>
      <c r="U256" s="9">
        <v>551</v>
      </c>
      <c r="V256" s="9">
        <v>351</v>
      </c>
      <c r="W256" s="9">
        <f t="shared" si="13"/>
        <v>902</v>
      </c>
      <c r="X256" s="9">
        <f t="shared" si="14"/>
        <v>20</v>
      </c>
      <c r="Y256" s="18">
        <v>92.21</v>
      </c>
      <c r="Z256" s="9">
        <v>324223</v>
      </c>
      <c r="AA256" s="9">
        <f>TABL12[[#This Row],[(RESV. STORGE) AJD]]/10</f>
        <v>32422.3</v>
      </c>
      <c r="AB256" s="3">
        <f t="shared" si="15"/>
        <v>-2.9580000000000002</v>
      </c>
      <c r="AC256" s="6">
        <v>0</v>
      </c>
      <c r="AD256" s="5">
        <f>TABL12[[#This Row],[( S/S+T/B) AJD]]-(TABL12[[#This Row],[(A/B + A/S) AJD]]+(TABL12[[#This Row],[(STORGE DIFF.) AJD]])+TABL12[[#This Row],[البخر  AJD]]/1000)</f>
        <v>22.95799999999997</v>
      </c>
      <c r="AE256" s="6">
        <v>35</v>
      </c>
      <c r="AF256" s="33">
        <v>59.225999999999999</v>
      </c>
      <c r="AG256" s="6">
        <v>1773076</v>
      </c>
      <c r="AH256" s="6">
        <f>TABL12[[#This Row],[ (RESV. STORGE) BER]]/10</f>
        <v>177307.6</v>
      </c>
      <c r="AI256" s="6">
        <v>2444</v>
      </c>
      <c r="AJ256" s="6">
        <f>TABL12[[#This Row],[(A/B TOT) AJD]]-TABL12[[#This Row],[BER_ IN]]</f>
        <v>516</v>
      </c>
      <c r="AK256" s="6">
        <v>38</v>
      </c>
      <c r="AL256" s="33">
        <v>44.491900000000001</v>
      </c>
      <c r="AM256" s="6">
        <v>3923830</v>
      </c>
      <c r="AN256" s="6">
        <f>TABL12[[#This Row],[ (RESV. STORGE) SER]]/10</f>
        <v>392383</v>
      </c>
      <c r="AO256" s="6">
        <v>1740</v>
      </c>
      <c r="AP256" s="32">
        <f>TABL12[[#This Row],[(A/S TOT) AJD]]-TABL12[[#This Row],[SER_ IN]]</f>
        <v>313</v>
      </c>
    </row>
    <row r="257" spans="1:42" x14ac:dyDescent="0.25">
      <c r="A257" s="2">
        <v>45913</v>
      </c>
      <c r="B257" s="28">
        <v>40</v>
      </c>
      <c r="C257" s="28">
        <v>344</v>
      </c>
      <c r="D257" s="28">
        <v>40</v>
      </c>
      <c r="E257" s="35"/>
      <c r="F257" s="28">
        <v>103</v>
      </c>
      <c r="G257" s="28">
        <v>658</v>
      </c>
      <c r="H257" s="28"/>
      <c r="I257" s="28">
        <v>508</v>
      </c>
      <c r="J257" s="28">
        <v>495</v>
      </c>
      <c r="K257" s="28">
        <f>TABL12[[#This Row],[خط (T/B  TOT) SAR]]+TABL12[[#This Row],[خط (S/S  TOT) SAR2]]</f>
        <v>1003</v>
      </c>
      <c r="L257" s="28">
        <v>345</v>
      </c>
      <c r="M257" s="29">
        <v>25.9</v>
      </c>
      <c r="N257" s="30">
        <v>7.33</v>
      </c>
      <c r="O257" s="9">
        <v>441</v>
      </c>
      <c r="P257" s="9">
        <f>TABL12[[#This Row],[خط (S/S  TOT) SAR2]]-TABL12[[#This Row],[(S/S TOT) AJD]]</f>
        <v>54</v>
      </c>
      <c r="Q257" s="9">
        <v>482</v>
      </c>
      <c r="R257" s="9">
        <f>TABL12[[#This Row],[خط (T/B  TOT) SAR]]-TABL12[[#This Row],[(T/B TOT) AJD]]</f>
        <v>26</v>
      </c>
      <c r="S257" s="9">
        <f>TABL12[[#This Row],[الفرق بين بداية ونهاية خط  S/S]]+TABL12[[#This Row],[الفرق بين بداية ونهاية خط  T/B]]</f>
        <v>80</v>
      </c>
      <c r="T257" s="9">
        <f t="shared" si="12"/>
        <v>923</v>
      </c>
      <c r="U257" s="9">
        <v>534</v>
      </c>
      <c r="V257" s="9">
        <v>330</v>
      </c>
      <c r="W257" s="9">
        <f t="shared" si="13"/>
        <v>864</v>
      </c>
      <c r="X257" s="9">
        <f t="shared" si="14"/>
        <v>59</v>
      </c>
      <c r="Y257" s="18">
        <v>92.27</v>
      </c>
      <c r="Z257" s="9">
        <v>359834</v>
      </c>
      <c r="AA257" s="9">
        <f>TABL12[[#This Row],[(RESV. STORGE) AJD]]/10</f>
        <v>35983.4</v>
      </c>
      <c r="AB257" s="3">
        <f t="shared" si="15"/>
        <v>35.610999999999997</v>
      </c>
      <c r="AC257" s="6">
        <v>0</v>
      </c>
      <c r="AD257" s="5">
        <f>TABL12[[#This Row],[( S/S+T/B) AJD]]-(TABL12[[#This Row],[(A/B + A/S) AJD]]+(TABL12[[#This Row],[(STORGE DIFF.) AJD]])+TABL12[[#This Row],[البخر  AJD]]/1000)</f>
        <v>23.38900000000001</v>
      </c>
      <c r="AE257" s="6">
        <v>20</v>
      </c>
      <c r="AF257" s="33">
        <v>59.192</v>
      </c>
      <c r="AG257" s="6">
        <v>1750567</v>
      </c>
      <c r="AH257" s="6">
        <f>TABL12[[#This Row],[ (RESV. STORGE) BER]]/10</f>
        <v>175056.7</v>
      </c>
      <c r="AI257" s="6">
        <v>2668</v>
      </c>
      <c r="AJ257" s="6">
        <f>TABL12[[#This Row],[(A/B TOT) AJD]]-TABL12[[#This Row],[BER_ IN]]</f>
        <v>514</v>
      </c>
      <c r="AK257" s="6">
        <v>29</v>
      </c>
      <c r="AL257" s="33">
        <v>44.526000000000003</v>
      </c>
      <c r="AM257" s="6">
        <v>3943170</v>
      </c>
      <c r="AN257" s="6">
        <f>TABL12[[#This Row],[ (RESV. STORGE) SER]]/10</f>
        <v>394317</v>
      </c>
      <c r="AO257" s="6">
        <v>1550</v>
      </c>
      <c r="AP257" s="32">
        <f>TABL12[[#This Row],[(A/S TOT) AJD]]-TABL12[[#This Row],[SER_ IN]]</f>
        <v>301</v>
      </c>
    </row>
    <row r="258" spans="1:42" x14ac:dyDescent="0.25">
      <c r="A258" s="2">
        <v>45914</v>
      </c>
      <c r="B258" s="28">
        <v>41</v>
      </c>
      <c r="C258" s="28">
        <v>343</v>
      </c>
      <c r="D258" s="28">
        <v>41</v>
      </c>
      <c r="E258" s="35"/>
      <c r="F258" s="28">
        <v>103</v>
      </c>
      <c r="G258" s="28">
        <v>658</v>
      </c>
      <c r="H258" s="28"/>
      <c r="I258" s="28">
        <v>508</v>
      </c>
      <c r="J258" s="28">
        <v>495</v>
      </c>
      <c r="K258" s="28">
        <f>TABL12[[#This Row],[خط (T/B  TOT) SAR]]+TABL12[[#This Row],[خط (S/S  TOT) SAR2]]</f>
        <v>1003</v>
      </c>
      <c r="L258" s="28">
        <v>345</v>
      </c>
      <c r="M258" s="29">
        <v>25.9</v>
      </c>
      <c r="N258" s="30">
        <v>7.33</v>
      </c>
      <c r="O258" s="9">
        <v>440</v>
      </c>
      <c r="P258" s="9">
        <f>TABL12[[#This Row],[خط (S/S  TOT) SAR2]]-TABL12[[#This Row],[(S/S TOT) AJD]]</f>
        <v>55</v>
      </c>
      <c r="Q258" s="9">
        <v>482</v>
      </c>
      <c r="R258" s="9">
        <f>TABL12[[#This Row],[خط (T/B  TOT) SAR]]-TABL12[[#This Row],[(T/B TOT) AJD]]</f>
        <v>26</v>
      </c>
      <c r="S258" s="9">
        <f>TABL12[[#This Row],[الفرق بين بداية ونهاية خط  S/S]]+TABL12[[#This Row],[الفرق بين بداية ونهاية خط  T/B]]</f>
        <v>81</v>
      </c>
      <c r="T258" s="9">
        <f t="shared" ref="T258:T321" si="16">O258+Q258</f>
        <v>922</v>
      </c>
      <c r="U258" s="9">
        <v>535</v>
      </c>
      <c r="V258" s="9">
        <v>328</v>
      </c>
      <c r="W258" s="9">
        <f t="shared" ref="W258:W321" si="17">U258+V258</f>
        <v>863</v>
      </c>
      <c r="X258" s="9">
        <f t="shared" ref="X258:X321" si="18">T258-W258</f>
        <v>59</v>
      </c>
      <c r="Y258" s="18">
        <v>92.334999999999994</v>
      </c>
      <c r="Z258" s="9">
        <v>396667</v>
      </c>
      <c r="AA258" s="9">
        <f>TABL12[[#This Row],[(RESV. STORGE) AJD]]/10</f>
        <v>39666.699999999997</v>
      </c>
      <c r="AB258" s="3">
        <f t="shared" si="15"/>
        <v>36.832999999999998</v>
      </c>
      <c r="AC258" s="6">
        <v>0</v>
      </c>
      <c r="AD258" s="5">
        <f>TABL12[[#This Row],[( S/S+T/B) AJD]]-(TABL12[[#This Row],[(A/B + A/S) AJD]]+(TABL12[[#This Row],[(STORGE DIFF.) AJD]])+TABL12[[#This Row],[البخر  AJD]]/1000)</f>
        <v>22.16700000000003</v>
      </c>
      <c r="AE258" s="6">
        <v>20</v>
      </c>
      <c r="AF258" s="33">
        <v>59.158000000000001</v>
      </c>
      <c r="AG258" s="6">
        <v>1728069</v>
      </c>
      <c r="AH258" s="6">
        <f>TABL12[[#This Row],[ (RESV. STORGE) BER]]/10</f>
        <v>172806.9</v>
      </c>
      <c r="AI258" s="6">
        <v>2658</v>
      </c>
      <c r="AJ258" s="6">
        <f>TABL12[[#This Row],[(A/B TOT) AJD]]-TABL12[[#This Row],[BER_ IN]]</f>
        <v>515</v>
      </c>
      <c r="AK258" s="6">
        <v>28</v>
      </c>
      <c r="AL258" s="33">
        <v>44.487200000000001</v>
      </c>
      <c r="AM258" s="6">
        <v>3921600</v>
      </c>
      <c r="AN258" s="6">
        <f>TABL12[[#This Row],[ (RESV. STORGE) SER]]/10</f>
        <v>392160</v>
      </c>
      <c r="AO258" s="6">
        <v>1568</v>
      </c>
      <c r="AP258" s="32">
        <f>TABL12[[#This Row],[(A/S TOT) AJD]]-TABL12[[#This Row],[SER_ IN]]</f>
        <v>300</v>
      </c>
    </row>
    <row r="259" spans="1:42" x14ac:dyDescent="0.25">
      <c r="A259" s="2">
        <v>45915</v>
      </c>
      <c r="B259" s="28">
        <v>40</v>
      </c>
      <c r="C259" s="28">
        <v>336</v>
      </c>
      <c r="D259" s="28">
        <v>40</v>
      </c>
      <c r="E259" s="35"/>
      <c r="F259" s="28">
        <v>103</v>
      </c>
      <c r="G259" s="28">
        <v>658</v>
      </c>
      <c r="H259" s="28"/>
      <c r="I259" s="28">
        <v>508</v>
      </c>
      <c r="J259" s="28">
        <v>495</v>
      </c>
      <c r="K259" s="28">
        <f>TABL12[[#This Row],[خط (T/B  TOT) SAR]]+TABL12[[#This Row],[خط (S/S  TOT) SAR2]]</f>
        <v>1003</v>
      </c>
      <c r="L259" s="28">
        <v>345</v>
      </c>
      <c r="M259" s="29">
        <v>25.9</v>
      </c>
      <c r="N259" s="30">
        <v>7.33</v>
      </c>
      <c r="O259" s="9">
        <v>439</v>
      </c>
      <c r="P259" s="9">
        <f>TABL12[[#This Row],[خط (S/S  TOT) SAR2]]-TABL12[[#This Row],[(S/S TOT) AJD]]</f>
        <v>56</v>
      </c>
      <c r="Q259" s="9">
        <v>480</v>
      </c>
      <c r="R259" s="9">
        <f>TABL12[[#This Row],[خط (T/B  TOT) SAR]]-TABL12[[#This Row],[(T/B TOT) AJD]]</f>
        <v>28</v>
      </c>
      <c r="S259" s="9">
        <f>TABL12[[#This Row],[الفرق بين بداية ونهاية خط  S/S]]+TABL12[[#This Row],[الفرق بين بداية ونهاية خط  T/B]]</f>
        <v>84</v>
      </c>
      <c r="T259" s="9">
        <f t="shared" si="16"/>
        <v>919</v>
      </c>
      <c r="U259" s="9">
        <v>532</v>
      </c>
      <c r="V259" s="9">
        <v>331</v>
      </c>
      <c r="W259" s="9">
        <f t="shared" si="17"/>
        <v>863</v>
      </c>
      <c r="X259" s="9">
        <f t="shared" si="18"/>
        <v>56</v>
      </c>
      <c r="Y259" s="18">
        <v>92.382000000000005</v>
      </c>
      <c r="Z259" s="9">
        <v>426394</v>
      </c>
      <c r="AA259" s="9">
        <f>TABL12[[#This Row],[(RESV. STORGE) AJD]]/10</f>
        <v>42639.4</v>
      </c>
      <c r="AB259" s="3">
        <f t="shared" ref="AB259:AB322" si="19">(Z259-Z258)/1000</f>
        <v>29.727</v>
      </c>
      <c r="AC259" s="6">
        <v>0</v>
      </c>
      <c r="AD259" s="5">
        <f>TABL12[[#This Row],[( S/S+T/B) AJD]]-(TABL12[[#This Row],[(A/B + A/S) AJD]]+(TABL12[[#This Row],[(STORGE DIFF.) AJD]])+TABL12[[#This Row],[البخر  AJD]]/1000)</f>
        <v>26.273000000000025</v>
      </c>
      <c r="AE259" s="6">
        <v>20</v>
      </c>
      <c r="AF259" s="33">
        <v>59.125</v>
      </c>
      <c r="AG259" s="6">
        <v>1706242</v>
      </c>
      <c r="AH259" s="6">
        <f>TABL12[[#This Row],[ (RESV. STORGE) BER]]/10</f>
        <v>170624.2</v>
      </c>
      <c r="AI259" s="6">
        <v>2347</v>
      </c>
      <c r="AJ259" s="6">
        <f>TABL12[[#This Row],[(A/B TOT) AJD]]-TABL12[[#This Row],[BER_ IN]]</f>
        <v>512</v>
      </c>
      <c r="AK259" s="6">
        <v>22</v>
      </c>
      <c r="AL259" s="33">
        <v>44.449599999999997</v>
      </c>
      <c r="AM259" s="6">
        <v>3901140</v>
      </c>
      <c r="AN259" s="6">
        <f>TABL12[[#This Row],[ (RESV. STORGE) SER]]/10</f>
        <v>390114</v>
      </c>
      <c r="AO259" s="6">
        <v>1545</v>
      </c>
      <c r="AP259" s="32">
        <f>TABL12[[#This Row],[(A/S TOT) AJD]]-TABL12[[#This Row],[SER_ IN]]</f>
        <v>309</v>
      </c>
    </row>
    <row r="260" spans="1:42" x14ac:dyDescent="0.25">
      <c r="A260" s="2">
        <v>45916</v>
      </c>
      <c r="B260" s="28">
        <v>40</v>
      </c>
      <c r="C260" s="28">
        <v>326</v>
      </c>
      <c r="D260" s="28">
        <v>40</v>
      </c>
      <c r="E260" s="35"/>
      <c r="F260" s="28">
        <v>103</v>
      </c>
      <c r="G260" s="28">
        <v>655</v>
      </c>
      <c r="H260" s="28"/>
      <c r="I260" s="28">
        <v>505</v>
      </c>
      <c r="J260" s="28">
        <v>495</v>
      </c>
      <c r="K260" s="28">
        <f>TABL12[[#This Row],[خط (T/B  TOT) SAR]]+TABL12[[#This Row],[خط (S/S  TOT) SAR2]]</f>
        <v>1000</v>
      </c>
      <c r="L260" s="28">
        <v>345</v>
      </c>
      <c r="M260" s="29">
        <v>25.9</v>
      </c>
      <c r="N260" s="30">
        <v>7.26</v>
      </c>
      <c r="O260" s="9">
        <v>438</v>
      </c>
      <c r="P260" s="9">
        <f>TABL12[[#This Row],[خط (S/S  TOT) SAR2]]-TABL12[[#This Row],[(S/S TOT) AJD]]</f>
        <v>57</v>
      </c>
      <c r="Q260" s="9">
        <v>478</v>
      </c>
      <c r="R260" s="9">
        <f>TABL12[[#This Row],[خط (T/B  TOT) SAR]]-TABL12[[#This Row],[(T/B TOT) AJD]]</f>
        <v>27</v>
      </c>
      <c r="S260" s="9">
        <f>TABL12[[#This Row],[الفرق بين بداية ونهاية خط  S/S]]+TABL12[[#This Row],[الفرق بين بداية ونهاية خط  T/B]]</f>
        <v>84</v>
      </c>
      <c r="T260" s="9">
        <f t="shared" si="16"/>
        <v>916</v>
      </c>
      <c r="U260" s="9">
        <v>532</v>
      </c>
      <c r="V260" s="9">
        <v>310</v>
      </c>
      <c r="W260" s="9">
        <f t="shared" si="17"/>
        <v>842</v>
      </c>
      <c r="X260" s="9">
        <f t="shared" si="18"/>
        <v>74</v>
      </c>
      <c r="Y260" s="18">
        <v>92.465000000000003</v>
      </c>
      <c r="Z260" s="9">
        <v>475779</v>
      </c>
      <c r="AA260" s="9">
        <f>TABL12[[#This Row],[(RESV. STORGE) AJD]]/10</f>
        <v>47577.9</v>
      </c>
      <c r="AB260" s="3">
        <f t="shared" si="19"/>
        <v>49.384999999999998</v>
      </c>
      <c r="AC260" s="6">
        <v>0</v>
      </c>
      <c r="AD260" s="5">
        <f>TABL12[[#This Row],[( S/S+T/B) AJD]]-(TABL12[[#This Row],[(A/B + A/S) AJD]]+(TABL12[[#This Row],[(STORGE DIFF.) AJD]])+TABL12[[#This Row],[البخر  AJD]]/1000)</f>
        <v>24.615000000000009</v>
      </c>
      <c r="AE260" s="6">
        <v>20</v>
      </c>
      <c r="AF260" s="33">
        <v>59.091000000000001</v>
      </c>
      <c r="AG260" s="6">
        <v>1683763</v>
      </c>
      <c r="AH260" s="6">
        <f>TABL12[[#This Row],[ (RESV. STORGE) BER]]/10</f>
        <v>168376.3</v>
      </c>
      <c r="AI260" s="6">
        <v>2998</v>
      </c>
      <c r="AJ260" s="6">
        <f>TABL12[[#This Row],[(A/B TOT) AJD]]-TABL12[[#This Row],[BER_ IN]]</f>
        <v>512</v>
      </c>
      <c r="AK260" s="6">
        <v>22</v>
      </c>
      <c r="AL260" s="33">
        <v>44.435299999999998</v>
      </c>
      <c r="AM260" s="6">
        <v>3892950</v>
      </c>
      <c r="AN260" s="6">
        <f>TABL12[[#This Row],[ (RESV. STORGE) SER]]/10</f>
        <v>389295</v>
      </c>
      <c r="AO260" s="6">
        <v>1890</v>
      </c>
      <c r="AP260" s="32">
        <f>TABL12[[#This Row],[(A/S TOT) AJD]]-TABL12[[#This Row],[SER_ IN]]</f>
        <v>288</v>
      </c>
    </row>
    <row r="261" spans="1:42" x14ac:dyDescent="0.25">
      <c r="A261" s="2">
        <v>45917</v>
      </c>
      <c r="B261" s="28">
        <v>41</v>
      </c>
      <c r="C261" s="28">
        <v>338</v>
      </c>
      <c r="D261" s="28">
        <v>41</v>
      </c>
      <c r="E261" s="35"/>
      <c r="F261" s="28">
        <v>103</v>
      </c>
      <c r="G261" s="28">
        <v>654</v>
      </c>
      <c r="H261" s="28"/>
      <c r="I261" s="28">
        <v>502</v>
      </c>
      <c r="J261" s="28">
        <v>492</v>
      </c>
      <c r="K261" s="28">
        <f>TABL12[[#This Row],[خط (T/B  TOT) SAR]]+TABL12[[#This Row],[خط (S/S  TOT) SAR2]]</f>
        <v>994</v>
      </c>
      <c r="L261" s="28">
        <v>340</v>
      </c>
      <c r="M261" s="29">
        <v>25.9</v>
      </c>
      <c r="N261" s="30">
        <v>7.25</v>
      </c>
      <c r="O261" s="9">
        <v>439</v>
      </c>
      <c r="P261" s="9">
        <f>TABL12[[#This Row],[خط (S/S  TOT) SAR2]]-TABL12[[#This Row],[(S/S TOT) AJD]]</f>
        <v>53</v>
      </c>
      <c r="Q261" s="9">
        <v>479</v>
      </c>
      <c r="R261" s="9">
        <f>TABL12[[#This Row],[خط (T/B  TOT) SAR]]-TABL12[[#This Row],[(T/B TOT) AJD]]</f>
        <v>23</v>
      </c>
      <c r="S261" s="9">
        <f>TABL12[[#This Row],[الفرق بين بداية ونهاية خط  S/S]]+TABL12[[#This Row],[الفرق بين بداية ونهاية خط  T/B]]</f>
        <v>76</v>
      </c>
      <c r="T261" s="9">
        <f t="shared" si="16"/>
        <v>918</v>
      </c>
      <c r="U261" s="9">
        <v>536</v>
      </c>
      <c r="V261" s="9">
        <v>296</v>
      </c>
      <c r="W261" s="9">
        <f t="shared" si="17"/>
        <v>832</v>
      </c>
      <c r="X261" s="9">
        <f t="shared" si="18"/>
        <v>86</v>
      </c>
      <c r="Y261" s="18">
        <v>92.563999999999993</v>
      </c>
      <c r="Z261" s="9">
        <v>534761</v>
      </c>
      <c r="AA261" s="9">
        <f>TABL12[[#This Row],[(RESV. STORGE) AJD]]/10</f>
        <v>53476.1</v>
      </c>
      <c r="AB261" s="3">
        <f t="shared" si="19"/>
        <v>58.981999999999999</v>
      </c>
      <c r="AC261" s="6">
        <v>0</v>
      </c>
      <c r="AD261" s="5">
        <f>TABL12[[#This Row],[( S/S+T/B) AJD]]-(TABL12[[#This Row],[(A/B + A/S) AJD]]+(TABL12[[#This Row],[(STORGE DIFF.) AJD]])+TABL12[[#This Row],[البخر  AJD]]/1000)</f>
        <v>27.018000000000029</v>
      </c>
      <c r="AE261" s="6">
        <v>20</v>
      </c>
      <c r="AF261" s="33">
        <v>59.055999999999997</v>
      </c>
      <c r="AG261" s="6">
        <v>1660634</v>
      </c>
      <c r="AH261" s="6">
        <f>TABL12[[#This Row],[ (RESV. STORGE) BER]]/10</f>
        <v>166063.4</v>
      </c>
      <c r="AI261" s="6">
        <v>3289</v>
      </c>
      <c r="AJ261" s="6">
        <f>TABL12[[#This Row],[(A/B TOT) AJD]]-TABL12[[#This Row],[BER_ IN]]</f>
        <v>516</v>
      </c>
      <c r="AK261" s="6">
        <v>22</v>
      </c>
      <c r="AL261" s="33">
        <v>44.418599999999998</v>
      </c>
      <c r="AM261" s="6">
        <v>3884020</v>
      </c>
      <c r="AN261" s="6">
        <f>TABL12[[#This Row],[ (RESV. STORGE) SER]]/10</f>
        <v>388402</v>
      </c>
      <c r="AO261" s="6">
        <v>1830</v>
      </c>
      <c r="AP261" s="32">
        <f>TABL12[[#This Row],[(A/S TOT) AJD]]-TABL12[[#This Row],[SER_ IN]]</f>
        <v>274</v>
      </c>
    </row>
    <row r="262" spans="1:42" x14ac:dyDescent="0.25">
      <c r="A262" s="2">
        <v>45918</v>
      </c>
      <c r="B262" s="28">
        <v>41</v>
      </c>
      <c r="C262" s="28">
        <v>345</v>
      </c>
      <c r="D262" s="28">
        <v>41</v>
      </c>
      <c r="E262" s="35"/>
      <c r="F262" s="28">
        <v>103</v>
      </c>
      <c r="G262" s="28">
        <v>668</v>
      </c>
      <c r="H262" s="28"/>
      <c r="I262" s="28">
        <v>512</v>
      </c>
      <c r="J262" s="28">
        <v>499</v>
      </c>
      <c r="K262" s="28">
        <f>TABL12[[#This Row],[خط (T/B  TOT) SAR]]+TABL12[[#This Row],[خط (S/S  TOT) SAR2]]</f>
        <v>1011</v>
      </c>
      <c r="L262" s="28">
        <v>343</v>
      </c>
      <c r="M262" s="29">
        <v>25.9</v>
      </c>
      <c r="N262" s="30">
        <v>7.29</v>
      </c>
      <c r="O262" s="9">
        <v>441</v>
      </c>
      <c r="P262" s="9">
        <f>TABL12[[#This Row],[خط (S/S  TOT) SAR2]]-TABL12[[#This Row],[(S/S TOT) AJD]]</f>
        <v>58</v>
      </c>
      <c r="Q262" s="9">
        <v>480</v>
      </c>
      <c r="R262" s="9">
        <f>TABL12[[#This Row],[خط (T/B  TOT) SAR]]-TABL12[[#This Row],[(T/B TOT) AJD]]</f>
        <v>32</v>
      </c>
      <c r="S262" s="9">
        <f>TABL12[[#This Row],[الفرق بين بداية ونهاية خط  S/S]]+TABL12[[#This Row],[الفرق بين بداية ونهاية خط  T/B]]</f>
        <v>90</v>
      </c>
      <c r="T262" s="9">
        <f t="shared" si="16"/>
        <v>921</v>
      </c>
      <c r="U262" s="9">
        <v>529</v>
      </c>
      <c r="V262" s="9">
        <v>334</v>
      </c>
      <c r="W262" s="9">
        <f t="shared" si="17"/>
        <v>863</v>
      </c>
      <c r="X262" s="9">
        <f t="shared" si="18"/>
        <v>58</v>
      </c>
      <c r="Y262" s="18">
        <v>92.614000000000004</v>
      </c>
      <c r="Z262" s="9">
        <v>564584</v>
      </c>
      <c r="AA262" s="9">
        <f>TABL12[[#This Row],[(RESV. STORGE) AJD]]/10</f>
        <v>56458.400000000001</v>
      </c>
      <c r="AB262" s="3">
        <f t="shared" si="19"/>
        <v>29.823</v>
      </c>
      <c r="AC262" s="6">
        <v>0</v>
      </c>
      <c r="AD262" s="5">
        <f>TABL12[[#This Row],[( S/S+T/B) AJD]]-(TABL12[[#This Row],[(A/B + A/S) AJD]]+(TABL12[[#This Row],[(STORGE DIFF.) AJD]])+TABL12[[#This Row],[البخر  AJD]]/1000)</f>
        <v>28.177000000000021</v>
      </c>
      <c r="AE262" s="6">
        <v>20</v>
      </c>
      <c r="AF262" s="33">
        <v>59.021000000000001</v>
      </c>
      <c r="AG262" s="6">
        <v>1637515</v>
      </c>
      <c r="AH262" s="6">
        <f>TABL12[[#This Row],[ (RESV. STORGE) BER]]/10</f>
        <v>163751.5</v>
      </c>
      <c r="AI262" s="6">
        <v>3278</v>
      </c>
      <c r="AJ262" s="6">
        <f>TABL12[[#This Row],[(A/B TOT) AJD]]-TABL12[[#This Row],[BER_ IN]]</f>
        <v>509</v>
      </c>
      <c r="AK262" s="6">
        <v>22</v>
      </c>
      <c r="AL262" s="33">
        <v>44.396599999999999</v>
      </c>
      <c r="AM262" s="6">
        <v>3871870</v>
      </c>
      <c r="AN262" s="6">
        <f>TABL12[[#This Row],[ (RESV. STORGE) SER]]/10</f>
        <v>387187</v>
      </c>
      <c r="AO262" s="6">
        <v>1850</v>
      </c>
      <c r="AP262" s="32">
        <f>TABL12[[#This Row],[(A/S TOT) AJD]]-TABL12[[#This Row],[SER_ IN]]</f>
        <v>312</v>
      </c>
    </row>
    <row r="263" spans="1:42" x14ac:dyDescent="0.25">
      <c r="A263" s="2">
        <v>45919</v>
      </c>
      <c r="B263" s="28">
        <v>41</v>
      </c>
      <c r="C263" s="28">
        <v>344</v>
      </c>
      <c r="D263" s="28">
        <v>41</v>
      </c>
      <c r="E263" s="35"/>
      <c r="F263" s="28">
        <v>103</v>
      </c>
      <c r="G263" s="28">
        <v>661</v>
      </c>
      <c r="H263" s="28"/>
      <c r="I263" s="28">
        <v>508</v>
      </c>
      <c r="J263" s="28">
        <v>496</v>
      </c>
      <c r="K263" s="28">
        <f>TABL12[[#This Row],[خط (T/B  TOT) SAR]]+TABL12[[#This Row],[خط (S/S  TOT) SAR2]]</f>
        <v>1004</v>
      </c>
      <c r="L263" s="28">
        <v>343</v>
      </c>
      <c r="M263" s="29">
        <v>25.9</v>
      </c>
      <c r="N263" s="30">
        <v>7.33</v>
      </c>
      <c r="O263" s="9">
        <v>446</v>
      </c>
      <c r="P263" s="9">
        <f>TABL12[[#This Row],[خط (S/S  TOT) SAR2]]-TABL12[[#This Row],[(S/S TOT) AJD]]</f>
        <v>50</v>
      </c>
      <c r="Q263" s="9">
        <v>486</v>
      </c>
      <c r="R263" s="9">
        <f>TABL12[[#This Row],[خط (T/B  TOT) SAR]]-TABL12[[#This Row],[(T/B TOT) AJD]]</f>
        <v>22</v>
      </c>
      <c r="S263" s="9">
        <f>TABL12[[#This Row],[الفرق بين بداية ونهاية خط  S/S]]+TABL12[[#This Row],[الفرق بين بداية ونهاية خط  T/B]]</f>
        <v>72</v>
      </c>
      <c r="T263" s="9">
        <f t="shared" si="16"/>
        <v>932</v>
      </c>
      <c r="U263" s="9">
        <v>536</v>
      </c>
      <c r="V263" s="9">
        <v>297</v>
      </c>
      <c r="W263" s="9">
        <f t="shared" si="17"/>
        <v>833</v>
      </c>
      <c r="X263" s="9">
        <f t="shared" si="18"/>
        <v>99</v>
      </c>
      <c r="Y263" s="18">
        <v>92.716999999999999</v>
      </c>
      <c r="Z263" s="9">
        <v>626082</v>
      </c>
      <c r="AA263" s="9">
        <f>TABL12[[#This Row],[(RESV. STORGE) AJD]]/10</f>
        <v>62608.2</v>
      </c>
      <c r="AB263" s="3">
        <f t="shared" si="19"/>
        <v>61.497999999999998</v>
      </c>
      <c r="AC263" s="6">
        <v>0</v>
      </c>
      <c r="AD263" s="5">
        <f>TABL12[[#This Row],[( S/S+T/B) AJD]]-(TABL12[[#This Row],[(A/B + A/S) AJD]]+(TABL12[[#This Row],[(STORGE DIFF.) AJD]])+TABL12[[#This Row],[البخر  AJD]]/1000)</f>
        <v>37.501999999999953</v>
      </c>
      <c r="AE263" s="6">
        <v>20</v>
      </c>
      <c r="AF263" s="33">
        <v>58.994</v>
      </c>
      <c r="AG263" s="6">
        <v>1619688</v>
      </c>
      <c r="AH263" s="6">
        <f>TABL12[[#This Row],[ (RESV. STORGE) BER]]/10</f>
        <v>161968.79999999999</v>
      </c>
      <c r="AI263" s="6">
        <v>2967</v>
      </c>
      <c r="AJ263" s="6">
        <f>TABL12[[#This Row],[(A/B TOT) AJD]]-TABL12[[#This Row],[BER_ IN]]</f>
        <v>516</v>
      </c>
      <c r="AK263" s="6">
        <v>22</v>
      </c>
      <c r="AL263" s="33">
        <v>44.350999999999999</v>
      </c>
      <c r="AM263" s="6">
        <v>3845930</v>
      </c>
      <c r="AN263" s="6">
        <f>TABL12[[#This Row],[ (RESV. STORGE) SER]]/10</f>
        <v>384593</v>
      </c>
      <c r="AO263" s="6">
        <v>1940</v>
      </c>
      <c r="AP263" s="32">
        <f>TABL12[[#This Row],[(A/S TOT) AJD]]-TABL12[[#This Row],[SER_ IN]]</f>
        <v>275</v>
      </c>
    </row>
    <row r="264" spans="1:42" x14ac:dyDescent="0.25">
      <c r="A264" s="2">
        <v>45920</v>
      </c>
      <c r="B264" s="28">
        <v>41</v>
      </c>
      <c r="C264" s="28">
        <v>336</v>
      </c>
      <c r="D264" s="28">
        <v>41</v>
      </c>
      <c r="E264" s="35"/>
      <c r="F264" s="28">
        <v>103</v>
      </c>
      <c r="G264" s="28">
        <v>663</v>
      </c>
      <c r="H264" s="28"/>
      <c r="I264" s="28">
        <v>510</v>
      </c>
      <c r="J264" s="28">
        <v>496</v>
      </c>
      <c r="K264" s="28">
        <f>TABL12[[#This Row],[خط (T/B  TOT) SAR]]+TABL12[[#This Row],[خط (S/S  TOT) SAR2]]</f>
        <v>1006</v>
      </c>
      <c r="L264" s="28">
        <v>343</v>
      </c>
      <c r="M264" s="29">
        <v>25.9</v>
      </c>
      <c r="N264" s="30">
        <v>7.33</v>
      </c>
      <c r="O264" s="9">
        <v>444</v>
      </c>
      <c r="P264" s="9">
        <f>TABL12[[#This Row],[خط (S/S  TOT) SAR2]]-TABL12[[#This Row],[(S/S TOT) AJD]]</f>
        <v>52</v>
      </c>
      <c r="Q264" s="9">
        <v>484</v>
      </c>
      <c r="R264" s="9">
        <f>TABL12[[#This Row],[خط (T/B  TOT) SAR]]-TABL12[[#This Row],[(T/B TOT) AJD]]</f>
        <v>26</v>
      </c>
      <c r="S264" s="9">
        <f>TABL12[[#This Row],[الفرق بين بداية ونهاية خط  S/S]]+TABL12[[#This Row],[الفرق بين بداية ونهاية خط  T/B]]</f>
        <v>78</v>
      </c>
      <c r="T264" s="9">
        <f t="shared" si="16"/>
        <v>928</v>
      </c>
      <c r="U264" s="9">
        <v>532</v>
      </c>
      <c r="V264" s="9">
        <v>298</v>
      </c>
      <c r="W264" s="9">
        <f t="shared" si="17"/>
        <v>830</v>
      </c>
      <c r="X264" s="9">
        <f t="shared" si="18"/>
        <v>98</v>
      </c>
      <c r="Y264" s="18">
        <v>92.828999999999994</v>
      </c>
      <c r="Z264" s="9">
        <v>693049</v>
      </c>
      <c r="AA264" s="9">
        <f>TABL12[[#This Row],[(RESV. STORGE) AJD]]/10</f>
        <v>69304.899999999994</v>
      </c>
      <c r="AB264" s="3">
        <f t="shared" si="19"/>
        <v>66.966999999999999</v>
      </c>
      <c r="AC264" s="6">
        <v>0</v>
      </c>
      <c r="AD264" s="5">
        <f>TABL12[[#This Row],[( S/S+T/B) AJD]]-(TABL12[[#This Row],[(A/B + A/S) AJD]]+(TABL12[[#This Row],[(STORGE DIFF.) AJD]])+TABL12[[#This Row],[البخر  AJD]]/1000)</f>
        <v>31.033000000000015</v>
      </c>
      <c r="AE264" s="6">
        <v>20</v>
      </c>
      <c r="AF264" s="33">
        <v>58.959000000000003</v>
      </c>
      <c r="AG264" s="6">
        <v>1596588</v>
      </c>
      <c r="AH264" s="6">
        <f>TABL12[[#This Row],[ (RESV. STORGE) BER]]/10</f>
        <v>159658.79999999999</v>
      </c>
      <c r="AI264" s="6">
        <v>3259</v>
      </c>
      <c r="AJ264" s="6">
        <f>TABL12[[#This Row],[(A/B TOT) AJD]]-TABL12[[#This Row],[BER_ IN]]</f>
        <v>512</v>
      </c>
      <c r="AK264" s="6">
        <v>22</v>
      </c>
      <c r="AL264" s="33">
        <v>44.251199999999997</v>
      </c>
      <c r="AM264" s="6">
        <v>3791340</v>
      </c>
      <c r="AN264" s="6">
        <f>TABL12[[#This Row],[ (RESV. STORGE) SER]]/10</f>
        <v>379134</v>
      </c>
      <c r="AO264" s="6">
        <v>1890</v>
      </c>
      <c r="AP264" s="32">
        <f>TABL12[[#This Row],[(A/S TOT) AJD]]-TABL12[[#This Row],[SER_ IN]]</f>
        <v>276</v>
      </c>
    </row>
    <row r="265" spans="1:42" x14ac:dyDescent="0.25">
      <c r="A265" s="2">
        <v>45921</v>
      </c>
      <c r="B265" s="28">
        <v>41</v>
      </c>
      <c r="C265" s="28">
        <v>332</v>
      </c>
      <c r="D265" s="28">
        <v>41</v>
      </c>
      <c r="E265" s="35"/>
      <c r="F265" s="28">
        <v>103</v>
      </c>
      <c r="G265" s="28">
        <v>663</v>
      </c>
      <c r="H265" s="28"/>
      <c r="I265" s="28">
        <v>510</v>
      </c>
      <c r="J265" s="28">
        <v>496</v>
      </c>
      <c r="K265" s="28">
        <f>TABL12[[#This Row],[خط (T/B  TOT) SAR]]+TABL12[[#This Row],[خط (S/S  TOT) SAR2]]</f>
        <v>1006</v>
      </c>
      <c r="L265" s="28">
        <v>343</v>
      </c>
      <c r="M265" s="29">
        <v>25.9</v>
      </c>
      <c r="N265" s="30">
        <v>7.32</v>
      </c>
      <c r="O265" s="9">
        <v>444</v>
      </c>
      <c r="P265" s="9">
        <f>TABL12[[#This Row],[خط (S/S  TOT) SAR2]]-TABL12[[#This Row],[(S/S TOT) AJD]]</f>
        <v>52</v>
      </c>
      <c r="Q265" s="9">
        <v>485</v>
      </c>
      <c r="R265" s="9">
        <f>TABL12[[#This Row],[خط (T/B  TOT) SAR]]-TABL12[[#This Row],[(T/B TOT) AJD]]</f>
        <v>25</v>
      </c>
      <c r="S265" s="9">
        <f>TABL12[[#This Row],[الفرق بين بداية ونهاية خط  S/S]]+TABL12[[#This Row],[الفرق بين بداية ونهاية خط  T/B]]</f>
        <v>77</v>
      </c>
      <c r="T265" s="9">
        <f t="shared" si="16"/>
        <v>929</v>
      </c>
      <c r="U265" s="9">
        <v>530</v>
      </c>
      <c r="V265" s="9">
        <v>304</v>
      </c>
      <c r="W265" s="9">
        <f t="shared" si="17"/>
        <v>834</v>
      </c>
      <c r="X265" s="9">
        <f t="shared" si="18"/>
        <v>95</v>
      </c>
      <c r="Y265" s="18">
        <v>92.926000000000002</v>
      </c>
      <c r="Z265" s="9">
        <v>751131</v>
      </c>
      <c r="AA265" s="9">
        <f>TABL12[[#This Row],[(RESV. STORGE) AJD]]/10</f>
        <v>75113.100000000006</v>
      </c>
      <c r="AB265" s="3">
        <f t="shared" si="19"/>
        <v>58.082000000000001</v>
      </c>
      <c r="AC265" s="6">
        <v>0</v>
      </c>
      <c r="AD265" s="5">
        <f>TABL12[[#This Row],[( S/S+T/B) AJD]]-(TABL12[[#This Row],[(A/B + A/S) AJD]]+(TABL12[[#This Row],[(STORGE DIFF.) AJD]])+TABL12[[#This Row],[البخر  AJD]]/1000)</f>
        <v>36.918000000000006</v>
      </c>
      <c r="AE265" s="6">
        <v>20</v>
      </c>
      <c r="AF265" s="33">
        <v>58.926000000000002</v>
      </c>
      <c r="AG265" s="6">
        <v>1574818</v>
      </c>
      <c r="AH265" s="6">
        <f>TABL12[[#This Row],[ (RESV. STORGE) BER]]/10</f>
        <v>157481.79999999999</v>
      </c>
      <c r="AI265" s="6">
        <v>2926</v>
      </c>
      <c r="AJ265" s="6">
        <f>TABL12[[#This Row],[(A/B TOT) AJD]]-TABL12[[#This Row],[BER_ IN]]</f>
        <v>510</v>
      </c>
      <c r="AK265" s="6">
        <v>22</v>
      </c>
      <c r="AL265" s="33">
        <v>44.097700000000003</v>
      </c>
      <c r="AM265" s="6">
        <v>3707130</v>
      </c>
      <c r="AN265" s="6">
        <f>TABL12[[#This Row],[ (RESV. STORGE) SER]]/10</f>
        <v>370713</v>
      </c>
      <c r="AO265" s="6">
        <v>1810</v>
      </c>
      <c r="AP265" s="32">
        <f>TABL12[[#This Row],[(A/S TOT) AJD]]-TABL12[[#This Row],[SER_ IN]]</f>
        <v>282</v>
      </c>
    </row>
    <row r="266" spans="1:42" x14ac:dyDescent="0.25">
      <c r="A266" s="2">
        <v>45922</v>
      </c>
      <c r="B266" s="28">
        <v>40</v>
      </c>
      <c r="C266" s="28">
        <v>320</v>
      </c>
      <c r="D266" s="28">
        <v>40</v>
      </c>
      <c r="E266" s="35"/>
      <c r="F266" s="28">
        <v>103</v>
      </c>
      <c r="G266" s="28">
        <v>656</v>
      </c>
      <c r="H266" s="28"/>
      <c r="I266" s="28">
        <v>502</v>
      </c>
      <c r="J266" s="28">
        <v>496</v>
      </c>
      <c r="K266" s="28">
        <f>TABL12[[#This Row],[خط (T/B  TOT) SAR]]+TABL12[[#This Row],[خط (S/S  TOT) SAR2]]</f>
        <v>998</v>
      </c>
      <c r="L266" s="28">
        <v>342</v>
      </c>
      <c r="M266" s="29">
        <v>25.9</v>
      </c>
      <c r="N266" s="30">
        <v>7.29</v>
      </c>
      <c r="O266" s="9">
        <v>445</v>
      </c>
      <c r="P266" s="9">
        <f>TABL12[[#This Row],[خط (S/S  TOT) SAR2]]-TABL12[[#This Row],[(S/S TOT) AJD]]</f>
        <v>51</v>
      </c>
      <c r="Q266" s="9">
        <v>485</v>
      </c>
      <c r="R266" s="9">
        <f>TABL12[[#This Row],[خط (T/B  TOT) SAR]]-TABL12[[#This Row],[(T/B TOT) AJD]]</f>
        <v>17</v>
      </c>
      <c r="S266" s="9">
        <f>TABL12[[#This Row],[الفرق بين بداية ونهاية خط  S/S]]+TABL12[[#This Row],[الفرق بين بداية ونهاية خط  T/B]]</f>
        <v>68</v>
      </c>
      <c r="T266" s="9">
        <f t="shared" si="16"/>
        <v>930</v>
      </c>
      <c r="U266" s="9">
        <v>536</v>
      </c>
      <c r="V266" s="9">
        <v>291</v>
      </c>
      <c r="W266" s="9">
        <f t="shared" si="17"/>
        <v>827</v>
      </c>
      <c r="X266" s="9">
        <f t="shared" si="18"/>
        <v>103</v>
      </c>
      <c r="Y266" s="18">
        <v>93.039000000000001</v>
      </c>
      <c r="Z266" s="9">
        <v>818878</v>
      </c>
      <c r="AA266" s="9">
        <f>TABL12[[#This Row],[(RESV. STORGE) AJD]]/10</f>
        <v>81887.8</v>
      </c>
      <c r="AB266" s="3">
        <f t="shared" si="19"/>
        <v>67.747</v>
      </c>
      <c r="AC266" s="6">
        <v>0</v>
      </c>
      <c r="AD266" s="5">
        <f>TABL12[[#This Row],[( S/S+T/B) AJD]]-(TABL12[[#This Row],[(A/B + A/S) AJD]]+(TABL12[[#This Row],[(STORGE DIFF.) AJD]])+TABL12[[#This Row],[البخر  AJD]]/1000)</f>
        <v>35.253000000000043</v>
      </c>
      <c r="AE266" s="6">
        <v>20</v>
      </c>
      <c r="AF266" s="33">
        <v>58.890999999999998</v>
      </c>
      <c r="AG266" s="6">
        <v>1551738</v>
      </c>
      <c r="AH266" s="6">
        <f>TABL12[[#This Row],[ (RESV. STORGE) BER]]/10</f>
        <v>155173.79999999999</v>
      </c>
      <c r="AI266" s="6">
        <v>3239</v>
      </c>
      <c r="AJ266" s="6">
        <f>TABL12[[#This Row],[(A/B TOT) AJD]]-TABL12[[#This Row],[BER_ IN]]</f>
        <v>516</v>
      </c>
      <c r="AK266" s="6">
        <v>36</v>
      </c>
      <c r="AL266" s="33">
        <v>43.960599999999999</v>
      </c>
      <c r="AM266" s="6">
        <v>3631890</v>
      </c>
      <c r="AN266" s="6">
        <f>TABL12[[#This Row],[ (RESV. STORGE) SER]]/10</f>
        <v>363189</v>
      </c>
      <c r="AO266" s="6">
        <v>1840</v>
      </c>
      <c r="AP266" s="32">
        <f>TABL12[[#This Row],[(A/S TOT) AJD]]-TABL12[[#This Row],[SER_ IN]]</f>
        <v>255</v>
      </c>
    </row>
    <row r="267" spans="1:42" x14ac:dyDescent="0.25">
      <c r="A267" s="2">
        <v>45923</v>
      </c>
      <c r="B267" s="28">
        <v>40</v>
      </c>
      <c r="C267" s="28">
        <v>322</v>
      </c>
      <c r="D267" s="28">
        <v>40</v>
      </c>
      <c r="E267" s="35"/>
      <c r="F267" s="28">
        <v>103</v>
      </c>
      <c r="G267" s="28">
        <v>663</v>
      </c>
      <c r="H267" s="28"/>
      <c r="I267" s="28">
        <v>508</v>
      </c>
      <c r="J267" s="28">
        <v>495</v>
      </c>
      <c r="K267" s="28">
        <f>TABL12[[#This Row],[خط (T/B  TOT) SAR]]+TABL12[[#This Row],[خط (S/S  TOT) SAR2]]</f>
        <v>1003</v>
      </c>
      <c r="L267" s="28">
        <v>340</v>
      </c>
      <c r="M267" s="29">
        <v>25.9</v>
      </c>
      <c r="N267" s="30">
        <v>7.2</v>
      </c>
      <c r="O267" s="9">
        <v>445</v>
      </c>
      <c r="P267" s="9">
        <f>TABL12[[#This Row],[خط (S/S  TOT) SAR2]]-TABL12[[#This Row],[(S/S TOT) AJD]]</f>
        <v>50</v>
      </c>
      <c r="Q267" s="9">
        <v>484</v>
      </c>
      <c r="R267" s="9">
        <f>TABL12[[#This Row],[خط (T/B  TOT) SAR]]-TABL12[[#This Row],[(T/B TOT) AJD]]</f>
        <v>24</v>
      </c>
      <c r="S267" s="9">
        <f>TABL12[[#This Row],[الفرق بين بداية ونهاية خط  S/S]]+TABL12[[#This Row],[الفرق بين بداية ونهاية خط  T/B]]</f>
        <v>74</v>
      </c>
      <c r="T267" s="9">
        <f t="shared" si="16"/>
        <v>929</v>
      </c>
      <c r="U267" s="9">
        <v>527</v>
      </c>
      <c r="V267" s="9">
        <v>319</v>
      </c>
      <c r="W267" s="9">
        <f t="shared" si="17"/>
        <v>846</v>
      </c>
      <c r="X267" s="9">
        <f t="shared" si="18"/>
        <v>83</v>
      </c>
      <c r="Y267" s="18">
        <v>93.111000000000004</v>
      </c>
      <c r="Z267" s="9">
        <v>862121</v>
      </c>
      <c r="AA267" s="9">
        <f>TABL12[[#This Row],[(RESV. STORGE) AJD]]/10</f>
        <v>86212.1</v>
      </c>
      <c r="AB267" s="3">
        <f t="shared" si="19"/>
        <v>43.243000000000002</v>
      </c>
      <c r="AC267" s="6">
        <v>2321</v>
      </c>
      <c r="AD267" s="5">
        <f>TABL12[[#This Row],[( S/S+T/B) AJD]]-(TABL12[[#This Row],[(A/B + A/S) AJD]]+(TABL12[[#This Row],[(STORGE DIFF.) AJD]])+TABL12[[#This Row],[البخر  AJD]]/1000)</f>
        <v>37.435999999999922</v>
      </c>
      <c r="AE267" s="6">
        <v>34</v>
      </c>
      <c r="AF267" s="33">
        <v>58.878</v>
      </c>
      <c r="AG267" s="6">
        <v>1543369</v>
      </c>
      <c r="AH267" s="6">
        <f>TABL12[[#This Row],[ (RESV. STORGE) BER]]/10</f>
        <v>154336.9</v>
      </c>
      <c r="AI267" s="6">
        <v>2729</v>
      </c>
      <c r="AJ267" s="6">
        <f>TABL12[[#This Row],[(A/B TOT) AJD]]-TABL12[[#This Row],[BER_ IN]]</f>
        <v>493</v>
      </c>
      <c r="AK267" s="6">
        <v>61</v>
      </c>
      <c r="AL267" s="33">
        <v>44.014200000000002</v>
      </c>
      <c r="AM267" s="6">
        <v>3660980</v>
      </c>
      <c r="AN267" s="6">
        <f>TABL12[[#This Row],[ (RESV. STORGE) SER]]/10</f>
        <v>366098</v>
      </c>
      <c r="AO267" s="6">
        <v>1910</v>
      </c>
      <c r="AP267" s="32">
        <f>TABL12[[#This Row],[(A/S TOT) AJD]]-TABL12[[#This Row],[SER_ IN]]</f>
        <v>258</v>
      </c>
    </row>
    <row r="268" spans="1:42" x14ac:dyDescent="0.25">
      <c r="A268" s="2">
        <v>45924</v>
      </c>
      <c r="B268" s="28">
        <v>39</v>
      </c>
      <c r="C268" s="28">
        <v>313</v>
      </c>
      <c r="D268" s="28">
        <v>39</v>
      </c>
      <c r="E268" s="35"/>
      <c r="F268" s="28">
        <v>103</v>
      </c>
      <c r="G268" s="28">
        <v>660</v>
      </c>
      <c r="H268" s="28"/>
      <c r="I268" s="28">
        <v>505</v>
      </c>
      <c r="J268" s="28">
        <v>493</v>
      </c>
      <c r="K268" s="28">
        <f>TABL12[[#This Row],[خط (T/B  TOT) SAR]]+TABL12[[#This Row],[خط (S/S  TOT) SAR2]]</f>
        <v>998</v>
      </c>
      <c r="L268" s="28">
        <v>338</v>
      </c>
      <c r="M268" s="29">
        <v>25.9</v>
      </c>
      <c r="N268" s="30">
        <v>7.06</v>
      </c>
      <c r="O268" s="9">
        <v>484</v>
      </c>
      <c r="P268" s="9">
        <f>TABL12[[#This Row],[خط (S/S  TOT) SAR2]]-TABL12[[#This Row],[(S/S TOT) AJD]]</f>
        <v>9</v>
      </c>
      <c r="Q268" s="9">
        <v>445</v>
      </c>
      <c r="R268" s="9">
        <f>TABL12[[#This Row],[خط (T/B  TOT) SAR]]-TABL12[[#This Row],[(T/B TOT) AJD]]</f>
        <v>60</v>
      </c>
      <c r="S268" s="9">
        <f>TABL12[[#This Row],[الفرق بين بداية ونهاية خط  S/S]]+TABL12[[#This Row],[الفرق بين بداية ونهاية خط  T/B]]</f>
        <v>69</v>
      </c>
      <c r="T268" s="9">
        <f t="shared" si="16"/>
        <v>929</v>
      </c>
      <c r="U268" s="9">
        <v>537</v>
      </c>
      <c r="V268" s="9">
        <v>362</v>
      </c>
      <c r="W268" s="9">
        <f t="shared" si="17"/>
        <v>899</v>
      </c>
      <c r="X268" s="9">
        <f t="shared" si="18"/>
        <v>30</v>
      </c>
      <c r="Y268" s="18">
        <v>93.093000000000004</v>
      </c>
      <c r="Z268" s="9">
        <v>851311</v>
      </c>
      <c r="AA268" s="9">
        <f>TABL12[[#This Row],[(RESV. STORGE) AJD]]/10</f>
        <v>85131.1</v>
      </c>
      <c r="AB268" s="3">
        <f t="shared" si="19"/>
        <v>-10.81</v>
      </c>
      <c r="AC268" s="6">
        <v>3212</v>
      </c>
      <c r="AD268" s="5">
        <f>TABL12[[#This Row],[( S/S+T/B) AJD]]-(TABL12[[#This Row],[(A/B + A/S) AJD]]+(TABL12[[#This Row],[(STORGE DIFF.) AJD]])+TABL12[[#This Row],[البخر  AJD]]/1000)</f>
        <v>37.597999999999956</v>
      </c>
      <c r="AE268" s="6">
        <v>40</v>
      </c>
      <c r="AF268" s="33">
        <v>58.874000000000002</v>
      </c>
      <c r="AG268" s="6">
        <v>1540532</v>
      </c>
      <c r="AH268" s="6">
        <f>TABL12[[#This Row],[ (RESV. STORGE) BER]]/10</f>
        <v>154053.20000000001</v>
      </c>
      <c r="AI268" s="6">
        <v>2796</v>
      </c>
      <c r="AJ268" s="6">
        <f>TABL12[[#This Row],[(A/B TOT) AJD]]-TABL12[[#This Row],[BER_ IN]]</f>
        <v>497</v>
      </c>
      <c r="AK268" s="6">
        <v>68</v>
      </c>
      <c r="AL268" s="33">
        <v>44.112499999999997</v>
      </c>
      <c r="AM268" s="6">
        <v>3715380</v>
      </c>
      <c r="AN268" s="6">
        <f>TABL12[[#This Row],[ (RESV. STORGE) SER]]/10</f>
        <v>371538</v>
      </c>
      <c r="AO268" s="6">
        <v>1800</v>
      </c>
      <c r="AP268" s="32">
        <f>TABL12[[#This Row],[(A/S TOT) AJD]]-TABL12[[#This Row],[SER_ IN]]</f>
        <v>294</v>
      </c>
    </row>
    <row r="269" spans="1:42" x14ac:dyDescent="0.25">
      <c r="A269" s="2">
        <v>45925</v>
      </c>
      <c r="B269" s="28">
        <v>39</v>
      </c>
      <c r="C269" s="28">
        <v>318</v>
      </c>
      <c r="D269" s="28">
        <v>39</v>
      </c>
      <c r="E269" s="35"/>
      <c r="F269" s="28">
        <v>103</v>
      </c>
      <c r="G269" s="28">
        <v>664</v>
      </c>
      <c r="H269" s="28"/>
      <c r="I269" s="28">
        <v>491</v>
      </c>
      <c r="J269" s="28">
        <v>483</v>
      </c>
      <c r="K269" s="28">
        <f>TABL12[[#This Row],[خط (T/B  TOT) SAR]]+TABL12[[#This Row],[خط (S/S  TOT) SAR2]]</f>
        <v>974</v>
      </c>
      <c r="L269" s="28">
        <v>310</v>
      </c>
      <c r="M269" s="29">
        <v>24.6</v>
      </c>
      <c r="N269" s="30">
        <v>7.17</v>
      </c>
      <c r="O269" s="9">
        <v>440</v>
      </c>
      <c r="P269" s="9">
        <f>TABL12[[#This Row],[خط (S/S  TOT) SAR2]]-TABL12[[#This Row],[(S/S TOT) AJD]]</f>
        <v>43</v>
      </c>
      <c r="Q269" s="9">
        <v>482</v>
      </c>
      <c r="R269" s="9">
        <f>TABL12[[#This Row],[خط (T/B  TOT) SAR]]-TABL12[[#This Row],[(T/B TOT) AJD]]</f>
        <v>9</v>
      </c>
      <c r="S269" s="9">
        <f>TABL12[[#This Row],[الفرق بين بداية ونهاية خط  S/S]]+TABL12[[#This Row],[الفرق بين بداية ونهاية خط  T/B]]</f>
        <v>52</v>
      </c>
      <c r="T269" s="9">
        <f t="shared" si="16"/>
        <v>922</v>
      </c>
      <c r="U269" s="9">
        <v>530</v>
      </c>
      <c r="V269" s="9">
        <v>372</v>
      </c>
      <c r="W269" s="9">
        <f t="shared" si="17"/>
        <v>902</v>
      </c>
      <c r="X269" s="9">
        <f t="shared" si="18"/>
        <v>20</v>
      </c>
      <c r="Y269" s="18">
        <v>93.055999999999997</v>
      </c>
      <c r="Z269" s="9">
        <v>827894</v>
      </c>
      <c r="AA269" s="9">
        <f>TABL12[[#This Row],[(RESV. STORGE) AJD]]/10</f>
        <v>82789.399999999994</v>
      </c>
      <c r="AB269" s="3">
        <f t="shared" si="19"/>
        <v>-23.417000000000002</v>
      </c>
      <c r="AC269" s="6">
        <v>2286</v>
      </c>
      <c r="AD269" s="5">
        <f>TABL12[[#This Row],[( S/S+T/B) AJD]]-(TABL12[[#This Row],[(A/B + A/S) AJD]]+(TABL12[[#This Row],[(STORGE DIFF.) AJD]])+TABL12[[#This Row],[البخر  AJD]]/1000)</f>
        <v>41.131000000000085</v>
      </c>
      <c r="AE269" s="6">
        <v>44</v>
      </c>
      <c r="AF269" s="33">
        <v>58.877000000000002</v>
      </c>
      <c r="AG269" s="6">
        <v>1542510</v>
      </c>
      <c r="AH269" s="6">
        <f>TABL12[[#This Row],[ (RESV. STORGE) BER]]/10</f>
        <v>154251</v>
      </c>
      <c r="AI269" s="6">
        <v>3012</v>
      </c>
      <c r="AJ269" s="6">
        <f>TABL12[[#This Row],[(A/B TOT) AJD]]-TABL12[[#This Row],[BER_ IN]]</f>
        <v>486</v>
      </c>
      <c r="AK269" s="6">
        <v>77</v>
      </c>
      <c r="AL269" s="33">
        <v>44.231499999999997</v>
      </c>
      <c r="AM269" s="6">
        <v>3780860</v>
      </c>
      <c r="AN269" s="6">
        <f>TABL12[[#This Row],[ (RESV. STORGE) SER]]/10</f>
        <v>378086</v>
      </c>
      <c r="AO269" s="6">
        <v>1920</v>
      </c>
      <c r="AP269" s="32">
        <f>TABL12[[#This Row],[(A/S TOT) AJD]]-TABL12[[#This Row],[SER_ IN]]</f>
        <v>295</v>
      </c>
    </row>
    <row r="270" spans="1:42" x14ac:dyDescent="0.25">
      <c r="A270" s="2">
        <v>45926</v>
      </c>
      <c r="B270" s="28">
        <v>39</v>
      </c>
      <c r="C270" s="28">
        <v>320</v>
      </c>
      <c r="D270" s="28">
        <v>39</v>
      </c>
      <c r="E270" s="35"/>
      <c r="F270" s="28">
        <v>103</v>
      </c>
      <c r="G270" s="28">
        <v>714</v>
      </c>
      <c r="H270" s="28"/>
      <c r="I270" s="28">
        <v>494</v>
      </c>
      <c r="J270" s="28">
        <v>481</v>
      </c>
      <c r="K270" s="28">
        <f>TABL12[[#This Row],[خط (T/B  TOT) SAR]]+TABL12[[#This Row],[خط (S/S  TOT) SAR2]]</f>
        <v>975</v>
      </c>
      <c r="L270" s="28">
        <v>311</v>
      </c>
      <c r="M270" s="29">
        <v>24.6</v>
      </c>
      <c r="N270" s="30">
        <v>7.25</v>
      </c>
      <c r="O270" s="9">
        <v>428</v>
      </c>
      <c r="P270" s="9">
        <f>TABL12[[#This Row],[خط (S/S  TOT) SAR2]]-TABL12[[#This Row],[(S/S TOT) AJD]]</f>
        <v>53</v>
      </c>
      <c r="Q270" s="9">
        <v>469</v>
      </c>
      <c r="R270" s="9">
        <f>TABL12[[#This Row],[خط (T/B  TOT) SAR]]-TABL12[[#This Row],[(T/B TOT) AJD]]</f>
        <v>25</v>
      </c>
      <c r="S270" s="9">
        <f>TABL12[[#This Row],[الفرق بين بداية ونهاية خط  S/S]]+TABL12[[#This Row],[الفرق بين بداية ونهاية خط  T/B]]</f>
        <v>78</v>
      </c>
      <c r="T270" s="9">
        <f t="shared" si="16"/>
        <v>897</v>
      </c>
      <c r="U270" s="9">
        <v>533</v>
      </c>
      <c r="V270" s="9">
        <v>357</v>
      </c>
      <c r="W270" s="9">
        <f t="shared" si="17"/>
        <v>890</v>
      </c>
      <c r="X270" s="9">
        <f t="shared" si="18"/>
        <v>7</v>
      </c>
      <c r="Y270" s="18">
        <v>92.998000000000005</v>
      </c>
      <c r="Z270" s="9">
        <v>794293</v>
      </c>
      <c r="AA270" s="9">
        <f>TABL12[[#This Row],[(RESV. STORGE) AJD]]/10</f>
        <v>79429.3</v>
      </c>
      <c r="AB270" s="3">
        <f t="shared" si="19"/>
        <v>-33.600999999999999</v>
      </c>
      <c r="AC270" s="6">
        <v>2317</v>
      </c>
      <c r="AD270" s="5">
        <f>TABL12[[#This Row],[( S/S+T/B) AJD]]-(TABL12[[#This Row],[(A/B + A/S) AJD]]+(TABL12[[#This Row],[(STORGE DIFF.) AJD]])+TABL12[[#This Row],[البخر  AJD]]/1000)</f>
        <v>38.283999999999992</v>
      </c>
      <c r="AE270" s="6">
        <v>50</v>
      </c>
      <c r="AF270" s="33">
        <v>58.887</v>
      </c>
      <c r="AG270" s="6">
        <v>1549101</v>
      </c>
      <c r="AH270" s="6">
        <f>TABL12[[#This Row],[ (RESV. STORGE) BER]]/10</f>
        <v>154910.1</v>
      </c>
      <c r="AI270" s="6">
        <v>3568</v>
      </c>
      <c r="AJ270" s="6">
        <f>TABL12[[#This Row],[(A/B TOT) AJD]]-TABL12[[#This Row],[BER_ IN]]</f>
        <v>483</v>
      </c>
      <c r="AK270" s="6">
        <v>82</v>
      </c>
      <c r="AL270" s="33">
        <v>44.350099999999998</v>
      </c>
      <c r="AM270" s="6">
        <v>3845930</v>
      </c>
      <c r="AN270" s="6">
        <f>TABL12[[#This Row],[ (RESV. STORGE) SER]]/10</f>
        <v>384593</v>
      </c>
      <c r="AO270" s="6">
        <v>1930</v>
      </c>
      <c r="AP270" s="32">
        <f>TABL12[[#This Row],[(A/S TOT) AJD]]-TABL12[[#This Row],[SER_ IN]]</f>
        <v>275</v>
      </c>
    </row>
    <row r="271" spans="1:42" x14ac:dyDescent="0.25">
      <c r="A271" s="2">
        <v>45927</v>
      </c>
      <c r="B271" s="28">
        <v>39</v>
      </c>
      <c r="C271" s="28">
        <v>329</v>
      </c>
      <c r="D271" s="28">
        <v>39</v>
      </c>
      <c r="E271" s="35"/>
      <c r="F271" s="28">
        <v>103</v>
      </c>
      <c r="G271" s="28">
        <v>654</v>
      </c>
      <c r="H271" s="28"/>
      <c r="I271" s="28">
        <v>490</v>
      </c>
      <c r="J271" s="28">
        <v>477</v>
      </c>
      <c r="K271" s="28">
        <f>TABL12[[#This Row],[خط (T/B  TOT) SAR]]+TABL12[[#This Row],[خط (S/S  TOT) SAR2]]</f>
        <v>967</v>
      </c>
      <c r="L271" s="28">
        <v>313</v>
      </c>
      <c r="M271" s="29">
        <v>24.6</v>
      </c>
      <c r="N271" s="30">
        <v>7.37</v>
      </c>
      <c r="O271" s="9">
        <v>434</v>
      </c>
      <c r="P271" s="9">
        <f>TABL12[[#This Row],[خط (S/S  TOT) SAR2]]-TABL12[[#This Row],[(S/S TOT) AJD]]</f>
        <v>43</v>
      </c>
      <c r="Q271" s="9">
        <v>471</v>
      </c>
      <c r="R271" s="9">
        <f>TABL12[[#This Row],[خط (T/B  TOT) SAR]]-TABL12[[#This Row],[(T/B TOT) AJD]]</f>
        <v>19</v>
      </c>
      <c r="S271" s="9">
        <f>TABL12[[#This Row],[الفرق بين بداية ونهاية خط  S/S]]+TABL12[[#This Row],[الفرق بين بداية ونهاية خط  T/B]]</f>
        <v>62</v>
      </c>
      <c r="T271" s="9">
        <f t="shared" si="16"/>
        <v>905</v>
      </c>
      <c r="U271" s="9">
        <v>537</v>
      </c>
      <c r="V271" s="9">
        <v>365</v>
      </c>
      <c r="W271" s="9">
        <f t="shared" si="17"/>
        <v>902</v>
      </c>
      <c r="X271" s="9">
        <f t="shared" si="18"/>
        <v>3</v>
      </c>
      <c r="Y271" s="18">
        <v>92.945999999999998</v>
      </c>
      <c r="Z271" s="9">
        <v>763115</v>
      </c>
      <c r="AA271" s="9">
        <f>TABL12[[#This Row],[(RESV. STORGE) AJD]]/10</f>
        <v>76311.5</v>
      </c>
      <c r="AB271" s="3">
        <f t="shared" si="19"/>
        <v>-31.178000000000001</v>
      </c>
      <c r="AC271" s="6">
        <v>2740</v>
      </c>
      <c r="AD271" s="5">
        <f>TABL12[[#This Row],[( S/S+T/B) AJD]]-(TABL12[[#This Row],[(A/B + A/S) AJD]]+(TABL12[[#This Row],[(STORGE DIFF.) AJD]])+TABL12[[#This Row],[البخر  AJD]]/1000)</f>
        <v>31.437999999999988</v>
      </c>
      <c r="AE271" s="6">
        <v>50</v>
      </c>
      <c r="AF271" s="33">
        <v>58.898000000000003</v>
      </c>
      <c r="AG271" s="6">
        <v>1556353</v>
      </c>
      <c r="AH271" s="6">
        <f>TABL12[[#This Row],[ (RESV. STORGE) BER]]/10</f>
        <v>155635.29999999999</v>
      </c>
      <c r="AI271" s="6">
        <v>2907</v>
      </c>
      <c r="AJ271" s="6">
        <f>TABL12[[#This Row],[(A/B TOT) AJD]]-TABL12[[#This Row],[BER_ IN]]</f>
        <v>487</v>
      </c>
      <c r="AK271" s="6">
        <v>82</v>
      </c>
      <c r="AL271" s="33">
        <v>44.495899999999999</v>
      </c>
      <c r="AM271" s="6">
        <v>3926130</v>
      </c>
      <c r="AN271" s="6">
        <f>TABL12[[#This Row],[ (RESV. STORGE) SER]]/10</f>
        <v>392613</v>
      </c>
      <c r="AO271" s="6">
        <v>1800</v>
      </c>
      <c r="AP271" s="32">
        <f>TABL12[[#This Row],[(A/S TOT) AJD]]-TABL12[[#This Row],[SER_ IN]]</f>
        <v>283</v>
      </c>
    </row>
    <row r="272" spans="1:42" x14ac:dyDescent="0.25">
      <c r="A272" s="2">
        <v>45928</v>
      </c>
      <c r="B272" s="28">
        <v>39</v>
      </c>
      <c r="C272" s="28">
        <v>349</v>
      </c>
      <c r="D272" s="28">
        <v>39</v>
      </c>
      <c r="E272" s="35"/>
      <c r="F272" s="28">
        <v>103</v>
      </c>
      <c r="G272" s="28">
        <v>653</v>
      </c>
      <c r="H272" s="28"/>
      <c r="I272" s="28">
        <v>490</v>
      </c>
      <c r="J272" s="28">
        <v>478</v>
      </c>
      <c r="K272" s="28">
        <f>TABL12[[#This Row],[خط (T/B  TOT) SAR]]+TABL12[[#This Row],[خط (S/S  TOT) SAR2]]</f>
        <v>968</v>
      </c>
      <c r="L272" s="28">
        <v>315</v>
      </c>
      <c r="M272" s="29">
        <v>24.6</v>
      </c>
      <c r="N272" s="30">
        <v>7.46</v>
      </c>
      <c r="O272" s="9">
        <v>430</v>
      </c>
      <c r="P272" s="9">
        <f>TABL12[[#This Row],[خط (S/S  TOT) SAR2]]-TABL12[[#This Row],[(S/S TOT) AJD]]</f>
        <v>48</v>
      </c>
      <c r="Q272" s="9">
        <v>469</v>
      </c>
      <c r="R272" s="9">
        <f>TABL12[[#This Row],[خط (T/B  TOT) SAR]]-TABL12[[#This Row],[(T/B TOT) AJD]]</f>
        <v>21</v>
      </c>
      <c r="S272" s="9">
        <f>TABL12[[#This Row],[الفرق بين بداية ونهاية خط  S/S]]+TABL12[[#This Row],[الفرق بين بداية ونهاية خط  T/B]]</f>
        <v>69</v>
      </c>
      <c r="T272" s="9">
        <f t="shared" si="16"/>
        <v>899</v>
      </c>
      <c r="U272" s="9">
        <v>534</v>
      </c>
      <c r="V272" s="9">
        <v>357</v>
      </c>
      <c r="W272" s="9">
        <f t="shared" si="17"/>
        <v>891</v>
      </c>
      <c r="X272" s="9">
        <f t="shared" si="18"/>
        <v>8</v>
      </c>
      <c r="Y272" s="18">
        <v>92.891000000000005</v>
      </c>
      <c r="Z272" s="9">
        <v>730163</v>
      </c>
      <c r="AA272" s="9">
        <f>TABL12[[#This Row],[(RESV. STORGE) AJD]]/10</f>
        <v>73016.3</v>
      </c>
      <c r="AB272" s="3">
        <f t="shared" si="19"/>
        <v>-32.951999999999998</v>
      </c>
      <c r="AC272" s="6">
        <v>0</v>
      </c>
      <c r="AD272" s="5">
        <f>TABL12[[#This Row],[( S/S+T/B) AJD]]-(TABL12[[#This Row],[(A/B + A/S) AJD]]+(TABL12[[#This Row],[(STORGE DIFF.) AJD]])+TABL12[[#This Row],[البخر  AJD]]/1000)</f>
        <v>40.951999999999998</v>
      </c>
      <c r="AE272" s="6">
        <v>50</v>
      </c>
      <c r="AF272" s="33">
        <v>58.908999999999999</v>
      </c>
      <c r="AG272" s="6">
        <v>1563607</v>
      </c>
      <c r="AH272" s="6">
        <f>TABL12[[#This Row],[ (RESV. STORGE) BER]]/10</f>
        <v>156360.70000000001</v>
      </c>
      <c r="AI272" s="6">
        <v>2906</v>
      </c>
      <c r="AJ272" s="6">
        <f>TABL12[[#This Row],[(A/B TOT) AJD]]-TABL12[[#This Row],[BER_ IN]]</f>
        <v>484</v>
      </c>
      <c r="AK272" s="6">
        <v>82</v>
      </c>
      <c r="AL272" s="33">
        <v>44.642800000000001</v>
      </c>
      <c r="AM272" s="6">
        <v>4007900</v>
      </c>
      <c r="AN272" s="6">
        <f>TABL12[[#This Row],[ (RESV. STORGE) SER]]/10</f>
        <v>400790</v>
      </c>
      <c r="AO272" s="6">
        <v>230</v>
      </c>
      <c r="AP272" s="32">
        <f>TABL12[[#This Row],[(A/S TOT) AJD]]-TABL12[[#This Row],[SER_ IN]]</f>
        <v>275</v>
      </c>
    </row>
    <row r="273" spans="1:42" x14ac:dyDescent="0.25">
      <c r="A273" s="2">
        <v>45929</v>
      </c>
      <c r="B273" s="28">
        <v>39</v>
      </c>
      <c r="C273" s="28">
        <v>317</v>
      </c>
      <c r="D273" s="28">
        <v>39</v>
      </c>
      <c r="E273" s="35"/>
      <c r="F273" s="28">
        <v>103</v>
      </c>
      <c r="G273" s="28">
        <v>654</v>
      </c>
      <c r="H273" s="28"/>
      <c r="I273" s="28">
        <v>491</v>
      </c>
      <c r="J273" s="28">
        <v>478</v>
      </c>
      <c r="K273" s="28">
        <f>TABL12[[#This Row],[خط (T/B  TOT) SAR]]+TABL12[[#This Row],[خط (S/S  TOT) SAR2]]</f>
        <v>969</v>
      </c>
      <c r="L273" s="28">
        <v>315</v>
      </c>
      <c r="M273" s="29">
        <v>24.6</v>
      </c>
      <c r="N273" s="30">
        <v>7.46</v>
      </c>
      <c r="O273" s="9">
        <v>432</v>
      </c>
      <c r="P273" s="9">
        <f>TABL12[[#This Row],[خط (S/S  TOT) SAR2]]-TABL12[[#This Row],[(S/S TOT) AJD]]</f>
        <v>46</v>
      </c>
      <c r="Q273" s="9">
        <v>468</v>
      </c>
      <c r="R273" s="9">
        <f>TABL12[[#This Row],[خط (T/B  TOT) SAR]]-TABL12[[#This Row],[(T/B TOT) AJD]]</f>
        <v>23</v>
      </c>
      <c r="S273" s="9">
        <f>TABL12[[#This Row],[الفرق بين بداية ونهاية خط  S/S]]+TABL12[[#This Row],[الفرق بين بداية ونهاية خط  T/B]]</f>
        <v>69</v>
      </c>
      <c r="T273" s="9">
        <f t="shared" si="16"/>
        <v>900</v>
      </c>
      <c r="U273" s="9">
        <v>534</v>
      </c>
      <c r="V273" s="9">
        <v>339</v>
      </c>
      <c r="W273" s="9">
        <f t="shared" si="17"/>
        <v>873</v>
      </c>
      <c r="X273" s="9">
        <f t="shared" si="18"/>
        <v>27</v>
      </c>
      <c r="Y273" s="18">
        <v>92.881</v>
      </c>
      <c r="Z273" s="9">
        <v>724173</v>
      </c>
      <c r="AA273" s="9">
        <f>TABL12[[#This Row],[(RESV. STORGE) AJD]]/10</f>
        <v>72417.3</v>
      </c>
      <c r="AB273" s="3">
        <f t="shared" si="19"/>
        <v>-5.99</v>
      </c>
      <c r="AC273" s="6">
        <v>2486</v>
      </c>
      <c r="AD273" s="5">
        <f>TABL12[[#This Row],[( S/S+T/B) AJD]]-(TABL12[[#This Row],[(A/B + A/S) AJD]]+(TABL12[[#This Row],[(STORGE DIFF.) AJD]])+TABL12[[#This Row],[البخر  AJD]]/1000)</f>
        <v>30.504000000000019</v>
      </c>
      <c r="AE273" s="6">
        <v>50</v>
      </c>
      <c r="AF273" s="33">
        <v>58.92</v>
      </c>
      <c r="AG273" s="6">
        <v>1570861</v>
      </c>
      <c r="AH273" s="6">
        <f>TABL12[[#This Row],[ (RESV. STORGE) BER]]/10</f>
        <v>157086.1</v>
      </c>
      <c r="AI273" s="6">
        <v>2905</v>
      </c>
      <c r="AJ273" s="6">
        <f>TABL12[[#This Row],[(A/B TOT) AJD]]-TABL12[[#This Row],[BER_ IN]]</f>
        <v>484</v>
      </c>
      <c r="AK273" s="6">
        <v>82</v>
      </c>
      <c r="AL273" s="33">
        <v>44.786499999999997</v>
      </c>
      <c r="AM273" s="6">
        <v>4087800</v>
      </c>
      <c r="AN273" s="6">
        <f>TABL12[[#This Row],[ (RESV. STORGE) SER]]/10</f>
        <v>408780</v>
      </c>
      <c r="AO273" s="6">
        <v>1600</v>
      </c>
      <c r="AP273" s="32">
        <f>TABL12[[#This Row],[(A/S TOT) AJD]]-TABL12[[#This Row],[SER_ IN]]</f>
        <v>257</v>
      </c>
    </row>
    <row r="274" spans="1:42" x14ac:dyDescent="0.25">
      <c r="A274" s="2">
        <v>45930</v>
      </c>
      <c r="B274" s="28">
        <v>39</v>
      </c>
      <c r="C274" s="28">
        <v>322</v>
      </c>
      <c r="D274" s="28">
        <v>39</v>
      </c>
      <c r="E274" s="35"/>
      <c r="F274" s="28">
        <v>103</v>
      </c>
      <c r="G274" s="28">
        <v>652</v>
      </c>
      <c r="H274" s="28"/>
      <c r="I274" s="28">
        <v>491</v>
      </c>
      <c r="J274" s="28">
        <v>477</v>
      </c>
      <c r="K274" s="28">
        <f>TABL12[[#This Row],[خط (T/B  TOT) SAR]]+TABL12[[#This Row],[خط (S/S  TOT) SAR2]]</f>
        <v>968</v>
      </c>
      <c r="L274" s="28">
        <v>316</v>
      </c>
      <c r="M274" s="29">
        <v>24.6</v>
      </c>
      <c r="N274" s="30">
        <v>7.58</v>
      </c>
      <c r="O274" s="9">
        <v>429</v>
      </c>
      <c r="P274" s="9">
        <f>TABL12[[#This Row],[خط (S/S  TOT) SAR2]]-TABL12[[#This Row],[(S/S TOT) AJD]]</f>
        <v>48</v>
      </c>
      <c r="Q274" s="9">
        <v>468</v>
      </c>
      <c r="R274" s="9">
        <f>TABL12[[#This Row],[خط (T/B  TOT) SAR]]-TABL12[[#This Row],[(T/B TOT) AJD]]</f>
        <v>23</v>
      </c>
      <c r="S274" s="9">
        <f>TABL12[[#This Row],[الفرق بين بداية ونهاية خط  S/S]]+TABL12[[#This Row],[الفرق بين بداية ونهاية خط  T/B]]</f>
        <v>71</v>
      </c>
      <c r="T274" s="9">
        <f t="shared" si="16"/>
        <v>897</v>
      </c>
      <c r="U274" s="9">
        <v>536</v>
      </c>
      <c r="V274" s="9">
        <v>349</v>
      </c>
      <c r="W274" s="9">
        <f t="shared" si="17"/>
        <v>885</v>
      </c>
      <c r="X274" s="9">
        <f t="shared" si="18"/>
        <v>12</v>
      </c>
      <c r="Y274" s="18">
        <v>92.834000000000003</v>
      </c>
      <c r="Z274" s="9">
        <v>697030</v>
      </c>
      <c r="AA274" s="9">
        <f>TABL12[[#This Row],[(RESV. STORGE) AJD]]/10</f>
        <v>69703</v>
      </c>
      <c r="AB274" s="3">
        <f t="shared" si="19"/>
        <v>-27.143000000000001</v>
      </c>
      <c r="AC274" s="6">
        <v>2438</v>
      </c>
      <c r="AD274" s="5">
        <f>TABL12[[#This Row],[( S/S+T/B) AJD]]-(TABL12[[#This Row],[(A/B + A/S) AJD]]+(TABL12[[#This Row],[(STORGE DIFF.) AJD]])+TABL12[[#This Row],[البخر  AJD]]/1000)</f>
        <v>36.705000000000041</v>
      </c>
      <c r="AE274" s="6">
        <v>50</v>
      </c>
      <c r="AF274" s="33">
        <v>58.933</v>
      </c>
      <c r="AG274" s="6">
        <v>1579433</v>
      </c>
      <c r="AH274" s="6">
        <f>TABL12[[#This Row],[ (RESV. STORGE) BER]]/10</f>
        <v>157943.29999999999</v>
      </c>
      <c r="AI274" s="6">
        <v>2415</v>
      </c>
      <c r="AJ274" s="6">
        <f>TABL12[[#This Row],[(A/B TOT) AJD]]-TABL12[[#This Row],[BER_ IN]]</f>
        <v>486</v>
      </c>
      <c r="AK274" s="6">
        <v>83</v>
      </c>
      <c r="AL274" s="33">
        <v>44.934600000000003</v>
      </c>
      <c r="AM274" s="6">
        <v>4169170</v>
      </c>
      <c r="AN274" s="6">
        <f>TABL12[[#This Row],[ (RESV. STORGE) SER]]/10</f>
        <v>416917</v>
      </c>
      <c r="AO274" s="6">
        <v>1630</v>
      </c>
      <c r="AP274" s="32">
        <f>TABL12[[#This Row],[(A/S TOT) AJD]]-TABL12[[#This Row],[SER_ IN]]</f>
        <v>266</v>
      </c>
    </row>
    <row r="275" spans="1:42" x14ac:dyDescent="0.25">
      <c r="A275" s="2">
        <v>45931</v>
      </c>
      <c r="B275" s="28">
        <v>39</v>
      </c>
      <c r="C275" s="28">
        <v>316</v>
      </c>
      <c r="D275" s="28">
        <v>39</v>
      </c>
      <c r="E275" s="28">
        <v>0</v>
      </c>
      <c r="F275" s="28">
        <v>103</v>
      </c>
      <c r="G275" s="28">
        <v>654</v>
      </c>
      <c r="H275" s="28">
        <v>0</v>
      </c>
      <c r="I275" s="28">
        <v>491</v>
      </c>
      <c r="J275" s="28">
        <v>479</v>
      </c>
      <c r="K275" s="28">
        <f>TABL12[[#This Row],[خط (T/B  TOT) SAR]]+TABL12[[#This Row],[خط (S/S  TOT) SAR2]]</f>
        <v>970</v>
      </c>
      <c r="L275" s="28">
        <v>316</v>
      </c>
      <c r="M275" s="29">
        <v>24.6</v>
      </c>
      <c r="N275" s="30">
        <v>7.62</v>
      </c>
      <c r="O275" s="14">
        <v>430</v>
      </c>
      <c r="P275" s="9">
        <f>TABL12[[#This Row],[خط (S/S  TOT) SAR2]]-TABL12[[#This Row],[(S/S TOT) AJD]]</f>
        <v>49</v>
      </c>
      <c r="Q275" s="14">
        <v>469</v>
      </c>
      <c r="R275" s="9">
        <f>TABL12[[#This Row],[خط (T/B  TOT) SAR]]-TABL12[[#This Row],[(T/B TOT) AJD]]</f>
        <v>22</v>
      </c>
      <c r="S275" s="9">
        <f>TABL12[[#This Row],[الفرق بين بداية ونهاية خط  S/S]]+TABL12[[#This Row],[الفرق بين بداية ونهاية خط  T/B]]</f>
        <v>71</v>
      </c>
      <c r="T275" s="9">
        <f t="shared" si="16"/>
        <v>899</v>
      </c>
      <c r="U275" s="14">
        <v>538</v>
      </c>
      <c r="V275" s="14">
        <v>355</v>
      </c>
      <c r="W275" s="9">
        <f t="shared" si="17"/>
        <v>893</v>
      </c>
      <c r="X275" s="9">
        <f t="shared" si="18"/>
        <v>6</v>
      </c>
      <c r="Y275" s="18">
        <v>92.778999999999996</v>
      </c>
      <c r="Z275" s="9">
        <v>664126</v>
      </c>
      <c r="AA275" s="9">
        <f>TABL12[[#This Row],[(RESV. STORGE) AJD]]/10</f>
        <v>66412.600000000006</v>
      </c>
      <c r="AB275" s="3">
        <f t="shared" si="19"/>
        <v>-32.904000000000003</v>
      </c>
      <c r="AC275" s="6">
        <v>3550</v>
      </c>
      <c r="AD275" s="5">
        <f>TABL12[[#This Row],[( S/S+T/B) AJD]]-(TABL12[[#This Row],[(A/B + A/S) AJD]]+(TABL12[[#This Row],[(STORGE DIFF.) AJD]])+TABL12[[#This Row],[البخر  AJD]]/1000)</f>
        <v>35.354000000000042</v>
      </c>
      <c r="AE275" s="6">
        <v>31</v>
      </c>
      <c r="AF275" s="33">
        <v>59.915999999999997</v>
      </c>
      <c r="AG275" s="6">
        <v>1568223</v>
      </c>
      <c r="AH275" s="6">
        <f>TABL12[[#This Row],[ (RESV. STORGE) BER]]/10</f>
        <v>156822.29999999999</v>
      </c>
      <c r="AI275" s="6">
        <v>2372</v>
      </c>
      <c r="AJ275" s="6">
        <f>TABL12[[#This Row],[(A/B TOT) AJD]]-TABL12[[#This Row],[BER_ IN]]</f>
        <v>507</v>
      </c>
      <c r="AK275" s="6">
        <v>84</v>
      </c>
      <c r="AL275" s="33">
        <v>45.069000000000003</v>
      </c>
      <c r="AM275" s="6">
        <v>4244710</v>
      </c>
      <c r="AN275" s="6">
        <f>TABL12[[#This Row],[ (RESV. STORGE) SER]]/10</f>
        <v>424471</v>
      </c>
      <c r="AO275" s="6">
        <v>1570</v>
      </c>
      <c r="AP275" s="32">
        <f>TABL12[[#This Row],[(A/S TOT) AJD]]-TABL12[[#This Row],[SER_ IN]]</f>
        <v>271</v>
      </c>
    </row>
    <row r="276" spans="1:42" x14ac:dyDescent="0.25">
      <c r="A276" s="2">
        <v>45932</v>
      </c>
      <c r="B276" s="28">
        <v>37</v>
      </c>
      <c r="C276" s="28">
        <v>308</v>
      </c>
      <c r="D276" s="28">
        <v>37</v>
      </c>
      <c r="E276" s="28">
        <v>0</v>
      </c>
      <c r="F276" s="28">
        <v>38</v>
      </c>
      <c r="G276" s="28">
        <v>654</v>
      </c>
      <c r="H276" s="28">
        <v>65</v>
      </c>
      <c r="I276" s="28">
        <v>565</v>
      </c>
      <c r="J276" s="28">
        <v>0</v>
      </c>
      <c r="K276" s="28">
        <f>TABL12[[#This Row],[خط (T/B  TOT) SAR]]+TABL12[[#This Row],[خط (S/S  TOT) SAR2]]</f>
        <v>565</v>
      </c>
      <c r="L276" s="28">
        <v>317</v>
      </c>
      <c r="M276" s="29">
        <v>24.6</v>
      </c>
      <c r="N276" s="30">
        <v>7.59</v>
      </c>
      <c r="O276" s="14">
        <v>390</v>
      </c>
      <c r="P276" s="9">
        <f>TABL12[[#This Row],[خط (S/S  TOT) SAR2]]-TABL12[[#This Row],[(S/S TOT) AJD]]</f>
        <v>-390</v>
      </c>
      <c r="Q276" s="14">
        <v>441</v>
      </c>
      <c r="R276" s="9">
        <f>TABL12[[#This Row],[خط (T/B  TOT) SAR]]-TABL12[[#This Row],[(T/B TOT) AJD]]</f>
        <v>124</v>
      </c>
      <c r="S276" s="9">
        <f>TABL12[[#This Row],[الفرق بين بداية ونهاية خط  S/S]]+TABL12[[#This Row],[الفرق بين بداية ونهاية خط  T/B]]</f>
        <v>-266</v>
      </c>
      <c r="T276" s="9">
        <f t="shared" si="16"/>
        <v>831</v>
      </c>
      <c r="U276" s="14">
        <v>520</v>
      </c>
      <c r="V276" s="14">
        <v>246</v>
      </c>
      <c r="W276" s="9">
        <f t="shared" si="17"/>
        <v>766</v>
      </c>
      <c r="X276" s="9">
        <f t="shared" si="18"/>
        <v>65</v>
      </c>
      <c r="Y276" s="18">
        <v>92.823999999999998</v>
      </c>
      <c r="Z276" s="9">
        <v>690054</v>
      </c>
      <c r="AA276" s="9">
        <f>TABL12[[#This Row],[(RESV. STORGE) AJD]]/10</f>
        <v>69005.399999999994</v>
      </c>
      <c r="AB276" s="3">
        <f t="shared" si="19"/>
        <v>25.928000000000001</v>
      </c>
      <c r="AC276" s="6">
        <v>2195</v>
      </c>
      <c r="AD276" s="5">
        <f>TABL12[[#This Row],[( S/S+T/B) AJD]]-(TABL12[[#This Row],[(A/B + A/S) AJD]]+(TABL12[[#This Row],[(STORGE DIFF.) AJD]])+TABL12[[#This Row],[البخر  AJD]]/1000)</f>
        <v>36.876999999999953</v>
      </c>
      <c r="AE276" s="6">
        <v>20</v>
      </c>
      <c r="AF276" s="33">
        <v>58.898000000000003</v>
      </c>
      <c r="AG276" s="6">
        <v>1556353</v>
      </c>
      <c r="AH276" s="6">
        <f>TABL12[[#This Row],[ (RESV. STORGE) BER]]/10</f>
        <v>155635.29999999999</v>
      </c>
      <c r="AI276" s="6">
        <v>2819</v>
      </c>
      <c r="AJ276" s="6">
        <f>TABL12[[#This Row],[(A/B TOT) AJD]]-TABL12[[#This Row],[BER_ IN]]</f>
        <v>500</v>
      </c>
      <c r="AK276" s="6">
        <v>42</v>
      </c>
      <c r="AL276" s="33">
        <v>45.115000000000002</v>
      </c>
      <c r="AM276" s="6">
        <v>4270360</v>
      </c>
      <c r="AN276" s="6">
        <f>TABL12[[#This Row],[ (RESV. STORGE) SER]]/10</f>
        <v>427036</v>
      </c>
      <c r="AO276" s="6">
        <v>1620</v>
      </c>
      <c r="AP276" s="32">
        <f>TABL12[[#This Row],[(A/S TOT) AJD]]-TABL12[[#This Row],[SER_ IN]]</f>
        <v>204</v>
      </c>
    </row>
    <row r="277" spans="1:42" x14ac:dyDescent="0.25">
      <c r="A277" s="2">
        <v>45933</v>
      </c>
      <c r="B277" s="28">
        <v>39</v>
      </c>
      <c r="C277" s="28">
        <v>330</v>
      </c>
      <c r="D277" s="35">
        <v>39</v>
      </c>
      <c r="E277" s="28">
        <v>0</v>
      </c>
      <c r="F277" s="28">
        <v>38</v>
      </c>
      <c r="G277" s="28">
        <v>249</v>
      </c>
      <c r="H277" s="28">
        <v>65</v>
      </c>
      <c r="I277" s="28">
        <v>567</v>
      </c>
      <c r="J277" s="28">
        <v>0</v>
      </c>
      <c r="K277" s="28">
        <f>TABL12[[#This Row],[خط (T/B  TOT) SAR]]+TABL12[[#This Row],[خط (S/S  TOT) SAR2]]</f>
        <v>567</v>
      </c>
      <c r="L277" s="28">
        <v>318</v>
      </c>
      <c r="M277" s="29">
        <v>24.6</v>
      </c>
      <c r="N277" s="30">
        <v>7.64</v>
      </c>
      <c r="O277" s="14">
        <v>82</v>
      </c>
      <c r="P277" s="9">
        <f>TABL12[[#This Row],[خط (S/S  TOT) SAR2]]-TABL12[[#This Row],[(S/S TOT) AJD]]</f>
        <v>-82</v>
      </c>
      <c r="Q277" s="14">
        <v>496</v>
      </c>
      <c r="R277" s="9">
        <f>TABL12[[#This Row],[خط (T/B  TOT) SAR]]-TABL12[[#This Row],[(T/B TOT) AJD]]</f>
        <v>71</v>
      </c>
      <c r="S277" s="9">
        <f>TABL12[[#This Row],[الفرق بين بداية ونهاية خط  S/S]]+TABL12[[#This Row],[الفرق بين بداية ونهاية خط  T/B]]</f>
        <v>-11</v>
      </c>
      <c r="T277" s="9">
        <f t="shared" si="16"/>
        <v>578</v>
      </c>
      <c r="U277" s="14">
        <v>515</v>
      </c>
      <c r="V277" s="14">
        <v>164</v>
      </c>
      <c r="W277" s="9">
        <f t="shared" si="17"/>
        <v>679</v>
      </c>
      <c r="X277" s="9">
        <f t="shared" si="18"/>
        <v>-101</v>
      </c>
      <c r="Y277" s="18">
        <v>92.634</v>
      </c>
      <c r="Z277" s="9">
        <v>576521</v>
      </c>
      <c r="AA277" s="9">
        <f>TABL12[[#This Row],[(RESV. STORGE) AJD]]/10</f>
        <v>57652.1</v>
      </c>
      <c r="AB277" s="3">
        <f t="shared" si="19"/>
        <v>-113.533</v>
      </c>
      <c r="AC277" s="6">
        <v>2156</v>
      </c>
      <c r="AD277" s="5">
        <f>TABL12[[#This Row],[( S/S+T/B) AJD]]-(TABL12[[#This Row],[(A/B + A/S) AJD]]+(TABL12[[#This Row],[(STORGE DIFF.) AJD]])+TABL12[[#This Row],[البخر  AJD]]/1000)</f>
        <v>10.377000000000066</v>
      </c>
      <c r="AE277" s="6">
        <v>20</v>
      </c>
      <c r="AF277" s="33">
        <v>58.899000000000001</v>
      </c>
      <c r="AG277" s="6">
        <v>1557013</v>
      </c>
      <c r="AH277" s="6">
        <f>TABL12[[#This Row],[ (RESV. STORGE) BER]]/10</f>
        <v>155701.29999999999</v>
      </c>
      <c r="AI277" s="6">
        <v>2099</v>
      </c>
      <c r="AJ277" s="6">
        <f>TABL12[[#This Row],[(A/B TOT) AJD]]-TABL12[[#This Row],[BER_ IN]]</f>
        <v>495</v>
      </c>
      <c r="AK277" s="6">
        <v>26</v>
      </c>
      <c r="AL277" s="33">
        <v>45.063000000000002</v>
      </c>
      <c r="AM277" s="6">
        <v>4241220</v>
      </c>
      <c r="AN277" s="6">
        <f>TABL12[[#This Row],[ (RESV. STORGE) SER]]/10</f>
        <v>424122</v>
      </c>
      <c r="AO277" s="6">
        <v>1580</v>
      </c>
      <c r="AP277" s="32">
        <f>TABL12[[#This Row],[(A/S TOT) AJD]]-TABL12[[#This Row],[SER_ IN]]</f>
        <v>138</v>
      </c>
    </row>
    <row r="278" spans="1:42" x14ac:dyDescent="0.25">
      <c r="A278" s="2">
        <v>45934</v>
      </c>
      <c r="B278" s="28">
        <v>39</v>
      </c>
      <c r="C278" s="28">
        <v>319</v>
      </c>
      <c r="D278" s="35">
        <v>39</v>
      </c>
      <c r="E278" s="28">
        <v>0</v>
      </c>
      <c r="F278" s="28">
        <v>51</v>
      </c>
      <c r="G278" s="28">
        <v>326</v>
      </c>
      <c r="H278" s="28">
        <v>52</v>
      </c>
      <c r="I278" s="28">
        <v>645</v>
      </c>
      <c r="J278" s="28">
        <v>0</v>
      </c>
      <c r="K278" s="28">
        <f>TABL12[[#This Row],[خط (T/B  TOT) SAR]]+TABL12[[#This Row],[خط (S/S  TOT) SAR2]]</f>
        <v>645</v>
      </c>
      <c r="L278" s="28">
        <v>319</v>
      </c>
      <c r="M278" s="29">
        <v>24.6</v>
      </c>
      <c r="N278" s="30">
        <v>7.72</v>
      </c>
      <c r="O278" s="14">
        <v>0</v>
      </c>
      <c r="P278" s="9">
        <f>TABL12[[#This Row],[خط (S/S  TOT) SAR2]]-TABL12[[#This Row],[(S/S TOT) AJD]]</f>
        <v>0</v>
      </c>
      <c r="Q278" s="14">
        <v>559</v>
      </c>
      <c r="R278" s="9">
        <f>TABL12[[#This Row],[خط (T/B  TOT) SAR]]-TABL12[[#This Row],[(T/B TOT) AJD]]</f>
        <v>86</v>
      </c>
      <c r="S278" s="9">
        <f>TABL12[[#This Row],[الفرق بين بداية ونهاية خط  S/S]]+TABL12[[#This Row],[الفرق بين بداية ونهاية خط  T/B]]</f>
        <v>86</v>
      </c>
      <c r="T278" s="9">
        <f t="shared" si="16"/>
        <v>559</v>
      </c>
      <c r="U278" s="14">
        <v>525</v>
      </c>
      <c r="V278" s="14">
        <v>94</v>
      </c>
      <c r="W278" s="9">
        <f t="shared" si="17"/>
        <v>619</v>
      </c>
      <c r="X278" s="9">
        <f t="shared" si="18"/>
        <v>-60</v>
      </c>
      <c r="Y278" s="18">
        <v>92.462000000000003</v>
      </c>
      <c r="Z278" s="9">
        <v>473934</v>
      </c>
      <c r="AA278" s="9">
        <f>TABL12[[#This Row],[(RESV. STORGE) AJD]]/10</f>
        <v>47393.4</v>
      </c>
      <c r="AB278" s="3">
        <f t="shared" si="19"/>
        <v>-102.587</v>
      </c>
      <c r="AC278" s="6">
        <v>1850</v>
      </c>
      <c r="AD278" s="5">
        <f>TABL12[[#This Row],[( S/S+T/B) AJD]]-(TABL12[[#This Row],[(A/B + A/S) AJD]]+(TABL12[[#This Row],[(STORGE DIFF.) AJD]])+TABL12[[#This Row],[البخر  AJD]]/1000)</f>
        <v>40.736999999999966</v>
      </c>
      <c r="AE278" s="6">
        <v>20</v>
      </c>
      <c r="AF278" s="33">
        <v>58.887999999999998</v>
      </c>
      <c r="AG278" s="6">
        <v>1549761</v>
      </c>
      <c r="AH278" s="6">
        <f>TABL12[[#This Row],[ (RESV. STORGE) BER]]/10</f>
        <v>154976.1</v>
      </c>
      <c r="AI278" s="6">
        <v>2352</v>
      </c>
      <c r="AJ278" s="6">
        <f>TABL12[[#This Row],[(A/B TOT) AJD]]-TABL12[[#This Row],[BER_ IN]]</f>
        <v>505</v>
      </c>
      <c r="AK278" s="6">
        <v>14</v>
      </c>
      <c r="AL278" s="33">
        <v>44.96</v>
      </c>
      <c r="AM278" s="6">
        <v>4184530</v>
      </c>
      <c r="AN278" s="6">
        <f>TABL12[[#This Row],[ (RESV. STORGE) SER]]/10</f>
        <v>418453</v>
      </c>
      <c r="AO278" s="6">
        <v>1570</v>
      </c>
      <c r="AP278" s="32">
        <f>TABL12[[#This Row],[(A/S TOT) AJD]]-TABL12[[#This Row],[SER_ IN]]</f>
        <v>80</v>
      </c>
    </row>
    <row r="279" spans="1:42" x14ac:dyDescent="0.25">
      <c r="A279" s="2">
        <v>45935</v>
      </c>
      <c r="B279" s="28">
        <v>38</v>
      </c>
      <c r="C279" s="28">
        <v>322</v>
      </c>
      <c r="D279" s="35">
        <v>39</v>
      </c>
      <c r="E279" s="28">
        <v>0</v>
      </c>
      <c r="F279" s="28">
        <v>51</v>
      </c>
      <c r="G279" s="28">
        <v>330</v>
      </c>
      <c r="H279" s="28">
        <v>52</v>
      </c>
      <c r="I279" s="28">
        <v>648</v>
      </c>
      <c r="J279" s="28">
        <v>0</v>
      </c>
      <c r="K279" s="28">
        <f>TABL12[[#This Row],[خط (T/B  TOT) SAR]]+TABL12[[#This Row],[خط (S/S  TOT) SAR2]]</f>
        <v>648</v>
      </c>
      <c r="L279" s="28">
        <v>318</v>
      </c>
      <c r="M279" s="29">
        <v>24.6</v>
      </c>
      <c r="N279" s="30">
        <v>7.73</v>
      </c>
      <c r="O279" s="14">
        <v>0</v>
      </c>
      <c r="P279" s="9">
        <f>TABL12[[#This Row],[خط (S/S  TOT) SAR2]]-TABL12[[#This Row],[(S/S TOT) AJD]]</f>
        <v>0</v>
      </c>
      <c r="Q279" s="14">
        <v>602</v>
      </c>
      <c r="R279" s="9">
        <f>TABL12[[#This Row],[خط (T/B  TOT) SAR]]-TABL12[[#This Row],[(T/B TOT) AJD]]</f>
        <v>46</v>
      </c>
      <c r="S279" s="9">
        <f>TABL12[[#This Row],[الفرق بين بداية ونهاية خط  S/S]]+TABL12[[#This Row],[الفرق بين بداية ونهاية خط  T/B]]</f>
        <v>46</v>
      </c>
      <c r="T279" s="9">
        <f t="shared" si="16"/>
        <v>602</v>
      </c>
      <c r="U279" s="14">
        <v>513</v>
      </c>
      <c r="V279" s="14">
        <v>92</v>
      </c>
      <c r="W279" s="9">
        <f t="shared" si="17"/>
        <v>605</v>
      </c>
      <c r="X279" s="9">
        <f t="shared" si="18"/>
        <v>-3</v>
      </c>
      <c r="Y279" s="18">
        <v>92.415000000000006</v>
      </c>
      <c r="Z279" s="9">
        <v>446022</v>
      </c>
      <c r="AA279" s="9">
        <f>TABL12[[#This Row],[(RESV. STORGE) AJD]]/10</f>
        <v>44602.2</v>
      </c>
      <c r="AB279" s="3">
        <f t="shared" si="19"/>
        <v>-27.911999999999999</v>
      </c>
      <c r="AC279" s="6">
        <v>2507</v>
      </c>
      <c r="AD279" s="5">
        <f>TABL12[[#This Row],[( S/S+T/B) AJD]]-(TABL12[[#This Row],[(A/B + A/S) AJD]]+(TABL12[[#This Row],[(STORGE DIFF.) AJD]])+TABL12[[#This Row],[البخر  AJD]]/1000)</f>
        <v>22.405000000000086</v>
      </c>
      <c r="AE279" s="6">
        <v>20</v>
      </c>
      <c r="AF279" s="33">
        <v>58.850999999999999</v>
      </c>
      <c r="AG279" s="6">
        <v>1525375</v>
      </c>
      <c r="AH279" s="6">
        <f>TABL12[[#This Row],[ (RESV. STORGE) BER]]/10</f>
        <v>152537.5</v>
      </c>
      <c r="AI279" s="6">
        <v>2885</v>
      </c>
      <c r="AJ279" s="6">
        <f>TABL12[[#This Row],[(A/B TOT) AJD]]-TABL12[[#This Row],[BER_ IN]]</f>
        <v>493</v>
      </c>
      <c r="AK279" s="6">
        <v>0</v>
      </c>
      <c r="AL279" s="33">
        <v>44.838999999999999</v>
      </c>
      <c r="AM279" s="6">
        <v>4117250</v>
      </c>
      <c r="AN279" s="6">
        <f>TABL12[[#This Row],[ (RESV. STORGE) SER]]/10</f>
        <v>411725</v>
      </c>
      <c r="AO279" s="6">
        <v>1580</v>
      </c>
      <c r="AP279" s="32">
        <f>TABL12[[#This Row],[(A/S TOT) AJD]]-TABL12[[#This Row],[SER_ IN]]</f>
        <v>92</v>
      </c>
    </row>
    <row r="280" spans="1:42" x14ac:dyDescent="0.25">
      <c r="A280" s="2">
        <v>45936</v>
      </c>
      <c r="B280" s="28">
        <v>39</v>
      </c>
      <c r="C280" s="28">
        <v>314</v>
      </c>
      <c r="D280" s="35">
        <v>39</v>
      </c>
      <c r="E280" s="28">
        <v>0</v>
      </c>
      <c r="F280" s="28">
        <v>51</v>
      </c>
      <c r="G280" s="28">
        <v>330</v>
      </c>
      <c r="H280" s="28">
        <v>52</v>
      </c>
      <c r="I280" s="28">
        <v>650</v>
      </c>
      <c r="J280" s="28">
        <v>0</v>
      </c>
      <c r="K280" s="28">
        <f>TABL12[[#This Row],[خط (T/B  TOT) SAR]]+TABL12[[#This Row],[خط (S/S  TOT) SAR2]]</f>
        <v>650</v>
      </c>
      <c r="L280" s="28">
        <v>320</v>
      </c>
      <c r="M280" s="29">
        <v>24.6</v>
      </c>
      <c r="N280" s="30">
        <v>7.8</v>
      </c>
      <c r="O280" s="14">
        <v>0</v>
      </c>
      <c r="P280" s="9">
        <f>TABL12[[#This Row],[خط (S/S  TOT) SAR2]]-TABL12[[#This Row],[(S/S TOT) AJD]]</f>
        <v>0</v>
      </c>
      <c r="Q280" s="14">
        <v>604</v>
      </c>
      <c r="R280" s="9">
        <f>TABL12[[#This Row],[خط (T/B  TOT) SAR]]-TABL12[[#This Row],[(T/B TOT) AJD]]</f>
        <v>46</v>
      </c>
      <c r="S280" s="9">
        <f>TABL12[[#This Row],[الفرق بين بداية ونهاية خط  S/S]]+TABL12[[#This Row],[الفرق بين بداية ونهاية خط  T/B]]</f>
        <v>46</v>
      </c>
      <c r="T280" s="9">
        <f t="shared" si="16"/>
        <v>604</v>
      </c>
      <c r="U280" s="14">
        <v>464</v>
      </c>
      <c r="V280" s="14">
        <v>93</v>
      </c>
      <c r="W280" s="9">
        <f t="shared" si="17"/>
        <v>557</v>
      </c>
      <c r="X280" s="9">
        <f t="shared" si="18"/>
        <v>47</v>
      </c>
      <c r="Y280" s="18">
        <v>92.435000000000002</v>
      </c>
      <c r="Z280" s="9">
        <v>457921</v>
      </c>
      <c r="AA280" s="9">
        <f>TABL12[[#This Row],[(RESV. STORGE) AJD]]/10</f>
        <v>45792.1</v>
      </c>
      <c r="AB280" s="3">
        <f t="shared" si="19"/>
        <v>11.898999999999999</v>
      </c>
      <c r="AC280" s="6">
        <v>2283</v>
      </c>
      <c r="AD280" s="5">
        <f>TABL12[[#This Row],[( S/S+T/B) AJD]]-(TABL12[[#This Row],[(A/B + A/S) AJD]]+(TABL12[[#This Row],[(STORGE DIFF.) AJD]])+TABL12[[#This Row],[البخر  AJD]]/1000)</f>
        <v>32.817999999999984</v>
      </c>
      <c r="AE280" s="6">
        <v>20</v>
      </c>
      <c r="AF280" s="33">
        <v>58.817</v>
      </c>
      <c r="AG280" s="6">
        <v>1502977</v>
      </c>
      <c r="AH280" s="6">
        <f>TABL12[[#This Row],[ (RESV. STORGE) BER]]/10</f>
        <v>150297.70000000001</v>
      </c>
      <c r="AI280" s="6">
        <v>2558</v>
      </c>
      <c r="AJ280" s="6">
        <f>TABL12[[#This Row],[(A/B TOT) AJD]]-TABL12[[#This Row],[BER_ IN]]</f>
        <v>444</v>
      </c>
      <c r="AK280" s="6">
        <v>0</v>
      </c>
      <c r="AL280" s="33">
        <v>44.738999999999997</v>
      </c>
      <c r="AM280" s="6">
        <v>4061160</v>
      </c>
      <c r="AN280" s="6">
        <f>TABL12[[#This Row],[ (RESV. STORGE) SER]]/10</f>
        <v>406116</v>
      </c>
      <c r="AO280" s="6">
        <v>1600</v>
      </c>
      <c r="AP280" s="32">
        <f>TABL12[[#This Row],[(A/S TOT) AJD]]-TABL12[[#This Row],[SER_ IN]]</f>
        <v>93</v>
      </c>
    </row>
    <row r="281" spans="1:42" x14ac:dyDescent="0.25">
      <c r="A281" s="2">
        <v>45937</v>
      </c>
      <c r="B281" s="28">
        <v>39</v>
      </c>
      <c r="C281" s="28">
        <v>315</v>
      </c>
      <c r="D281" s="35">
        <v>39</v>
      </c>
      <c r="E281" s="28">
        <v>0</v>
      </c>
      <c r="F281" s="28">
        <v>51</v>
      </c>
      <c r="G281" s="28">
        <v>330</v>
      </c>
      <c r="H281" s="28">
        <v>52</v>
      </c>
      <c r="I281" s="28">
        <v>645</v>
      </c>
      <c r="J281" s="28">
        <v>0</v>
      </c>
      <c r="K281" s="28">
        <f>TABL12[[#This Row],[خط (T/B  TOT) SAR]]+TABL12[[#This Row],[خط (S/S  TOT) SAR2]]</f>
        <v>645</v>
      </c>
      <c r="L281" s="28">
        <v>315</v>
      </c>
      <c r="M281" s="29">
        <v>24.6</v>
      </c>
      <c r="N281" s="30">
        <v>7.77</v>
      </c>
      <c r="O281" s="14">
        <v>0</v>
      </c>
      <c r="P281" s="9">
        <f>TABL12[[#This Row],[خط (S/S  TOT) SAR2]]-TABL12[[#This Row],[(S/S TOT) AJD]]</f>
        <v>0</v>
      </c>
      <c r="Q281" s="14">
        <v>601</v>
      </c>
      <c r="R281" s="9">
        <f>TABL12[[#This Row],[خط (T/B  TOT) SAR]]-TABL12[[#This Row],[(T/B TOT) AJD]]</f>
        <v>44</v>
      </c>
      <c r="S281" s="9">
        <f>TABL12[[#This Row],[الفرق بين بداية ونهاية خط  S/S]]+TABL12[[#This Row],[الفرق بين بداية ونهاية خط  T/B]]</f>
        <v>44</v>
      </c>
      <c r="T281" s="9">
        <f t="shared" si="16"/>
        <v>601</v>
      </c>
      <c r="U281" s="14">
        <v>508</v>
      </c>
      <c r="V281" s="14">
        <v>92</v>
      </c>
      <c r="W281" s="9">
        <f t="shared" si="17"/>
        <v>600</v>
      </c>
      <c r="X281" s="9">
        <f t="shared" si="18"/>
        <v>1</v>
      </c>
      <c r="Y281" s="18">
        <v>92.397000000000006</v>
      </c>
      <c r="Z281" s="9">
        <v>435315</v>
      </c>
      <c r="AA281" s="9">
        <f>TABL12[[#This Row],[(RESV. STORGE) AJD]]/10</f>
        <v>43531.5</v>
      </c>
      <c r="AB281" s="3">
        <f t="shared" si="19"/>
        <v>-22.606000000000002</v>
      </c>
      <c r="AC281" s="6">
        <v>2923</v>
      </c>
      <c r="AD281" s="5">
        <f>TABL12[[#This Row],[( S/S+T/B) AJD]]-(TABL12[[#This Row],[(A/B + A/S) AJD]]+(TABL12[[#This Row],[(STORGE DIFF.) AJD]])+TABL12[[#This Row],[البخر  AJD]]/1000)</f>
        <v>20.682999999999993</v>
      </c>
      <c r="AE281" s="6">
        <v>20</v>
      </c>
      <c r="AF281" s="33">
        <v>58.783000000000001</v>
      </c>
      <c r="AG281" s="6">
        <v>1480589</v>
      </c>
      <c r="AH281" s="6">
        <f>TABL12[[#This Row],[ (RESV. STORGE) BER]]/10</f>
        <v>148058.9</v>
      </c>
      <c r="AI281" s="6">
        <v>2548</v>
      </c>
      <c r="AJ281" s="6">
        <f>TABL12[[#This Row],[(A/B TOT) AJD]]-TABL12[[#This Row],[BER_ IN]]</f>
        <v>488</v>
      </c>
      <c r="AK281" s="6">
        <v>0</v>
      </c>
      <c r="AL281" s="33">
        <v>44.627000000000002</v>
      </c>
      <c r="AM281" s="6">
        <v>3999210</v>
      </c>
      <c r="AN281" s="6">
        <f>TABL12[[#This Row],[ (RESV. STORGE) SER]]/10</f>
        <v>399921</v>
      </c>
      <c r="AO281" s="6">
        <v>1650</v>
      </c>
      <c r="AP281" s="32">
        <f>TABL12[[#This Row],[(A/S TOT) AJD]]-TABL12[[#This Row],[SER_ IN]]</f>
        <v>92</v>
      </c>
    </row>
    <row r="282" spans="1:42" x14ac:dyDescent="0.25">
      <c r="A282" s="2">
        <v>45938</v>
      </c>
      <c r="B282" s="28">
        <v>39</v>
      </c>
      <c r="C282" s="28">
        <v>320</v>
      </c>
      <c r="D282" s="35">
        <v>39</v>
      </c>
      <c r="E282" s="28">
        <v>0</v>
      </c>
      <c r="F282" s="28">
        <v>51</v>
      </c>
      <c r="G282" s="28">
        <v>330</v>
      </c>
      <c r="H282" s="28">
        <v>52</v>
      </c>
      <c r="I282" s="28">
        <v>652</v>
      </c>
      <c r="J282" s="28">
        <v>0</v>
      </c>
      <c r="K282" s="28">
        <f>TABL12[[#This Row],[خط (T/B  TOT) SAR]]+TABL12[[#This Row],[خط (S/S  TOT) SAR2]]</f>
        <v>652</v>
      </c>
      <c r="L282" s="28">
        <v>322</v>
      </c>
      <c r="M282" s="29">
        <v>24.6</v>
      </c>
      <c r="N282" s="30">
        <v>7.83</v>
      </c>
      <c r="O282" s="14">
        <v>0</v>
      </c>
      <c r="P282" s="9">
        <f>TABL12[[#This Row],[خط (S/S  TOT) SAR2]]-TABL12[[#This Row],[(S/S TOT) AJD]]</f>
        <v>0</v>
      </c>
      <c r="Q282" s="14">
        <v>600</v>
      </c>
      <c r="R282" s="9">
        <f>TABL12[[#This Row],[خط (T/B  TOT) SAR]]-TABL12[[#This Row],[(T/B TOT) AJD]]</f>
        <v>52</v>
      </c>
      <c r="S282" s="9">
        <f>TABL12[[#This Row],[الفرق بين بداية ونهاية خط  S/S]]+TABL12[[#This Row],[الفرق بين بداية ونهاية خط  T/B]]</f>
        <v>52</v>
      </c>
      <c r="T282" s="9">
        <f t="shared" si="16"/>
        <v>600</v>
      </c>
      <c r="U282" s="14">
        <v>513</v>
      </c>
      <c r="V282" s="14">
        <v>92</v>
      </c>
      <c r="W282" s="9">
        <f t="shared" si="17"/>
        <v>605</v>
      </c>
      <c r="X282" s="9">
        <f t="shared" si="18"/>
        <v>-5</v>
      </c>
      <c r="Y282" s="18">
        <v>92.341999999999999</v>
      </c>
      <c r="Z282" s="9">
        <v>402612</v>
      </c>
      <c r="AA282" s="9">
        <f>TABL12[[#This Row],[(RESV. STORGE) AJD]]/10</f>
        <v>40261.199999999997</v>
      </c>
      <c r="AB282" s="3">
        <f t="shared" si="19"/>
        <v>-32.703000000000003</v>
      </c>
      <c r="AC282" s="6">
        <v>2130</v>
      </c>
      <c r="AD282" s="5">
        <f>TABL12[[#This Row],[( S/S+T/B) AJD]]-(TABL12[[#This Row],[(A/B + A/S) AJD]]+(TABL12[[#This Row],[(STORGE DIFF.) AJD]])+TABL12[[#This Row],[البخر  AJD]]/1000)</f>
        <v>25.572999999999979</v>
      </c>
      <c r="AE282" s="6">
        <v>20</v>
      </c>
      <c r="AF282" s="33">
        <v>58.749000000000002</v>
      </c>
      <c r="AG282" s="6">
        <v>1458210</v>
      </c>
      <c r="AH282" s="6">
        <f>TABL12[[#This Row],[ (RESV. STORGE) BER]]/10</f>
        <v>145821</v>
      </c>
      <c r="AI282" s="6">
        <v>2538</v>
      </c>
      <c r="AJ282" s="6">
        <f>TABL12[[#This Row],[(A/B TOT) AJD]]-TABL12[[#This Row],[BER_ IN]]</f>
        <v>493</v>
      </c>
      <c r="AK282" s="6">
        <v>0</v>
      </c>
      <c r="AL282" s="33">
        <v>44.518000000000001</v>
      </c>
      <c r="AM282" s="6">
        <v>3939300</v>
      </c>
      <c r="AN282" s="6">
        <f>TABL12[[#This Row],[ (RESV. STORGE) SER]]/10</f>
        <v>393930</v>
      </c>
      <c r="AO282" s="6">
        <v>1573</v>
      </c>
      <c r="AP282" s="32">
        <f>TABL12[[#This Row],[(A/S TOT) AJD]]-TABL12[[#This Row],[SER_ IN]]</f>
        <v>92</v>
      </c>
    </row>
    <row r="283" spans="1:42" x14ac:dyDescent="0.25">
      <c r="A283" s="2">
        <v>45939</v>
      </c>
      <c r="B283" s="28">
        <v>39</v>
      </c>
      <c r="C283" s="28">
        <v>296</v>
      </c>
      <c r="D283" s="35">
        <v>39</v>
      </c>
      <c r="E283" s="28">
        <v>0</v>
      </c>
      <c r="F283" s="28">
        <v>51</v>
      </c>
      <c r="G283" s="28">
        <v>330</v>
      </c>
      <c r="H283" s="28">
        <v>52</v>
      </c>
      <c r="I283" s="28">
        <v>652</v>
      </c>
      <c r="J283" s="28">
        <v>0</v>
      </c>
      <c r="K283" s="28">
        <f>TABL12[[#This Row],[خط (T/B  TOT) SAR]]+TABL12[[#This Row],[خط (S/S  TOT) SAR2]]</f>
        <v>652</v>
      </c>
      <c r="L283" s="28">
        <v>322</v>
      </c>
      <c r="M283" s="29">
        <v>24.6</v>
      </c>
      <c r="N283" s="30">
        <v>7.78</v>
      </c>
      <c r="O283" s="14">
        <v>0</v>
      </c>
      <c r="P283" s="9">
        <f>TABL12[[#This Row],[خط (S/S  TOT) SAR2]]-TABL12[[#This Row],[(S/S TOT) AJD]]</f>
        <v>0</v>
      </c>
      <c r="Q283" s="14">
        <v>606</v>
      </c>
      <c r="R283" s="9">
        <f>TABL12[[#This Row],[خط (T/B  TOT) SAR]]-TABL12[[#This Row],[(T/B TOT) AJD]]</f>
        <v>46</v>
      </c>
      <c r="S283" s="9">
        <f>TABL12[[#This Row],[الفرق بين بداية ونهاية خط  S/S]]+TABL12[[#This Row],[الفرق بين بداية ونهاية خط  T/B]]</f>
        <v>46</v>
      </c>
      <c r="T283" s="9">
        <f t="shared" si="16"/>
        <v>606</v>
      </c>
      <c r="U283" s="14">
        <v>450</v>
      </c>
      <c r="V283" s="14">
        <v>91</v>
      </c>
      <c r="W283" s="9">
        <f t="shared" si="17"/>
        <v>541</v>
      </c>
      <c r="X283" s="9">
        <f t="shared" si="18"/>
        <v>65</v>
      </c>
      <c r="Y283" s="18">
        <v>92.415000000000006</v>
      </c>
      <c r="Z283" s="9">
        <v>446022</v>
      </c>
      <c r="AA283" s="9">
        <f>TABL12[[#This Row],[(RESV. STORGE) AJD]]/10</f>
        <v>44602.2</v>
      </c>
      <c r="AB283" s="3">
        <f t="shared" si="19"/>
        <v>43.41</v>
      </c>
      <c r="AC283" s="6">
        <v>1932</v>
      </c>
      <c r="AD283" s="5">
        <f>TABL12[[#This Row],[( S/S+T/B) AJD]]-(TABL12[[#This Row],[(A/B + A/S) AJD]]+(TABL12[[#This Row],[(STORGE DIFF.) AJD]])+TABL12[[#This Row],[البخر  AJD]]/1000)</f>
        <v>19.658000000000015</v>
      </c>
      <c r="AE283" s="6">
        <v>20</v>
      </c>
      <c r="AF283" s="33">
        <v>58.715000000000003</v>
      </c>
      <c r="AG283" s="6">
        <v>1435842</v>
      </c>
      <c r="AH283" s="6">
        <f>TABL12[[#This Row],[ (RESV. STORGE) BER]]/10</f>
        <v>143584.20000000001</v>
      </c>
      <c r="AI283" s="6">
        <v>2528</v>
      </c>
      <c r="AJ283" s="6">
        <f>TABL12[[#This Row],[(A/B TOT) AJD]]-TABL12[[#This Row],[BER_ IN]]</f>
        <v>430</v>
      </c>
      <c r="AK283" s="6">
        <v>0</v>
      </c>
      <c r="AL283" s="33">
        <v>44.423999999999999</v>
      </c>
      <c r="AM283" s="6">
        <v>3887340</v>
      </c>
      <c r="AN283" s="6">
        <f>TABL12[[#This Row],[ (RESV. STORGE) SER]]/10</f>
        <v>388734</v>
      </c>
      <c r="AO283" s="6">
        <v>1530</v>
      </c>
      <c r="AP283" s="32">
        <f>TABL12[[#This Row],[(A/S TOT) AJD]]-TABL12[[#This Row],[SER_ IN]]</f>
        <v>91</v>
      </c>
    </row>
    <row r="284" spans="1:42" x14ac:dyDescent="0.25">
      <c r="A284" s="2">
        <v>45940</v>
      </c>
      <c r="B284" s="28">
        <v>39</v>
      </c>
      <c r="C284" s="28">
        <v>306</v>
      </c>
      <c r="D284" s="35">
        <v>39</v>
      </c>
      <c r="E284" s="28">
        <v>0</v>
      </c>
      <c r="F284" s="28">
        <v>52</v>
      </c>
      <c r="G284" s="28">
        <v>330</v>
      </c>
      <c r="H284" s="28">
        <v>52</v>
      </c>
      <c r="I284" s="28">
        <v>645</v>
      </c>
      <c r="J284" s="28">
        <v>0</v>
      </c>
      <c r="K284" s="28">
        <f>TABL12[[#This Row],[خط (T/B  TOT) SAR]]+TABL12[[#This Row],[خط (S/S  TOT) SAR2]]</f>
        <v>645</v>
      </c>
      <c r="L284" s="28">
        <v>315</v>
      </c>
      <c r="M284" s="29">
        <v>24.6</v>
      </c>
      <c r="N284" s="30">
        <v>7.71</v>
      </c>
      <c r="O284" s="14">
        <v>0</v>
      </c>
      <c r="P284" s="9">
        <f>TABL12[[#This Row],[خط (S/S  TOT) SAR2]]-TABL12[[#This Row],[(S/S TOT) AJD]]</f>
        <v>0</v>
      </c>
      <c r="Q284" s="14">
        <v>603</v>
      </c>
      <c r="R284" s="9">
        <f>TABL12[[#This Row],[خط (T/B  TOT) SAR]]-TABL12[[#This Row],[(T/B TOT) AJD]]</f>
        <v>42</v>
      </c>
      <c r="S284" s="9">
        <f>TABL12[[#This Row],[الفرق بين بداية ونهاية خط  S/S]]+TABL12[[#This Row],[الفرق بين بداية ونهاية خط  T/B]]</f>
        <v>42</v>
      </c>
      <c r="T284" s="9">
        <f t="shared" si="16"/>
        <v>603</v>
      </c>
      <c r="U284" s="14">
        <v>509</v>
      </c>
      <c r="V284" s="14">
        <v>92</v>
      </c>
      <c r="W284" s="9">
        <f t="shared" si="17"/>
        <v>601</v>
      </c>
      <c r="X284" s="9">
        <f t="shared" si="18"/>
        <v>2</v>
      </c>
      <c r="Y284" s="18">
        <v>92.36</v>
      </c>
      <c r="Z284" s="9">
        <v>413311</v>
      </c>
      <c r="AA284" s="9">
        <f>TABL12[[#This Row],[(RESV. STORGE) AJD]]/10</f>
        <v>41331.1</v>
      </c>
      <c r="AB284" s="3">
        <f t="shared" si="19"/>
        <v>-32.710999999999999</v>
      </c>
      <c r="AC284" s="6">
        <v>2039</v>
      </c>
      <c r="AD284" s="5">
        <f>TABL12[[#This Row],[( S/S+T/B) AJD]]-(TABL12[[#This Row],[(A/B + A/S) AJD]]+(TABL12[[#This Row],[(STORGE DIFF.) AJD]])+TABL12[[#This Row],[البخر  AJD]]/1000)</f>
        <v>32.672000000000025</v>
      </c>
      <c r="AE284" s="6">
        <v>20</v>
      </c>
      <c r="AF284" s="33">
        <v>58.680999999999997</v>
      </c>
      <c r="AG284" s="6">
        <v>1413484</v>
      </c>
      <c r="AH284" s="6">
        <f>TABL12[[#This Row],[ (RESV. STORGE) BER]]/10</f>
        <v>141348.4</v>
      </c>
      <c r="AI284" s="6">
        <v>2518</v>
      </c>
      <c r="AJ284" s="6">
        <f>TABL12[[#This Row],[(A/B TOT) AJD]]-TABL12[[#This Row],[BER_ IN]]</f>
        <v>489</v>
      </c>
      <c r="AK284" s="6">
        <v>0</v>
      </c>
      <c r="AL284" s="33">
        <v>44.341000000000001</v>
      </c>
      <c r="AM284" s="6">
        <v>3840960</v>
      </c>
      <c r="AN284" s="6">
        <f>TABL12[[#This Row],[ (RESV. STORGE) SER]]/10</f>
        <v>384096</v>
      </c>
      <c r="AO284" s="6">
        <v>1560</v>
      </c>
      <c r="AP284" s="32">
        <f>TABL12[[#This Row],[(A/S TOT) AJD]]-TABL12[[#This Row],[SER_ IN]]</f>
        <v>92</v>
      </c>
    </row>
    <row r="285" spans="1:42" x14ac:dyDescent="0.25">
      <c r="A285" s="2">
        <v>45941</v>
      </c>
      <c r="B285" s="28">
        <v>37</v>
      </c>
      <c r="C285" s="28">
        <v>278</v>
      </c>
      <c r="D285" s="35">
        <v>37</v>
      </c>
      <c r="E285" s="28">
        <v>0</v>
      </c>
      <c r="F285" s="28">
        <v>57</v>
      </c>
      <c r="G285" s="28">
        <v>370</v>
      </c>
      <c r="H285" s="28">
        <v>46</v>
      </c>
      <c r="I285" s="28">
        <v>685</v>
      </c>
      <c r="J285" s="28">
        <v>0</v>
      </c>
      <c r="K285" s="28">
        <f>TABL12[[#This Row],[خط (T/B  TOT) SAR]]+TABL12[[#This Row],[خط (S/S  TOT) SAR2]]</f>
        <v>685</v>
      </c>
      <c r="L285" s="28">
        <v>315</v>
      </c>
      <c r="M285" s="29">
        <v>24.6</v>
      </c>
      <c r="N285" s="30">
        <v>7.55</v>
      </c>
      <c r="O285" s="14">
        <v>0</v>
      </c>
      <c r="P285" s="9">
        <f>TABL12[[#This Row],[خط (S/S  TOT) SAR2]]-TABL12[[#This Row],[(S/S TOT) AJD]]</f>
        <v>0</v>
      </c>
      <c r="Q285" s="14">
        <v>573</v>
      </c>
      <c r="R285" s="9">
        <f>TABL12[[#This Row],[خط (T/B  TOT) SAR]]-TABL12[[#This Row],[(T/B TOT) AJD]]</f>
        <v>112</v>
      </c>
      <c r="S285" s="9">
        <f>TABL12[[#This Row],[الفرق بين بداية ونهاية خط  S/S]]+TABL12[[#This Row],[الفرق بين بداية ونهاية خط  T/B]]</f>
        <v>112</v>
      </c>
      <c r="T285" s="9">
        <f t="shared" si="16"/>
        <v>573</v>
      </c>
      <c r="U285" s="14">
        <v>509</v>
      </c>
      <c r="V285" s="14">
        <v>92</v>
      </c>
      <c r="W285" s="9">
        <f t="shared" si="17"/>
        <v>601</v>
      </c>
      <c r="X285" s="9">
        <f t="shared" si="18"/>
        <v>-28</v>
      </c>
      <c r="Y285" s="18">
        <v>92.272999999999996</v>
      </c>
      <c r="Z285" s="9">
        <v>361619</v>
      </c>
      <c r="AA285" s="9">
        <f>TABL12[[#This Row],[(RESV. STORGE) AJD]]/10</f>
        <v>36161.9</v>
      </c>
      <c r="AB285" s="3">
        <f t="shared" si="19"/>
        <v>-51.692</v>
      </c>
      <c r="AC285" s="6">
        <v>1804</v>
      </c>
      <c r="AD285" s="5">
        <f>TABL12[[#This Row],[( S/S+T/B) AJD]]-(TABL12[[#This Row],[(A/B + A/S) AJD]]+(TABL12[[#This Row],[(STORGE DIFF.) AJD]])+TABL12[[#This Row],[البخر  AJD]]/1000)</f>
        <v>21.888000000000034</v>
      </c>
      <c r="AE285" s="6">
        <v>20</v>
      </c>
      <c r="AF285" s="33">
        <v>58.646999999999998</v>
      </c>
      <c r="AG285" s="6">
        <v>1391136</v>
      </c>
      <c r="AH285" s="6">
        <f>TABL12[[#This Row],[ (RESV. STORGE) BER]]/10</f>
        <v>139113.60000000001</v>
      </c>
      <c r="AI285" s="6">
        <v>2508</v>
      </c>
      <c r="AJ285" s="6">
        <f>TABL12[[#This Row],[(A/B TOT) AJD]]-TABL12[[#This Row],[BER_ IN]]</f>
        <v>489</v>
      </c>
      <c r="AK285" s="6">
        <v>0</v>
      </c>
      <c r="AL285" s="33">
        <v>44.250999999999998</v>
      </c>
      <c r="AM285" s="6">
        <v>3791340</v>
      </c>
      <c r="AN285" s="6">
        <f>TABL12[[#This Row],[ (RESV. STORGE) SER]]/10</f>
        <v>379134</v>
      </c>
      <c r="AO285" s="6">
        <v>1580</v>
      </c>
      <c r="AP285" s="32">
        <f>TABL12[[#This Row],[(A/S TOT) AJD]]-TABL12[[#This Row],[SER_ IN]]</f>
        <v>92</v>
      </c>
    </row>
    <row r="286" spans="1:42" x14ac:dyDescent="0.25">
      <c r="A286" s="2">
        <v>45942</v>
      </c>
      <c r="B286" s="28">
        <v>37</v>
      </c>
      <c r="C286" s="28">
        <v>303</v>
      </c>
      <c r="D286" s="35">
        <v>38</v>
      </c>
      <c r="E286" s="28">
        <v>0</v>
      </c>
      <c r="F286" s="28">
        <v>53</v>
      </c>
      <c r="G286" s="28">
        <v>350</v>
      </c>
      <c r="H286" s="28">
        <v>50</v>
      </c>
      <c r="I286" s="28">
        <v>665</v>
      </c>
      <c r="J286" s="28">
        <v>0</v>
      </c>
      <c r="K286" s="28">
        <f>TABL12[[#This Row],[خط (T/B  TOT) SAR]]+TABL12[[#This Row],[خط (S/S  TOT) SAR2]]</f>
        <v>665</v>
      </c>
      <c r="L286" s="28">
        <v>315</v>
      </c>
      <c r="M286" s="29">
        <v>24.9</v>
      </c>
      <c r="N286" s="30">
        <v>7.54</v>
      </c>
      <c r="O286" s="14">
        <v>0</v>
      </c>
      <c r="P286" s="9">
        <f>TABL12[[#This Row],[خط (S/S  TOT) SAR2]]-TABL12[[#This Row],[(S/S TOT) AJD]]</f>
        <v>0</v>
      </c>
      <c r="Q286" s="14">
        <v>597</v>
      </c>
      <c r="R286" s="9">
        <f>TABL12[[#This Row],[خط (T/B  TOT) SAR]]-TABL12[[#This Row],[(T/B TOT) AJD]]</f>
        <v>68</v>
      </c>
      <c r="S286" s="9">
        <f>TABL12[[#This Row],[الفرق بين بداية ونهاية خط  S/S]]+TABL12[[#This Row],[الفرق بين بداية ونهاية خط  T/B]]</f>
        <v>68</v>
      </c>
      <c r="T286" s="9">
        <f t="shared" si="16"/>
        <v>597</v>
      </c>
      <c r="U286" s="14">
        <v>509</v>
      </c>
      <c r="V286" s="14">
        <v>90</v>
      </c>
      <c r="W286" s="9">
        <f t="shared" si="17"/>
        <v>599</v>
      </c>
      <c r="X286" s="9">
        <f t="shared" si="18"/>
        <v>-2</v>
      </c>
      <c r="Y286" s="18">
        <v>92.254999999999995</v>
      </c>
      <c r="Z286" s="9">
        <v>350929</v>
      </c>
      <c r="AA286" s="9">
        <f>TABL12[[#This Row],[(RESV. STORGE) AJD]]/10</f>
        <v>35092.9</v>
      </c>
      <c r="AB286" s="3">
        <f t="shared" si="19"/>
        <v>-10.69</v>
      </c>
      <c r="AC286" s="6">
        <v>1863</v>
      </c>
      <c r="AD286" s="5">
        <f>TABL12[[#This Row],[( S/S+T/B) AJD]]-(TABL12[[#This Row],[(A/B + A/S) AJD]]+(TABL12[[#This Row],[(STORGE DIFF.) AJD]])+TABL12[[#This Row],[البخر  AJD]]/1000)</f>
        <v>6.8269999999999982</v>
      </c>
      <c r="AE286" s="6">
        <v>20</v>
      </c>
      <c r="AF286" s="33">
        <v>58.613</v>
      </c>
      <c r="AG286" s="6">
        <v>1368797</v>
      </c>
      <c r="AH286" s="6">
        <f>TABL12[[#This Row],[ (RESV. STORGE) BER]]/10</f>
        <v>136879.70000000001</v>
      </c>
      <c r="AI286" s="6">
        <v>2498</v>
      </c>
      <c r="AJ286" s="6">
        <f>TABL12[[#This Row],[(A/B TOT) AJD]]-TABL12[[#This Row],[BER_ IN]]</f>
        <v>489</v>
      </c>
      <c r="AK286" s="6">
        <v>0</v>
      </c>
      <c r="AL286" s="33">
        <v>44.151000000000003</v>
      </c>
      <c r="AM286" s="6">
        <v>3736290</v>
      </c>
      <c r="AN286" s="6">
        <f>TABL12[[#This Row],[ (RESV. STORGE) SER]]/10</f>
        <v>373629</v>
      </c>
      <c r="AO286" s="6">
        <v>1530</v>
      </c>
      <c r="AP286" s="32">
        <f>TABL12[[#This Row],[(A/S TOT) AJD]]-TABL12[[#This Row],[SER_ IN]]</f>
        <v>90</v>
      </c>
    </row>
    <row r="287" spans="1:42" x14ac:dyDescent="0.25">
      <c r="A287" s="2">
        <v>45943</v>
      </c>
      <c r="B287" s="28">
        <v>38</v>
      </c>
      <c r="C287" s="28">
        <v>312</v>
      </c>
      <c r="D287" s="35">
        <v>38</v>
      </c>
      <c r="E287" s="28">
        <v>0</v>
      </c>
      <c r="F287" s="28">
        <v>53</v>
      </c>
      <c r="G287" s="28">
        <v>345</v>
      </c>
      <c r="H287" s="28">
        <v>50</v>
      </c>
      <c r="I287" s="28">
        <v>660</v>
      </c>
      <c r="J287" s="28">
        <v>0</v>
      </c>
      <c r="K287" s="28">
        <f>TABL12[[#This Row],[خط (T/B  TOT) SAR]]+TABL12[[#This Row],[خط (S/S  TOT) SAR2]]</f>
        <v>660</v>
      </c>
      <c r="L287" s="28">
        <v>315</v>
      </c>
      <c r="M287" s="29">
        <v>24.6</v>
      </c>
      <c r="N287" s="30">
        <v>7.54</v>
      </c>
      <c r="O287" s="14">
        <v>0</v>
      </c>
      <c r="P287" s="9">
        <f>TABL12[[#This Row],[خط (S/S  TOT) SAR2]]-TABL12[[#This Row],[(S/S TOT) AJD]]</f>
        <v>0</v>
      </c>
      <c r="Q287" s="14">
        <v>637</v>
      </c>
      <c r="R287" s="9">
        <f>TABL12[[#This Row],[خط (T/B  TOT) SAR]]-TABL12[[#This Row],[(T/B TOT) AJD]]</f>
        <v>23</v>
      </c>
      <c r="S287" s="9">
        <f>TABL12[[#This Row],[الفرق بين بداية ونهاية خط  S/S]]+TABL12[[#This Row],[الفرق بين بداية ونهاية خط  T/B]]</f>
        <v>23</v>
      </c>
      <c r="T287" s="9">
        <f t="shared" si="16"/>
        <v>637</v>
      </c>
      <c r="U287" s="14">
        <v>459</v>
      </c>
      <c r="V287" s="14">
        <v>92</v>
      </c>
      <c r="W287" s="9">
        <f t="shared" si="17"/>
        <v>551</v>
      </c>
      <c r="X287" s="9">
        <f t="shared" si="18"/>
        <v>86</v>
      </c>
      <c r="Y287" s="18">
        <v>92.325000000000003</v>
      </c>
      <c r="Z287" s="9">
        <v>392505</v>
      </c>
      <c r="AA287" s="9">
        <f>TABL12[[#This Row],[(RESV. STORGE) AJD]]/10</f>
        <v>39250.5</v>
      </c>
      <c r="AB287" s="3">
        <f t="shared" si="19"/>
        <v>41.576000000000001</v>
      </c>
      <c r="AC287" s="6">
        <v>1997</v>
      </c>
      <c r="AD287" s="5">
        <f>TABL12[[#This Row],[( S/S+T/B) AJD]]-(TABL12[[#This Row],[(A/B + A/S) AJD]]+(TABL12[[#This Row],[(STORGE DIFF.) AJD]])+TABL12[[#This Row],[البخر  AJD]]/1000)</f>
        <v>42.427000000000021</v>
      </c>
      <c r="AE287" s="6">
        <v>20</v>
      </c>
      <c r="AF287" s="33">
        <v>58.579000000000001</v>
      </c>
      <c r="AG287" s="6">
        <v>1346469</v>
      </c>
      <c r="AH287" s="6">
        <f>TABL12[[#This Row],[ (RESV. STORGE) BER]]/10</f>
        <v>134646.9</v>
      </c>
      <c r="AI287" s="6">
        <v>2488</v>
      </c>
      <c r="AJ287" s="6">
        <f>TABL12[[#This Row],[(A/B TOT) AJD]]-TABL12[[#This Row],[BER_ IN]]</f>
        <v>439</v>
      </c>
      <c r="AK287" s="6">
        <v>0</v>
      </c>
      <c r="AL287" s="33">
        <v>44.057000000000002</v>
      </c>
      <c r="AM287" s="6">
        <v>3684810</v>
      </c>
      <c r="AN287" s="6">
        <f>TABL12[[#This Row],[ (RESV. STORGE) SER]]/10</f>
        <v>368481</v>
      </c>
      <c r="AO287" s="6">
        <v>1630</v>
      </c>
      <c r="AP287" s="32">
        <f>TABL12[[#This Row],[(A/S TOT) AJD]]-TABL12[[#This Row],[SER_ IN]]</f>
        <v>92</v>
      </c>
    </row>
    <row r="288" spans="1:42" x14ac:dyDescent="0.25">
      <c r="A288" s="2">
        <v>45944</v>
      </c>
      <c r="B288" s="28">
        <v>38</v>
      </c>
      <c r="C288" s="28">
        <v>301</v>
      </c>
      <c r="D288" s="35">
        <v>38</v>
      </c>
      <c r="E288" s="28">
        <v>0</v>
      </c>
      <c r="F288" s="28">
        <v>53</v>
      </c>
      <c r="G288" s="28">
        <v>340</v>
      </c>
      <c r="H288" s="28">
        <v>50</v>
      </c>
      <c r="I288" s="28">
        <v>655</v>
      </c>
      <c r="J288" s="28">
        <v>0</v>
      </c>
      <c r="K288" s="28">
        <f>TABL12[[#This Row],[خط (T/B  TOT) SAR]]+TABL12[[#This Row],[خط (S/S  TOT) SAR2]]</f>
        <v>655</v>
      </c>
      <c r="L288" s="28">
        <v>315</v>
      </c>
      <c r="M288" s="29">
        <v>24.6</v>
      </c>
      <c r="N288" s="30">
        <v>7.55</v>
      </c>
      <c r="O288" s="14">
        <v>0</v>
      </c>
      <c r="P288" s="9">
        <f>TABL12[[#This Row],[خط (S/S  TOT) SAR2]]-TABL12[[#This Row],[(S/S TOT) AJD]]</f>
        <v>0</v>
      </c>
      <c r="Q288" s="14">
        <v>605</v>
      </c>
      <c r="R288" s="9">
        <f>TABL12[[#This Row],[خط (T/B  TOT) SAR]]-TABL12[[#This Row],[(T/B TOT) AJD]]</f>
        <v>50</v>
      </c>
      <c r="S288" s="9">
        <f>TABL12[[#This Row],[الفرق بين بداية ونهاية خط  S/S]]+TABL12[[#This Row],[الفرق بين بداية ونهاية خط  T/B]]</f>
        <v>50</v>
      </c>
      <c r="T288" s="9">
        <f t="shared" si="16"/>
        <v>605</v>
      </c>
      <c r="U288" s="14">
        <v>498</v>
      </c>
      <c r="V288" s="14">
        <v>91</v>
      </c>
      <c r="W288" s="9">
        <f t="shared" si="17"/>
        <v>589</v>
      </c>
      <c r="X288" s="9">
        <f t="shared" si="18"/>
        <v>16</v>
      </c>
      <c r="Y288" s="18">
        <v>92.31</v>
      </c>
      <c r="Z288" s="9">
        <v>383593</v>
      </c>
      <c r="AA288" s="9">
        <f>TABL12[[#This Row],[(RESV. STORGE) AJD]]/10</f>
        <v>38359.300000000003</v>
      </c>
      <c r="AB288" s="3">
        <f t="shared" si="19"/>
        <v>-8.9120000000000008</v>
      </c>
      <c r="AC288" s="6">
        <v>2029</v>
      </c>
      <c r="AD288" s="5">
        <f>TABL12[[#This Row],[( S/S+T/B) AJD]]-(TABL12[[#This Row],[(A/B + A/S) AJD]]+(TABL12[[#This Row],[(STORGE DIFF.) AJD]])+TABL12[[#This Row],[البخر  AJD]]/1000)</f>
        <v>22.883000000000038</v>
      </c>
      <c r="AE288" s="6">
        <v>20</v>
      </c>
      <c r="AF288" s="33">
        <v>58.584000000000003</v>
      </c>
      <c r="AG288" s="6">
        <v>1349752</v>
      </c>
      <c r="AH288" s="6">
        <f>TABL12[[#This Row],[ (RESV. STORGE) BER]]/10</f>
        <v>134975.20000000001</v>
      </c>
      <c r="AI288" s="6">
        <v>2516</v>
      </c>
      <c r="AJ288" s="6">
        <f>TABL12[[#This Row],[(A/B TOT) AJD]]-TABL12[[#This Row],[BER_ IN]]</f>
        <v>478</v>
      </c>
      <c r="AK288" s="6">
        <v>0</v>
      </c>
      <c r="AL288" s="33">
        <v>43.947000000000003</v>
      </c>
      <c r="AM288" s="6">
        <v>3624220</v>
      </c>
      <c r="AN288" s="6">
        <f>TABL12[[#This Row],[ (RESV. STORGE) SER]]/10</f>
        <v>362422</v>
      </c>
      <c r="AO288" s="6">
        <v>1600</v>
      </c>
      <c r="AP288" s="32">
        <f>TABL12[[#This Row],[(A/S TOT) AJD]]-TABL12[[#This Row],[SER_ IN]]</f>
        <v>91</v>
      </c>
    </row>
    <row r="289" spans="1:42" x14ac:dyDescent="0.25">
      <c r="A289" s="2">
        <v>45945</v>
      </c>
      <c r="B289" s="28">
        <v>37</v>
      </c>
      <c r="C289" s="28">
        <v>298</v>
      </c>
      <c r="D289" s="35">
        <v>38</v>
      </c>
      <c r="E289" s="28">
        <v>0</v>
      </c>
      <c r="F289" s="28">
        <v>58</v>
      </c>
      <c r="G289" s="28">
        <v>362</v>
      </c>
      <c r="H289" s="28">
        <v>45</v>
      </c>
      <c r="I289" s="28">
        <v>635</v>
      </c>
      <c r="J289" s="28">
        <v>42</v>
      </c>
      <c r="K289" s="28">
        <f>TABL12[[#This Row],[خط (T/B  TOT) SAR]]+TABL12[[#This Row],[خط (S/S  TOT) SAR2]]</f>
        <v>677</v>
      </c>
      <c r="L289" s="28">
        <v>315</v>
      </c>
      <c r="M289" s="29">
        <v>24.6</v>
      </c>
      <c r="N289" s="30">
        <v>7.5</v>
      </c>
      <c r="O289" s="14">
        <v>0</v>
      </c>
      <c r="P289" s="9">
        <f>TABL12[[#This Row],[خط (S/S  TOT) SAR2]]-TABL12[[#This Row],[(S/S TOT) AJD]]</f>
        <v>42</v>
      </c>
      <c r="Q289" s="14">
        <v>596</v>
      </c>
      <c r="R289" s="9">
        <f>TABL12[[#This Row],[خط (T/B  TOT) SAR]]-TABL12[[#This Row],[(T/B TOT) AJD]]</f>
        <v>39</v>
      </c>
      <c r="S289" s="9">
        <f>TABL12[[#This Row],[الفرق بين بداية ونهاية خط  S/S]]+TABL12[[#This Row],[الفرق بين بداية ونهاية خط  T/B]]</f>
        <v>81</v>
      </c>
      <c r="T289" s="9">
        <f t="shared" si="16"/>
        <v>596</v>
      </c>
      <c r="U289" s="14">
        <v>492</v>
      </c>
      <c r="V289" s="14">
        <v>91</v>
      </c>
      <c r="W289" s="9">
        <f t="shared" si="17"/>
        <v>583</v>
      </c>
      <c r="X289" s="9">
        <f t="shared" si="18"/>
        <v>13</v>
      </c>
      <c r="Y289" s="18">
        <v>92.272999999999996</v>
      </c>
      <c r="Z289" s="9">
        <v>362803</v>
      </c>
      <c r="AA289" s="9">
        <f>TABL12[[#This Row],[(RESV. STORGE) AJD]]/10</f>
        <v>36280.300000000003</v>
      </c>
      <c r="AB289" s="3">
        <f t="shared" si="19"/>
        <v>-20.79</v>
      </c>
      <c r="AC289" s="6">
        <v>1879</v>
      </c>
      <c r="AD289" s="5">
        <f>TABL12[[#This Row],[( S/S+T/B) AJD]]-(TABL12[[#This Row],[(A/B + A/S) AJD]]+(TABL12[[#This Row],[(STORGE DIFF.) AJD]])+TABL12[[#This Row],[البخر  AJD]]/1000)</f>
        <v>31.910999999999945</v>
      </c>
      <c r="AE289" s="6">
        <v>20</v>
      </c>
      <c r="AF289" s="33">
        <v>58.564999999999998</v>
      </c>
      <c r="AG289" s="6">
        <v>1337278</v>
      </c>
      <c r="AH289" s="6">
        <f>TABL12[[#This Row],[ (RESV. STORGE) BER]]/10</f>
        <v>133727.79999999999</v>
      </c>
      <c r="AI289" s="6">
        <v>3099</v>
      </c>
      <c r="AJ289" s="6">
        <f>TABL12[[#This Row],[(A/B TOT) AJD]]-TABL12[[#This Row],[BER_ IN]]</f>
        <v>472</v>
      </c>
      <c r="AK289" s="6">
        <v>0</v>
      </c>
      <c r="AL289" s="33">
        <v>43.853000000000002</v>
      </c>
      <c r="AM289" s="6">
        <v>3573220</v>
      </c>
      <c r="AN289" s="6">
        <f>TABL12[[#This Row],[ (RESV. STORGE) SER]]/10</f>
        <v>357322</v>
      </c>
      <c r="AO289" s="6">
        <v>1650</v>
      </c>
      <c r="AP289" s="32">
        <f>TABL12[[#This Row],[(A/S TOT) AJD]]-TABL12[[#This Row],[SER_ IN]]</f>
        <v>91</v>
      </c>
    </row>
    <row r="290" spans="1:42" x14ac:dyDescent="0.25">
      <c r="A290" s="2">
        <v>45946</v>
      </c>
      <c r="B290" s="28">
        <v>38</v>
      </c>
      <c r="C290" s="28">
        <v>307</v>
      </c>
      <c r="D290" s="35">
        <v>38</v>
      </c>
      <c r="E290" s="28">
        <v>0</v>
      </c>
      <c r="F290" s="28">
        <v>61</v>
      </c>
      <c r="G290" s="28">
        <v>378</v>
      </c>
      <c r="H290" s="28">
        <v>50</v>
      </c>
      <c r="I290" s="28">
        <v>655</v>
      </c>
      <c r="J290" s="28">
        <v>38</v>
      </c>
      <c r="K290" s="28">
        <f>TABL12[[#This Row],[خط (T/B  TOT) SAR]]+TABL12[[#This Row],[خط (S/S  TOT) SAR2]]</f>
        <v>693</v>
      </c>
      <c r="L290" s="28">
        <v>315</v>
      </c>
      <c r="M290" s="29">
        <v>24.6</v>
      </c>
      <c r="N290" s="30">
        <v>7.5</v>
      </c>
      <c r="O290" s="14">
        <v>0</v>
      </c>
      <c r="P290" s="9">
        <f>TABL12[[#This Row],[خط (S/S  TOT) SAR2]]-TABL12[[#This Row],[(S/S TOT) AJD]]</f>
        <v>38</v>
      </c>
      <c r="Q290" s="14">
        <v>585</v>
      </c>
      <c r="R290" s="9">
        <f>TABL12[[#This Row],[خط (T/B  TOT) SAR]]-TABL12[[#This Row],[(T/B TOT) AJD]]</f>
        <v>70</v>
      </c>
      <c r="S290" s="9">
        <f>TABL12[[#This Row],[الفرق بين بداية ونهاية خط  S/S]]+TABL12[[#This Row],[الفرق بين بداية ونهاية خط  T/B]]</f>
        <v>108</v>
      </c>
      <c r="T290" s="9">
        <f t="shared" si="16"/>
        <v>585</v>
      </c>
      <c r="U290" s="14">
        <v>455</v>
      </c>
      <c r="V290" s="14">
        <v>91</v>
      </c>
      <c r="W290" s="9">
        <f t="shared" si="17"/>
        <v>546</v>
      </c>
      <c r="X290" s="9">
        <f t="shared" si="18"/>
        <v>39</v>
      </c>
      <c r="Y290" s="18">
        <v>92.298000000000002</v>
      </c>
      <c r="Z290" s="9">
        <v>376464</v>
      </c>
      <c r="AA290" s="9">
        <f>TABL12[[#This Row],[(RESV. STORGE) AJD]]/10</f>
        <v>37646.400000000001</v>
      </c>
      <c r="AB290" s="3">
        <f t="shared" si="19"/>
        <v>13.661</v>
      </c>
      <c r="AC290" s="6">
        <v>1613</v>
      </c>
      <c r="AD290" s="5">
        <f>TABL12[[#This Row],[( S/S+T/B) AJD]]-(TABL12[[#This Row],[(A/B + A/S) AJD]]+(TABL12[[#This Row],[(STORGE DIFF.) AJD]])+TABL12[[#This Row],[البخر  AJD]]/1000)</f>
        <v>23.725999999999999</v>
      </c>
      <c r="AE290" s="6">
        <v>20</v>
      </c>
      <c r="AF290" s="33">
        <v>58.530999999999999</v>
      </c>
      <c r="AG290" s="6">
        <v>1314964</v>
      </c>
      <c r="AH290" s="6">
        <f>TABL12[[#This Row],[ (RESV. STORGE) BER]]/10</f>
        <v>131496.4</v>
      </c>
      <c r="AI290" s="6">
        <v>2474</v>
      </c>
      <c r="AJ290" s="6">
        <f>TABL12[[#This Row],[(A/B TOT) AJD]]-TABL12[[#This Row],[BER_ IN]]</f>
        <v>435</v>
      </c>
      <c r="AK290" s="6">
        <v>0</v>
      </c>
      <c r="AL290" s="33">
        <v>43.747</v>
      </c>
      <c r="AM290" s="6">
        <v>3515310</v>
      </c>
      <c r="AN290" s="6">
        <f>TABL12[[#This Row],[ (RESV. STORGE) SER]]/10</f>
        <v>351531</v>
      </c>
      <c r="AO290" s="6">
        <v>1910</v>
      </c>
      <c r="AP290" s="32">
        <f>TABL12[[#This Row],[(A/S TOT) AJD]]-TABL12[[#This Row],[SER_ IN]]</f>
        <v>91</v>
      </c>
    </row>
    <row r="291" spans="1:42" x14ac:dyDescent="0.25">
      <c r="A291" s="2">
        <v>45947</v>
      </c>
      <c r="B291" s="28">
        <v>38</v>
      </c>
      <c r="C291" s="28">
        <v>306</v>
      </c>
      <c r="D291" s="28">
        <v>38</v>
      </c>
      <c r="E291" s="28">
        <v>0</v>
      </c>
      <c r="F291" s="28">
        <v>61</v>
      </c>
      <c r="G291" s="28">
        <v>375</v>
      </c>
      <c r="H291" s="28">
        <v>42</v>
      </c>
      <c r="I291" s="28">
        <v>650</v>
      </c>
      <c r="J291" s="28">
        <v>40</v>
      </c>
      <c r="K291" s="28">
        <f>TABL12[[#This Row],[خط (T/B  TOT) SAR]]+TABL12[[#This Row],[خط (S/S  TOT) SAR2]]</f>
        <v>690</v>
      </c>
      <c r="L291" s="28">
        <v>315</v>
      </c>
      <c r="M291" s="29">
        <v>24.6</v>
      </c>
      <c r="N291" s="30">
        <v>7.5</v>
      </c>
      <c r="O291" s="14">
        <v>0</v>
      </c>
      <c r="P291" s="9">
        <f>TABL12[[#This Row],[خط (S/S  TOT) SAR2]]-TABL12[[#This Row],[(S/S TOT) AJD]]</f>
        <v>40</v>
      </c>
      <c r="Q291" s="14">
        <v>597</v>
      </c>
      <c r="R291" s="9">
        <f>TABL12[[#This Row],[خط (T/B  TOT) SAR]]-TABL12[[#This Row],[(T/B TOT) AJD]]</f>
        <v>53</v>
      </c>
      <c r="S291" s="9">
        <f>TABL12[[#This Row],[الفرق بين بداية ونهاية خط  S/S]]+TABL12[[#This Row],[الفرق بين بداية ونهاية خط  T/B]]</f>
        <v>93</v>
      </c>
      <c r="T291" s="9">
        <f t="shared" si="16"/>
        <v>597</v>
      </c>
      <c r="U291" s="14">
        <v>503</v>
      </c>
      <c r="V291" s="14">
        <v>91</v>
      </c>
      <c r="W291" s="9">
        <f t="shared" si="17"/>
        <v>594</v>
      </c>
      <c r="X291" s="9">
        <f t="shared" si="18"/>
        <v>3</v>
      </c>
      <c r="Y291" s="18">
        <v>92.265000000000001</v>
      </c>
      <c r="Z291" s="9">
        <v>358647</v>
      </c>
      <c r="AA291" s="9">
        <f>TABL12[[#This Row],[(RESV. STORGE) AJD]]/10</f>
        <v>35864.699999999997</v>
      </c>
      <c r="AB291" s="3">
        <f t="shared" si="19"/>
        <v>-17.817</v>
      </c>
      <c r="AC291" s="6">
        <v>1795</v>
      </c>
      <c r="AD291" s="5">
        <f>TABL12[[#This Row],[( S/S+T/B) AJD]]-(TABL12[[#This Row],[(A/B + A/S) AJD]]+(TABL12[[#This Row],[(STORGE DIFF.) AJD]])+TABL12[[#This Row],[البخر  AJD]]/1000)</f>
        <v>19.022000000000048</v>
      </c>
      <c r="AE291" s="6">
        <v>20</v>
      </c>
      <c r="AF291" s="33">
        <v>58.497</v>
      </c>
      <c r="AG291" s="6">
        <v>1292659</v>
      </c>
      <c r="AH291" s="6">
        <f>TABL12[[#This Row],[ (RESV. STORGE) BER]]/10</f>
        <v>129265.9</v>
      </c>
      <c r="AI291" s="6">
        <v>2464</v>
      </c>
      <c r="AJ291" s="6">
        <f>TABL12[[#This Row],[(A/B TOT) AJD]]-TABL12[[#This Row],[BER_ IN]]</f>
        <v>483</v>
      </c>
      <c r="AK291" s="6">
        <v>0</v>
      </c>
      <c r="AL291" s="33">
        <v>43.616</v>
      </c>
      <c r="AM291" s="6">
        <v>3443050</v>
      </c>
      <c r="AN291" s="6">
        <f>TABL12[[#This Row],[ (RESV. STORGE) SER]]/10</f>
        <v>344305</v>
      </c>
      <c r="AO291" s="6">
        <v>1860</v>
      </c>
      <c r="AP291" s="32">
        <f>TABL12[[#This Row],[(A/S TOT) AJD]]-TABL12[[#This Row],[SER_ IN]]</f>
        <v>91</v>
      </c>
    </row>
    <row r="292" spans="1:42" x14ac:dyDescent="0.25">
      <c r="A292" s="2">
        <v>45948</v>
      </c>
      <c r="B292" s="28">
        <v>38</v>
      </c>
      <c r="C292" s="28">
        <v>311</v>
      </c>
      <c r="D292" s="28">
        <v>38</v>
      </c>
      <c r="E292" s="28">
        <v>0</v>
      </c>
      <c r="F292" s="28">
        <v>61</v>
      </c>
      <c r="G292" s="28">
        <v>371</v>
      </c>
      <c r="H292" s="28">
        <v>42</v>
      </c>
      <c r="I292" s="28">
        <v>648</v>
      </c>
      <c r="J292" s="28">
        <v>38</v>
      </c>
      <c r="K292" s="28">
        <f>TABL12[[#This Row],[خط (T/B  TOT) SAR]]+TABL12[[#This Row],[خط (S/S  TOT) SAR2]]</f>
        <v>686</v>
      </c>
      <c r="L292" s="28">
        <v>315</v>
      </c>
      <c r="M292" s="29">
        <v>24.6</v>
      </c>
      <c r="N292" s="30">
        <v>7.5</v>
      </c>
      <c r="O292" s="9">
        <v>0</v>
      </c>
      <c r="P292" s="9">
        <f>TABL12[[#This Row],[خط (S/S  TOT) SAR2]]-TABL12[[#This Row],[(S/S TOT) AJD]]</f>
        <v>38</v>
      </c>
      <c r="Q292" s="9">
        <v>595</v>
      </c>
      <c r="R292" s="9">
        <f>TABL12[[#This Row],[خط (T/B  TOT) SAR]]-TABL12[[#This Row],[(T/B TOT) AJD]]</f>
        <v>53</v>
      </c>
      <c r="S292" s="9">
        <f>TABL12[[#This Row],[الفرق بين بداية ونهاية خط  S/S]]+TABL12[[#This Row],[الفرق بين بداية ونهاية خط  T/B]]</f>
        <v>91</v>
      </c>
      <c r="T292" s="9">
        <f t="shared" si="16"/>
        <v>595</v>
      </c>
      <c r="U292" s="9">
        <v>503</v>
      </c>
      <c r="V292" s="9">
        <v>91</v>
      </c>
      <c r="W292" s="9">
        <f t="shared" si="17"/>
        <v>594</v>
      </c>
      <c r="X292" s="9">
        <f t="shared" si="18"/>
        <v>1</v>
      </c>
      <c r="Y292" s="18">
        <v>92.215000000000003</v>
      </c>
      <c r="Z292" s="9">
        <v>327188</v>
      </c>
      <c r="AA292" s="9">
        <f>TABL12[[#This Row],[(RESV. STORGE) AJD]]/10</f>
        <v>32718.799999999999</v>
      </c>
      <c r="AB292" s="3">
        <f t="shared" si="19"/>
        <v>-31.459</v>
      </c>
      <c r="AC292" s="6">
        <v>1761</v>
      </c>
      <c r="AD292" s="5">
        <f>TABL12[[#This Row],[( S/S+T/B) AJD]]-(TABL12[[#This Row],[(A/B + A/S) AJD]]+(TABL12[[#This Row],[(STORGE DIFF.) AJD]])+TABL12[[#This Row],[البخر  AJD]]/1000)</f>
        <v>30.697999999999979</v>
      </c>
      <c r="AE292" s="6">
        <v>20</v>
      </c>
      <c r="AF292" s="33">
        <v>58.463000000000001</v>
      </c>
      <c r="AG292" s="6">
        <v>1270365</v>
      </c>
      <c r="AH292" s="6">
        <f>TABL12[[#This Row],[ (RESV. STORGE) BER]]/10</f>
        <v>127036.5</v>
      </c>
      <c r="AI292" s="6">
        <v>2454</v>
      </c>
      <c r="AJ292" s="6">
        <f>TABL12[[#This Row],[(A/B TOT) AJD]]-TABL12[[#This Row],[BER_ IN]]</f>
        <v>483</v>
      </c>
      <c r="AK292" s="6">
        <v>0</v>
      </c>
      <c r="AL292" s="33">
        <v>43.508000000000003</v>
      </c>
      <c r="AM292" s="6">
        <v>3384680</v>
      </c>
      <c r="AN292" s="6">
        <f>TABL12[[#This Row],[ (RESV. STORGE) SER]]/10</f>
        <v>338468</v>
      </c>
      <c r="AO292" s="6">
        <v>1870</v>
      </c>
      <c r="AP292" s="32">
        <f>TABL12[[#This Row],[(A/S TOT) AJD]]-TABL12[[#This Row],[SER_ IN]]</f>
        <v>91</v>
      </c>
    </row>
    <row r="293" spans="1:42" x14ac:dyDescent="0.25">
      <c r="A293" s="2">
        <v>45949</v>
      </c>
      <c r="B293" s="28">
        <v>37</v>
      </c>
      <c r="C293" s="28">
        <v>312</v>
      </c>
      <c r="D293" s="28">
        <v>38</v>
      </c>
      <c r="E293" s="28">
        <v>0</v>
      </c>
      <c r="F293" s="28">
        <v>61</v>
      </c>
      <c r="G293" s="28">
        <v>379</v>
      </c>
      <c r="H293" s="28">
        <v>42</v>
      </c>
      <c r="I293" s="28">
        <v>655</v>
      </c>
      <c r="J293" s="28">
        <v>39</v>
      </c>
      <c r="K293" s="28">
        <f>TABL12[[#This Row],[خط (T/B  TOT) SAR]]+TABL12[[#This Row],[خط (S/S  TOT) SAR2]]</f>
        <v>694</v>
      </c>
      <c r="L293" s="28">
        <v>315</v>
      </c>
      <c r="M293" s="29">
        <v>24.6</v>
      </c>
      <c r="N293" s="30">
        <v>7.5</v>
      </c>
      <c r="O293" s="9">
        <v>0</v>
      </c>
      <c r="P293" s="9">
        <f>TABL12[[#This Row],[خط (S/S  TOT) SAR2]]-TABL12[[#This Row],[(S/S TOT) AJD]]</f>
        <v>39</v>
      </c>
      <c r="Q293" s="9">
        <v>600</v>
      </c>
      <c r="R293" s="9">
        <f>TABL12[[#This Row],[خط (T/B  TOT) SAR]]-TABL12[[#This Row],[(T/B TOT) AJD]]</f>
        <v>55</v>
      </c>
      <c r="S293" s="9">
        <f>TABL12[[#This Row],[الفرق بين بداية ونهاية خط  S/S]]+TABL12[[#This Row],[الفرق بين بداية ونهاية خط  T/B]]</f>
        <v>94</v>
      </c>
      <c r="T293" s="9">
        <f t="shared" si="16"/>
        <v>600</v>
      </c>
      <c r="U293" s="9">
        <v>489</v>
      </c>
      <c r="V293" s="9">
        <v>91</v>
      </c>
      <c r="W293" s="9">
        <f t="shared" si="17"/>
        <v>580</v>
      </c>
      <c r="X293" s="9">
        <f t="shared" si="18"/>
        <v>20</v>
      </c>
      <c r="Y293" s="18">
        <v>92.203000000000003</v>
      </c>
      <c r="Z293" s="9">
        <v>320073</v>
      </c>
      <c r="AA293" s="9">
        <f>TABL12[[#This Row],[(RESV. STORGE) AJD]]/10</f>
        <v>32007.3</v>
      </c>
      <c r="AB293" s="3">
        <f t="shared" si="19"/>
        <v>-7.1150000000000002</v>
      </c>
      <c r="AC293" s="6">
        <v>1794</v>
      </c>
      <c r="AD293" s="5">
        <f>TABL12[[#This Row],[( S/S+T/B) AJD]]-(TABL12[[#This Row],[(A/B + A/S) AJD]]+(TABL12[[#This Row],[(STORGE DIFF.) AJD]])+TABL12[[#This Row],[البخر  AJD]]/1000)</f>
        <v>25.321000000000026</v>
      </c>
      <c r="AE293" s="6">
        <v>20</v>
      </c>
      <c r="AF293" s="33">
        <v>58.429000000000002</v>
      </c>
      <c r="AG293" s="6">
        <v>1248081</v>
      </c>
      <c r="AH293" s="6">
        <f>TABL12[[#This Row],[ (RESV. STORGE) BER]]/10</f>
        <v>124808.1</v>
      </c>
      <c r="AI293" s="6">
        <v>2444</v>
      </c>
      <c r="AJ293" s="6">
        <f>TABL12[[#This Row],[(A/B TOT) AJD]]-TABL12[[#This Row],[BER_ IN]]</f>
        <v>469</v>
      </c>
      <c r="AK293" s="6">
        <v>0</v>
      </c>
      <c r="AL293" s="33">
        <v>43.445999999999998</v>
      </c>
      <c r="AM293" s="6">
        <v>3397095</v>
      </c>
      <c r="AN293" s="6">
        <f>TABL12[[#This Row],[ (RESV. STORGE) SER]]/10</f>
        <v>339709.5</v>
      </c>
      <c r="AO293" s="6">
        <v>1900</v>
      </c>
      <c r="AP293" s="32">
        <f>TABL12[[#This Row],[(A/S TOT) AJD]]-TABL12[[#This Row],[SER_ IN]]</f>
        <v>91</v>
      </c>
    </row>
    <row r="294" spans="1:42" x14ac:dyDescent="0.25">
      <c r="A294" s="2">
        <v>45950</v>
      </c>
      <c r="B294" s="28">
        <v>38</v>
      </c>
      <c r="C294" s="28">
        <v>305</v>
      </c>
      <c r="D294" s="28">
        <v>38</v>
      </c>
      <c r="E294" s="28">
        <v>0</v>
      </c>
      <c r="F294" s="28">
        <v>61</v>
      </c>
      <c r="G294" s="28">
        <v>383</v>
      </c>
      <c r="H294" s="28">
        <v>42</v>
      </c>
      <c r="I294" s="28">
        <v>658</v>
      </c>
      <c r="J294" s="28">
        <v>40</v>
      </c>
      <c r="K294" s="28">
        <f>TABL12[[#This Row],[خط (T/B  TOT) SAR]]+TABL12[[#This Row],[خط (S/S  TOT) SAR2]]</f>
        <v>698</v>
      </c>
      <c r="L294" s="28">
        <v>315</v>
      </c>
      <c r="M294" s="29">
        <v>24.6</v>
      </c>
      <c r="N294" s="30">
        <v>7.5</v>
      </c>
      <c r="O294" s="9">
        <v>0</v>
      </c>
      <c r="P294" s="9">
        <f>TABL12[[#This Row],[خط (S/S  TOT) SAR2]]-TABL12[[#This Row],[(S/S TOT) AJD]]</f>
        <v>40</v>
      </c>
      <c r="Q294" s="9">
        <v>603</v>
      </c>
      <c r="R294" s="9">
        <f>TABL12[[#This Row],[خط (T/B  TOT) SAR]]-TABL12[[#This Row],[(T/B TOT) AJD]]</f>
        <v>55</v>
      </c>
      <c r="S294" s="9">
        <f>TABL12[[#This Row],[الفرق بين بداية ونهاية خط  S/S]]+TABL12[[#This Row],[الفرق بين بداية ونهاية خط  T/B]]</f>
        <v>95</v>
      </c>
      <c r="T294" s="9">
        <f t="shared" si="16"/>
        <v>603</v>
      </c>
      <c r="U294" s="9">
        <v>459</v>
      </c>
      <c r="V294" s="9">
        <v>91</v>
      </c>
      <c r="W294" s="9">
        <f t="shared" si="17"/>
        <v>550</v>
      </c>
      <c r="X294" s="9">
        <f t="shared" si="18"/>
        <v>53</v>
      </c>
      <c r="Y294" s="18">
        <v>92.25</v>
      </c>
      <c r="Z294" s="9">
        <v>347962</v>
      </c>
      <c r="AA294" s="9">
        <f>TABL12[[#This Row],[(RESV. STORGE) AJD]]/10</f>
        <v>34796.199999999997</v>
      </c>
      <c r="AB294" s="3">
        <f t="shared" si="19"/>
        <v>27.888999999999999</v>
      </c>
      <c r="AC294" s="6">
        <v>2809</v>
      </c>
      <c r="AD294" s="5">
        <f>TABL12[[#This Row],[( S/S+T/B) AJD]]-(TABL12[[#This Row],[(A/B + A/S) AJD]]+(TABL12[[#This Row],[(STORGE DIFF.) AJD]])+TABL12[[#This Row],[البخر  AJD]]/1000)</f>
        <v>22.302000000000021</v>
      </c>
      <c r="AE294" s="6">
        <v>20</v>
      </c>
      <c r="AF294" s="33">
        <v>58.349400000000003</v>
      </c>
      <c r="AG294" s="6">
        <v>1225151</v>
      </c>
      <c r="AH294" s="6">
        <f>TABL12[[#This Row],[ (RESV. STORGE) BER]]/10</f>
        <v>122515.1</v>
      </c>
      <c r="AI294" s="6">
        <v>3089</v>
      </c>
      <c r="AJ294" s="6">
        <f>TABL12[[#This Row],[(A/B TOT) AJD]]-TABL12[[#This Row],[BER_ IN]]</f>
        <v>439</v>
      </c>
      <c r="AK294" s="6">
        <v>0</v>
      </c>
      <c r="AL294" s="33">
        <v>43.326000000000001</v>
      </c>
      <c r="AM294" s="6">
        <v>3285040</v>
      </c>
      <c r="AN294" s="6">
        <f>TABL12[[#This Row],[ (RESV. STORGE) SER]]/10</f>
        <v>328504</v>
      </c>
      <c r="AO294" s="6">
        <v>1840</v>
      </c>
      <c r="AP294" s="32">
        <f>TABL12[[#This Row],[(A/S TOT) AJD]]-TABL12[[#This Row],[SER_ IN]]</f>
        <v>91</v>
      </c>
    </row>
    <row r="295" spans="1:42" x14ac:dyDescent="0.25">
      <c r="A295" s="2">
        <v>45951</v>
      </c>
      <c r="B295" s="28">
        <v>37</v>
      </c>
      <c r="C295" s="28">
        <v>307</v>
      </c>
      <c r="D295" s="28">
        <v>37</v>
      </c>
      <c r="E295" s="28">
        <v>0</v>
      </c>
      <c r="F295" s="28">
        <v>61</v>
      </c>
      <c r="G295" s="28">
        <v>383</v>
      </c>
      <c r="H295" s="28">
        <v>42</v>
      </c>
      <c r="I295" s="28">
        <v>658</v>
      </c>
      <c r="J295" s="28">
        <v>40</v>
      </c>
      <c r="K295" s="28">
        <f>TABL12[[#This Row],[خط (T/B  TOT) SAR]]+TABL12[[#This Row],[خط (S/S  TOT) SAR2]]</f>
        <v>698</v>
      </c>
      <c r="L295" s="28">
        <v>315</v>
      </c>
      <c r="M295" s="29">
        <v>24.6</v>
      </c>
      <c r="N295" s="30">
        <v>7.48</v>
      </c>
      <c r="O295" s="9">
        <v>0</v>
      </c>
      <c r="P295" s="9">
        <f>TABL12[[#This Row],[خط (S/S  TOT) SAR2]]-TABL12[[#This Row],[(S/S TOT) AJD]]</f>
        <v>40</v>
      </c>
      <c r="Q295" s="9">
        <v>605</v>
      </c>
      <c r="R295" s="9">
        <f>TABL12[[#This Row],[خط (T/B  TOT) SAR]]-TABL12[[#This Row],[(T/B TOT) AJD]]</f>
        <v>53</v>
      </c>
      <c r="S295" s="9">
        <f>TABL12[[#This Row],[الفرق بين بداية ونهاية خط  S/S]]+TABL12[[#This Row],[الفرق بين بداية ونهاية خط  T/B]]</f>
        <v>93</v>
      </c>
      <c r="T295" s="9">
        <f t="shared" si="16"/>
        <v>605</v>
      </c>
      <c r="U295" s="9">
        <v>496</v>
      </c>
      <c r="V295" s="9">
        <v>91</v>
      </c>
      <c r="W295" s="9">
        <f t="shared" si="17"/>
        <v>587</v>
      </c>
      <c r="X295" s="9">
        <f t="shared" si="18"/>
        <v>18</v>
      </c>
      <c r="Y295" s="18">
        <v>92.242000000000004</v>
      </c>
      <c r="Z295" s="9">
        <v>342024</v>
      </c>
      <c r="AA295" s="9">
        <f>TABL12[[#This Row],[(RESV. STORGE) AJD]]/10</f>
        <v>34202.400000000001</v>
      </c>
      <c r="AB295" s="3">
        <f t="shared" si="19"/>
        <v>-5.9379999999999997</v>
      </c>
      <c r="AC295" s="6">
        <v>2942</v>
      </c>
      <c r="AD295" s="5">
        <f>TABL12[[#This Row],[( S/S+T/B) AJD]]-(TABL12[[#This Row],[(A/B + A/S) AJD]]+(TABL12[[#This Row],[(STORGE DIFF.) AJD]])+TABL12[[#This Row],[البخر  AJD]]/1000)</f>
        <v>20.995999999999981</v>
      </c>
      <c r="AE295" s="6">
        <v>20</v>
      </c>
      <c r="AF295" s="33">
        <v>58.38</v>
      </c>
      <c r="AG295" s="6">
        <v>1215982</v>
      </c>
      <c r="AH295" s="6">
        <f>TABL12[[#This Row],[ (RESV. STORGE) BER]]/10</f>
        <v>121598.2</v>
      </c>
      <c r="AI295" s="6">
        <v>2525</v>
      </c>
      <c r="AJ295" s="6">
        <f>TABL12[[#This Row],[(A/B TOT) AJD]]-TABL12[[#This Row],[BER_ IN]]</f>
        <v>476</v>
      </c>
      <c r="AK295" s="6">
        <v>0</v>
      </c>
      <c r="AL295" s="33">
        <v>43.207000000000001</v>
      </c>
      <c r="AM295" s="6">
        <v>3220660</v>
      </c>
      <c r="AN295" s="6">
        <f>TABL12[[#This Row],[ (RESV. STORGE) SER]]/10</f>
        <v>322066</v>
      </c>
      <c r="AO295" s="6">
        <v>1880</v>
      </c>
      <c r="AP295" s="32">
        <f>TABL12[[#This Row],[(A/S TOT) AJD]]-TABL12[[#This Row],[SER_ IN]]</f>
        <v>91</v>
      </c>
    </row>
    <row r="296" spans="1:42" x14ac:dyDescent="0.25">
      <c r="A296" s="2">
        <v>45952</v>
      </c>
      <c r="B296" s="28">
        <v>37</v>
      </c>
      <c r="C296" s="28">
        <v>307</v>
      </c>
      <c r="D296" s="28">
        <v>37</v>
      </c>
      <c r="E296" s="28">
        <v>0</v>
      </c>
      <c r="F296" s="28">
        <v>61</v>
      </c>
      <c r="G296" s="28">
        <v>344</v>
      </c>
      <c r="H296" s="28">
        <v>42</v>
      </c>
      <c r="I296" s="28">
        <v>622</v>
      </c>
      <c r="J296" s="28">
        <v>37</v>
      </c>
      <c r="K296" s="28">
        <f>TABL12[[#This Row],[خط (T/B  TOT) SAR]]+TABL12[[#This Row],[خط (S/S  TOT) SAR2]]</f>
        <v>659</v>
      </c>
      <c r="L296" s="28">
        <v>315</v>
      </c>
      <c r="M296" s="29">
        <v>24.6</v>
      </c>
      <c r="N296" s="30">
        <v>7.48</v>
      </c>
      <c r="O296" s="9">
        <v>0</v>
      </c>
      <c r="P296" s="9">
        <f>TABL12[[#This Row],[خط (S/S  TOT) SAR2]]-TABL12[[#This Row],[(S/S TOT) AJD]]</f>
        <v>37</v>
      </c>
      <c r="Q296" s="9">
        <v>604</v>
      </c>
      <c r="R296" s="9">
        <f>TABL12[[#This Row],[خط (T/B  TOT) SAR]]-TABL12[[#This Row],[(T/B TOT) AJD]]</f>
        <v>18</v>
      </c>
      <c r="S296" s="9">
        <f>TABL12[[#This Row],[الفرق بين بداية ونهاية خط  S/S]]+TABL12[[#This Row],[الفرق بين بداية ونهاية خط  T/B]]</f>
        <v>55</v>
      </c>
      <c r="T296" s="9">
        <f t="shared" si="16"/>
        <v>604</v>
      </c>
      <c r="U296" s="9">
        <v>496</v>
      </c>
      <c r="V296" s="9">
        <v>92</v>
      </c>
      <c r="W296" s="9">
        <f t="shared" si="17"/>
        <v>588</v>
      </c>
      <c r="X296" s="9">
        <f t="shared" si="18"/>
        <v>16</v>
      </c>
      <c r="Y296" s="18">
        <v>92.212999999999994</v>
      </c>
      <c r="Z296" s="9">
        <v>324227</v>
      </c>
      <c r="AA296" s="9">
        <f>TABL12[[#This Row],[(RESV. STORGE) AJD]]/10</f>
        <v>32422.7</v>
      </c>
      <c r="AB296" s="3">
        <f t="shared" si="19"/>
        <v>-17.797000000000001</v>
      </c>
      <c r="AC296" s="6">
        <v>2942</v>
      </c>
      <c r="AD296" s="5">
        <f>TABL12[[#This Row],[( S/S+T/B) AJD]]-(TABL12[[#This Row],[(A/B + A/S) AJD]]+(TABL12[[#This Row],[(STORGE DIFF.) AJD]])+TABL12[[#This Row],[البخر  AJD]]/1000)</f>
        <v>30.855000000000018</v>
      </c>
      <c r="AE296" s="6">
        <v>20</v>
      </c>
      <c r="AF296" s="33">
        <v>58.344999999999999</v>
      </c>
      <c r="AG296" s="6">
        <v>1193068</v>
      </c>
      <c r="AH296" s="6">
        <f>TABL12[[#This Row],[ (RESV. STORGE) BER]]/10</f>
        <v>119306.8</v>
      </c>
      <c r="AI296" s="6">
        <v>2659</v>
      </c>
      <c r="AJ296" s="6">
        <f>TABL12[[#This Row],[(A/B TOT) AJD]]-TABL12[[#This Row],[BER_ IN]]</f>
        <v>476</v>
      </c>
      <c r="AK296" s="6">
        <v>0</v>
      </c>
      <c r="AL296" s="33">
        <v>43.081000000000003</v>
      </c>
      <c r="AM296" s="6">
        <v>3152070</v>
      </c>
      <c r="AN296" s="6">
        <f>TABL12[[#This Row],[ (RESV. STORGE) SER]]/10</f>
        <v>315207</v>
      </c>
      <c r="AO296" s="6">
        <v>1890</v>
      </c>
      <c r="AP296" s="32">
        <f>TABL12[[#This Row],[(A/S TOT) AJD]]-TABL12[[#This Row],[SER_ IN]]</f>
        <v>92</v>
      </c>
    </row>
    <row r="297" spans="1:42" x14ac:dyDescent="0.25">
      <c r="A297" s="2">
        <v>45953</v>
      </c>
      <c r="B297" s="28">
        <v>37</v>
      </c>
      <c r="C297" s="28">
        <v>305</v>
      </c>
      <c r="D297" s="28">
        <v>37</v>
      </c>
      <c r="E297" s="28">
        <v>0</v>
      </c>
      <c r="F297" s="28">
        <v>61</v>
      </c>
      <c r="G297" s="28">
        <v>376</v>
      </c>
      <c r="H297" s="28">
        <v>42</v>
      </c>
      <c r="I297" s="28">
        <v>652</v>
      </c>
      <c r="J297" s="28">
        <v>39</v>
      </c>
      <c r="K297" s="28">
        <f>TABL12[[#This Row],[خط (T/B  TOT) SAR]]+TABL12[[#This Row],[خط (S/S  TOT) SAR2]]</f>
        <v>691</v>
      </c>
      <c r="L297" s="28">
        <v>315</v>
      </c>
      <c r="M297" s="29">
        <v>24.6</v>
      </c>
      <c r="N297" s="30">
        <v>7.47</v>
      </c>
      <c r="O297" s="9">
        <v>0</v>
      </c>
      <c r="P297" s="9">
        <f>TABL12[[#This Row],[خط (S/S  TOT) SAR2]]-TABL12[[#This Row],[(S/S TOT) AJD]]</f>
        <v>39</v>
      </c>
      <c r="Q297" s="9">
        <v>567</v>
      </c>
      <c r="R297" s="9">
        <f>TABL12[[#This Row],[خط (T/B  TOT) SAR]]-TABL12[[#This Row],[(T/B TOT) AJD]]</f>
        <v>85</v>
      </c>
      <c r="S297" s="9">
        <f>TABL12[[#This Row],[الفرق بين بداية ونهاية خط  S/S]]+TABL12[[#This Row],[الفرق بين بداية ونهاية خط  T/B]]</f>
        <v>124</v>
      </c>
      <c r="T297" s="9">
        <f t="shared" si="16"/>
        <v>567</v>
      </c>
      <c r="U297" s="9">
        <v>452</v>
      </c>
      <c r="V297" s="9">
        <v>89</v>
      </c>
      <c r="W297" s="9">
        <f t="shared" si="17"/>
        <v>541</v>
      </c>
      <c r="X297" s="9">
        <f t="shared" si="18"/>
        <v>26</v>
      </c>
      <c r="Y297" s="18">
        <v>92.222999999999999</v>
      </c>
      <c r="Z297" s="9">
        <v>331937</v>
      </c>
      <c r="AA297" s="9">
        <f>TABL12[[#This Row],[(RESV. STORGE) AJD]]/10</f>
        <v>33193.699999999997</v>
      </c>
      <c r="AB297" s="3">
        <f t="shared" si="19"/>
        <v>7.71</v>
      </c>
      <c r="AC297" s="6">
        <v>2106</v>
      </c>
      <c r="AD297" s="5">
        <f>TABL12[[#This Row],[( S/S+T/B) AJD]]-(TABL12[[#This Row],[(A/B + A/S) AJD]]+(TABL12[[#This Row],[(STORGE DIFF.) AJD]])+TABL12[[#This Row],[البخر  AJD]]/1000)</f>
        <v>16.183999999999969</v>
      </c>
      <c r="AE297" s="6">
        <v>20</v>
      </c>
      <c r="AF297" s="33">
        <v>58.311</v>
      </c>
      <c r="AG297" s="6">
        <v>1170818</v>
      </c>
      <c r="AH297" s="6">
        <f>TABL12[[#This Row],[ (RESV. STORGE) BER]]/10</f>
        <v>117081.8</v>
      </c>
      <c r="AI297" s="6">
        <v>2409</v>
      </c>
      <c r="AJ297" s="6">
        <f>TABL12[[#This Row],[(A/B TOT) AJD]]-TABL12[[#This Row],[BER_ IN]]</f>
        <v>432</v>
      </c>
      <c r="AK297" s="6">
        <v>0</v>
      </c>
      <c r="AL297" s="33">
        <v>42.965000000000003</v>
      </c>
      <c r="AM297" s="6">
        <v>3089810</v>
      </c>
      <c r="AN297" s="6">
        <f>TABL12[[#This Row],[ (RESV. STORGE) SER]]/10</f>
        <v>308981</v>
      </c>
      <c r="AO297" s="6">
        <v>1860</v>
      </c>
      <c r="AP297" s="32">
        <f>TABL12[[#This Row],[(A/S TOT) AJD]]-TABL12[[#This Row],[SER_ IN]]</f>
        <v>89</v>
      </c>
    </row>
    <row r="298" spans="1:42" x14ac:dyDescent="0.25">
      <c r="A298" s="2">
        <v>45954</v>
      </c>
      <c r="B298" s="28">
        <v>36</v>
      </c>
      <c r="C298" s="28">
        <v>302</v>
      </c>
      <c r="D298" s="28">
        <v>36</v>
      </c>
      <c r="E298" s="28">
        <v>0</v>
      </c>
      <c r="F298" s="28">
        <v>61</v>
      </c>
      <c r="G298" s="28">
        <v>389</v>
      </c>
      <c r="H298" s="28">
        <v>42</v>
      </c>
      <c r="I298" s="28">
        <v>665</v>
      </c>
      <c r="J298" s="28">
        <v>39</v>
      </c>
      <c r="K298" s="28">
        <f>TABL12[[#This Row],[خط (T/B  TOT) SAR]]+TABL12[[#This Row],[خط (S/S  TOT) SAR2]]</f>
        <v>704</v>
      </c>
      <c r="L298" s="28">
        <v>315</v>
      </c>
      <c r="M298" s="29">
        <v>24.6</v>
      </c>
      <c r="N298" s="30">
        <v>7.46</v>
      </c>
      <c r="O298" s="9">
        <v>0</v>
      </c>
      <c r="P298" s="9">
        <f>TABL12[[#This Row],[خط (S/S  TOT) SAR2]]-TABL12[[#This Row],[(S/S TOT) AJD]]</f>
        <v>39</v>
      </c>
      <c r="Q298" s="9">
        <v>602</v>
      </c>
      <c r="R298" s="9">
        <f>TABL12[[#This Row],[خط (T/B  TOT) SAR]]-TABL12[[#This Row],[(T/B TOT) AJD]]</f>
        <v>63</v>
      </c>
      <c r="S298" s="9">
        <f>TABL12[[#This Row],[الفرق بين بداية ونهاية خط  S/S]]+TABL12[[#This Row],[الفرق بين بداية ونهاية خط  T/B]]</f>
        <v>102</v>
      </c>
      <c r="T298" s="9">
        <f t="shared" si="16"/>
        <v>602</v>
      </c>
      <c r="U298" s="9">
        <v>510</v>
      </c>
      <c r="V298" s="9">
        <v>90</v>
      </c>
      <c r="W298" s="9">
        <f t="shared" si="17"/>
        <v>600</v>
      </c>
      <c r="X298" s="9">
        <f t="shared" si="18"/>
        <v>2</v>
      </c>
      <c r="Y298" s="18">
        <v>92.185000000000002</v>
      </c>
      <c r="Z298" s="9">
        <v>309393</v>
      </c>
      <c r="AA298" s="9">
        <f>TABL12[[#This Row],[(RESV. STORGE) AJD]]/10</f>
        <v>30939.3</v>
      </c>
      <c r="AB298" s="3">
        <f t="shared" si="19"/>
        <v>-22.544</v>
      </c>
      <c r="AC298" s="6">
        <v>1910</v>
      </c>
      <c r="AD298" s="5">
        <f>TABL12[[#This Row],[( S/S+T/B) AJD]]-(TABL12[[#This Row],[(A/B + A/S) AJD]]+(TABL12[[#This Row],[(STORGE DIFF.) AJD]])+TABL12[[#This Row],[البخر  AJD]]/1000)</f>
        <v>22.634000000000015</v>
      </c>
      <c r="AE298" s="6">
        <v>20</v>
      </c>
      <c r="AF298" s="33">
        <v>58.28</v>
      </c>
      <c r="AG298" s="6">
        <v>1150540</v>
      </c>
      <c r="AH298" s="6">
        <f>TABL12[[#This Row],[ (RESV. STORGE) BER]]/10</f>
        <v>115054</v>
      </c>
      <c r="AI298" s="6">
        <v>2662</v>
      </c>
      <c r="AJ298" s="6">
        <f>TABL12[[#This Row],[(A/B TOT) AJD]]-TABL12[[#This Row],[BER_ IN]]</f>
        <v>490</v>
      </c>
      <c r="AK298" s="6">
        <v>0</v>
      </c>
      <c r="AL298" s="33">
        <v>42.87</v>
      </c>
      <c r="AM298" s="6">
        <v>3037920</v>
      </c>
      <c r="AN298" s="6">
        <f>TABL12[[#This Row],[ (RESV. STORGE) SER]]/10</f>
        <v>303792</v>
      </c>
      <c r="AO298" s="6">
        <v>1890</v>
      </c>
      <c r="AP298" s="32">
        <f>TABL12[[#This Row],[(A/S TOT) AJD]]-TABL12[[#This Row],[SER_ IN]]</f>
        <v>90</v>
      </c>
    </row>
    <row r="299" spans="1:42" x14ac:dyDescent="0.25">
      <c r="A299" s="2">
        <v>45955</v>
      </c>
      <c r="B299" s="28">
        <v>36</v>
      </c>
      <c r="C299" s="28">
        <v>299</v>
      </c>
      <c r="D299" s="28">
        <v>36</v>
      </c>
      <c r="E299" s="28">
        <v>0</v>
      </c>
      <c r="F299" s="28">
        <v>61</v>
      </c>
      <c r="G299" s="28">
        <v>389</v>
      </c>
      <c r="H299" s="28">
        <v>42</v>
      </c>
      <c r="I299" s="28">
        <v>665</v>
      </c>
      <c r="J299" s="28">
        <v>39</v>
      </c>
      <c r="K299" s="28">
        <f>TABL12[[#This Row],[خط (T/B  TOT) SAR]]+TABL12[[#This Row],[خط (S/S  TOT) SAR2]]</f>
        <v>704</v>
      </c>
      <c r="L299" s="28">
        <v>315</v>
      </c>
      <c r="M299" s="29">
        <v>24.6</v>
      </c>
      <c r="N299" s="30">
        <v>7.42</v>
      </c>
      <c r="O299" s="9">
        <v>0</v>
      </c>
      <c r="P299" s="9">
        <f>TABL12[[#This Row],[خط (S/S  TOT) SAR2]]-TABL12[[#This Row],[(S/S TOT) AJD]]</f>
        <v>39</v>
      </c>
      <c r="Q299" s="9">
        <v>610</v>
      </c>
      <c r="R299" s="9">
        <f>TABL12[[#This Row],[خط (T/B  TOT) SAR]]-TABL12[[#This Row],[(T/B TOT) AJD]]</f>
        <v>55</v>
      </c>
      <c r="S299" s="9">
        <f>TABL12[[#This Row],[الفرق بين بداية ونهاية خط  S/S]]+TABL12[[#This Row],[الفرق بين بداية ونهاية خط  T/B]]</f>
        <v>94</v>
      </c>
      <c r="T299" s="9">
        <f t="shared" si="16"/>
        <v>610</v>
      </c>
      <c r="U299" s="9">
        <v>453</v>
      </c>
      <c r="V299" s="9">
        <v>91</v>
      </c>
      <c r="W299" s="9">
        <f t="shared" si="17"/>
        <v>544</v>
      </c>
      <c r="X299" s="9">
        <f t="shared" si="18"/>
        <v>66</v>
      </c>
      <c r="Y299" s="18">
        <v>92.251999999999995</v>
      </c>
      <c r="Z299" s="9">
        <v>349925</v>
      </c>
      <c r="AA299" s="9">
        <f>TABL12[[#This Row],[(RESV. STORGE) AJD]]/10</f>
        <v>34992.5</v>
      </c>
      <c r="AB299" s="3">
        <f t="shared" si="19"/>
        <v>40.531999999999996</v>
      </c>
      <c r="AC299" s="6">
        <v>1857</v>
      </c>
      <c r="AD299" s="5">
        <f>TABL12[[#This Row],[( S/S+T/B) AJD]]-(TABL12[[#This Row],[(A/B + A/S) AJD]]+(TABL12[[#This Row],[(STORGE DIFF.) AJD]])+TABL12[[#This Row],[البخر  AJD]]/1000)</f>
        <v>23.61099999999999</v>
      </c>
      <c r="AE299" s="6">
        <v>20</v>
      </c>
      <c r="AF299" s="33"/>
      <c r="AG299" s="6"/>
      <c r="AH299" s="6">
        <f>TABL12[[#This Row],[ (RESV. STORGE) BER]]/10</f>
        <v>0</v>
      </c>
      <c r="AI299" s="6">
        <v>3237</v>
      </c>
      <c r="AJ299" s="6">
        <f>TABL12[[#This Row],[(A/B TOT) AJD]]-TABL12[[#This Row],[BER_ IN]]</f>
        <v>433</v>
      </c>
      <c r="AK299" s="6">
        <v>0</v>
      </c>
      <c r="AL299" s="33">
        <v>42.774000000000001</v>
      </c>
      <c r="AM299" s="6">
        <v>2986640</v>
      </c>
      <c r="AN299" s="6">
        <f>TABL12[[#This Row],[ (RESV. STORGE) SER]]/10</f>
        <v>298664</v>
      </c>
      <c r="AO299" s="6">
        <v>1800</v>
      </c>
      <c r="AP299" s="32">
        <f>TABL12[[#This Row],[(A/S TOT) AJD]]-TABL12[[#This Row],[SER_ IN]]</f>
        <v>91</v>
      </c>
    </row>
    <row r="300" spans="1:42" x14ac:dyDescent="0.25">
      <c r="A300" s="2">
        <v>45956</v>
      </c>
      <c r="B300" s="28">
        <v>37</v>
      </c>
      <c r="C300" s="28">
        <v>282</v>
      </c>
      <c r="D300" s="28">
        <v>37</v>
      </c>
      <c r="E300" s="28">
        <v>0</v>
      </c>
      <c r="F300" s="28">
        <v>61</v>
      </c>
      <c r="G300" s="28">
        <v>389</v>
      </c>
      <c r="H300" s="28">
        <v>42</v>
      </c>
      <c r="I300" s="28">
        <v>665</v>
      </c>
      <c r="J300" s="28">
        <v>39</v>
      </c>
      <c r="K300" s="28">
        <f>TABL12[[#This Row],[خط (T/B  TOT) SAR]]+TABL12[[#This Row],[خط (S/S  TOT) SAR2]]</f>
        <v>704</v>
      </c>
      <c r="L300" s="28">
        <v>315</v>
      </c>
      <c r="M300" s="29">
        <v>24.6</v>
      </c>
      <c r="N300" s="30">
        <v>7.34</v>
      </c>
      <c r="O300" s="9">
        <v>0</v>
      </c>
      <c r="P300" s="9">
        <f>TABL12[[#This Row],[خط (S/S  TOT) SAR2]]-TABL12[[#This Row],[(S/S TOT) AJD]]</f>
        <v>39</v>
      </c>
      <c r="Q300" s="9">
        <v>607</v>
      </c>
      <c r="R300" s="9">
        <f>TABL12[[#This Row],[خط (T/B  TOT) SAR]]-TABL12[[#This Row],[(T/B TOT) AJD]]</f>
        <v>58</v>
      </c>
      <c r="S300" s="9">
        <f>TABL12[[#This Row],[الفرق بين بداية ونهاية خط  S/S]]+TABL12[[#This Row],[الفرق بين بداية ونهاية خط  T/B]]</f>
        <v>97</v>
      </c>
      <c r="T300" s="9">
        <f t="shared" si="16"/>
        <v>607</v>
      </c>
      <c r="U300" s="9">
        <v>461</v>
      </c>
      <c r="V300" s="9">
        <v>91</v>
      </c>
      <c r="W300" s="9">
        <f t="shared" si="17"/>
        <v>552</v>
      </c>
      <c r="X300" s="9">
        <f t="shared" si="18"/>
        <v>55</v>
      </c>
      <c r="Y300" s="18">
        <v>92.298000000000002</v>
      </c>
      <c r="Z300" s="9">
        <v>376678</v>
      </c>
      <c r="AA300" s="9">
        <f>TABL12[[#This Row],[(RESV. STORGE) AJD]]/10</f>
        <v>37667.800000000003</v>
      </c>
      <c r="AB300" s="3">
        <f t="shared" si="19"/>
        <v>26.753</v>
      </c>
      <c r="AC300" s="6">
        <v>2374</v>
      </c>
      <c r="AD300" s="5">
        <f>TABL12[[#This Row],[( S/S+T/B) AJD]]-(TABL12[[#This Row],[(A/B + A/S) AJD]]+(TABL12[[#This Row],[(STORGE DIFF.) AJD]])+TABL12[[#This Row],[البخر  AJD]]/1000)</f>
        <v>25.872999999999934</v>
      </c>
      <c r="AE300" s="6">
        <v>50</v>
      </c>
      <c r="AF300" s="33">
        <v>58.317999999999998</v>
      </c>
      <c r="AG300" s="6">
        <v>1175398</v>
      </c>
      <c r="AH300" s="6">
        <f>TABL12[[#This Row],[ (RESV. STORGE) BER]]/10</f>
        <v>117539.8</v>
      </c>
      <c r="AI300" s="6">
        <v>3263</v>
      </c>
      <c r="AJ300" s="6">
        <f>TABL12[[#This Row],[(A/B TOT) AJD]]-TABL12[[#This Row],[BER_ IN]]</f>
        <v>411</v>
      </c>
      <c r="AK300" s="6">
        <v>0</v>
      </c>
      <c r="AL300" s="33">
        <v>42.667000000000002</v>
      </c>
      <c r="AM300" s="6">
        <v>2928430</v>
      </c>
      <c r="AN300" s="6">
        <f>TABL12[[#This Row],[ (RESV. STORGE) SER]]/10</f>
        <v>292843</v>
      </c>
      <c r="AO300" s="6">
        <v>1800</v>
      </c>
      <c r="AP300" s="32">
        <f>TABL12[[#This Row],[(A/S TOT) AJD]]-TABL12[[#This Row],[SER_ IN]]</f>
        <v>91</v>
      </c>
    </row>
    <row r="301" spans="1:42" x14ac:dyDescent="0.25">
      <c r="A301" s="2">
        <v>45957</v>
      </c>
      <c r="B301" s="28">
        <v>38</v>
      </c>
      <c r="C301" s="28">
        <v>298</v>
      </c>
      <c r="D301" s="28">
        <v>38</v>
      </c>
      <c r="E301" s="28">
        <v>0</v>
      </c>
      <c r="F301" s="28">
        <v>61</v>
      </c>
      <c r="G301" s="28">
        <v>389</v>
      </c>
      <c r="H301" s="28">
        <v>42</v>
      </c>
      <c r="I301" s="28">
        <v>665</v>
      </c>
      <c r="J301" s="28">
        <v>39</v>
      </c>
      <c r="K301" s="28">
        <f>TABL12[[#This Row],[خط (T/B  TOT) SAR]]+TABL12[[#This Row],[خط (S/S  TOT) SAR2]]</f>
        <v>704</v>
      </c>
      <c r="L301" s="28">
        <v>315</v>
      </c>
      <c r="M301" s="29">
        <v>24.6</v>
      </c>
      <c r="N301" s="30">
        <v>7.29</v>
      </c>
      <c r="O301" s="9">
        <v>0</v>
      </c>
      <c r="P301" s="9">
        <f>TABL12[[#This Row],[خط (S/S  TOT) SAR2]]-TABL12[[#This Row],[(S/S TOT) AJD]]</f>
        <v>39</v>
      </c>
      <c r="Q301" s="9">
        <v>606</v>
      </c>
      <c r="R301" s="9">
        <f>TABL12[[#This Row],[خط (T/B  TOT) SAR]]-TABL12[[#This Row],[(T/B TOT) AJD]]</f>
        <v>59</v>
      </c>
      <c r="S301" s="9">
        <f>TABL12[[#This Row],[الفرق بين بداية ونهاية خط  S/S]]+TABL12[[#This Row],[الفرق بين بداية ونهاية خط  T/B]]</f>
        <v>98</v>
      </c>
      <c r="T301" s="9">
        <f t="shared" si="16"/>
        <v>606</v>
      </c>
      <c r="U301" s="9">
        <v>502</v>
      </c>
      <c r="V301" s="9">
        <v>83</v>
      </c>
      <c r="W301" s="9">
        <f t="shared" si="17"/>
        <v>585</v>
      </c>
      <c r="X301" s="9">
        <f t="shared" si="18"/>
        <v>21</v>
      </c>
      <c r="Y301" s="18">
        <v>92.28</v>
      </c>
      <c r="Z301" s="9">
        <v>365774</v>
      </c>
      <c r="AA301" s="9">
        <f>TABL12[[#This Row],[(RESV. STORGE) AJD]]/10</f>
        <v>36577.4</v>
      </c>
      <c r="AB301" s="3">
        <f t="shared" si="19"/>
        <v>-10.904</v>
      </c>
      <c r="AC301" s="6">
        <v>2253</v>
      </c>
      <c r="AD301" s="5">
        <f>TABL12[[#This Row],[( S/S+T/B) AJD]]-(TABL12[[#This Row],[(A/B + A/S) AJD]]+(TABL12[[#This Row],[(STORGE DIFF.) AJD]])+TABL12[[#This Row],[البخر  AJD]]/1000)</f>
        <v>29.650999999999954</v>
      </c>
      <c r="AE301" s="6">
        <v>92</v>
      </c>
      <c r="AF301" s="33">
        <v>58.390999999999998</v>
      </c>
      <c r="AG301" s="6">
        <v>1228187</v>
      </c>
      <c r="AH301" s="6">
        <f>TABL12[[#This Row],[ (RESV. STORGE) BER]]/10</f>
        <v>122818.7</v>
      </c>
      <c r="AI301" s="6">
        <v>3371</v>
      </c>
      <c r="AJ301" s="6">
        <f>TABL12[[#This Row],[(A/B TOT) AJD]]-TABL12[[#This Row],[BER_ IN]]</f>
        <v>410</v>
      </c>
      <c r="AK301" s="6">
        <v>0</v>
      </c>
      <c r="AL301" s="33">
        <v>42.552999999999997</v>
      </c>
      <c r="AM301" s="6">
        <v>2867090</v>
      </c>
      <c r="AN301" s="6">
        <f>TABL12[[#This Row],[ (RESV. STORGE) SER]]/10</f>
        <v>286709</v>
      </c>
      <c r="AO301" s="6">
        <v>1840</v>
      </c>
      <c r="AP301" s="32">
        <f>TABL12[[#This Row],[(A/S TOT) AJD]]-TABL12[[#This Row],[SER_ IN]]</f>
        <v>83</v>
      </c>
    </row>
    <row r="302" spans="1:42" x14ac:dyDescent="0.25">
      <c r="A302" s="2">
        <v>45958</v>
      </c>
      <c r="B302" s="28">
        <v>38</v>
      </c>
      <c r="C302" s="28">
        <v>310</v>
      </c>
      <c r="D302" s="28">
        <v>38</v>
      </c>
      <c r="E302" s="28">
        <v>0</v>
      </c>
      <c r="F302" s="28">
        <v>61</v>
      </c>
      <c r="G302" s="28">
        <v>384</v>
      </c>
      <c r="H302" s="28">
        <v>42</v>
      </c>
      <c r="I302" s="28">
        <v>660</v>
      </c>
      <c r="J302" s="28">
        <v>39</v>
      </c>
      <c r="K302" s="28">
        <f>TABL12[[#This Row],[خط (T/B  TOT) SAR]]+TABL12[[#This Row],[خط (S/S  TOT) SAR2]]</f>
        <v>699</v>
      </c>
      <c r="L302" s="28">
        <v>315</v>
      </c>
      <c r="M302" s="29">
        <v>24.6</v>
      </c>
      <c r="N302" s="30">
        <v>7.3</v>
      </c>
      <c r="O302" s="9">
        <v>0</v>
      </c>
      <c r="P302" s="9">
        <f>TABL12[[#This Row],[خط (S/S  TOT) SAR2]]-TABL12[[#This Row],[(S/S TOT) AJD]]</f>
        <v>39</v>
      </c>
      <c r="Q302" s="9">
        <v>604</v>
      </c>
      <c r="R302" s="9">
        <f>TABL12[[#This Row],[خط (T/B  TOT) SAR]]-TABL12[[#This Row],[(T/B TOT) AJD]]</f>
        <v>56</v>
      </c>
      <c r="S302" s="9">
        <f>TABL12[[#This Row],[الفرق بين بداية ونهاية خط  S/S]]+TABL12[[#This Row],[الفرق بين بداية ونهاية خط  T/B]]</f>
        <v>95</v>
      </c>
      <c r="T302" s="9">
        <f t="shared" si="16"/>
        <v>604</v>
      </c>
      <c r="U302" s="9">
        <v>562</v>
      </c>
      <c r="V302" s="9">
        <v>90</v>
      </c>
      <c r="W302" s="9">
        <f t="shared" si="17"/>
        <v>652</v>
      </c>
      <c r="X302" s="9">
        <f t="shared" si="18"/>
        <v>-48</v>
      </c>
      <c r="Y302" s="18">
        <v>92.147999999999996</v>
      </c>
      <c r="Z302" s="9">
        <v>287457</v>
      </c>
      <c r="AA302" s="9">
        <f>TABL12[[#This Row],[(RESV. STORGE) AJD]]/10</f>
        <v>28745.7</v>
      </c>
      <c r="AB302" s="3">
        <f t="shared" si="19"/>
        <v>-78.316999999999993</v>
      </c>
      <c r="AC302" s="6">
        <v>3071</v>
      </c>
      <c r="AD302" s="5">
        <f>TABL12[[#This Row],[( S/S+T/B) AJD]]-(TABL12[[#This Row],[(A/B + A/S) AJD]]+(TABL12[[#This Row],[(STORGE DIFF.) AJD]])+TABL12[[#This Row],[البخر  AJD]]/1000)</f>
        <v>27.245999999999981</v>
      </c>
      <c r="AE302" s="6">
        <v>110</v>
      </c>
      <c r="AF302" s="33">
        <v>58.390999999999998</v>
      </c>
      <c r="AG302" s="6">
        <v>1290036</v>
      </c>
      <c r="AH302" s="6">
        <f>TABL12[[#This Row],[ (RESV. STORGE) BER]]/10</f>
        <v>129003.6</v>
      </c>
      <c r="AI302" s="6">
        <v>3310</v>
      </c>
      <c r="AJ302" s="6">
        <f>TABL12[[#This Row],[(A/B TOT) AJD]]-TABL12[[#This Row],[BER_ IN]]</f>
        <v>452</v>
      </c>
      <c r="AK302" s="6">
        <v>0</v>
      </c>
      <c r="AL302" s="33">
        <v>42.445</v>
      </c>
      <c r="AM302" s="6">
        <v>2809150</v>
      </c>
      <c r="AN302" s="6">
        <f>TABL12[[#This Row],[ (RESV. STORGE) SER]]/10</f>
        <v>280915</v>
      </c>
      <c r="AO302" s="6">
        <v>1840</v>
      </c>
      <c r="AP302" s="32">
        <f>TABL12[[#This Row],[(A/S TOT) AJD]]-TABL12[[#This Row],[SER_ IN]]</f>
        <v>90</v>
      </c>
    </row>
    <row r="303" spans="1:42" x14ac:dyDescent="0.25">
      <c r="A303" s="2">
        <v>45959</v>
      </c>
      <c r="B303" s="28">
        <v>39</v>
      </c>
      <c r="C303" s="28">
        <v>317</v>
      </c>
      <c r="D303" s="28">
        <v>39</v>
      </c>
      <c r="E303" s="28">
        <v>0</v>
      </c>
      <c r="F303" s="28">
        <v>61</v>
      </c>
      <c r="G303" s="28">
        <v>389</v>
      </c>
      <c r="H303" s="28">
        <v>42</v>
      </c>
      <c r="I303" s="28">
        <v>665</v>
      </c>
      <c r="J303" s="28">
        <v>34</v>
      </c>
      <c r="K303" s="28">
        <f>TABL12[[#This Row],[خط (T/B  TOT) SAR]]+TABL12[[#This Row],[خط (S/S  TOT) SAR2]]</f>
        <v>699</v>
      </c>
      <c r="L303" s="28">
        <v>315</v>
      </c>
      <c r="M303" s="29">
        <v>24.6</v>
      </c>
      <c r="N303" s="30">
        <v>7.35</v>
      </c>
      <c r="O303" s="9">
        <v>9</v>
      </c>
      <c r="P303" s="9">
        <f>TABL12[[#This Row],[خط (S/S  TOT) SAR2]]-TABL12[[#This Row],[(S/S TOT) AJD]]</f>
        <v>25</v>
      </c>
      <c r="Q303" s="9">
        <v>600</v>
      </c>
      <c r="R303" s="9">
        <f>TABL12[[#This Row],[خط (T/B  TOT) SAR]]-TABL12[[#This Row],[(T/B TOT) AJD]]</f>
        <v>65</v>
      </c>
      <c r="S303" s="9">
        <f>TABL12[[#This Row],[الفرق بين بداية ونهاية خط  S/S]]+TABL12[[#This Row],[الفرق بين بداية ونهاية خط  T/B]]</f>
        <v>90</v>
      </c>
      <c r="T303" s="9">
        <f t="shared" si="16"/>
        <v>609</v>
      </c>
      <c r="U303" s="9">
        <v>572</v>
      </c>
      <c r="V303" s="9">
        <v>90</v>
      </c>
      <c r="W303" s="9">
        <f t="shared" si="17"/>
        <v>662</v>
      </c>
      <c r="X303" s="9">
        <f t="shared" si="18"/>
        <v>-53</v>
      </c>
      <c r="Y303" s="18">
        <v>92.022999999999996</v>
      </c>
      <c r="Z303" s="9">
        <v>213424</v>
      </c>
      <c r="AA303" s="9">
        <f>TABL12[[#This Row],[(RESV. STORGE) AJD]]/10</f>
        <v>21342.400000000001</v>
      </c>
      <c r="AB303" s="3">
        <f t="shared" si="19"/>
        <v>-74.033000000000001</v>
      </c>
      <c r="AC303" s="6">
        <v>1828</v>
      </c>
      <c r="AD303" s="5">
        <f>TABL12[[#This Row],[( S/S+T/B) AJD]]-(TABL12[[#This Row],[(A/B + A/S) AJD]]+(TABL12[[#This Row],[(STORGE DIFF.) AJD]])+TABL12[[#This Row],[البخر  AJD]]/1000)</f>
        <v>19.205000000000041</v>
      </c>
      <c r="AE303" s="6">
        <v>120</v>
      </c>
      <c r="AF303" s="33">
        <v>58.607999999999997</v>
      </c>
      <c r="AG303" s="6">
        <v>1365513</v>
      </c>
      <c r="AH303" s="6">
        <f>TABL12[[#This Row],[ (RESV. STORGE) BER]]/10</f>
        <v>136551.29999999999</v>
      </c>
      <c r="AI303" s="6">
        <v>3299</v>
      </c>
      <c r="AJ303" s="6">
        <f>TABL12[[#This Row],[(A/B TOT) AJD]]-TABL12[[#This Row],[BER_ IN]]</f>
        <v>452</v>
      </c>
      <c r="AK303" s="6">
        <v>0</v>
      </c>
      <c r="AL303" s="33">
        <v>42.344999999999999</v>
      </c>
      <c r="AM303" s="6">
        <v>2755500</v>
      </c>
      <c r="AN303" s="6">
        <f>TABL12[[#This Row],[ (RESV. STORGE) SER]]/10</f>
        <v>275550</v>
      </c>
      <c r="AO303" s="6">
        <v>1850</v>
      </c>
      <c r="AP303" s="32">
        <f>TABL12[[#This Row],[(A/S TOT) AJD]]-TABL12[[#This Row],[SER_ IN]]</f>
        <v>90</v>
      </c>
    </row>
    <row r="304" spans="1:42" x14ac:dyDescent="0.25">
      <c r="A304" s="2">
        <v>45960</v>
      </c>
      <c r="B304" s="28">
        <v>39</v>
      </c>
      <c r="C304" s="28">
        <v>318</v>
      </c>
      <c r="D304" s="28">
        <v>39</v>
      </c>
      <c r="E304" s="28">
        <v>0</v>
      </c>
      <c r="F304" s="28">
        <v>55</v>
      </c>
      <c r="G304" s="28">
        <v>344</v>
      </c>
      <c r="H304" s="28">
        <v>48</v>
      </c>
      <c r="I304" s="28">
        <v>336</v>
      </c>
      <c r="J304" s="28">
        <v>323</v>
      </c>
      <c r="K304" s="28">
        <f>TABL12[[#This Row],[خط (T/B  TOT) SAR]]+TABL12[[#This Row],[خط (S/S  TOT) SAR2]]</f>
        <v>659</v>
      </c>
      <c r="L304" s="28">
        <v>315</v>
      </c>
      <c r="M304" s="29">
        <v>24.6</v>
      </c>
      <c r="N304" s="30">
        <v>7.44</v>
      </c>
      <c r="O304" s="9">
        <v>41</v>
      </c>
      <c r="P304" s="9">
        <f>TABL12[[#This Row],[خط (S/S  TOT) SAR2]]-TABL12[[#This Row],[(S/S TOT) AJD]]</f>
        <v>282</v>
      </c>
      <c r="Q304" s="9">
        <v>528</v>
      </c>
      <c r="R304" s="9">
        <f>TABL12[[#This Row],[خط (T/B  TOT) SAR]]-TABL12[[#This Row],[(T/B TOT) AJD]]</f>
        <v>-192</v>
      </c>
      <c r="S304" s="9">
        <f>TABL12[[#This Row],[الفرق بين بداية ونهاية خط  S/S]]+TABL12[[#This Row],[الفرق بين بداية ونهاية خط  T/B]]</f>
        <v>90</v>
      </c>
      <c r="T304" s="9">
        <f t="shared" si="16"/>
        <v>569</v>
      </c>
      <c r="U304" s="9">
        <v>501</v>
      </c>
      <c r="V304" s="9">
        <v>90</v>
      </c>
      <c r="W304" s="9">
        <f t="shared" si="17"/>
        <v>591</v>
      </c>
      <c r="X304" s="9">
        <f t="shared" si="18"/>
        <v>-22</v>
      </c>
      <c r="Y304" s="18">
        <v>91.936000000000007</v>
      </c>
      <c r="Z304" s="9">
        <v>166967</v>
      </c>
      <c r="AA304" s="9">
        <f>TABL12[[#This Row],[(RESV. STORGE) AJD]]/10</f>
        <v>16696.7</v>
      </c>
      <c r="AB304" s="3">
        <f t="shared" si="19"/>
        <v>-46.457000000000001</v>
      </c>
      <c r="AC304" s="6">
        <v>1862</v>
      </c>
      <c r="AD304" s="5">
        <f>TABL12[[#This Row],[( S/S+T/B) AJD]]-(TABL12[[#This Row],[(A/B + A/S) AJD]]+(TABL12[[#This Row],[(STORGE DIFF.) AJD]])+TABL12[[#This Row],[البخر  AJD]]/1000)</f>
        <v>22.595000000000027</v>
      </c>
      <c r="AE304" s="6">
        <v>143</v>
      </c>
      <c r="AF304" s="33">
        <v>58.7</v>
      </c>
      <c r="AG304" s="6">
        <v>1425977</v>
      </c>
      <c r="AH304" s="6">
        <f>TABL12[[#This Row],[ (RESV. STORGE) BER]]/10</f>
        <v>142597.70000000001</v>
      </c>
      <c r="AI304" s="6">
        <v>2856</v>
      </c>
      <c r="AJ304" s="6">
        <f>TABL12[[#This Row],[(A/B TOT) AJD]]-TABL12[[#This Row],[BER_ IN]]</f>
        <v>358</v>
      </c>
      <c r="AK304" s="6">
        <v>0</v>
      </c>
      <c r="AL304" s="33">
        <v>42.246000000000002</v>
      </c>
      <c r="AM304" s="6">
        <v>2702390</v>
      </c>
      <c r="AN304" s="6">
        <f>TABL12[[#This Row],[ (RESV. STORGE) SER]]/10</f>
        <v>270239</v>
      </c>
      <c r="AO304" s="6">
        <v>1910</v>
      </c>
      <c r="AP304" s="32">
        <f>TABL12[[#This Row],[(A/S TOT) AJD]]-TABL12[[#This Row],[SER_ IN]]</f>
        <v>90</v>
      </c>
    </row>
    <row r="305" spans="1:42" x14ac:dyDescent="0.25">
      <c r="A305" s="2">
        <v>45961</v>
      </c>
      <c r="B305" s="28">
        <v>38</v>
      </c>
      <c r="C305" s="28">
        <v>317</v>
      </c>
      <c r="D305" s="28">
        <v>39</v>
      </c>
      <c r="E305" s="28">
        <v>0</v>
      </c>
      <c r="F305" s="28">
        <v>100</v>
      </c>
      <c r="G305" s="28">
        <v>631</v>
      </c>
      <c r="H305" s="28">
        <v>3</v>
      </c>
      <c r="I305" s="28">
        <v>480</v>
      </c>
      <c r="J305" s="28">
        <v>466</v>
      </c>
      <c r="K305" s="28">
        <f>TABL12[[#This Row],[خط (T/B  TOT) SAR]]+TABL12[[#This Row],[خط (S/S  TOT) SAR2]]</f>
        <v>946</v>
      </c>
      <c r="L305" s="28">
        <v>315</v>
      </c>
      <c r="M305" s="29">
        <v>24.6</v>
      </c>
      <c r="N305" s="30">
        <v>7.49</v>
      </c>
      <c r="O305" s="9">
        <v>280</v>
      </c>
      <c r="P305" s="9">
        <f>TABL12[[#This Row],[خط (S/S  TOT) SAR2]]-TABL12[[#This Row],[(S/S TOT) AJD]]</f>
        <v>186</v>
      </c>
      <c r="Q305" s="9">
        <v>317</v>
      </c>
      <c r="R305" s="9">
        <f>TABL12[[#This Row],[خط (T/B  TOT) SAR]]-TABL12[[#This Row],[(T/B TOT) AJD]]</f>
        <v>163</v>
      </c>
      <c r="S305" s="9">
        <f>TABL12[[#This Row],[الفرق بين بداية ونهاية خط  S/S]]+TABL12[[#This Row],[الفرق بين بداية ونهاية خط  T/B]]</f>
        <v>349</v>
      </c>
      <c r="T305" s="9">
        <f t="shared" si="16"/>
        <v>597</v>
      </c>
      <c r="U305" s="9">
        <v>541</v>
      </c>
      <c r="V305" s="9">
        <v>91</v>
      </c>
      <c r="W305" s="9">
        <f t="shared" si="17"/>
        <v>632</v>
      </c>
      <c r="X305" s="9">
        <f t="shared" si="18"/>
        <v>-35</v>
      </c>
      <c r="Y305" s="18">
        <v>91.92</v>
      </c>
      <c r="Z305" s="9">
        <v>152512</v>
      </c>
      <c r="AA305" s="9">
        <f>TABL12[[#This Row],[(RESV. STORGE) AJD]]/10</f>
        <v>15251.2</v>
      </c>
      <c r="AB305" s="3">
        <f t="shared" si="19"/>
        <v>-14.455</v>
      </c>
      <c r="AC305" s="6"/>
      <c r="AD305" s="5">
        <f>TABL12[[#This Row],[( S/S+T/B) AJD]]-(TABL12[[#This Row],[(A/B + A/S) AJD]]+(TABL12[[#This Row],[(STORGE DIFF.) AJD]])+TABL12[[#This Row],[البخر  AJD]]/1000)</f>
        <v>-20.544999999999959</v>
      </c>
      <c r="AE305" s="6">
        <v>125</v>
      </c>
      <c r="AF305" s="33">
        <v>58.588999999999999</v>
      </c>
      <c r="AG305" s="6">
        <v>1353035</v>
      </c>
      <c r="AH305" s="6">
        <f>TABL12[[#This Row],[ (RESV. STORGE) BER]]/10</f>
        <v>135303.5</v>
      </c>
      <c r="AI305" s="6">
        <v>2853</v>
      </c>
      <c r="AJ305" s="6">
        <f>TABL12[[#This Row],[(A/B TOT) AJD]]-TABL12[[#This Row],[BER_ IN]]</f>
        <v>416</v>
      </c>
      <c r="AK305" s="6">
        <v>0</v>
      </c>
      <c r="AL305" s="33">
        <v>42.146000000000001</v>
      </c>
      <c r="AM305" s="6">
        <v>2647663</v>
      </c>
      <c r="AN305" s="6">
        <f>TABL12[[#This Row],[ (RESV. STORGE) SER]]/10</f>
        <v>264766.3</v>
      </c>
      <c r="AO305" s="6">
        <v>1827</v>
      </c>
      <c r="AP305" s="32">
        <f>TABL12[[#This Row],[(A/S TOT) AJD]]-TABL12[[#This Row],[SER_ IN]]</f>
        <v>91</v>
      </c>
    </row>
    <row r="306" spans="1:42" ht="18.75" x14ac:dyDescent="0.25">
      <c r="A306" s="2">
        <v>45962</v>
      </c>
      <c r="B306" s="28">
        <v>39</v>
      </c>
      <c r="C306" s="28">
        <v>320</v>
      </c>
      <c r="D306" s="28">
        <v>39</v>
      </c>
      <c r="E306" s="28">
        <v>0</v>
      </c>
      <c r="F306" s="28">
        <v>100</v>
      </c>
      <c r="G306" s="28">
        <v>637</v>
      </c>
      <c r="H306" s="28">
        <v>3</v>
      </c>
      <c r="I306" s="28">
        <v>482</v>
      </c>
      <c r="J306" s="28">
        <v>470</v>
      </c>
      <c r="K306" s="28">
        <f>TABL12[[#This Row],[خط (T/B  TOT) SAR]]+TABL12[[#This Row],[خط (S/S  TOT) SAR2]]</f>
        <v>952</v>
      </c>
      <c r="L306" s="28">
        <v>315</v>
      </c>
      <c r="M306" s="29">
        <v>24.6</v>
      </c>
      <c r="N306" s="30">
        <v>7.53</v>
      </c>
      <c r="O306" s="39">
        <v>432</v>
      </c>
      <c r="P306" s="9">
        <f>TABL12[[#This Row],[خط (S/S  TOT) SAR2]]-TABL12[[#This Row],[(S/S TOT) AJD]]</f>
        <v>38</v>
      </c>
      <c r="Q306" s="9">
        <v>423</v>
      </c>
      <c r="R306" s="9">
        <f>TABL12[[#This Row],[خط (T/B  TOT) SAR]]-TABL12[[#This Row],[(T/B TOT) AJD]]</f>
        <v>59</v>
      </c>
      <c r="S306" s="9">
        <f>TABL12[[#This Row],[الفرق بين بداية ونهاية خط  S/S]]+TABL12[[#This Row],[الفرق بين بداية ونهاية خط  T/B]]</f>
        <v>97</v>
      </c>
      <c r="T306" s="9">
        <f t="shared" si="16"/>
        <v>855</v>
      </c>
      <c r="U306" s="9">
        <v>525</v>
      </c>
      <c r="V306" s="9">
        <v>89</v>
      </c>
      <c r="W306" s="9">
        <f t="shared" si="17"/>
        <v>614</v>
      </c>
      <c r="X306" s="9">
        <f t="shared" si="18"/>
        <v>241</v>
      </c>
      <c r="Y306" s="18">
        <v>92.247</v>
      </c>
      <c r="Z306" s="9">
        <v>346182</v>
      </c>
      <c r="AA306" s="9">
        <f>TABL12[[#This Row],[(RESV. STORGE) AJD]]/10</f>
        <v>34618.199999999997</v>
      </c>
      <c r="AB306" s="3">
        <f t="shared" si="19"/>
        <v>193.67</v>
      </c>
      <c r="AC306" s="6">
        <v>1226</v>
      </c>
      <c r="AD306" s="5">
        <f>TABL12[[#This Row],[( S/S+T/B) AJD]]-(TABL12[[#This Row],[(A/B + A/S) AJD]]+(TABL12[[#This Row],[(STORGE DIFF.) AJD]])+TABL12[[#This Row],[البخر  AJD]]/1000)</f>
        <v>46.104000000000042</v>
      </c>
      <c r="AE306" s="6">
        <v>137</v>
      </c>
      <c r="AF306" s="33">
        <v>58.883000000000003</v>
      </c>
      <c r="AG306" s="6">
        <v>1546465</v>
      </c>
      <c r="AH306" s="6">
        <f>TABL12[[#This Row],[ (RESV. STORGE) BER]]/10</f>
        <v>154646.5</v>
      </c>
      <c r="AI306" s="6">
        <v>2262</v>
      </c>
      <c r="AJ306" s="6">
        <f>TABL12[[#This Row],[(A/B TOT) AJD]]-TABL12[[#This Row],[BER_ IN]]</f>
        <v>388</v>
      </c>
      <c r="AK306" s="6">
        <v>0</v>
      </c>
      <c r="AL306" s="33">
        <v>42.0396</v>
      </c>
      <c r="AM306" s="6">
        <v>2592290</v>
      </c>
      <c r="AN306" s="6">
        <f>TABL12[[#This Row],[ (RESV. STORGE) SER]]/10</f>
        <v>259229</v>
      </c>
      <c r="AO306" s="6">
        <v>1750</v>
      </c>
      <c r="AP306" s="32">
        <f>TABL12[[#This Row],[(A/S TOT) AJD]]-TABL12[[#This Row],[SER_ IN]]</f>
        <v>89</v>
      </c>
    </row>
    <row r="307" spans="1:42" ht="18.75" x14ac:dyDescent="0.25">
      <c r="A307" s="2">
        <v>45963</v>
      </c>
      <c r="B307" s="28">
        <v>38</v>
      </c>
      <c r="C307" s="28">
        <v>316</v>
      </c>
      <c r="D307" s="28">
        <v>38</v>
      </c>
      <c r="E307" s="28">
        <v>0</v>
      </c>
      <c r="F307" s="28">
        <v>100</v>
      </c>
      <c r="G307" s="28">
        <v>645</v>
      </c>
      <c r="H307" s="28">
        <v>3</v>
      </c>
      <c r="I307" s="28">
        <v>485</v>
      </c>
      <c r="J307" s="28">
        <v>475</v>
      </c>
      <c r="K307" s="28">
        <f>TABL12[[#This Row],[خط (T/B  TOT) SAR]]+TABL12[[#This Row],[خط (S/S  TOT) SAR2]]</f>
        <v>960</v>
      </c>
      <c r="L307" s="28">
        <v>315</v>
      </c>
      <c r="M307" s="29">
        <v>24.6</v>
      </c>
      <c r="N307" s="30">
        <v>7.56</v>
      </c>
      <c r="O307" s="40">
        <v>446</v>
      </c>
      <c r="P307" s="9">
        <f>TABL12[[#This Row],[خط (S/S  TOT) SAR2]]-TABL12[[#This Row],[(S/S TOT) AJD]]</f>
        <v>29</v>
      </c>
      <c r="Q307" s="9">
        <v>435</v>
      </c>
      <c r="R307" s="9">
        <f>TABL12[[#This Row],[خط (T/B  TOT) SAR]]-TABL12[[#This Row],[(T/B TOT) AJD]]</f>
        <v>50</v>
      </c>
      <c r="S307" s="9">
        <f>TABL12[[#This Row],[الفرق بين بداية ونهاية خط  S/S]]+TABL12[[#This Row],[الفرق بين بداية ونهاية خط  T/B]]</f>
        <v>79</v>
      </c>
      <c r="T307" s="9">
        <f t="shared" si="16"/>
        <v>881</v>
      </c>
      <c r="U307" s="9">
        <v>588</v>
      </c>
      <c r="V307" s="9">
        <v>90</v>
      </c>
      <c r="W307" s="9">
        <f t="shared" si="17"/>
        <v>678</v>
      </c>
      <c r="X307" s="9">
        <f t="shared" si="18"/>
        <v>203</v>
      </c>
      <c r="Y307" s="18">
        <v>92.546999999999997</v>
      </c>
      <c r="Z307" s="9">
        <v>524636</v>
      </c>
      <c r="AA307" s="9">
        <f>TABL12[[#This Row],[(RESV. STORGE) AJD]]/10</f>
        <v>52463.6</v>
      </c>
      <c r="AB307" s="3">
        <f t="shared" si="19"/>
        <v>178.45400000000001</v>
      </c>
      <c r="AC307" s="6">
        <v>1356</v>
      </c>
      <c r="AD307" s="5">
        <f>TABL12[[#This Row],[( S/S+T/B) AJD]]-(TABL12[[#This Row],[(A/B + A/S) AJD]]+(TABL12[[#This Row],[(STORGE DIFF.) AJD]])+TABL12[[#This Row],[البخر  AJD]]/1000)</f>
        <v>23.190000000000055</v>
      </c>
      <c r="AE307" s="6">
        <v>150</v>
      </c>
      <c r="AF307" s="33">
        <v>58.988999999999997</v>
      </c>
      <c r="AG307" s="6">
        <v>1616387</v>
      </c>
      <c r="AH307" s="6">
        <f>TABL12[[#This Row],[ (RESV. STORGE) BER]]/10</f>
        <v>161638.70000000001</v>
      </c>
      <c r="AI307" s="6">
        <v>2057</v>
      </c>
      <c r="AJ307" s="6">
        <f>TABL12[[#This Row],[(A/B TOT) AJD]]-TABL12[[#This Row],[BER_ IN]]</f>
        <v>438</v>
      </c>
      <c r="AK307" s="6">
        <v>0</v>
      </c>
      <c r="AL307" s="33">
        <v>41.932299999999998</v>
      </c>
      <c r="AM307" s="6">
        <v>2534690</v>
      </c>
      <c r="AN307" s="6">
        <f>TABL12[[#This Row],[ (RESV. STORGE) SER]]/10</f>
        <v>253469</v>
      </c>
      <c r="AO307" s="6">
        <v>1780</v>
      </c>
      <c r="AP307" s="32">
        <f>TABL12[[#This Row],[(A/S TOT) AJD]]-TABL12[[#This Row],[SER_ IN]]</f>
        <v>90</v>
      </c>
    </row>
    <row r="308" spans="1:42" ht="18.75" x14ac:dyDescent="0.25">
      <c r="A308" s="2">
        <v>45964</v>
      </c>
      <c r="B308" s="28">
        <v>39</v>
      </c>
      <c r="C308" s="28">
        <v>320</v>
      </c>
      <c r="D308" s="28">
        <v>39</v>
      </c>
      <c r="E308" s="28">
        <v>0</v>
      </c>
      <c r="F308" s="28">
        <v>100</v>
      </c>
      <c r="G308" s="28">
        <v>648</v>
      </c>
      <c r="H308" s="28">
        <v>3</v>
      </c>
      <c r="I308" s="28">
        <v>487</v>
      </c>
      <c r="J308" s="28">
        <v>476</v>
      </c>
      <c r="K308" s="28">
        <f>TABL12[[#This Row],[خط (T/B  TOT) SAR]]+TABL12[[#This Row],[خط (S/S  TOT) SAR2]]</f>
        <v>963</v>
      </c>
      <c r="L308" s="28">
        <v>315</v>
      </c>
      <c r="M308" s="29">
        <v>24.6</v>
      </c>
      <c r="N308" s="30">
        <v>7.61</v>
      </c>
      <c r="O308" s="39">
        <v>453</v>
      </c>
      <c r="P308" s="9">
        <f>TABL12[[#This Row],[خط (S/S  TOT) SAR2]]-TABL12[[#This Row],[(S/S TOT) AJD]]</f>
        <v>23</v>
      </c>
      <c r="Q308" s="9">
        <v>445</v>
      </c>
      <c r="R308" s="9">
        <f>TABL12[[#This Row],[خط (T/B  TOT) SAR]]-TABL12[[#This Row],[(T/B TOT) AJD]]</f>
        <v>42</v>
      </c>
      <c r="S308" s="9">
        <f>TABL12[[#This Row],[الفرق بين بداية ونهاية خط  S/S]]+TABL12[[#This Row],[الفرق بين بداية ونهاية خط  T/B]]</f>
        <v>65</v>
      </c>
      <c r="T308" s="9">
        <f t="shared" si="16"/>
        <v>898</v>
      </c>
      <c r="U308" s="9">
        <v>596</v>
      </c>
      <c r="V308" s="9">
        <v>92</v>
      </c>
      <c r="W308" s="9">
        <f t="shared" si="17"/>
        <v>688</v>
      </c>
      <c r="X308" s="9">
        <f t="shared" si="18"/>
        <v>210</v>
      </c>
      <c r="Y308" s="18">
        <v>92.855000000000004</v>
      </c>
      <c r="Z308" s="9">
        <v>702222</v>
      </c>
      <c r="AA308" s="9">
        <f>TABL12[[#This Row],[(RESV. STORGE) AJD]]/10</f>
        <v>70222.2</v>
      </c>
      <c r="AB308" s="3">
        <f t="shared" si="19"/>
        <v>177.58600000000001</v>
      </c>
      <c r="AC308" s="6">
        <v>1881</v>
      </c>
      <c r="AD308" s="5">
        <f>TABL12[[#This Row],[( S/S+T/B) AJD]]-(TABL12[[#This Row],[(A/B + A/S) AJD]]+(TABL12[[#This Row],[(STORGE DIFF.) AJD]])+TABL12[[#This Row],[البخر  AJD]]/1000)</f>
        <v>30.533000000000015</v>
      </c>
      <c r="AE308" s="6">
        <v>150</v>
      </c>
      <c r="AF308" s="33">
        <v>59.091999999999999</v>
      </c>
      <c r="AG308" s="6">
        <v>1684424</v>
      </c>
      <c r="AH308" s="6">
        <f>TABL12[[#This Row],[ (RESV. STORGE) BER]]/10</f>
        <v>168442.4</v>
      </c>
      <c r="AI308" s="6">
        <v>2283</v>
      </c>
      <c r="AJ308" s="6">
        <f>TABL12[[#This Row],[(A/B TOT) AJD]]-TABL12[[#This Row],[BER_ IN]]</f>
        <v>446</v>
      </c>
      <c r="AK308" s="6">
        <v>0</v>
      </c>
      <c r="AL308" s="33">
        <v>41.8369</v>
      </c>
      <c r="AM308" s="6">
        <v>2483630</v>
      </c>
      <c r="AN308" s="6">
        <f>TABL12[[#This Row],[ (RESV. STORGE) SER]]/10</f>
        <v>248363</v>
      </c>
      <c r="AO308" s="6">
        <v>1670</v>
      </c>
      <c r="AP308" s="32">
        <f>TABL12[[#This Row],[(A/S TOT) AJD]]-TABL12[[#This Row],[SER_ IN]]</f>
        <v>92</v>
      </c>
    </row>
    <row r="309" spans="1:42" ht="18.75" x14ac:dyDescent="0.25">
      <c r="A309" s="2">
        <v>45965</v>
      </c>
      <c r="B309" s="28">
        <v>39</v>
      </c>
      <c r="C309" s="28">
        <v>317</v>
      </c>
      <c r="D309" s="28">
        <v>39</v>
      </c>
      <c r="E309" s="28">
        <v>0</v>
      </c>
      <c r="F309" s="28">
        <v>99</v>
      </c>
      <c r="G309" s="28">
        <v>639</v>
      </c>
      <c r="H309" s="28">
        <v>4</v>
      </c>
      <c r="I309" s="28">
        <v>487</v>
      </c>
      <c r="J309" s="28">
        <v>472</v>
      </c>
      <c r="K309" s="28">
        <f>TABL12[[#This Row],[خط (T/B  TOT) SAR]]+TABL12[[#This Row],[خط (S/S  TOT) SAR2]]</f>
        <v>959</v>
      </c>
      <c r="L309" s="28">
        <v>320</v>
      </c>
      <c r="M309" s="29">
        <v>24.6</v>
      </c>
      <c r="N309" s="30">
        <v>7.68</v>
      </c>
      <c r="O309" s="40">
        <v>455</v>
      </c>
      <c r="P309" s="9">
        <f>TABL12[[#This Row],[خط (S/S  TOT) SAR2]]-TABL12[[#This Row],[(S/S TOT) AJD]]</f>
        <v>17</v>
      </c>
      <c r="Q309" s="9">
        <v>446</v>
      </c>
      <c r="R309" s="9">
        <f>TABL12[[#This Row],[خط (T/B  TOT) SAR]]-TABL12[[#This Row],[(T/B TOT) AJD]]</f>
        <v>41</v>
      </c>
      <c r="S309" s="9">
        <f>TABL12[[#This Row],[الفرق بين بداية ونهاية خط  S/S]]+TABL12[[#This Row],[الفرق بين بداية ونهاية خط  T/B]]</f>
        <v>58</v>
      </c>
      <c r="T309" s="9">
        <f t="shared" si="16"/>
        <v>901</v>
      </c>
      <c r="U309" s="9">
        <v>583</v>
      </c>
      <c r="V309" s="9">
        <v>107</v>
      </c>
      <c r="W309" s="9">
        <f t="shared" si="17"/>
        <v>690</v>
      </c>
      <c r="X309" s="9">
        <f t="shared" si="18"/>
        <v>211</v>
      </c>
      <c r="Y309" s="18">
        <v>93.141000000000005</v>
      </c>
      <c r="Z309" s="9">
        <v>880343</v>
      </c>
      <c r="AA309" s="9">
        <f>TABL12[[#This Row],[(RESV. STORGE) AJD]]/10</f>
        <v>88034.3</v>
      </c>
      <c r="AB309" s="3">
        <f t="shared" si="19"/>
        <v>178.12100000000001</v>
      </c>
      <c r="AC309" s="6">
        <v>1620</v>
      </c>
      <c r="AD309" s="5">
        <f>TABL12[[#This Row],[( S/S+T/B) AJD]]-(TABL12[[#This Row],[(A/B + A/S) AJD]]+(TABL12[[#This Row],[(STORGE DIFF.) AJD]])+TABL12[[#This Row],[البخر  AJD]]/1000)</f>
        <v>31.259000000000015</v>
      </c>
      <c r="AE309" s="6">
        <v>150</v>
      </c>
      <c r="AF309" s="33">
        <v>59.094999999999999</v>
      </c>
      <c r="AG309" s="6">
        <v>1686407</v>
      </c>
      <c r="AH309" s="6">
        <f>TABL12[[#This Row],[ (RESV. STORGE) BER]]/10</f>
        <v>168640.7</v>
      </c>
      <c r="AI309" s="6">
        <v>1716</v>
      </c>
      <c r="AJ309" s="6">
        <f>TABL12[[#This Row],[(A/B TOT) AJD]]-TABL12[[#This Row],[BER_ IN]]</f>
        <v>433</v>
      </c>
      <c r="AK309" s="6">
        <v>0</v>
      </c>
      <c r="AL309" s="33">
        <v>41.734299999999998</v>
      </c>
      <c r="AM309" s="6">
        <v>2429350</v>
      </c>
      <c r="AN309" s="6">
        <f>TABL12[[#This Row],[ (RESV. STORGE) SER]]/10</f>
        <v>242935</v>
      </c>
      <c r="AO309" s="6">
        <v>1610</v>
      </c>
      <c r="AP309" s="32">
        <f>TABL12[[#This Row],[(A/S TOT) AJD]]-TABL12[[#This Row],[SER_ IN]]</f>
        <v>107</v>
      </c>
    </row>
    <row r="310" spans="1:42" ht="18.75" x14ac:dyDescent="0.25">
      <c r="A310" s="2">
        <v>45966</v>
      </c>
      <c r="B310" s="28">
        <v>39</v>
      </c>
      <c r="C310" s="28">
        <v>309</v>
      </c>
      <c r="D310" s="28">
        <v>39</v>
      </c>
      <c r="E310" s="28">
        <v>0</v>
      </c>
      <c r="F310" s="28">
        <v>100</v>
      </c>
      <c r="G310" s="28">
        <v>645</v>
      </c>
      <c r="H310" s="28">
        <v>3</v>
      </c>
      <c r="I310" s="28">
        <v>489</v>
      </c>
      <c r="J310" s="28">
        <v>476</v>
      </c>
      <c r="K310" s="28">
        <f>TABL12[[#This Row],[خط (T/B  TOT) SAR]]+TABL12[[#This Row],[خط (S/S  TOT) SAR2]]</f>
        <v>965</v>
      </c>
      <c r="L310" s="28">
        <v>320</v>
      </c>
      <c r="M310" s="29">
        <v>24.6</v>
      </c>
      <c r="N310" s="30">
        <v>7.67</v>
      </c>
      <c r="O310" s="39">
        <v>447</v>
      </c>
      <c r="P310" s="9">
        <f>TABL12[[#This Row],[خط (S/S  TOT) SAR2]]-TABL12[[#This Row],[(S/S TOT) AJD]]</f>
        <v>29</v>
      </c>
      <c r="Q310" s="9">
        <v>445</v>
      </c>
      <c r="R310" s="9">
        <f>TABL12[[#This Row],[خط (T/B  TOT) SAR]]-TABL12[[#This Row],[(T/B TOT) AJD]]</f>
        <v>44</v>
      </c>
      <c r="S310" s="9">
        <f>TABL12[[#This Row],[الفرق بين بداية ونهاية خط  S/S]]+TABL12[[#This Row],[الفرق بين بداية ونهاية خط  T/B]]</f>
        <v>73</v>
      </c>
      <c r="T310" s="9">
        <f t="shared" si="16"/>
        <v>892</v>
      </c>
      <c r="U310" s="9">
        <v>573</v>
      </c>
      <c r="V310" s="9">
        <v>173</v>
      </c>
      <c r="W310" s="9">
        <f t="shared" si="17"/>
        <v>746</v>
      </c>
      <c r="X310" s="9">
        <f t="shared" si="18"/>
        <v>146</v>
      </c>
      <c r="Y310" s="18">
        <v>93.313000000000002</v>
      </c>
      <c r="Z310" s="9">
        <v>983826</v>
      </c>
      <c r="AA310" s="9">
        <f>TABL12[[#This Row],[(RESV. STORGE) AJD]]/10</f>
        <v>98382.6</v>
      </c>
      <c r="AB310" s="3">
        <f t="shared" si="19"/>
        <v>103.483</v>
      </c>
      <c r="AC310" s="6">
        <v>1518</v>
      </c>
      <c r="AD310" s="5">
        <f>TABL12[[#This Row],[( S/S+T/B) AJD]]-(TABL12[[#This Row],[(A/B + A/S) AJD]]+(TABL12[[#This Row],[(STORGE DIFF.) AJD]])+TABL12[[#This Row],[البخر  AJD]]/1000)</f>
        <v>40.999000000000024</v>
      </c>
      <c r="AE310" s="6">
        <v>150</v>
      </c>
      <c r="AF310" s="33">
        <v>59.085999999999999</v>
      </c>
      <c r="AG310" s="6">
        <v>1680459</v>
      </c>
      <c r="AH310" s="6">
        <f>TABL12[[#This Row],[ (RESV. STORGE) BER]]/10</f>
        <v>168045.9</v>
      </c>
      <c r="AI310" s="6">
        <v>1892</v>
      </c>
      <c r="AJ310" s="6">
        <f>TABL12[[#This Row],[(A/B TOT) AJD]]-TABL12[[#This Row],[BER_ IN]]</f>
        <v>423</v>
      </c>
      <c r="AK310" s="6">
        <v>0</v>
      </c>
      <c r="AL310" s="33">
        <v>41.6937</v>
      </c>
      <c r="AM310" s="6">
        <v>2409140</v>
      </c>
      <c r="AN310" s="6">
        <f>TABL12[[#This Row],[ (RESV. STORGE) SER]]/10</f>
        <v>240914</v>
      </c>
      <c r="AO310" s="6">
        <v>1580</v>
      </c>
      <c r="AP310" s="32">
        <f>TABL12[[#This Row],[(A/S TOT) AJD]]-TABL12[[#This Row],[SER_ IN]]</f>
        <v>173</v>
      </c>
    </row>
    <row r="311" spans="1:42" ht="18.75" x14ac:dyDescent="0.25">
      <c r="A311" s="2">
        <v>45967</v>
      </c>
      <c r="B311" s="28">
        <v>38</v>
      </c>
      <c r="C311" s="28">
        <v>302</v>
      </c>
      <c r="D311" s="28">
        <v>38</v>
      </c>
      <c r="E311" s="28">
        <v>0</v>
      </c>
      <c r="F311" s="28">
        <v>100</v>
      </c>
      <c r="G311" s="28">
        <v>639</v>
      </c>
      <c r="H311" s="28">
        <v>3</v>
      </c>
      <c r="I311" s="28">
        <v>489</v>
      </c>
      <c r="J311" s="28">
        <v>470</v>
      </c>
      <c r="K311" s="28">
        <f>TABL12[[#This Row],[خط (T/B  TOT) SAR]]+TABL12[[#This Row],[خط (S/S  TOT) SAR2]]</f>
        <v>959</v>
      </c>
      <c r="L311" s="28">
        <v>320</v>
      </c>
      <c r="M311" s="29">
        <v>24.6</v>
      </c>
      <c r="N311" s="30">
        <v>7.64</v>
      </c>
      <c r="O311" s="40">
        <v>447</v>
      </c>
      <c r="P311" s="9">
        <f>TABL12[[#This Row],[خط (S/S  TOT) SAR2]]-TABL12[[#This Row],[(S/S TOT) AJD]]</f>
        <v>23</v>
      </c>
      <c r="Q311" s="9">
        <v>448</v>
      </c>
      <c r="R311" s="9">
        <f>TABL12[[#This Row],[خط (T/B  TOT) SAR]]-TABL12[[#This Row],[(T/B TOT) AJD]]</f>
        <v>41</v>
      </c>
      <c r="S311" s="9">
        <f>TABL12[[#This Row],[الفرق بين بداية ونهاية خط  S/S]]+TABL12[[#This Row],[الفرق بين بداية ونهاية خط  T/B]]</f>
        <v>64</v>
      </c>
      <c r="T311" s="9">
        <f t="shared" si="16"/>
        <v>895</v>
      </c>
      <c r="U311" s="9">
        <v>576</v>
      </c>
      <c r="V311" s="9">
        <v>256</v>
      </c>
      <c r="W311" s="9">
        <f t="shared" si="17"/>
        <v>832</v>
      </c>
      <c r="X311" s="9">
        <f t="shared" si="18"/>
        <v>63</v>
      </c>
      <c r="Y311" s="18">
        <v>93.350999999999999</v>
      </c>
      <c r="Z311" s="9">
        <v>1004723</v>
      </c>
      <c r="AA311" s="9">
        <f>TABL12[[#This Row],[(RESV. STORGE) AJD]]/10</f>
        <v>100472.3</v>
      </c>
      <c r="AB311" s="3">
        <f t="shared" si="19"/>
        <v>20.896999999999998</v>
      </c>
      <c r="AC311" s="6">
        <v>0</v>
      </c>
      <c r="AD311" s="5">
        <f>TABL12[[#This Row],[( S/S+T/B) AJD]]-(TABL12[[#This Row],[(A/B + A/S) AJD]]+(TABL12[[#This Row],[(STORGE DIFF.) AJD]])+TABL12[[#This Row],[البخر  AJD]]/1000)</f>
        <v>42.102999999999952</v>
      </c>
      <c r="AE311" s="6">
        <v>150</v>
      </c>
      <c r="AF311" s="33">
        <v>59.081000000000003</v>
      </c>
      <c r="AG311" s="6">
        <v>1677154</v>
      </c>
      <c r="AH311" s="6">
        <f>TABL12[[#This Row],[ (RESV. STORGE) BER]]/10</f>
        <v>167715.4</v>
      </c>
      <c r="AI311" s="6">
        <v>2458</v>
      </c>
      <c r="AJ311" s="6">
        <f>TABL12[[#This Row],[(A/B TOT) AJD]]-TABL12[[#This Row],[BER_ IN]]</f>
        <v>426</v>
      </c>
      <c r="AK311" s="6">
        <v>53</v>
      </c>
      <c r="AL311" s="33">
        <v>41.734099999999998</v>
      </c>
      <c r="AM311" s="6">
        <v>2429410</v>
      </c>
      <c r="AN311" s="6">
        <f>TABL12[[#This Row],[ (RESV. STORGE) SER]]/10</f>
        <v>242941</v>
      </c>
      <c r="AO311" s="6">
        <v>1565</v>
      </c>
      <c r="AP311" s="32">
        <f>TABL12[[#This Row],[(A/S TOT) AJD]]-TABL12[[#This Row],[SER_ IN]]</f>
        <v>203</v>
      </c>
    </row>
    <row r="312" spans="1:42" ht="18.75" x14ac:dyDescent="0.25">
      <c r="A312" s="2">
        <v>45968</v>
      </c>
      <c r="B312" s="28">
        <v>38</v>
      </c>
      <c r="C312" s="28">
        <v>307</v>
      </c>
      <c r="D312" s="28">
        <v>38</v>
      </c>
      <c r="E312" s="28">
        <v>0</v>
      </c>
      <c r="F312" s="28">
        <v>100</v>
      </c>
      <c r="G312" s="28">
        <v>644</v>
      </c>
      <c r="H312" s="28">
        <v>3</v>
      </c>
      <c r="I312" s="28">
        <v>489</v>
      </c>
      <c r="J312" s="28">
        <v>475</v>
      </c>
      <c r="K312" s="28">
        <f>TABL12[[#This Row],[خط (T/B  TOT) SAR]]+TABL12[[#This Row],[خط (S/S  TOT) SAR2]]</f>
        <v>964</v>
      </c>
      <c r="L312" s="28">
        <v>320</v>
      </c>
      <c r="M312" s="29">
        <v>24.6</v>
      </c>
      <c r="N312" s="30">
        <v>7.63</v>
      </c>
      <c r="O312" s="39">
        <v>447</v>
      </c>
      <c r="P312" s="9">
        <f>TABL12[[#This Row],[خط (S/S  TOT) SAR2]]-TABL12[[#This Row],[(S/S TOT) AJD]]</f>
        <v>28</v>
      </c>
      <c r="Q312" s="9">
        <v>447</v>
      </c>
      <c r="R312" s="9">
        <f>TABL12[[#This Row],[خط (T/B  TOT) SAR]]-TABL12[[#This Row],[(T/B TOT) AJD]]</f>
        <v>42</v>
      </c>
      <c r="S312" s="9">
        <f>TABL12[[#This Row],[الفرق بين بداية ونهاية خط  S/S]]+TABL12[[#This Row],[الفرق بين بداية ونهاية خط  T/B]]</f>
        <v>70</v>
      </c>
      <c r="T312" s="9">
        <f t="shared" si="16"/>
        <v>894</v>
      </c>
      <c r="U312" s="9">
        <v>593</v>
      </c>
      <c r="V312" s="9">
        <v>324</v>
      </c>
      <c r="W312" s="9">
        <f t="shared" si="17"/>
        <v>917</v>
      </c>
      <c r="X312" s="9">
        <f t="shared" si="18"/>
        <v>-23</v>
      </c>
      <c r="Y312" s="18">
        <v>93.241</v>
      </c>
      <c r="Z312" s="9">
        <v>940282</v>
      </c>
      <c r="AA312" s="9">
        <f>TABL12[[#This Row],[(RESV. STORGE) AJD]]/10</f>
        <v>94028.2</v>
      </c>
      <c r="AB312" s="3">
        <f t="shared" si="19"/>
        <v>-64.441000000000003</v>
      </c>
      <c r="AC312" s="6">
        <v>0</v>
      </c>
      <c r="AD312" s="5">
        <f>TABL12[[#This Row],[( S/S+T/B) AJD]]-(TABL12[[#This Row],[(A/B + A/S) AJD]]+(TABL12[[#This Row],[(STORGE DIFF.) AJD]])+TABL12[[#This Row],[البخر  AJD]]/1000)</f>
        <v>41.441000000000031</v>
      </c>
      <c r="AE312" s="6">
        <v>150</v>
      </c>
      <c r="AF312" s="33">
        <v>59.070999999999998</v>
      </c>
      <c r="AG312" s="6">
        <v>1670545</v>
      </c>
      <c r="AH312" s="6">
        <f>TABL12[[#This Row],[ (RESV. STORGE) BER]]/10</f>
        <v>167054.5</v>
      </c>
      <c r="AI312" s="6">
        <v>2522</v>
      </c>
      <c r="AJ312" s="6">
        <f>TABL12[[#This Row],[(A/B TOT) AJD]]-TABL12[[#This Row],[BER_ IN]]</f>
        <v>443</v>
      </c>
      <c r="AK312" s="6">
        <v>87</v>
      </c>
      <c r="AL312" s="33">
        <v>41.842300000000002</v>
      </c>
      <c r="AM312" s="6">
        <v>2487040</v>
      </c>
      <c r="AN312" s="6">
        <f>TABL12[[#This Row],[ (RESV. STORGE) SER]]/10</f>
        <v>248704</v>
      </c>
      <c r="AO312" s="6">
        <v>1320</v>
      </c>
      <c r="AP312" s="32">
        <f>TABL12[[#This Row],[(A/S TOT) AJD]]-TABL12[[#This Row],[SER_ IN]]</f>
        <v>237</v>
      </c>
    </row>
    <row r="313" spans="1:42" ht="18.75" x14ac:dyDescent="0.25">
      <c r="A313" s="2">
        <v>45969</v>
      </c>
      <c r="B313" s="28">
        <v>37</v>
      </c>
      <c r="C313" s="28">
        <v>292</v>
      </c>
      <c r="D313" s="28">
        <v>37</v>
      </c>
      <c r="E313" s="28">
        <v>0</v>
      </c>
      <c r="F313" s="28">
        <v>100</v>
      </c>
      <c r="G313" s="28">
        <v>646</v>
      </c>
      <c r="H313" s="28">
        <v>3</v>
      </c>
      <c r="I313" s="28">
        <v>490</v>
      </c>
      <c r="J313" s="28">
        <v>475</v>
      </c>
      <c r="K313" s="28">
        <f>TABL12[[#This Row],[خط (T/B  TOT) SAR]]+TABL12[[#This Row],[خط (S/S  TOT) SAR2]]</f>
        <v>965</v>
      </c>
      <c r="L313" s="28">
        <v>320</v>
      </c>
      <c r="M313" s="29">
        <v>24.6</v>
      </c>
      <c r="N313" s="30">
        <v>7.56</v>
      </c>
      <c r="O313" s="40">
        <v>447</v>
      </c>
      <c r="P313" s="9">
        <f>TABL12[[#This Row],[خط (S/S  TOT) SAR2]]-TABL12[[#This Row],[(S/S TOT) AJD]]</f>
        <v>28</v>
      </c>
      <c r="Q313" s="9">
        <v>447</v>
      </c>
      <c r="R313" s="9">
        <f>TABL12[[#This Row],[خط (T/B  TOT) SAR]]-TABL12[[#This Row],[(T/B TOT) AJD]]</f>
        <v>43</v>
      </c>
      <c r="S313" s="9">
        <f>TABL12[[#This Row],[الفرق بين بداية ونهاية خط  S/S]]+TABL12[[#This Row],[الفرق بين بداية ونهاية خط  T/B]]</f>
        <v>71</v>
      </c>
      <c r="T313" s="9">
        <f t="shared" si="16"/>
        <v>894</v>
      </c>
      <c r="U313" s="9">
        <v>592</v>
      </c>
      <c r="V313" s="9">
        <v>358</v>
      </c>
      <c r="W313" s="9">
        <f t="shared" si="17"/>
        <v>950</v>
      </c>
      <c r="X313" s="9">
        <f t="shared" si="18"/>
        <v>-56</v>
      </c>
      <c r="Y313" s="18">
        <v>93.063000000000002</v>
      </c>
      <c r="Z313" s="9">
        <v>883298</v>
      </c>
      <c r="AA313" s="9">
        <f>TABL12[[#This Row],[(RESV. STORGE) AJD]]/10</f>
        <v>88329.8</v>
      </c>
      <c r="AB313" s="3">
        <f t="shared" si="19"/>
        <v>-56.984000000000002</v>
      </c>
      <c r="AC313" s="6">
        <v>429</v>
      </c>
      <c r="AD313" s="5">
        <f>TABL12[[#This Row],[( S/S+T/B) AJD]]-(TABL12[[#This Row],[(A/B + A/S) AJD]]+(TABL12[[#This Row],[(STORGE DIFF.) AJD]])+TABL12[[#This Row],[البخر  AJD]]/1000)</f>
        <v>0.55500000000006366</v>
      </c>
      <c r="AE313" s="6">
        <v>150</v>
      </c>
      <c r="AF313" s="33">
        <v>59.061</v>
      </c>
      <c r="AG313" s="6">
        <v>1663938</v>
      </c>
      <c r="AH313" s="6">
        <f>TABL12[[#This Row],[ (RESV. STORGE) BER]]/10</f>
        <v>166393.79999999999</v>
      </c>
      <c r="AI313" s="6">
        <v>2551</v>
      </c>
      <c r="AJ313" s="6">
        <f>TABL12[[#This Row],[(A/B TOT) AJD]]-TABL12[[#This Row],[BER_ IN]]</f>
        <v>442</v>
      </c>
      <c r="AK313" s="6">
        <v>90</v>
      </c>
      <c r="AL313" s="33">
        <v>41.995399999999997</v>
      </c>
      <c r="AM313" s="6">
        <v>2568440</v>
      </c>
      <c r="AN313" s="6">
        <f>TABL12[[#This Row],[ (RESV. STORGE) SER]]/10</f>
        <v>256844</v>
      </c>
      <c r="AO313" s="6">
        <v>1530</v>
      </c>
      <c r="AP313" s="32">
        <f>TABL12[[#This Row],[(A/S TOT) AJD]]-TABL12[[#This Row],[SER_ IN]]</f>
        <v>268</v>
      </c>
    </row>
    <row r="314" spans="1:42" ht="18.75" x14ac:dyDescent="0.25">
      <c r="A314" s="2">
        <v>45970</v>
      </c>
      <c r="B314" s="28">
        <v>37</v>
      </c>
      <c r="C314" s="28">
        <v>284</v>
      </c>
      <c r="D314" s="28">
        <v>37</v>
      </c>
      <c r="E314" s="28">
        <v>0</v>
      </c>
      <c r="F314" s="28">
        <v>100</v>
      </c>
      <c r="G314" s="28">
        <v>642</v>
      </c>
      <c r="H314" s="28">
        <v>3</v>
      </c>
      <c r="I314" s="28">
        <v>485</v>
      </c>
      <c r="J314" s="28">
        <v>472</v>
      </c>
      <c r="K314" s="28">
        <f>TABL12[[#This Row],[خط (T/B  TOT) SAR]]+TABL12[[#This Row],[خط (S/S  TOT) SAR2]]</f>
        <v>957</v>
      </c>
      <c r="L314" s="28">
        <v>315</v>
      </c>
      <c r="M314" s="29">
        <v>24.6</v>
      </c>
      <c r="N314" s="30">
        <v>7.49</v>
      </c>
      <c r="O314" s="39">
        <v>448</v>
      </c>
      <c r="P314" s="9">
        <f>TABL12[[#This Row],[خط (S/S  TOT) SAR2]]-TABL12[[#This Row],[(S/S TOT) AJD]]</f>
        <v>24</v>
      </c>
      <c r="Q314" s="9">
        <v>447</v>
      </c>
      <c r="R314" s="9">
        <f>TABL12[[#This Row],[خط (T/B  TOT) SAR]]-TABL12[[#This Row],[(T/B TOT) AJD]]</f>
        <v>38</v>
      </c>
      <c r="S314" s="9">
        <f>TABL12[[#This Row],[الفرق بين بداية ونهاية خط  S/S]]+TABL12[[#This Row],[الفرق بين بداية ونهاية خط  T/B]]</f>
        <v>62</v>
      </c>
      <c r="T314" s="9">
        <f t="shared" si="16"/>
        <v>895</v>
      </c>
      <c r="U314" s="9">
        <v>557</v>
      </c>
      <c r="V314" s="9">
        <v>371</v>
      </c>
      <c r="W314" s="9">
        <f t="shared" si="17"/>
        <v>928</v>
      </c>
      <c r="X314" s="9">
        <f t="shared" si="18"/>
        <v>-33</v>
      </c>
      <c r="Y314" s="18">
        <v>92.953999999999994</v>
      </c>
      <c r="Z314" s="9">
        <v>766110</v>
      </c>
      <c r="AA314" s="9">
        <f>TABL12[[#This Row],[(RESV. STORGE) AJD]]/10</f>
        <v>76611</v>
      </c>
      <c r="AB314" s="3">
        <f t="shared" si="19"/>
        <v>-117.188</v>
      </c>
      <c r="AC314" s="6">
        <v>1027</v>
      </c>
      <c r="AD314" s="5">
        <f>TABL12[[#This Row],[( S/S+T/B) AJD]]-(TABL12[[#This Row],[(A/B + A/S) AJD]]+(TABL12[[#This Row],[(STORGE DIFF.) AJD]])+TABL12[[#This Row],[البخر  AJD]]/1000)</f>
        <v>83.160999999999945</v>
      </c>
      <c r="AE314" s="6">
        <v>150</v>
      </c>
      <c r="AF314" s="33">
        <v>59.051000000000002</v>
      </c>
      <c r="AG314" s="6">
        <v>1657331</v>
      </c>
      <c r="AH314" s="6">
        <f>TABL12[[#This Row],[ (RESV. STORGE) BER]]/10</f>
        <v>165733.1</v>
      </c>
      <c r="AI314" s="6">
        <v>2550</v>
      </c>
      <c r="AJ314" s="6">
        <f>TABL12[[#This Row],[(A/B TOT) AJD]]-TABL12[[#This Row],[BER_ IN]]</f>
        <v>407</v>
      </c>
      <c r="AK314" s="6">
        <v>142</v>
      </c>
      <c r="AL314" s="33">
        <v>42.255699999999997</v>
      </c>
      <c r="AM314" s="6">
        <v>2707740</v>
      </c>
      <c r="AN314" s="6">
        <f>TABL12[[#This Row],[ (RESV. STORGE) SER]]/10</f>
        <v>270774</v>
      </c>
      <c r="AO314" s="6">
        <v>1610</v>
      </c>
      <c r="AP314" s="32">
        <f>TABL12[[#This Row],[(A/S TOT) AJD]]-TABL12[[#This Row],[SER_ IN]]</f>
        <v>229</v>
      </c>
    </row>
    <row r="315" spans="1:42" ht="18.75" x14ac:dyDescent="0.25">
      <c r="A315" s="2">
        <v>45971</v>
      </c>
      <c r="B315" s="28">
        <v>37</v>
      </c>
      <c r="C315" s="28">
        <v>292</v>
      </c>
      <c r="D315" s="28">
        <v>37</v>
      </c>
      <c r="E315" s="28">
        <v>0</v>
      </c>
      <c r="F315" s="28">
        <v>100</v>
      </c>
      <c r="G315" s="28">
        <v>643</v>
      </c>
      <c r="H315" s="28">
        <v>3</v>
      </c>
      <c r="I315" s="28">
        <v>486</v>
      </c>
      <c r="J315" s="28">
        <v>472</v>
      </c>
      <c r="K315" s="28">
        <f>TABL12[[#This Row],[خط (T/B  TOT) SAR]]+TABL12[[#This Row],[خط (S/S  TOT) SAR2]]</f>
        <v>958</v>
      </c>
      <c r="L315" s="28">
        <v>315</v>
      </c>
      <c r="M315" s="29">
        <v>24.6</v>
      </c>
      <c r="N315" s="30">
        <v>7.4</v>
      </c>
      <c r="O315" s="40">
        <v>445</v>
      </c>
      <c r="P315" s="9">
        <f>TABL12[[#This Row],[خط (S/S  TOT) SAR2]]-TABL12[[#This Row],[(S/S TOT) AJD]]</f>
        <v>27</v>
      </c>
      <c r="Q315" s="9">
        <v>444</v>
      </c>
      <c r="R315" s="9">
        <f>TABL12[[#This Row],[خط (T/B  TOT) SAR]]-TABL12[[#This Row],[(T/B TOT) AJD]]</f>
        <v>42</v>
      </c>
      <c r="S315" s="9">
        <f>TABL12[[#This Row],[الفرق بين بداية ونهاية خط  S/S]]+TABL12[[#This Row],[الفرق بين بداية ونهاية خط  T/B]]</f>
        <v>69</v>
      </c>
      <c r="T315" s="9">
        <f t="shared" si="16"/>
        <v>889</v>
      </c>
      <c r="U315" s="9">
        <v>583</v>
      </c>
      <c r="V315" s="9">
        <v>390</v>
      </c>
      <c r="W315" s="9">
        <f t="shared" si="17"/>
        <v>973</v>
      </c>
      <c r="X315" s="9">
        <f t="shared" si="18"/>
        <v>-84</v>
      </c>
      <c r="Y315" s="18">
        <v>92.742000000000004</v>
      </c>
      <c r="Z315" s="9">
        <v>641017</v>
      </c>
      <c r="AA315" s="9">
        <f>TABL12[[#This Row],[(RESV. STORGE) AJD]]/10</f>
        <v>64101.7</v>
      </c>
      <c r="AB315" s="3">
        <f t="shared" si="19"/>
        <v>-125.093</v>
      </c>
      <c r="AC315" s="6">
        <v>1448</v>
      </c>
      <c r="AD315" s="5">
        <f>TABL12[[#This Row],[( S/S+T/B) AJD]]-(TABL12[[#This Row],[(A/B + A/S) AJD]]+(TABL12[[#This Row],[(STORGE DIFF.) AJD]])+TABL12[[#This Row],[البخر  AJD]]/1000)</f>
        <v>39.644999999999982</v>
      </c>
      <c r="AE315" s="6">
        <v>150</v>
      </c>
      <c r="AF315" s="33">
        <v>59.040999999999997</v>
      </c>
      <c r="AG315" s="6">
        <v>1549998</v>
      </c>
      <c r="AH315" s="6">
        <f>TABL12[[#This Row],[ (RESV. STORGE) BER]]/10</f>
        <v>154999.79999999999</v>
      </c>
      <c r="AI315" s="6">
        <v>2549</v>
      </c>
      <c r="AJ315" s="6">
        <f>TABL12[[#This Row],[(A/B TOT) AJD]]-TABL12[[#This Row],[BER_ IN]]</f>
        <v>433</v>
      </c>
      <c r="AK315" s="6">
        <v>147</v>
      </c>
      <c r="AL315" s="33">
        <v>42.4604</v>
      </c>
      <c r="AM315" s="6">
        <v>2817120</v>
      </c>
      <c r="AN315" s="6">
        <f>TABL12[[#This Row],[ (RESV. STORGE) SER]]/10</f>
        <v>281712</v>
      </c>
      <c r="AO315" s="6">
        <v>1852</v>
      </c>
      <c r="AP315" s="32">
        <f>TABL12[[#This Row],[(A/S TOT) AJD]]-TABL12[[#This Row],[SER_ IN]]</f>
        <v>243</v>
      </c>
    </row>
    <row r="316" spans="1:42" ht="18.75" x14ac:dyDescent="0.25">
      <c r="A316" s="2">
        <v>45972</v>
      </c>
      <c r="B316" s="28">
        <v>37</v>
      </c>
      <c r="C316" s="28">
        <v>298</v>
      </c>
      <c r="D316" s="28">
        <v>37</v>
      </c>
      <c r="E316" s="28">
        <v>0</v>
      </c>
      <c r="F316" s="28">
        <v>100</v>
      </c>
      <c r="G316" s="28">
        <v>640</v>
      </c>
      <c r="H316" s="28">
        <v>3</v>
      </c>
      <c r="I316" s="28">
        <v>485</v>
      </c>
      <c r="J316" s="28">
        <v>470</v>
      </c>
      <c r="K316" s="28">
        <f>TABL12[[#This Row],[خط (T/B  TOT) SAR]]+TABL12[[#This Row],[خط (S/S  TOT) SAR2]]</f>
        <v>955</v>
      </c>
      <c r="L316" s="28">
        <v>315</v>
      </c>
      <c r="M316" s="29">
        <v>24.6</v>
      </c>
      <c r="N316" s="30">
        <v>7.38</v>
      </c>
      <c r="O316" s="39">
        <v>445</v>
      </c>
      <c r="P316" s="9">
        <f>TABL12[[#This Row],[خط (S/S  TOT) SAR2]]-TABL12[[#This Row],[(S/S TOT) AJD]]</f>
        <v>25</v>
      </c>
      <c r="Q316" s="9">
        <v>443</v>
      </c>
      <c r="R316" s="9">
        <f>TABL12[[#This Row],[خط (T/B  TOT) SAR]]-TABL12[[#This Row],[(T/B TOT) AJD]]</f>
        <v>42</v>
      </c>
      <c r="S316" s="9">
        <f>TABL12[[#This Row],[الفرق بين بداية ونهاية خط  S/S]]+TABL12[[#This Row],[الفرق بين بداية ونهاية خط  T/B]]</f>
        <v>67</v>
      </c>
      <c r="T316" s="9">
        <f t="shared" si="16"/>
        <v>888</v>
      </c>
      <c r="U316" s="9">
        <v>595</v>
      </c>
      <c r="V316" s="9">
        <v>403</v>
      </c>
      <c r="W316" s="9">
        <f t="shared" si="17"/>
        <v>998</v>
      </c>
      <c r="X316" s="9">
        <f t="shared" si="18"/>
        <v>-110</v>
      </c>
      <c r="Y316" s="18">
        <v>92.51</v>
      </c>
      <c r="Z316" s="9">
        <v>502583</v>
      </c>
      <c r="AA316" s="9">
        <f>TABL12[[#This Row],[(RESV. STORGE) AJD]]/10</f>
        <v>50258.3</v>
      </c>
      <c r="AB316" s="3">
        <f t="shared" si="19"/>
        <v>-138.434</v>
      </c>
      <c r="AC316" s="6">
        <v>0</v>
      </c>
      <c r="AD316" s="5">
        <f>TABL12[[#This Row],[( S/S+T/B) AJD]]-(TABL12[[#This Row],[(A/B + A/S) AJD]]+(TABL12[[#This Row],[(STORGE DIFF.) AJD]])+TABL12[[#This Row],[البخر  AJD]]/1000)</f>
        <v>28.433999999999969</v>
      </c>
      <c r="AE316" s="6">
        <v>150</v>
      </c>
      <c r="AF316" s="33">
        <v>59.030999999999999</v>
      </c>
      <c r="AG316" s="6">
        <v>1644120</v>
      </c>
      <c r="AH316" s="6">
        <f>TABL12[[#This Row],[ (RESV. STORGE) BER]]/10</f>
        <v>164412</v>
      </c>
      <c r="AI316" s="6">
        <v>2549</v>
      </c>
      <c r="AJ316" s="6">
        <f>TABL12[[#This Row],[(A/B TOT) AJD]]-TABL12[[#This Row],[BER_ IN]]</f>
        <v>445</v>
      </c>
      <c r="AK316" s="6">
        <v>146</v>
      </c>
      <c r="AL316" s="33">
        <v>42.6723</v>
      </c>
      <c r="AM316" s="6">
        <v>2931300</v>
      </c>
      <c r="AN316" s="6">
        <f>TABL12[[#This Row],[ (RESV. STORGE) SER]]/10</f>
        <v>293130</v>
      </c>
      <c r="AO316" s="6">
        <v>1888</v>
      </c>
      <c r="AP316" s="32">
        <f>TABL12[[#This Row],[(A/S TOT) AJD]]-TABL12[[#This Row],[SER_ IN]]</f>
        <v>257</v>
      </c>
    </row>
    <row r="317" spans="1:42" ht="18.75" x14ac:dyDescent="0.25">
      <c r="A317" s="2">
        <v>45973</v>
      </c>
      <c r="B317" s="28">
        <v>37</v>
      </c>
      <c r="C317" s="28">
        <v>300</v>
      </c>
      <c r="D317" s="28">
        <v>37</v>
      </c>
      <c r="E317" s="28">
        <v>0</v>
      </c>
      <c r="F317" s="28">
        <v>100</v>
      </c>
      <c r="G317" s="28">
        <v>638</v>
      </c>
      <c r="H317" s="28">
        <v>3</v>
      </c>
      <c r="I317" s="28">
        <v>485</v>
      </c>
      <c r="J317" s="28">
        <v>468</v>
      </c>
      <c r="K317" s="28">
        <f>TABL12[[#This Row],[خط (T/B  TOT) SAR]]+TABL12[[#This Row],[خط (S/S  TOT) SAR2]]</f>
        <v>953</v>
      </c>
      <c r="L317" s="28">
        <v>315</v>
      </c>
      <c r="M317" s="29">
        <v>24.6</v>
      </c>
      <c r="N317" s="30">
        <v>7.36</v>
      </c>
      <c r="O317" s="40">
        <v>442</v>
      </c>
      <c r="P317" s="9">
        <f>TABL12[[#This Row],[خط (S/S  TOT) SAR2]]-TABL12[[#This Row],[(S/S TOT) AJD]]</f>
        <v>26</v>
      </c>
      <c r="Q317" s="9">
        <v>442</v>
      </c>
      <c r="R317" s="9">
        <f>TABL12[[#This Row],[خط (T/B  TOT) SAR]]-TABL12[[#This Row],[(T/B TOT) AJD]]</f>
        <v>43</v>
      </c>
      <c r="S317" s="9">
        <f>TABL12[[#This Row],[الفرق بين بداية ونهاية خط  S/S]]+TABL12[[#This Row],[الفرق بين بداية ونهاية خط  T/B]]</f>
        <v>69</v>
      </c>
      <c r="T317" s="9">
        <f t="shared" si="16"/>
        <v>884</v>
      </c>
      <c r="U317" s="9">
        <v>592</v>
      </c>
      <c r="V317" s="9">
        <v>319</v>
      </c>
      <c r="W317" s="9">
        <f t="shared" si="17"/>
        <v>911</v>
      </c>
      <c r="X317" s="9">
        <f t="shared" si="18"/>
        <v>-27</v>
      </c>
      <c r="Y317" s="18">
        <v>92.42</v>
      </c>
      <c r="Z317" s="9">
        <v>448996</v>
      </c>
      <c r="AA317" s="9">
        <f>TABL12[[#This Row],[(RESV. STORGE) AJD]]/10</f>
        <v>44899.6</v>
      </c>
      <c r="AB317" s="3">
        <f t="shared" si="19"/>
        <v>-53.587000000000003</v>
      </c>
      <c r="AC317" s="6">
        <v>1233</v>
      </c>
      <c r="AD317" s="5">
        <f>TABL12[[#This Row],[( S/S+T/B) AJD]]-(TABL12[[#This Row],[(A/B + A/S) AJD]]+(TABL12[[#This Row],[(STORGE DIFF.) AJD]])+TABL12[[#This Row],[البخر  AJD]]/1000)</f>
        <v>25.354000000000042</v>
      </c>
      <c r="AE317" s="6">
        <v>150</v>
      </c>
      <c r="AF317" s="33">
        <v>59.021000000000001</v>
      </c>
      <c r="AG317" s="6">
        <v>1637515</v>
      </c>
      <c r="AH317" s="6">
        <f>TABL12[[#This Row],[ (RESV. STORGE) BER]]/10</f>
        <v>163751.5</v>
      </c>
      <c r="AI317" s="6">
        <v>2548</v>
      </c>
      <c r="AJ317" s="6">
        <f>TABL12[[#This Row],[(A/B TOT) AJD]]-TABL12[[#This Row],[BER_ IN]]</f>
        <v>442</v>
      </c>
      <c r="AK317" s="6">
        <v>85</v>
      </c>
      <c r="AL317" s="33">
        <v>42.790100000000002</v>
      </c>
      <c r="AM317" s="6">
        <v>2994740</v>
      </c>
      <c r="AN317" s="6">
        <f>TABL12[[#This Row],[ (RESV. STORGE) SER]]/10</f>
        <v>299474</v>
      </c>
      <c r="AO317" s="6">
        <v>1853</v>
      </c>
      <c r="AP317" s="32">
        <f>TABL12[[#This Row],[(A/S TOT) AJD]]-TABL12[[#This Row],[SER_ IN]]</f>
        <v>234</v>
      </c>
    </row>
    <row r="318" spans="1:42" ht="18.75" x14ac:dyDescent="0.25">
      <c r="A318" s="2">
        <v>45974</v>
      </c>
      <c r="B318" s="28">
        <v>37</v>
      </c>
      <c r="C318" s="28">
        <v>300</v>
      </c>
      <c r="D318" s="28">
        <v>37</v>
      </c>
      <c r="E318" s="28">
        <v>0</v>
      </c>
      <c r="F318" s="28">
        <v>100</v>
      </c>
      <c r="G318" s="28">
        <v>638</v>
      </c>
      <c r="H318" s="28">
        <v>3</v>
      </c>
      <c r="I318" s="28">
        <v>485</v>
      </c>
      <c r="J318" s="28">
        <v>468</v>
      </c>
      <c r="K318" s="28">
        <f>TABL12[[#This Row],[خط (T/B  TOT) SAR]]+TABL12[[#This Row],[خط (S/S  TOT) SAR2]]</f>
        <v>953</v>
      </c>
      <c r="L318" s="28">
        <v>315</v>
      </c>
      <c r="M318" s="29">
        <v>24.6</v>
      </c>
      <c r="N318" s="30">
        <v>7.31</v>
      </c>
      <c r="O318" s="39">
        <v>441</v>
      </c>
      <c r="P318" s="9">
        <f>TABL12[[#This Row],[خط (S/S  TOT) SAR2]]-TABL12[[#This Row],[(S/S TOT) AJD]]</f>
        <v>27</v>
      </c>
      <c r="Q318" s="9">
        <v>440</v>
      </c>
      <c r="R318" s="9">
        <f>TABL12[[#This Row],[خط (T/B  TOT) SAR]]-TABL12[[#This Row],[(T/B TOT) AJD]]</f>
        <v>45</v>
      </c>
      <c r="S318" s="9">
        <f>TABL12[[#This Row],[الفرق بين بداية ونهاية خط  S/S]]+TABL12[[#This Row],[الفرق بين بداية ونهاية خط  T/B]]</f>
        <v>72</v>
      </c>
      <c r="T318" s="9">
        <f t="shared" si="16"/>
        <v>881</v>
      </c>
      <c r="U318" s="9">
        <v>598</v>
      </c>
      <c r="V318" s="9">
        <v>324</v>
      </c>
      <c r="W318" s="9">
        <f t="shared" si="17"/>
        <v>922</v>
      </c>
      <c r="X318" s="9">
        <f t="shared" si="18"/>
        <v>-41</v>
      </c>
      <c r="Y318" s="18">
        <v>92.3</v>
      </c>
      <c r="Z318" s="9">
        <v>377659</v>
      </c>
      <c r="AA318" s="9">
        <f>TABL12[[#This Row],[(RESV. STORGE) AJD]]/10</f>
        <v>37765.9</v>
      </c>
      <c r="AB318" s="3">
        <f t="shared" si="19"/>
        <v>-71.337000000000003</v>
      </c>
      <c r="AC318" s="6">
        <v>956</v>
      </c>
      <c r="AD318" s="5">
        <f>TABL12[[#This Row],[( S/S+T/B) AJD]]-(TABL12[[#This Row],[(A/B + A/S) AJD]]+(TABL12[[#This Row],[(STORGE DIFF.) AJD]])+TABL12[[#This Row],[البخر  AJD]]/1000)</f>
        <v>29.380999999999972</v>
      </c>
      <c r="AE318" s="6">
        <v>150</v>
      </c>
      <c r="AF318" s="33">
        <v>59.011000000000003</v>
      </c>
      <c r="AG318" s="6">
        <v>1630912</v>
      </c>
      <c r="AH318" s="6">
        <f>TABL12[[#This Row],[ (RESV. STORGE) BER]]/10</f>
        <v>163091.20000000001</v>
      </c>
      <c r="AI318" s="6">
        <v>2547</v>
      </c>
      <c r="AJ318" s="6">
        <f>TABL12[[#This Row],[(A/B TOT) AJD]]-TABL12[[#This Row],[BER_ IN]]</f>
        <v>448</v>
      </c>
      <c r="AK318" s="6">
        <v>54</v>
      </c>
      <c r="AL318" s="33">
        <v>42.828600000000002</v>
      </c>
      <c r="AM318" s="6">
        <v>3012400</v>
      </c>
      <c r="AN318" s="6">
        <f>TABL12[[#This Row],[ (RESV. STORGE) SER]]/10</f>
        <v>301240</v>
      </c>
      <c r="AO318" s="6">
        <v>1820</v>
      </c>
      <c r="AP318" s="32">
        <f>TABL12[[#This Row],[(A/S TOT) AJD]]-TABL12[[#This Row],[SER_ IN]]</f>
        <v>270</v>
      </c>
    </row>
    <row r="319" spans="1:42" ht="18.75" x14ac:dyDescent="0.25">
      <c r="A319" s="2">
        <v>45975</v>
      </c>
      <c r="B319" s="28">
        <v>38</v>
      </c>
      <c r="C319" s="28">
        <v>303</v>
      </c>
      <c r="D319" s="28">
        <v>38</v>
      </c>
      <c r="E319" s="28">
        <v>0</v>
      </c>
      <c r="F319" s="28">
        <v>100</v>
      </c>
      <c r="G319" s="28">
        <v>636</v>
      </c>
      <c r="H319" s="28">
        <v>3</v>
      </c>
      <c r="I319" s="28">
        <v>483</v>
      </c>
      <c r="J319" s="28">
        <v>468</v>
      </c>
      <c r="K319" s="28">
        <f>TABL12[[#This Row],[خط (T/B  TOT) SAR]]+TABL12[[#This Row],[خط (S/S  TOT) SAR2]]</f>
        <v>951</v>
      </c>
      <c r="L319" s="28">
        <v>315</v>
      </c>
      <c r="M319" s="29">
        <v>24.6</v>
      </c>
      <c r="N319" s="30">
        <v>7.3</v>
      </c>
      <c r="O319" s="40">
        <v>441</v>
      </c>
      <c r="P319" s="9">
        <f>TABL12[[#This Row],[خط (S/S  TOT) SAR2]]-TABL12[[#This Row],[(S/S TOT) AJD]]</f>
        <v>27</v>
      </c>
      <c r="Q319" s="9">
        <v>439</v>
      </c>
      <c r="R319" s="9">
        <f>TABL12[[#This Row],[خط (T/B  TOT) SAR]]-TABL12[[#This Row],[(T/B TOT) AJD]]</f>
        <v>44</v>
      </c>
      <c r="S319" s="9">
        <f>TABL12[[#This Row],[الفرق بين بداية ونهاية خط  S/S]]+TABL12[[#This Row],[الفرق بين بداية ونهاية خط  T/B]]</f>
        <v>71</v>
      </c>
      <c r="T319" s="9">
        <f t="shared" si="16"/>
        <v>880</v>
      </c>
      <c r="U319" s="9">
        <v>599</v>
      </c>
      <c r="V319" s="9">
        <v>270</v>
      </c>
      <c r="W319" s="9">
        <f t="shared" si="17"/>
        <v>869</v>
      </c>
      <c r="X319" s="9">
        <f t="shared" si="18"/>
        <v>11</v>
      </c>
      <c r="Y319" s="18">
        <v>92.272999999999996</v>
      </c>
      <c r="Z319" s="9">
        <v>361619</v>
      </c>
      <c r="AA319" s="9">
        <f>TABL12[[#This Row],[(RESV. STORGE) AJD]]/10</f>
        <v>36161.9</v>
      </c>
      <c r="AB319" s="3">
        <f t="shared" si="19"/>
        <v>-16.04</v>
      </c>
      <c r="AC319" s="6">
        <v>0</v>
      </c>
      <c r="AD319" s="5">
        <f>TABL12[[#This Row],[( S/S+T/B) AJD]]-(TABL12[[#This Row],[(A/B + A/S) AJD]]+(TABL12[[#This Row],[(STORGE DIFF.) AJD]])+TABL12[[#This Row],[البخر  AJD]]/1000)</f>
        <v>27.039999999999964</v>
      </c>
      <c r="AE319" s="6">
        <v>150</v>
      </c>
      <c r="AF319" s="33">
        <v>59.000999999999998</v>
      </c>
      <c r="AG319" s="6">
        <v>1624309</v>
      </c>
      <c r="AH319" s="6">
        <f>TABL12[[#This Row],[ (RESV. STORGE) BER]]/10</f>
        <v>162430.9</v>
      </c>
      <c r="AI319" s="6">
        <v>2546</v>
      </c>
      <c r="AJ319" s="6">
        <f>TABL12[[#This Row],[(A/B TOT) AJD]]-TABL12[[#This Row],[BER_ IN]]</f>
        <v>449</v>
      </c>
      <c r="AK319" s="6">
        <v>37</v>
      </c>
      <c r="AL319" s="33">
        <v>42.851500000000001</v>
      </c>
      <c r="AM319" s="6">
        <v>3028624</v>
      </c>
      <c r="AN319" s="6">
        <f>TABL12[[#This Row],[ (RESV. STORGE) SER]]/10</f>
        <v>302862.40000000002</v>
      </c>
      <c r="AO319" s="6">
        <v>1830</v>
      </c>
      <c r="AP319" s="32">
        <f>TABL12[[#This Row],[(A/S TOT) AJD]]-TABL12[[#This Row],[SER_ IN]]</f>
        <v>233</v>
      </c>
    </row>
    <row r="320" spans="1:42" ht="18.75" x14ac:dyDescent="0.25">
      <c r="A320" s="2">
        <v>45976</v>
      </c>
      <c r="B320" s="28">
        <v>38</v>
      </c>
      <c r="C320" s="28">
        <v>305</v>
      </c>
      <c r="D320" s="28">
        <v>37</v>
      </c>
      <c r="E320" s="28">
        <v>0</v>
      </c>
      <c r="F320" s="28">
        <v>100</v>
      </c>
      <c r="G320" s="28">
        <v>637</v>
      </c>
      <c r="H320" s="28">
        <v>3</v>
      </c>
      <c r="I320" s="28">
        <v>483</v>
      </c>
      <c r="J320" s="28">
        <v>469</v>
      </c>
      <c r="K320" s="28">
        <f>TABL12[[#This Row],[خط (T/B  TOT) SAR]]+TABL12[[#This Row],[خط (S/S  TOT) SAR2]]</f>
        <v>952</v>
      </c>
      <c r="L320" s="28">
        <v>315</v>
      </c>
      <c r="M320" s="29">
        <v>24.6</v>
      </c>
      <c r="N320" s="30">
        <v>7.29</v>
      </c>
      <c r="O320" s="39">
        <v>440</v>
      </c>
      <c r="P320" s="9">
        <f>TABL12[[#This Row],[خط (S/S  TOT) SAR2]]-TABL12[[#This Row],[(S/S TOT) AJD]]</f>
        <v>29</v>
      </c>
      <c r="Q320" s="9">
        <v>440</v>
      </c>
      <c r="R320" s="9">
        <f>TABL12[[#This Row],[خط (T/B  TOT) SAR]]-TABL12[[#This Row],[(T/B TOT) AJD]]</f>
        <v>43</v>
      </c>
      <c r="S320" s="9">
        <f>TABL12[[#This Row],[الفرق بين بداية ونهاية خط  S/S]]+TABL12[[#This Row],[الفرق بين بداية ونهاية خط  T/B]]</f>
        <v>72</v>
      </c>
      <c r="T320" s="9">
        <f t="shared" si="16"/>
        <v>880</v>
      </c>
      <c r="U320" s="9">
        <v>602</v>
      </c>
      <c r="V320" s="9">
        <v>262</v>
      </c>
      <c r="W320" s="9">
        <f t="shared" si="17"/>
        <v>864</v>
      </c>
      <c r="X320" s="9">
        <f t="shared" si="18"/>
        <v>16</v>
      </c>
      <c r="Y320" s="18">
        <v>92.247</v>
      </c>
      <c r="Z320" s="9">
        <v>346182</v>
      </c>
      <c r="AA320" s="9">
        <f>TABL12[[#This Row],[(RESV. STORGE) AJD]]/10</f>
        <v>34618.199999999997</v>
      </c>
      <c r="AB320" s="3">
        <f t="shared" si="19"/>
        <v>-15.436999999999999</v>
      </c>
      <c r="AC320" s="6">
        <v>0</v>
      </c>
      <c r="AD320" s="5">
        <f>TABL12[[#This Row],[( S/S+T/B) AJD]]-(TABL12[[#This Row],[(A/B + A/S) AJD]]+(TABL12[[#This Row],[(STORGE DIFF.) AJD]])+TABL12[[#This Row],[البخر  AJD]]/1000)</f>
        <v>31.437000000000012</v>
      </c>
      <c r="AE320" s="6">
        <v>150</v>
      </c>
      <c r="AF320" s="33">
        <v>58.99</v>
      </c>
      <c r="AG320" s="6">
        <v>1617048</v>
      </c>
      <c r="AH320" s="6">
        <f>TABL12[[#This Row],[ (RESV. STORGE) BER]]/10</f>
        <v>161704.79999999999</v>
      </c>
      <c r="AI320" s="6">
        <v>3205</v>
      </c>
      <c r="AJ320" s="6">
        <f>TABL12[[#This Row],[(A/B TOT) AJD]]-TABL12[[#This Row],[BER_ IN]]</f>
        <v>452</v>
      </c>
      <c r="AK320" s="6">
        <v>35</v>
      </c>
      <c r="AL320" s="33">
        <v>42.897100000000002</v>
      </c>
      <c r="AM320" s="6">
        <v>3052510</v>
      </c>
      <c r="AN320" s="6">
        <f>TABL12[[#This Row],[ (RESV. STORGE) SER]]/10</f>
        <v>305251</v>
      </c>
      <c r="AO320" s="6">
        <v>1740</v>
      </c>
      <c r="AP320" s="32">
        <f>TABL12[[#This Row],[(A/S TOT) AJD]]-TABL12[[#This Row],[SER_ IN]]</f>
        <v>227</v>
      </c>
    </row>
    <row r="321" spans="1:42" ht="18.75" x14ac:dyDescent="0.25">
      <c r="A321" s="2">
        <v>45977</v>
      </c>
      <c r="B321" s="28">
        <v>38</v>
      </c>
      <c r="C321" s="28">
        <v>316</v>
      </c>
      <c r="D321" s="28">
        <v>38</v>
      </c>
      <c r="E321" s="28">
        <v>0</v>
      </c>
      <c r="F321" s="28">
        <v>100</v>
      </c>
      <c r="G321" s="28">
        <v>634</v>
      </c>
      <c r="H321" s="28">
        <v>3</v>
      </c>
      <c r="I321" s="28">
        <v>482</v>
      </c>
      <c r="J321" s="28">
        <v>467</v>
      </c>
      <c r="K321" s="28">
        <f>TABL12[[#This Row],[خط (T/B  TOT) SAR]]+TABL12[[#This Row],[خط (S/S  TOT) SAR2]]</f>
        <v>949</v>
      </c>
      <c r="L321" s="28">
        <v>315</v>
      </c>
      <c r="M321" s="29">
        <v>24.6</v>
      </c>
      <c r="N321" s="30">
        <v>7.32</v>
      </c>
      <c r="O321" s="40">
        <v>439</v>
      </c>
      <c r="P321" s="9">
        <f>TABL12[[#This Row],[خط (S/S  TOT) SAR2]]-TABL12[[#This Row],[(S/S TOT) AJD]]</f>
        <v>28</v>
      </c>
      <c r="Q321" s="9">
        <v>440</v>
      </c>
      <c r="R321" s="9">
        <f>TABL12[[#This Row],[خط (T/B  TOT) SAR]]-TABL12[[#This Row],[(T/B TOT) AJD]]</f>
        <v>42</v>
      </c>
      <c r="S321" s="9">
        <f>TABL12[[#This Row],[الفرق بين بداية ونهاية خط  S/S]]+TABL12[[#This Row],[الفرق بين بداية ونهاية خط  T/B]]</f>
        <v>70</v>
      </c>
      <c r="T321" s="9">
        <f t="shared" si="16"/>
        <v>879</v>
      </c>
      <c r="U321" s="9">
        <v>604</v>
      </c>
      <c r="V321" s="9">
        <v>258</v>
      </c>
      <c r="W321" s="9">
        <f t="shared" si="17"/>
        <v>862</v>
      </c>
      <c r="X321" s="9">
        <f t="shared" si="18"/>
        <v>17</v>
      </c>
      <c r="Y321" s="18">
        <v>92.24</v>
      </c>
      <c r="Z321" s="9">
        <v>342029</v>
      </c>
      <c r="AA321" s="9">
        <f>TABL12[[#This Row],[(RESV. STORGE) AJD]]/10</f>
        <v>34202.9</v>
      </c>
      <c r="AB321" s="3">
        <f t="shared" si="19"/>
        <v>-4.1529999999999996</v>
      </c>
      <c r="AC321" s="6">
        <v>918</v>
      </c>
      <c r="AD321" s="5">
        <f>TABL12[[#This Row],[( S/S+T/B) AJD]]-(TABL12[[#This Row],[(A/B + A/S) AJD]]+(TABL12[[#This Row],[(STORGE DIFF.) AJD]])+TABL12[[#This Row],[البخر  AJD]]/1000)</f>
        <v>20.235000000000014</v>
      </c>
      <c r="AE321" s="6">
        <v>150</v>
      </c>
      <c r="AF321" s="33">
        <v>58.978999999999999</v>
      </c>
      <c r="AG321" s="6">
        <v>1609787</v>
      </c>
      <c r="AH321" s="6">
        <f>TABL12[[#This Row],[ (RESV. STORGE) BER]]/10</f>
        <v>160978.70000000001</v>
      </c>
      <c r="AI321" s="6">
        <v>3204</v>
      </c>
      <c r="AJ321" s="6">
        <f>TABL12[[#This Row],[(A/B TOT) AJD]]-TABL12[[#This Row],[BER_ IN]]</f>
        <v>454</v>
      </c>
      <c r="AK321" s="6">
        <v>35</v>
      </c>
      <c r="AL321" s="33">
        <v>42.916899999999998</v>
      </c>
      <c r="AM321" s="6">
        <v>3063320</v>
      </c>
      <c r="AN321" s="6">
        <f>TABL12[[#This Row],[ (RESV. STORGE) SER]]/10</f>
        <v>306332</v>
      </c>
      <c r="AO321" s="6">
        <v>1890</v>
      </c>
      <c r="AP321" s="32">
        <f>TABL12[[#This Row],[(A/S TOT) AJD]]-TABL12[[#This Row],[SER_ IN]]</f>
        <v>223</v>
      </c>
    </row>
    <row r="322" spans="1:42" ht="18.75" x14ac:dyDescent="0.25">
      <c r="A322" s="2">
        <v>45978</v>
      </c>
      <c r="B322" s="28">
        <v>38</v>
      </c>
      <c r="C322" s="28">
        <v>319</v>
      </c>
      <c r="D322" s="28">
        <v>38</v>
      </c>
      <c r="E322" s="28">
        <v>0</v>
      </c>
      <c r="F322" s="28">
        <v>100</v>
      </c>
      <c r="G322" s="28">
        <v>637</v>
      </c>
      <c r="H322" s="28">
        <v>3</v>
      </c>
      <c r="I322" s="28">
        <v>482</v>
      </c>
      <c r="J322" s="28">
        <v>470</v>
      </c>
      <c r="K322" s="28">
        <f>TABL12[[#This Row],[خط (T/B  TOT) SAR]]+TABL12[[#This Row],[خط (S/S  TOT) SAR2]]</f>
        <v>952</v>
      </c>
      <c r="L322" s="28">
        <v>315</v>
      </c>
      <c r="M322" s="29">
        <v>24.6</v>
      </c>
      <c r="N322" s="30">
        <v>7.39</v>
      </c>
      <c r="O322" s="39">
        <v>440</v>
      </c>
      <c r="P322" s="9">
        <f>TABL12[[#This Row],[خط (S/S  TOT) SAR2]]-TABL12[[#This Row],[(S/S TOT) AJD]]</f>
        <v>30</v>
      </c>
      <c r="Q322" s="9">
        <v>439</v>
      </c>
      <c r="R322" s="9">
        <f>TABL12[[#This Row],[خط (T/B  TOT) SAR]]-TABL12[[#This Row],[(T/B TOT) AJD]]</f>
        <v>43</v>
      </c>
      <c r="S322" s="9">
        <f>TABL12[[#This Row],[الفرق بين بداية ونهاية خط  S/S]]+TABL12[[#This Row],[الفرق بين بداية ونهاية خط  T/B]]</f>
        <v>73</v>
      </c>
      <c r="T322" s="9">
        <f t="shared" ref="T322:T366" si="20">O322+Q322</f>
        <v>879</v>
      </c>
      <c r="U322" s="9">
        <v>613</v>
      </c>
      <c r="V322" s="9">
        <v>264</v>
      </c>
      <c r="W322" s="9">
        <f t="shared" ref="W322:W366" si="21">U322+V322</f>
        <v>877</v>
      </c>
      <c r="X322" s="9">
        <f t="shared" ref="X322:X366" si="22">T322-W322</f>
        <v>2</v>
      </c>
      <c r="Y322" s="18">
        <v>92.2</v>
      </c>
      <c r="Z322" s="9">
        <v>318290</v>
      </c>
      <c r="AA322" s="9">
        <f>TABL12[[#This Row],[(RESV. STORGE) AJD]]/10</f>
        <v>31829</v>
      </c>
      <c r="AB322" s="3">
        <f t="shared" si="19"/>
        <v>-23.739000000000001</v>
      </c>
      <c r="AC322" s="6">
        <v>1055</v>
      </c>
      <c r="AD322" s="5">
        <f>TABL12[[#This Row],[( S/S+T/B) AJD]]-(TABL12[[#This Row],[(A/B + A/S) AJD]]+(TABL12[[#This Row],[(STORGE DIFF.) AJD]])+TABL12[[#This Row],[البخر  AJD]]/1000)</f>
        <v>24.684000000000083</v>
      </c>
      <c r="AE322" s="6">
        <v>150</v>
      </c>
      <c r="AF322" s="33">
        <v>58.969000000000001</v>
      </c>
      <c r="AG322" s="6">
        <v>1603187</v>
      </c>
      <c r="AH322" s="6">
        <f>TABL12[[#This Row],[ (RESV. STORGE) BER]]/10</f>
        <v>160318.70000000001</v>
      </c>
      <c r="AI322" s="6">
        <v>2546</v>
      </c>
      <c r="AJ322" s="6">
        <f>TABL12[[#This Row],[(A/B TOT) AJD]]-TABL12[[#This Row],[BER_ IN]]</f>
        <v>463</v>
      </c>
      <c r="AK322" s="6">
        <v>36</v>
      </c>
      <c r="AL322" s="33">
        <v>42.910800000000002</v>
      </c>
      <c r="AM322" s="6">
        <v>3060600</v>
      </c>
      <c r="AN322" s="6">
        <f>TABL12[[#This Row],[ (RESV. STORGE) SER]]/10</f>
        <v>306060</v>
      </c>
      <c r="AO322" s="6">
        <v>1720</v>
      </c>
      <c r="AP322" s="32">
        <f>TABL12[[#This Row],[(A/S TOT) AJD]]-TABL12[[#This Row],[SER_ IN]]</f>
        <v>228</v>
      </c>
    </row>
    <row r="323" spans="1:42" ht="18.75" x14ac:dyDescent="0.25">
      <c r="A323" s="2">
        <v>45979</v>
      </c>
      <c r="B323" s="28">
        <v>38</v>
      </c>
      <c r="C323" s="28">
        <v>312</v>
      </c>
      <c r="D323" s="28">
        <v>38</v>
      </c>
      <c r="E323" s="28">
        <v>0</v>
      </c>
      <c r="F323" s="28">
        <v>100</v>
      </c>
      <c r="G323" s="28">
        <v>623</v>
      </c>
      <c r="H323" s="28">
        <v>3</v>
      </c>
      <c r="I323" s="28">
        <v>475</v>
      </c>
      <c r="J323" s="28">
        <v>463</v>
      </c>
      <c r="K323" s="28">
        <f>TABL12[[#This Row],[خط (T/B  TOT) SAR]]+TABL12[[#This Row],[خط (S/S  TOT) SAR2]]</f>
        <v>938</v>
      </c>
      <c r="L323" s="28">
        <v>315</v>
      </c>
      <c r="M323" s="29">
        <v>24.6</v>
      </c>
      <c r="N323" s="30">
        <v>7.43</v>
      </c>
      <c r="O323" s="40">
        <v>436</v>
      </c>
      <c r="P323" s="9">
        <f>TABL12[[#This Row],[خط (S/S  TOT) SAR2]]-TABL12[[#This Row],[(S/S TOT) AJD]]</f>
        <v>27</v>
      </c>
      <c r="Q323" s="9">
        <v>436</v>
      </c>
      <c r="R323" s="9">
        <f>TABL12[[#This Row],[خط (T/B  TOT) SAR]]-TABL12[[#This Row],[(T/B TOT) AJD]]</f>
        <v>39</v>
      </c>
      <c r="S323" s="9">
        <f>TABL12[[#This Row],[الفرق بين بداية ونهاية خط  S/S]]+TABL12[[#This Row],[الفرق بين بداية ونهاية خط  T/B]]</f>
        <v>66</v>
      </c>
      <c r="T323" s="9">
        <f t="shared" si="20"/>
        <v>872</v>
      </c>
      <c r="U323" s="9">
        <v>614</v>
      </c>
      <c r="V323" s="9">
        <v>299</v>
      </c>
      <c r="W323" s="9">
        <f t="shared" si="21"/>
        <v>913</v>
      </c>
      <c r="X323" s="9">
        <f t="shared" si="22"/>
        <v>-41</v>
      </c>
      <c r="Y323" s="18">
        <v>92.081000000000003</v>
      </c>
      <c r="Z323" s="9">
        <v>247758</v>
      </c>
      <c r="AA323" s="9">
        <f>TABL12[[#This Row],[(RESV. STORGE) AJD]]/10</f>
        <v>24775.8</v>
      </c>
      <c r="AB323" s="3">
        <f t="shared" ref="AB323:AB366" si="23">(Z323-Z322)/1000</f>
        <v>-70.531999999999996</v>
      </c>
      <c r="AC323" s="6">
        <v>1061</v>
      </c>
      <c r="AD323" s="5">
        <f>TABL12[[#This Row],[( S/S+T/B) AJD]]-(TABL12[[#This Row],[(A/B + A/S) AJD]]+(TABL12[[#This Row],[(STORGE DIFF.) AJD]])+TABL12[[#This Row],[البخر  AJD]]/1000)</f>
        <v>28.471000000000004</v>
      </c>
      <c r="AE323" s="6">
        <v>150</v>
      </c>
      <c r="AF323" s="33">
        <v>58.959000000000003</v>
      </c>
      <c r="AG323" s="6">
        <v>1596588</v>
      </c>
      <c r="AH323" s="6">
        <f>TABL12[[#This Row],[ (RESV. STORGE) BER]]/10</f>
        <v>159658.79999999999</v>
      </c>
      <c r="AI323" s="6">
        <v>2542</v>
      </c>
      <c r="AJ323" s="6">
        <f>TABL12[[#This Row],[(A/B TOT) AJD]]-TABL12[[#This Row],[BER_ IN]]</f>
        <v>464</v>
      </c>
      <c r="AK323" s="6">
        <v>21</v>
      </c>
      <c r="AL323" s="33">
        <v>42.8735</v>
      </c>
      <c r="AM323" s="6">
        <v>3040080</v>
      </c>
      <c r="AN323" s="6">
        <f>TABL12[[#This Row],[ (RESV. STORGE) SER]]/10</f>
        <v>304008</v>
      </c>
      <c r="AO323" s="6">
        <v>1820</v>
      </c>
      <c r="AP323" s="32">
        <f>TABL12[[#This Row],[(A/S TOT) AJD]]-TABL12[[#This Row],[SER_ IN]]</f>
        <v>278</v>
      </c>
    </row>
    <row r="324" spans="1:42" ht="18.75" x14ac:dyDescent="0.25">
      <c r="A324" s="2">
        <v>45980</v>
      </c>
      <c r="B324" s="28">
        <v>37</v>
      </c>
      <c r="C324" s="28">
        <v>309</v>
      </c>
      <c r="D324" s="28">
        <v>37</v>
      </c>
      <c r="E324" s="28">
        <v>0</v>
      </c>
      <c r="F324" s="28">
        <v>98</v>
      </c>
      <c r="G324" s="28">
        <v>619</v>
      </c>
      <c r="H324" s="28">
        <v>5</v>
      </c>
      <c r="I324" s="28">
        <v>474</v>
      </c>
      <c r="J324" s="28">
        <v>459</v>
      </c>
      <c r="K324" s="28">
        <f>TABL12[[#This Row],[خط (T/B  TOT) SAR]]+TABL12[[#This Row],[خط (S/S  TOT) SAR2]]</f>
        <v>933</v>
      </c>
      <c r="L324" s="28">
        <v>314</v>
      </c>
      <c r="M324" s="29">
        <v>24.6</v>
      </c>
      <c r="N324" s="30">
        <v>7.44</v>
      </c>
      <c r="O324" s="39">
        <v>436</v>
      </c>
      <c r="P324" s="9">
        <f>TABL12[[#This Row],[خط (S/S  TOT) SAR2]]-TABL12[[#This Row],[(S/S TOT) AJD]]</f>
        <v>23</v>
      </c>
      <c r="Q324" s="9">
        <v>435</v>
      </c>
      <c r="R324" s="9">
        <f>TABL12[[#This Row],[خط (T/B  TOT) SAR]]-TABL12[[#This Row],[(T/B TOT) AJD]]</f>
        <v>39</v>
      </c>
      <c r="S324" s="9">
        <f>TABL12[[#This Row],[الفرق بين بداية ونهاية خط  S/S]]+TABL12[[#This Row],[الفرق بين بداية ونهاية خط  T/B]]</f>
        <v>62</v>
      </c>
      <c r="T324" s="9">
        <f t="shared" si="20"/>
        <v>871</v>
      </c>
      <c r="U324" s="9">
        <v>615</v>
      </c>
      <c r="V324" s="9">
        <v>276</v>
      </c>
      <c r="W324" s="9">
        <f t="shared" si="21"/>
        <v>891</v>
      </c>
      <c r="X324" s="9">
        <f t="shared" si="22"/>
        <v>-20</v>
      </c>
      <c r="Y324" s="18">
        <v>92.010999999999996</v>
      </c>
      <c r="Z324" s="9">
        <v>206322</v>
      </c>
      <c r="AA324" s="9">
        <f>TABL12[[#This Row],[(RESV. STORGE) AJD]]/10</f>
        <v>20632.2</v>
      </c>
      <c r="AB324" s="3">
        <f t="shared" si="23"/>
        <v>-41.436</v>
      </c>
      <c r="AC324" s="6">
        <v>969</v>
      </c>
      <c r="AD324" s="5">
        <f>TABL12[[#This Row],[( S/S+T/B) AJD]]-(TABL12[[#This Row],[(A/B + A/S) AJD]]+(TABL12[[#This Row],[(STORGE DIFF.) AJD]])+TABL12[[#This Row],[البخر  AJD]]/1000)</f>
        <v>20.466999999999985</v>
      </c>
      <c r="AE324" s="6">
        <v>150</v>
      </c>
      <c r="AF324" s="33">
        <v>58.948999999999998</v>
      </c>
      <c r="AG324" s="6">
        <v>1589990</v>
      </c>
      <c r="AH324" s="6">
        <f>TABL12[[#This Row],[ (RESV. STORGE) BER]]/10</f>
        <v>158999</v>
      </c>
      <c r="AI324" s="6">
        <v>2542</v>
      </c>
      <c r="AJ324" s="6">
        <f>TABL12[[#This Row],[(A/B TOT) AJD]]-TABL12[[#This Row],[BER_ IN]]</f>
        <v>465</v>
      </c>
      <c r="AK324" s="6">
        <v>4</v>
      </c>
      <c r="AL324" s="33">
        <v>42.813099999999999</v>
      </c>
      <c r="AM324" s="6">
        <v>3007150</v>
      </c>
      <c r="AN324" s="6">
        <f>TABL12[[#This Row],[ (RESV. STORGE) SER]]/10</f>
        <v>300715</v>
      </c>
      <c r="AO324" s="6">
        <v>1930</v>
      </c>
      <c r="AP324" s="32">
        <f>TABL12[[#This Row],[(A/S TOT) AJD]]-TABL12[[#This Row],[SER_ IN]]</f>
        <v>272</v>
      </c>
    </row>
    <row r="325" spans="1:42" ht="18.75" x14ac:dyDescent="0.25">
      <c r="A325" s="2">
        <v>45981</v>
      </c>
      <c r="B325" s="28">
        <v>38</v>
      </c>
      <c r="C325" s="28">
        <v>306</v>
      </c>
      <c r="D325" s="28">
        <v>38</v>
      </c>
      <c r="E325" s="28">
        <v>0</v>
      </c>
      <c r="F325" s="28">
        <v>98</v>
      </c>
      <c r="G325" s="28">
        <v>615</v>
      </c>
      <c r="H325" s="28">
        <v>5</v>
      </c>
      <c r="I325" s="28">
        <v>472</v>
      </c>
      <c r="J325" s="28">
        <v>458</v>
      </c>
      <c r="K325" s="28">
        <f>TABL12[[#This Row],[خط (T/B  TOT) SAR]]+TABL12[[#This Row],[خط (S/S  TOT) SAR2]]</f>
        <v>930</v>
      </c>
      <c r="L325" s="28">
        <v>315</v>
      </c>
      <c r="M325" s="29">
        <v>24.6</v>
      </c>
      <c r="N325" s="30">
        <v>7.45</v>
      </c>
      <c r="O325" s="40">
        <v>432</v>
      </c>
      <c r="P325" s="9">
        <f>TABL12[[#This Row],[خط (S/S  TOT) SAR2]]-TABL12[[#This Row],[(S/S TOT) AJD]]</f>
        <v>26</v>
      </c>
      <c r="Q325" s="9">
        <v>431</v>
      </c>
      <c r="R325" s="9">
        <f>TABL12[[#This Row],[خط (T/B  TOT) SAR]]-TABL12[[#This Row],[(T/B TOT) AJD]]</f>
        <v>41</v>
      </c>
      <c r="S325" s="9">
        <f>TABL12[[#This Row],[الفرق بين بداية ونهاية خط  S/S]]+TABL12[[#This Row],[الفرق بين بداية ونهاية خط  T/B]]</f>
        <v>67</v>
      </c>
      <c r="T325" s="9">
        <f t="shared" si="20"/>
        <v>863</v>
      </c>
      <c r="U325" s="9">
        <v>577</v>
      </c>
      <c r="V325" s="9">
        <v>237</v>
      </c>
      <c r="W325" s="9">
        <f t="shared" si="21"/>
        <v>814</v>
      </c>
      <c r="X325" s="9">
        <f t="shared" si="22"/>
        <v>49</v>
      </c>
      <c r="Y325" s="18">
        <v>92.064999999999998</v>
      </c>
      <c r="Z325" s="9">
        <v>238284</v>
      </c>
      <c r="AA325" s="9">
        <f>TABL12[[#This Row],[(RESV. STORGE) AJD]]/10</f>
        <v>23828.400000000001</v>
      </c>
      <c r="AB325" s="3">
        <f t="shared" si="23"/>
        <v>31.962</v>
      </c>
      <c r="AC325" s="6">
        <v>995</v>
      </c>
      <c r="AD325" s="5">
        <f>TABL12[[#This Row],[( S/S+T/B) AJD]]-(TABL12[[#This Row],[(A/B + A/S) AJD]]+(TABL12[[#This Row],[(STORGE DIFF.) AJD]])+TABL12[[#This Row],[البخر  AJD]]/1000)</f>
        <v>16.043000000000006</v>
      </c>
      <c r="AE325" s="6">
        <v>150</v>
      </c>
      <c r="AF325" s="33">
        <v>58.939</v>
      </c>
      <c r="AG325" s="6">
        <v>1583393</v>
      </c>
      <c r="AH325" s="6">
        <f>TABL12[[#This Row],[ (RESV. STORGE) BER]]/10</f>
        <v>158339.29999999999</v>
      </c>
      <c r="AI325" s="6">
        <v>2541</v>
      </c>
      <c r="AJ325" s="6">
        <f>TABL12[[#This Row],[(A/B TOT) AJD]]-TABL12[[#This Row],[BER_ IN]]</f>
        <v>427</v>
      </c>
      <c r="AK325" s="6">
        <v>0</v>
      </c>
      <c r="AL325" s="33">
        <v>42.698</v>
      </c>
      <c r="AM325" s="6">
        <v>2945130</v>
      </c>
      <c r="AN325" s="6">
        <f>TABL12[[#This Row],[ (RESV. STORGE) SER]]/10</f>
        <v>294513</v>
      </c>
      <c r="AO325" s="6">
        <v>1890</v>
      </c>
      <c r="AP325" s="32">
        <f>TABL12[[#This Row],[(A/S TOT) AJD]]-TABL12[[#This Row],[SER_ IN]]</f>
        <v>237</v>
      </c>
    </row>
    <row r="326" spans="1:42" ht="18.75" x14ac:dyDescent="0.25">
      <c r="A326" s="2">
        <v>45982</v>
      </c>
      <c r="B326" s="28">
        <v>37</v>
      </c>
      <c r="C326" s="28">
        <v>298</v>
      </c>
      <c r="D326" s="28">
        <v>37</v>
      </c>
      <c r="E326" s="28">
        <v>0</v>
      </c>
      <c r="F326" s="28">
        <v>98</v>
      </c>
      <c r="G326" s="28">
        <v>615</v>
      </c>
      <c r="H326" s="28">
        <v>5</v>
      </c>
      <c r="I326" s="28">
        <v>472</v>
      </c>
      <c r="J326" s="28">
        <v>458</v>
      </c>
      <c r="K326" s="28">
        <f>TABL12[[#This Row],[خط (T/B  TOT) SAR]]+TABL12[[#This Row],[خط (S/S  TOT) SAR2]]</f>
        <v>930</v>
      </c>
      <c r="L326" s="28">
        <v>315</v>
      </c>
      <c r="M326" s="29">
        <v>24.6</v>
      </c>
      <c r="N326" s="30">
        <v>7.42</v>
      </c>
      <c r="O326" s="39">
        <v>432</v>
      </c>
      <c r="P326" s="9">
        <f>TABL12[[#This Row],[خط (S/S  TOT) SAR2]]-TABL12[[#This Row],[(S/S TOT) AJD]]</f>
        <v>26</v>
      </c>
      <c r="Q326" s="9">
        <v>430</v>
      </c>
      <c r="R326" s="9">
        <f>TABL12[[#This Row],[خط (T/B  TOT) SAR]]-TABL12[[#This Row],[(T/B TOT) AJD]]</f>
        <v>42</v>
      </c>
      <c r="S326" s="9">
        <f>TABL12[[#This Row],[الفرق بين بداية ونهاية خط  S/S]]+TABL12[[#This Row],[الفرق بين بداية ونهاية خط  T/B]]</f>
        <v>68</v>
      </c>
      <c r="T326" s="9">
        <f t="shared" si="20"/>
        <v>862</v>
      </c>
      <c r="U326" s="9">
        <v>583</v>
      </c>
      <c r="V326" s="9">
        <v>199</v>
      </c>
      <c r="W326" s="9">
        <f t="shared" si="21"/>
        <v>782</v>
      </c>
      <c r="X326" s="9">
        <f t="shared" si="22"/>
        <v>80</v>
      </c>
      <c r="Y326" s="18">
        <v>92.156000000000006</v>
      </c>
      <c r="Z326" s="9">
        <v>297535</v>
      </c>
      <c r="AA326" s="9">
        <f>TABL12[[#This Row],[(RESV. STORGE) AJD]]/10</f>
        <v>29753.5</v>
      </c>
      <c r="AB326" s="3">
        <f t="shared" si="23"/>
        <v>59.250999999999998</v>
      </c>
      <c r="AC326" s="6">
        <v>1038</v>
      </c>
      <c r="AD326" s="5">
        <f>TABL12[[#This Row],[( S/S+T/B) AJD]]-(TABL12[[#This Row],[(A/B + A/S) AJD]]+(TABL12[[#This Row],[(STORGE DIFF.) AJD]])+TABL12[[#This Row],[البخر  AJD]]/1000)</f>
        <v>19.711000000000013</v>
      </c>
      <c r="AE326" s="6">
        <v>150</v>
      </c>
      <c r="AF326" s="33">
        <v>57.548999999999999</v>
      </c>
      <c r="AG326" s="6">
        <v>674763</v>
      </c>
      <c r="AH326" s="6">
        <f>TABL12[[#This Row],[ (RESV. STORGE) BER]]/10</f>
        <v>67476.3</v>
      </c>
      <c r="AI326" s="6">
        <v>3069</v>
      </c>
      <c r="AJ326" s="6">
        <f>TABL12[[#This Row],[(A/B TOT) AJD]]-TABL12[[#This Row],[BER_ IN]]</f>
        <v>433</v>
      </c>
      <c r="AK326" s="6">
        <v>0</v>
      </c>
      <c r="AL326" s="33">
        <v>42.544800000000002</v>
      </c>
      <c r="AM326" s="6">
        <v>2862780</v>
      </c>
      <c r="AN326" s="6">
        <f>TABL12[[#This Row],[ (RESV. STORGE) SER]]/10</f>
        <v>286278</v>
      </c>
      <c r="AO326" s="6">
        <v>1850</v>
      </c>
      <c r="AP326" s="32">
        <f>TABL12[[#This Row],[(A/S TOT) AJD]]-TABL12[[#This Row],[SER_ IN]]</f>
        <v>199</v>
      </c>
    </row>
    <row r="327" spans="1:42" ht="18.75" x14ac:dyDescent="0.25">
      <c r="A327" s="2">
        <v>45983</v>
      </c>
      <c r="B327" s="28">
        <v>38</v>
      </c>
      <c r="C327" s="28">
        <v>304</v>
      </c>
      <c r="D327" s="28">
        <v>38</v>
      </c>
      <c r="E327" s="28">
        <v>0</v>
      </c>
      <c r="F327" s="28">
        <v>98</v>
      </c>
      <c r="G327" s="28">
        <v>617</v>
      </c>
      <c r="H327" s="28">
        <v>5</v>
      </c>
      <c r="I327" s="28">
        <v>472</v>
      </c>
      <c r="J327" s="28">
        <v>457</v>
      </c>
      <c r="K327" s="28">
        <f>TABL12[[#This Row],[خط (T/B  TOT) SAR]]+TABL12[[#This Row],[خط (S/S  TOT) SAR2]]</f>
        <v>929</v>
      </c>
      <c r="L327" s="28">
        <v>312</v>
      </c>
      <c r="M327" s="29">
        <v>24.6</v>
      </c>
      <c r="N327" s="30">
        <v>7.39</v>
      </c>
      <c r="O327" s="40">
        <v>431</v>
      </c>
      <c r="P327" s="9">
        <f>TABL12[[#This Row],[خط (S/S  TOT) SAR2]]-TABL12[[#This Row],[(S/S TOT) AJD]]</f>
        <v>26</v>
      </c>
      <c r="Q327" s="9">
        <v>432</v>
      </c>
      <c r="R327" s="9">
        <f>TABL12[[#This Row],[خط (T/B  TOT) SAR]]-TABL12[[#This Row],[(T/B TOT) AJD]]</f>
        <v>40</v>
      </c>
      <c r="S327" s="9">
        <f>TABL12[[#This Row],[الفرق بين بداية ونهاية خط  S/S]]+TABL12[[#This Row],[الفرق بين بداية ونهاية خط  T/B]]</f>
        <v>66</v>
      </c>
      <c r="T327" s="9">
        <f t="shared" si="20"/>
        <v>863</v>
      </c>
      <c r="U327" s="9">
        <v>613</v>
      </c>
      <c r="V327" s="9">
        <v>209</v>
      </c>
      <c r="W327" s="9">
        <f t="shared" si="21"/>
        <v>822</v>
      </c>
      <c r="X327" s="9">
        <f t="shared" si="22"/>
        <v>41</v>
      </c>
      <c r="Y327" s="18">
        <v>92.18</v>
      </c>
      <c r="Z327" s="9">
        <v>306429</v>
      </c>
      <c r="AA327" s="9">
        <f>TABL12[[#This Row],[(RESV. STORGE) AJD]]/10</f>
        <v>30642.9</v>
      </c>
      <c r="AB327" s="3">
        <f t="shared" si="23"/>
        <v>8.8940000000000001</v>
      </c>
      <c r="AC327" s="6">
        <v>1070</v>
      </c>
      <c r="AD327" s="5">
        <f>TABL12[[#This Row],[( S/S+T/B) AJD]]-(TABL12[[#This Row],[(A/B + A/S) AJD]]+(TABL12[[#This Row],[(STORGE DIFF.) AJD]])+TABL12[[#This Row],[البخر  AJD]]/1000)</f>
        <v>31.035999999999945</v>
      </c>
      <c r="AE327" s="6">
        <v>150</v>
      </c>
      <c r="AF327" s="33">
        <v>57.539000000000001</v>
      </c>
      <c r="AG327" s="6">
        <v>668287</v>
      </c>
      <c r="AH327" s="6">
        <f>TABL12[[#This Row],[ (RESV. STORGE) BER]]/10</f>
        <v>66828.7</v>
      </c>
      <c r="AI327" s="6">
        <v>2420</v>
      </c>
      <c r="AJ327" s="6">
        <f>TABL12[[#This Row],[(A/B TOT) AJD]]-TABL12[[#This Row],[BER_ IN]]</f>
        <v>463</v>
      </c>
      <c r="AK327" s="6">
        <v>0</v>
      </c>
      <c r="AL327" s="33">
        <v>42.406999999999996</v>
      </c>
      <c r="AM327" s="6">
        <v>2788320</v>
      </c>
      <c r="AN327" s="6">
        <f>TABL12[[#This Row],[ (RESV. STORGE) SER]]/10</f>
        <v>278832</v>
      </c>
      <c r="AO327" s="6">
        <v>1860</v>
      </c>
      <c r="AP327" s="32">
        <f>TABL12[[#This Row],[(A/S TOT) AJD]]-TABL12[[#This Row],[SER_ IN]]</f>
        <v>209</v>
      </c>
    </row>
    <row r="328" spans="1:42" ht="18.75" x14ac:dyDescent="0.25">
      <c r="A328" s="2">
        <v>45984</v>
      </c>
      <c r="B328" s="28">
        <v>38</v>
      </c>
      <c r="C328" s="28">
        <v>297</v>
      </c>
      <c r="D328" s="28">
        <v>38</v>
      </c>
      <c r="E328" s="28">
        <v>0</v>
      </c>
      <c r="F328" s="28">
        <v>98</v>
      </c>
      <c r="G328" s="28">
        <v>619</v>
      </c>
      <c r="H328" s="28">
        <v>5</v>
      </c>
      <c r="I328" s="28">
        <v>472</v>
      </c>
      <c r="J328" s="28">
        <v>458</v>
      </c>
      <c r="K328" s="28">
        <f>TABL12[[#This Row],[خط (T/B  TOT) SAR]]+TABL12[[#This Row],[خط (S/S  TOT) SAR2]]</f>
        <v>930</v>
      </c>
      <c r="L328" s="28">
        <v>311</v>
      </c>
      <c r="M328" s="29">
        <v>24.6</v>
      </c>
      <c r="N328" s="30">
        <v>7.33</v>
      </c>
      <c r="O328" s="39">
        <v>431</v>
      </c>
      <c r="P328" s="9">
        <f>TABL12[[#This Row],[خط (S/S  TOT) SAR2]]-TABL12[[#This Row],[(S/S TOT) AJD]]</f>
        <v>27</v>
      </c>
      <c r="Q328" s="9">
        <v>430</v>
      </c>
      <c r="R328" s="9">
        <f>TABL12[[#This Row],[خط (T/B  TOT) SAR]]-TABL12[[#This Row],[(T/B TOT) AJD]]</f>
        <v>42</v>
      </c>
      <c r="S328" s="9">
        <f>TABL12[[#This Row],[الفرق بين بداية ونهاية خط  S/S]]+TABL12[[#This Row],[الفرق بين بداية ونهاية خط  T/B]]</f>
        <v>69</v>
      </c>
      <c r="T328" s="9">
        <f t="shared" si="20"/>
        <v>861</v>
      </c>
      <c r="U328" s="9">
        <v>595</v>
      </c>
      <c r="V328" s="9">
        <v>195</v>
      </c>
      <c r="W328" s="9">
        <f t="shared" si="21"/>
        <v>790</v>
      </c>
      <c r="X328" s="9">
        <f t="shared" si="22"/>
        <v>71</v>
      </c>
      <c r="Y328" s="18">
        <v>92.281999999999996</v>
      </c>
      <c r="Z328" s="9">
        <v>366961</v>
      </c>
      <c r="AA328" s="9">
        <f>TABL12[[#This Row],[(RESV. STORGE) AJD]]/10</f>
        <v>36696.1</v>
      </c>
      <c r="AB328" s="3">
        <f t="shared" si="23"/>
        <v>60.531999999999996</v>
      </c>
      <c r="AC328" s="6">
        <v>1122</v>
      </c>
      <c r="AD328" s="5">
        <f>TABL12[[#This Row],[( S/S+T/B) AJD]]-(TABL12[[#This Row],[(A/B + A/S) AJD]]+(TABL12[[#This Row],[(STORGE DIFF.) AJD]])+TABL12[[#This Row],[البخر  AJD]]/1000)</f>
        <v>9.3460000000000036</v>
      </c>
      <c r="AE328" s="6">
        <v>150</v>
      </c>
      <c r="AF328" s="33">
        <v>57.491999999999997</v>
      </c>
      <c r="AG328" s="6">
        <v>637857</v>
      </c>
      <c r="AH328" s="6">
        <f>TABL12[[#This Row],[ (RESV. STORGE) BER]]/10</f>
        <v>63785.7</v>
      </c>
      <c r="AI328" s="6">
        <v>2002</v>
      </c>
      <c r="AJ328" s="6">
        <f>TABL12[[#This Row],[(A/B TOT) AJD]]-TABL12[[#This Row],[BER_ IN]]</f>
        <v>445</v>
      </c>
      <c r="AK328" s="6">
        <v>0</v>
      </c>
      <c r="AL328" s="33">
        <v>42.269399999999997</v>
      </c>
      <c r="AM328" s="6">
        <v>2714720</v>
      </c>
      <c r="AN328" s="6">
        <f>TABL12[[#This Row],[ (RESV. STORGE) SER]]/10</f>
        <v>271472</v>
      </c>
      <c r="AO328" s="6">
        <v>1800</v>
      </c>
      <c r="AP328" s="32">
        <f>TABL12[[#This Row],[(A/S TOT) AJD]]-TABL12[[#This Row],[SER_ IN]]</f>
        <v>195</v>
      </c>
    </row>
    <row r="329" spans="1:42" ht="18.75" x14ac:dyDescent="0.25">
      <c r="A329" s="2">
        <v>45985</v>
      </c>
      <c r="B329" s="28">
        <v>39</v>
      </c>
      <c r="C329" s="28">
        <v>299</v>
      </c>
      <c r="D329" s="28">
        <v>39</v>
      </c>
      <c r="E329" s="28">
        <v>0</v>
      </c>
      <c r="F329" s="28">
        <v>98</v>
      </c>
      <c r="G329" s="28">
        <v>611</v>
      </c>
      <c r="H329" s="28">
        <v>5</v>
      </c>
      <c r="I329" s="28">
        <v>469</v>
      </c>
      <c r="J329" s="28">
        <v>456</v>
      </c>
      <c r="K329" s="28">
        <f>TABL12[[#This Row],[خط (T/B  TOT) SAR]]+TABL12[[#This Row],[خط (S/S  TOT) SAR2]]</f>
        <v>925</v>
      </c>
      <c r="L329" s="28">
        <v>314</v>
      </c>
      <c r="M329" s="29">
        <v>24.6</v>
      </c>
      <c r="N329" s="30">
        <v>7.28</v>
      </c>
      <c r="O329" s="40">
        <v>429</v>
      </c>
      <c r="P329" s="9">
        <f>TABL12[[#This Row],[خط (S/S  TOT) SAR2]]-TABL12[[#This Row],[(S/S TOT) AJD]]</f>
        <v>27</v>
      </c>
      <c r="Q329" s="9">
        <v>430</v>
      </c>
      <c r="R329" s="9">
        <f>TABL12[[#This Row],[خط (T/B  TOT) SAR]]-TABL12[[#This Row],[(T/B TOT) AJD]]</f>
        <v>39</v>
      </c>
      <c r="S329" s="9">
        <f>TABL12[[#This Row],[الفرق بين بداية ونهاية خط  S/S]]+TABL12[[#This Row],[الفرق بين بداية ونهاية خط  T/B]]</f>
        <v>66</v>
      </c>
      <c r="T329" s="9">
        <f t="shared" si="20"/>
        <v>859</v>
      </c>
      <c r="U329" s="9">
        <v>610</v>
      </c>
      <c r="V329" s="9">
        <v>204</v>
      </c>
      <c r="W329" s="9">
        <f t="shared" si="21"/>
        <v>814</v>
      </c>
      <c r="X329" s="9">
        <f t="shared" si="22"/>
        <v>45</v>
      </c>
      <c r="Y329" s="18">
        <v>92.334999999999994</v>
      </c>
      <c r="Z329" s="9">
        <v>396449</v>
      </c>
      <c r="AA329" s="9">
        <f>TABL12[[#This Row],[(RESV. STORGE) AJD]]/10</f>
        <v>39644.9</v>
      </c>
      <c r="AB329" s="3">
        <f t="shared" si="23"/>
        <v>29.488</v>
      </c>
      <c r="AC329" s="6">
        <v>1190</v>
      </c>
      <c r="AD329" s="5">
        <f>TABL12[[#This Row],[( S/S+T/B) AJD]]-(TABL12[[#This Row],[(A/B + A/S) AJD]]+(TABL12[[#This Row],[(STORGE DIFF.) AJD]])+TABL12[[#This Row],[البخر  AJD]]/1000)</f>
        <v>14.321999999999889</v>
      </c>
      <c r="AE329" s="6">
        <v>150</v>
      </c>
      <c r="AF329" s="33">
        <v>57.41</v>
      </c>
      <c r="AG329" s="6">
        <v>584814</v>
      </c>
      <c r="AH329" s="6">
        <f>TABL12[[#This Row],[ (RESV. STORGE) BER]]/10</f>
        <v>58481.4</v>
      </c>
      <c r="AI329" s="6">
        <v>2344</v>
      </c>
      <c r="AJ329" s="6">
        <f>TABL12[[#This Row],[(A/B TOT) AJD]]-TABL12[[#This Row],[BER_ IN]]</f>
        <v>460</v>
      </c>
      <c r="AK329" s="6">
        <v>15</v>
      </c>
      <c r="AL329" s="33">
        <v>42.231499999999997</v>
      </c>
      <c r="AM329" s="6">
        <v>2694890</v>
      </c>
      <c r="AN329" s="6">
        <f>TABL12[[#This Row],[ (RESV. STORGE) SER]]/10</f>
        <v>269489</v>
      </c>
      <c r="AO329" s="6">
        <v>1830</v>
      </c>
      <c r="AP329" s="32">
        <f>TABL12[[#This Row],[(A/S TOT) AJD]]-TABL12[[#This Row],[SER_ IN]]</f>
        <v>189</v>
      </c>
    </row>
    <row r="330" spans="1:42" ht="18.75" x14ac:dyDescent="0.25">
      <c r="A330" s="2">
        <v>45986</v>
      </c>
      <c r="B330" s="28">
        <v>39</v>
      </c>
      <c r="C330" s="28">
        <v>319</v>
      </c>
      <c r="D330" s="28">
        <v>39</v>
      </c>
      <c r="E330" s="28">
        <v>0</v>
      </c>
      <c r="F330" s="28">
        <v>98</v>
      </c>
      <c r="G330" s="28">
        <v>622</v>
      </c>
      <c r="H330" s="28">
        <v>5</v>
      </c>
      <c r="I330" s="28">
        <v>474</v>
      </c>
      <c r="J330" s="28">
        <v>460</v>
      </c>
      <c r="K330" s="28">
        <f>TABL12[[#This Row],[خط (T/B  TOT) SAR]]+TABL12[[#This Row],[خط (S/S  TOT) SAR2]]</f>
        <v>934</v>
      </c>
      <c r="L330" s="28">
        <v>312</v>
      </c>
      <c r="M330" s="29">
        <v>24.6</v>
      </c>
      <c r="N330" s="30">
        <v>7.3</v>
      </c>
      <c r="O330" s="39">
        <v>430</v>
      </c>
      <c r="P330" s="9">
        <f>TABL12[[#This Row],[خط (S/S  TOT) SAR2]]-TABL12[[#This Row],[(S/S TOT) AJD]]</f>
        <v>30</v>
      </c>
      <c r="Q330" s="9">
        <v>429</v>
      </c>
      <c r="R330" s="9">
        <f>TABL12[[#This Row],[خط (T/B  TOT) SAR]]-TABL12[[#This Row],[(T/B TOT) AJD]]</f>
        <v>45</v>
      </c>
      <c r="S330" s="9">
        <f>TABL12[[#This Row],[الفرق بين بداية ونهاية خط  S/S]]+TABL12[[#This Row],[الفرق بين بداية ونهاية خط  T/B]]</f>
        <v>75</v>
      </c>
      <c r="T330" s="9">
        <f t="shared" si="20"/>
        <v>859</v>
      </c>
      <c r="U330" s="9">
        <v>611</v>
      </c>
      <c r="V330" s="9">
        <v>202</v>
      </c>
      <c r="W330" s="9">
        <f t="shared" si="21"/>
        <v>813</v>
      </c>
      <c r="X330" s="9">
        <f t="shared" si="22"/>
        <v>46</v>
      </c>
      <c r="Y330" s="18">
        <v>92.34</v>
      </c>
      <c r="Z330" s="9">
        <v>402612</v>
      </c>
      <c r="AA330" s="9">
        <f>TABL12[[#This Row],[(RESV. STORGE) AJD]]/10</f>
        <v>40261.199999999997</v>
      </c>
      <c r="AB330" s="3">
        <f t="shared" si="23"/>
        <v>6.1630000000000003</v>
      </c>
      <c r="AC330" s="6">
        <v>1107</v>
      </c>
      <c r="AD330" s="5">
        <f>TABL12[[#This Row],[( S/S+T/B) AJD]]-(TABL12[[#This Row],[(A/B + A/S) AJD]]+(TABL12[[#This Row],[(STORGE DIFF.) AJD]])+TABL12[[#This Row],[البخر  AJD]]/1000)</f>
        <v>38.730000000000018</v>
      </c>
      <c r="AE330" s="6">
        <v>150</v>
      </c>
      <c r="AF330" s="33">
        <v>57.35</v>
      </c>
      <c r="AG330" s="6">
        <v>546306</v>
      </c>
      <c r="AH330" s="6">
        <f>TABL12[[#This Row],[ (RESV. STORGE) BER]]/10</f>
        <v>54630.6</v>
      </c>
      <c r="AI330" s="6">
        <v>2396</v>
      </c>
      <c r="AJ330" s="6">
        <f>TABL12[[#This Row],[(A/B TOT) AJD]]-TABL12[[#This Row],[BER_ IN]]</f>
        <v>461</v>
      </c>
      <c r="AK330" s="6">
        <v>20</v>
      </c>
      <c r="AL330" s="33">
        <v>42.238700000000001</v>
      </c>
      <c r="AM330" s="6">
        <v>2698620</v>
      </c>
      <c r="AN330" s="6">
        <f>TABL12[[#This Row],[ (RESV. STORGE) SER]]/10</f>
        <v>269862</v>
      </c>
      <c r="AO330" s="6">
        <v>1870</v>
      </c>
      <c r="AP330" s="32">
        <f>TABL12[[#This Row],[(A/S TOT) AJD]]-TABL12[[#This Row],[SER_ IN]]</f>
        <v>182</v>
      </c>
    </row>
    <row r="331" spans="1:42" ht="18.75" x14ac:dyDescent="0.25">
      <c r="A331" s="2">
        <v>45987</v>
      </c>
      <c r="B331" s="28">
        <v>39</v>
      </c>
      <c r="C331" s="28">
        <v>330</v>
      </c>
      <c r="D331" s="28">
        <v>39</v>
      </c>
      <c r="E331" s="28">
        <v>0</v>
      </c>
      <c r="F331" s="28">
        <v>99</v>
      </c>
      <c r="G331" s="28">
        <v>640</v>
      </c>
      <c r="H331" s="28">
        <v>4</v>
      </c>
      <c r="I331" s="28">
        <v>484</v>
      </c>
      <c r="J331" s="28">
        <v>469</v>
      </c>
      <c r="K331" s="28">
        <f>TABL12[[#This Row],[خط (T/B  TOT) SAR]]+TABL12[[#This Row],[خط (S/S  TOT) SAR2]]</f>
        <v>953</v>
      </c>
      <c r="L331" s="28">
        <v>313</v>
      </c>
      <c r="M331" s="29">
        <v>24.6</v>
      </c>
      <c r="N331" s="30">
        <v>7.34</v>
      </c>
      <c r="O331" s="40">
        <v>433</v>
      </c>
      <c r="P331" s="9">
        <f>TABL12[[#This Row],[خط (S/S  TOT) SAR2]]-TABL12[[#This Row],[(S/S TOT) AJD]]</f>
        <v>36</v>
      </c>
      <c r="Q331" s="9">
        <v>434</v>
      </c>
      <c r="R331" s="9">
        <f>TABL12[[#This Row],[خط (T/B  TOT) SAR]]-TABL12[[#This Row],[(T/B TOT) AJD]]</f>
        <v>50</v>
      </c>
      <c r="S331" s="9">
        <f>TABL12[[#This Row],[الفرق بين بداية ونهاية خط  S/S]]+TABL12[[#This Row],[الفرق بين بداية ونهاية خط  T/B]]</f>
        <v>86</v>
      </c>
      <c r="T331" s="9">
        <f t="shared" si="20"/>
        <v>867</v>
      </c>
      <c r="U331" s="9">
        <v>614</v>
      </c>
      <c r="V331" s="9">
        <v>205</v>
      </c>
      <c r="W331" s="9">
        <f t="shared" si="21"/>
        <v>819</v>
      </c>
      <c r="X331" s="9">
        <f t="shared" si="22"/>
        <v>48</v>
      </c>
      <c r="Y331" s="18">
        <v>92.393000000000001</v>
      </c>
      <c r="Z331" s="9">
        <v>432933</v>
      </c>
      <c r="AA331" s="9">
        <f>TABL12[[#This Row],[(RESV. STORGE) AJD]]/10</f>
        <v>43293.3</v>
      </c>
      <c r="AB331" s="3">
        <f t="shared" si="23"/>
        <v>30.321000000000002</v>
      </c>
      <c r="AC331" s="6">
        <v>1116</v>
      </c>
      <c r="AD331" s="5">
        <f>TABL12[[#This Row],[( S/S+T/B) AJD]]-(TABL12[[#This Row],[(A/B + A/S) AJD]]+(TABL12[[#This Row],[(STORGE DIFF.) AJD]])+TABL12[[#This Row],[البخر  AJD]]/1000)</f>
        <v>16.562999999999988</v>
      </c>
      <c r="AE331" s="6">
        <v>150</v>
      </c>
      <c r="AF331" s="33">
        <v>57.35</v>
      </c>
      <c r="AG331" s="6">
        <v>546036</v>
      </c>
      <c r="AH331" s="6">
        <f>TABL12[[#This Row],[ (RESV. STORGE) BER]]/10</f>
        <v>54603.6</v>
      </c>
      <c r="AI331" s="6">
        <v>1376</v>
      </c>
      <c r="AJ331" s="6">
        <f>TABL12[[#This Row],[(A/B TOT) AJD]]-TABL12[[#This Row],[BER_ IN]]</f>
        <v>464</v>
      </c>
      <c r="AK331" s="6">
        <v>20</v>
      </c>
      <c r="AL331" s="33">
        <v>42.2348</v>
      </c>
      <c r="AM331" s="6">
        <v>2696500</v>
      </c>
      <c r="AN331" s="6">
        <f>TABL12[[#This Row],[ (RESV. STORGE) SER]]/10</f>
        <v>269650</v>
      </c>
      <c r="AO331" s="6">
        <v>1820</v>
      </c>
      <c r="AP331" s="32">
        <f>TABL12[[#This Row],[(A/S TOT) AJD]]-TABL12[[#This Row],[SER_ IN]]</f>
        <v>185</v>
      </c>
    </row>
    <row r="332" spans="1:42" ht="18.75" x14ac:dyDescent="0.25">
      <c r="A332" s="2">
        <v>45988</v>
      </c>
      <c r="B332" s="28">
        <v>39</v>
      </c>
      <c r="C332" s="28">
        <v>310</v>
      </c>
      <c r="D332" s="28">
        <v>39</v>
      </c>
      <c r="E332" s="28">
        <v>0</v>
      </c>
      <c r="F332" s="28">
        <v>99</v>
      </c>
      <c r="G332" s="28">
        <v>622</v>
      </c>
      <c r="H332" s="28">
        <v>4</v>
      </c>
      <c r="I332" s="28">
        <v>474</v>
      </c>
      <c r="J332" s="28">
        <v>460</v>
      </c>
      <c r="K332" s="28">
        <f>TABL12[[#This Row],[خط (T/B  TOT) SAR]]+TABL12[[#This Row],[خط (S/S  TOT) SAR2]]</f>
        <v>934</v>
      </c>
      <c r="L332" s="28">
        <v>312</v>
      </c>
      <c r="M332" s="29">
        <v>24.6</v>
      </c>
      <c r="N332" s="30">
        <v>7.35</v>
      </c>
      <c r="O332" s="39">
        <v>436</v>
      </c>
      <c r="P332" s="9">
        <f>TABL12[[#This Row],[خط (S/S  TOT) SAR2]]-TABL12[[#This Row],[(S/S TOT) AJD]]</f>
        <v>24</v>
      </c>
      <c r="Q332" s="9">
        <v>438</v>
      </c>
      <c r="R332" s="9">
        <f>TABL12[[#This Row],[خط (T/B  TOT) SAR]]-TABL12[[#This Row],[(T/B TOT) AJD]]</f>
        <v>36</v>
      </c>
      <c r="S332" s="9">
        <f>TABL12[[#This Row],[الفرق بين بداية ونهاية خط  S/S]]+TABL12[[#This Row],[الفرق بين بداية ونهاية خط  T/B]]</f>
        <v>60</v>
      </c>
      <c r="T332" s="9">
        <f t="shared" si="20"/>
        <v>874</v>
      </c>
      <c r="U332" s="9">
        <v>610</v>
      </c>
      <c r="V332" s="9">
        <v>239</v>
      </c>
      <c r="W332" s="9">
        <f t="shared" si="21"/>
        <v>849</v>
      </c>
      <c r="X332" s="9">
        <f t="shared" si="22"/>
        <v>25</v>
      </c>
      <c r="Y332" s="18">
        <v>92.417000000000002</v>
      </c>
      <c r="Z332" s="9">
        <v>447212</v>
      </c>
      <c r="AA332" s="9">
        <f>TABL12[[#This Row],[(RESV. STORGE) AJD]]/10</f>
        <v>44721.2</v>
      </c>
      <c r="AB332" s="3">
        <f t="shared" si="23"/>
        <v>14.279</v>
      </c>
      <c r="AC332" s="6">
        <v>1041</v>
      </c>
      <c r="AD332" s="5">
        <f>TABL12[[#This Row],[( S/S+T/B) AJD]]-(TABL12[[#This Row],[(A/B + A/S) AJD]]+(TABL12[[#This Row],[(STORGE DIFF.) AJD]])+TABL12[[#This Row],[البخر  AJD]]/1000)</f>
        <v>9.67999999999995</v>
      </c>
      <c r="AE332" s="6">
        <v>150</v>
      </c>
      <c r="AF332" s="33">
        <v>57.287999999999997</v>
      </c>
      <c r="AG332" s="6">
        <v>505999</v>
      </c>
      <c r="AH332" s="6">
        <f>TABL12[[#This Row],[ (RESV. STORGE) BER]]/10</f>
        <v>50599.9</v>
      </c>
      <c r="AI332" s="6">
        <v>1291</v>
      </c>
      <c r="AJ332" s="6">
        <f>TABL12[[#This Row],[(A/B TOT) AJD]]-TABL12[[#This Row],[BER_ IN]]</f>
        <v>460</v>
      </c>
      <c r="AK332" s="6">
        <v>20</v>
      </c>
      <c r="AL332" s="33">
        <v>42.232100000000003</v>
      </c>
      <c r="AM332" s="6">
        <v>2694890</v>
      </c>
      <c r="AN332" s="6">
        <f>TABL12[[#This Row],[ (RESV. STORGE) SER]]/10</f>
        <v>269489</v>
      </c>
      <c r="AO332" s="6">
        <v>1810</v>
      </c>
      <c r="AP332" s="32">
        <f>TABL12[[#This Row],[(A/S TOT) AJD]]-TABL12[[#This Row],[SER_ IN]]</f>
        <v>219</v>
      </c>
    </row>
    <row r="333" spans="1:42" ht="18.75" x14ac:dyDescent="0.25">
      <c r="A333" s="2">
        <v>45989</v>
      </c>
      <c r="B333" s="28">
        <v>39</v>
      </c>
      <c r="C333" s="28">
        <v>307</v>
      </c>
      <c r="D333" s="28">
        <v>39</v>
      </c>
      <c r="E333" s="28">
        <v>0</v>
      </c>
      <c r="F333" s="28">
        <v>99</v>
      </c>
      <c r="G333" s="28">
        <v>618</v>
      </c>
      <c r="H333" s="28">
        <v>4</v>
      </c>
      <c r="I333" s="28">
        <v>472</v>
      </c>
      <c r="J333" s="28">
        <v>458</v>
      </c>
      <c r="K333" s="28">
        <f>TABL12[[#This Row],[خط (T/B  TOT) SAR]]+TABL12[[#This Row],[خط (S/S  TOT) SAR2]]</f>
        <v>930</v>
      </c>
      <c r="L333" s="28">
        <v>312</v>
      </c>
      <c r="M333" s="29">
        <v>24.6</v>
      </c>
      <c r="N333" s="30">
        <v>7.38</v>
      </c>
      <c r="O333" s="40">
        <v>435</v>
      </c>
      <c r="P333" s="9">
        <f>TABL12[[#This Row],[خط (S/S  TOT) SAR2]]-TABL12[[#This Row],[(S/S TOT) AJD]]</f>
        <v>23</v>
      </c>
      <c r="Q333" s="9">
        <v>419</v>
      </c>
      <c r="R333" s="9">
        <f>TABL12[[#This Row],[خط (T/B  TOT) SAR]]-TABL12[[#This Row],[(T/B TOT) AJD]]</f>
        <v>53</v>
      </c>
      <c r="S333" s="9">
        <f>TABL12[[#This Row],[الفرق بين بداية ونهاية خط  S/S]]+TABL12[[#This Row],[الفرق بين بداية ونهاية خط  T/B]]</f>
        <v>76</v>
      </c>
      <c r="T333" s="9">
        <f t="shared" si="20"/>
        <v>854</v>
      </c>
      <c r="U333" s="9">
        <v>615</v>
      </c>
      <c r="V333" s="9">
        <v>268</v>
      </c>
      <c r="W333" s="9">
        <f t="shared" si="21"/>
        <v>883</v>
      </c>
      <c r="X333" s="9">
        <f t="shared" si="22"/>
        <v>-29</v>
      </c>
      <c r="Y333" s="18">
        <v>92.322999999999993</v>
      </c>
      <c r="Z333" s="9">
        <v>392505</v>
      </c>
      <c r="AA333" s="9">
        <f>TABL12[[#This Row],[(RESV. STORGE) AJD]]/10</f>
        <v>39250.5</v>
      </c>
      <c r="AB333" s="3">
        <f t="shared" si="23"/>
        <v>-54.707000000000001</v>
      </c>
      <c r="AC333" s="6">
        <v>1081</v>
      </c>
      <c r="AD333" s="5">
        <f>TABL12[[#This Row],[( S/S+T/B) AJD]]-(TABL12[[#This Row],[(A/B + A/S) AJD]]+(TABL12[[#This Row],[(STORGE DIFF.) AJD]])+TABL12[[#This Row],[البخر  AJD]]/1000)</f>
        <v>24.625999999999976</v>
      </c>
      <c r="AE333" s="6">
        <v>150</v>
      </c>
      <c r="AF333" s="33">
        <v>57.27</v>
      </c>
      <c r="AG333" s="6">
        <v>494381</v>
      </c>
      <c r="AH333" s="6">
        <f>TABL12[[#This Row],[ (RESV. STORGE) BER]]/10</f>
        <v>49438.1</v>
      </c>
      <c r="AI333" s="6">
        <v>1517</v>
      </c>
      <c r="AJ333" s="6">
        <f>TABL12[[#This Row],[(A/B TOT) AJD]]-TABL12[[#This Row],[BER_ IN]]</f>
        <v>465</v>
      </c>
      <c r="AK333" s="6">
        <v>20</v>
      </c>
      <c r="AL333" s="33">
        <v>42.230800000000002</v>
      </c>
      <c r="AM333" s="6">
        <v>2694380</v>
      </c>
      <c r="AN333" s="6">
        <f>TABL12[[#This Row],[ (RESV. STORGE) SER]]/10</f>
        <v>269438</v>
      </c>
      <c r="AO333" s="6">
        <v>1810</v>
      </c>
      <c r="AP333" s="32">
        <f>TABL12[[#This Row],[(A/S TOT) AJD]]-TABL12[[#This Row],[SER_ IN]]</f>
        <v>248</v>
      </c>
    </row>
    <row r="334" spans="1:42" ht="18.75" x14ac:dyDescent="0.25">
      <c r="A334" s="2">
        <v>45990</v>
      </c>
      <c r="B334" s="28">
        <v>38</v>
      </c>
      <c r="C334" s="28">
        <v>316</v>
      </c>
      <c r="D334" s="28">
        <v>38</v>
      </c>
      <c r="E334" s="28">
        <v>0</v>
      </c>
      <c r="F334" s="28">
        <v>99</v>
      </c>
      <c r="G334" s="28">
        <v>616</v>
      </c>
      <c r="H334" s="28">
        <v>4</v>
      </c>
      <c r="I334" s="28">
        <v>472</v>
      </c>
      <c r="J334" s="28">
        <v>458</v>
      </c>
      <c r="K334" s="28">
        <f>TABL12[[#This Row],[خط (T/B  TOT) SAR]]+TABL12[[#This Row],[خط (S/S  TOT) SAR2]]</f>
        <v>930</v>
      </c>
      <c r="L334" s="28">
        <v>314</v>
      </c>
      <c r="M334" s="29">
        <v>24.6</v>
      </c>
      <c r="N334" s="30">
        <v>7.37</v>
      </c>
      <c r="O334" s="39">
        <v>431</v>
      </c>
      <c r="P334" s="9">
        <f>TABL12[[#This Row],[خط (S/S  TOT) SAR2]]-TABL12[[#This Row],[(S/S TOT) AJD]]</f>
        <v>27</v>
      </c>
      <c r="Q334" s="9">
        <v>430</v>
      </c>
      <c r="R334" s="9">
        <f>TABL12[[#This Row],[خط (T/B  TOT) SAR]]-TABL12[[#This Row],[(T/B TOT) AJD]]</f>
        <v>42</v>
      </c>
      <c r="S334" s="9">
        <f>TABL12[[#This Row],[الفرق بين بداية ونهاية خط  S/S]]+TABL12[[#This Row],[الفرق بين بداية ونهاية خط  T/B]]</f>
        <v>69</v>
      </c>
      <c r="T334" s="9">
        <f t="shared" si="20"/>
        <v>861</v>
      </c>
      <c r="U334" s="9">
        <v>605</v>
      </c>
      <c r="V334" s="9">
        <v>287</v>
      </c>
      <c r="W334" s="9">
        <f t="shared" si="21"/>
        <v>892</v>
      </c>
      <c r="X334" s="9">
        <f t="shared" si="22"/>
        <v>-31</v>
      </c>
      <c r="Y334" s="18">
        <v>92.25</v>
      </c>
      <c r="Z334" s="9">
        <v>346186</v>
      </c>
      <c r="AA334" s="9">
        <f>TABL12[[#This Row],[(RESV. STORGE) AJD]]/10</f>
        <v>34618.6</v>
      </c>
      <c r="AB334" s="3">
        <f t="shared" si="23"/>
        <v>-46.319000000000003</v>
      </c>
      <c r="AC334" s="6">
        <v>939</v>
      </c>
      <c r="AD334" s="5">
        <f>TABL12[[#This Row],[( S/S+T/B) AJD]]-(TABL12[[#This Row],[(A/B + A/S) AJD]]+(TABL12[[#This Row],[(STORGE DIFF.) AJD]])+TABL12[[#This Row],[البخر  AJD]]/1000)</f>
        <v>14.379999999999995</v>
      </c>
      <c r="AE334" s="6">
        <v>150</v>
      </c>
      <c r="AF334" s="33">
        <v>57.223999999999997</v>
      </c>
      <c r="AG334" s="6">
        <v>464705</v>
      </c>
      <c r="AH334" s="6">
        <f>TABL12[[#This Row],[ (RESV. STORGE) BER]]/10</f>
        <v>46470.5</v>
      </c>
      <c r="AI334" s="6">
        <v>1200</v>
      </c>
      <c r="AJ334" s="6">
        <f>TABL12[[#This Row],[(A/B TOT) AJD]]-TABL12[[#This Row],[BER_ IN]]</f>
        <v>455</v>
      </c>
      <c r="AK334" s="6">
        <v>20</v>
      </c>
      <c r="AL334" s="33">
        <v>42.231499999999997</v>
      </c>
      <c r="AM334" s="6">
        <v>2694890</v>
      </c>
      <c r="AN334" s="6">
        <f>TABL12[[#This Row],[ (RESV. STORGE) SER]]/10</f>
        <v>269489</v>
      </c>
      <c r="AO334" s="6">
        <v>1890</v>
      </c>
      <c r="AP334" s="32">
        <f>TABL12[[#This Row],[(A/S TOT) AJD]]-TABL12[[#This Row],[SER_ IN]]</f>
        <v>267</v>
      </c>
    </row>
    <row r="335" spans="1:42" ht="18.75" x14ac:dyDescent="0.25">
      <c r="A335" s="2">
        <v>45991</v>
      </c>
      <c r="B335" s="28">
        <v>39</v>
      </c>
      <c r="C335" s="28">
        <v>311</v>
      </c>
      <c r="D335" s="28">
        <v>39</v>
      </c>
      <c r="E335" s="28">
        <v>0</v>
      </c>
      <c r="F335" s="28">
        <v>99</v>
      </c>
      <c r="G335" s="28">
        <v>613</v>
      </c>
      <c r="H335" s="28">
        <v>4</v>
      </c>
      <c r="I335" s="28">
        <v>471</v>
      </c>
      <c r="J335" s="28">
        <v>457</v>
      </c>
      <c r="K335" s="28">
        <f>TABL12[[#This Row],[خط (T/B  TOT) SAR]]+TABL12[[#This Row],[خط (S/S  TOT) SAR2]]</f>
        <v>928</v>
      </c>
      <c r="L335" s="28">
        <v>315</v>
      </c>
      <c r="M335" s="29">
        <v>24.7</v>
      </c>
      <c r="N335" s="30">
        <v>7.42</v>
      </c>
      <c r="O335" s="40">
        <v>430</v>
      </c>
      <c r="P335" s="9">
        <f>TABL12[[#This Row],[خط (S/S  TOT) SAR2]]-TABL12[[#This Row],[(S/S TOT) AJD]]</f>
        <v>27</v>
      </c>
      <c r="Q335" s="9">
        <v>430</v>
      </c>
      <c r="R335" s="9">
        <f>TABL12[[#This Row],[خط (T/B  TOT) SAR]]-TABL12[[#This Row],[(T/B TOT) AJD]]</f>
        <v>41</v>
      </c>
      <c r="S335" s="9">
        <f>TABL12[[#This Row],[الفرق بين بداية ونهاية خط  S/S]]+TABL12[[#This Row],[الفرق بين بداية ونهاية خط  T/B]]</f>
        <v>68</v>
      </c>
      <c r="T335" s="9">
        <f t="shared" si="20"/>
        <v>860</v>
      </c>
      <c r="U335" s="9">
        <v>603</v>
      </c>
      <c r="V335" s="9">
        <v>247</v>
      </c>
      <c r="W335" s="9">
        <f t="shared" si="21"/>
        <v>850</v>
      </c>
      <c r="X335" s="9">
        <f t="shared" si="22"/>
        <v>10</v>
      </c>
      <c r="Y335" s="18">
        <v>92.254999999999995</v>
      </c>
      <c r="Z335" s="9">
        <v>350929</v>
      </c>
      <c r="AA335" s="9">
        <f>TABL12[[#This Row],[(RESV. STORGE) AJD]]/10</f>
        <v>35092.9</v>
      </c>
      <c r="AB335" s="3">
        <f t="shared" si="23"/>
        <v>4.7430000000000003</v>
      </c>
      <c r="AC335" s="6">
        <v>1043</v>
      </c>
      <c r="AD335" s="5">
        <f>TABL12[[#This Row],[( S/S+T/B) AJD]]-(TABL12[[#This Row],[(A/B + A/S) AJD]]+(TABL12[[#This Row],[(STORGE DIFF.) AJD]])+TABL12[[#This Row],[البخر  AJD]]/1000)</f>
        <v>4.2139999999999418</v>
      </c>
      <c r="AE335" s="6">
        <v>150</v>
      </c>
      <c r="AF335" s="33">
        <v>57.210999999999999</v>
      </c>
      <c r="AG335" s="6">
        <v>456321</v>
      </c>
      <c r="AH335" s="6">
        <f>TABL12[[#This Row],[ (RESV. STORGE) BER]]/10</f>
        <v>45632.1</v>
      </c>
      <c r="AI335" s="6">
        <v>1430</v>
      </c>
      <c r="AJ335" s="6">
        <f>TABL12[[#This Row],[(A/B TOT) AJD]]-TABL12[[#This Row],[BER_ IN]]</f>
        <v>453</v>
      </c>
      <c r="AK335" s="6">
        <v>20</v>
      </c>
      <c r="AL335" s="33">
        <v>42.231499999999997</v>
      </c>
      <c r="AM335" s="6">
        <v>2694890</v>
      </c>
      <c r="AN335" s="6">
        <f>TABL12[[#This Row],[ (RESV. STORGE) SER]]/10</f>
        <v>269489</v>
      </c>
      <c r="AO335" s="6">
        <v>1850</v>
      </c>
      <c r="AP335" s="32">
        <f>TABL12[[#This Row],[(A/S TOT) AJD]]-TABL12[[#This Row],[SER_ IN]]</f>
        <v>227</v>
      </c>
    </row>
    <row r="336" spans="1:42" ht="18.75" x14ac:dyDescent="0.25">
      <c r="A336" s="2">
        <v>45992</v>
      </c>
      <c r="B336" s="41">
        <v>39</v>
      </c>
      <c r="C336" s="41">
        <v>300</v>
      </c>
      <c r="D336" s="41">
        <v>39</v>
      </c>
      <c r="E336" s="41">
        <v>0</v>
      </c>
      <c r="F336" s="41">
        <v>99</v>
      </c>
      <c r="G336" s="39">
        <v>610</v>
      </c>
      <c r="H336" s="41">
        <f>103-F336</f>
        <v>4</v>
      </c>
      <c r="I336" s="39">
        <v>470</v>
      </c>
      <c r="J336" s="39">
        <v>453</v>
      </c>
      <c r="K336" s="28">
        <f>TABL12[[#This Row],[خط (T/B  TOT) SAR]]+TABL12[[#This Row],[خط (S/S  TOT) SAR2]]</f>
        <v>923</v>
      </c>
      <c r="L336" s="41">
        <v>313</v>
      </c>
      <c r="M336" s="42">
        <v>24.7</v>
      </c>
      <c r="N336" s="42">
        <v>7.37</v>
      </c>
      <c r="O336" s="39">
        <v>432</v>
      </c>
      <c r="P336" s="9">
        <f>TABL12[[#This Row],[خط (S/S  TOT) SAR2]]-TABL12[[#This Row],[(S/S TOT) AJD]]</f>
        <v>21</v>
      </c>
      <c r="Q336" s="39">
        <v>423</v>
      </c>
      <c r="R336" s="9">
        <f>TABL12[[#This Row],[خط (T/B  TOT) SAR]]-TABL12[[#This Row],[(T/B TOT) AJD]]</f>
        <v>47</v>
      </c>
      <c r="S336" s="9">
        <f>TABL12[[#This Row],[الفرق بين بداية ونهاية خط  S/S]]+TABL12[[#This Row],[الفرق بين بداية ونهاية خط  T/B]]</f>
        <v>68</v>
      </c>
      <c r="T336" s="9">
        <f t="shared" si="20"/>
        <v>855</v>
      </c>
      <c r="U336" s="41">
        <v>525</v>
      </c>
      <c r="V336" s="41">
        <v>89</v>
      </c>
      <c r="W336" s="9">
        <f t="shared" si="21"/>
        <v>614</v>
      </c>
      <c r="X336" s="9">
        <f t="shared" si="22"/>
        <v>241</v>
      </c>
      <c r="Y336" s="41">
        <v>92.224999999999994</v>
      </c>
      <c r="Z336" s="43">
        <v>333123</v>
      </c>
      <c r="AA336" s="9">
        <f>TABL12[[#This Row],[(RESV. STORGE) AJD]]/10</f>
        <v>33312.300000000003</v>
      </c>
      <c r="AB336" s="3">
        <f t="shared" si="23"/>
        <v>-17.806000000000001</v>
      </c>
      <c r="AC336" s="43">
        <v>0</v>
      </c>
      <c r="AD336" s="5">
        <f>TABL12[[#This Row],[( S/S+T/B) AJD]]-(TABL12[[#This Row],[(A/B + A/S) AJD]]+(TABL12[[#This Row],[(STORGE DIFF.) AJD]])+TABL12[[#This Row],[البخر  AJD]]/1000)</f>
        <v>258.80600000000004</v>
      </c>
      <c r="AE336" s="39">
        <v>150</v>
      </c>
      <c r="AF336" s="41">
        <v>57.06</v>
      </c>
      <c r="AG336" s="43">
        <v>359049</v>
      </c>
      <c r="AH336" s="43">
        <f>TABL12[[#This Row],[ (RESV. STORGE) BER]]/10</f>
        <v>35904.9</v>
      </c>
      <c r="AI336" s="43">
        <v>1802</v>
      </c>
      <c r="AJ336" s="6">
        <f>TABL12[[#This Row],[(A/B TOT) AJD]]-TABL12[[#This Row],[BER_ IN]]</f>
        <v>375</v>
      </c>
      <c r="AK336" s="41">
        <v>20</v>
      </c>
      <c r="AL336" s="41">
        <v>42.231499999999997</v>
      </c>
      <c r="AM336" s="43">
        <v>2694890</v>
      </c>
      <c r="AN336" s="43">
        <f>TABL12[[#This Row],[ (RESV. STORGE) SER]]/10</f>
        <v>269489</v>
      </c>
      <c r="AO336" s="43">
        <v>1860</v>
      </c>
      <c r="AP336" s="32">
        <f>TABL12[[#This Row],[(A/S TOT) AJD]]-TABL12[[#This Row],[SER_ IN]]</f>
        <v>69</v>
      </c>
    </row>
    <row r="337" spans="1:42" ht="18.75" x14ac:dyDescent="0.25">
      <c r="A337" s="2">
        <v>45993</v>
      </c>
      <c r="B337" s="44">
        <v>41</v>
      </c>
      <c r="C337" s="44">
        <v>320</v>
      </c>
      <c r="D337" s="44">
        <v>41</v>
      </c>
      <c r="E337" s="44">
        <v>0</v>
      </c>
      <c r="F337" s="44">
        <v>99</v>
      </c>
      <c r="G337" s="40">
        <v>608</v>
      </c>
      <c r="H337" s="44">
        <f t="shared" ref="H337:H366" si="24">103-F337</f>
        <v>4</v>
      </c>
      <c r="I337" s="40">
        <v>469</v>
      </c>
      <c r="J337" s="44">
        <v>453</v>
      </c>
      <c r="K337" s="28">
        <f>TABL12[[#This Row],[خط (T/B  TOT) SAR]]+TABL12[[#This Row],[خط (S/S  TOT) SAR2]]</f>
        <v>922</v>
      </c>
      <c r="L337" s="45">
        <v>314</v>
      </c>
      <c r="M337" s="46">
        <v>24.7</v>
      </c>
      <c r="N337" s="46">
        <v>7.39</v>
      </c>
      <c r="O337" s="40">
        <v>426</v>
      </c>
      <c r="P337" s="9">
        <f>TABL12[[#This Row],[خط (S/S  TOT) SAR2]]-TABL12[[#This Row],[(S/S TOT) AJD]]</f>
        <v>27</v>
      </c>
      <c r="Q337" s="40">
        <v>424</v>
      </c>
      <c r="R337" s="9">
        <f>TABL12[[#This Row],[خط (T/B  TOT) SAR]]-TABL12[[#This Row],[(T/B TOT) AJD]]</f>
        <v>45</v>
      </c>
      <c r="S337" s="9">
        <f>TABL12[[#This Row],[الفرق بين بداية ونهاية خط  S/S]]+TABL12[[#This Row],[الفرق بين بداية ونهاية خط  T/B]]</f>
        <v>72</v>
      </c>
      <c r="T337" s="9">
        <f t="shared" si="20"/>
        <v>850</v>
      </c>
      <c r="U337" s="44">
        <v>601</v>
      </c>
      <c r="V337" s="44">
        <v>234</v>
      </c>
      <c r="W337" s="9">
        <f t="shared" si="21"/>
        <v>835</v>
      </c>
      <c r="X337" s="9">
        <f t="shared" si="22"/>
        <v>15</v>
      </c>
      <c r="Y337" s="44">
        <v>92.204999999999998</v>
      </c>
      <c r="Z337" s="45">
        <v>321262</v>
      </c>
      <c r="AA337" s="9">
        <f>TABL12[[#This Row],[(RESV. STORGE) AJD]]/10</f>
        <v>32126.2</v>
      </c>
      <c r="AB337" s="3">
        <f t="shared" si="23"/>
        <v>-11.861000000000001</v>
      </c>
      <c r="AC337" s="45">
        <v>0</v>
      </c>
      <c r="AD337" s="5">
        <f>TABL12[[#This Row],[( S/S+T/B) AJD]]-(TABL12[[#This Row],[(A/B + A/S) AJD]]+(TABL12[[#This Row],[(STORGE DIFF.) AJD]])+TABL12[[#This Row],[البخر  AJD]]/1000)</f>
        <v>26.86099999999999</v>
      </c>
      <c r="AE337" s="40">
        <v>150</v>
      </c>
      <c r="AF337" s="44">
        <v>57.262</v>
      </c>
      <c r="AG337" s="45">
        <v>489219</v>
      </c>
      <c r="AH337" s="45">
        <f>TABL12[[#This Row],[ (RESV. STORGE) BER]]/10</f>
        <v>48921.9</v>
      </c>
      <c r="AI337" s="45">
        <v>1762</v>
      </c>
      <c r="AJ337" s="6">
        <f>TABL12[[#This Row],[(A/B TOT) AJD]]-TABL12[[#This Row],[BER_ IN]]</f>
        <v>451</v>
      </c>
      <c r="AK337" s="44">
        <v>20</v>
      </c>
      <c r="AL337" s="44">
        <v>42.255200000000002</v>
      </c>
      <c r="AM337" s="45">
        <v>2707740</v>
      </c>
      <c r="AN337" s="45">
        <f>TABL12[[#This Row],[ (RESV. STORGE) SER]]/10</f>
        <v>270774</v>
      </c>
      <c r="AO337" s="45">
        <v>1665</v>
      </c>
      <c r="AP337" s="32">
        <f>TABL12[[#This Row],[(A/S TOT) AJD]]-TABL12[[#This Row],[SER_ IN]]</f>
        <v>214</v>
      </c>
    </row>
    <row r="338" spans="1:42" ht="18.75" x14ac:dyDescent="0.25">
      <c r="A338" s="2">
        <v>45994</v>
      </c>
      <c r="B338" s="41">
        <v>41</v>
      </c>
      <c r="C338" s="41">
        <v>325</v>
      </c>
      <c r="D338" s="41">
        <v>41</v>
      </c>
      <c r="E338" s="41">
        <v>0</v>
      </c>
      <c r="F338" s="41">
        <v>99</v>
      </c>
      <c r="G338" s="39">
        <v>625</v>
      </c>
      <c r="H338" s="41">
        <f t="shared" si="24"/>
        <v>4</v>
      </c>
      <c r="I338" s="39">
        <v>482</v>
      </c>
      <c r="J338" s="39">
        <v>459</v>
      </c>
      <c r="K338" s="28">
        <f>TABL12[[#This Row],[خط (T/B  TOT) SAR]]+TABL12[[#This Row],[خط (S/S  TOT) SAR2]]</f>
        <v>941</v>
      </c>
      <c r="L338" s="41">
        <v>316</v>
      </c>
      <c r="M338" s="42">
        <v>24.7</v>
      </c>
      <c r="N338" s="42">
        <v>7.49</v>
      </c>
      <c r="O338" s="39">
        <v>433</v>
      </c>
      <c r="P338" s="9">
        <f>TABL12[[#This Row],[خط (S/S  TOT) SAR2]]-TABL12[[#This Row],[(S/S TOT) AJD]]</f>
        <v>26</v>
      </c>
      <c r="Q338" s="39">
        <v>428</v>
      </c>
      <c r="R338" s="9">
        <f>TABL12[[#This Row],[خط (T/B  TOT) SAR]]-TABL12[[#This Row],[(T/B TOT) AJD]]</f>
        <v>54</v>
      </c>
      <c r="S338" s="9">
        <f>TABL12[[#This Row],[الفرق بين بداية ونهاية خط  S/S]]+TABL12[[#This Row],[الفرق بين بداية ونهاية خط  T/B]]</f>
        <v>80</v>
      </c>
      <c r="T338" s="9">
        <f t="shared" si="20"/>
        <v>861</v>
      </c>
      <c r="U338" s="41">
        <v>603</v>
      </c>
      <c r="V338" s="41">
        <v>243</v>
      </c>
      <c r="W338" s="9">
        <f t="shared" si="21"/>
        <v>846</v>
      </c>
      <c r="X338" s="9">
        <f t="shared" si="22"/>
        <v>15</v>
      </c>
      <c r="Y338" s="41">
        <v>92.192999999999998</v>
      </c>
      <c r="Z338" s="43">
        <v>314140</v>
      </c>
      <c r="AA338" s="9">
        <f>TABL12[[#This Row],[(RESV. STORGE) AJD]]/10</f>
        <v>31414</v>
      </c>
      <c r="AB338" s="3">
        <f t="shared" si="23"/>
        <v>-7.1219999999999999</v>
      </c>
      <c r="AC338" s="43">
        <v>0</v>
      </c>
      <c r="AD338" s="5">
        <f>TABL12[[#This Row],[( S/S+T/B) AJD]]-(TABL12[[#This Row],[(A/B + A/S) AJD]]+(TABL12[[#This Row],[(STORGE DIFF.) AJD]])+TABL12[[#This Row],[البخر  AJD]]/1000)</f>
        <v>22.121999999999957</v>
      </c>
      <c r="AE338" s="39">
        <v>147</v>
      </c>
      <c r="AF338" s="41">
        <v>57.414000000000001</v>
      </c>
      <c r="AG338" s="43">
        <v>587399</v>
      </c>
      <c r="AH338" s="43">
        <f>TABL12[[#This Row],[ (RESV. STORGE) BER]]/10</f>
        <v>58739.9</v>
      </c>
      <c r="AI338" s="43">
        <v>1510</v>
      </c>
      <c r="AJ338" s="6">
        <f>TABL12[[#This Row],[(A/B TOT) AJD]]-TABL12[[#This Row],[BER_ IN]]</f>
        <v>456</v>
      </c>
      <c r="AK338" s="41">
        <v>21</v>
      </c>
      <c r="AL338" s="41">
        <v>42.2926</v>
      </c>
      <c r="AM338" s="43">
        <v>2727610</v>
      </c>
      <c r="AN338" s="43">
        <f>TABL12[[#This Row],[ (RESV. STORGE) SER]]/10</f>
        <v>272761</v>
      </c>
      <c r="AO338" s="43">
        <v>1130</v>
      </c>
      <c r="AP338" s="32">
        <f>TABL12[[#This Row],[(A/S TOT) AJD]]-TABL12[[#This Row],[SER_ IN]]</f>
        <v>222</v>
      </c>
    </row>
    <row r="339" spans="1:42" ht="18.75" x14ac:dyDescent="0.25">
      <c r="A339" s="2">
        <v>45995</v>
      </c>
      <c r="B339" s="44">
        <v>42</v>
      </c>
      <c r="C339" s="44">
        <v>325</v>
      </c>
      <c r="D339" s="44">
        <v>42</v>
      </c>
      <c r="E339" s="44">
        <v>0</v>
      </c>
      <c r="F339" s="44">
        <v>99</v>
      </c>
      <c r="G339" s="40">
        <v>619</v>
      </c>
      <c r="H339" s="44">
        <f t="shared" si="24"/>
        <v>4</v>
      </c>
      <c r="I339" s="40">
        <v>474</v>
      </c>
      <c r="J339" s="44">
        <v>459</v>
      </c>
      <c r="K339" s="28">
        <f>TABL12[[#This Row],[خط (T/B  TOT) SAR]]+TABL12[[#This Row],[خط (S/S  TOT) SAR2]]</f>
        <v>933</v>
      </c>
      <c r="L339" s="45">
        <v>314</v>
      </c>
      <c r="M339" s="46">
        <v>24.7</v>
      </c>
      <c r="N339" s="46">
        <v>7.56</v>
      </c>
      <c r="O339" s="40">
        <v>455</v>
      </c>
      <c r="P339" s="9">
        <f>TABL12[[#This Row],[خط (S/S  TOT) SAR2]]-TABL12[[#This Row],[(S/S TOT) AJD]]</f>
        <v>4</v>
      </c>
      <c r="Q339" s="40">
        <v>446</v>
      </c>
      <c r="R339" s="9">
        <f>TABL12[[#This Row],[خط (T/B  TOT) SAR]]-TABL12[[#This Row],[(T/B TOT) AJD]]</f>
        <v>28</v>
      </c>
      <c r="S339" s="9">
        <f>TABL12[[#This Row],[الفرق بين بداية ونهاية خط  S/S]]+TABL12[[#This Row],[الفرق بين بداية ونهاية خط  T/B]]</f>
        <v>32</v>
      </c>
      <c r="T339" s="9">
        <f t="shared" si="20"/>
        <v>901</v>
      </c>
      <c r="U339" s="44">
        <v>583</v>
      </c>
      <c r="V339" s="47">
        <v>107</v>
      </c>
      <c r="W339" s="9">
        <f t="shared" si="21"/>
        <v>690</v>
      </c>
      <c r="X339" s="9">
        <f t="shared" si="22"/>
        <v>211</v>
      </c>
      <c r="Y339" s="44">
        <v>92.155000000000001</v>
      </c>
      <c r="Z339" s="45">
        <v>291604</v>
      </c>
      <c r="AA339" s="9">
        <f>TABL12[[#This Row],[(RESV. STORGE) AJD]]/10</f>
        <v>29160.400000000001</v>
      </c>
      <c r="AB339" s="3">
        <f t="shared" si="23"/>
        <v>-22.536000000000001</v>
      </c>
      <c r="AC339" s="45">
        <v>0</v>
      </c>
      <c r="AD339" s="5">
        <f>TABL12[[#This Row],[( S/S+T/B) AJD]]-(TABL12[[#This Row],[(A/B + A/S) AJD]]+(TABL12[[#This Row],[(STORGE DIFF.) AJD]])+TABL12[[#This Row],[البخر  AJD]]/1000)</f>
        <v>233.53600000000006</v>
      </c>
      <c r="AE339" s="40">
        <v>150</v>
      </c>
      <c r="AF339" s="44">
        <v>57.24</v>
      </c>
      <c r="AG339" s="45">
        <v>475025</v>
      </c>
      <c r="AH339" s="45">
        <f>TABL12[[#This Row],[ (RESV. STORGE) BER]]/10</f>
        <v>47502.5</v>
      </c>
      <c r="AI339" s="45">
        <v>1794</v>
      </c>
      <c r="AJ339" s="6">
        <f>TABL12[[#This Row],[(A/B TOT) AJD]]-TABL12[[#This Row],[BER_ IN]]</f>
        <v>433</v>
      </c>
      <c r="AK339" s="44">
        <v>21</v>
      </c>
      <c r="AL339" s="44">
        <v>42.323300000000003</v>
      </c>
      <c r="AM339" s="45">
        <v>2743630</v>
      </c>
      <c r="AN339" s="45">
        <f>TABL12[[#This Row],[ (RESV. STORGE) SER]]/10</f>
        <v>274363</v>
      </c>
      <c r="AO339" s="45">
        <v>1100</v>
      </c>
      <c r="AP339" s="32">
        <f>TABL12[[#This Row],[(A/S TOT) AJD]]-TABL12[[#This Row],[SER_ IN]]</f>
        <v>86</v>
      </c>
    </row>
    <row r="340" spans="1:42" ht="18.75" x14ac:dyDescent="0.25">
      <c r="A340" s="2">
        <v>45996</v>
      </c>
      <c r="B340" s="41">
        <v>41</v>
      </c>
      <c r="C340" s="41">
        <v>328</v>
      </c>
      <c r="D340" s="41">
        <v>41</v>
      </c>
      <c r="E340" s="41">
        <v>0</v>
      </c>
      <c r="F340" s="41">
        <v>99</v>
      </c>
      <c r="G340" s="39">
        <v>622</v>
      </c>
      <c r="H340" s="41">
        <f t="shared" si="24"/>
        <v>4</v>
      </c>
      <c r="I340" s="39">
        <v>476</v>
      </c>
      <c r="J340" s="39">
        <v>459</v>
      </c>
      <c r="K340" s="28">
        <f>TABL12[[#This Row],[خط (T/B  TOT) SAR]]+TABL12[[#This Row],[خط (S/S  TOT) SAR2]]</f>
        <v>935</v>
      </c>
      <c r="L340" s="41">
        <v>313</v>
      </c>
      <c r="M340" s="42">
        <v>24.7</v>
      </c>
      <c r="N340" s="42">
        <v>7.67</v>
      </c>
      <c r="O340" s="39">
        <v>430</v>
      </c>
      <c r="P340" s="9">
        <f>TABL12[[#This Row],[خط (S/S  TOT) SAR2]]-TABL12[[#This Row],[(S/S TOT) AJD]]</f>
        <v>29</v>
      </c>
      <c r="Q340" s="39">
        <v>430</v>
      </c>
      <c r="R340" s="9">
        <f>TABL12[[#This Row],[خط (T/B  TOT) SAR]]-TABL12[[#This Row],[(T/B TOT) AJD]]</f>
        <v>46</v>
      </c>
      <c r="S340" s="9">
        <f>TABL12[[#This Row],[الفرق بين بداية ونهاية خط  S/S]]+TABL12[[#This Row],[الفرق بين بداية ونهاية خط  T/B]]</f>
        <v>75</v>
      </c>
      <c r="T340" s="9">
        <f t="shared" si="20"/>
        <v>860</v>
      </c>
      <c r="U340" s="41">
        <v>594</v>
      </c>
      <c r="V340" s="41">
        <v>253</v>
      </c>
      <c r="W340" s="9">
        <f t="shared" si="21"/>
        <v>847</v>
      </c>
      <c r="X340" s="9">
        <f t="shared" si="22"/>
        <v>13</v>
      </c>
      <c r="Y340" s="41">
        <v>92.162999999999997</v>
      </c>
      <c r="Z340" s="43">
        <v>294349</v>
      </c>
      <c r="AA340" s="9">
        <f>TABL12[[#This Row],[(RESV. STORGE) AJD]]/10</f>
        <v>29434.9</v>
      </c>
      <c r="AB340" s="3">
        <f t="shared" si="23"/>
        <v>2.7450000000000001</v>
      </c>
      <c r="AC340" s="43">
        <v>0</v>
      </c>
      <c r="AD340" s="5">
        <f>TABL12[[#This Row],[( S/S+T/B) AJD]]-(TABL12[[#This Row],[(A/B + A/S) AJD]]+(TABL12[[#This Row],[(STORGE DIFF.) AJD]])+TABL12[[#This Row],[البخر  AJD]]/1000)</f>
        <v>10.254999999999995</v>
      </c>
      <c r="AE340" s="39">
        <v>150</v>
      </c>
      <c r="AF340" s="41">
        <v>57.39</v>
      </c>
      <c r="AG340" s="43">
        <v>571883</v>
      </c>
      <c r="AH340" s="43">
        <f>TABL12[[#This Row],[ (RESV. STORGE) BER]]/10</f>
        <v>57188.3</v>
      </c>
      <c r="AI340" s="43">
        <v>1303</v>
      </c>
      <c r="AJ340" s="6">
        <f>TABL12[[#This Row],[(A/B TOT) AJD]]-TABL12[[#This Row],[BER_ IN]]</f>
        <v>444</v>
      </c>
      <c r="AK340" s="41">
        <v>21</v>
      </c>
      <c r="AL340" s="41">
        <v>42.358699999999999</v>
      </c>
      <c r="AM340" s="43">
        <v>2762920</v>
      </c>
      <c r="AN340" s="43">
        <f>TABL12[[#This Row],[ (RESV. STORGE) SER]]/10</f>
        <v>276292</v>
      </c>
      <c r="AO340" s="43">
        <v>1710</v>
      </c>
      <c r="AP340" s="32">
        <f>TABL12[[#This Row],[(A/S TOT) AJD]]-TABL12[[#This Row],[SER_ IN]]</f>
        <v>232</v>
      </c>
    </row>
    <row r="341" spans="1:42" ht="18.75" x14ac:dyDescent="0.25">
      <c r="A341" s="2">
        <v>45997</v>
      </c>
      <c r="B341" s="44">
        <v>41</v>
      </c>
      <c r="C341" s="44">
        <v>316</v>
      </c>
      <c r="D341" s="44">
        <v>41</v>
      </c>
      <c r="E341" s="44">
        <v>0</v>
      </c>
      <c r="F341" s="44">
        <v>99</v>
      </c>
      <c r="G341" s="40">
        <v>621</v>
      </c>
      <c r="H341" s="44">
        <f t="shared" si="24"/>
        <v>4</v>
      </c>
      <c r="I341" s="40">
        <v>476</v>
      </c>
      <c r="J341" s="44">
        <v>461</v>
      </c>
      <c r="K341" s="28">
        <f>TABL12[[#This Row],[خط (T/B  TOT) SAR]]+TABL12[[#This Row],[خط (S/S  TOT) SAR2]]</f>
        <v>937</v>
      </c>
      <c r="L341" s="45">
        <v>316</v>
      </c>
      <c r="M341" s="46">
        <v>24.7</v>
      </c>
      <c r="N341" s="46">
        <v>7.7</v>
      </c>
      <c r="O341" s="40">
        <v>433</v>
      </c>
      <c r="P341" s="9">
        <f>TABL12[[#This Row],[خط (S/S  TOT) SAR2]]-TABL12[[#This Row],[(S/S TOT) AJD]]</f>
        <v>28</v>
      </c>
      <c r="Q341" s="40">
        <v>434</v>
      </c>
      <c r="R341" s="9">
        <f>TABL12[[#This Row],[خط (T/B  TOT) SAR]]-TABL12[[#This Row],[(T/B TOT) AJD]]</f>
        <v>42</v>
      </c>
      <c r="S341" s="9">
        <f>TABL12[[#This Row],[الفرق بين بداية ونهاية خط  S/S]]+TABL12[[#This Row],[الفرق بين بداية ونهاية خط  T/B]]</f>
        <v>70</v>
      </c>
      <c r="T341" s="9">
        <f t="shared" si="20"/>
        <v>867</v>
      </c>
      <c r="U341" s="44">
        <v>597</v>
      </c>
      <c r="V341" s="44">
        <v>238</v>
      </c>
      <c r="W341" s="9">
        <f t="shared" si="21"/>
        <v>835</v>
      </c>
      <c r="X341" s="9">
        <f t="shared" si="22"/>
        <v>32</v>
      </c>
      <c r="Y341" s="44">
        <v>92.207999999999998</v>
      </c>
      <c r="Z341" s="45">
        <v>321259</v>
      </c>
      <c r="AA341" s="9">
        <f>TABL12[[#This Row],[(RESV. STORGE) AJD]]/10</f>
        <v>32125.9</v>
      </c>
      <c r="AB341" s="3">
        <f t="shared" si="23"/>
        <v>26.91</v>
      </c>
      <c r="AC341" s="45">
        <v>0</v>
      </c>
      <c r="AD341" s="5">
        <f>TABL12[[#This Row],[( S/S+T/B) AJD]]-(TABL12[[#This Row],[(A/B + A/S) AJD]]+(TABL12[[#This Row],[(STORGE DIFF.) AJD]])+TABL12[[#This Row],[البخر  AJD]]/1000)</f>
        <v>5.0900000000000318</v>
      </c>
      <c r="AE341" s="40">
        <v>150</v>
      </c>
      <c r="AF341" s="44">
        <v>57.48</v>
      </c>
      <c r="AG341" s="45">
        <v>630091</v>
      </c>
      <c r="AH341" s="45">
        <f>TABL12[[#This Row],[ (RESV. STORGE) BER]]/10</f>
        <v>63009.1</v>
      </c>
      <c r="AI341" s="45">
        <v>0</v>
      </c>
      <c r="AJ341" s="6">
        <f>TABL12[[#This Row],[(A/B TOT) AJD]]-TABL12[[#This Row],[BER_ IN]]</f>
        <v>447</v>
      </c>
      <c r="AK341" s="44">
        <v>22</v>
      </c>
      <c r="AL341" s="44">
        <v>42.391599999999997</v>
      </c>
      <c r="AM341" s="45">
        <v>2780600</v>
      </c>
      <c r="AN341" s="45">
        <f>TABL12[[#This Row],[ (RESV. STORGE) SER]]/10</f>
        <v>278060</v>
      </c>
      <c r="AO341" s="45">
        <v>1450</v>
      </c>
      <c r="AP341" s="32">
        <f>TABL12[[#This Row],[(A/S TOT) AJD]]-TABL12[[#This Row],[SER_ IN]]</f>
        <v>216</v>
      </c>
    </row>
    <row r="342" spans="1:42" ht="18.75" x14ac:dyDescent="0.25">
      <c r="A342" s="2">
        <v>45998</v>
      </c>
      <c r="B342" s="41">
        <v>41</v>
      </c>
      <c r="C342" s="41">
        <v>306</v>
      </c>
      <c r="D342" s="41">
        <v>41</v>
      </c>
      <c r="E342" s="41">
        <v>0</v>
      </c>
      <c r="F342" s="41">
        <v>99</v>
      </c>
      <c r="G342" s="39">
        <v>620</v>
      </c>
      <c r="H342" s="41">
        <f t="shared" si="24"/>
        <v>4</v>
      </c>
      <c r="I342" s="39">
        <v>475</v>
      </c>
      <c r="J342" s="39">
        <v>459</v>
      </c>
      <c r="K342" s="28">
        <f>TABL12[[#This Row],[خط (T/B  TOT) SAR]]+TABL12[[#This Row],[خط (S/S  TOT) SAR2]]</f>
        <v>934</v>
      </c>
      <c r="L342" s="41">
        <v>314</v>
      </c>
      <c r="M342" s="42">
        <v>24.7</v>
      </c>
      <c r="N342" s="42">
        <v>7.66</v>
      </c>
      <c r="O342" s="39">
        <v>432</v>
      </c>
      <c r="P342" s="9">
        <f>TABL12[[#This Row],[خط (S/S  TOT) SAR2]]-TABL12[[#This Row],[(S/S TOT) AJD]]</f>
        <v>27</v>
      </c>
      <c r="Q342" s="39">
        <v>432</v>
      </c>
      <c r="R342" s="9">
        <f>TABL12[[#This Row],[خط (T/B  TOT) SAR]]-TABL12[[#This Row],[(T/B TOT) AJD]]</f>
        <v>43</v>
      </c>
      <c r="S342" s="9">
        <f>TABL12[[#This Row],[الفرق بين بداية ونهاية خط  S/S]]+TABL12[[#This Row],[الفرق بين بداية ونهاية خط  T/B]]</f>
        <v>70</v>
      </c>
      <c r="T342" s="9">
        <f t="shared" si="20"/>
        <v>864</v>
      </c>
      <c r="U342" s="41">
        <v>599</v>
      </c>
      <c r="V342" s="41">
        <v>252</v>
      </c>
      <c r="W342" s="9">
        <f t="shared" si="21"/>
        <v>851</v>
      </c>
      <c r="X342" s="9">
        <f t="shared" si="22"/>
        <v>13</v>
      </c>
      <c r="Y342" s="41">
        <v>92.17</v>
      </c>
      <c r="Z342" s="43">
        <v>300498</v>
      </c>
      <c r="AA342" s="9">
        <f>TABL12[[#This Row],[(RESV. STORGE) AJD]]/10</f>
        <v>30049.8</v>
      </c>
      <c r="AB342" s="3">
        <f t="shared" si="23"/>
        <v>-20.760999999999999</v>
      </c>
      <c r="AC342" s="43">
        <v>0</v>
      </c>
      <c r="AD342" s="5">
        <f>TABL12[[#This Row],[( S/S+T/B) AJD]]-(TABL12[[#This Row],[(A/B + A/S) AJD]]+(TABL12[[#This Row],[(STORGE DIFF.) AJD]])+TABL12[[#This Row],[البخر  AJD]]/1000)</f>
        <v>33.760999999999967</v>
      </c>
      <c r="AE342" s="39">
        <v>150</v>
      </c>
      <c r="AF342" s="41">
        <v>57.639000000000003</v>
      </c>
      <c r="AG342" s="43">
        <v>733093</v>
      </c>
      <c r="AH342" s="43">
        <f>TABL12[[#This Row],[ (RESV. STORGE) BER]]/10</f>
        <v>73309.3</v>
      </c>
      <c r="AI342" s="43">
        <v>649</v>
      </c>
      <c r="AJ342" s="6">
        <f>TABL12[[#This Row],[(A/B TOT) AJD]]-TABL12[[#This Row],[BER_ IN]]</f>
        <v>449</v>
      </c>
      <c r="AK342" s="41">
        <v>26</v>
      </c>
      <c r="AL342" s="41">
        <v>42.439</v>
      </c>
      <c r="AM342" s="43">
        <v>2806440</v>
      </c>
      <c r="AN342" s="43">
        <f>TABL12[[#This Row],[ (RESV. STORGE) SER]]/10</f>
        <v>280644</v>
      </c>
      <c r="AO342" s="43">
        <v>160</v>
      </c>
      <c r="AP342" s="32">
        <f>TABL12[[#This Row],[(A/S TOT) AJD]]-TABL12[[#This Row],[SER_ IN]]</f>
        <v>226</v>
      </c>
    </row>
    <row r="343" spans="1:42" ht="18.75" x14ac:dyDescent="0.25">
      <c r="A343" s="2">
        <v>45999</v>
      </c>
      <c r="B343" s="44">
        <v>42</v>
      </c>
      <c r="C343" s="44">
        <v>308</v>
      </c>
      <c r="D343" s="44">
        <v>42</v>
      </c>
      <c r="E343" s="44">
        <v>0</v>
      </c>
      <c r="F343" s="44">
        <v>99</v>
      </c>
      <c r="G343" s="40">
        <v>623</v>
      </c>
      <c r="H343" s="44">
        <f t="shared" si="24"/>
        <v>4</v>
      </c>
      <c r="I343" s="40">
        <v>478</v>
      </c>
      <c r="J343" s="44">
        <v>463</v>
      </c>
      <c r="K343" s="28">
        <f>TABL12[[#This Row],[خط (T/B  TOT) SAR]]+TABL12[[#This Row],[خط (S/S  TOT) SAR2]]</f>
        <v>941</v>
      </c>
      <c r="L343" s="45">
        <v>318</v>
      </c>
      <c r="M343" s="46">
        <v>24.7</v>
      </c>
      <c r="N343" s="46">
        <v>7.63</v>
      </c>
      <c r="O343" s="40">
        <v>432</v>
      </c>
      <c r="P343" s="9">
        <f>TABL12[[#This Row],[خط (S/S  TOT) SAR2]]-TABL12[[#This Row],[(S/S TOT) AJD]]</f>
        <v>31</v>
      </c>
      <c r="Q343" s="40">
        <v>432</v>
      </c>
      <c r="R343" s="9">
        <f>TABL12[[#This Row],[خط (T/B  TOT) SAR]]-TABL12[[#This Row],[(T/B TOT) AJD]]</f>
        <v>46</v>
      </c>
      <c r="S343" s="9">
        <f>TABL12[[#This Row],[الفرق بين بداية ونهاية خط  S/S]]+TABL12[[#This Row],[الفرق بين بداية ونهاية خط  T/B]]</f>
        <v>77</v>
      </c>
      <c r="T343" s="9">
        <f t="shared" si="20"/>
        <v>864</v>
      </c>
      <c r="U343" s="44">
        <v>605</v>
      </c>
      <c r="V343" s="44">
        <v>214</v>
      </c>
      <c r="W343" s="9">
        <f t="shared" si="21"/>
        <v>819</v>
      </c>
      <c r="X343" s="9">
        <f t="shared" si="22"/>
        <v>45</v>
      </c>
      <c r="Y343" s="44">
        <v>92.23</v>
      </c>
      <c r="Z343" s="45">
        <v>336094</v>
      </c>
      <c r="AA343" s="9">
        <f>TABL12[[#This Row],[(RESV. STORGE) AJD]]/10</f>
        <v>33609.4</v>
      </c>
      <c r="AB343" s="3">
        <f t="shared" si="23"/>
        <v>35.595999999999997</v>
      </c>
      <c r="AC343" s="45">
        <v>0</v>
      </c>
      <c r="AD343" s="5">
        <f>TABL12[[#This Row],[( S/S+T/B) AJD]]-(TABL12[[#This Row],[(A/B + A/S) AJD]]+(TABL12[[#This Row],[(STORGE DIFF.) AJD]])+TABL12[[#This Row],[البخر  AJD]]/1000)</f>
        <v>9.4039999999999964</v>
      </c>
      <c r="AE343" s="40">
        <v>150</v>
      </c>
      <c r="AF343" s="44">
        <v>57.71</v>
      </c>
      <c r="AG343" s="45">
        <v>779158</v>
      </c>
      <c r="AH343" s="45">
        <f>TABL12[[#This Row],[ (RESV. STORGE) BER]]/10</f>
        <v>77915.8</v>
      </c>
      <c r="AI343" s="45">
        <v>2447</v>
      </c>
      <c r="AJ343" s="6">
        <f>TABL12[[#This Row],[(A/B TOT) AJD]]-TABL12[[#This Row],[BER_ IN]]</f>
        <v>455</v>
      </c>
      <c r="AK343" s="44">
        <v>26</v>
      </c>
      <c r="AL343" s="44">
        <v>42.476199999999999</v>
      </c>
      <c r="AM343" s="45">
        <v>2825710</v>
      </c>
      <c r="AN343" s="45">
        <f>TABL12[[#This Row],[ (RESV. STORGE) SER]]/10</f>
        <v>282571</v>
      </c>
      <c r="AO343" s="45">
        <v>485</v>
      </c>
      <c r="AP343" s="32">
        <f>TABL12[[#This Row],[(A/S TOT) AJD]]-TABL12[[#This Row],[SER_ IN]]</f>
        <v>188</v>
      </c>
    </row>
    <row r="344" spans="1:42" ht="18.75" x14ac:dyDescent="0.25">
      <c r="A344" s="2">
        <v>46000</v>
      </c>
      <c r="B344" s="41">
        <v>42</v>
      </c>
      <c r="C344" s="41">
        <v>305</v>
      </c>
      <c r="D344" s="41">
        <v>42</v>
      </c>
      <c r="E344" s="41">
        <v>0</v>
      </c>
      <c r="F344" s="41">
        <v>99</v>
      </c>
      <c r="G344" s="39">
        <v>600</v>
      </c>
      <c r="H344" s="41">
        <f t="shared" si="24"/>
        <v>4</v>
      </c>
      <c r="I344" s="39">
        <v>479</v>
      </c>
      <c r="J344" s="39">
        <v>463</v>
      </c>
      <c r="K344" s="28">
        <f>TABL12[[#This Row],[خط (T/B  TOT) SAR]]+TABL12[[#This Row],[خط (S/S  TOT) SAR2]]</f>
        <v>942</v>
      </c>
      <c r="L344" s="41">
        <v>342</v>
      </c>
      <c r="M344" s="42">
        <v>24.7</v>
      </c>
      <c r="N344" s="42">
        <v>7.58</v>
      </c>
      <c r="O344" s="39">
        <v>434</v>
      </c>
      <c r="P344" s="9">
        <f>TABL12[[#This Row],[خط (S/S  TOT) SAR2]]-TABL12[[#This Row],[(S/S TOT) AJD]]</f>
        <v>29</v>
      </c>
      <c r="Q344" s="39">
        <v>433</v>
      </c>
      <c r="R344" s="9">
        <f>TABL12[[#This Row],[خط (T/B  TOT) SAR]]-TABL12[[#This Row],[(T/B TOT) AJD]]</f>
        <v>46</v>
      </c>
      <c r="S344" s="9">
        <f>TABL12[[#This Row],[الفرق بين بداية ونهاية خط  S/S]]+TABL12[[#This Row],[الفرق بين بداية ونهاية خط  T/B]]</f>
        <v>75</v>
      </c>
      <c r="T344" s="9">
        <f t="shared" si="20"/>
        <v>867</v>
      </c>
      <c r="U344" s="41">
        <v>596</v>
      </c>
      <c r="V344" s="41">
        <v>238</v>
      </c>
      <c r="W344" s="9">
        <f t="shared" si="21"/>
        <v>834</v>
      </c>
      <c r="X344" s="9">
        <f t="shared" si="22"/>
        <v>33</v>
      </c>
      <c r="Y344" s="41">
        <v>92.28</v>
      </c>
      <c r="Z344" s="43">
        <v>365775</v>
      </c>
      <c r="AA344" s="9">
        <f>TABL12[[#This Row],[(RESV. STORGE) AJD]]/10</f>
        <v>36577.5</v>
      </c>
      <c r="AB344" s="3">
        <f t="shared" si="23"/>
        <v>29.681000000000001</v>
      </c>
      <c r="AC344" s="43">
        <v>0</v>
      </c>
      <c r="AD344" s="5">
        <f>TABL12[[#This Row],[( S/S+T/B) AJD]]-(TABL12[[#This Row],[(A/B + A/S) AJD]]+(TABL12[[#This Row],[(STORGE DIFF.) AJD]])+TABL12[[#This Row],[البخر  AJD]]/1000)</f>
        <v>3.31899999999996</v>
      </c>
      <c r="AE344" s="39">
        <v>150</v>
      </c>
      <c r="AF344" s="41">
        <v>57.88</v>
      </c>
      <c r="AG344" s="43">
        <v>889629</v>
      </c>
      <c r="AH344" s="43">
        <f>TABL12[[#This Row],[ (RESV. STORGE) BER]]/10</f>
        <v>88962.9</v>
      </c>
      <c r="AI344" s="43">
        <v>1535</v>
      </c>
      <c r="AJ344" s="6">
        <f>TABL12[[#This Row],[(A/B TOT) AJD]]-TABL12[[#This Row],[BER_ IN]]</f>
        <v>446</v>
      </c>
      <c r="AK344" s="41">
        <v>26</v>
      </c>
      <c r="AL344" s="41">
        <v>42.514099999999999</v>
      </c>
      <c r="AM344" s="43">
        <v>2846120</v>
      </c>
      <c r="AN344" s="43">
        <f>TABL12[[#This Row],[ (RESV. STORGE) SER]]/10</f>
        <v>284612</v>
      </c>
      <c r="AO344" s="43">
        <v>623</v>
      </c>
      <c r="AP344" s="32">
        <f>TABL12[[#This Row],[(A/S TOT) AJD]]-TABL12[[#This Row],[SER_ IN]]</f>
        <v>212</v>
      </c>
    </row>
    <row r="345" spans="1:42" ht="18.75" x14ac:dyDescent="0.25">
      <c r="A345" s="2">
        <v>46001</v>
      </c>
      <c r="B345" s="44">
        <v>39</v>
      </c>
      <c r="C345" s="44">
        <v>303</v>
      </c>
      <c r="D345" s="44">
        <v>39</v>
      </c>
      <c r="E345" s="44">
        <v>0</v>
      </c>
      <c r="F345" s="44">
        <v>99</v>
      </c>
      <c r="G345" s="40">
        <v>588</v>
      </c>
      <c r="H345" s="44">
        <f t="shared" si="24"/>
        <v>4</v>
      </c>
      <c r="I345" s="40">
        <v>470</v>
      </c>
      <c r="J345" s="44">
        <v>462</v>
      </c>
      <c r="K345" s="28">
        <f>TABL12[[#This Row],[خط (T/B  TOT) SAR]]+TABL12[[#This Row],[خط (S/S  TOT) SAR2]]</f>
        <v>932</v>
      </c>
      <c r="L345" s="45">
        <v>344</v>
      </c>
      <c r="M345" s="46">
        <v>24.7</v>
      </c>
      <c r="N345" s="46">
        <v>7.53</v>
      </c>
      <c r="O345" s="40">
        <v>434</v>
      </c>
      <c r="P345" s="9">
        <f>TABL12[[#This Row],[خط (S/S  TOT) SAR2]]-TABL12[[#This Row],[(S/S TOT) AJD]]</f>
        <v>28</v>
      </c>
      <c r="Q345" s="40">
        <v>435</v>
      </c>
      <c r="R345" s="9">
        <f>TABL12[[#This Row],[خط (T/B  TOT) SAR]]-TABL12[[#This Row],[(T/B TOT) AJD]]</f>
        <v>35</v>
      </c>
      <c r="S345" s="9">
        <f>TABL12[[#This Row],[الفرق بين بداية ونهاية خط  S/S]]+TABL12[[#This Row],[الفرق بين بداية ونهاية خط  T/B]]</f>
        <v>63</v>
      </c>
      <c r="T345" s="9">
        <f t="shared" si="20"/>
        <v>869</v>
      </c>
      <c r="U345" s="44">
        <v>603</v>
      </c>
      <c r="V345" s="44">
        <v>183</v>
      </c>
      <c r="W345" s="9">
        <f t="shared" si="21"/>
        <v>786</v>
      </c>
      <c r="X345" s="9">
        <f t="shared" si="22"/>
        <v>83</v>
      </c>
      <c r="Y345" s="44">
        <v>92.34</v>
      </c>
      <c r="Z345" s="45">
        <v>401419</v>
      </c>
      <c r="AA345" s="9">
        <f>TABL12[[#This Row],[(RESV. STORGE) AJD]]/10</f>
        <v>40141.9</v>
      </c>
      <c r="AB345" s="3">
        <f t="shared" si="23"/>
        <v>35.643999999999998</v>
      </c>
      <c r="AC345" s="45">
        <v>0</v>
      </c>
      <c r="AD345" s="5">
        <f>TABL12[[#This Row],[( S/S+T/B) AJD]]-(TABL12[[#This Row],[(A/B + A/S) AJD]]+(TABL12[[#This Row],[(STORGE DIFF.) AJD]])+TABL12[[#This Row],[البخر  AJD]]/1000)</f>
        <v>47.355999999999995</v>
      </c>
      <c r="AE345" s="40">
        <v>150</v>
      </c>
      <c r="AF345" s="44">
        <v>58.036999999999999</v>
      </c>
      <c r="AG345" s="45">
        <v>991873</v>
      </c>
      <c r="AH345" s="45">
        <f>TABL12[[#This Row],[ (RESV. STORGE) BER]]/10</f>
        <v>99187.3</v>
      </c>
      <c r="AI345" s="45">
        <v>1956</v>
      </c>
      <c r="AJ345" s="6">
        <f>TABL12[[#This Row],[(A/B TOT) AJD]]-TABL12[[#This Row],[BER_ IN]]</f>
        <v>453</v>
      </c>
      <c r="AK345" s="44">
        <v>26</v>
      </c>
      <c r="AL345" s="44">
        <v>42.498199999999997</v>
      </c>
      <c r="AM345" s="45">
        <v>2837530</v>
      </c>
      <c r="AN345" s="45">
        <f>TABL12[[#This Row],[ (RESV. STORGE) SER]]/10</f>
        <v>283753</v>
      </c>
      <c r="AO345" s="45">
        <v>775</v>
      </c>
      <c r="AP345" s="32">
        <f>TABL12[[#This Row],[(A/S TOT) AJD]]-TABL12[[#This Row],[SER_ IN]]</f>
        <v>157</v>
      </c>
    </row>
    <row r="346" spans="1:42" ht="18.75" x14ac:dyDescent="0.25">
      <c r="A346" s="2">
        <v>46002</v>
      </c>
      <c r="B346" s="41">
        <v>41</v>
      </c>
      <c r="C346" s="41">
        <v>314</v>
      </c>
      <c r="D346" s="41">
        <v>38</v>
      </c>
      <c r="E346" s="41">
        <v>0</v>
      </c>
      <c r="F346" s="41">
        <v>98</v>
      </c>
      <c r="G346" s="39">
        <v>598</v>
      </c>
      <c r="H346" s="41">
        <f t="shared" si="24"/>
        <v>5</v>
      </c>
      <c r="I346" s="39">
        <v>477</v>
      </c>
      <c r="J346" s="39">
        <v>462</v>
      </c>
      <c r="K346" s="28">
        <f>TABL12[[#This Row],[خط (T/B  TOT) SAR]]+TABL12[[#This Row],[خط (S/S  TOT) SAR2]]</f>
        <v>939</v>
      </c>
      <c r="L346" s="41">
        <v>341</v>
      </c>
      <c r="M346" s="42">
        <v>24.7</v>
      </c>
      <c r="N346" s="42">
        <v>7.51</v>
      </c>
      <c r="O346" s="39">
        <v>435</v>
      </c>
      <c r="P346" s="9">
        <f>TABL12[[#This Row],[خط (S/S  TOT) SAR2]]-TABL12[[#This Row],[(S/S TOT) AJD]]</f>
        <v>27</v>
      </c>
      <c r="Q346" s="39">
        <v>435</v>
      </c>
      <c r="R346" s="9">
        <f>TABL12[[#This Row],[خط (T/B  TOT) SAR]]-TABL12[[#This Row],[(T/B TOT) AJD]]</f>
        <v>42</v>
      </c>
      <c r="S346" s="9">
        <f>TABL12[[#This Row],[الفرق بين بداية ونهاية خط  S/S]]+TABL12[[#This Row],[الفرق بين بداية ونهاية خط  T/B]]</f>
        <v>69</v>
      </c>
      <c r="T346" s="9">
        <f t="shared" si="20"/>
        <v>870</v>
      </c>
      <c r="U346" s="41">
        <v>602</v>
      </c>
      <c r="V346" s="41">
        <v>228</v>
      </c>
      <c r="W346" s="9">
        <f t="shared" si="21"/>
        <v>830</v>
      </c>
      <c r="X346" s="9">
        <f t="shared" si="22"/>
        <v>40</v>
      </c>
      <c r="Y346" s="41">
        <v>92.358000000000004</v>
      </c>
      <c r="Z346" s="43">
        <v>412122</v>
      </c>
      <c r="AA346" s="9">
        <f>TABL12[[#This Row],[(RESV. STORGE) AJD]]/10</f>
        <v>41212.199999999997</v>
      </c>
      <c r="AB346" s="3">
        <f t="shared" si="23"/>
        <v>10.702999999999999</v>
      </c>
      <c r="AC346" s="43">
        <v>0</v>
      </c>
      <c r="AD346" s="5">
        <f>TABL12[[#This Row],[( S/S+T/B) AJD]]-(TABL12[[#This Row],[(A/B + A/S) AJD]]+(TABL12[[#This Row],[(STORGE DIFF.) AJD]])+TABL12[[#This Row],[البخر  AJD]]/1000)</f>
        <v>29.297000000000025</v>
      </c>
      <c r="AE346" s="39">
        <v>150</v>
      </c>
      <c r="AF346" s="41">
        <v>58.19</v>
      </c>
      <c r="AG346" s="43">
        <v>1091715</v>
      </c>
      <c r="AH346" s="43">
        <f>TABL12[[#This Row],[ (RESV. STORGE) BER]]/10</f>
        <v>109171.5</v>
      </c>
      <c r="AI346" s="48">
        <v>0</v>
      </c>
      <c r="AJ346" s="6">
        <f>TABL12[[#This Row],[(A/B TOT) AJD]]-TABL12[[#This Row],[BER_ IN]]</f>
        <v>452</v>
      </c>
      <c r="AK346" s="41">
        <v>26</v>
      </c>
      <c r="AL346" s="49">
        <v>42.787999999999997</v>
      </c>
      <c r="AM346" s="43">
        <v>2826450</v>
      </c>
      <c r="AN346" s="43">
        <f>TABL12[[#This Row],[ (RESV. STORGE) SER]]/10</f>
        <v>282645</v>
      </c>
      <c r="AO346" s="43">
        <v>893</v>
      </c>
      <c r="AP346" s="32">
        <f>TABL12[[#This Row],[(A/S TOT) AJD]]-TABL12[[#This Row],[SER_ IN]]</f>
        <v>202</v>
      </c>
    </row>
    <row r="347" spans="1:42" ht="18.75" x14ac:dyDescent="0.25">
      <c r="A347" s="2">
        <v>46003</v>
      </c>
      <c r="B347" s="44">
        <v>39</v>
      </c>
      <c r="C347" s="44">
        <v>318</v>
      </c>
      <c r="D347" s="44">
        <v>39</v>
      </c>
      <c r="E347" s="44">
        <v>0</v>
      </c>
      <c r="F347" s="44">
        <v>98</v>
      </c>
      <c r="G347" s="40">
        <v>605</v>
      </c>
      <c r="H347" s="44">
        <f t="shared" si="24"/>
        <v>5</v>
      </c>
      <c r="I347" s="40">
        <v>481</v>
      </c>
      <c r="J347" s="44">
        <v>465</v>
      </c>
      <c r="K347" s="28">
        <f>TABL12[[#This Row],[خط (T/B  TOT) SAR]]+TABL12[[#This Row],[خط (S/S  TOT) SAR2]]</f>
        <v>946</v>
      </c>
      <c r="L347" s="45">
        <v>341</v>
      </c>
      <c r="M347" s="46">
        <v>24.7</v>
      </c>
      <c r="N347" s="46">
        <v>7.53</v>
      </c>
      <c r="O347" s="40">
        <v>438</v>
      </c>
      <c r="P347" s="9">
        <f>TABL12[[#This Row],[خط (S/S  TOT) SAR2]]-TABL12[[#This Row],[(S/S TOT) AJD]]</f>
        <v>27</v>
      </c>
      <c r="Q347" s="40">
        <v>436</v>
      </c>
      <c r="R347" s="9">
        <f>TABL12[[#This Row],[خط (T/B  TOT) SAR]]-TABL12[[#This Row],[(T/B TOT) AJD]]</f>
        <v>45</v>
      </c>
      <c r="S347" s="9">
        <f>TABL12[[#This Row],[الفرق بين بداية ونهاية خط  S/S]]+TABL12[[#This Row],[الفرق بين بداية ونهاية خط  T/B]]</f>
        <v>72</v>
      </c>
      <c r="T347" s="9">
        <f t="shared" si="20"/>
        <v>874</v>
      </c>
      <c r="U347" s="44">
        <v>601</v>
      </c>
      <c r="V347" s="44">
        <v>258</v>
      </c>
      <c r="W347" s="9">
        <f t="shared" si="21"/>
        <v>859</v>
      </c>
      <c r="X347" s="9">
        <f t="shared" si="22"/>
        <v>15</v>
      </c>
      <c r="Y347" s="44">
        <v>92.346999999999994</v>
      </c>
      <c r="Z347" s="45">
        <v>405582</v>
      </c>
      <c r="AA347" s="9">
        <f>TABL12[[#This Row],[(RESV. STORGE) AJD]]/10</f>
        <v>40558.199999999997</v>
      </c>
      <c r="AB347" s="3">
        <f t="shared" si="23"/>
        <v>-6.54</v>
      </c>
      <c r="AC347" s="45">
        <v>0</v>
      </c>
      <c r="AD347" s="5">
        <f>TABL12[[#This Row],[( S/S+T/B) AJD]]-(TABL12[[#This Row],[(A/B + A/S) AJD]]+(TABL12[[#This Row],[(STORGE DIFF.) AJD]])+TABL12[[#This Row],[البخر  AJD]]/1000)</f>
        <v>21.539999999999964</v>
      </c>
      <c r="AE347" s="40">
        <v>150</v>
      </c>
      <c r="AF347" s="44">
        <v>58.128</v>
      </c>
      <c r="AG347" s="45">
        <v>1251232</v>
      </c>
      <c r="AH347" s="45">
        <f>TABL12[[#This Row],[ (RESV. STORGE) BER]]/10</f>
        <v>125123.2</v>
      </c>
      <c r="AI347" s="45">
        <v>1306</v>
      </c>
      <c r="AJ347" s="6">
        <f>TABL12[[#This Row],[(A/B TOT) AJD]]-TABL12[[#This Row],[BER_ IN]]</f>
        <v>451</v>
      </c>
      <c r="AK347" s="44">
        <v>26</v>
      </c>
      <c r="AL347" s="44">
        <v>42.4604</v>
      </c>
      <c r="AM347" s="45">
        <v>2817152</v>
      </c>
      <c r="AN347" s="45">
        <f>TABL12[[#This Row],[ (RESV. STORGE) SER]]/10</f>
        <v>281715.20000000001</v>
      </c>
      <c r="AO347" s="45">
        <v>943</v>
      </c>
      <c r="AP347" s="32">
        <f>TABL12[[#This Row],[(A/S TOT) AJD]]-TABL12[[#This Row],[SER_ IN]]</f>
        <v>232</v>
      </c>
    </row>
    <row r="348" spans="1:42" ht="18.75" x14ac:dyDescent="0.25">
      <c r="A348" s="2">
        <v>46004</v>
      </c>
      <c r="B348" s="41">
        <v>39</v>
      </c>
      <c r="C348" s="41">
        <v>318</v>
      </c>
      <c r="D348" s="41">
        <v>39</v>
      </c>
      <c r="E348" s="41">
        <v>0</v>
      </c>
      <c r="F348" s="41">
        <v>98</v>
      </c>
      <c r="G348" s="39">
        <v>605</v>
      </c>
      <c r="H348" s="41">
        <f t="shared" si="24"/>
        <v>5</v>
      </c>
      <c r="I348" s="39">
        <v>482</v>
      </c>
      <c r="J348" s="39">
        <v>465</v>
      </c>
      <c r="K348" s="28">
        <f>TABL12[[#This Row],[خط (T/B  TOT) SAR]]+TABL12[[#This Row],[خط (S/S  TOT) SAR2]]</f>
        <v>947</v>
      </c>
      <c r="L348" s="41">
        <v>342</v>
      </c>
      <c r="M348" s="42">
        <v>24.7</v>
      </c>
      <c r="N348" s="42">
        <v>7.53</v>
      </c>
      <c r="O348" s="39">
        <v>438</v>
      </c>
      <c r="P348" s="9">
        <f>TABL12[[#This Row],[خط (S/S  TOT) SAR2]]-TABL12[[#This Row],[(S/S TOT) AJD]]</f>
        <v>27</v>
      </c>
      <c r="Q348" s="39">
        <v>440</v>
      </c>
      <c r="R348" s="9">
        <f>TABL12[[#This Row],[خط (T/B  TOT) SAR]]-TABL12[[#This Row],[(T/B TOT) AJD]]</f>
        <v>42</v>
      </c>
      <c r="S348" s="9">
        <f>TABL12[[#This Row],[الفرق بين بداية ونهاية خط  S/S]]+TABL12[[#This Row],[الفرق بين بداية ونهاية خط  T/B]]</f>
        <v>69</v>
      </c>
      <c r="T348" s="9">
        <f t="shared" si="20"/>
        <v>878</v>
      </c>
      <c r="U348" s="41">
        <v>603</v>
      </c>
      <c r="V348" s="41">
        <v>274</v>
      </c>
      <c r="W348" s="9">
        <f t="shared" si="21"/>
        <v>877</v>
      </c>
      <c r="X348" s="9">
        <f t="shared" si="22"/>
        <v>1</v>
      </c>
      <c r="Y348" s="41">
        <v>92.302000000000007</v>
      </c>
      <c r="Z348" s="43">
        <v>378843</v>
      </c>
      <c r="AA348" s="9">
        <f>TABL12[[#This Row],[(RESV. STORGE) AJD]]/10</f>
        <v>37884.300000000003</v>
      </c>
      <c r="AB348" s="3">
        <f t="shared" si="23"/>
        <v>-26.739000000000001</v>
      </c>
      <c r="AC348" s="43">
        <v>0</v>
      </c>
      <c r="AD348" s="5">
        <f>TABL12[[#This Row],[( S/S+T/B) AJD]]-(TABL12[[#This Row],[(A/B + A/S) AJD]]+(TABL12[[#This Row],[(STORGE DIFF.) AJD]])+TABL12[[#This Row],[البخر  AJD]]/1000)</f>
        <v>27.739000000000033</v>
      </c>
      <c r="AE348" s="39">
        <v>150</v>
      </c>
      <c r="AF348" s="41">
        <v>58.051000000000002</v>
      </c>
      <c r="AG348" s="43">
        <v>1001000</v>
      </c>
      <c r="AH348" s="43">
        <f>TABL12[[#This Row],[ (RESV. STORGE) BER]]/10</f>
        <v>100100</v>
      </c>
      <c r="AI348" s="43">
        <v>1375</v>
      </c>
      <c r="AJ348" s="6">
        <f>TABL12[[#This Row],[(A/B TOT) AJD]]-TABL12[[#This Row],[BER_ IN]]</f>
        <v>453</v>
      </c>
      <c r="AK348" s="41">
        <v>26</v>
      </c>
      <c r="AL348" s="41">
        <v>42.423999999999999</v>
      </c>
      <c r="AM348" s="43">
        <v>2787790</v>
      </c>
      <c r="AN348" s="43">
        <f>TABL12[[#This Row],[ (RESV. STORGE) SER]]/10</f>
        <v>278779</v>
      </c>
      <c r="AO348" s="43">
        <v>1050</v>
      </c>
      <c r="AP348" s="32">
        <f>TABL12[[#This Row],[(A/S TOT) AJD]]-TABL12[[#This Row],[SER_ IN]]</f>
        <v>248</v>
      </c>
    </row>
    <row r="349" spans="1:42" ht="18.75" x14ac:dyDescent="0.25">
      <c r="A349" s="2">
        <v>46005</v>
      </c>
      <c r="B349" s="44">
        <v>39</v>
      </c>
      <c r="C349" s="44">
        <v>333</v>
      </c>
      <c r="D349" s="44">
        <v>39</v>
      </c>
      <c r="E349" s="44">
        <v>0</v>
      </c>
      <c r="F349" s="44">
        <v>98</v>
      </c>
      <c r="G349" s="40">
        <v>601</v>
      </c>
      <c r="H349" s="44">
        <f t="shared" si="24"/>
        <v>5</v>
      </c>
      <c r="I349" s="40">
        <v>480</v>
      </c>
      <c r="J349" s="44">
        <v>463</v>
      </c>
      <c r="K349" s="28">
        <f>TABL12[[#This Row],[خط (T/B  TOT) SAR]]+TABL12[[#This Row],[خط (S/S  TOT) SAR2]]</f>
        <v>943</v>
      </c>
      <c r="L349" s="45">
        <v>342</v>
      </c>
      <c r="M349" s="46">
        <v>24.7</v>
      </c>
      <c r="N349" s="46">
        <v>7.62</v>
      </c>
      <c r="O349" s="40">
        <v>437</v>
      </c>
      <c r="P349" s="9">
        <f>TABL12[[#This Row],[خط (S/S  TOT) SAR2]]-TABL12[[#This Row],[(S/S TOT) AJD]]</f>
        <v>26</v>
      </c>
      <c r="Q349" s="40">
        <v>438</v>
      </c>
      <c r="R349" s="9">
        <f>TABL12[[#This Row],[خط (T/B  TOT) SAR]]-TABL12[[#This Row],[(T/B TOT) AJD]]</f>
        <v>42</v>
      </c>
      <c r="S349" s="9">
        <f>TABL12[[#This Row],[الفرق بين بداية ونهاية خط  S/S]]+TABL12[[#This Row],[الفرق بين بداية ونهاية خط  T/B]]</f>
        <v>68</v>
      </c>
      <c r="T349" s="9">
        <f t="shared" si="20"/>
        <v>875</v>
      </c>
      <c r="U349" s="44">
        <v>605</v>
      </c>
      <c r="V349" s="44">
        <v>241</v>
      </c>
      <c r="W349" s="9">
        <f t="shared" si="21"/>
        <v>846</v>
      </c>
      <c r="X349" s="9">
        <f t="shared" si="22"/>
        <v>29</v>
      </c>
      <c r="Y349" s="44">
        <v>92.311999999999998</v>
      </c>
      <c r="Z349" s="45">
        <v>386567</v>
      </c>
      <c r="AA349" s="9">
        <f>TABL12[[#This Row],[(RESV. STORGE) AJD]]/10</f>
        <v>38656.699999999997</v>
      </c>
      <c r="AB349" s="3">
        <f t="shared" si="23"/>
        <v>7.7240000000000002</v>
      </c>
      <c r="AC349" s="45">
        <v>0</v>
      </c>
      <c r="AD349" s="5">
        <f>TABL12[[#This Row],[( S/S+T/B) AJD]]-(TABL12[[#This Row],[(A/B + A/S) AJD]]+(TABL12[[#This Row],[(STORGE DIFF.) AJD]])+TABL12[[#This Row],[البخر  AJD]]/1000)</f>
        <v>21.275999999999954</v>
      </c>
      <c r="AE349" s="40">
        <v>150</v>
      </c>
      <c r="AF349" s="44">
        <v>58.024000000000001</v>
      </c>
      <c r="AG349" s="45">
        <v>983399</v>
      </c>
      <c r="AH349" s="45">
        <f>TABL12[[#This Row],[ (RESV. STORGE) BER]]/10</f>
        <v>98339.9</v>
      </c>
      <c r="AI349" s="45">
        <v>1994</v>
      </c>
      <c r="AJ349" s="6">
        <f>TABL12[[#This Row],[(A/B TOT) AJD]]-TABL12[[#This Row],[BER_ IN]]</f>
        <v>455</v>
      </c>
      <c r="AK349" s="44">
        <v>26</v>
      </c>
      <c r="AL349" s="44">
        <v>42.418500000000002</v>
      </c>
      <c r="AM349" s="45">
        <v>2795040</v>
      </c>
      <c r="AN349" s="45">
        <f>TABL12[[#This Row],[ (RESV. STORGE) SER]]/10</f>
        <v>279504</v>
      </c>
      <c r="AO349" s="45">
        <v>1120</v>
      </c>
      <c r="AP349" s="32">
        <f>TABL12[[#This Row],[(A/S TOT) AJD]]-TABL12[[#This Row],[SER_ IN]]</f>
        <v>215</v>
      </c>
    </row>
    <row r="350" spans="1:42" ht="18.75" x14ac:dyDescent="0.25">
      <c r="A350" s="2">
        <v>46006</v>
      </c>
      <c r="B350" s="41">
        <v>39</v>
      </c>
      <c r="C350" s="41">
        <v>328</v>
      </c>
      <c r="D350" s="41">
        <v>39</v>
      </c>
      <c r="E350" s="41">
        <v>0</v>
      </c>
      <c r="F350" s="41">
        <v>98</v>
      </c>
      <c r="G350" s="39">
        <v>598</v>
      </c>
      <c r="H350" s="41">
        <f t="shared" si="24"/>
        <v>5</v>
      </c>
      <c r="I350" s="39">
        <v>480</v>
      </c>
      <c r="J350" s="39">
        <v>463</v>
      </c>
      <c r="K350" s="28">
        <f>TABL12[[#This Row],[خط (T/B  TOT) SAR]]+TABL12[[#This Row],[خط (S/S  TOT) SAR2]]</f>
        <v>943</v>
      </c>
      <c r="L350" s="41">
        <v>345</v>
      </c>
      <c r="M350" s="42">
        <v>24.7</v>
      </c>
      <c r="N350" s="42">
        <v>7.71</v>
      </c>
      <c r="O350" s="39">
        <v>437</v>
      </c>
      <c r="P350" s="9">
        <f>TABL12[[#This Row],[خط (S/S  TOT) SAR2]]-TABL12[[#This Row],[(S/S TOT) AJD]]</f>
        <v>26</v>
      </c>
      <c r="Q350" s="39">
        <v>436</v>
      </c>
      <c r="R350" s="9">
        <f>TABL12[[#This Row],[خط (T/B  TOT) SAR]]-TABL12[[#This Row],[(T/B TOT) AJD]]</f>
        <v>44</v>
      </c>
      <c r="S350" s="9">
        <f>TABL12[[#This Row],[الفرق بين بداية ونهاية خط  S/S]]+TABL12[[#This Row],[الفرق بين بداية ونهاية خط  T/B]]</f>
        <v>70</v>
      </c>
      <c r="T350" s="9">
        <f t="shared" si="20"/>
        <v>873</v>
      </c>
      <c r="U350" s="41">
        <v>600</v>
      </c>
      <c r="V350" s="41">
        <v>234</v>
      </c>
      <c r="W350" s="9">
        <f t="shared" si="21"/>
        <v>834</v>
      </c>
      <c r="X350" s="9">
        <f t="shared" si="22"/>
        <v>39</v>
      </c>
      <c r="Y350" s="41">
        <v>92.34</v>
      </c>
      <c r="Z350" s="43">
        <v>401419</v>
      </c>
      <c r="AA350" s="9">
        <f>TABL12[[#This Row],[(RESV. STORGE) AJD]]/10</f>
        <v>40141.9</v>
      </c>
      <c r="AB350" s="3">
        <f t="shared" si="23"/>
        <v>14.852</v>
      </c>
      <c r="AC350" s="43">
        <v>624</v>
      </c>
      <c r="AD350" s="5">
        <f>TABL12[[#This Row],[( S/S+T/B) AJD]]-(TABL12[[#This Row],[(A/B + A/S) AJD]]+(TABL12[[#This Row],[(STORGE DIFF.) AJD]])+TABL12[[#This Row],[البخر  AJD]]/1000)</f>
        <v>23.524000000000001</v>
      </c>
      <c r="AE350" s="39">
        <v>150</v>
      </c>
      <c r="AF350" s="41">
        <v>57.970999999999997</v>
      </c>
      <c r="AG350" s="43">
        <v>948866</v>
      </c>
      <c r="AH350" s="43">
        <f>TABL12[[#This Row],[ (RESV. STORGE) BER]]/10</f>
        <v>94886.6</v>
      </c>
      <c r="AI350" s="43">
        <v>1310</v>
      </c>
      <c r="AJ350" s="6">
        <f>TABL12[[#This Row],[(A/B TOT) AJD]]-TABL12[[#This Row],[BER_ IN]]</f>
        <v>450</v>
      </c>
      <c r="AK350" s="41">
        <v>26</v>
      </c>
      <c r="AL350" s="41">
        <v>42.407499999999999</v>
      </c>
      <c r="AM350" s="43">
        <v>2788690</v>
      </c>
      <c r="AN350" s="43">
        <f>TABL12[[#This Row],[ (RESV. STORGE) SER]]/10</f>
        <v>278869</v>
      </c>
      <c r="AO350" s="43">
        <v>1150</v>
      </c>
      <c r="AP350" s="32">
        <f>TABL12[[#This Row],[(A/S TOT) AJD]]-TABL12[[#This Row],[SER_ IN]]</f>
        <v>208</v>
      </c>
    </row>
    <row r="351" spans="1:42" ht="18.75" x14ac:dyDescent="0.25">
      <c r="A351" s="2">
        <v>46007</v>
      </c>
      <c r="B351" s="44">
        <v>39</v>
      </c>
      <c r="C351" s="44">
        <v>330</v>
      </c>
      <c r="D351" s="44">
        <v>39</v>
      </c>
      <c r="E351" s="44">
        <v>0</v>
      </c>
      <c r="F351" s="44">
        <v>98</v>
      </c>
      <c r="G351" s="40">
        <v>600</v>
      </c>
      <c r="H351" s="44">
        <f t="shared" si="24"/>
        <v>5</v>
      </c>
      <c r="I351" s="40">
        <v>481</v>
      </c>
      <c r="J351" s="44">
        <v>464</v>
      </c>
      <c r="K351" s="28">
        <f>TABL12[[#This Row],[خط (T/B  TOT) SAR]]+TABL12[[#This Row],[خط (S/S  TOT) SAR2]]</f>
        <v>945</v>
      </c>
      <c r="L351" s="45">
        <v>346</v>
      </c>
      <c r="M351" s="46">
        <v>24.7</v>
      </c>
      <c r="N351" s="46">
        <v>7.77</v>
      </c>
      <c r="O351" s="40">
        <v>438</v>
      </c>
      <c r="P351" s="9">
        <f>TABL12[[#This Row],[خط (S/S  TOT) SAR2]]-TABL12[[#This Row],[(S/S TOT) AJD]]</f>
        <v>26</v>
      </c>
      <c r="Q351" s="40">
        <v>437</v>
      </c>
      <c r="R351" s="9">
        <f>TABL12[[#This Row],[خط (T/B  TOT) SAR]]-TABL12[[#This Row],[(T/B TOT) AJD]]</f>
        <v>44</v>
      </c>
      <c r="S351" s="9">
        <f>TABL12[[#This Row],[الفرق بين بداية ونهاية خط  S/S]]+TABL12[[#This Row],[الفرق بين بداية ونهاية خط  T/B]]</f>
        <v>70</v>
      </c>
      <c r="T351" s="9">
        <f t="shared" si="20"/>
        <v>875</v>
      </c>
      <c r="U351" s="44">
        <v>606</v>
      </c>
      <c r="V351" s="44">
        <v>242</v>
      </c>
      <c r="W351" s="9">
        <f t="shared" si="21"/>
        <v>848</v>
      </c>
      <c r="X351" s="9">
        <f t="shared" si="22"/>
        <v>27</v>
      </c>
      <c r="Y351" s="44">
        <v>92.346999999999994</v>
      </c>
      <c r="Z351" s="45">
        <v>407365</v>
      </c>
      <c r="AA351" s="9">
        <f>TABL12[[#This Row],[(RESV. STORGE) AJD]]/10</f>
        <v>40736.5</v>
      </c>
      <c r="AB351" s="3">
        <f t="shared" si="23"/>
        <v>5.9459999999999997</v>
      </c>
      <c r="AC351" s="45">
        <v>791</v>
      </c>
      <c r="AD351" s="5">
        <f>TABL12[[#This Row],[( S/S+T/B) AJD]]-(TABL12[[#This Row],[(A/B + A/S) AJD]]+(TABL12[[#This Row],[(STORGE DIFF.) AJD]])+TABL12[[#This Row],[البخر  AJD]]/1000)</f>
        <v>20.26299999999992</v>
      </c>
      <c r="AE351" s="40">
        <v>150</v>
      </c>
      <c r="AF351" s="44">
        <v>57.91</v>
      </c>
      <c r="AG351" s="45">
        <v>909150</v>
      </c>
      <c r="AH351" s="45">
        <f>TABL12[[#This Row],[ (RESV. STORGE) BER]]/10</f>
        <v>90915</v>
      </c>
      <c r="AI351" s="45">
        <v>1050</v>
      </c>
      <c r="AJ351" s="6">
        <f>TABL12[[#This Row],[(A/B TOT) AJD]]-TABL12[[#This Row],[BER_ IN]]</f>
        <v>456</v>
      </c>
      <c r="AK351" s="44">
        <v>23</v>
      </c>
      <c r="AL351" s="44">
        <v>42.435000000000002</v>
      </c>
      <c r="AM351" s="45">
        <v>2804460</v>
      </c>
      <c r="AN351" s="45">
        <f>TABL12[[#This Row],[ (RESV. STORGE) SER]]/10</f>
        <v>280446</v>
      </c>
      <c r="AO351" s="45">
        <v>1830</v>
      </c>
      <c r="AP351" s="32">
        <f>TABL12[[#This Row],[(A/S TOT) AJD]]-TABL12[[#This Row],[SER_ IN]]</f>
        <v>219</v>
      </c>
    </row>
    <row r="352" spans="1:42" ht="18.75" x14ac:dyDescent="0.25">
      <c r="A352" s="2">
        <v>46008</v>
      </c>
      <c r="B352" s="41">
        <v>39</v>
      </c>
      <c r="C352" s="41">
        <v>327</v>
      </c>
      <c r="D352" s="41">
        <v>39</v>
      </c>
      <c r="E352" s="41">
        <v>0</v>
      </c>
      <c r="F352" s="41">
        <v>98</v>
      </c>
      <c r="G352" s="39">
        <v>600</v>
      </c>
      <c r="H352" s="41">
        <f t="shared" si="24"/>
        <v>5</v>
      </c>
      <c r="I352" s="39">
        <v>482</v>
      </c>
      <c r="J352" s="39">
        <v>465</v>
      </c>
      <c r="K352" s="28">
        <f>TABL12[[#This Row],[خط (T/B  TOT) SAR]]+TABL12[[#This Row],[خط (S/S  TOT) SAR2]]</f>
        <v>947</v>
      </c>
      <c r="L352" s="41">
        <v>347</v>
      </c>
      <c r="M352" s="42">
        <v>24.7</v>
      </c>
      <c r="N352" s="42">
        <v>7.84</v>
      </c>
      <c r="O352" s="39">
        <v>437</v>
      </c>
      <c r="P352" s="9">
        <f>TABL12[[#This Row],[خط (S/S  TOT) SAR2]]-TABL12[[#This Row],[(S/S TOT) AJD]]</f>
        <v>28</v>
      </c>
      <c r="Q352" s="39">
        <v>437</v>
      </c>
      <c r="R352" s="9">
        <f>TABL12[[#This Row],[خط (T/B  TOT) SAR]]-TABL12[[#This Row],[(T/B TOT) AJD]]</f>
        <v>45</v>
      </c>
      <c r="S352" s="9">
        <f>TABL12[[#This Row],[الفرق بين بداية ونهاية خط  S/S]]+TABL12[[#This Row],[الفرق بين بداية ونهاية خط  T/B]]</f>
        <v>73</v>
      </c>
      <c r="T352" s="9">
        <f t="shared" si="20"/>
        <v>874</v>
      </c>
      <c r="U352" s="41">
        <v>598</v>
      </c>
      <c r="V352" s="41">
        <v>240</v>
      </c>
      <c r="W352" s="9">
        <f t="shared" si="21"/>
        <v>838</v>
      </c>
      <c r="X352" s="9">
        <f t="shared" si="22"/>
        <v>36</v>
      </c>
      <c r="Y352" s="41">
        <v>92.363</v>
      </c>
      <c r="Z352" s="43">
        <v>414499</v>
      </c>
      <c r="AA352" s="9">
        <f>TABL12[[#This Row],[(RESV. STORGE) AJD]]/10</f>
        <v>41449.9</v>
      </c>
      <c r="AB352" s="3">
        <f t="shared" si="23"/>
        <v>7.1340000000000003</v>
      </c>
      <c r="AC352" s="43">
        <v>476</v>
      </c>
      <c r="AD352" s="5">
        <f>TABL12[[#This Row],[( S/S+T/B) AJD]]-(TABL12[[#This Row],[(A/B + A/S) AJD]]+(TABL12[[#This Row],[(STORGE DIFF.) AJD]])+TABL12[[#This Row],[البخر  AJD]]/1000)</f>
        <v>28.389999999999986</v>
      </c>
      <c r="AE352" s="39">
        <v>150</v>
      </c>
      <c r="AF352" s="41">
        <v>57.860999999999997</v>
      </c>
      <c r="AG352" s="43">
        <v>877720</v>
      </c>
      <c r="AH352" s="43">
        <f>TABL12[[#This Row],[ (RESV. STORGE) BER]]/10</f>
        <v>87772</v>
      </c>
      <c r="AI352" s="43">
        <v>1910</v>
      </c>
      <c r="AJ352" s="6">
        <f>TABL12[[#This Row],[(A/B TOT) AJD]]-TABL12[[#This Row],[BER_ IN]]</f>
        <v>448</v>
      </c>
      <c r="AK352" s="41">
        <v>24</v>
      </c>
      <c r="AL352" s="41">
        <v>42.4527</v>
      </c>
      <c r="AM352" s="43">
        <v>2813360</v>
      </c>
      <c r="AN352" s="43">
        <f>TABL12[[#This Row],[ (RESV. STORGE) SER]]/10</f>
        <v>281336</v>
      </c>
      <c r="AO352" s="43">
        <v>1800</v>
      </c>
      <c r="AP352" s="32">
        <f>TABL12[[#This Row],[(A/S TOT) AJD]]-TABL12[[#This Row],[SER_ IN]]</f>
        <v>216</v>
      </c>
    </row>
    <row r="353" spans="1:42" ht="18.75" x14ac:dyDescent="0.25">
      <c r="A353" s="2">
        <v>46009</v>
      </c>
      <c r="B353" s="44">
        <v>38</v>
      </c>
      <c r="C353" s="44">
        <v>325</v>
      </c>
      <c r="D353" s="44">
        <v>38</v>
      </c>
      <c r="E353" s="44">
        <v>0</v>
      </c>
      <c r="F353" s="44">
        <v>98</v>
      </c>
      <c r="G353" s="40">
        <v>598</v>
      </c>
      <c r="H353" s="44">
        <f t="shared" si="24"/>
        <v>5</v>
      </c>
      <c r="I353" s="40">
        <v>481</v>
      </c>
      <c r="J353" s="44">
        <v>465</v>
      </c>
      <c r="K353" s="28">
        <f>TABL12[[#This Row],[خط (T/B  TOT) SAR]]+TABL12[[#This Row],[خط (S/S  TOT) SAR2]]</f>
        <v>946</v>
      </c>
      <c r="L353" s="45">
        <v>348</v>
      </c>
      <c r="M353" s="46">
        <v>24.7</v>
      </c>
      <c r="N353" s="46">
        <v>7.87</v>
      </c>
      <c r="O353" s="40">
        <v>439</v>
      </c>
      <c r="P353" s="9">
        <f>TABL12[[#This Row],[خط (S/S  TOT) SAR2]]-TABL12[[#This Row],[(S/S TOT) AJD]]</f>
        <v>26</v>
      </c>
      <c r="Q353" s="40">
        <v>438</v>
      </c>
      <c r="R353" s="9">
        <f>TABL12[[#This Row],[خط (T/B  TOT) SAR]]-TABL12[[#This Row],[(T/B TOT) AJD]]</f>
        <v>43</v>
      </c>
      <c r="S353" s="9">
        <f>TABL12[[#This Row],[الفرق بين بداية ونهاية خط  S/S]]+TABL12[[#This Row],[الفرق بين بداية ونهاية خط  T/B]]</f>
        <v>69</v>
      </c>
      <c r="T353" s="9">
        <f t="shared" si="20"/>
        <v>877</v>
      </c>
      <c r="U353" s="44">
        <v>600</v>
      </c>
      <c r="V353" s="44">
        <v>242</v>
      </c>
      <c r="W353" s="9">
        <f t="shared" si="21"/>
        <v>842</v>
      </c>
      <c r="X353" s="9">
        <f t="shared" si="22"/>
        <v>35</v>
      </c>
      <c r="Y353" s="44">
        <v>92.376999999999995</v>
      </c>
      <c r="Z353" s="45">
        <v>423418</v>
      </c>
      <c r="AA353" s="9">
        <f>TABL12[[#This Row],[(RESV. STORGE) AJD]]/10</f>
        <v>42341.8</v>
      </c>
      <c r="AB353" s="3">
        <f t="shared" si="23"/>
        <v>8.9190000000000005</v>
      </c>
      <c r="AC353" s="45">
        <v>921</v>
      </c>
      <c r="AD353" s="5">
        <f>TABL12[[#This Row],[( S/S+T/B) AJD]]-(TABL12[[#This Row],[(A/B + A/S) AJD]]+(TABL12[[#This Row],[(STORGE DIFF.) AJD]])+TABL12[[#This Row],[البخر  AJD]]/1000)</f>
        <v>25.159999999999968</v>
      </c>
      <c r="AE353" s="40">
        <v>150</v>
      </c>
      <c r="AF353" s="44">
        <v>57.814999999999998</v>
      </c>
      <c r="AG353" s="45">
        <v>847361</v>
      </c>
      <c r="AH353" s="45">
        <f>TABL12[[#This Row],[ (RESV. STORGE) BER]]/10</f>
        <v>84736.1</v>
      </c>
      <c r="AI353" s="45">
        <v>1816</v>
      </c>
      <c r="AJ353" s="6">
        <f>TABL12[[#This Row],[(A/B TOT) AJD]]-TABL12[[#This Row],[BER_ IN]]</f>
        <v>450</v>
      </c>
      <c r="AK353" s="44">
        <v>24</v>
      </c>
      <c r="AL353" s="44">
        <v>42.484000000000002</v>
      </c>
      <c r="AM353" s="45">
        <v>2830010</v>
      </c>
      <c r="AN353" s="45">
        <f>TABL12[[#This Row],[ (RESV. STORGE) SER]]/10</f>
        <v>283001</v>
      </c>
      <c r="AO353" s="45">
        <v>1700</v>
      </c>
      <c r="AP353" s="32">
        <f>TABL12[[#This Row],[(A/S TOT) AJD]]-TABL12[[#This Row],[SER_ IN]]</f>
        <v>218</v>
      </c>
    </row>
    <row r="354" spans="1:42" ht="18.75" x14ac:dyDescent="0.25">
      <c r="A354" s="2">
        <v>46010</v>
      </c>
      <c r="B354" s="41">
        <v>38</v>
      </c>
      <c r="C354" s="41">
        <v>316</v>
      </c>
      <c r="D354" s="41">
        <v>38</v>
      </c>
      <c r="E354" s="41">
        <v>0</v>
      </c>
      <c r="F354" s="41">
        <v>98</v>
      </c>
      <c r="G354" s="39">
        <v>599</v>
      </c>
      <c r="H354" s="41">
        <f t="shared" si="24"/>
        <v>5</v>
      </c>
      <c r="I354" s="39">
        <v>481</v>
      </c>
      <c r="J354" s="39">
        <v>465</v>
      </c>
      <c r="K354" s="28">
        <f>TABL12[[#This Row],[خط (T/B  TOT) SAR]]+TABL12[[#This Row],[خط (S/S  TOT) SAR2]]</f>
        <v>946</v>
      </c>
      <c r="L354" s="41">
        <v>347</v>
      </c>
      <c r="M354" s="42">
        <v>24.7</v>
      </c>
      <c r="N354" s="42">
        <v>7.87</v>
      </c>
      <c r="O354" s="39">
        <v>439</v>
      </c>
      <c r="P354" s="9">
        <f>TABL12[[#This Row],[خط (S/S  TOT) SAR2]]-TABL12[[#This Row],[(S/S TOT) AJD]]</f>
        <v>26</v>
      </c>
      <c r="Q354" s="39">
        <v>438</v>
      </c>
      <c r="R354" s="9">
        <f>TABL12[[#This Row],[خط (T/B  TOT) SAR]]-TABL12[[#This Row],[(T/B TOT) AJD]]</f>
        <v>43</v>
      </c>
      <c r="S354" s="9">
        <f>TABL12[[#This Row],[الفرق بين بداية ونهاية خط  S/S]]+TABL12[[#This Row],[الفرق بين بداية ونهاية خط  T/B]]</f>
        <v>69</v>
      </c>
      <c r="T354" s="9">
        <f t="shared" si="20"/>
        <v>877</v>
      </c>
      <c r="U354" s="41">
        <v>599</v>
      </c>
      <c r="V354" s="41">
        <v>250</v>
      </c>
      <c r="W354" s="9">
        <f t="shared" si="21"/>
        <v>849</v>
      </c>
      <c r="X354" s="9">
        <f t="shared" si="22"/>
        <v>28</v>
      </c>
      <c r="Y354" s="41">
        <v>92.385000000000005</v>
      </c>
      <c r="Z354" s="43">
        <v>428177</v>
      </c>
      <c r="AA354" s="9">
        <f>TABL12[[#This Row],[(RESV. STORGE) AJD]]/10</f>
        <v>42817.7</v>
      </c>
      <c r="AB354" s="3">
        <f t="shared" si="23"/>
        <v>4.7590000000000003</v>
      </c>
      <c r="AC354" s="43">
        <v>1041</v>
      </c>
      <c r="AD354" s="5">
        <f>TABL12[[#This Row],[( S/S+T/B) AJD]]-(TABL12[[#This Row],[(A/B + A/S) AJD]]+(TABL12[[#This Row],[(STORGE DIFF.) AJD]])+TABL12[[#This Row],[البخر  AJD]]/1000)</f>
        <v>22.199999999999932</v>
      </c>
      <c r="AE354" s="39">
        <v>150</v>
      </c>
      <c r="AF354" s="41">
        <v>57.762</v>
      </c>
      <c r="AG354" s="43">
        <v>812923</v>
      </c>
      <c r="AH354" s="43">
        <f>TABL12[[#This Row],[ (RESV. STORGE) BER]]/10</f>
        <v>81292.3</v>
      </c>
      <c r="AI354" s="43">
        <v>740</v>
      </c>
      <c r="AJ354" s="6">
        <f>TABL12[[#This Row],[(A/B TOT) AJD]]-TABL12[[#This Row],[BER_ IN]]</f>
        <v>449</v>
      </c>
      <c r="AK354" s="41">
        <v>27</v>
      </c>
      <c r="AL354" s="41">
        <v>42.4983</v>
      </c>
      <c r="AM354" s="43">
        <v>2837570</v>
      </c>
      <c r="AN354" s="43">
        <f>TABL12[[#This Row],[ (RESV. STORGE) SER]]/10</f>
        <v>283757</v>
      </c>
      <c r="AO354" s="43">
        <v>1840</v>
      </c>
      <c r="AP354" s="32">
        <f>TABL12[[#This Row],[(A/S TOT) AJD]]-TABL12[[#This Row],[SER_ IN]]</f>
        <v>223</v>
      </c>
    </row>
    <row r="355" spans="1:42" ht="18.75" x14ac:dyDescent="0.25">
      <c r="A355" s="2">
        <v>46011</v>
      </c>
      <c r="B355" s="44">
        <v>37</v>
      </c>
      <c r="C355" s="44">
        <v>295</v>
      </c>
      <c r="D355" s="44">
        <v>37</v>
      </c>
      <c r="E355" s="44">
        <v>0</v>
      </c>
      <c r="F355" s="44">
        <v>98</v>
      </c>
      <c r="G355" s="40">
        <v>597</v>
      </c>
      <c r="H355" s="44">
        <f t="shared" si="24"/>
        <v>5</v>
      </c>
      <c r="I355" s="40">
        <v>480</v>
      </c>
      <c r="J355" s="44">
        <v>462</v>
      </c>
      <c r="K355" s="28">
        <f>TABL12[[#This Row],[خط (T/B  TOT) SAR]]+TABL12[[#This Row],[خط (S/S  TOT) SAR2]]</f>
        <v>942</v>
      </c>
      <c r="L355" s="45">
        <v>345</v>
      </c>
      <c r="M355" s="46">
        <v>24.7</v>
      </c>
      <c r="N355" s="46">
        <v>7.73</v>
      </c>
      <c r="O355" s="40">
        <v>438</v>
      </c>
      <c r="P355" s="9">
        <f>TABL12[[#This Row],[خط (S/S  TOT) SAR2]]-TABL12[[#This Row],[(S/S TOT) AJD]]</f>
        <v>24</v>
      </c>
      <c r="Q355" s="40">
        <v>439</v>
      </c>
      <c r="R355" s="9">
        <f>TABL12[[#This Row],[خط (T/B  TOT) SAR]]-TABL12[[#This Row],[(T/B TOT) AJD]]</f>
        <v>41</v>
      </c>
      <c r="S355" s="9">
        <f>TABL12[[#This Row],[الفرق بين بداية ونهاية خط  S/S]]+TABL12[[#This Row],[الفرق بين بداية ونهاية خط  T/B]]</f>
        <v>65</v>
      </c>
      <c r="T355" s="9">
        <f t="shared" si="20"/>
        <v>877</v>
      </c>
      <c r="U355" s="44">
        <v>591</v>
      </c>
      <c r="V355" s="44">
        <v>246</v>
      </c>
      <c r="W355" s="9">
        <f t="shared" si="21"/>
        <v>837</v>
      </c>
      <c r="X355" s="9">
        <f t="shared" si="22"/>
        <v>40</v>
      </c>
      <c r="Y355" s="44">
        <v>92.427000000000007</v>
      </c>
      <c r="Z355" s="45">
        <v>453163</v>
      </c>
      <c r="AA355" s="9">
        <f>TABL12[[#This Row],[(RESV. STORGE) AJD]]/10</f>
        <v>45316.3</v>
      </c>
      <c r="AB355" s="3">
        <f t="shared" si="23"/>
        <v>24.986000000000001</v>
      </c>
      <c r="AC355" s="45">
        <v>762</v>
      </c>
      <c r="AD355" s="5">
        <f>TABL12[[#This Row],[( S/S+T/B) AJD]]-(TABL12[[#This Row],[(A/B + A/S) AJD]]+(TABL12[[#This Row],[(STORGE DIFF.) AJD]])+TABL12[[#This Row],[البخر  AJD]]/1000)</f>
        <v>14.252000000000066</v>
      </c>
      <c r="AE355" s="40">
        <v>148</v>
      </c>
      <c r="AF355" s="44">
        <v>57.7</v>
      </c>
      <c r="AG355" s="45">
        <v>772667</v>
      </c>
      <c r="AH355" s="45">
        <f>TABL12[[#This Row],[ (RESV. STORGE) BER]]/10</f>
        <v>77266.7</v>
      </c>
      <c r="AI355" s="45">
        <v>1666</v>
      </c>
      <c r="AJ355" s="6">
        <f>TABL12[[#This Row],[(A/B TOT) AJD]]-TABL12[[#This Row],[BER_ IN]]</f>
        <v>443</v>
      </c>
      <c r="AK355" s="44">
        <v>25</v>
      </c>
      <c r="AL355" s="44">
        <v>42.499600000000001</v>
      </c>
      <c r="AM355" s="45">
        <v>2838340</v>
      </c>
      <c r="AN355" s="45">
        <f>TABL12[[#This Row],[ (RESV. STORGE) SER]]/10</f>
        <v>283834</v>
      </c>
      <c r="AO355" s="45">
        <v>1830</v>
      </c>
      <c r="AP355" s="32">
        <f>TABL12[[#This Row],[(A/S TOT) AJD]]-TABL12[[#This Row],[SER_ IN]]</f>
        <v>221</v>
      </c>
    </row>
    <row r="356" spans="1:42" ht="18.75" x14ac:dyDescent="0.25">
      <c r="A356" s="2">
        <v>46012</v>
      </c>
      <c r="B356" s="41">
        <v>38</v>
      </c>
      <c r="C356" s="41">
        <v>315</v>
      </c>
      <c r="D356" s="41">
        <v>38</v>
      </c>
      <c r="E356" s="41">
        <v>0</v>
      </c>
      <c r="F356" s="41">
        <v>98</v>
      </c>
      <c r="G356" s="39">
        <v>594</v>
      </c>
      <c r="H356" s="41">
        <f t="shared" si="24"/>
        <v>5</v>
      </c>
      <c r="I356" s="39">
        <v>478</v>
      </c>
      <c r="J356" s="39">
        <v>461</v>
      </c>
      <c r="K356" s="28">
        <f>TABL12[[#This Row],[خط (T/B  TOT) SAR]]+TABL12[[#This Row],[خط (S/S  TOT) SAR2]]</f>
        <v>939</v>
      </c>
      <c r="L356" s="41">
        <v>345</v>
      </c>
      <c r="M356" s="42">
        <v>24.7</v>
      </c>
      <c r="N356" s="42">
        <v>7.69</v>
      </c>
      <c r="O356" s="39">
        <v>437</v>
      </c>
      <c r="P356" s="9">
        <f>TABL12[[#This Row],[خط (S/S  TOT) SAR2]]-TABL12[[#This Row],[(S/S TOT) AJD]]</f>
        <v>24</v>
      </c>
      <c r="Q356" s="39">
        <v>437</v>
      </c>
      <c r="R356" s="9">
        <f>TABL12[[#This Row],[خط (T/B  TOT) SAR]]-TABL12[[#This Row],[(T/B TOT) AJD]]</f>
        <v>41</v>
      </c>
      <c r="S356" s="9">
        <f>TABL12[[#This Row],[الفرق بين بداية ونهاية خط  S/S]]+TABL12[[#This Row],[الفرق بين بداية ونهاية خط  T/B]]</f>
        <v>65</v>
      </c>
      <c r="T356" s="9">
        <f t="shared" si="20"/>
        <v>874</v>
      </c>
      <c r="U356" s="41">
        <v>594</v>
      </c>
      <c r="V356" s="41">
        <v>239</v>
      </c>
      <c r="W356" s="9">
        <f t="shared" si="21"/>
        <v>833</v>
      </c>
      <c r="X356" s="9">
        <f t="shared" si="22"/>
        <v>41</v>
      </c>
      <c r="Y356" s="41">
        <v>92.471999999999994</v>
      </c>
      <c r="Z356" s="43">
        <v>479956</v>
      </c>
      <c r="AA356" s="9">
        <f>TABL12[[#This Row],[(RESV. STORGE) AJD]]/10</f>
        <v>47995.6</v>
      </c>
      <c r="AB356" s="3">
        <f t="shared" si="23"/>
        <v>26.792999999999999</v>
      </c>
      <c r="AC356" s="43">
        <v>567</v>
      </c>
      <c r="AD356" s="5">
        <f>TABL12[[#This Row],[( S/S+T/B) AJD]]-(TABL12[[#This Row],[(A/B + A/S) AJD]]+(TABL12[[#This Row],[(STORGE DIFF.) AJD]])+TABL12[[#This Row],[البخر  AJD]]/1000)</f>
        <v>13.639999999999986</v>
      </c>
      <c r="AE356" s="39">
        <v>145</v>
      </c>
      <c r="AF356" s="41">
        <v>57.64</v>
      </c>
      <c r="AG356" s="43">
        <v>733742</v>
      </c>
      <c r="AH356" s="43">
        <f>TABL12[[#This Row],[ (RESV. STORGE) BER]]/10</f>
        <v>73374.2</v>
      </c>
      <c r="AI356" s="43">
        <v>1884</v>
      </c>
      <c r="AJ356" s="6">
        <f>TABL12[[#This Row],[(A/B TOT) AJD]]-TABL12[[#This Row],[BER_ IN]]</f>
        <v>449</v>
      </c>
      <c r="AK356" s="41">
        <v>24</v>
      </c>
      <c r="AL356" s="41">
        <v>42.491100000000003</v>
      </c>
      <c r="AM356" s="43">
        <v>2833770</v>
      </c>
      <c r="AN356" s="43">
        <f>TABL12[[#This Row],[ (RESV. STORGE) SER]]/10</f>
        <v>283377</v>
      </c>
      <c r="AO356" s="43">
        <v>1870</v>
      </c>
      <c r="AP356" s="32">
        <f>TABL12[[#This Row],[(A/S TOT) AJD]]-TABL12[[#This Row],[SER_ IN]]</f>
        <v>215</v>
      </c>
    </row>
    <row r="357" spans="1:42" ht="18.75" x14ac:dyDescent="0.25">
      <c r="A357" s="2">
        <v>46013</v>
      </c>
      <c r="B357" s="44">
        <v>38</v>
      </c>
      <c r="C357" s="44">
        <v>304</v>
      </c>
      <c r="D357" s="44">
        <v>38</v>
      </c>
      <c r="E357" s="44">
        <v>0</v>
      </c>
      <c r="F357" s="44">
        <v>97</v>
      </c>
      <c r="G357" s="40">
        <v>602</v>
      </c>
      <c r="H357" s="44">
        <f t="shared" si="24"/>
        <v>6</v>
      </c>
      <c r="I357" s="40">
        <v>482</v>
      </c>
      <c r="J357" s="44">
        <v>465</v>
      </c>
      <c r="K357" s="28">
        <f>TABL12[[#This Row],[خط (T/B  TOT) SAR]]+TABL12[[#This Row],[خط (S/S  TOT) SAR2]]</f>
        <v>947</v>
      </c>
      <c r="L357" s="45">
        <v>345</v>
      </c>
      <c r="M357" s="46">
        <v>24.7</v>
      </c>
      <c r="N357" s="46">
        <v>7.64</v>
      </c>
      <c r="O357" s="40">
        <v>439</v>
      </c>
      <c r="P357" s="9">
        <f>TABL12[[#This Row],[خط (S/S  TOT) SAR2]]-TABL12[[#This Row],[(S/S TOT) AJD]]</f>
        <v>26</v>
      </c>
      <c r="Q357" s="40">
        <v>438</v>
      </c>
      <c r="R357" s="9">
        <f>TABL12[[#This Row],[خط (T/B  TOT) SAR]]-TABL12[[#This Row],[(T/B TOT) AJD]]</f>
        <v>44</v>
      </c>
      <c r="S357" s="9">
        <f>TABL12[[#This Row],[الفرق بين بداية ونهاية خط  S/S]]+TABL12[[#This Row],[الفرق بين بداية ونهاية خط  T/B]]</f>
        <v>70</v>
      </c>
      <c r="T357" s="9">
        <f t="shared" si="20"/>
        <v>877</v>
      </c>
      <c r="U357" s="44">
        <v>593</v>
      </c>
      <c r="V357" s="44">
        <v>245</v>
      </c>
      <c r="W357" s="9">
        <f t="shared" si="21"/>
        <v>838</v>
      </c>
      <c r="X357" s="9">
        <f t="shared" si="22"/>
        <v>39</v>
      </c>
      <c r="Y357" s="44">
        <v>92.484999999999999</v>
      </c>
      <c r="Z357" s="45">
        <v>487691</v>
      </c>
      <c r="AA357" s="9">
        <f>TABL12[[#This Row],[(RESV. STORGE) AJD]]/10</f>
        <v>48769.1</v>
      </c>
      <c r="AB357" s="3">
        <f t="shared" si="23"/>
        <v>7.7350000000000003</v>
      </c>
      <c r="AC357" s="45">
        <v>1046</v>
      </c>
      <c r="AD357" s="5">
        <f>TABL12[[#This Row],[( S/S+T/B) AJD]]-(TABL12[[#This Row],[(A/B + A/S) AJD]]+(TABL12[[#This Row],[(STORGE DIFF.) AJD]])+TABL12[[#This Row],[البخر  AJD]]/1000)</f>
        <v>30.218999999999937</v>
      </c>
      <c r="AE357" s="40">
        <v>150</v>
      </c>
      <c r="AF357" s="44">
        <v>57.78</v>
      </c>
      <c r="AG357" s="45">
        <v>824616</v>
      </c>
      <c r="AH357" s="45">
        <f>TABL12[[#This Row],[ (RESV. STORGE) BER]]/10</f>
        <v>82461.600000000006</v>
      </c>
      <c r="AI357" s="45">
        <v>2058</v>
      </c>
      <c r="AJ357" s="6">
        <f>TABL12[[#This Row],[(A/B TOT) AJD]]-TABL12[[#This Row],[BER_ IN]]</f>
        <v>443</v>
      </c>
      <c r="AK357" s="44">
        <v>23</v>
      </c>
      <c r="AL357" s="44">
        <v>42.475900000000003</v>
      </c>
      <c r="AM357" s="45">
        <v>2825670</v>
      </c>
      <c r="AN357" s="45">
        <f>TABL12[[#This Row],[ (RESV. STORGE) SER]]/10</f>
        <v>282567</v>
      </c>
      <c r="AO357" s="45">
        <v>1800</v>
      </c>
      <c r="AP357" s="32">
        <f>TABL12[[#This Row],[(A/S TOT) AJD]]-TABL12[[#This Row],[SER_ IN]]</f>
        <v>222</v>
      </c>
    </row>
    <row r="358" spans="1:42" ht="18.75" x14ac:dyDescent="0.25">
      <c r="A358" s="2">
        <v>46014</v>
      </c>
      <c r="B358" s="41">
        <v>36</v>
      </c>
      <c r="C358" s="41">
        <v>300</v>
      </c>
      <c r="D358" s="41">
        <v>36</v>
      </c>
      <c r="E358" s="41">
        <v>0</v>
      </c>
      <c r="F358" s="41">
        <v>96</v>
      </c>
      <c r="G358" s="39">
        <v>602</v>
      </c>
      <c r="H358" s="41">
        <f t="shared" si="24"/>
        <v>7</v>
      </c>
      <c r="I358" s="39">
        <v>480</v>
      </c>
      <c r="J358" s="39">
        <v>462</v>
      </c>
      <c r="K358" s="28">
        <f>TABL12[[#This Row],[خط (T/B  TOT) SAR]]+TABL12[[#This Row],[خط (S/S  TOT) SAR2]]</f>
        <v>942</v>
      </c>
      <c r="L358" s="41">
        <v>340</v>
      </c>
      <c r="M358" s="42">
        <v>24.7</v>
      </c>
      <c r="N358" s="42">
        <v>7.57</v>
      </c>
      <c r="O358" s="39">
        <v>440</v>
      </c>
      <c r="P358" s="9">
        <f>TABL12[[#This Row],[خط (S/S  TOT) SAR2]]-TABL12[[#This Row],[(S/S TOT) AJD]]</f>
        <v>22</v>
      </c>
      <c r="Q358" s="39">
        <v>440</v>
      </c>
      <c r="R358" s="9">
        <f>TABL12[[#This Row],[خط (T/B  TOT) SAR]]-TABL12[[#This Row],[(T/B TOT) AJD]]</f>
        <v>40</v>
      </c>
      <c r="S358" s="9">
        <f>TABL12[[#This Row],[الفرق بين بداية ونهاية خط  S/S]]+TABL12[[#This Row],[الفرق بين بداية ونهاية خط  T/B]]</f>
        <v>62</v>
      </c>
      <c r="T358" s="9">
        <f t="shared" si="20"/>
        <v>880</v>
      </c>
      <c r="U358" s="41">
        <v>593</v>
      </c>
      <c r="V358" s="41">
        <v>237</v>
      </c>
      <c r="W358" s="9">
        <f t="shared" si="21"/>
        <v>830</v>
      </c>
      <c r="X358" s="9">
        <f t="shared" si="22"/>
        <v>50</v>
      </c>
      <c r="Y358" s="41">
        <v>92.52</v>
      </c>
      <c r="Z358" s="43">
        <v>508538</v>
      </c>
      <c r="AA358" s="9">
        <f>TABL12[[#This Row],[(RESV. STORGE) AJD]]/10</f>
        <v>50853.8</v>
      </c>
      <c r="AB358" s="3">
        <f t="shared" si="23"/>
        <v>20.847000000000001</v>
      </c>
      <c r="AC358" s="43">
        <v>905</v>
      </c>
      <c r="AD358" s="5">
        <f>TABL12[[#This Row],[( S/S+T/B) AJD]]-(TABL12[[#This Row],[(A/B + A/S) AJD]]+(TABL12[[#This Row],[(STORGE DIFF.) AJD]])+TABL12[[#This Row],[البخر  AJD]]/1000)</f>
        <v>28.248000000000047</v>
      </c>
      <c r="AE358" s="39">
        <v>145</v>
      </c>
      <c r="AF358" s="41">
        <v>57.92</v>
      </c>
      <c r="AG358" s="43">
        <v>915658</v>
      </c>
      <c r="AH358" s="43">
        <f>TABL12[[#This Row],[ (RESV. STORGE) BER]]/10</f>
        <v>91565.8</v>
      </c>
      <c r="AI358" s="43">
        <v>889</v>
      </c>
      <c r="AJ358" s="6">
        <f>TABL12[[#This Row],[(A/B TOT) AJD]]-TABL12[[#This Row],[BER_ IN]]</f>
        <v>448</v>
      </c>
      <c r="AK358" s="41">
        <v>24</v>
      </c>
      <c r="AL358" s="41">
        <v>42.476900000000001</v>
      </c>
      <c r="AM358" s="43">
        <v>2825910</v>
      </c>
      <c r="AN358" s="43">
        <f>TABL12[[#This Row],[ (RESV. STORGE) SER]]/10</f>
        <v>282591</v>
      </c>
      <c r="AO358" s="43">
        <v>1860</v>
      </c>
      <c r="AP358" s="32">
        <f>TABL12[[#This Row],[(A/S TOT) AJD]]-TABL12[[#This Row],[SER_ IN]]</f>
        <v>213</v>
      </c>
    </row>
    <row r="359" spans="1:42" ht="18.75" x14ac:dyDescent="0.25">
      <c r="A359" s="2">
        <v>46015</v>
      </c>
      <c r="B359" s="44">
        <v>38</v>
      </c>
      <c r="C359" s="44">
        <v>301</v>
      </c>
      <c r="D359" s="44">
        <v>38</v>
      </c>
      <c r="E359" s="44">
        <v>0</v>
      </c>
      <c r="F359" s="44">
        <v>97</v>
      </c>
      <c r="G359" s="40">
        <v>605</v>
      </c>
      <c r="H359" s="44">
        <f t="shared" si="24"/>
        <v>6</v>
      </c>
      <c r="I359" s="40">
        <v>478</v>
      </c>
      <c r="J359" s="44">
        <v>465</v>
      </c>
      <c r="K359" s="28">
        <f>TABL12[[#This Row],[خط (T/B  TOT) SAR]]+TABL12[[#This Row],[خط (S/S  TOT) SAR2]]</f>
        <v>943</v>
      </c>
      <c r="L359" s="45">
        <v>338</v>
      </c>
      <c r="M359" s="46">
        <v>24.7</v>
      </c>
      <c r="N359" s="46">
        <v>7.5</v>
      </c>
      <c r="O359" s="40">
        <v>439</v>
      </c>
      <c r="P359" s="9">
        <f>TABL12[[#This Row],[خط (S/S  TOT) SAR2]]-TABL12[[#This Row],[(S/S TOT) AJD]]</f>
        <v>26</v>
      </c>
      <c r="Q359" s="40">
        <v>437</v>
      </c>
      <c r="R359" s="9">
        <f>TABL12[[#This Row],[خط (T/B  TOT) SAR]]-TABL12[[#This Row],[(T/B TOT) AJD]]</f>
        <v>41</v>
      </c>
      <c r="S359" s="9">
        <f>TABL12[[#This Row],[الفرق بين بداية ونهاية خط  S/S]]+TABL12[[#This Row],[الفرق بين بداية ونهاية خط  T/B]]</f>
        <v>67</v>
      </c>
      <c r="T359" s="9">
        <f t="shared" si="20"/>
        <v>876</v>
      </c>
      <c r="U359" s="44">
        <v>578</v>
      </c>
      <c r="V359" s="44">
        <v>231</v>
      </c>
      <c r="W359" s="9">
        <f t="shared" si="21"/>
        <v>809</v>
      </c>
      <c r="X359" s="9">
        <f t="shared" si="22"/>
        <v>67</v>
      </c>
      <c r="Y359" s="44">
        <v>92.578999999999994</v>
      </c>
      <c r="Z359" s="45">
        <v>543705</v>
      </c>
      <c r="AA359" s="9">
        <f>TABL12[[#This Row],[(RESV. STORGE) AJD]]/10</f>
        <v>54370.5</v>
      </c>
      <c r="AB359" s="3">
        <f t="shared" si="23"/>
        <v>35.167000000000002</v>
      </c>
      <c r="AC359" s="45">
        <v>1085</v>
      </c>
      <c r="AD359" s="5">
        <f>TABL12[[#This Row],[( S/S+T/B) AJD]]-(TABL12[[#This Row],[(A/B + A/S) AJD]]+(TABL12[[#This Row],[(STORGE DIFF.) AJD]])+TABL12[[#This Row],[البخر  AJD]]/1000)</f>
        <v>30.747999999999934</v>
      </c>
      <c r="AE359" s="40">
        <v>145</v>
      </c>
      <c r="AF359" s="44">
        <v>58.082999999999998</v>
      </c>
      <c r="AG359" s="45">
        <v>1021870</v>
      </c>
      <c r="AH359" s="45">
        <f>TABL12[[#This Row],[ (RESV. STORGE) BER]]/10</f>
        <v>102187</v>
      </c>
      <c r="AI359" s="45">
        <v>1772</v>
      </c>
      <c r="AJ359" s="6">
        <f>TABL12[[#This Row],[(A/B TOT) AJD]]-TABL12[[#This Row],[BER_ IN]]</f>
        <v>433</v>
      </c>
      <c r="AK359" s="44">
        <v>24</v>
      </c>
      <c r="AL359" s="44">
        <v>42.498899999999999</v>
      </c>
      <c r="AM359" s="45">
        <v>2838060</v>
      </c>
      <c r="AN359" s="45">
        <f>TABL12[[#This Row],[ (RESV. STORGE) SER]]/10</f>
        <v>283806</v>
      </c>
      <c r="AO359" s="45">
        <v>1850</v>
      </c>
      <c r="AP359" s="32">
        <f>TABL12[[#This Row],[(A/S TOT) AJD]]-TABL12[[#This Row],[SER_ IN]]</f>
        <v>207</v>
      </c>
    </row>
    <row r="360" spans="1:42" ht="18.75" x14ac:dyDescent="0.25">
      <c r="A360" s="2">
        <v>46016</v>
      </c>
      <c r="B360" s="41">
        <v>37</v>
      </c>
      <c r="C360" s="41">
        <v>303</v>
      </c>
      <c r="D360" s="41">
        <v>37</v>
      </c>
      <c r="E360" s="41">
        <v>0</v>
      </c>
      <c r="F360" s="41">
        <v>97</v>
      </c>
      <c r="G360" s="39">
        <v>607</v>
      </c>
      <c r="H360" s="41">
        <f t="shared" si="24"/>
        <v>6</v>
      </c>
      <c r="I360" s="39">
        <v>485</v>
      </c>
      <c r="J360" s="39">
        <v>462</v>
      </c>
      <c r="K360" s="28">
        <f>TABL12[[#This Row],[خط (T/B  TOT) SAR]]+TABL12[[#This Row],[خط (S/S  TOT) SAR2]]</f>
        <v>947</v>
      </c>
      <c r="L360" s="41">
        <v>340</v>
      </c>
      <c r="M360" s="42">
        <v>24.7</v>
      </c>
      <c r="N360" s="42">
        <v>7.46</v>
      </c>
      <c r="O360" s="39">
        <v>438</v>
      </c>
      <c r="P360" s="9">
        <f>TABL12[[#This Row],[خط (S/S  TOT) SAR2]]-TABL12[[#This Row],[(S/S TOT) AJD]]</f>
        <v>24</v>
      </c>
      <c r="Q360" s="39">
        <v>437</v>
      </c>
      <c r="R360" s="9">
        <f>TABL12[[#This Row],[خط (T/B  TOT) SAR]]-TABL12[[#This Row],[(T/B TOT) AJD]]</f>
        <v>48</v>
      </c>
      <c r="S360" s="9">
        <f>TABL12[[#This Row],[الفرق بين بداية ونهاية خط  S/S]]+TABL12[[#This Row],[الفرق بين بداية ونهاية خط  T/B]]</f>
        <v>72</v>
      </c>
      <c r="T360" s="9">
        <f t="shared" si="20"/>
        <v>875</v>
      </c>
      <c r="U360" s="41">
        <v>592</v>
      </c>
      <c r="V360" s="41">
        <v>250</v>
      </c>
      <c r="W360" s="9">
        <f t="shared" si="21"/>
        <v>842</v>
      </c>
      <c r="X360" s="9">
        <f t="shared" si="22"/>
        <v>33</v>
      </c>
      <c r="Y360" s="41">
        <v>92.587000000000003</v>
      </c>
      <c r="Z360" s="43">
        <v>548478</v>
      </c>
      <c r="AA360" s="9">
        <f>TABL12[[#This Row],[(RESV. STORGE) AJD]]/10</f>
        <v>54847.8</v>
      </c>
      <c r="AB360" s="3">
        <f t="shared" si="23"/>
        <v>4.7729999999999997</v>
      </c>
      <c r="AC360" s="43">
        <v>1060</v>
      </c>
      <c r="AD360" s="5">
        <f>TABL12[[#This Row],[( S/S+T/B) AJD]]-(TABL12[[#This Row],[(A/B + A/S) AJD]]+(TABL12[[#This Row],[(STORGE DIFF.) AJD]])+TABL12[[#This Row],[البخر  AJD]]/1000)</f>
        <v>27.16700000000003</v>
      </c>
      <c r="AE360" s="39">
        <v>145</v>
      </c>
      <c r="AF360" s="41">
        <v>58.106000000000002</v>
      </c>
      <c r="AG360" s="43">
        <v>1036875</v>
      </c>
      <c r="AH360" s="43">
        <f>TABL12[[#This Row],[ (RESV. STORGE) BER]]/10</f>
        <v>103687.5</v>
      </c>
      <c r="AI360" s="43">
        <v>2539</v>
      </c>
      <c r="AJ360" s="6">
        <f>TABL12[[#This Row],[(A/B TOT) AJD]]-TABL12[[#This Row],[BER_ IN]]</f>
        <v>447</v>
      </c>
      <c r="AK360" s="41">
        <v>39</v>
      </c>
      <c r="AL360" s="41">
        <v>42.512900000000002</v>
      </c>
      <c r="AM360" s="43">
        <v>2845590</v>
      </c>
      <c r="AN360" s="43">
        <f>TABL12[[#This Row],[ (RESV. STORGE) SER]]/10</f>
        <v>284559</v>
      </c>
      <c r="AO360" s="43">
        <v>1870</v>
      </c>
      <c r="AP360" s="32">
        <f>TABL12[[#This Row],[(A/S TOT) AJD]]-TABL12[[#This Row],[SER_ IN]]</f>
        <v>211</v>
      </c>
    </row>
    <row r="361" spans="1:42" ht="18.75" x14ac:dyDescent="0.25">
      <c r="A361" s="2">
        <v>46017</v>
      </c>
      <c r="B361" s="44">
        <v>38</v>
      </c>
      <c r="C361" s="44">
        <v>312</v>
      </c>
      <c r="D361" s="44">
        <v>38</v>
      </c>
      <c r="E361" s="44">
        <v>0</v>
      </c>
      <c r="F361" s="44">
        <v>97</v>
      </c>
      <c r="G361" s="40">
        <v>604</v>
      </c>
      <c r="H361" s="44">
        <f>103-F361</f>
        <v>6</v>
      </c>
      <c r="I361" s="40">
        <v>480</v>
      </c>
      <c r="J361" s="44">
        <v>462</v>
      </c>
      <c r="K361" s="28">
        <f>TABL12[[#This Row],[خط (T/B  TOT) SAR]]+TABL12[[#This Row],[خط (S/S  TOT) SAR2]]</f>
        <v>942</v>
      </c>
      <c r="L361" s="45">
        <v>338</v>
      </c>
      <c r="M361" s="46">
        <v>24.7</v>
      </c>
      <c r="N361" s="46">
        <v>7.43</v>
      </c>
      <c r="O361" s="40">
        <v>437</v>
      </c>
      <c r="P361" s="9">
        <f>TABL12[[#This Row],[خط (S/S  TOT) SAR2]]-TABL12[[#This Row],[(S/S TOT) AJD]]</f>
        <v>25</v>
      </c>
      <c r="Q361" s="40">
        <v>436</v>
      </c>
      <c r="R361" s="9">
        <f>TABL12[[#This Row],[خط (T/B  TOT) SAR]]-TABL12[[#This Row],[(T/B TOT) AJD]]</f>
        <v>44</v>
      </c>
      <c r="S361" s="9">
        <f>TABL12[[#This Row],[الفرق بين بداية ونهاية خط  S/S]]+TABL12[[#This Row],[الفرق بين بداية ونهاية خط  T/B]]</f>
        <v>69</v>
      </c>
      <c r="T361" s="9">
        <f t="shared" si="20"/>
        <v>873</v>
      </c>
      <c r="U361" s="44">
        <v>590</v>
      </c>
      <c r="V361" s="44">
        <v>299</v>
      </c>
      <c r="W361" s="9">
        <f t="shared" si="21"/>
        <v>889</v>
      </c>
      <c r="X361" s="9">
        <f t="shared" si="22"/>
        <v>-16</v>
      </c>
      <c r="Y361" s="44">
        <v>92.507000000000005</v>
      </c>
      <c r="Z361" s="45">
        <v>500797</v>
      </c>
      <c r="AA361" s="9">
        <f>TABL12[[#This Row],[(RESV. STORGE) AJD]]/10</f>
        <v>50079.7</v>
      </c>
      <c r="AB361" s="3">
        <f t="shared" si="23"/>
        <v>-47.680999999999997</v>
      </c>
      <c r="AC361" s="45">
        <v>0</v>
      </c>
      <c r="AD361" s="5">
        <f>TABL12[[#This Row],[( S/S+T/B) AJD]]-(TABL12[[#This Row],[(A/B + A/S) AJD]]+(TABL12[[#This Row],[(STORGE DIFF.) AJD]])+TABL12[[#This Row],[البخر  AJD]]/1000)</f>
        <v>31.68100000000004</v>
      </c>
      <c r="AE361" s="40">
        <v>140</v>
      </c>
      <c r="AF361" s="44">
        <v>58.106000000000002</v>
      </c>
      <c r="AG361" s="45">
        <v>1032960</v>
      </c>
      <c r="AH361" s="45">
        <f>TABL12[[#This Row],[ (RESV. STORGE) BER]]/10</f>
        <v>103296</v>
      </c>
      <c r="AI361" s="45">
        <v>1481</v>
      </c>
      <c r="AJ361" s="6">
        <f>TABL12[[#This Row],[(A/B TOT) AJD]]-TABL12[[#This Row],[BER_ IN]]</f>
        <v>450</v>
      </c>
      <c r="AK361" s="44">
        <v>42</v>
      </c>
      <c r="AL361" s="44">
        <v>42.552500000000002</v>
      </c>
      <c r="AM361" s="45">
        <v>2867090</v>
      </c>
      <c r="AN361" s="45">
        <f>TABL12[[#This Row],[ (RESV. STORGE) SER]]/10</f>
        <v>286709</v>
      </c>
      <c r="AO361" s="45">
        <v>1800</v>
      </c>
      <c r="AP361" s="32">
        <f>TABL12[[#This Row],[(A/S TOT) AJD]]-TABL12[[#This Row],[SER_ IN]]</f>
        <v>257</v>
      </c>
    </row>
    <row r="362" spans="1:42" ht="18.75" x14ac:dyDescent="0.25">
      <c r="A362" s="2">
        <v>46018</v>
      </c>
      <c r="B362" s="41">
        <v>38</v>
      </c>
      <c r="C362" s="41">
        <v>315</v>
      </c>
      <c r="D362" s="41">
        <v>38</v>
      </c>
      <c r="E362" s="41">
        <v>0</v>
      </c>
      <c r="F362" s="41">
        <v>97</v>
      </c>
      <c r="G362" s="39">
        <v>606</v>
      </c>
      <c r="H362" s="41">
        <f t="shared" si="24"/>
        <v>6</v>
      </c>
      <c r="I362" s="39">
        <v>480</v>
      </c>
      <c r="J362" s="39">
        <v>463</v>
      </c>
      <c r="K362" s="28">
        <f>TABL12[[#This Row],[خط (T/B  TOT) SAR]]+TABL12[[#This Row],[خط (S/S  TOT) SAR2]]</f>
        <v>943</v>
      </c>
      <c r="L362" s="41">
        <v>337</v>
      </c>
      <c r="M362" s="42">
        <v>24.7</v>
      </c>
      <c r="N362" s="42">
        <v>7.46</v>
      </c>
      <c r="O362" s="39">
        <v>436</v>
      </c>
      <c r="P362" s="9">
        <f>TABL12[[#This Row],[خط (S/S  TOT) SAR2]]-TABL12[[#This Row],[(S/S TOT) AJD]]</f>
        <v>27</v>
      </c>
      <c r="Q362" s="39">
        <v>437</v>
      </c>
      <c r="R362" s="9">
        <f>TABL12[[#This Row],[خط (T/B  TOT) SAR]]-TABL12[[#This Row],[(T/B TOT) AJD]]</f>
        <v>43</v>
      </c>
      <c r="S362" s="9">
        <f>TABL12[[#This Row],[الفرق بين بداية ونهاية خط  S/S]]+TABL12[[#This Row],[الفرق بين بداية ونهاية خط  T/B]]</f>
        <v>70</v>
      </c>
      <c r="T362" s="9">
        <f t="shared" si="20"/>
        <v>873</v>
      </c>
      <c r="U362" s="41">
        <v>593</v>
      </c>
      <c r="V362" s="41">
        <v>300</v>
      </c>
      <c r="W362" s="9">
        <f t="shared" si="21"/>
        <v>893</v>
      </c>
      <c r="X362" s="9">
        <f t="shared" si="22"/>
        <v>-20</v>
      </c>
      <c r="Y362" s="41">
        <v>92.435000000000002</v>
      </c>
      <c r="Z362" s="43">
        <v>457921</v>
      </c>
      <c r="AA362" s="9">
        <f>TABL12[[#This Row],[(RESV. STORGE) AJD]]/10</f>
        <v>45792.1</v>
      </c>
      <c r="AB362" s="3">
        <f t="shared" si="23"/>
        <v>-42.875999999999998</v>
      </c>
      <c r="AC362" s="43">
        <v>833</v>
      </c>
      <c r="AD362" s="5">
        <f>TABL12[[#This Row],[( S/S+T/B) AJD]]-(TABL12[[#This Row],[(A/B + A/S) AJD]]+(TABL12[[#This Row],[(STORGE DIFF.) AJD]])+TABL12[[#This Row],[البخر  AJD]]/1000)</f>
        <v>22.043000000000006</v>
      </c>
      <c r="AE362" s="39">
        <v>140</v>
      </c>
      <c r="AF362" s="41">
        <v>57.987000000000002</v>
      </c>
      <c r="AG362" s="43">
        <v>959288</v>
      </c>
      <c r="AH362" s="43">
        <f>TABL12[[#This Row],[ (RESV. STORGE) BER]]/10</f>
        <v>95928.8</v>
      </c>
      <c r="AI362" s="43">
        <v>1948</v>
      </c>
      <c r="AJ362" s="6">
        <f>TABL12[[#This Row],[(A/B TOT) AJD]]-TABL12[[#This Row],[BER_ IN]]</f>
        <v>453</v>
      </c>
      <c r="AK362" s="41">
        <v>42</v>
      </c>
      <c r="AL362" s="41">
        <v>42.621099999999998</v>
      </c>
      <c r="AM362" s="43">
        <v>2903670</v>
      </c>
      <c r="AN362" s="43">
        <f>TABL12[[#This Row],[ (RESV. STORGE) SER]]/10</f>
        <v>290367</v>
      </c>
      <c r="AO362" s="43">
        <v>1820</v>
      </c>
      <c r="AP362" s="32">
        <f>TABL12[[#This Row],[(A/S TOT) AJD]]-TABL12[[#This Row],[SER_ IN]]</f>
        <v>258</v>
      </c>
    </row>
    <row r="363" spans="1:42" ht="18.75" x14ac:dyDescent="0.25">
      <c r="A363" s="2">
        <v>46019</v>
      </c>
      <c r="B363" s="44">
        <v>38</v>
      </c>
      <c r="C363" s="44">
        <v>306</v>
      </c>
      <c r="D363" s="44">
        <v>38</v>
      </c>
      <c r="E363" s="44">
        <v>0</v>
      </c>
      <c r="F363" s="44">
        <v>97</v>
      </c>
      <c r="G363" s="40">
        <v>605</v>
      </c>
      <c r="H363" s="44">
        <f t="shared" si="24"/>
        <v>6</v>
      </c>
      <c r="I363" s="40">
        <v>480</v>
      </c>
      <c r="J363" s="44">
        <v>463</v>
      </c>
      <c r="K363" s="28">
        <f>TABL12[[#This Row],[خط (T/B  TOT) SAR]]+TABL12[[#This Row],[خط (S/S  TOT) SAR2]]</f>
        <v>943</v>
      </c>
      <c r="L363" s="45">
        <v>338</v>
      </c>
      <c r="M363" s="46">
        <v>24.7</v>
      </c>
      <c r="N363" s="46">
        <v>7.48</v>
      </c>
      <c r="O363" s="40">
        <v>437</v>
      </c>
      <c r="P363" s="9">
        <f>TABL12[[#This Row],[خط (S/S  TOT) SAR2]]-TABL12[[#This Row],[(S/S TOT) AJD]]</f>
        <v>26</v>
      </c>
      <c r="Q363" s="40">
        <v>437</v>
      </c>
      <c r="R363" s="9">
        <f>TABL12[[#This Row],[خط (T/B  TOT) SAR]]-TABL12[[#This Row],[(T/B TOT) AJD]]</f>
        <v>43</v>
      </c>
      <c r="S363" s="9">
        <f>TABL12[[#This Row],[الفرق بين بداية ونهاية خط  S/S]]+TABL12[[#This Row],[الفرق بين بداية ونهاية خط  T/B]]</f>
        <v>69</v>
      </c>
      <c r="T363" s="9">
        <f t="shared" si="20"/>
        <v>874</v>
      </c>
      <c r="U363" s="44">
        <v>600</v>
      </c>
      <c r="V363" s="44">
        <v>296</v>
      </c>
      <c r="W363" s="9">
        <f t="shared" si="21"/>
        <v>896</v>
      </c>
      <c r="X363" s="9">
        <f t="shared" si="22"/>
        <v>-22</v>
      </c>
      <c r="Y363" s="44">
        <v>92.35</v>
      </c>
      <c r="Z363" s="45">
        <v>407365</v>
      </c>
      <c r="AA363" s="9">
        <f>TABL12[[#This Row],[(RESV. STORGE) AJD]]/10</f>
        <v>40736.5</v>
      </c>
      <c r="AB363" s="3">
        <f t="shared" si="23"/>
        <v>-50.555999999999997</v>
      </c>
      <c r="AC363" s="45">
        <v>978</v>
      </c>
      <c r="AD363" s="5">
        <f>TABL12[[#This Row],[( S/S+T/B) AJD]]-(TABL12[[#This Row],[(A/B + A/S) AJD]]+(TABL12[[#This Row],[(STORGE DIFF.) AJD]])+TABL12[[#This Row],[البخر  AJD]]/1000)</f>
        <v>27.578000000000088</v>
      </c>
      <c r="AE363" s="40">
        <v>145</v>
      </c>
      <c r="AF363" s="44">
        <v>57.918999999999997</v>
      </c>
      <c r="AG363" s="45">
        <v>915007</v>
      </c>
      <c r="AH363" s="45">
        <f>TABL12[[#This Row],[ (RESV. STORGE) BER]]/10</f>
        <v>91500.7</v>
      </c>
      <c r="AI363" s="45">
        <v>1600</v>
      </c>
      <c r="AJ363" s="6">
        <f>TABL12[[#This Row],[(A/B TOT) AJD]]-TABL12[[#This Row],[BER_ IN]]</f>
        <v>455</v>
      </c>
      <c r="AK363" s="44">
        <v>42</v>
      </c>
      <c r="AL363" s="44">
        <v>42.688899999999997</v>
      </c>
      <c r="AM363" s="45">
        <v>2940270</v>
      </c>
      <c r="AN363" s="45">
        <f>TABL12[[#This Row],[ (RESV. STORGE) SER]]/10</f>
        <v>294027</v>
      </c>
      <c r="AO363" s="45">
        <v>1700</v>
      </c>
      <c r="AP363" s="32">
        <f>TABL12[[#This Row],[(A/S TOT) AJD]]-TABL12[[#This Row],[SER_ IN]]</f>
        <v>254</v>
      </c>
    </row>
    <row r="364" spans="1:42" ht="18.75" x14ac:dyDescent="0.25">
      <c r="A364" s="2">
        <v>46020</v>
      </c>
      <c r="B364" s="41">
        <v>38</v>
      </c>
      <c r="C364" s="41">
        <v>317</v>
      </c>
      <c r="D364" s="41">
        <v>38</v>
      </c>
      <c r="E364" s="41">
        <v>0</v>
      </c>
      <c r="F364" s="41">
        <v>97</v>
      </c>
      <c r="G364" s="39">
        <v>606</v>
      </c>
      <c r="H364" s="41">
        <f t="shared" si="24"/>
        <v>6</v>
      </c>
      <c r="I364" s="39">
        <v>480</v>
      </c>
      <c r="J364" s="39">
        <v>461</v>
      </c>
      <c r="K364" s="28">
        <f>TABL12[[#This Row],[خط (T/B  TOT) SAR]]+TABL12[[#This Row],[خط (S/S  TOT) SAR2]]</f>
        <v>941</v>
      </c>
      <c r="L364" s="41">
        <v>335</v>
      </c>
      <c r="M364" s="42">
        <v>24.7</v>
      </c>
      <c r="N364" s="42">
        <v>7.44</v>
      </c>
      <c r="O364" s="39">
        <v>437</v>
      </c>
      <c r="P364" s="9">
        <f>TABL12[[#This Row],[خط (S/S  TOT) SAR2]]-TABL12[[#This Row],[(S/S TOT) AJD]]</f>
        <v>24</v>
      </c>
      <c r="Q364" s="39">
        <v>436</v>
      </c>
      <c r="R364" s="9">
        <f>TABL12[[#This Row],[خط (T/B  TOT) SAR]]-TABL12[[#This Row],[(T/B TOT) AJD]]</f>
        <v>44</v>
      </c>
      <c r="S364" s="9">
        <f>TABL12[[#This Row],[الفرق بين بداية ونهاية خط  S/S]]+TABL12[[#This Row],[الفرق بين بداية ونهاية خط  T/B]]</f>
        <v>68</v>
      </c>
      <c r="T364" s="9">
        <f t="shared" si="20"/>
        <v>873</v>
      </c>
      <c r="U364" s="41">
        <v>550</v>
      </c>
      <c r="V364" s="41">
        <v>242</v>
      </c>
      <c r="W364" s="9">
        <f t="shared" si="21"/>
        <v>792</v>
      </c>
      <c r="X364" s="9">
        <f t="shared" si="22"/>
        <v>81</v>
      </c>
      <c r="Y364" s="41">
        <v>92.4</v>
      </c>
      <c r="Z364" s="43">
        <v>437093</v>
      </c>
      <c r="AA364" s="9">
        <f>TABL12[[#This Row],[(RESV. STORGE) AJD]]/10</f>
        <v>43709.3</v>
      </c>
      <c r="AB364" s="3">
        <f t="shared" si="23"/>
        <v>29.728000000000002</v>
      </c>
      <c r="AC364" s="43">
        <v>616</v>
      </c>
      <c r="AD364" s="5">
        <f>TABL12[[#This Row],[( S/S+T/B) AJD]]-(TABL12[[#This Row],[(A/B + A/S) AJD]]+(TABL12[[#This Row],[(STORGE DIFF.) AJD]])+TABL12[[#This Row],[البخر  AJD]]/1000)</f>
        <v>50.656000000000063</v>
      </c>
      <c r="AE364" s="39">
        <v>150</v>
      </c>
      <c r="AF364" s="41">
        <v>57.866</v>
      </c>
      <c r="AG364" s="43">
        <v>880522</v>
      </c>
      <c r="AH364" s="43">
        <f>TABL12[[#This Row],[ (RESV. STORGE) BER]]/10</f>
        <v>88052.2</v>
      </c>
      <c r="AI364" s="43">
        <v>1885</v>
      </c>
      <c r="AJ364" s="6">
        <f>TABL12[[#This Row],[(A/B TOT) AJD]]-TABL12[[#This Row],[BER_ IN]]</f>
        <v>400</v>
      </c>
      <c r="AK364" s="41">
        <v>26</v>
      </c>
      <c r="AL364" s="41">
        <v>42.712400000000002</v>
      </c>
      <c r="AM364" s="43">
        <v>2952810</v>
      </c>
      <c r="AN364" s="43">
        <f>TABL12[[#This Row],[ (RESV. STORGE) SER]]/10</f>
        <v>295281</v>
      </c>
      <c r="AO364" s="43">
        <v>1650</v>
      </c>
      <c r="AP364" s="32">
        <f>TABL12[[#This Row],[(A/S TOT) AJD]]-TABL12[[#This Row],[SER_ IN]]</f>
        <v>216</v>
      </c>
    </row>
    <row r="365" spans="1:42" ht="18.75" x14ac:dyDescent="0.25">
      <c r="A365" s="2">
        <v>46021</v>
      </c>
      <c r="B365" s="44">
        <v>38</v>
      </c>
      <c r="C365" s="44">
        <v>319</v>
      </c>
      <c r="D365" s="44">
        <v>38</v>
      </c>
      <c r="E365" s="44">
        <v>0</v>
      </c>
      <c r="F365" s="44">
        <v>98</v>
      </c>
      <c r="G365" s="40">
        <v>609</v>
      </c>
      <c r="H365" s="44">
        <f t="shared" si="24"/>
        <v>5</v>
      </c>
      <c r="I365" s="40">
        <v>485</v>
      </c>
      <c r="J365" s="44">
        <v>462</v>
      </c>
      <c r="K365" s="28">
        <f>TABL12[[#This Row],[خط (T/B  TOT) SAR]]+TABL12[[#This Row],[خط (S/S  TOT) SAR2]]</f>
        <v>947</v>
      </c>
      <c r="L365" s="45">
        <v>338</v>
      </c>
      <c r="M365" s="46">
        <v>24.7</v>
      </c>
      <c r="N365" s="46">
        <v>7.48</v>
      </c>
      <c r="O365" s="40">
        <v>437</v>
      </c>
      <c r="P365" s="9">
        <f>TABL12[[#This Row],[خط (S/S  TOT) SAR2]]-TABL12[[#This Row],[(S/S TOT) AJD]]</f>
        <v>25</v>
      </c>
      <c r="Q365" s="40">
        <v>435</v>
      </c>
      <c r="R365" s="9">
        <f>TABL12[[#This Row],[خط (T/B  TOT) SAR]]-TABL12[[#This Row],[(T/B TOT) AJD]]</f>
        <v>50</v>
      </c>
      <c r="S365" s="9">
        <f>TABL12[[#This Row],[الفرق بين بداية ونهاية خط  S/S]]+TABL12[[#This Row],[الفرق بين بداية ونهاية خط  T/B]]</f>
        <v>75</v>
      </c>
      <c r="T365" s="9">
        <f t="shared" si="20"/>
        <v>872</v>
      </c>
      <c r="U365" s="44">
        <v>588</v>
      </c>
      <c r="V365" s="44">
        <v>219</v>
      </c>
      <c r="W365" s="9">
        <f t="shared" si="21"/>
        <v>807</v>
      </c>
      <c r="X365" s="9">
        <f t="shared" si="22"/>
        <v>65</v>
      </c>
      <c r="Y365" s="44">
        <v>92.45</v>
      </c>
      <c r="Z365" s="45">
        <v>465064</v>
      </c>
      <c r="AA365" s="9">
        <f>TABL12[[#This Row],[(RESV. STORGE) AJD]]/10</f>
        <v>46506.400000000001</v>
      </c>
      <c r="AB365" s="3">
        <f t="shared" si="23"/>
        <v>27.971</v>
      </c>
      <c r="AC365" s="45">
        <v>717</v>
      </c>
      <c r="AD365" s="5">
        <f>TABL12[[#This Row],[( S/S+T/B) AJD]]-(TABL12[[#This Row],[(A/B + A/S) AJD]]+(TABL12[[#This Row],[(STORGE DIFF.) AJD]])+TABL12[[#This Row],[البخر  AJD]]/1000)</f>
        <v>36.312000000000012</v>
      </c>
      <c r="AE365" s="50">
        <v>0</v>
      </c>
      <c r="AF365" s="44">
        <v>57.829000000000001</v>
      </c>
      <c r="AG365" s="45">
        <v>856462</v>
      </c>
      <c r="AH365" s="45">
        <f>TABL12[[#This Row],[ (RESV. STORGE) BER]]/10</f>
        <v>85646.2</v>
      </c>
      <c r="AI365" s="45">
        <v>1960</v>
      </c>
      <c r="AJ365" s="6">
        <f>TABL12[[#This Row],[(A/B TOT) AJD]]-TABL12[[#This Row],[BER_ IN]]</f>
        <v>588</v>
      </c>
      <c r="AK365" s="44">
        <v>20</v>
      </c>
      <c r="AL365" s="47">
        <v>42.203000000000003</v>
      </c>
      <c r="AM365" s="45">
        <v>2956990</v>
      </c>
      <c r="AN365" s="45">
        <f>TABL12[[#This Row],[ (RESV. STORGE) SER]]/10</f>
        <v>295699</v>
      </c>
      <c r="AO365" s="45">
        <v>1620</v>
      </c>
      <c r="AP365" s="32">
        <f>TABL12[[#This Row],[(A/S TOT) AJD]]-TABL12[[#This Row],[SER_ IN]]</f>
        <v>199</v>
      </c>
    </row>
    <row r="366" spans="1:42" ht="18.75" x14ac:dyDescent="0.25">
      <c r="A366" s="8">
        <v>46022</v>
      </c>
      <c r="B366" s="41">
        <v>38</v>
      </c>
      <c r="C366" s="41">
        <v>309</v>
      </c>
      <c r="D366" s="41">
        <v>38</v>
      </c>
      <c r="E366" s="41">
        <v>0</v>
      </c>
      <c r="F366" s="41">
        <v>97</v>
      </c>
      <c r="G366" s="39">
        <v>604</v>
      </c>
      <c r="H366" s="41">
        <f t="shared" si="24"/>
        <v>6</v>
      </c>
      <c r="I366" s="39">
        <v>482</v>
      </c>
      <c r="J366" s="39">
        <v>462</v>
      </c>
      <c r="K366" s="51">
        <f>TABL12[[#This Row],[خط (T/B  TOT) SAR]]+TABL12[[#This Row],[خط (S/S  TOT) SAR2]]</f>
        <v>944</v>
      </c>
      <c r="L366" s="41">
        <v>340</v>
      </c>
      <c r="M366" s="42">
        <v>24.7</v>
      </c>
      <c r="N366" s="42">
        <v>7.49</v>
      </c>
      <c r="O366" s="39">
        <v>445</v>
      </c>
      <c r="P366" s="19">
        <f>TABL12[[#This Row],[خط (S/S  TOT) SAR2]]-TABL12[[#This Row],[(S/S TOT) AJD]]</f>
        <v>17</v>
      </c>
      <c r="Q366" s="39">
        <v>444</v>
      </c>
      <c r="R366" s="19">
        <f>TABL12[[#This Row],[خط (T/B  TOT) SAR]]-TABL12[[#This Row],[(T/B TOT) AJD]]</f>
        <v>38</v>
      </c>
      <c r="S366" s="19">
        <f>TABL12[[#This Row],[الفرق بين بداية ونهاية خط  S/S]]+TABL12[[#This Row],[الفرق بين بداية ونهاية خط  T/B]]</f>
        <v>55</v>
      </c>
      <c r="T366" s="19">
        <f t="shared" si="20"/>
        <v>889</v>
      </c>
      <c r="U366" s="41">
        <v>594</v>
      </c>
      <c r="V366" s="41">
        <v>241</v>
      </c>
      <c r="W366" s="19">
        <f t="shared" si="21"/>
        <v>835</v>
      </c>
      <c r="X366" s="19">
        <f t="shared" si="22"/>
        <v>54</v>
      </c>
      <c r="Y366" s="41">
        <v>92.507000000000005</v>
      </c>
      <c r="Z366" s="43">
        <v>500797</v>
      </c>
      <c r="AA366" s="19">
        <f>TABL12[[#This Row],[(RESV. STORGE) AJD]]/10</f>
        <v>50079.7</v>
      </c>
      <c r="AB366" s="3">
        <f t="shared" si="23"/>
        <v>35.732999999999997</v>
      </c>
      <c r="AC366" s="43">
        <v>954</v>
      </c>
      <c r="AD366" s="5">
        <f>TABL12[[#This Row],[( S/S+T/B) AJD]]-(TABL12[[#This Row],[(A/B + A/S) AJD]]+(TABL12[[#This Row],[(STORGE DIFF.) AJD]])+TABL12[[#This Row],[البخر  AJD]]/1000)</f>
        <v>17.313000000000102</v>
      </c>
      <c r="AE366" s="50">
        <v>0</v>
      </c>
      <c r="AF366" s="41">
        <v>57.87</v>
      </c>
      <c r="AG366" s="43">
        <v>883124</v>
      </c>
      <c r="AH366" s="43">
        <f>TABL12[[#This Row],[ (RESV. STORGE) BER]]/10</f>
        <v>88312.4</v>
      </c>
      <c r="AI366" s="43">
        <v>1457</v>
      </c>
      <c r="AJ366" s="21">
        <f>TABL12[[#This Row],[(A/B TOT) AJD]]-TABL12[[#This Row],[BER_ IN]]</f>
        <v>594</v>
      </c>
      <c r="AK366" s="41">
        <v>23</v>
      </c>
      <c r="AL366" s="41">
        <v>42.743899999999996</v>
      </c>
      <c r="AM366" s="43">
        <v>2970430</v>
      </c>
      <c r="AN366" s="43">
        <f>TABL12[[#This Row],[ (RESV. STORGE) SER]]/10</f>
        <v>297043</v>
      </c>
      <c r="AO366" s="43">
        <v>1860</v>
      </c>
      <c r="AP366" s="32">
        <f>TABL12[[#This Row],[(A/S TOT) AJD]]-TABL12[[#This Row],[SER_ IN]]</f>
        <v>218</v>
      </c>
    </row>
    <row r="367" spans="1:42" x14ac:dyDescent="0.25">
      <c r="A367" s="59"/>
      <c r="B367" s="60"/>
      <c r="C367" s="61"/>
      <c r="D367" s="61"/>
      <c r="E367" s="61"/>
      <c r="F367" s="61"/>
      <c r="G367" s="61"/>
      <c r="H367" s="61"/>
      <c r="I367" s="62"/>
      <c r="J367" s="61"/>
      <c r="K367" s="62"/>
      <c r="L367" s="61"/>
      <c r="M367" s="63"/>
      <c r="N367" s="64"/>
      <c r="O367" s="52"/>
      <c r="P367" s="19"/>
      <c r="Q367" s="52"/>
      <c r="R367" s="19"/>
      <c r="S367" s="19"/>
      <c r="T367" s="19"/>
      <c r="U367" s="52"/>
      <c r="V367" s="52"/>
      <c r="W367" s="19"/>
      <c r="X367" s="19"/>
      <c r="Y367" s="53"/>
      <c r="Z367" s="52"/>
      <c r="AA367" s="19"/>
      <c r="AB367" s="19"/>
      <c r="AC367" s="65"/>
      <c r="AD367" s="54"/>
      <c r="AE367" s="52"/>
      <c r="AF367" s="20"/>
      <c r="AG367" s="19"/>
      <c r="AH367" s="19"/>
      <c r="AI367" s="19"/>
      <c r="AJ367" s="19">
        <f>SUBTOTAL(109,TABL12[] TABL12[ إستهلاك AJD(A/B) - BER.IN] )</f>
        <v>171504</v>
      </c>
      <c r="AK367" s="21"/>
      <c r="AL367" s="55"/>
      <c r="AM367" s="19"/>
      <c r="AN367" s="19"/>
      <c r="AO367" s="54"/>
      <c r="AP367" s="6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BA8D-07F9-42AC-98B6-22970980449B}">
  <dimension ref="A1:AP367"/>
  <sheetViews>
    <sheetView rightToLeft="1" topLeftCell="O1" zoomScale="85" zoomScaleNormal="85" workbookViewId="0">
      <selection activeCell="AD3" sqref="AD3"/>
    </sheetView>
  </sheetViews>
  <sheetFormatPr defaultRowHeight="15" x14ac:dyDescent="0.25"/>
  <cols>
    <col min="1" max="1" width="12.5" customWidth="1"/>
    <col min="2" max="2" width="7.875" style="56" customWidth="1"/>
    <col min="3" max="3" width="8.125" style="56" customWidth="1"/>
    <col min="4" max="4" width="7.75" style="56" customWidth="1"/>
    <col min="5" max="5" width="8.25" style="56" customWidth="1"/>
    <col min="6" max="6" width="8.125" style="56" customWidth="1"/>
    <col min="7" max="7" width="8" style="56" customWidth="1"/>
    <col min="8" max="8" width="7.25" style="56" customWidth="1"/>
    <col min="9" max="9" width="9.375" style="56" customWidth="1"/>
    <col min="10" max="11" width="10.625" style="56" customWidth="1"/>
    <col min="12" max="12" width="11.375" style="56" customWidth="1"/>
    <col min="13" max="13" width="10.625" style="57" customWidth="1"/>
    <col min="14" max="14" width="8.25" style="58" customWidth="1"/>
    <col min="15" max="15" width="10.375" style="7" customWidth="1"/>
    <col min="16" max="16" width="7.875" style="7" customWidth="1"/>
    <col min="17" max="17" width="8.875" style="7" customWidth="1"/>
    <col min="18" max="19" width="10.5" style="7" customWidth="1"/>
    <col min="20" max="20" width="9.75" style="7" customWidth="1"/>
    <col min="21" max="21" width="7" style="7" customWidth="1"/>
    <col min="22" max="22" width="6.875" style="7" customWidth="1"/>
    <col min="23" max="23" width="8.5" style="7" customWidth="1"/>
    <col min="24" max="24" width="11.125" style="7" customWidth="1"/>
    <col min="25" max="25" width="10.875" style="7" customWidth="1"/>
    <col min="26" max="27" width="9.125" style="7" customWidth="1"/>
    <col min="28" max="28" width="9.625" style="7" customWidth="1"/>
    <col min="29" max="29" width="13.5" style="7" customWidth="1"/>
    <col min="30" max="30" width="15.75" style="7" customWidth="1"/>
    <col min="31" max="31" width="9.625" style="7" customWidth="1"/>
    <col min="32" max="32" width="11.5" style="7" customWidth="1"/>
    <col min="33" max="33" width="11.25" style="7" customWidth="1"/>
    <col min="34" max="34" width="9.625" style="7" customWidth="1"/>
    <col min="35" max="35" width="14.25" style="7" customWidth="1"/>
    <col min="36" max="36" width="9.625" style="7" customWidth="1"/>
    <col min="37" max="37" width="13.25" style="7" customWidth="1"/>
    <col min="38" max="38" width="14.5" style="7" customWidth="1"/>
    <col min="39" max="39" width="12.375" style="7" customWidth="1"/>
    <col min="40" max="40" width="11.625" style="7" customWidth="1"/>
  </cols>
  <sheetData>
    <row r="1" spans="1:42" s="27" customFormat="1" ht="55.5" customHeight="1" x14ac:dyDescent="0.2">
      <c r="A1" s="22" t="s">
        <v>0</v>
      </c>
      <c r="B1" s="23" t="s">
        <v>14</v>
      </c>
      <c r="C1" s="23" t="s">
        <v>15</v>
      </c>
      <c r="D1" s="23" t="s">
        <v>16</v>
      </c>
      <c r="E1" s="23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23</v>
      </c>
      <c r="L1" s="25" t="s">
        <v>24</v>
      </c>
      <c r="M1" s="25" t="s">
        <v>25</v>
      </c>
      <c r="N1" s="25" t="s">
        <v>26</v>
      </c>
      <c r="O1" s="26" t="s">
        <v>8</v>
      </c>
      <c r="P1" s="26" t="s">
        <v>9</v>
      </c>
      <c r="Q1" s="26" t="s">
        <v>10</v>
      </c>
      <c r="R1" s="26" t="s">
        <v>11</v>
      </c>
      <c r="S1" s="26" t="s">
        <v>27</v>
      </c>
      <c r="T1" s="26" t="s">
        <v>12</v>
      </c>
      <c r="U1" s="26" t="s">
        <v>1</v>
      </c>
      <c r="V1" s="26" t="s">
        <v>2</v>
      </c>
      <c r="W1" s="26" t="s">
        <v>3</v>
      </c>
      <c r="X1" s="26" t="s">
        <v>13</v>
      </c>
      <c r="Y1" s="26" t="s">
        <v>4</v>
      </c>
      <c r="Z1" s="26" t="s">
        <v>5</v>
      </c>
      <c r="AA1" s="26" t="s">
        <v>39</v>
      </c>
      <c r="AB1" s="26" t="s">
        <v>6</v>
      </c>
      <c r="AC1" s="26" t="s">
        <v>7</v>
      </c>
      <c r="AD1" s="26" t="s">
        <v>28</v>
      </c>
      <c r="AE1" s="1" t="s">
        <v>29</v>
      </c>
      <c r="AF1" s="1" t="s">
        <v>30</v>
      </c>
      <c r="AG1" s="1" t="s">
        <v>31</v>
      </c>
      <c r="AH1" s="1" t="s">
        <v>40</v>
      </c>
      <c r="AI1" s="1" t="s">
        <v>32</v>
      </c>
      <c r="AJ1" s="1" t="s">
        <v>33</v>
      </c>
      <c r="AK1" s="26" t="s">
        <v>34</v>
      </c>
      <c r="AL1" s="26" t="s">
        <v>35</v>
      </c>
      <c r="AM1" s="26" t="s">
        <v>36</v>
      </c>
      <c r="AN1" s="26" t="s">
        <v>41</v>
      </c>
      <c r="AO1" s="26" t="s">
        <v>37</v>
      </c>
      <c r="AP1" s="26" t="s">
        <v>38</v>
      </c>
    </row>
    <row r="2" spans="1:42" ht="18.75" x14ac:dyDescent="0.3">
      <c r="A2" s="2">
        <v>46023</v>
      </c>
      <c r="B2" s="41">
        <v>38</v>
      </c>
      <c r="C2" s="41">
        <v>317</v>
      </c>
      <c r="D2" s="41">
        <v>38</v>
      </c>
      <c r="E2" s="41">
        <v>0</v>
      </c>
      <c r="F2" s="41">
        <v>98</v>
      </c>
      <c r="G2" s="39">
        <v>607</v>
      </c>
      <c r="H2" s="41">
        <f t="shared" ref="H2:H65" si="0">103-F2</f>
        <v>5</v>
      </c>
      <c r="I2" s="39">
        <v>483</v>
      </c>
      <c r="J2" s="39">
        <v>464</v>
      </c>
      <c r="K2" s="28">
        <f>TABL123[[#This Row],[خط (T/B  TOT) SAR]]+TABL123[[#This Row],[خط (S/S  TOT) SAR2]]</f>
        <v>947</v>
      </c>
      <c r="L2" s="41">
        <v>340</v>
      </c>
      <c r="M2" s="42">
        <v>24.7</v>
      </c>
      <c r="N2" s="42">
        <v>7.48</v>
      </c>
      <c r="O2" s="39">
        <v>434</v>
      </c>
      <c r="P2" s="3">
        <f>TABL123[[#This Row],[خط (S/S  TOT) SAR2]]-TABL123[[#This Row],[(S/S TOT) AJD]]</f>
        <v>30</v>
      </c>
      <c r="Q2" s="39">
        <v>432</v>
      </c>
      <c r="R2" s="3">
        <f>TABL123[[#This Row],[خط (T/B  TOT) SAR]]-TABL123[[#This Row],[(T/B TOT) AJD]]</f>
        <v>51</v>
      </c>
      <c r="S2" s="3">
        <f>TABL123[[#This Row],[الفرق بين بداية ونهاية خط  T/B]]+TABL123[[#This Row],[الفرق بين بداية ونهاية خط  S/S]]</f>
        <v>81</v>
      </c>
      <c r="T2" s="3">
        <f>TABL123[[#This Row],[(S/S TOT) AJD]]+TABL123[[#This Row],[(T/B TOT) AJD]]</f>
        <v>866</v>
      </c>
      <c r="U2" s="41">
        <v>586</v>
      </c>
      <c r="V2" s="41">
        <v>240</v>
      </c>
      <c r="W2" s="3">
        <f>TABL123[[#This Row],[(A/B TOT) AJD]]+TABL123[[#This Row],[(A/S TOT) AJD]]</f>
        <v>826</v>
      </c>
      <c r="X2" s="3">
        <f>TABL123[[#This Row],[( S/S+T/B) AJD]]-TABL123[[#This Row],[(A/B + A/S) AJD]]</f>
        <v>40</v>
      </c>
      <c r="Y2" s="41">
        <v>92.501999999999995</v>
      </c>
      <c r="Z2" s="43">
        <v>496624</v>
      </c>
      <c r="AA2" s="3">
        <f>TABL123[[#This Row],[(RESV. STORGE) AJD]]/10</f>
        <v>49662.400000000001</v>
      </c>
      <c r="AB2" s="43">
        <f>(TABL123[[#This Row],[(RESV. STORGE) AJD]]-500797)/1000</f>
        <v>-4.173</v>
      </c>
      <c r="AC2" s="43">
        <v>0</v>
      </c>
      <c r="AD2" s="85">
        <f>TABL123[[#This Row],[( S/S+T/B) AJD]]-(TABL123[[#This Row],[(A/B + A/S) AJD]]+(TABL123[[#This Row],[(STORGE DIFF.) AJD]])+TABL123[[#This Row],[البخر  AJD]]/1000)</f>
        <v>44.173000000000002</v>
      </c>
      <c r="AE2" s="82">
        <v>143</v>
      </c>
      <c r="AF2" s="82">
        <v>57.936999999999998</v>
      </c>
      <c r="AG2" s="82">
        <v>926425</v>
      </c>
      <c r="AH2" s="43">
        <v>755</v>
      </c>
      <c r="AI2" s="43">
        <v>755</v>
      </c>
      <c r="AJ2" s="80">
        <f>TABL123[[#This Row],[(A/B TOT) AJD]]-TABL123[[#This Row],[BER_ IN]]</f>
        <v>443</v>
      </c>
      <c r="AK2" s="82">
        <v>22</v>
      </c>
      <c r="AL2" s="89">
        <v>42.743899999999996</v>
      </c>
      <c r="AM2" s="89">
        <v>2969930</v>
      </c>
      <c r="AN2" s="89">
        <f>TABL123[[#This Row],[ (RESV. STORGE) SER]]/10</f>
        <v>296993</v>
      </c>
      <c r="AO2" s="43">
        <v>1720</v>
      </c>
      <c r="AP2" s="32">
        <f>TABL123[[#This Row],[(A/S TOT) AJD]]-TABL123[[#This Row],[SER_ IN]]</f>
        <v>218</v>
      </c>
    </row>
    <row r="3" spans="1:42" ht="18.75" x14ac:dyDescent="0.3">
      <c r="A3" s="2">
        <v>46024</v>
      </c>
      <c r="B3" s="44">
        <v>38</v>
      </c>
      <c r="C3" s="44">
        <v>313</v>
      </c>
      <c r="D3" s="44">
        <v>38</v>
      </c>
      <c r="E3" s="44">
        <v>0</v>
      </c>
      <c r="F3" s="44">
        <v>98</v>
      </c>
      <c r="G3" s="40">
        <v>603</v>
      </c>
      <c r="H3" s="44">
        <f t="shared" si="0"/>
        <v>5</v>
      </c>
      <c r="I3" s="40">
        <v>480</v>
      </c>
      <c r="J3" s="44">
        <v>463</v>
      </c>
      <c r="K3" s="28">
        <f>TABL123[[#This Row],[خط (T/B  TOT) SAR]]+TABL123[[#This Row],[خط (S/S  TOT) SAR2]]</f>
        <v>943</v>
      </c>
      <c r="L3" s="45">
        <v>340</v>
      </c>
      <c r="M3" s="46">
        <v>24.7</v>
      </c>
      <c r="N3" s="46">
        <v>7.5</v>
      </c>
      <c r="O3" s="40">
        <v>438</v>
      </c>
      <c r="P3" s="3">
        <f>TABL123[[#This Row],[خط (S/S  TOT) SAR2]]-TABL123[[#This Row],[(S/S TOT) AJD]]</f>
        <v>25</v>
      </c>
      <c r="Q3" s="40">
        <v>437</v>
      </c>
      <c r="R3" s="3">
        <f>TABL123[[#This Row],[خط (T/B  TOT) SAR]]-TABL123[[#This Row],[(T/B TOT) AJD]]</f>
        <v>43</v>
      </c>
      <c r="S3" s="3">
        <f>TABL123[[#This Row],[الفرق بين بداية ونهاية خط  T/B]]+TABL123[[#This Row],[الفرق بين بداية ونهاية خط  S/S]]</f>
        <v>68</v>
      </c>
      <c r="T3" s="3">
        <f>TABL123[[#This Row],[(S/S TOT) AJD]]+TABL123[[#This Row],[(T/B TOT) AJD]]</f>
        <v>875</v>
      </c>
      <c r="U3" s="44">
        <v>587</v>
      </c>
      <c r="V3" s="44">
        <v>262</v>
      </c>
      <c r="W3" s="3">
        <f>TABL123[[#This Row],[(A/B TOT) AJD]]+TABL123[[#This Row],[(A/S TOT) AJD]]</f>
        <v>849</v>
      </c>
      <c r="X3" s="3">
        <f>TABL123[[#This Row],[( S/S+T/B) AJD]]-TABL123[[#This Row],[(A/B + A/S) AJD]]</f>
        <v>26</v>
      </c>
      <c r="Y3" s="44">
        <v>92.52</v>
      </c>
      <c r="Z3" s="45">
        <v>508538</v>
      </c>
      <c r="AA3" s="3">
        <f>TABL123[[#This Row],[(RESV. STORGE) AJD]]/10</f>
        <v>50853.8</v>
      </c>
      <c r="AB3" s="45">
        <f>(Z3-Z2)/1000</f>
        <v>11.914</v>
      </c>
      <c r="AC3" s="45">
        <v>0</v>
      </c>
      <c r="AD3" s="84">
        <f>TABL123[[#This Row],[( S/S+T/B) AJD]]-(TABL123[[#This Row],[(A/B + A/S) AJD]]+(TABL123[[#This Row],[(STORGE DIFF.) AJD]])+TABL123[[#This Row],[البخر  AJD]]/1000)</f>
        <v>14.086000000000013</v>
      </c>
      <c r="AE3" s="68">
        <v>150</v>
      </c>
      <c r="AF3" s="68">
        <v>57.997</v>
      </c>
      <c r="AG3" s="68">
        <v>965803</v>
      </c>
      <c r="AH3" s="45">
        <v>1581</v>
      </c>
      <c r="AI3" s="45">
        <v>1581</v>
      </c>
      <c r="AJ3" s="79">
        <f>TABL123[[#This Row],[(A/B TOT) AJD]]-TABL123[[#This Row],[BER_ IN]]</f>
        <v>437</v>
      </c>
      <c r="AK3" s="68">
        <v>23</v>
      </c>
      <c r="AL3" s="88">
        <v>42.754899999999999</v>
      </c>
      <c r="AM3" s="88">
        <v>2975860</v>
      </c>
      <c r="AN3" s="88">
        <f>TABL123[[#This Row],[ (RESV. STORGE) SER]]/10</f>
        <v>297586</v>
      </c>
      <c r="AO3" s="45">
        <v>1680</v>
      </c>
      <c r="AP3" s="32">
        <f>TABL123[[#This Row],[(A/S TOT) AJD]]-TABL123[[#This Row],[SER_ IN]]</f>
        <v>239</v>
      </c>
    </row>
    <row r="4" spans="1:42" ht="18.75" x14ac:dyDescent="0.3">
      <c r="A4" s="2">
        <v>46025</v>
      </c>
      <c r="B4" s="41">
        <v>38</v>
      </c>
      <c r="C4" s="41">
        <v>318</v>
      </c>
      <c r="D4" s="41">
        <v>38</v>
      </c>
      <c r="E4" s="41">
        <v>0</v>
      </c>
      <c r="F4" s="41">
        <v>98</v>
      </c>
      <c r="G4" s="39">
        <v>604</v>
      </c>
      <c r="H4" s="41">
        <f t="shared" si="0"/>
        <v>5</v>
      </c>
      <c r="I4" s="39">
        <v>482</v>
      </c>
      <c r="J4" s="39">
        <v>462</v>
      </c>
      <c r="K4" s="28">
        <f>TABL123[[#This Row],[خط (T/B  TOT) SAR]]+TABL123[[#This Row],[خط (S/S  TOT) SAR2]]</f>
        <v>944</v>
      </c>
      <c r="L4" s="41">
        <v>340</v>
      </c>
      <c r="M4" s="42">
        <v>24.7</v>
      </c>
      <c r="N4" s="42">
        <v>7.49</v>
      </c>
      <c r="O4" s="39">
        <v>438</v>
      </c>
      <c r="P4" s="3">
        <f>TABL123[[#This Row],[خط (S/S  TOT) SAR2]]-TABL123[[#This Row],[(S/S TOT) AJD]]</f>
        <v>24</v>
      </c>
      <c r="Q4" s="39">
        <v>438</v>
      </c>
      <c r="R4" s="3">
        <f>TABL123[[#This Row],[خط (T/B  TOT) SAR]]-TABL123[[#This Row],[(T/B TOT) AJD]]</f>
        <v>44</v>
      </c>
      <c r="S4" s="3">
        <f>TABL123[[#This Row],[الفرق بين بداية ونهاية خط  T/B]]+TABL123[[#This Row],[الفرق بين بداية ونهاية خط  S/S]]</f>
        <v>68</v>
      </c>
      <c r="T4" s="3">
        <f>TABL123[[#This Row],[(S/S TOT) AJD]]+TABL123[[#This Row],[(T/B TOT) AJD]]</f>
        <v>876</v>
      </c>
      <c r="U4" s="41">
        <v>589</v>
      </c>
      <c r="V4" s="41">
        <v>279</v>
      </c>
      <c r="W4" s="3">
        <f>TABL123[[#This Row],[(A/B TOT) AJD]]+TABL123[[#This Row],[(A/S TOT) AJD]]</f>
        <v>868</v>
      </c>
      <c r="X4" s="3">
        <f>TABL123[[#This Row],[( S/S+T/B) AJD]]-TABL123[[#This Row],[(A/B + A/S) AJD]]</f>
        <v>8</v>
      </c>
      <c r="Y4" s="41">
        <v>92.495000000000005</v>
      </c>
      <c r="Z4" s="43">
        <v>491857</v>
      </c>
      <c r="AA4" s="3">
        <f>TABL123[[#This Row],[(RESV. STORGE) AJD]]/10</f>
        <v>49185.7</v>
      </c>
      <c r="AB4" s="45">
        <f t="shared" ref="AB4:AB67" si="1">(Z4-Z3)/1000</f>
        <v>-16.681000000000001</v>
      </c>
      <c r="AC4" s="43">
        <v>859</v>
      </c>
      <c r="AD4" s="84">
        <f>TABL123[[#This Row],[( S/S+T/B) AJD]]-(TABL123[[#This Row],[(A/B + A/S) AJD]]+(TABL123[[#This Row],[(STORGE DIFF.) AJD]])+TABL123[[#This Row],[البخر  AJD]]/1000)</f>
        <v>23.822000000000003</v>
      </c>
      <c r="AE4" s="68">
        <v>166</v>
      </c>
      <c r="AF4" s="68">
        <v>58.06</v>
      </c>
      <c r="AG4" s="68">
        <v>1006870</v>
      </c>
      <c r="AH4" s="43">
        <v>1731</v>
      </c>
      <c r="AI4" s="43">
        <v>1731</v>
      </c>
      <c r="AJ4" s="79">
        <f>TABL123[[#This Row],[(A/B TOT) AJD]]-TABL123[[#This Row],[BER_ IN]]</f>
        <v>423</v>
      </c>
      <c r="AK4" s="68">
        <v>22</v>
      </c>
      <c r="AL4" s="88">
        <v>42.766500000000001</v>
      </c>
      <c r="AM4" s="88">
        <v>2982330</v>
      </c>
      <c r="AN4" s="88">
        <f>TABL123[[#This Row],[ (RESV. STORGE) SER]]/10</f>
        <v>298233</v>
      </c>
      <c r="AO4" s="43">
        <v>1520</v>
      </c>
      <c r="AP4" s="32">
        <f>TABL123[[#This Row],[(A/S TOT) AJD]]-TABL123[[#This Row],[SER_ IN]]</f>
        <v>257</v>
      </c>
    </row>
    <row r="5" spans="1:42" ht="18.75" x14ac:dyDescent="0.3">
      <c r="A5" s="2">
        <v>46026</v>
      </c>
      <c r="B5" s="44">
        <v>38</v>
      </c>
      <c r="C5" s="44">
        <v>316</v>
      </c>
      <c r="D5" s="44">
        <v>38</v>
      </c>
      <c r="E5" s="44">
        <v>0</v>
      </c>
      <c r="F5" s="44">
        <v>98</v>
      </c>
      <c r="G5" s="40">
        <v>604</v>
      </c>
      <c r="H5" s="44">
        <f t="shared" si="0"/>
        <v>5</v>
      </c>
      <c r="I5" s="40">
        <v>482</v>
      </c>
      <c r="J5" s="44">
        <v>462</v>
      </c>
      <c r="K5" s="28">
        <f>TABL123[[#This Row],[خط (T/B  TOT) SAR]]+TABL123[[#This Row],[خط (S/S  TOT) SAR2]]</f>
        <v>944</v>
      </c>
      <c r="L5" s="45">
        <v>340</v>
      </c>
      <c r="M5" s="46">
        <v>24.7</v>
      </c>
      <c r="N5" s="46">
        <v>7.51</v>
      </c>
      <c r="O5" s="40">
        <v>437</v>
      </c>
      <c r="P5" s="3">
        <f>TABL123[[#This Row],[خط (S/S  TOT) SAR2]]-TABL123[[#This Row],[(S/S TOT) AJD]]</f>
        <v>25</v>
      </c>
      <c r="Q5" s="40">
        <v>437</v>
      </c>
      <c r="R5" s="3">
        <f>TABL123[[#This Row],[خط (T/B  TOT) SAR]]-TABL123[[#This Row],[(T/B TOT) AJD]]</f>
        <v>45</v>
      </c>
      <c r="S5" s="3">
        <f>TABL123[[#This Row],[الفرق بين بداية ونهاية خط  T/B]]+TABL123[[#This Row],[الفرق بين بداية ونهاية خط  S/S]]</f>
        <v>70</v>
      </c>
      <c r="T5" s="3">
        <f>TABL123[[#This Row],[(S/S TOT) AJD]]+TABL123[[#This Row],[(T/B TOT) AJD]]</f>
        <v>874</v>
      </c>
      <c r="U5" s="44">
        <v>592</v>
      </c>
      <c r="V5" s="44">
        <v>239</v>
      </c>
      <c r="W5" s="3">
        <f>TABL123[[#This Row],[(A/B TOT) AJD]]+TABL123[[#This Row],[(A/S TOT) AJD]]</f>
        <v>831</v>
      </c>
      <c r="X5" s="3">
        <f>TABL123[[#This Row],[( S/S+T/B) AJD]]-TABL123[[#This Row],[(A/B + A/S) AJD]]</f>
        <v>43</v>
      </c>
      <c r="Y5" s="44">
        <v>92.52</v>
      </c>
      <c r="Z5" s="45">
        <v>508538</v>
      </c>
      <c r="AA5" s="3">
        <f>TABL123[[#This Row],[(RESV. STORGE) AJD]]/10</f>
        <v>50853.8</v>
      </c>
      <c r="AB5" s="45">
        <f t="shared" si="1"/>
        <v>16.681000000000001</v>
      </c>
      <c r="AC5" s="45">
        <v>726</v>
      </c>
      <c r="AD5" s="84">
        <f>TABL123[[#This Row],[( S/S+T/B) AJD]]-(TABL123[[#This Row],[(A/B + A/S) AJD]]+(TABL123[[#This Row],[(STORGE DIFF.) AJD]])+TABL123[[#This Row],[البخر  AJD]]/1000)</f>
        <v>25.592999999999961</v>
      </c>
      <c r="AE5" s="68">
        <v>167</v>
      </c>
      <c r="AF5" s="68">
        <v>58.116999999999997</v>
      </c>
      <c r="AG5" s="68">
        <v>1044053</v>
      </c>
      <c r="AH5" s="45">
        <v>1450</v>
      </c>
      <c r="AI5" s="45">
        <v>1450</v>
      </c>
      <c r="AJ5" s="79">
        <f>TABL123[[#This Row],[(A/B TOT) AJD]]-TABL123[[#This Row],[BER_ IN]]</f>
        <v>425</v>
      </c>
      <c r="AK5" s="68">
        <v>23</v>
      </c>
      <c r="AL5" s="88">
        <v>42.758200000000002</v>
      </c>
      <c r="AM5" s="88">
        <v>2977470</v>
      </c>
      <c r="AN5" s="88">
        <f>TABL123[[#This Row],[ (RESV. STORGE) SER]]/10</f>
        <v>297747</v>
      </c>
      <c r="AO5" s="45">
        <v>1600</v>
      </c>
      <c r="AP5" s="32">
        <f>TABL123[[#This Row],[(A/S TOT) AJD]]-TABL123[[#This Row],[SER_ IN]]</f>
        <v>216</v>
      </c>
    </row>
    <row r="6" spans="1:42" ht="18.75" x14ac:dyDescent="0.3">
      <c r="A6" s="2">
        <v>46027</v>
      </c>
      <c r="B6" s="41">
        <v>36</v>
      </c>
      <c r="C6" s="41">
        <v>304</v>
      </c>
      <c r="D6" s="41">
        <v>36</v>
      </c>
      <c r="E6" s="41">
        <v>0</v>
      </c>
      <c r="F6" s="41">
        <v>98</v>
      </c>
      <c r="G6" s="39">
        <v>604</v>
      </c>
      <c r="H6" s="41">
        <f t="shared" si="0"/>
        <v>5</v>
      </c>
      <c r="I6" s="39">
        <v>482</v>
      </c>
      <c r="J6" s="39">
        <v>462</v>
      </c>
      <c r="K6" s="28">
        <f>TABL123[[#This Row],[خط (T/B  TOT) SAR]]+TABL123[[#This Row],[خط (S/S  TOT) SAR2]]</f>
        <v>944</v>
      </c>
      <c r="L6" s="41">
        <v>340</v>
      </c>
      <c r="M6" s="42">
        <v>24.7</v>
      </c>
      <c r="N6" s="42">
        <v>7.47</v>
      </c>
      <c r="O6" s="39">
        <v>438</v>
      </c>
      <c r="P6" s="3">
        <f>TABL123[[#This Row],[خط (S/S  TOT) SAR2]]-TABL123[[#This Row],[(S/S TOT) AJD]]</f>
        <v>24</v>
      </c>
      <c r="Q6" s="39">
        <v>437</v>
      </c>
      <c r="R6" s="3">
        <f>TABL123[[#This Row],[خط (T/B  TOT) SAR]]-TABL123[[#This Row],[(T/B TOT) AJD]]</f>
        <v>45</v>
      </c>
      <c r="S6" s="3">
        <f>TABL123[[#This Row],[الفرق بين بداية ونهاية خط  T/B]]+TABL123[[#This Row],[الفرق بين بداية ونهاية خط  S/S]]</f>
        <v>69</v>
      </c>
      <c r="T6" s="3">
        <f>TABL123[[#This Row],[(S/S TOT) AJD]]+TABL123[[#This Row],[(T/B TOT) AJD]]</f>
        <v>875</v>
      </c>
      <c r="U6" s="41">
        <v>592</v>
      </c>
      <c r="V6" s="41">
        <v>239</v>
      </c>
      <c r="W6" s="3">
        <f>TABL123[[#This Row],[(A/B TOT) AJD]]+TABL123[[#This Row],[(A/S TOT) AJD]]</f>
        <v>831</v>
      </c>
      <c r="X6" s="3">
        <f>TABL123[[#This Row],[( S/S+T/B) AJD]]-TABL123[[#This Row],[(A/B + A/S) AJD]]</f>
        <v>44</v>
      </c>
      <c r="Y6" s="41">
        <v>92.55</v>
      </c>
      <c r="Z6" s="43">
        <v>526426</v>
      </c>
      <c r="AA6" s="3">
        <f>TABL123[[#This Row],[(RESV. STORGE) AJD]]/10</f>
        <v>52642.6</v>
      </c>
      <c r="AB6" s="45">
        <f t="shared" si="1"/>
        <v>17.888000000000002</v>
      </c>
      <c r="AC6" s="43">
        <v>334</v>
      </c>
      <c r="AD6" s="84">
        <f>TABL123[[#This Row],[( S/S+T/B) AJD]]-(TABL123[[#This Row],[(A/B + A/S) AJD]]+(TABL123[[#This Row],[(STORGE DIFF.) AJD]])+TABL123[[#This Row],[البخر  AJD]]/1000)</f>
        <v>25.77800000000002</v>
      </c>
      <c r="AE6" s="68">
        <v>166</v>
      </c>
      <c r="AF6" s="68">
        <v>58.207999999999998</v>
      </c>
      <c r="AG6" s="68">
        <v>1103474</v>
      </c>
      <c r="AH6" s="43">
        <v>1548</v>
      </c>
      <c r="AI6" s="43">
        <v>1548</v>
      </c>
      <c r="AJ6" s="79">
        <f>TABL123[[#This Row],[(A/B TOT) AJD]]-TABL123[[#This Row],[BER_ IN]]</f>
        <v>426</v>
      </c>
      <c r="AK6" s="68">
        <v>23</v>
      </c>
      <c r="AL6" s="88">
        <v>42.7746</v>
      </c>
      <c r="AM6" s="88">
        <v>2989940</v>
      </c>
      <c r="AN6" s="88">
        <f>TABL123[[#This Row],[ (RESV. STORGE) SER]]/10</f>
        <v>298994</v>
      </c>
      <c r="AO6" s="43">
        <v>1580</v>
      </c>
      <c r="AP6" s="32">
        <f>TABL123[[#This Row],[(A/S TOT) AJD]]-TABL123[[#This Row],[SER_ IN]]</f>
        <v>216</v>
      </c>
    </row>
    <row r="7" spans="1:42" ht="18.75" x14ac:dyDescent="0.3">
      <c r="A7" s="2">
        <v>46028</v>
      </c>
      <c r="B7" s="44">
        <v>35</v>
      </c>
      <c r="C7" s="44">
        <v>292</v>
      </c>
      <c r="D7" s="44">
        <v>35</v>
      </c>
      <c r="E7" s="44">
        <v>0</v>
      </c>
      <c r="F7" s="44">
        <v>53</v>
      </c>
      <c r="G7" s="40">
        <v>335</v>
      </c>
      <c r="H7" s="44">
        <f t="shared" si="0"/>
        <v>50</v>
      </c>
      <c r="I7" s="40">
        <v>343</v>
      </c>
      <c r="J7" s="44">
        <v>330</v>
      </c>
      <c r="K7" s="28">
        <f>TABL123[[#This Row],[خط (T/B  TOT) SAR]]+TABL123[[#This Row],[خط (S/S  TOT) SAR2]]</f>
        <v>673</v>
      </c>
      <c r="L7" s="45">
        <v>338</v>
      </c>
      <c r="M7" s="46">
        <v>24.7</v>
      </c>
      <c r="N7" s="46">
        <v>7.39</v>
      </c>
      <c r="O7" s="40">
        <v>429</v>
      </c>
      <c r="P7" s="3">
        <f>TABL123[[#This Row],[خط (S/S  TOT) SAR2]]-TABL123[[#This Row],[(S/S TOT) AJD]]</f>
        <v>-99</v>
      </c>
      <c r="Q7" s="40">
        <v>428</v>
      </c>
      <c r="R7" s="3">
        <f>TABL123[[#This Row],[خط (T/B  TOT) SAR]]-TABL123[[#This Row],[(T/B TOT) AJD]]</f>
        <v>-85</v>
      </c>
      <c r="S7" s="3">
        <f>TABL123[[#This Row],[الفرق بين بداية ونهاية خط  T/B]]+TABL123[[#This Row],[الفرق بين بداية ونهاية خط  S/S]]</f>
        <v>-184</v>
      </c>
      <c r="T7" s="3">
        <f>TABL123[[#This Row],[(S/S TOT) AJD]]+TABL123[[#This Row],[(T/B TOT) AJD]]</f>
        <v>857</v>
      </c>
      <c r="U7" s="44">
        <v>225</v>
      </c>
      <c r="V7" s="44">
        <v>317</v>
      </c>
      <c r="W7" s="3">
        <f>TABL123[[#This Row],[(A/B TOT) AJD]]+TABL123[[#This Row],[(A/S TOT) AJD]]</f>
        <v>542</v>
      </c>
      <c r="X7" s="3">
        <f>TABL123[[#This Row],[( S/S+T/B) AJD]]-TABL123[[#This Row],[(A/B + A/S) AJD]]</f>
        <v>315</v>
      </c>
      <c r="Y7" s="67">
        <v>93.025999999999996</v>
      </c>
      <c r="Z7" s="45">
        <v>809891</v>
      </c>
      <c r="AA7" s="3">
        <f>TABL123[[#This Row],[(RESV. STORGE) AJD]]/10</f>
        <v>80989.100000000006</v>
      </c>
      <c r="AB7" s="45">
        <f t="shared" si="1"/>
        <v>283.46499999999997</v>
      </c>
      <c r="AC7" s="45">
        <v>417</v>
      </c>
      <c r="AD7" s="84">
        <f>TABL123[[#This Row],[( S/S+T/B) AJD]]-(TABL123[[#This Row],[(A/B + A/S) AJD]]+(TABL123[[#This Row],[(STORGE DIFF.) AJD]])+TABL123[[#This Row],[البخر  AJD]]/1000)</f>
        <v>31.118000000000052</v>
      </c>
      <c r="AE7" s="68">
        <v>20</v>
      </c>
      <c r="AF7" s="68">
        <v>58.234999999999999</v>
      </c>
      <c r="AG7" s="68">
        <v>1121119</v>
      </c>
      <c r="AH7" s="45">
        <v>2355</v>
      </c>
      <c r="AI7" s="45">
        <v>2355</v>
      </c>
      <c r="AJ7" s="79">
        <f>TABL123[[#This Row],[(A/B TOT) AJD]]-TABL123[[#This Row],[BER_ IN]]</f>
        <v>205</v>
      </c>
      <c r="AK7" s="68">
        <v>78</v>
      </c>
      <c r="AL7" s="88">
        <v>42.881599999999999</v>
      </c>
      <c r="AM7" s="88">
        <v>3044400</v>
      </c>
      <c r="AN7" s="88">
        <f>TABL123[[#This Row],[ (RESV. STORGE) SER]]/10</f>
        <v>304440</v>
      </c>
      <c r="AO7" s="45">
        <v>1630</v>
      </c>
      <c r="AP7" s="32">
        <f>TABL123[[#This Row],[(A/S TOT) AJD]]-TABL123[[#This Row],[SER_ IN]]</f>
        <v>239</v>
      </c>
    </row>
    <row r="8" spans="1:42" ht="18.75" x14ac:dyDescent="0.3">
      <c r="A8" s="2">
        <v>46029</v>
      </c>
      <c r="B8" s="41">
        <v>34</v>
      </c>
      <c r="C8" s="41">
        <v>288</v>
      </c>
      <c r="D8" s="41">
        <v>34</v>
      </c>
      <c r="E8" s="41">
        <v>0</v>
      </c>
      <c r="F8" s="41">
        <v>53</v>
      </c>
      <c r="G8" s="39">
        <v>341</v>
      </c>
      <c r="H8" s="41">
        <f t="shared" si="0"/>
        <v>50</v>
      </c>
      <c r="I8" s="39">
        <v>343</v>
      </c>
      <c r="J8" s="39">
        <v>330</v>
      </c>
      <c r="K8" s="28">
        <f>TABL123[[#This Row],[خط (T/B  TOT) SAR]]+TABL123[[#This Row],[خط (S/S  TOT) SAR2]]</f>
        <v>673</v>
      </c>
      <c r="L8" s="41">
        <v>332</v>
      </c>
      <c r="M8" s="42">
        <v>24.7</v>
      </c>
      <c r="N8" s="42">
        <v>7.3</v>
      </c>
      <c r="O8" s="39">
        <v>328</v>
      </c>
      <c r="P8" s="3">
        <f>TABL123[[#This Row],[خط (S/S  TOT) SAR2]]-TABL123[[#This Row],[(S/S TOT) AJD]]</f>
        <v>2</v>
      </c>
      <c r="Q8" s="39">
        <v>331</v>
      </c>
      <c r="R8" s="3">
        <f>TABL123[[#This Row],[خط (T/B  TOT) SAR]]-TABL123[[#This Row],[(T/B TOT) AJD]]</f>
        <v>12</v>
      </c>
      <c r="S8" s="3">
        <f>TABL123[[#This Row],[الفرق بين بداية ونهاية خط  T/B]]+TABL123[[#This Row],[الفرق بين بداية ونهاية خط  S/S]]</f>
        <v>14</v>
      </c>
      <c r="T8" s="3">
        <f>TABL123[[#This Row],[(S/S TOT) AJD]]+TABL123[[#This Row],[(T/B TOT) AJD]]</f>
        <v>659</v>
      </c>
      <c r="U8" s="41">
        <v>150</v>
      </c>
      <c r="V8" s="41">
        <v>386</v>
      </c>
      <c r="W8" s="3">
        <f>TABL123[[#This Row],[(A/B TOT) AJD]]+TABL123[[#This Row],[(A/S TOT) AJD]]</f>
        <v>536</v>
      </c>
      <c r="X8" s="3">
        <f>TABL123[[#This Row],[( S/S+T/B) AJD]]-TABL123[[#This Row],[(A/B + A/S) AJD]]</f>
        <v>123</v>
      </c>
      <c r="Y8" s="41">
        <v>93.105999999999995</v>
      </c>
      <c r="Z8" s="43">
        <v>859119</v>
      </c>
      <c r="AA8" s="3">
        <f>TABL123[[#This Row],[(RESV. STORGE) AJD]]/10</f>
        <v>85911.9</v>
      </c>
      <c r="AB8" s="45">
        <f t="shared" si="1"/>
        <v>49.228000000000002</v>
      </c>
      <c r="AC8" s="43">
        <v>673</v>
      </c>
      <c r="AD8" s="84">
        <f>TABL123[[#This Row],[( S/S+T/B) AJD]]-(TABL123[[#This Row],[(A/B + A/S) AJD]]+(TABL123[[#This Row],[(STORGE DIFF.) AJD]])+TABL123[[#This Row],[البخر  AJD]]/1000)</f>
        <v>73.099000000000046</v>
      </c>
      <c r="AE8" s="68">
        <v>0</v>
      </c>
      <c r="AF8" s="68">
        <v>58.231999999999999</v>
      </c>
      <c r="AG8" s="68">
        <v>1119158</v>
      </c>
      <c r="AH8" s="43">
        <v>1960</v>
      </c>
      <c r="AI8" s="43">
        <v>1960</v>
      </c>
      <c r="AJ8" s="79">
        <f>TABL123[[#This Row],[(A/B TOT) AJD]]-TABL123[[#This Row],[BER_ IN]]</f>
        <v>150</v>
      </c>
      <c r="AK8" s="68">
        <v>111</v>
      </c>
      <c r="AL8" s="88">
        <v>43.009500000000003</v>
      </c>
      <c r="AM8" s="88">
        <v>3113090</v>
      </c>
      <c r="AN8" s="88">
        <f>TABL123[[#This Row],[ (RESV. STORGE) SER]]/10</f>
        <v>311309</v>
      </c>
      <c r="AO8" s="43">
        <v>1645</v>
      </c>
      <c r="AP8" s="32">
        <f>TABL123[[#This Row],[(A/S TOT) AJD]]-TABL123[[#This Row],[SER_ IN]]</f>
        <v>275</v>
      </c>
    </row>
    <row r="9" spans="1:42" ht="18.75" x14ac:dyDescent="0.3">
      <c r="A9" s="2">
        <v>46030</v>
      </c>
      <c r="B9" s="44">
        <v>35</v>
      </c>
      <c r="C9" s="44">
        <v>277</v>
      </c>
      <c r="D9" s="44">
        <v>35</v>
      </c>
      <c r="E9" s="44">
        <v>0</v>
      </c>
      <c r="F9" s="44">
        <v>53</v>
      </c>
      <c r="G9" s="40">
        <v>340</v>
      </c>
      <c r="H9" s="44">
        <f t="shared" si="0"/>
        <v>50</v>
      </c>
      <c r="I9" s="40">
        <v>341</v>
      </c>
      <c r="J9" s="44">
        <v>329</v>
      </c>
      <c r="K9" s="28">
        <f>TABL123[[#This Row],[خط (T/B  TOT) SAR]]+TABL123[[#This Row],[خط (S/S  TOT) SAR2]]</f>
        <v>670</v>
      </c>
      <c r="L9" s="45">
        <v>330</v>
      </c>
      <c r="M9" s="46">
        <v>24.7</v>
      </c>
      <c r="N9" s="46">
        <v>7.15</v>
      </c>
      <c r="O9" s="40">
        <v>309</v>
      </c>
      <c r="P9" s="3">
        <f>TABL123[[#This Row],[خط (S/S  TOT) SAR2]]-TABL123[[#This Row],[(S/S TOT) AJD]]</f>
        <v>20</v>
      </c>
      <c r="Q9" s="40">
        <v>307</v>
      </c>
      <c r="R9" s="3">
        <f>TABL123[[#This Row],[خط (T/B  TOT) SAR]]-TABL123[[#This Row],[(T/B TOT) AJD]]</f>
        <v>34</v>
      </c>
      <c r="S9" s="3">
        <f>TABL123[[#This Row],[الفرق بين بداية ونهاية خط  T/B]]+TABL123[[#This Row],[الفرق بين بداية ونهاية خط  S/S]]</f>
        <v>54</v>
      </c>
      <c r="T9" s="3">
        <f>TABL123[[#This Row],[(S/S TOT) AJD]]+TABL123[[#This Row],[(T/B TOT) AJD]]</f>
        <v>616</v>
      </c>
      <c r="U9" s="44">
        <v>149</v>
      </c>
      <c r="V9" s="44">
        <v>397</v>
      </c>
      <c r="W9" s="3">
        <f>TABL123[[#This Row],[(A/B TOT) AJD]]+TABL123[[#This Row],[(A/S TOT) AJD]]</f>
        <v>546</v>
      </c>
      <c r="X9" s="3">
        <f>TABL123[[#This Row],[( S/S+T/B) AJD]]-TABL123[[#This Row],[(A/B + A/S) AJD]]</f>
        <v>70</v>
      </c>
      <c r="Y9" s="44">
        <v>93.173000000000002</v>
      </c>
      <c r="Z9" s="45">
        <v>902393</v>
      </c>
      <c r="AA9" s="3">
        <f>TABL123[[#This Row],[(RESV. STORGE) AJD]]/10</f>
        <v>90239.3</v>
      </c>
      <c r="AB9" s="45">
        <f t="shared" si="1"/>
        <v>43.274000000000001</v>
      </c>
      <c r="AC9" s="45">
        <v>842</v>
      </c>
      <c r="AD9" s="84">
        <f>TABL123[[#This Row],[( S/S+T/B) AJD]]-(TABL123[[#This Row],[(A/B + A/S) AJD]]+(TABL123[[#This Row],[(STORGE DIFF.) AJD]])+TABL123[[#This Row],[البخر  AJD]]/1000)</f>
        <v>25.884000000000015</v>
      </c>
      <c r="AE9" s="68">
        <v>0</v>
      </c>
      <c r="AF9" s="68">
        <v>58.23</v>
      </c>
      <c r="AG9" s="68">
        <v>1117851</v>
      </c>
      <c r="AH9" s="45">
        <v>1307</v>
      </c>
      <c r="AI9" s="45">
        <v>1307</v>
      </c>
      <c r="AJ9" s="79">
        <f>TABL123[[#This Row],[(A/B TOT) AJD]]-TABL123[[#This Row],[BER_ IN]]</f>
        <v>149</v>
      </c>
      <c r="AK9" s="68">
        <v>111</v>
      </c>
      <c r="AL9" s="88">
        <v>43.088099999999997</v>
      </c>
      <c r="AM9" s="88">
        <v>3155860</v>
      </c>
      <c r="AN9" s="88">
        <f>TABL123[[#This Row],[ (RESV. STORGE) SER]]/10</f>
        <v>315586</v>
      </c>
      <c r="AO9" s="45">
        <v>1665</v>
      </c>
      <c r="AP9" s="32">
        <f>TABL123[[#This Row],[(A/S TOT) AJD]]-TABL123[[#This Row],[SER_ IN]]</f>
        <v>286</v>
      </c>
    </row>
    <row r="10" spans="1:42" ht="18.75" x14ac:dyDescent="0.3">
      <c r="A10" s="2">
        <v>46031</v>
      </c>
      <c r="B10" s="41">
        <v>35</v>
      </c>
      <c r="C10" s="41">
        <v>281</v>
      </c>
      <c r="D10" s="41">
        <v>35</v>
      </c>
      <c r="E10" s="41">
        <v>0</v>
      </c>
      <c r="F10" s="41">
        <v>47</v>
      </c>
      <c r="G10" s="39">
        <v>294</v>
      </c>
      <c r="H10" s="41">
        <f t="shared" si="0"/>
        <v>56</v>
      </c>
      <c r="I10" s="39">
        <v>317</v>
      </c>
      <c r="J10" s="39">
        <v>307</v>
      </c>
      <c r="K10" s="28">
        <f>TABL123[[#This Row],[خط (T/B  TOT) SAR]]+TABL123[[#This Row],[خط (S/S  TOT) SAR2]]</f>
        <v>624</v>
      </c>
      <c r="L10" s="41">
        <v>330</v>
      </c>
      <c r="M10" s="42">
        <v>24.7</v>
      </c>
      <c r="N10" s="42">
        <v>7</v>
      </c>
      <c r="O10" s="39">
        <v>306</v>
      </c>
      <c r="P10" s="3">
        <f>TABL123[[#This Row],[خط (S/S  TOT) SAR2]]-TABL123[[#This Row],[(S/S TOT) AJD]]</f>
        <v>1</v>
      </c>
      <c r="Q10" s="39">
        <v>304</v>
      </c>
      <c r="R10" s="3">
        <f>TABL123[[#This Row],[خط (T/B  TOT) SAR]]-TABL123[[#This Row],[(T/B TOT) AJD]]</f>
        <v>13</v>
      </c>
      <c r="S10" s="3">
        <f>TABL123[[#This Row],[الفرق بين بداية ونهاية خط  T/B]]+TABL123[[#This Row],[الفرق بين بداية ونهاية خط  S/S]]</f>
        <v>14</v>
      </c>
      <c r="T10" s="3">
        <f>TABL123[[#This Row],[(S/S TOT) AJD]]+TABL123[[#This Row],[(T/B TOT) AJD]]</f>
        <v>610</v>
      </c>
      <c r="U10" s="41">
        <v>149</v>
      </c>
      <c r="V10" s="41">
        <v>422</v>
      </c>
      <c r="W10" s="3">
        <f>TABL123[[#This Row],[(A/B TOT) AJD]]+TABL123[[#This Row],[(A/S TOT) AJD]]</f>
        <v>571</v>
      </c>
      <c r="X10" s="3">
        <f>TABL123[[#This Row],[( S/S+T/B) AJD]]-TABL123[[#This Row],[(A/B + A/S) AJD]]</f>
        <v>39</v>
      </c>
      <c r="Y10" s="41">
        <v>93.171000000000006</v>
      </c>
      <c r="Z10" s="43">
        <v>898177</v>
      </c>
      <c r="AA10" s="3">
        <f>TABL123[[#This Row],[(RESV. STORGE) AJD]]/10</f>
        <v>89817.7</v>
      </c>
      <c r="AB10" s="45">
        <f t="shared" si="1"/>
        <v>-4.2160000000000002</v>
      </c>
      <c r="AC10" s="43">
        <v>842</v>
      </c>
      <c r="AD10" s="84">
        <f>TABL123[[#This Row],[( S/S+T/B) AJD]]-(TABL123[[#This Row],[(A/B + A/S) AJD]]+(TABL123[[#This Row],[(STORGE DIFF.) AJD]])+TABL123[[#This Row],[البخر  AJD]]/1000)</f>
        <v>42.374000000000024</v>
      </c>
      <c r="AE10" s="68">
        <v>0</v>
      </c>
      <c r="AF10" s="68">
        <v>58.228000000000002</v>
      </c>
      <c r="AG10" s="68">
        <v>1116544</v>
      </c>
      <c r="AH10" s="43">
        <v>1307</v>
      </c>
      <c r="AI10" s="43">
        <v>1307</v>
      </c>
      <c r="AJ10" s="79">
        <f>TABL123[[#This Row],[(A/B TOT) AJD]]-TABL123[[#This Row],[BER_ IN]]</f>
        <v>149</v>
      </c>
      <c r="AK10" s="68">
        <v>109</v>
      </c>
      <c r="AL10" s="88">
        <v>43.087800000000001</v>
      </c>
      <c r="AM10" s="88">
        <v>3156470</v>
      </c>
      <c r="AN10" s="88">
        <f>TABL123[[#This Row],[ (RESV. STORGE) SER]]/10</f>
        <v>315647</v>
      </c>
      <c r="AO10" s="43">
        <v>1630</v>
      </c>
      <c r="AP10" s="32">
        <f>TABL123[[#This Row],[(A/S TOT) AJD]]-TABL123[[#This Row],[SER_ IN]]</f>
        <v>313</v>
      </c>
    </row>
    <row r="11" spans="1:42" ht="18.75" x14ac:dyDescent="0.3">
      <c r="A11" s="2">
        <v>46032</v>
      </c>
      <c r="B11" s="44">
        <v>34</v>
      </c>
      <c r="C11" s="44">
        <v>276</v>
      </c>
      <c r="D11" s="44">
        <v>34</v>
      </c>
      <c r="E11" s="44">
        <v>0</v>
      </c>
      <c r="F11" s="44">
        <v>47</v>
      </c>
      <c r="G11" s="40">
        <v>295</v>
      </c>
      <c r="H11" s="44">
        <f t="shared" si="0"/>
        <v>56</v>
      </c>
      <c r="I11" s="40">
        <v>315</v>
      </c>
      <c r="J11" s="44">
        <v>306</v>
      </c>
      <c r="K11" s="28">
        <f>TABL123[[#This Row],[خط (T/B  TOT) SAR]]+TABL123[[#This Row],[خط (S/S  TOT) SAR2]]</f>
        <v>621</v>
      </c>
      <c r="L11" s="45">
        <v>326</v>
      </c>
      <c r="M11" s="46">
        <v>24.7</v>
      </c>
      <c r="N11" s="46">
        <v>6.78</v>
      </c>
      <c r="O11" s="40">
        <v>292</v>
      </c>
      <c r="P11" s="3">
        <f>TABL123[[#This Row],[خط (S/S  TOT) SAR2]]-TABL123[[#This Row],[(S/S TOT) AJD]]</f>
        <v>14</v>
      </c>
      <c r="Q11" s="40">
        <v>289</v>
      </c>
      <c r="R11" s="3">
        <f>TABL123[[#This Row],[خط (T/B  TOT) SAR]]-TABL123[[#This Row],[(T/B TOT) AJD]]</f>
        <v>26</v>
      </c>
      <c r="S11" s="3">
        <f>TABL123[[#This Row],[الفرق بين بداية ونهاية خط  T/B]]+TABL123[[#This Row],[الفرق بين بداية ونهاية خط  S/S]]</f>
        <v>40</v>
      </c>
      <c r="T11" s="3">
        <f>TABL123[[#This Row],[(S/S TOT) AJD]]+TABL123[[#This Row],[(T/B TOT) AJD]]</f>
        <v>581</v>
      </c>
      <c r="U11" s="44">
        <v>148</v>
      </c>
      <c r="V11" s="44">
        <v>409</v>
      </c>
      <c r="W11" s="3">
        <f>TABL123[[#This Row],[(A/B TOT) AJD]]+TABL123[[#This Row],[(A/S TOT) AJD]]</f>
        <v>557</v>
      </c>
      <c r="X11" s="3">
        <f>TABL123[[#This Row],[( S/S+T/B) AJD]]-TABL123[[#This Row],[(A/B + A/S) AJD]]</f>
        <v>24</v>
      </c>
      <c r="Y11" s="44">
        <v>93.158000000000001</v>
      </c>
      <c r="Z11" s="45">
        <v>892169</v>
      </c>
      <c r="AA11" s="3">
        <f>TABL123[[#This Row],[(RESV. STORGE) AJD]]/10</f>
        <v>89216.9</v>
      </c>
      <c r="AB11" s="45">
        <f t="shared" si="1"/>
        <v>-6.008</v>
      </c>
      <c r="AC11" s="45">
        <v>842</v>
      </c>
      <c r="AD11" s="84">
        <f>TABL123[[#This Row],[( S/S+T/B) AJD]]-(TABL123[[#This Row],[(A/B + A/S) AJD]]+(TABL123[[#This Row],[(STORGE DIFF.) AJD]])+TABL123[[#This Row],[البخر  AJD]]/1000)</f>
        <v>29.166000000000054</v>
      </c>
      <c r="AE11" s="68">
        <v>0</v>
      </c>
      <c r="AF11" s="68">
        <v>58.225000000000001</v>
      </c>
      <c r="AG11" s="68">
        <v>1114583</v>
      </c>
      <c r="AH11" s="45">
        <v>1960</v>
      </c>
      <c r="AI11" s="45">
        <v>1960</v>
      </c>
      <c r="AJ11" s="79">
        <f>TABL123[[#This Row],[(A/B TOT) AJD]]-TABL123[[#This Row],[BER_ IN]]</f>
        <v>148</v>
      </c>
      <c r="AK11" s="68">
        <v>110</v>
      </c>
      <c r="AL11" s="88">
        <v>43.119100000000003</v>
      </c>
      <c r="AM11" s="88">
        <v>3172270</v>
      </c>
      <c r="AN11" s="88">
        <f>TABL123[[#This Row],[ (RESV. STORGE) SER]]/10</f>
        <v>317227</v>
      </c>
      <c r="AO11" s="45">
        <v>1420</v>
      </c>
      <c r="AP11" s="32">
        <f>TABL123[[#This Row],[(A/S TOT) AJD]]-TABL123[[#This Row],[SER_ IN]]</f>
        <v>299</v>
      </c>
    </row>
    <row r="12" spans="1:42" ht="18.75" x14ac:dyDescent="0.3">
      <c r="A12" s="2">
        <v>46033</v>
      </c>
      <c r="B12" s="41">
        <v>35</v>
      </c>
      <c r="C12" s="41">
        <v>292</v>
      </c>
      <c r="D12" s="41">
        <v>35</v>
      </c>
      <c r="E12" s="41">
        <v>0</v>
      </c>
      <c r="F12" s="41">
        <v>47</v>
      </c>
      <c r="G12" s="39">
        <v>289</v>
      </c>
      <c r="H12" s="41">
        <f t="shared" si="0"/>
        <v>56</v>
      </c>
      <c r="I12" s="39">
        <v>306</v>
      </c>
      <c r="J12" s="39">
        <v>290</v>
      </c>
      <c r="K12" s="28">
        <f>TABL123[[#This Row],[خط (T/B  TOT) SAR]]+TABL123[[#This Row],[خط (S/S  TOT) SAR2]]</f>
        <v>596</v>
      </c>
      <c r="L12" s="41">
        <v>307</v>
      </c>
      <c r="M12" s="42">
        <v>24.7</v>
      </c>
      <c r="N12" s="42">
        <v>6.83</v>
      </c>
      <c r="O12" s="39">
        <v>283</v>
      </c>
      <c r="P12" s="3">
        <f>TABL123[[#This Row],[خط (S/S  TOT) SAR2]]-TABL123[[#This Row],[(S/S TOT) AJD]]</f>
        <v>7</v>
      </c>
      <c r="Q12" s="39">
        <v>280</v>
      </c>
      <c r="R12" s="3">
        <f>TABL123[[#This Row],[خط (T/B  TOT) SAR]]-TABL123[[#This Row],[(T/B TOT) AJD]]</f>
        <v>26</v>
      </c>
      <c r="S12" s="3">
        <f>TABL123[[#This Row],[الفرق بين بداية ونهاية خط  T/B]]+TABL123[[#This Row],[الفرق بين بداية ونهاية خط  S/S]]</f>
        <v>33</v>
      </c>
      <c r="T12" s="3">
        <f>TABL123[[#This Row],[(S/S TOT) AJD]]+TABL123[[#This Row],[(T/B TOT) AJD]]</f>
        <v>563</v>
      </c>
      <c r="U12" s="41">
        <v>148</v>
      </c>
      <c r="V12" s="41">
        <v>371</v>
      </c>
      <c r="W12" s="3">
        <f>TABL123[[#This Row],[(A/B TOT) AJD]]+TABL123[[#This Row],[(A/S TOT) AJD]]</f>
        <v>519</v>
      </c>
      <c r="X12" s="3">
        <f>TABL123[[#This Row],[( S/S+T/B) AJD]]-TABL123[[#This Row],[(A/B + A/S) AJD]]</f>
        <v>44</v>
      </c>
      <c r="Y12" s="41">
        <v>93.165999999999997</v>
      </c>
      <c r="Z12" s="43">
        <v>895173</v>
      </c>
      <c r="AA12" s="3">
        <f>TABL123[[#This Row],[(RESV. STORGE) AJD]]/10</f>
        <v>89517.3</v>
      </c>
      <c r="AB12" s="45">
        <f t="shared" si="1"/>
        <v>3.004</v>
      </c>
      <c r="AC12" s="43">
        <v>0</v>
      </c>
      <c r="AD12" s="84">
        <f>TABL123[[#This Row],[( S/S+T/B) AJD]]-(TABL123[[#This Row],[(A/B + A/S) AJD]]+(TABL123[[#This Row],[(STORGE DIFF.) AJD]])+TABL123[[#This Row],[البخر  AJD]]/1000)</f>
        <v>40.995999999999981</v>
      </c>
      <c r="AE12" s="68">
        <v>0</v>
      </c>
      <c r="AF12" s="68">
        <v>58.222999999999999</v>
      </c>
      <c r="AG12" s="68">
        <v>1113276</v>
      </c>
      <c r="AH12" s="68">
        <v>1307</v>
      </c>
      <c r="AI12" s="68">
        <v>1307</v>
      </c>
      <c r="AJ12" s="79">
        <f>TABL123[[#This Row],[(A/B TOT) AJD]]-TABL123[[#This Row],[BER_ IN]]</f>
        <v>148</v>
      </c>
      <c r="AK12" s="68">
        <v>112</v>
      </c>
      <c r="AL12" s="88">
        <v>43.129600000000003</v>
      </c>
      <c r="AM12" s="88">
        <v>3178100</v>
      </c>
      <c r="AN12" s="88">
        <f>TABL123[[#This Row],[ (RESV. STORGE) SER]]/10</f>
        <v>317810</v>
      </c>
      <c r="AO12" s="43">
        <v>1453</v>
      </c>
      <c r="AP12" s="32">
        <f>TABL123[[#This Row],[(A/S TOT) AJD]]-TABL123[[#This Row],[SER_ IN]]</f>
        <v>259</v>
      </c>
    </row>
    <row r="13" spans="1:42" ht="18.75" x14ac:dyDescent="0.3">
      <c r="A13" s="2">
        <v>46034</v>
      </c>
      <c r="B13" s="44">
        <v>35</v>
      </c>
      <c r="C13" s="44">
        <v>300</v>
      </c>
      <c r="D13" s="44">
        <v>35</v>
      </c>
      <c r="E13" s="44">
        <v>0</v>
      </c>
      <c r="F13" s="44">
        <v>47</v>
      </c>
      <c r="G13" s="40">
        <v>296</v>
      </c>
      <c r="H13" s="44">
        <f t="shared" si="0"/>
        <v>56</v>
      </c>
      <c r="I13" s="40">
        <v>300</v>
      </c>
      <c r="J13" s="44">
        <v>283</v>
      </c>
      <c r="K13" s="28">
        <f>TABL123[[#This Row],[خط (T/B  TOT) SAR]]+TABL123[[#This Row],[خط (S/S  TOT) SAR2]]</f>
        <v>583</v>
      </c>
      <c r="L13" s="45">
        <v>287</v>
      </c>
      <c r="M13" s="46">
        <v>21.7</v>
      </c>
      <c r="N13" s="46">
        <v>7.11</v>
      </c>
      <c r="O13" s="40">
        <v>274</v>
      </c>
      <c r="P13" s="3">
        <f>TABL123[[#This Row],[خط (S/S  TOT) SAR2]]-TABL123[[#This Row],[(S/S TOT) AJD]]</f>
        <v>9</v>
      </c>
      <c r="Q13" s="40">
        <v>269</v>
      </c>
      <c r="R13" s="3">
        <f>TABL123[[#This Row],[خط (T/B  TOT) SAR]]-TABL123[[#This Row],[(T/B TOT) AJD]]</f>
        <v>31</v>
      </c>
      <c r="S13" s="3">
        <f>TABL123[[#This Row],[الفرق بين بداية ونهاية خط  T/B]]+TABL123[[#This Row],[الفرق بين بداية ونهاية خط  S/S]]</f>
        <v>40</v>
      </c>
      <c r="T13" s="3">
        <f>TABL123[[#This Row],[(S/S TOT) AJD]]+TABL123[[#This Row],[(T/B TOT) AJD]]</f>
        <v>543</v>
      </c>
      <c r="U13" s="44">
        <v>147</v>
      </c>
      <c r="V13" s="44">
        <v>370</v>
      </c>
      <c r="W13" s="3">
        <f>TABL123[[#This Row],[(A/B TOT) AJD]]+TABL123[[#This Row],[(A/S TOT) AJD]]</f>
        <v>517</v>
      </c>
      <c r="X13" s="3">
        <f>TABL123[[#This Row],[( S/S+T/B) AJD]]-TABL123[[#This Row],[(A/B + A/S) AJD]]</f>
        <v>26</v>
      </c>
      <c r="Y13" s="44">
        <v>93.150999999999996</v>
      </c>
      <c r="Z13" s="45">
        <v>884153</v>
      </c>
      <c r="AA13" s="3">
        <f>TABL123[[#This Row],[(RESV. STORGE) AJD]]/10</f>
        <v>88415.3</v>
      </c>
      <c r="AB13" s="45">
        <f t="shared" si="1"/>
        <v>-11.02</v>
      </c>
      <c r="AC13" s="45">
        <v>0</v>
      </c>
      <c r="AD13" s="84">
        <f>TABL123[[#This Row],[( S/S+T/B) AJD]]-(TABL123[[#This Row],[(A/B + A/S) AJD]]+(TABL123[[#This Row],[(STORGE DIFF.) AJD]])+TABL123[[#This Row],[البخر  AJD]]/1000)</f>
        <v>37.019999999999982</v>
      </c>
      <c r="AE13" s="68">
        <v>0</v>
      </c>
      <c r="AF13" s="68">
        <v>58.201000000000001</v>
      </c>
      <c r="AG13" s="68">
        <v>1098901</v>
      </c>
      <c r="AH13" s="45">
        <v>1306</v>
      </c>
      <c r="AI13" s="45">
        <v>1306</v>
      </c>
      <c r="AJ13" s="79">
        <f>TABL123[[#This Row],[(A/B TOT) AJD]]-TABL123[[#This Row],[BER_ IN]]</f>
        <v>147</v>
      </c>
      <c r="AK13" s="68">
        <v>119</v>
      </c>
      <c r="AL13" s="88">
        <v>43.183799999999998</v>
      </c>
      <c r="AM13" s="88">
        <v>3207490</v>
      </c>
      <c r="AN13" s="88">
        <f>TABL123[[#This Row],[ (RESV. STORGE) SER]]/10</f>
        <v>320749</v>
      </c>
      <c r="AO13" s="45">
        <v>1447</v>
      </c>
      <c r="AP13" s="32">
        <f>TABL123[[#This Row],[(A/S TOT) AJD]]-TABL123[[#This Row],[SER_ IN]]</f>
        <v>251</v>
      </c>
    </row>
    <row r="14" spans="1:42" ht="18.75" x14ac:dyDescent="0.3">
      <c r="A14" s="2">
        <v>46035</v>
      </c>
      <c r="B14" s="41">
        <v>35</v>
      </c>
      <c r="C14" s="41">
        <v>288</v>
      </c>
      <c r="D14" s="41">
        <v>35</v>
      </c>
      <c r="E14" s="41">
        <v>0</v>
      </c>
      <c r="F14" s="41">
        <v>47</v>
      </c>
      <c r="G14" s="39">
        <v>303</v>
      </c>
      <c r="H14" s="41">
        <f t="shared" si="0"/>
        <v>56</v>
      </c>
      <c r="I14" s="39">
        <v>277</v>
      </c>
      <c r="J14" s="39">
        <v>314</v>
      </c>
      <c r="K14" s="28">
        <f>TABL123[[#This Row],[خط (T/B  TOT) SAR]]+TABL123[[#This Row],[خط (S/S  TOT) SAR2]]</f>
        <v>591</v>
      </c>
      <c r="L14" s="41">
        <v>288</v>
      </c>
      <c r="M14" s="42">
        <v>21.7</v>
      </c>
      <c r="N14" s="42">
        <v>7.26</v>
      </c>
      <c r="O14" s="39">
        <v>286</v>
      </c>
      <c r="P14" s="3">
        <f>TABL123[[#This Row],[خط (S/S  TOT) SAR2]]-TABL123[[#This Row],[(S/S TOT) AJD]]</f>
        <v>28</v>
      </c>
      <c r="Q14" s="39">
        <v>261</v>
      </c>
      <c r="R14" s="3">
        <f>TABL123[[#This Row],[خط (T/B  TOT) SAR]]-TABL123[[#This Row],[(T/B TOT) AJD]]</f>
        <v>16</v>
      </c>
      <c r="S14" s="3">
        <f>TABL123[[#This Row],[الفرق بين بداية ونهاية خط  T/B]]+TABL123[[#This Row],[الفرق بين بداية ونهاية خط  S/S]]</f>
        <v>44</v>
      </c>
      <c r="T14" s="3">
        <f>TABL123[[#This Row],[(S/S TOT) AJD]]+TABL123[[#This Row],[(T/B TOT) AJD]]</f>
        <v>547</v>
      </c>
      <c r="U14" s="41">
        <v>147</v>
      </c>
      <c r="V14" s="41">
        <v>380</v>
      </c>
      <c r="W14" s="3">
        <f>TABL123[[#This Row],[(A/B TOT) AJD]]+TABL123[[#This Row],[(A/S TOT) AJD]]</f>
        <v>527</v>
      </c>
      <c r="X14" s="3">
        <f>TABL123[[#This Row],[( S/S+T/B) AJD]]-TABL123[[#This Row],[(A/B + A/S) AJD]]</f>
        <v>20</v>
      </c>
      <c r="Y14" s="41">
        <v>93.067999999999998</v>
      </c>
      <c r="Z14" s="43">
        <v>836298</v>
      </c>
      <c r="AA14" s="3">
        <f>TABL123[[#This Row],[(RESV. STORGE) AJD]]/10</f>
        <v>83629.8</v>
      </c>
      <c r="AB14" s="45">
        <f t="shared" si="1"/>
        <v>-47.854999999999997</v>
      </c>
      <c r="AC14" s="43">
        <v>0</v>
      </c>
      <c r="AD14" s="84">
        <f>TABL123[[#This Row],[( S/S+T/B) AJD]]-(TABL123[[#This Row],[(A/B + A/S) AJD]]+(TABL123[[#This Row],[(STORGE DIFF.) AJD]])+TABL123[[#This Row],[البخر  AJD]]/1000)</f>
        <v>67.855000000000018</v>
      </c>
      <c r="AE14" s="68">
        <v>0</v>
      </c>
      <c r="AF14" s="68">
        <v>58.198999999999998</v>
      </c>
      <c r="AG14" s="68">
        <v>1097594</v>
      </c>
      <c r="AH14" s="43">
        <v>1306</v>
      </c>
      <c r="AI14" s="43">
        <v>1306</v>
      </c>
      <c r="AJ14" s="79">
        <f>TABL123[[#This Row],[(A/B TOT) AJD]]-TABL123[[#This Row],[BER_ IN]]</f>
        <v>147</v>
      </c>
      <c r="AK14" s="68">
        <v>121</v>
      </c>
      <c r="AL14" s="88">
        <v>43.333199999999998</v>
      </c>
      <c r="AM14" s="88">
        <v>3288850</v>
      </c>
      <c r="AN14" s="88">
        <f>TABL123[[#This Row],[ (RESV. STORGE) SER]]/10</f>
        <v>328885</v>
      </c>
      <c r="AO14" s="43">
        <v>1460</v>
      </c>
      <c r="AP14" s="32">
        <f>TABL123[[#This Row],[(A/S TOT) AJD]]-TABL123[[#This Row],[SER_ IN]]</f>
        <v>259</v>
      </c>
    </row>
    <row r="15" spans="1:42" ht="18.75" x14ac:dyDescent="0.3">
      <c r="A15" s="2">
        <v>46036</v>
      </c>
      <c r="B15" s="44">
        <v>35</v>
      </c>
      <c r="C15" s="44">
        <v>293</v>
      </c>
      <c r="D15" s="44">
        <v>35</v>
      </c>
      <c r="E15" s="44">
        <v>0</v>
      </c>
      <c r="F15" s="44">
        <v>47</v>
      </c>
      <c r="G15" s="40">
        <v>313</v>
      </c>
      <c r="H15" s="44">
        <f t="shared" si="0"/>
        <v>56</v>
      </c>
      <c r="I15" s="40">
        <v>275</v>
      </c>
      <c r="J15" s="44">
        <v>313</v>
      </c>
      <c r="K15" s="28">
        <f>TABL123[[#This Row],[خط (T/B  TOT) SAR]]+TABL123[[#This Row],[خط (S/S  TOT) SAR2]]</f>
        <v>588</v>
      </c>
      <c r="L15" s="45">
        <v>290</v>
      </c>
      <c r="M15" s="46">
        <v>21.7</v>
      </c>
      <c r="N15" s="46">
        <v>7.38</v>
      </c>
      <c r="O15" s="40">
        <v>288</v>
      </c>
      <c r="P15" s="3">
        <f>TABL123[[#This Row],[خط (S/S  TOT) SAR2]]-TABL123[[#This Row],[(S/S TOT) AJD]]</f>
        <v>25</v>
      </c>
      <c r="Q15" s="40">
        <v>246</v>
      </c>
      <c r="R15" s="3">
        <f>TABL123[[#This Row],[خط (T/B  TOT) SAR]]-TABL123[[#This Row],[(T/B TOT) AJD]]</f>
        <v>29</v>
      </c>
      <c r="S15" s="3">
        <f>TABL123[[#This Row],[الفرق بين بداية ونهاية خط  T/B]]+TABL123[[#This Row],[الفرق بين بداية ونهاية خط  S/S]]</f>
        <v>54</v>
      </c>
      <c r="T15" s="3">
        <f>TABL123[[#This Row],[(S/S TOT) AJD]]+TABL123[[#This Row],[(T/B TOT) AJD]]</f>
        <v>534</v>
      </c>
      <c r="U15" s="44">
        <v>148</v>
      </c>
      <c r="V15" s="44">
        <v>378</v>
      </c>
      <c r="W15" s="3">
        <f>TABL123[[#This Row],[(A/B TOT) AJD]]+TABL123[[#This Row],[(A/S TOT) AJD]]</f>
        <v>526</v>
      </c>
      <c r="X15" s="3">
        <f>TABL123[[#This Row],[( S/S+T/B) AJD]]-TABL123[[#This Row],[(A/B + A/S) AJD]]</f>
        <v>8</v>
      </c>
      <c r="Y15" s="44">
        <v>92.995999999999995</v>
      </c>
      <c r="Z15" s="45">
        <v>793094</v>
      </c>
      <c r="AA15" s="3">
        <f>TABL123[[#This Row],[(RESV. STORGE) AJD]]/10</f>
        <v>79309.399999999994</v>
      </c>
      <c r="AB15" s="45">
        <f t="shared" si="1"/>
        <v>-43.204000000000001</v>
      </c>
      <c r="AC15" s="45">
        <v>624</v>
      </c>
      <c r="AD15" s="84">
        <f>TABL123[[#This Row],[( S/S+T/B) AJD]]-(TABL123[[#This Row],[(A/B + A/S) AJD]]+(TABL123[[#This Row],[(STORGE DIFF.) AJD]])+TABL123[[#This Row],[البخر  AJD]]/1000)</f>
        <v>50.579999999999984</v>
      </c>
      <c r="AE15" s="68">
        <v>0</v>
      </c>
      <c r="AF15" s="68">
        <v>58.198</v>
      </c>
      <c r="AG15" s="68">
        <v>1096941</v>
      </c>
      <c r="AH15" s="45">
        <v>653</v>
      </c>
      <c r="AI15" s="45">
        <v>653</v>
      </c>
      <c r="AJ15" s="79">
        <f>TABL123[[#This Row],[(A/B TOT) AJD]]-TABL123[[#This Row],[BER_ IN]]</f>
        <v>148</v>
      </c>
      <c r="AK15" s="68">
        <v>119</v>
      </c>
      <c r="AL15" s="88">
        <v>43.494</v>
      </c>
      <c r="AM15" s="88">
        <v>3376500</v>
      </c>
      <c r="AN15" s="88">
        <f>TABL123[[#This Row],[ (RESV. STORGE) SER]]/10</f>
        <v>337650</v>
      </c>
      <c r="AO15" s="45">
        <v>1470</v>
      </c>
      <c r="AP15" s="32">
        <f>TABL123[[#This Row],[(A/S TOT) AJD]]-TABL123[[#This Row],[SER_ IN]]</f>
        <v>259</v>
      </c>
    </row>
    <row r="16" spans="1:42" ht="18.75" x14ac:dyDescent="0.3">
      <c r="A16" s="2">
        <v>46037</v>
      </c>
      <c r="B16" s="41">
        <v>35</v>
      </c>
      <c r="C16" s="41">
        <v>299</v>
      </c>
      <c r="D16" s="41">
        <v>35</v>
      </c>
      <c r="E16" s="41">
        <v>0</v>
      </c>
      <c r="F16" s="41">
        <v>47</v>
      </c>
      <c r="G16" s="39">
        <v>313</v>
      </c>
      <c r="H16" s="41">
        <f t="shared" si="0"/>
        <v>56</v>
      </c>
      <c r="I16" s="39">
        <v>277</v>
      </c>
      <c r="J16" s="39">
        <v>313</v>
      </c>
      <c r="K16" s="28">
        <f>TABL123[[#This Row],[خط (T/B  TOT) SAR]]+TABL123[[#This Row],[خط (S/S  TOT) SAR2]]</f>
        <v>590</v>
      </c>
      <c r="L16" s="41">
        <v>290</v>
      </c>
      <c r="M16" s="42">
        <v>21.7</v>
      </c>
      <c r="N16" s="42">
        <v>7.54</v>
      </c>
      <c r="O16" s="39">
        <v>288</v>
      </c>
      <c r="P16" s="3">
        <f>TABL123[[#This Row],[خط (S/S  TOT) SAR2]]-TABL123[[#This Row],[(S/S TOT) AJD]]</f>
        <v>25</v>
      </c>
      <c r="Q16" s="39">
        <v>237</v>
      </c>
      <c r="R16" s="3">
        <f>TABL123[[#This Row],[خط (T/B  TOT) SAR]]-TABL123[[#This Row],[(T/B TOT) AJD]]</f>
        <v>40</v>
      </c>
      <c r="S16" s="3">
        <f>TABL123[[#This Row],[الفرق بين بداية ونهاية خط  T/B]]+TABL123[[#This Row],[الفرق بين بداية ونهاية خط  S/S]]</f>
        <v>65</v>
      </c>
      <c r="T16" s="3">
        <f>TABL123[[#This Row],[(S/S TOT) AJD]]+TABL123[[#This Row],[(T/B TOT) AJD]]</f>
        <v>525</v>
      </c>
      <c r="U16" s="41">
        <v>149</v>
      </c>
      <c r="V16" s="41">
        <v>378</v>
      </c>
      <c r="W16" s="3">
        <f>TABL123[[#This Row],[(A/B TOT) AJD]]+TABL123[[#This Row],[(A/S TOT) AJD]]</f>
        <v>527</v>
      </c>
      <c r="X16" s="3">
        <f>TABL123[[#This Row],[( S/S+T/B) AJD]]-TABL123[[#This Row],[(A/B + A/S) AJD]]</f>
        <v>-2</v>
      </c>
      <c r="Y16" s="41">
        <v>92.933999999999997</v>
      </c>
      <c r="Z16" s="43">
        <v>755922</v>
      </c>
      <c r="AA16" s="3">
        <f>TABL123[[#This Row],[(RESV. STORGE) AJD]]/10</f>
        <v>75592.2</v>
      </c>
      <c r="AB16" s="45">
        <f t="shared" si="1"/>
        <v>-37.171999999999997</v>
      </c>
      <c r="AC16" s="43">
        <v>624</v>
      </c>
      <c r="AD16" s="84">
        <f>TABL123[[#This Row],[( S/S+T/B) AJD]]-(TABL123[[#This Row],[(A/B + A/S) AJD]]+(TABL123[[#This Row],[(STORGE DIFF.) AJD]])+TABL123[[#This Row],[البخر  AJD]]/1000)</f>
        <v>34.548000000000002</v>
      </c>
      <c r="AE16" s="68">
        <v>0</v>
      </c>
      <c r="AF16" s="68">
        <v>58.197000000000003</v>
      </c>
      <c r="AG16" s="68">
        <v>1096288</v>
      </c>
      <c r="AH16" s="43">
        <v>653</v>
      </c>
      <c r="AI16" s="43">
        <v>653</v>
      </c>
      <c r="AJ16" s="79">
        <f>TABL123[[#This Row],[(A/B TOT) AJD]]-TABL123[[#This Row],[BER_ IN]]</f>
        <v>149</v>
      </c>
      <c r="AK16" s="68">
        <v>119</v>
      </c>
      <c r="AL16" s="88">
        <v>43.677399999999999</v>
      </c>
      <c r="AM16" s="88">
        <v>3476370</v>
      </c>
      <c r="AN16" s="88">
        <f>TABL123[[#This Row],[ (RESV. STORGE) SER]]/10</f>
        <v>347637</v>
      </c>
      <c r="AO16" s="43">
        <v>1483</v>
      </c>
      <c r="AP16" s="32">
        <f>TABL123[[#This Row],[(A/S TOT) AJD]]-TABL123[[#This Row],[SER_ IN]]</f>
        <v>259</v>
      </c>
    </row>
    <row r="17" spans="1:42" ht="18.75" x14ac:dyDescent="0.3">
      <c r="A17" s="2">
        <v>46038</v>
      </c>
      <c r="B17" s="44">
        <v>35</v>
      </c>
      <c r="C17" s="44">
        <v>304</v>
      </c>
      <c r="D17" s="44">
        <v>35</v>
      </c>
      <c r="E17" s="44">
        <v>0</v>
      </c>
      <c r="F17" s="44">
        <v>47</v>
      </c>
      <c r="G17" s="40">
        <v>294</v>
      </c>
      <c r="H17" s="44">
        <f t="shared" si="0"/>
        <v>56</v>
      </c>
      <c r="I17" s="40">
        <v>302</v>
      </c>
      <c r="J17" s="44">
        <v>289</v>
      </c>
      <c r="K17" s="28">
        <f>TABL123[[#This Row],[خط (T/B  TOT) SAR]]+TABL123[[#This Row],[خط (S/S  TOT) SAR2]]</f>
        <v>591</v>
      </c>
      <c r="L17" s="45">
        <v>297</v>
      </c>
      <c r="M17" s="46">
        <v>21.7</v>
      </c>
      <c r="N17" s="46">
        <v>7.68</v>
      </c>
      <c r="O17" s="40">
        <v>287</v>
      </c>
      <c r="P17" s="3">
        <f>TABL123[[#This Row],[خط (S/S  TOT) SAR2]]-TABL123[[#This Row],[(S/S TOT) AJD]]</f>
        <v>2</v>
      </c>
      <c r="Q17" s="40">
        <v>240</v>
      </c>
      <c r="R17" s="3">
        <f>TABL123[[#This Row],[خط (T/B  TOT) SAR]]-TABL123[[#This Row],[(T/B TOT) AJD]]</f>
        <v>62</v>
      </c>
      <c r="S17" s="3">
        <f>TABL123[[#This Row],[الفرق بين بداية ونهاية خط  T/B]]+TABL123[[#This Row],[الفرق بين بداية ونهاية خط  S/S]]</f>
        <v>64</v>
      </c>
      <c r="T17" s="3">
        <f>TABL123[[#This Row],[(S/S TOT) AJD]]+TABL123[[#This Row],[(T/B TOT) AJD]]</f>
        <v>527</v>
      </c>
      <c r="U17" s="44">
        <v>151</v>
      </c>
      <c r="V17" s="44">
        <v>395</v>
      </c>
      <c r="W17" s="3">
        <f>TABL123[[#This Row],[(A/B TOT) AJD]]+TABL123[[#This Row],[(A/S TOT) AJD]]</f>
        <v>546</v>
      </c>
      <c r="X17" s="3">
        <f>TABL123[[#This Row],[( S/S+T/B) AJD]]-TABL123[[#This Row],[(A/B + A/S) AJD]]</f>
        <v>-19</v>
      </c>
      <c r="Y17" s="44">
        <v>92.849000000000004</v>
      </c>
      <c r="Z17" s="45">
        <v>705016</v>
      </c>
      <c r="AA17" s="3">
        <f>TABL123[[#This Row],[(RESV. STORGE) AJD]]/10</f>
        <v>70501.600000000006</v>
      </c>
      <c r="AB17" s="45">
        <f t="shared" si="1"/>
        <v>-50.905999999999999</v>
      </c>
      <c r="AC17" s="45">
        <v>0</v>
      </c>
      <c r="AD17" s="84">
        <f>TABL123[[#This Row],[( S/S+T/B) AJD]]-(TABL123[[#This Row],[(A/B + A/S) AJD]]+(TABL123[[#This Row],[(STORGE DIFF.) AJD]])+TABL123[[#This Row],[البخر  AJD]]/1000)</f>
        <v>31.906000000000006</v>
      </c>
      <c r="AE17" s="68">
        <v>0</v>
      </c>
      <c r="AF17" s="68">
        <v>58.195</v>
      </c>
      <c r="AG17" s="68">
        <v>1094981</v>
      </c>
      <c r="AH17" s="45">
        <v>1306</v>
      </c>
      <c r="AI17" s="45">
        <v>1306</v>
      </c>
      <c r="AJ17" s="79">
        <f>TABL123[[#This Row],[(A/B TOT) AJD]]-TABL123[[#This Row],[BER_ IN]]</f>
        <v>151</v>
      </c>
      <c r="AK17" s="68">
        <v>118</v>
      </c>
      <c r="AL17" s="88">
        <v>43.8536</v>
      </c>
      <c r="AM17" s="88">
        <v>3573210</v>
      </c>
      <c r="AN17" s="88">
        <f>TABL123[[#This Row],[ (RESV. STORGE) SER]]/10</f>
        <v>357321</v>
      </c>
      <c r="AO17" s="45">
        <v>1860</v>
      </c>
      <c r="AP17" s="32">
        <f>TABL123[[#This Row],[(A/S TOT) AJD]]-TABL123[[#This Row],[SER_ IN]]</f>
        <v>277</v>
      </c>
    </row>
    <row r="18" spans="1:42" ht="18.75" x14ac:dyDescent="0.3">
      <c r="A18" s="2">
        <v>46039</v>
      </c>
      <c r="B18" s="41">
        <v>35</v>
      </c>
      <c r="C18" s="41">
        <v>309</v>
      </c>
      <c r="D18" s="41">
        <v>35</v>
      </c>
      <c r="E18" s="41">
        <v>0</v>
      </c>
      <c r="F18" s="41">
        <v>77</v>
      </c>
      <c r="G18" s="39">
        <v>486</v>
      </c>
      <c r="H18" s="41">
        <f t="shared" si="0"/>
        <v>26</v>
      </c>
      <c r="I18" s="39">
        <v>394</v>
      </c>
      <c r="J18" s="39">
        <v>389</v>
      </c>
      <c r="K18" s="28">
        <f>TABL123[[#This Row],[خط (T/B  TOT) SAR]]+TABL123[[#This Row],[خط (S/S  TOT) SAR2]]</f>
        <v>783</v>
      </c>
      <c r="L18" s="41">
        <v>297</v>
      </c>
      <c r="M18" s="42">
        <v>21.7</v>
      </c>
      <c r="N18" s="42">
        <v>7.87</v>
      </c>
      <c r="O18" s="39">
        <v>264</v>
      </c>
      <c r="P18" s="3">
        <f>TABL123[[#This Row],[خط (S/S  TOT) SAR2]]-TABL123[[#This Row],[(S/S TOT) AJD]]</f>
        <v>125</v>
      </c>
      <c r="Q18" s="39">
        <v>281</v>
      </c>
      <c r="R18" s="3">
        <f>TABL123[[#This Row],[خط (T/B  TOT) SAR]]-TABL123[[#This Row],[(T/B TOT) AJD]]</f>
        <v>113</v>
      </c>
      <c r="S18" s="3">
        <f>TABL123[[#This Row],[الفرق بين بداية ونهاية خط  T/B]]+TABL123[[#This Row],[الفرق بين بداية ونهاية خط  S/S]]</f>
        <v>238</v>
      </c>
      <c r="T18" s="3">
        <f>TABL123[[#This Row],[(S/S TOT) AJD]]+TABL123[[#This Row],[(T/B TOT) AJD]]</f>
        <v>545</v>
      </c>
      <c r="U18" s="41">
        <v>248</v>
      </c>
      <c r="V18" s="41">
        <v>393</v>
      </c>
      <c r="W18" s="3">
        <f>TABL123[[#This Row],[(A/B TOT) AJD]]+TABL123[[#This Row],[(A/S TOT) AJD]]</f>
        <v>641</v>
      </c>
      <c r="X18" s="3">
        <f>TABL123[[#This Row],[( S/S+T/B) AJD]]-TABL123[[#This Row],[(A/B + A/S) AJD]]</f>
        <v>-96</v>
      </c>
      <c r="Y18" s="41">
        <v>92.691999999999993</v>
      </c>
      <c r="Z18" s="43">
        <v>611147</v>
      </c>
      <c r="AA18" s="3">
        <f>TABL123[[#This Row],[(RESV. STORGE) AJD]]/10</f>
        <v>61114.7</v>
      </c>
      <c r="AB18" s="45">
        <f t="shared" si="1"/>
        <v>-93.869</v>
      </c>
      <c r="AC18" s="43">
        <v>1020</v>
      </c>
      <c r="AD18" s="84">
        <f>TABL123[[#This Row],[( S/S+T/B) AJD]]-(TABL123[[#This Row],[(A/B + A/S) AJD]]+(TABL123[[#This Row],[(STORGE DIFF.) AJD]])+TABL123[[#This Row],[البخر  AJD]]/1000)</f>
        <v>-3.1509999999999536</v>
      </c>
      <c r="AE18" s="68">
        <v>0</v>
      </c>
      <c r="AF18" s="68">
        <v>58.194000000000003</v>
      </c>
      <c r="AG18" s="68">
        <v>1094328</v>
      </c>
      <c r="AH18" s="43">
        <v>653</v>
      </c>
      <c r="AI18" s="43">
        <v>653</v>
      </c>
      <c r="AJ18" s="79">
        <f>TABL123[[#This Row],[(A/B TOT) AJD]]-TABL123[[#This Row],[BER_ IN]]</f>
        <v>248</v>
      </c>
      <c r="AK18" s="68">
        <v>117</v>
      </c>
      <c r="AL18" s="88">
        <v>44.005499999999998</v>
      </c>
      <c r="AM18" s="88">
        <v>3656590</v>
      </c>
      <c r="AN18" s="88">
        <f>TABL123[[#This Row],[ (RESV. STORGE) SER]]/10</f>
        <v>365659</v>
      </c>
      <c r="AO18" s="43">
        <v>1820</v>
      </c>
      <c r="AP18" s="32">
        <f>TABL123[[#This Row],[(A/S TOT) AJD]]-TABL123[[#This Row],[SER_ IN]]</f>
        <v>276</v>
      </c>
    </row>
    <row r="19" spans="1:42" ht="18.75" x14ac:dyDescent="0.3">
      <c r="A19" s="2">
        <v>46040</v>
      </c>
      <c r="B19" s="44">
        <v>35</v>
      </c>
      <c r="C19" s="44">
        <v>292</v>
      </c>
      <c r="D19" s="44">
        <v>35</v>
      </c>
      <c r="E19" s="44">
        <v>0</v>
      </c>
      <c r="F19" s="44">
        <v>92</v>
      </c>
      <c r="G19" s="40">
        <v>576</v>
      </c>
      <c r="H19" s="44">
        <f t="shared" si="0"/>
        <v>11</v>
      </c>
      <c r="I19" s="40">
        <v>446</v>
      </c>
      <c r="J19" s="44">
        <v>432</v>
      </c>
      <c r="K19" s="28">
        <f>TABL123[[#This Row],[خط (T/B  TOT) SAR]]+TABL123[[#This Row],[خط (S/S  TOT) SAR2]]</f>
        <v>878</v>
      </c>
      <c r="L19" s="45">
        <v>302</v>
      </c>
      <c r="M19" s="46">
        <v>21.7</v>
      </c>
      <c r="N19" s="46">
        <v>8</v>
      </c>
      <c r="O19" s="40">
        <v>370</v>
      </c>
      <c r="P19" s="3">
        <f>TABL123[[#This Row],[خط (S/S  TOT) SAR2]]-TABL123[[#This Row],[(S/S TOT) AJD]]</f>
        <v>62</v>
      </c>
      <c r="Q19" s="40">
        <v>255</v>
      </c>
      <c r="R19" s="3">
        <f>TABL123[[#This Row],[خط (T/B  TOT) SAR]]-TABL123[[#This Row],[(T/B TOT) AJD]]</f>
        <v>191</v>
      </c>
      <c r="S19" s="3">
        <f>TABL123[[#This Row],[الفرق بين بداية ونهاية خط  T/B]]+TABL123[[#This Row],[الفرق بين بداية ونهاية خط  S/S]]</f>
        <v>253</v>
      </c>
      <c r="T19" s="3">
        <f>TABL123[[#This Row],[(S/S TOT) AJD]]+TABL123[[#This Row],[(T/B TOT) AJD]]</f>
        <v>625</v>
      </c>
      <c r="U19" s="44">
        <v>246</v>
      </c>
      <c r="V19" s="44">
        <v>375</v>
      </c>
      <c r="W19" s="3">
        <f>TABL123[[#This Row],[(A/B TOT) AJD]]+TABL123[[#This Row],[(A/S TOT) AJD]]</f>
        <v>621</v>
      </c>
      <c r="X19" s="3">
        <f>TABL123[[#This Row],[( S/S+T/B) AJD]]-TABL123[[#This Row],[(A/B + A/S) AJD]]</f>
        <v>4</v>
      </c>
      <c r="Y19" s="44">
        <v>92.754000000000005</v>
      </c>
      <c r="Z19" s="45">
        <v>646310</v>
      </c>
      <c r="AA19" s="3">
        <f>TABL123[[#This Row],[(RESV. STORGE) AJD]]/10</f>
        <v>64631</v>
      </c>
      <c r="AB19" s="45">
        <f t="shared" si="1"/>
        <v>35.162999999999997</v>
      </c>
      <c r="AC19" s="45">
        <v>1109</v>
      </c>
      <c r="AD19" s="84">
        <f>TABL123[[#This Row],[( S/S+T/B) AJD]]-(TABL123[[#This Row],[(A/B + A/S) AJD]]+(TABL123[[#This Row],[(STORGE DIFF.) AJD]])+TABL123[[#This Row],[البخر  AJD]]/1000)</f>
        <v>-32.272000000000048</v>
      </c>
      <c r="AE19" s="68">
        <v>15</v>
      </c>
      <c r="AF19" s="68">
        <v>58.215000000000003</v>
      </c>
      <c r="AG19" s="68">
        <v>1108048</v>
      </c>
      <c r="AH19" s="45">
        <v>1279</v>
      </c>
      <c r="AI19" s="45">
        <v>1279</v>
      </c>
      <c r="AJ19" s="79">
        <f>TABL123[[#This Row],[(A/B TOT) AJD]]-TABL123[[#This Row],[BER_ IN]]</f>
        <v>231</v>
      </c>
      <c r="AK19" s="68">
        <v>119</v>
      </c>
      <c r="AL19" s="88">
        <v>44.167200000000001</v>
      </c>
      <c r="AM19" s="88">
        <v>3745080</v>
      </c>
      <c r="AN19" s="88">
        <f>TABL123[[#This Row],[ (RESV. STORGE) SER]]/10</f>
        <v>374508</v>
      </c>
      <c r="AO19" s="45">
        <v>1810</v>
      </c>
      <c r="AP19" s="32">
        <f>TABL123[[#This Row],[(A/S TOT) AJD]]-TABL123[[#This Row],[SER_ IN]]</f>
        <v>256</v>
      </c>
    </row>
    <row r="20" spans="1:42" ht="18.75" x14ac:dyDescent="0.3">
      <c r="A20" s="2">
        <v>46041</v>
      </c>
      <c r="B20" s="41">
        <v>35</v>
      </c>
      <c r="C20" s="41">
        <v>293</v>
      </c>
      <c r="D20" s="41">
        <v>35</v>
      </c>
      <c r="E20" s="41">
        <v>0</v>
      </c>
      <c r="F20" s="41">
        <v>92</v>
      </c>
      <c r="G20" s="39">
        <v>578</v>
      </c>
      <c r="H20" s="41">
        <f t="shared" si="0"/>
        <v>11</v>
      </c>
      <c r="I20" s="39">
        <v>448</v>
      </c>
      <c r="J20" s="39">
        <v>432</v>
      </c>
      <c r="K20" s="28">
        <f>TABL123[[#This Row],[خط (T/B  TOT) SAR]]+TABL123[[#This Row],[خط (S/S  TOT) SAR2]]</f>
        <v>880</v>
      </c>
      <c r="L20" s="41">
        <v>302</v>
      </c>
      <c r="M20" s="42">
        <v>21.7</v>
      </c>
      <c r="N20" s="42">
        <v>8.1</v>
      </c>
      <c r="O20" s="39">
        <v>385</v>
      </c>
      <c r="P20" s="3">
        <f>TABL123[[#This Row],[خط (S/S  TOT) SAR2]]-TABL123[[#This Row],[(S/S TOT) AJD]]</f>
        <v>47</v>
      </c>
      <c r="Q20" s="39">
        <v>416</v>
      </c>
      <c r="R20" s="3">
        <f>TABL123[[#This Row],[خط (T/B  TOT) SAR]]-TABL123[[#This Row],[(T/B TOT) AJD]]</f>
        <v>32</v>
      </c>
      <c r="S20" s="3">
        <f>TABL123[[#This Row],[الفرق بين بداية ونهاية خط  T/B]]+TABL123[[#This Row],[الفرق بين بداية ونهاية خط  S/S]]</f>
        <v>79</v>
      </c>
      <c r="T20" s="3">
        <f>TABL123[[#This Row],[(S/S TOT) AJD]]+TABL123[[#This Row],[(T/B TOT) AJD]]</f>
        <v>801</v>
      </c>
      <c r="U20" s="41">
        <v>461</v>
      </c>
      <c r="V20" s="41">
        <v>395</v>
      </c>
      <c r="W20" s="3">
        <f>TABL123[[#This Row],[(A/B TOT) AJD]]+TABL123[[#This Row],[(A/S TOT) AJD]]</f>
        <v>856</v>
      </c>
      <c r="X20" s="3">
        <f>TABL123[[#This Row],[( S/S+T/B) AJD]]-TABL123[[#This Row],[(A/B + A/S) AJD]]</f>
        <v>-55</v>
      </c>
      <c r="Y20" s="41">
        <v>92.611999999999995</v>
      </c>
      <c r="Z20" s="43">
        <v>563391</v>
      </c>
      <c r="AA20" s="3">
        <f>TABL123[[#This Row],[(RESV. STORGE) AJD]]/10</f>
        <v>56339.1</v>
      </c>
      <c r="AB20" s="45">
        <f t="shared" si="1"/>
        <v>-82.918999999999997</v>
      </c>
      <c r="AC20" s="43">
        <v>1086</v>
      </c>
      <c r="AD20" s="84">
        <f>TABL123[[#This Row],[( S/S+T/B) AJD]]-(TABL123[[#This Row],[(A/B + A/S) AJD]]+(TABL123[[#This Row],[(STORGE DIFF.) AJD]])+TABL123[[#This Row],[البخر  AJD]]/1000)</f>
        <v>26.83299999999997</v>
      </c>
      <c r="AE20" s="68">
        <v>100</v>
      </c>
      <c r="AF20" s="68">
        <v>58.265000000000001</v>
      </c>
      <c r="AG20" s="68">
        <v>1140731</v>
      </c>
      <c r="AH20" s="43">
        <v>1317</v>
      </c>
      <c r="AI20" s="43">
        <v>1317</v>
      </c>
      <c r="AJ20" s="79">
        <f>TABL123[[#This Row],[(A/B TOT) AJD]]-TABL123[[#This Row],[BER_ IN]]</f>
        <v>361</v>
      </c>
      <c r="AK20" s="68">
        <v>119</v>
      </c>
      <c r="AL20" s="88">
        <v>44.317599999999999</v>
      </c>
      <c r="AM20" s="88">
        <v>3827490</v>
      </c>
      <c r="AN20" s="88">
        <f>TABL123[[#This Row],[ (RESV. STORGE) SER]]/10</f>
        <v>382749</v>
      </c>
      <c r="AO20" s="43">
        <v>1890</v>
      </c>
      <c r="AP20" s="32">
        <f>TABL123[[#This Row],[(A/S TOT) AJD]]-TABL123[[#This Row],[SER_ IN]]</f>
        <v>276</v>
      </c>
    </row>
    <row r="21" spans="1:42" ht="18.75" x14ac:dyDescent="0.3">
      <c r="A21" s="2">
        <v>46042</v>
      </c>
      <c r="B21" s="44">
        <v>35</v>
      </c>
      <c r="C21" s="44">
        <v>296</v>
      </c>
      <c r="D21" s="44">
        <v>35</v>
      </c>
      <c r="E21" s="44">
        <v>0</v>
      </c>
      <c r="F21" s="44">
        <v>97</v>
      </c>
      <c r="G21" s="40">
        <v>611</v>
      </c>
      <c r="H21" s="44">
        <f t="shared" si="0"/>
        <v>6</v>
      </c>
      <c r="I21" s="40">
        <v>479</v>
      </c>
      <c r="J21" s="44">
        <v>461</v>
      </c>
      <c r="K21" s="28">
        <f>TABL123[[#This Row],[خط (T/B  TOT) SAR]]+TABL123[[#This Row],[خط (S/S  TOT) SAR2]]</f>
        <v>940</v>
      </c>
      <c r="L21" s="45">
        <v>329</v>
      </c>
      <c r="M21" s="46">
        <v>22.9</v>
      </c>
      <c r="N21" s="46">
        <v>8.06</v>
      </c>
      <c r="O21" s="40">
        <v>392</v>
      </c>
      <c r="P21" s="3">
        <f>TABL123[[#This Row],[خط (S/S  TOT) SAR2]]-TABL123[[#This Row],[(S/S TOT) AJD]]</f>
        <v>69</v>
      </c>
      <c r="Q21" s="40">
        <v>426</v>
      </c>
      <c r="R21" s="3">
        <f>TABL123[[#This Row],[خط (T/B  TOT) SAR]]-TABL123[[#This Row],[(T/B TOT) AJD]]</f>
        <v>53</v>
      </c>
      <c r="S21" s="3">
        <f>TABL123[[#This Row],[الفرق بين بداية ونهاية خط  T/B]]+TABL123[[#This Row],[الفرق بين بداية ونهاية خط  S/S]]</f>
        <v>122</v>
      </c>
      <c r="T21" s="3">
        <f>TABL123[[#This Row],[(S/S TOT) AJD]]+TABL123[[#This Row],[(T/B TOT) AJD]]</f>
        <v>818</v>
      </c>
      <c r="U21" s="44">
        <v>533</v>
      </c>
      <c r="V21" s="44">
        <v>384</v>
      </c>
      <c r="W21" s="3">
        <f>TABL123[[#This Row],[(A/B TOT) AJD]]+TABL123[[#This Row],[(A/S TOT) AJD]]</f>
        <v>917</v>
      </c>
      <c r="X21" s="3">
        <f>TABL123[[#This Row],[( S/S+T/B) AJD]]-TABL123[[#This Row],[(A/B + A/S) AJD]]</f>
        <v>-99</v>
      </c>
      <c r="Y21" s="44">
        <v>92.405000000000001</v>
      </c>
      <c r="Z21" s="45">
        <v>440072</v>
      </c>
      <c r="AA21" s="3">
        <f>TABL123[[#This Row],[(RESV. STORGE) AJD]]/10</f>
        <v>44007.199999999997</v>
      </c>
      <c r="AB21" s="45">
        <f t="shared" si="1"/>
        <v>-123.319</v>
      </c>
      <c r="AC21" s="45">
        <v>2007</v>
      </c>
      <c r="AD21" s="84">
        <f>TABL123[[#This Row],[( S/S+T/B) AJD]]-(TABL123[[#This Row],[(A/B + A/S) AJD]]+(TABL123[[#This Row],[(STORGE DIFF.) AJD]])+TABL123[[#This Row],[البخر  AJD]]/1000)</f>
        <v>22.312000000000012</v>
      </c>
      <c r="AE21" s="68">
        <v>85</v>
      </c>
      <c r="AF21" s="68">
        <v>58.325000000000003</v>
      </c>
      <c r="AG21" s="68">
        <v>1179978</v>
      </c>
      <c r="AH21" s="45">
        <v>2000</v>
      </c>
      <c r="AI21" s="45">
        <v>2000</v>
      </c>
      <c r="AJ21" s="79">
        <f>TABL123[[#This Row],[(A/B TOT) AJD]]-TABL123[[#This Row],[BER_ IN]]</f>
        <v>448</v>
      </c>
      <c r="AK21" s="68">
        <v>119</v>
      </c>
      <c r="AL21" s="88">
        <v>44.510800000000003</v>
      </c>
      <c r="AM21" s="88">
        <v>3934870</v>
      </c>
      <c r="AN21" s="88">
        <f>TABL123[[#This Row],[ (RESV. STORGE) SER]]/10</f>
        <v>393487</v>
      </c>
      <c r="AO21" s="45">
        <v>1820</v>
      </c>
      <c r="AP21" s="32">
        <f>TABL123[[#This Row],[(A/S TOT) AJD]]-TABL123[[#This Row],[SER_ IN]]</f>
        <v>265</v>
      </c>
    </row>
    <row r="22" spans="1:42" ht="18.75" x14ac:dyDescent="0.3">
      <c r="A22" s="2">
        <v>46043</v>
      </c>
      <c r="B22" s="41">
        <v>35</v>
      </c>
      <c r="C22" s="41">
        <v>280</v>
      </c>
      <c r="D22" s="41">
        <v>35</v>
      </c>
      <c r="E22" s="41">
        <v>0</v>
      </c>
      <c r="F22" s="41">
        <v>97</v>
      </c>
      <c r="G22" s="39">
        <v>610</v>
      </c>
      <c r="H22" s="41">
        <f t="shared" si="0"/>
        <v>6</v>
      </c>
      <c r="I22" s="39">
        <v>477</v>
      </c>
      <c r="J22" s="39">
        <v>459</v>
      </c>
      <c r="K22" s="28">
        <f>TABL123[[#This Row],[خط (T/B  TOT) SAR]]+TABL123[[#This Row],[خط (S/S  TOT) SAR2]]</f>
        <v>936</v>
      </c>
      <c r="L22" s="41">
        <v>326</v>
      </c>
      <c r="M22" s="42">
        <v>22.9</v>
      </c>
      <c r="N22" s="42">
        <v>8</v>
      </c>
      <c r="O22" s="39">
        <v>416</v>
      </c>
      <c r="P22" s="3">
        <f>TABL123[[#This Row],[خط (S/S  TOT) SAR2]]-TABL123[[#This Row],[(S/S TOT) AJD]]</f>
        <v>43</v>
      </c>
      <c r="Q22" s="39">
        <v>447</v>
      </c>
      <c r="R22" s="3">
        <f>TABL123[[#This Row],[خط (T/B  TOT) SAR]]-TABL123[[#This Row],[(T/B TOT) AJD]]</f>
        <v>30</v>
      </c>
      <c r="S22" s="3">
        <f>TABL123[[#This Row],[الفرق بين بداية ونهاية خط  T/B]]+TABL123[[#This Row],[الفرق بين بداية ونهاية خط  S/S]]</f>
        <v>73</v>
      </c>
      <c r="T22" s="3">
        <f>TABL123[[#This Row],[(S/S TOT) AJD]]+TABL123[[#This Row],[(T/B TOT) AJD]]</f>
        <v>863</v>
      </c>
      <c r="U22" s="41">
        <v>526</v>
      </c>
      <c r="V22" s="41">
        <v>338</v>
      </c>
      <c r="W22" s="3">
        <f>TABL123[[#This Row],[(A/B TOT) AJD]]+TABL123[[#This Row],[(A/S TOT) AJD]]</f>
        <v>864</v>
      </c>
      <c r="X22" s="3">
        <f>TABL123[[#This Row],[( S/S+T/B) AJD]]-TABL123[[#This Row],[(A/B + A/S) AJD]]</f>
        <v>-1</v>
      </c>
      <c r="Y22" s="41">
        <v>92.33</v>
      </c>
      <c r="Z22" s="43">
        <v>396667</v>
      </c>
      <c r="AA22" s="3">
        <f>TABL123[[#This Row],[(RESV. STORGE) AJD]]/10</f>
        <v>39666.699999999997</v>
      </c>
      <c r="AB22" s="45">
        <f t="shared" si="1"/>
        <v>-43.405000000000001</v>
      </c>
      <c r="AC22" s="43">
        <v>2115</v>
      </c>
      <c r="AD22" s="84">
        <f>TABL123[[#This Row],[( S/S+T/B) AJD]]-(TABL123[[#This Row],[(A/B + A/S) AJD]]+(TABL123[[#This Row],[(STORGE DIFF.) AJD]])+TABL123[[#This Row],[البخر  AJD]]/1000)</f>
        <v>40.289999999999964</v>
      </c>
      <c r="AE22" s="68">
        <v>87</v>
      </c>
      <c r="AF22" s="68">
        <v>58.375</v>
      </c>
      <c r="AG22" s="68">
        <v>1212708</v>
      </c>
      <c r="AH22" s="43">
        <v>1858</v>
      </c>
      <c r="AI22" s="43">
        <v>1858</v>
      </c>
      <c r="AJ22" s="79">
        <f>TABL123[[#This Row],[(A/B TOT) AJD]]-TABL123[[#This Row],[BER_ IN]]</f>
        <v>439</v>
      </c>
      <c r="AK22" s="68">
        <v>87</v>
      </c>
      <c r="AL22" s="88">
        <v>44.626600000000003</v>
      </c>
      <c r="AM22" s="88">
        <v>3998520</v>
      </c>
      <c r="AN22" s="88">
        <f>TABL123[[#This Row],[ (RESV. STORGE) SER]]/10</f>
        <v>399852</v>
      </c>
      <c r="AO22" s="43">
        <v>1850</v>
      </c>
      <c r="AP22" s="32">
        <f>TABL123[[#This Row],[(A/S TOT) AJD]]-TABL123[[#This Row],[SER_ IN]]</f>
        <v>251</v>
      </c>
    </row>
    <row r="23" spans="1:42" ht="18.75" x14ac:dyDescent="0.3">
      <c r="A23" s="2">
        <v>46044</v>
      </c>
      <c r="B23" s="44">
        <v>34</v>
      </c>
      <c r="C23" s="44">
        <v>285</v>
      </c>
      <c r="D23" s="44">
        <v>34</v>
      </c>
      <c r="E23" s="44">
        <v>0</v>
      </c>
      <c r="F23" s="44">
        <v>97</v>
      </c>
      <c r="G23" s="40">
        <v>610</v>
      </c>
      <c r="H23" s="44">
        <f t="shared" si="0"/>
        <v>6</v>
      </c>
      <c r="I23" s="40">
        <v>477</v>
      </c>
      <c r="J23" s="44">
        <v>458</v>
      </c>
      <c r="K23" s="28">
        <f>TABL123[[#This Row],[خط (T/B  TOT) SAR]]+TABL123[[#This Row],[خط (S/S  TOT) SAR2]]</f>
        <v>935</v>
      </c>
      <c r="L23" s="45">
        <v>325</v>
      </c>
      <c r="M23" s="46">
        <v>22.9</v>
      </c>
      <c r="N23" s="46">
        <v>7.9</v>
      </c>
      <c r="O23" s="40">
        <v>415</v>
      </c>
      <c r="P23" s="3">
        <f>TABL123[[#This Row],[خط (S/S  TOT) SAR2]]-TABL123[[#This Row],[(S/S TOT) AJD]]</f>
        <v>43</v>
      </c>
      <c r="Q23" s="40">
        <v>449</v>
      </c>
      <c r="R23" s="3">
        <f>TABL123[[#This Row],[خط (T/B  TOT) SAR]]-TABL123[[#This Row],[(T/B TOT) AJD]]</f>
        <v>28</v>
      </c>
      <c r="S23" s="3">
        <f>TABL123[[#This Row],[الفرق بين بداية ونهاية خط  T/B]]+TABL123[[#This Row],[الفرق بين بداية ونهاية خط  S/S]]</f>
        <v>71</v>
      </c>
      <c r="T23" s="3">
        <f>TABL123[[#This Row],[(S/S TOT) AJD]]+TABL123[[#This Row],[(T/B TOT) AJD]]</f>
        <v>864</v>
      </c>
      <c r="U23" s="44">
        <v>527</v>
      </c>
      <c r="V23" s="44">
        <v>288</v>
      </c>
      <c r="W23" s="3">
        <f>TABL123[[#This Row],[(A/B TOT) AJD]]+TABL123[[#This Row],[(A/S TOT) AJD]]</f>
        <v>815</v>
      </c>
      <c r="X23" s="3">
        <f>TABL123[[#This Row],[( S/S+T/B) AJD]]-TABL123[[#This Row],[(A/B + A/S) AJD]]</f>
        <v>49</v>
      </c>
      <c r="Y23" s="44">
        <v>92.4</v>
      </c>
      <c r="Z23" s="45">
        <v>438288</v>
      </c>
      <c r="AA23" s="3">
        <f>TABL123[[#This Row],[(RESV. STORGE) AJD]]/10</f>
        <v>43828.800000000003</v>
      </c>
      <c r="AB23" s="45">
        <f t="shared" si="1"/>
        <v>41.621000000000002</v>
      </c>
      <c r="AC23" s="45">
        <v>1124</v>
      </c>
      <c r="AD23" s="84">
        <f>TABL123[[#This Row],[( S/S+T/B) AJD]]-(TABL123[[#This Row],[(A/B + A/S) AJD]]+(TABL123[[#This Row],[(STORGE DIFF.) AJD]])+TABL123[[#This Row],[البخر  AJD]]/1000)</f>
        <v>6.2549999999999955</v>
      </c>
      <c r="AE23" s="68">
        <v>85</v>
      </c>
      <c r="AF23" s="68">
        <v>58.433</v>
      </c>
      <c r="AG23" s="68">
        <v>1250702</v>
      </c>
      <c r="AH23" s="45">
        <v>1769</v>
      </c>
      <c r="AI23" s="45">
        <v>1769</v>
      </c>
      <c r="AJ23" s="79">
        <f>TABL123[[#This Row],[(A/B TOT) AJD]]-TABL123[[#This Row],[BER_ IN]]</f>
        <v>442</v>
      </c>
      <c r="AK23" s="68">
        <v>75</v>
      </c>
      <c r="AL23" s="88">
        <v>44.7303</v>
      </c>
      <c r="AM23" s="88">
        <v>4055970</v>
      </c>
      <c r="AN23" s="88">
        <f>TABL123[[#This Row],[ (RESV. STORGE) SER]]/10</f>
        <v>405597</v>
      </c>
      <c r="AO23" s="45">
        <v>1850</v>
      </c>
      <c r="AP23" s="32">
        <f>TABL123[[#This Row],[(A/S TOT) AJD]]-TABL123[[#This Row],[SER_ IN]]</f>
        <v>213</v>
      </c>
    </row>
    <row r="24" spans="1:42" ht="18.75" x14ac:dyDescent="0.3">
      <c r="A24" s="2">
        <v>46045</v>
      </c>
      <c r="B24" s="41">
        <v>34</v>
      </c>
      <c r="C24" s="41">
        <v>288</v>
      </c>
      <c r="D24" s="41">
        <v>34</v>
      </c>
      <c r="E24" s="41">
        <v>0</v>
      </c>
      <c r="F24" s="41">
        <v>97</v>
      </c>
      <c r="G24" s="39">
        <v>611</v>
      </c>
      <c r="H24" s="41">
        <f t="shared" si="0"/>
        <v>6</v>
      </c>
      <c r="I24" s="39">
        <v>477</v>
      </c>
      <c r="J24" s="39">
        <v>459</v>
      </c>
      <c r="K24" s="28">
        <f>TABL123[[#This Row],[خط (T/B  TOT) SAR]]+TABL123[[#This Row],[خط (S/S  TOT) SAR2]]</f>
        <v>936</v>
      </c>
      <c r="L24" s="41">
        <v>325</v>
      </c>
      <c r="M24" s="42">
        <v>22.9</v>
      </c>
      <c r="N24" s="42">
        <v>7.86</v>
      </c>
      <c r="O24" s="39">
        <v>417</v>
      </c>
      <c r="P24" s="3">
        <f>TABL123[[#This Row],[خط (S/S  TOT) SAR2]]-TABL123[[#This Row],[(S/S TOT) AJD]]</f>
        <v>42</v>
      </c>
      <c r="Q24" s="39">
        <v>449</v>
      </c>
      <c r="R24" s="3">
        <f>TABL123[[#This Row],[خط (T/B  TOT) SAR]]-TABL123[[#This Row],[(T/B TOT) AJD]]</f>
        <v>28</v>
      </c>
      <c r="S24" s="3">
        <f>TABL123[[#This Row],[الفرق بين بداية ونهاية خط  T/B]]+TABL123[[#This Row],[الفرق بين بداية ونهاية خط  S/S]]</f>
        <v>70</v>
      </c>
      <c r="T24" s="3">
        <f>TABL123[[#This Row],[(S/S TOT) AJD]]+TABL123[[#This Row],[(T/B TOT) AJD]]</f>
        <v>866</v>
      </c>
      <c r="U24" s="41">
        <v>550</v>
      </c>
      <c r="V24" s="41">
        <v>308</v>
      </c>
      <c r="W24" s="3">
        <f>TABL123[[#This Row],[(A/B TOT) AJD]]+TABL123[[#This Row],[(A/S TOT) AJD]]</f>
        <v>858</v>
      </c>
      <c r="X24" s="3">
        <f>TABL123[[#This Row],[( S/S+T/B) AJD]]-TABL123[[#This Row],[(A/B + A/S) AJD]]</f>
        <v>8</v>
      </c>
      <c r="Y24" s="41">
        <v>92.405000000000001</v>
      </c>
      <c r="Z24" s="43">
        <v>440076</v>
      </c>
      <c r="AA24" s="3">
        <f>TABL123[[#This Row],[(RESV. STORGE) AJD]]/10</f>
        <v>44007.6</v>
      </c>
      <c r="AB24" s="45">
        <f t="shared" si="1"/>
        <v>1.788</v>
      </c>
      <c r="AC24" s="43">
        <v>2000</v>
      </c>
      <c r="AD24" s="84">
        <f>TABL123[[#This Row],[( S/S+T/B) AJD]]-(TABL123[[#This Row],[(A/B + A/S) AJD]]+(TABL123[[#This Row],[(STORGE DIFF.) AJD]])+TABL123[[#This Row],[البخر  AJD]]/1000)</f>
        <v>4.2119999999999891</v>
      </c>
      <c r="AE24" s="68">
        <v>98</v>
      </c>
      <c r="AF24" s="68">
        <v>58.487000000000002</v>
      </c>
      <c r="AG24" s="68">
        <v>1286101</v>
      </c>
      <c r="AH24" s="43">
        <v>1660</v>
      </c>
      <c r="AI24" s="43">
        <v>1660</v>
      </c>
      <c r="AJ24" s="79">
        <f>TABL123[[#This Row],[(A/B TOT) AJD]]-TABL123[[#This Row],[BER_ IN]]</f>
        <v>452</v>
      </c>
      <c r="AK24" s="68">
        <v>76</v>
      </c>
      <c r="AL24" s="88">
        <v>44.839199999999998</v>
      </c>
      <c r="AM24" s="88">
        <v>4116700</v>
      </c>
      <c r="AN24" s="88">
        <f>TABL123[[#This Row],[ (RESV. STORGE) SER]]/10</f>
        <v>411670</v>
      </c>
      <c r="AO24" s="43">
        <v>1870</v>
      </c>
      <c r="AP24" s="32">
        <f>TABL123[[#This Row],[(A/S TOT) AJD]]-TABL123[[#This Row],[SER_ IN]]</f>
        <v>232</v>
      </c>
    </row>
    <row r="25" spans="1:42" ht="18.75" x14ac:dyDescent="0.3">
      <c r="A25" s="2">
        <v>46046</v>
      </c>
      <c r="B25" s="44">
        <v>34</v>
      </c>
      <c r="C25" s="44">
        <v>290</v>
      </c>
      <c r="D25" s="44">
        <v>34</v>
      </c>
      <c r="E25" s="44">
        <v>0</v>
      </c>
      <c r="F25" s="44">
        <v>97</v>
      </c>
      <c r="G25" s="40">
        <v>612</v>
      </c>
      <c r="H25" s="44">
        <f t="shared" si="0"/>
        <v>6</v>
      </c>
      <c r="I25" s="40">
        <v>459</v>
      </c>
      <c r="J25" s="44">
        <v>477</v>
      </c>
      <c r="K25" s="28">
        <f>TABL123[[#This Row],[خط (T/B  TOT) SAR]]+TABL123[[#This Row],[خط (S/S  TOT) SAR2]]</f>
        <v>936</v>
      </c>
      <c r="L25" s="45">
        <v>324</v>
      </c>
      <c r="M25" s="46">
        <v>22.9</v>
      </c>
      <c r="N25" s="46">
        <v>7.81</v>
      </c>
      <c r="O25" s="40">
        <v>416</v>
      </c>
      <c r="P25" s="3">
        <f>TABL123[[#This Row],[خط (S/S  TOT) SAR2]]-TABL123[[#This Row],[(S/S TOT) AJD]]</f>
        <v>61</v>
      </c>
      <c r="Q25" s="40">
        <v>449</v>
      </c>
      <c r="R25" s="3">
        <f>TABL123[[#This Row],[خط (T/B  TOT) SAR]]-TABL123[[#This Row],[(T/B TOT) AJD]]</f>
        <v>10</v>
      </c>
      <c r="S25" s="3">
        <f>TABL123[[#This Row],[الفرق بين بداية ونهاية خط  T/B]]+TABL123[[#This Row],[الفرق بين بداية ونهاية خط  S/S]]</f>
        <v>71</v>
      </c>
      <c r="T25" s="3">
        <f>TABL123[[#This Row],[(S/S TOT) AJD]]+TABL123[[#This Row],[(T/B TOT) AJD]]</f>
        <v>865</v>
      </c>
      <c r="U25" s="44">
        <v>538</v>
      </c>
      <c r="V25" s="44">
        <v>314</v>
      </c>
      <c r="W25" s="3">
        <f>TABL123[[#This Row],[(A/B TOT) AJD]]+TABL123[[#This Row],[(A/S TOT) AJD]]</f>
        <v>852</v>
      </c>
      <c r="X25" s="3">
        <f>TABL123[[#This Row],[( S/S+T/B) AJD]]-TABL123[[#This Row],[(A/B + A/S) AJD]]</f>
        <v>13</v>
      </c>
      <c r="Y25" s="44">
        <v>92.337000000000003</v>
      </c>
      <c r="Z25" s="45">
        <v>423423</v>
      </c>
      <c r="AA25" s="3">
        <f>TABL123[[#This Row],[(RESV. STORGE) AJD]]/10</f>
        <v>42342.3</v>
      </c>
      <c r="AB25" s="45">
        <f t="shared" si="1"/>
        <v>-16.652999999999999</v>
      </c>
      <c r="AC25" s="45">
        <v>1548</v>
      </c>
      <c r="AD25" s="84">
        <f>TABL123[[#This Row],[( S/S+T/B) AJD]]-(TABL123[[#This Row],[(A/B + A/S) AJD]]+(TABL123[[#This Row],[(STORGE DIFF.) AJD]])+TABL123[[#This Row],[البخر  AJD]]/1000)</f>
        <v>28.105000000000018</v>
      </c>
      <c r="AE25" s="68">
        <v>85</v>
      </c>
      <c r="AF25" s="68">
        <v>58.533999999999999</v>
      </c>
      <c r="AG25" s="68">
        <v>1316932</v>
      </c>
      <c r="AH25" s="45">
        <v>1780</v>
      </c>
      <c r="AI25" s="45">
        <v>1780</v>
      </c>
      <c r="AJ25" s="79">
        <f>TABL123[[#This Row],[(A/B TOT) AJD]]-TABL123[[#This Row],[BER_ IN]]</f>
        <v>453</v>
      </c>
      <c r="AK25" s="68">
        <v>76</v>
      </c>
      <c r="AL25" s="88">
        <v>44.946199999999997</v>
      </c>
      <c r="AM25" s="88">
        <v>4176200</v>
      </c>
      <c r="AN25" s="88">
        <f>TABL123[[#This Row],[ (RESV. STORGE) SER]]/10</f>
        <v>417620</v>
      </c>
      <c r="AO25" s="45">
        <v>1870</v>
      </c>
      <c r="AP25" s="32">
        <f>TABL123[[#This Row],[(A/S TOT) AJD]]-TABL123[[#This Row],[SER_ IN]]</f>
        <v>238</v>
      </c>
    </row>
    <row r="26" spans="1:42" ht="18.75" x14ac:dyDescent="0.3">
      <c r="A26" s="2">
        <v>46047</v>
      </c>
      <c r="B26" s="41">
        <v>34</v>
      </c>
      <c r="C26" s="41">
        <v>282</v>
      </c>
      <c r="D26" s="41">
        <v>34</v>
      </c>
      <c r="E26" s="41">
        <v>0</v>
      </c>
      <c r="F26" s="41">
        <v>97</v>
      </c>
      <c r="G26" s="39">
        <v>600</v>
      </c>
      <c r="H26" s="41">
        <f t="shared" si="0"/>
        <v>6</v>
      </c>
      <c r="I26" s="39">
        <v>471</v>
      </c>
      <c r="J26" s="39">
        <v>453</v>
      </c>
      <c r="K26" s="28">
        <f>TABL123[[#This Row],[خط (T/B  TOT) SAR]]+TABL123[[#This Row],[خط (S/S  TOT) SAR2]]</f>
        <v>924</v>
      </c>
      <c r="L26" s="41">
        <v>324</v>
      </c>
      <c r="M26" s="42">
        <v>22.9</v>
      </c>
      <c r="N26" s="42">
        <v>7.74</v>
      </c>
      <c r="O26" s="39">
        <v>415</v>
      </c>
      <c r="P26" s="3">
        <f>TABL123[[#This Row],[خط (S/S  TOT) SAR2]]-TABL123[[#This Row],[(S/S TOT) AJD]]</f>
        <v>38</v>
      </c>
      <c r="Q26" s="39">
        <v>448</v>
      </c>
      <c r="R26" s="3">
        <f>TABL123[[#This Row],[خط (T/B  TOT) SAR]]-TABL123[[#This Row],[(T/B TOT) AJD]]</f>
        <v>23</v>
      </c>
      <c r="S26" s="3">
        <f>TABL123[[#This Row],[الفرق بين بداية ونهاية خط  T/B]]+TABL123[[#This Row],[الفرق بين بداية ونهاية خط  S/S]]</f>
        <v>61</v>
      </c>
      <c r="T26" s="3">
        <f>TABL123[[#This Row],[(S/S TOT) AJD]]+TABL123[[#This Row],[(T/B TOT) AJD]]</f>
        <v>863</v>
      </c>
      <c r="U26" s="41">
        <v>534</v>
      </c>
      <c r="V26" s="41">
        <v>283</v>
      </c>
      <c r="W26" s="3">
        <f>TABL123[[#This Row],[(A/B TOT) AJD]]+TABL123[[#This Row],[(A/S TOT) AJD]]</f>
        <v>817</v>
      </c>
      <c r="X26" s="3">
        <f>TABL123[[#This Row],[( S/S+T/B) AJD]]-TABL123[[#This Row],[(A/B + A/S) AJD]]</f>
        <v>46</v>
      </c>
      <c r="Y26" s="41">
        <v>92.417000000000002</v>
      </c>
      <c r="Z26" s="43">
        <v>447212</v>
      </c>
      <c r="AA26" s="3">
        <f>TABL123[[#This Row],[(RESV. STORGE) AJD]]/10</f>
        <v>44721.2</v>
      </c>
      <c r="AB26" s="45">
        <f t="shared" si="1"/>
        <v>23.789000000000001</v>
      </c>
      <c r="AC26" s="43">
        <v>1168</v>
      </c>
      <c r="AD26" s="84">
        <f>TABL123[[#This Row],[( S/S+T/B) AJD]]-(TABL123[[#This Row],[(A/B + A/S) AJD]]+(TABL123[[#This Row],[(STORGE DIFF.) AJD]])+TABL123[[#This Row],[البخر  AJD]]/1000)</f>
        <v>21.043000000000006</v>
      </c>
      <c r="AE26" s="68">
        <v>71</v>
      </c>
      <c r="AF26" s="68">
        <v>58.530999999999999</v>
      </c>
      <c r="AG26" s="68">
        <v>1314964</v>
      </c>
      <c r="AH26" s="43">
        <v>1666</v>
      </c>
      <c r="AI26" s="43">
        <v>1666</v>
      </c>
      <c r="AJ26" s="79">
        <f>TABL123[[#This Row],[(A/B TOT) AJD]]-TABL123[[#This Row],[BER_ IN]]</f>
        <v>463</v>
      </c>
      <c r="AK26" s="68">
        <v>59</v>
      </c>
      <c r="AL26" s="88">
        <v>45.009799999999998</v>
      </c>
      <c r="AM26" s="88">
        <v>4211830</v>
      </c>
      <c r="AN26" s="88">
        <f>TABL123[[#This Row],[ (RESV. STORGE) SER]]/10</f>
        <v>421183</v>
      </c>
      <c r="AO26" s="43">
        <v>1870</v>
      </c>
      <c r="AP26" s="32">
        <f>TABL123[[#This Row],[(A/S TOT) AJD]]-TABL123[[#This Row],[SER_ IN]]</f>
        <v>224</v>
      </c>
    </row>
    <row r="27" spans="1:42" ht="18.75" x14ac:dyDescent="0.3">
      <c r="A27" s="2">
        <v>46048</v>
      </c>
      <c r="B27" s="44">
        <v>34</v>
      </c>
      <c r="C27" s="44">
        <v>284</v>
      </c>
      <c r="D27" s="44">
        <v>34</v>
      </c>
      <c r="E27" s="44">
        <v>0</v>
      </c>
      <c r="F27" s="44">
        <v>97</v>
      </c>
      <c r="G27" s="40">
        <v>603</v>
      </c>
      <c r="H27" s="44">
        <f t="shared" si="0"/>
        <v>6</v>
      </c>
      <c r="I27" s="40">
        <v>471</v>
      </c>
      <c r="J27" s="44">
        <v>452</v>
      </c>
      <c r="K27" s="28">
        <f>TABL123[[#This Row],[خط (T/B  TOT) SAR]]+TABL123[[#This Row],[خط (S/S  TOT) SAR2]]</f>
        <v>923</v>
      </c>
      <c r="L27" s="45">
        <v>320</v>
      </c>
      <c r="M27" s="46">
        <v>22.9</v>
      </c>
      <c r="N27" s="46">
        <v>7.67</v>
      </c>
      <c r="O27" s="40">
        <v>412</v>
      </c>
      <c r="P27" s="3">
        <f>TABL123[[#This Row],[خط (S/S  TOT) SAR2]]-TABL123[[#This Row],[(S/S TOT) AJD]]</f>
        <v>40</v>
      </c>
      <c r="Q27" s="40">
        <v>444</v>
      </c>
      <c r="R27" s="3">
        <f>TABL123[[#This Row],[خط (T/B  TOT) SAR]]-TABL123[[#This Row],[(T/B TOT) AJD]]</f>
        <v>27</v>
      </c>
      <c r="S27" s="3">
        <f>TABL123[[#This Row],[الفرق بين بداية ونهاية خط  T/B]]+TABL123[[#This Row],[الفرق بين بداية ونهاية خط  S/S]]</f>
        <v>67</v>
      </c>
      <c r="T27" s="3">
        <f>TABL123[[#This Row],[(S/S TOT) AJD]]+TABL123[[#This Row],[(T/B TOT) AJD]]</f>
        <v>856</v>
      </c>
      <c r="U27" s="44">
        <v>527</v>
      </c>
      <c r="V27" s="44">
        <v>316</v>
      </c>
      <c r="W27" s="3">
        <f>TABL123[[#This Row],[(A/B TOT) AJD]]+TABL123[[#This Row],[(A/S TOT) AJD]]</f>
        <v>843</v>
      </c>
      <c r="X27" s="3">
        <f>TABL123[[#This Row],[( S/S+T/B) AJD]]-TABL123[[#This Row],[(A/B + A/S) AJD]]</f>
        <v>13</v>
      </c>
      <c r="Y27" s="44">
        <v>92.36</v>
      </c>
      <c r="Z27" s="45">
        <v>419340</v>
      </c>
      <c r="AA27" s="3">
        <f>TABL123[[#This Row],[(RESV. STORGE) AJD]]/10</f>
        <v>41934</v>
      </c>
      <c r="AB27" s="45">
        <f t="shared" si="1"/>
        <v>-27.872</v>
      </c>
      <c r="AC27" s="45">
        <v>1319</v>
      </c>
      <c r="AD27" s="84">
        <f>TABL123[[#This Row],[( S/S+T/B) AJD]]-(TABL123[[#This Row],[(A/B + A/S) AJD]]+(TABL123[[#This Row],[(STORGE DIFF.) AJD]])+TABL123[[#This Row],[البخر  AJD]]/1000)</f>
        <v>39.552999999999997</v>
      </c>
      <c r="AE27" s="68">
        <v>82</v>
      </c>
      <c r="AF27" s="68">
        <v>58.57</v>
      </c>
      <c r="AG27" s="68">
        <v>1340560</v>
      </c>
      <c r="AH27" s="45">
        <v>0</v>
      </c>
      <c r="AI27" s="45">
        <v>0</v>
      </c>
      <c r="AJ27" s="79">
        <f>TABL123[[#This Row],[(A/B TOT) AJD]]-TABL123[[#This Row],[BER_ IN]]</f>
        <v>445</v>
      </c>
      <c r="AK27" s="68">
        <v>53</v>
      </c>
      <c r="AL27" s="88">
        <v>45.033900000000003</v>
      </c>
      <c r="AM27" s="88">
        <v>4225760</v>
      </c>
      <c r="AN27" s="88">
        <f>TABL123[[#This Row],[ (RESV. STORGE) SER]]/10</f>
        <v>422576</v>
      </c>
      <c r="AO27" s="45">
        <v>1870</v>
      </c>
      <c r="AP27" s="32">
        <f>TABL123[[#This Row],[(A/S TOT) AJD]]-TABL123[[#This Row],[SER_ IN]]</f>
        <v>263</v>
      </c>
    </row>
    <row r="28" spans="1:42" ht="18.75" x14ac:dyDescent="0.3">
      <c r="A28" s="2">
        <v>46049</v>
      </c>
      <c r="B28" s="41">
        <v>34</v>
      </c>
      <c r="C28" s="41">
        <v>283</v>
      </c>
      <c r="D28" s="41">
        <v>34</v>
      </c>
      <c r="E28" s="41">
        <v>0</v>
      </c>
      <c r="F28" s="41">
        <v>97</v>
      </c>
      <c r="G28" s="39">
        <v>603</v>
      </c>
      <c r="H28" s="41">
        <f t="shared" si="0"/>
        <v>6</v>
      </c>
      <c r="I28" s="39">
        <v>470</v>
      </c>
      <c r="J28" s="39">
        <v>453</v>
      </c>
      <c r="K28" s="28">
        <f>TABL123[[#This Row],[خط (T/B  TOT) SAR]]+TABL123[[#This Row],[خط (S/S  TOT) SAR2]]</f>
        <v>923</v>
      </c>
      <c r="L28" s="41">
        <v>320</v>
      </c>
      <c r="M28" s="42">
        <v>22.9</v>
      </c>
      <c r="N28" s="42">
        <v>7.63</v>
      </c>
      <c r="O28" s="39">
        <v>416</v>
      </c>
      <c r="P28" s="3">
        <f>TABL123[[#This Row],[خط (S/S  TOT) SAR2]]-TABL123[[#This Row],[(S/S TOT) AJD]]</f>
        <v>37</v>
      </c>
      <c r="Q28" s="39">
        <v>442</v>
      </c>
      <c r="R28" s="3">
        <f>TABL123[[#This Row],[خط (T/B  TOT) SAR]]-TABL123[[#This Row],[(T/B TOT) AJD]]</f>
        <v>28</v>
      </c>
      <c r="S28" s="3">
        <f>TABL123[[#This Row],[الفرق بين بداية ونهاية خط  T/B]]+TABL123[[#This Row],[الفرق بين بداية ونهاية خط  S/S]]</f>
        <v>65</v>
      </c>
      <c r="T28" s="3">
        <f>TABL123[[#This Row],[(S/S TOT) AJD]]+TABL123[[#This Row],[(T/B TOT) AJD]]</f>
        <v>858</v>
      </c>
      <c r="U28" s="41">
        <v>534</v>
      </c>
      <c r="V28" s="41">
        <v>323</v>
      </c>
      <c r="W28" s="3">
        <f>TABL123[[#This Row],[(A/B TOT) AJD]]+TABL123[[#This Row],[(A/S TOT) AJD]]</f>
        <v>857</v>
      </c>
      <c r="X28" s="3">
        <f>TABL123[[#This Row],[( S/S+T/B) AJD]]-TABL123[[#This Row],[(A/B + A/S) AJD]]</f>
        <v>1</v>
      </c>
      <c r="Y28" s="41">
        <v>92.32</v>
      </c>
      <c r="Z28" s="43">
        <v>389536</v>
      </c>
      <c r="AA28" s="3">
        <f>TABL123[[#This Row],[(RESV. STORGE) AJD]]/10</f>
        <v>38953.599999999999</v>
      </c>
      <c r="AB28" s="45">
        <f t="shared" si="1"/>
        <v>-29.803999999999998</v>
      </c>
      <c r="AC28" s="43">
        <v>458</v>
      </c>
      <c r="AD28" s="84">
        <f>TABL123[[#This Row],[( S/S+T/B) AJD]]-(TABL123[[#This Row],[(A/B + A/S) AJD]]+(TABL123[[#This Row],[(STORGE DIFF.) AJD]])+TABL123[[#This Row],[البخر  AJD]]/1000)</f>
        <v>30.346000000000004</v>
      </c>
      <c r="AE28" s="68">
        <v>85</v>
      </c>
      <c r="AF28" s="68">
        <v>58.61</v>
      </c>
      <c r="AG28" s="68">
        <v>1366827</v>
      </c>
      <c r="AH28" s="43">
        <v>0</v>
      </c>
      <c r="AI28" s="43">
        <v>0</v>
      </c>
      <c r="AJ28" s="79">
        <f>TABL123[[#This Row],[(A/B TOT) AJD]]-TABL123[[#This Row],[BER_ IN]]</f>
        <v>449</v>
      </c>
      <c r="AK28" s="68">
        <v>53</v>
      </c>
      <c r="AL28" s="88">
        <v>45.072400000000002</v>
      </c>
      <c r="AM28" s="88">
        <v>4246560</v>
      </c>
      <c r="AN28" s="88">
        <f>TABL123[[#This Row],[ (RESV. STORGE) SER]]/10</f>
        <v>424656</v>
      </c>
      <c r="AO28" s="43">
        <v>1800</v>
      </c>
      <c r="AP28" s="32">
        <f>TABL123[[#This Row],[(A/S TOT) AJD]]-TABL123[[#This Row],[SER_ IN]]</f>
        <v>270</v>
      </c>
    </row>
    <row r="29" spans="1:42" ht="18.75" x14ac:dyDescent="0.3">
      <c r="A29" s="2">
        <v>46050</v>
      </c>
      <c r="B29" s="44">
        <v>34</v>
      </c>
      <c r="C29" s="44">
        <v>279</v>
      </c>
      <c r="D29" s="44">
        <v>34</v>
      </c>
      <c r="E29" s="44">
        <v>0</v>
      </c>
      <c r="F29" s="44">
        <v>97</v>
      </c>
      <c r="G29" s="40">
        <v>603</v>
      </c>
      <c r="H29" s="44">
        <f t="shared" si="0"/>
        <v>6</v>
      </c>
      <c r="I29" s="40">
        <v>470</v>
      </c>
      <c r="J29" s="44">
        <v>452</v>
      </c>
      <c r="K29" s="28">
        <f>TABL123[[#This Row],[خط (T/B  TOT) SAR]]+TABL123[[#This Row],[خط (S/S  TOT) SAR2]]</f>
        <v>922</v>
      </c>
      <c r="L29" s="45">
        <v>319</v>
      </c>
      <c r="M29" s="46">
        <v>22.9</v>
      </c>
      <c r="N29" s="46">
        <v>7.56</v>
      </c>
      <c r="O29" s="40">
        <v>409</v>
      </c>
      <c r="P29" s="3">
        <f>TABL123[[#This Row],[خط (S/S  TOT) SAR2]]-TABL123[[#This Row],[(S/S TOT) AJD]]</f>
        <v>43</v>
      </c>
      <c r="Q29" s="40">
        <v>441</v>
      </c>
      <c r="R29" s="3">
        <f>TABL123[[#This Row],[خط (T/B  TOT) SAR]]-TABL123[[#This Row],[(T/B TOT) AJD]]</f>
        <v>29</v>
      </c>
      <c r="S29" s="3">
        <f>TABL123[[#This Row],[الفرق بين بداية ونهاية خط  T/B]]+TABL123[[#This Row],[الفرق بين بداية ونهاية خط  S/S]]</f>
        <v>72</v>
      </c>
      <c r="T29" s="3">
        <f>TABL123[[#This Row],[(S/S TOT) AJD]]+TABL123[[#This Row],[(T/B TOT) AJD]]</f>
        <v>850</v>
      </c>
      <c r="U29" s="44">
        <v>526</v>
      </c>
      <c r="V29" s="44">
        <v>315</v>
      </c>
      <c r="W29" s="3">
        <f>TABL123[[#This Row],[(A/B TOT) AJD]]+TABL123[[#This Row],[(A/S TOT) AJD]]</f>
        <v>841</v>
      </c>
      <c r="X29" s="3">
        <f>TABL123[[#This Row],[( S/S+T/B) AJD]]-TABL123[[#This Row],[(A/B + A/S) AJD]]</f>
        <v>9</v>
      </c>
      <c r="Y29" s="44">
        <v>92.331999999999994</v>
      </c>
      <c r="Z29" s="45">
        <v>396667</v>
      </c>
      <c r="AA29" s="3">
        <f>TABL123[[#This Row],[(RESV. STORGE) AJD]]/10</f>
        <v>39666.699999999997</v>
      </c>
      <c r="AB29" s="45">
        <f t="shared" si="1"/>
        <v>7.1310000000000002</v>
      </c>
      <c r="AC29" s="45">
        <v>0</v>
      </c>
      <c r="AD29" s="84">
        <f>TABL123[[#This Row],[( S/S+T/B) AJD]]-(TABL123[[#This Row],[(A/B + A/S) AJD]]+(TABL123[[#This Row],[(STORGE DIFF.) AJD]])+TABL123[[#This Row],[البخر  AJD]]/1000)</f>
        <v>1.8690000000000282</v>
      </c>
      <c r="AE29" s="68">
        <v>80</v>
      </c>
      <c r="AF29" s="68">
        <v>58.63</v>
      </c>
      <c r="AG29" s="68">
        <v>1379965</v>
      </c>
      <c r="AH29" s="45">
        <v>657</v>
      </c>
      <c r="AI29" s="45">
        <v>657</v>
      </c>
      <c r="AJ29" s="79">
        <f>TABL123[[#This Row],[(A/B TOT) AJD]]-TABL123[[#This Row],[BER_ IN]]</f>
        <v>446</v>
      </c>
      <c r="AK29" s="68">
        <v>53</v>
      </c>
      <c r="AL29" s="88">
        <v>45.121299999999998</v>
      </c>
      <c r="AM29" s="88">
        <v>4273770</v>
      </c>
      <c r="AN29" s="88">
        <f>TABL123[[#This Row],[ (RESV. STORGE) SER]]/10</f>
        <v>427377</v>
      </c>
      <c r="AO29" s="45">
        <v>1790</v>
      </c>
      <c r="AP29" s="32">
        <f>TABL123[[#This Row],[(A/S TOT) AJD]]-TABL123[[#This Row],[SER_ IN]]</f>
        <v>262</v>
      </c>
    </row>
    <row r="30" spans="1:42" ht="18.75" x14ac:dyDescent="0.3">
      <c r="A30" s="2">
        <v>46051</v>
      </c>
      <c r="B30" s="41">
        <v>33</v>
      </c>
      <c r="C30" s="41">
        <v>276</v>
      </c>
      <c r="D30" s="41">
        <v>33</v>
      </c>
      <c r="E30" s="41">
        <v>0</v>
      </c>
      <c r="F30" s="41">
        <v>97</v>
      </c>
      <c r="G30" s="39">
        <v>608</v>
      </c>
      <c r="H30" s="41">
        <f t="shared" si="0"/>
        <v>6</v>
      </c>
      <c r="I30" s="39">
        <v>472</v>
      </c>
      <c r="J30" s="39">
        <v>455</v>
      </c>
      <c r="K30" s="28">
        <f>TABL123[[#This Row],[خط (T/B  TOT) SAR]]+TABL123[[#This Row],[خط (S/S  TOT) SAR2]]</f>
        <v>927</v>
      </c>
      <c r="L30" s="41">
        <v>319</v>
      </c>
      <c r="M30" s="42">
        <v>22.9</v>
      </c>
      <c r="N30" s="42">
        <v>7.48</v>
      </c>
      <c r="O30" s="39">
        <v>413</v>
      </c>
      <c r="P30" s="3">
        <f>TABL123[[#This Row],[خط (S/S  TOT) SAR2]]-TABL123[[#This Row],[(S/S TOT) AJD]]</f>
        <v>42</v>
      </c>
      <c r="Q30" s="39">
        <v>444</v>
      </c>
      <c r="R30" s="3">
        <f>TABL123[[#This Row],[خط (T/B  TOT) SAR]]-TABL123[[#This Row],[(T/B TOT) AJD]]</f>
        <v>28</v>
      </c>
      <c r="S30" s="3">
        <f>TABL123[[#This Row],[الفرق بين بداية ونهاية خط  T/B]]+TABL123[[#This Row],[الفرق بين بداية ونهاية خط  S/S]]</f>
        <v>70</v>
      </c>
      <c r="T30" s="3">
        <f>TABL123[[#This Row],[(S/S TOT) AJD]]+TABL123[[#This Row],[(T/B TOT) AJD]]</f>
        <v>857</v>
      </c>
      <c r="U30" s="41">
        <v>527</v>
      </c>
      <c r="V30" s="41">
        <v>323</v>
      </c>
      <c r="W30" s="3">
        <f>TABL123[[#This Row],[(A/B TOT) AJD]]+TABL123[[#This Row],[(A/S TOT) AJD]]</f>
        <v>850</v>
      </c>
      <c r="X30" s="3">
        <f>TABL123[[#This Row],[( S/S+T/B) AJD]]-TABL123[[#This Row],[(A/B + A/S) AJD]]</f>
        <v>7</v>
      </c>
      <c r="Y30" s="41">
        <v>92.27</v>
      </c>
      <c r="Z30" s="43">
        <v>359834</v>
      </c>
      <c r="AA30" s="3">
        <f>TABL123[[#This Row],[(RESV. STORGE) AJD]]/10</f>
        <v>35983.4</v>
      </c>
      <c r="AB30" s="45">
        <f t="shared" si="1"/>
        <v>-36.832999999999998</v>
      </c>
      <c r="AC30" s="43">
        <v>387</v>
      </c>
      <c r="AD30" s="84">
        <f>TABL123[[#This Row],[( S/S+T/B) AJD]]-(TABL123[[#This Row],[(A/B + A/S) AJD]]+(TABL123[[#This Row],[(STORGE DIFF.) AJD]])+TABL123[[#This Row],[البخر  AJD]]/1000)</f>
        <v>43.446000000000026</v>
      </c>
      <c r="AE30" s="68">
        <v>80</v>
      </c>
      <c r="AF30" s="68">
        <v>58.64</v>
      </c>
      <c r="AG30" s="68">
        <v>1386536</v>
      </c>
      <c r="AH30" s="43">
        <v>724</v>
      </c>
      <c r="AI30" s="43">
        <v>724</v>
      </c>
      <c r="AJ30" s="79">
        <f>TABL123[[#This Row],[(A/B TOT) AJD]]-TABL123[[#This Row],[BER_ IN]]</f>
        <v>447</v>
      </c>
      <c r="AK30" s="68">
        <v>53</v>
      </c>
      <c r="AL30" s="88">
        <v>45.1723</v>
      </c>
      <c r="AM30" s="88">
        <v>4302170</v>
      </c>
      <c r="AN30" s="88">
        <f>TABL123[[#This Row],[ (RESV. STORGE) SER]]/10</f>
        <v>430217</v>
      </c>
      <c r="AO30" s="43">
        <v>1800</v>
      </c>
      <c r="AP30" s="32">
        <f>TABL123[[#This Row],[(A/S TOT) AJD]]-TABL123[[#This Row],[SER_ IN]]</f>
        <v>270</v>
      </c>
    </row>
    <row r="31" spans="1:42" ht="18.75" x14ac:dyDescent="0.3">
      <c r="A31" s="2">
        <v>46052</v>
      </c>
      <c r="B31" s="44">
        <v>33</v>
      </c>
      <c r="C31" s="44">
        <v>266</v>
      </c>
      <c r="D31" s="44">
        <v>33</v>
      </c>
      <c r="E31" s="44">
        <v>0</v>
      </c>
      <c r="F31" s="44">
        <v>97</v>
      </c>
      <c r="G31" s="40">
        <v>610</v>
      </c>
      <c r="H31" s="44">
        <f t="shared" si="0"/>
        <v>6</v>
      </c>
      <c r="I31" s="40">
        <v>472</v>
      </c>
      <c r="J31" s="44">
        <v>454</v>
      </c>
      <c r="K31" s="28">
        <f>TABL123[[#This Row],[خط (T/B  TOT) SAR]]+TABL123[[#This Row],[خط (S/S  TOT) SAR2]]</f>
        <v>926</v>
      </c>
      <c r="L31" s="45">
        <v>316</v>
      </c>
      <c r="M31" s="46">
        <v>22.9</v>
      </c>
      <c r="N31" s="46">
        <v>7.39</v>
      </c>
      <c r="O31" s="40">
        <v>412</v>
      </c>
      <c r="P31" s="3">
        <f>TABL123[[#This Row],[خط (S/S  TOT) SAR2]]-TABL123[[#This Row],[(S/S TOT) AJD]]</f>
        <v>42</v>
      </c>
      <c r="Q31" s="40">
        <v>445</v>
      </c>
      <c r="R31" s="3">
        <f>TABL123[[#This Row],[خط (T/B  TOT) SAR]]-TABL123[[#This Row],[(T/B TOT) AJD]]</f>
        <v>27</v>
      </c>
      <c r="S31" s="3">
        <f>TABL123[[#This Row],[الفرق بين بداية ونهاية خط  T/B]]+TABL123[[#This Row],[الفرق بين بداية ونهاية خط  S/S]]</f>
        <v>69</v>
      </c>
      <c r="T31" s="3">
        <f>TABL123[[#This Row],[(S/S TOT) AJD]]+TABL123[[#This Row],[(T/B TOT) AJD]]</f>
        <v>857</v>
      </c>
      <c r="U31" s="44">
        <v>531</v>
      </c>
      <c r="V31" s="44">
        <v>279</v>
      </c>
      <c r="W31" s="3">
        <f>TABL123[[#This Row],[(A/B TOT) AJD]]+TABL123[[#This Row],[(A/S TOT) AJD]]</f>
        <v>810</v>
      </c>
      <c r="X31" s="3">
        <f>TABL123[[#This Row],[( S/S+T/B) AJD]]-TABL123[[#This Row],[(A/B + A/S) AJD]]</f>
        <v>47</v>
      </c>
      <c r="Y31" s="44">
        <v>92.31</v>
      </c>
      <c r="Z31" s="45">
        <v>383593</v>
      </c>
      <c r="AA31" s="3">
        <f>TABL123[[#This Row],[(RESV. STORGE) AJD]]/10</f>
        <v>38359.300000000003</v>
      </c>
      <c r="AB31" s="45">
        <f t="shared" si="1"/>
        <v>23.759</v>
      </c>
      <c r="AC31" s="45">
        <v>624</v>
      </c>
      <c r="AD31" s="84">
        <f>TABL123[[#This Row],[( S/S+T/B) AJD]]-(TABL123[[#This Row],[(A/B + A/S) AJD]]+(TABL123[[#This Row],[(STORGE DIFF.) AJD]])+TABL123[[#This Row],[البخر  AJD]]/1000)</f>
        <v>22.616999999999962</v>
      </c>
      <c r="AE31" s="68">
        <v>80</v>
      </c>
      <c r="AF31" s="68">
        <v>58.66</v>
      </c>
      <c r="AG31" s="68">
        <v>1399679</v>
      </c>
      <c r="AH31" s="45">
        <v>1376</v>
      </c>
      <c r="AI31" s="45">
        <v>1376</v>
      </c>
      <c r="AJ31" s="79">
        <f>TABL123[[#This Row],[(A/B TOT) AJD]]-TABL123[[#This Row],[BER_ IN]]</f>
        <v>451</v>
      </c>
      <c r="AK31" s="68">
        <v>32</v>
      </c>
      <c r="AL31" s="88">
        <v>45.191600000000001</v>
      </c>
      <c r="AM31" s="88">
        <v>4313340</v>
      </c>
      <c r="AN31" s="88">
        <f>TABL123[[#This Row],[ (RESV. STORGE) SER]]/10</f>
        <v>431334</v>
      </c>
      <c r="AO31" s="45">
        <v>1830</v>
      </c>
      <c r="AP31" s="32">
        <f>TABL123[[#This Row],[(A/S TOT) AJD]]-TABL123[[#This Row],[SER_ IN]]</f>
        <v>247</v>
      </c>
    </row>
    <row r="32" spans="1:42" ht="18.75" x14ac:dyDescent="0.3">
      <c r="A32" s="2">
        <v>46053</v>
      </c>
      <c r="B32" s="41">
        <v>30</v>
      </c>
      <c r="C32" s="41">
        <v>254</v>
      </c>
      <c r="D32" s="41">
        <v>30</v>
      </c>
      <c r="E32" s="41">
        <v>0</v>
      </c>
      <c r="F32" s="41">
        <v>97</v>
      </c>
      <c r="G32" s="39">
        <v>613</v>
      </c>
      <c r="H32" s="41">
        <f t="shared" si="0"/>
        <v>6</v>
      </c>
      <c r="I32" s="39">
        <v>471</v>
      </c>
      <c r="J32" s="39">
        <v>453</v>
      </c>
      <c r="K32" s="28">
        <f>TABL123[[#This Row],[خط (T/B  TOT) SAR]]+TABL123[[#This Row],[خط (S/S  TOT) SAR2]]</f>
        <v>924</v>
      </c>
      <c r="L32" s="41">
        <v>311</v>
      </c>
      <c r="M32" s="42">
        <v>22.9</v>
      </c>
      <c r="N32" s="42">
        <v>7.2</v>
      </c>
      <c r="O32" s="39">
        <v>412</v>
      </c>
      <c r="P32" s="3">
        <f>TABL123[[#This Row],[خط (S/S  TOT) SAR2]]-TABL123[[#This Row],[(S/S TOT) AJD]]</f>
        <v>41</v>
      </c>
      <c r="Q32" s="39">
        <v>444</v>
      </c>
      <c r="R32" s="3">
        <f>TABL123[[#This Row],[خط (T/B  TOT) SAR]]-TABL123[[#This Row],[(T/B TOT) AJD]]</f>
        <v>27</v>
      </c>
      <c r="S32" s="3">
        <f>TABL123[[#This Row],[الفرق بين بداية ونهاية خط  T/B]]+TABL123[[#This Row],[الفرق بين بداية ونهاية خط  S/S]]</f>
        <v>68</v>
      </c>
      <c r="T32" s="3">
        <f>TABL123[[#This Row],[(S/S TOT) AJD]]+TABL123[[#This Row],[(T/B TOT) AJD]]</f>
        <v>856</v>
      </c>
      <c r="U32" s="41">
        <v>536</v>
      </c>
      <c r="V32" s="41">
        <v>286</v>
      </c>
      <c r="W32" s="3">
        <f>TABL123[[#This Row],[(A/B TOT) AJD]]+TABL123[[#This Row],[(A/S TOT) AJD]]</f>
        <v>822</v>
      </c>
      <c r="X32" s="3">
        <f>TABL123[[#This Row],[( S/S+T/B) AJD]]-TABL123[[#This Row],[(A/B + A/S) AJD]]</f>
        <v>34</v>
      </c>
      <c r="Y32" s="41">
        <v>92.32</v>
      </c>
      <c r="Z32" s="43">
        <v>391313</v>
      </c>
      <c r="AA32" s="3">
        <f>TABL123[[#This Row],[(RESV. STORGE) AJD]]/10</f>
        <v>39131.300000000003</v>
      </c>
      <c r="AB32" s="45">
        <f t="shared" si="1"/>
        <v>7.72</v>
      </c>
      <c r="AC32" s="45">
        <v>977</v>
      </c>
      <c r="AD32" s="84">
        <f>TABL123[[#This Row],[( S/S+T/B) AJD]]-(TABL123[[#This Row],[(A/B + A/S) AJD]]+(TABL123[[#This Row],[(STORGE DIFF.) AJD]])+TABL123[[#This Row],[البخر  AJD]]/1000)</f>
        <v>25.302999999999997</v>
      </c>
      <c r="AE32" s="68">
        <v>85</v>
      </c>
      <c r="AF32" s="68">
        <v>58.68</v>
      </c>
      <c r="AG32" s="68">
        <v>1412827</v>
      </c>
      <c r="AH32" s="43">
        <v>1103</v>
      </c>
      <c r="AI32" s="43">
        <v>1103</v>
      </c>
      <c r="AJ32" s="79">
        <f>TABL123[[#This Row],[(A/B TOT) AJD]]-TABL123[[#This Row],[BER_ IN]]</f>
        <v>451</v>
      </c>
      <c r="AK32" s="68">
        <v>21</v>
      </c>
      <c r="AL32" s="88">
        <v>45.199800000000003</v>
      </c>
      <c r="AM32" s="88">
        <v>4317820</v>
      </c>
      <c r="AN32" s="88">
        <f>TABL123[[#This Row],[ (RESV. STORGE) SER]]/10</f>
        <v>431782</v>
      </c>
      <c r="AO32" s="43">
        <v>1820</v>
      </c>
      <c r="AP32" s="32">
        <f>TABL123[[#This Row],[(A/S TOT) AJD]]-TABL123[[#This Row],[SER_ IN]]</f>
        <v>265</v>
      </c>
    </row>
    <row r="33" spans="1:42" ht="18.75" x14ac:dyDescent="0.3">
      <c r="A33" s="2">
        <v>46054</v>
      </c>
      <c r="B33" s="41">
        <v>30</v>
      </c>
      <c r="C33" s="41">
        <v>250</v>
      </c>
      <c r="D33" s="41">
        <v>30</v>
      </c>
      <c r="E33" s="44">
        <f>B33-D33</f>
        <v>0</v>
      </c>
      <c r="F33" s="41">
        <v>97</v>
      </c>
      <c r="G33" s="39">
        <v>611</v>
      </c>
      <c r="H33" s="28">
        <f t="shared" si="0"/>
        <v>6</v>
      </c>
      <c r="I33" s="39">
        <v>468</v>
      </c>
      <c r="J33" s="39">
        <v>451</v>
      </c>
      <c r="K33" s="28">
        <f>TABL123[[#This Row],[خط (T/B  TOT) SAR]]+TABL123[[#This Row],[خط (S/S  TOT) SAR2]]</f>
        <v>919</v>
      </c>
      <c r="L33" s="41">
        <v>308</v>
      </c>
      <c r="M33" s="42">
        <v>22.9</v>
      </c>
      <c r="N33" s="42">
        <v>7.05</v>
      </c>
      <c r="O33" s="39">
        <v>410</v>
      </c>
      <c r="P33" s="3">
        <f>TABL123[[#This Row],[خط (S/S  TOT) SAR2]]-TABL123[[#This Row],[(S/S TOT) AJD]]</f>
        <v>41</v>
      </c>
      <c r="Q33" s="39">
        <v>443</v>
      </c>
      <c r="R33" s="3">
        <f>TABL123[[#This Row],[خط (T/B  TOT) SAR]]-TABL123[[#This Row],[(T/B TOT) AJD]]</f>
        <v>25</v>
      </c>
      <c r="S33" s="3">
        <f>TABL123[[#This Row],[الفرق بين بداية ونهاية خط  T/B]]+TABL123[[#This Row],[الفرق بين بداية ونهاية خط  S/S]]</f>
        <v>66</v>
      </c>
      <c r="T33" s="3">
        <f>TABL123[[#This Row],[(S/S TOT) AJD]]+TABL123[[#This Row],[(T/B TOT) AJD]]</f>
        <v>853</v>
      </c>
      <c r="U33" s="41">
        <v>528</v>
      </c>
      <c r="V33" s="41">
        <v>294</v>
      </c>
      <c r="W33" s="3">
        <f>TABL123[[#This Row],[(A/B TOT) AJD]]+TABL123[[#This Row],[(A/S TOT) AJD]]</f>
        <v>822</v>
      </c>
      <c r="X33" s="3">
        <f>TABL123[[#This Row],[( S/S+T/B) AJD]]-TABL123[[#This Row],[(A/B + A/S) AJD]]</f>
        <v>31</v>
      </c>
      <c r="Y33" s="41">
        <v>92.33</v>
      </c>
      <c r="Z33" s="43">
        <v>394292</v>
      </c>
      <c r="AA33" s="3">
        <f>TABL123[[#This Row],[(RESV. STORGE) AJD]]/10</f>
        <v>39429.199999999997</v>
      </c>
      <c r="AB33" s="45">
        <f t="shared" si="1"/>
        <v>2.9790000000000001</v>
      </c>
      <c r="AC33" s="43">
        <v>1227</v>
      </c>
      <c r="AD33" s="84">
        <f>TABL123[[#This Row],[( S/S+T/B) AJD]]-(TABL123[[#This Row],[(A/B + A/S) AJD]]+(TABL123[[#This Row],[(STORGE DIFF.) AJD]])+TABL123[[#This Row],[البخر  AJD]]/1000)</f>
        <v>26.793999999999983</v>
      </c>
      <c r="AE33" s="68">
        <v>79</v>
      </c>
      <c r="AF33" s="68">
        <v>58.64</v>
      </c>
      <c r="AG33" s="68">
        <v>1386536</v>
      </c>
      <c r="AH33" s="43">
        <v>1832</v>
      </c>
      <c r="AI33" s="43">
        <v>1832</v>
      </c>
      <c r="AJ33" s="79">
        <f>TABL123[[#This Row],[(A/B TOT) AJD]]-TABL123[[#This Row],[BER_ IN]]</f>
        <v>449</v>
      </c>
      <c r="AK33" s="68">
        <v>22</v>
      </c>
      <c r="AL33" s="88">
        <v>45.198700000000002</v>
      </c>
      <c r="AM33" s="88">
        <v>4317230</v>
      </c>
      <c r="AN33" s="88">
        <f>TABL123[[#This Row],[ (RESV. STORGE) SER]]/10</f>
        <v>431723</v>
      </c>
      <c r="AO33" s="43">
        <v>1800</v>
      </c>
      <c r="AP33" s="32">
        <f>TABL123[[#This Row],[(A/S TOT) AJD]]-TABL123[[#This Row],[SER_ IN]]</f>
        <v>272</v>
      </c>
    </row>
    <row r="34" spans="1:42" ht="18.75" x14ac:dyDescent="0.3">
      <c r="A34" s="2">
        <v>46055</v>
      </c>
      <c r="B34" s="44">
        <v>30</v>
      </c>
      <c r="C34" s="44">
        <v>257</v>
      </c>
      <c r="D34" s="44">
        <v>30</v>
      </c>
      <c r="E34" s="41">
        <f t="shared" ref="E34:E63" si="2">B34-D34</f>
        <v>0</v>
      </c>
      <c r="F34" s="44">
        <v>97</v>
      </c>
      <c r="G34" s="40">
        <v>602</v>
      </c>
      <c r="H34" s="28">
        <f t="shared" si="0"/>
        <v>6</v>
      </c>
      <c r="I34" s="40">
        <v>455</v>
      </c>
      <c r="J34" s="44">
        <v>440</v>
      </c>
      <c r="K34" s="28">
        <f>TABL123[[#This Row],[خط (T/B  TOT) SAR]]+TABL123[[#This Row],[خط (S/S  TOT) SAR2]]</f>
        <v>895</v>
      </c>
      <c r="L34" s="45">
        <v>293</v>
      </c>
      <c r="M34" s="46">
        <v>22.2</v>
      </c>
      <c r="N34" s="46">
        <v>6.9</v>
      </c>
      <c r="O34" s="40">
        <v>408</v>
      </c>
      <c r="P34" s="3">
        <f>TABL123[[#This Row],[خط (S/S  TOT) SAR2]]-TABL123[[#This Row],[(S/S TOT) AJD]]</f>
        <v>32</v>
      </c>
      <c r="Q34" s="40">
        <v>440</v>
      </c>
      <c r="R34" s="3">
        <f>TABL123[[#This Row],[خط (T/B  TOT) SAR]]-TABL123[[#This Row],[(T/B TOT) AJD]]</f>
        <v>15</v>
      </c>
      <c r="S34" s="3">
        <f>TABL123[[#This Row],[الفرق بين بداية ونهاية خط  T/B]]+TABL123[[#This Row],[الفرق بين بداية ونهاية خط  S/S]]</f>
        <v>47</v>
      </c>
      <c r="T34" s="3">
        <f>TABL123[[#This Row],[(S/S TOT) AJD]]+TABL123[[#This Row],[(T/B TOT) AJD]]</f>
        <v>848</v>
      </c>
      <c r="U34" s="44">
        <v>529</v>
      </c>
      <c r="V34" s="44">
        <v>263</v>
      </c>
      <c r="W34" s="3">
        <f>TABL123[[#This Row],[(A/B TOT) AJD]]+TABL123[[#This Row],[(A/S TOT) AJD]]</f>
        <v>792</v>
      </c>
      <c r="X34" s="3">
        <f>TABL123[[#This Row],[( S/S+T/B) AJD]]-TABL123[[#This Row],[(A/B + A/S) AJD]]</f>
        <v>56</v>
      </c>
      <c r="Y34" s="44">
        <v>92.393000000000001</v>
      </c>
      <c r="Z34" s="45">
        <v>432933</v>
      </c>
      <c r="AA34" s="3">
        <f>TABL123[[#This Row],[(RESV. STORGE) AJD]]/10</f>
        <v>43293.3</v>
      </c>
      <c r="AB34" s="45">
        <f t="shared" si="1"/>
        <v>38.640999999999998</v>
      </c>
      <c r="AC34" s="45">
        <v>0</v>
      </c>
      <c r="AD34" s="84">
        <f>TABL123[[#This Row],[( S/S+T/B) AJD]]-(TABL123[[#This Row],[(A/B + A/S) AJD]]+(TABL123[[#This Row],[(STORGE DIFF.) AJD]])+TABL123[[#This Row],[البخر  AJD]]/1000)</f>
        <v>17.359000000000037</v>
      </c>
      <c r="AE34" s="68">
        <v>90</v>
      </c>
      <c r="AF34" s="68">
        <v>58.55</v>
      </c>
      <c r="AG34" s="68">
        <v>1327432</v>
      </c>
      <c r="AH34" s="45">
        <v>0</v>
      </c>
      <c r="AI34" s="45">
        <v>0</v>
      </c>
      <c r="AJ34" s="79">
        <f>TABL123[[#This Row],[(A/B TOT) AJD]]-TABL123[[#This Row],[BER_ IN]]</f>
        <v>439</v>
      </c>
      <c r="AK34" s="68">
        <v>22</v>
      </c>
      <c r="AL34" s="88">
        <v>45.229399999999998</v>
      </c>
      <c r="AM34" s="88">
        <v>4334000</v>
      </c>
      <c r="AN34" s="88">
        <f>TABL123[[#This Row],[ (RESV. STORGE) SER]]/10</f>
        <v>433400</v>
      </c>
      <c r="AO34" s="45">
        <v>1630</v>
      </c>
      <c r="AP34" s="32">
        <f>TABL123[[#This Row],[(A/S TOT) AJD]]-TABL123[[#This Row],[SER_ IN]]</f>
        <v>241</v>
      </c>
    </row>
    <row r="35" spans="1:42" ht="18.75" x14ac:dyDescent="0.3">
      <c r="A35" s="2">
        <v>46056</v>
      </c>
      <c r="B35" s="41">
        <v>30</v>
      </c>
      <c r="C35" s="41">
        <v>252</v>
      </c>
      <c r="D35" s="41">
        <v>30</v>
      </c>
      <c r="E35" s="44">
        <f t="shared" si="2"/>
        <v>0</v>
      </c>
      <c r="F35" s="41">
        <v>97</v>
      </c>
      <c r="G35" s="39">
        <v>604</v>
      </c>
      <c r="H35" s="28">
        <f t="shared" si="0"/>
        <v>6</v>
      </c>
      <c r="I35" s="39">
        <v>445</v>
      </c>
      <c r="J35" s="39">
        <v>430</v>
      </c>
      <c r="K35" s="28">
        <f>TABL123[[#This Row],[خط (T/B  TOT) SAR]]+TABL123[[#This Row],[خط (S/S  TOT) SAR2]]</f>
        <v>875</v>
      </c>
      <c r="L35" s="41">
        <v>271</v>
      </c>
      <c r="M35" s="42">
        <v>20.3</v>
      </c>
      <c r="N35" s="42">
        <v>6.94</v>
      </c>
      <c r="O35" s="39">
        <v>402</v>
      </c>
      <c r="P35" s="3">
        <f>TABL123[[#This Row],[خط (S/S  TOT) SAR2]]-TABL123[[#This Row],[(S/S TOT) AJD]]</f>
        <v>28</v>
      </c>
      <c r="Q35" s="39">
        <v>432</v>
      </c>
      <c r="R35" s="3">
        <f>TABL123[[#This Row],[خط (T/B  TOT) SAR]]-TABL123[[#This Row],[(T/B TOT) AJD]]</f>
        <v>13</v>
      </c>
      <c r="S35" s="3">
        <f>TABL123[[#This Row],[الفرق بين بداية ونهاية خط  T/B]]+TABL123[[#This Row],[الفرق بين بداية ونهاية خط  S/S]]</f>
        <v>41</v>
      </c>
      <c r="T35" s="3">
        <f>TABL123[[#This Row],[(S/S TOT) AJD]]+TABL123[[#This Row],[(T/B TOT) AJD]]</f>
        <v>834</v>
      </c>
      <c r="U35" s="41">
        <v>553</v>
      </c>
      <c r="V35" s="41">
        <v>270</v>
      </c>
      <c r="W35" s="3">
        <f>TABL123[[#This Row],[(A/B TOT) AJD]]+TABL123[[#This Row],[(A/S TOT) AJD]]</f>
        <v>823</v>
      </c>
      <c r="X35" s="3">
        <f>TABL123[[#This Row],[( S/S+T/B) AJD]]-TABL123[[#This Row],[(A/B + A/S) AJD]]</f>
        <v>11</v>
      </c>
      <c r="Y35" s="41">
        <v>92.382000000000005</v>
      </c>
      <c r="Z35" s="43">
        <v>426394</v>
      </c>
      <c r="AA35" s="3">
        <f>TABL123[[#This Row],[(RESV. STORGE) AJD]]/10</f>
        <v>42639.4</v>
      </c>
      <c r="AB35" s="45">
        <f t="shared" si="1"/>
        <v>-6.5389999999999997</v>
      </c>
      <c r="AC35" s="43">
        <v>1049</v>
      </c>
      <c r="AD35" s="84">
        <f>TABL123[[#This Row],[( S/S+T/B) AJD]]-(TABL123[[#This Row],[(A/B + A/S) AJD]]+(TABL123[[#This Row],[(STORGE DIFF.) AJD]])+TABL123[[#This Row],[البخر  AJD]]/1000)</f>
        <v>16.490000000000009</v>
      </c>
      <c r="AE35" s="68">
        <v>90</v>
      </c>
      <c r="AF35" s="68">
        <v>58.5</v>
      </c>
      <c r="AG35" s="68">
        <v>1294627</v>
      </c>
      <c r="AH35" s="43">
        <v>1361</v>
      </c>
      <c r="AI35" s="43">
        <v>1361</v>
      </c>
      <c r="AJ35" s="79">
        <f>TABL123[[#This Row],[(A/B TOT) AJD]]-TABL123[[#This Row],[BER_ IN]]</f>
        <v>463</v>
      </c>
      <c r="AK35" s="68">
        <v>22</v>
      </c>
      <c r="AL35" s="88">
        <v>45.2483</v>
      </c>
      <c r="AM35" s="88">
        <v>4345090</v>
      </c>
      <c r="AN35" s="88">
        <f>TABL123[[#This Row],[ (RESV. STORGE) SER]]/10</f>
        <v>434509</v>
      </c>
      <c r="AO35" s="43">
        <v>1620</v>
      </c>
      <c r="AP35" s="32">
        <f>TABL123[[#This Row],[(A/S TOT) AJD]]-TABL123[[#This Row],[SER_ IN]]</f>
        <v>248</v>
      </c>
    </row>
    <row r="36" spans="1:42" ht="18.75" x14ac:dyDescent="0.3">
      <c r="A36" s="2">
        <v>46057</v>
      </c>
      <c r="B36" s="44">
        <v>30</v>
      </c>
      <c r="C36" s="44">
        <v>257</v>
      </c>
      <c r="D36" s="44">
        <v>30</v>
      </c>
      <c r="E36" s="44">
        <f t="shared" si="2"/>
        <v>0</v>
      </c>
      <c r="F36" s="44">
        <v>97</v>
      </c>
      <c r="G36" s="40">
        <v>605</v>
      </c>
      <c r="H36" s="28">
        <f t="shared" si="0"/>
        <v>6</v>
      </c>
      <c r="I36" s="40">
        <v>440</v>
      </c>
      <c r="J36" s="44">
        <v>424</v>
      </c>
      <c r="K36" s="28">
        <f>TABL123[[#This Row],[خط (T/B  TOT) SAR]]+TABL123[[#This Row],[خط (S/S  TOT) SAR2]]</f>
        <v>864</v>
      </c>
      <c r="L36" s="45">
        <v>259</v>
      </c>
      <c r="M36" s="46">
        <v>19.7</v>
      </c>
      <c r="N36" s="46">
        <v>7.03</v>
      </c>
      <c r="O36" s="40">
        <v>390</v>
      </c>
      <c r="P36" s="3">
        <f>TABL123[[#This Row],[خط (S/S  TOT) SAR2]]-TABL123[[#This Row],[(S/S TOT) AJD]]</f>
        <v>34</v>
      </c>
      <c r="Q36" s="40">
        <v>420</v>
      </c>
      <c r="R36" s="3">
        <f>TABL123[[#This Row],[خط (T/B  TOT) SAR]]-TABL123[[#This Row],[(T/B TOT) AJD]]</f>
        <v>20</v>
      </c>
      <c r="S36" s="3">
        <f>TABL123[[#This Row],[الفرق بين بداية ونهاية خط  T/B]]+TABL123[[#This Row],[الفرق بين بداية ونهاية خط  S/S]]</f>
        <v>54</v>
      </c>
      <c r="T36" s="3">
        <f>TABL123[[#This Row],[(S/S TOT) AJD]]+TABL123[[#This Row],[(T/B TOT) AJD]]</f>
        <v>810</v>
      </c>
      <c r="U36" s="44">
        <v>549</v>
      </c>
      <c r="V36" s="44">
        <v>266</v>
      </c>
      <c r="W36" s="3">
        <f>TABL123[[#This Row],[(A/B TOT) AJD]]+TABL123[[#This Row],[(A/S TOT) AJD]]</f>
        <v>815</v>
      </c>
      <c r="X36" s="3">
        <f>TABL123[[#This Row],[( S/S+T/B) AJD]]-TABL123[[#This Row],[(A/B + A/S) AJD]]</f>
        <v>-5</v>
      </c>
      <c r="Y36" s="44">
        <v>92.328000000000003</v>
      </c>
      <c r="Z36" s="45">
        <v>394292</v>
      </c>
      <c r="AA36" s="3">
        <f>TABL123[[#This Row],[(RESV. STORGE) AJD]]/10</f>
        <v>39429.199999999997</v>
      </c>
      <c r="AB36" s="45">
        <f t="shared" si="1"/>
        <v>-32.101999999999997</v>
      </c>
      <c r="AC36" s="45">
        <v>1177</v>
      </c>
      <c r="AD36" s="84">
        <f>TABL123[[#This Row],[( S/S+T/B) AJD]]-(TABL123[[#This Row],[(A/B + A/S) AJD]]+(TABL123[[#This Row],[(STORGE DIFF.) AJD]])+TABL123[[#This Row],[البخر  AJD]]/1000)</f>
        <v>25.924999999999955</v>
      </c>
      <c r="AE36" s="68">
        <v>87</v>
      </c>
      <c r="AF36" s="68">
        <v>58.52</v>
      </c>
      <c r="AG36" s="68">
        <v>1307747</v>
      </c>
      <c r="AH36" s="45">
        <v>1137</v>
      </c>
      <c r="AI36" s="45">
        <v>1137</v>
      </c>
      <c r="AJ36" s="79">
        <f>TABL123[[#This Row],[(A/B TOT) AJD]]-TABL123[[#This Row],[BER_ IN]]</f>
        <v>462</v>
      </c>
      <c r="AK36" s="68">
        <v>21</v>
      </c>
      <c r="AL36" s="88">
        <v>45.238700000000001</v>
      </c>
      <c r="AM36" s="88">
        <v>4339740</v>
      </c>
      <c r="AN36" s="88">
        <f>TABL123[[#This Row],[ (RESV. STORGE) SER]]/10</f>
        <v>433974</v>
      </c>
      <c r="AO36" s="45">
        <v>1595</v>
      </c>
      <c r="AP36" s="32">
        <f>TABL123[[#This Row],[(A/S TOT) AJD]]-TABL123[[#This Row],[SER_ IN]]</f>
        <v>245</v>
      </c>
    </row>
    <row r="37" spans="1:42" ht="18.75" x14ac:dyDescent="0.3">
      <c r="A37" s="2">
        <v>46058</v>
      </c>
      <c r="B37" s="41">
        <v>30</v>
      </c>
      <c r="C37" s="41">
        <v>258</v>
      </c>
      <c r="D37" s="41">
        <v>30</v>
      </c>
      <c r="E37" s="41">
        <f t="shared" si="2"/>
        <v>0</v>
      </c>
      <c r="F37" s="41">
        <v>97</v>
      </c>
      <c r="G37" s="39">
        <v>608</v>
      </c>
      <c r="H37" s="28">
        <f t="shared" si="0"/>
        <v>6</v>
      </c>
      <c r="I37" s="39">
        <v>425</v>
      </c>
      <c r="J37" s="39">
        <v>428</v>
      </c>
      <c r="K37" s="28">
        <f>TABL123[[#This Row],[خط (T/B  TOT) SAR]]+TABL123[[#This Row],[خط (S/S  TOT) SAR2]]</f>
        <v>853</v>
      </c>
      <c r="L37" s="41">
        <v>245</v>
      </c>
      <c r="M37" s="42">
        <v>19.7</v>
      </c>
      <c r="N37" s="42">
        <v>7.15</v>
      </c>
      <c r="O37" s="39">
        <v>383</v>
      </c>
      <c r="P37" s="3">
        <f>TABL123[[#This Row],[خط (S/S  TOT) SAR2]]-TABL123[[#This Row],[(S/S TOT) AJD]]</f>
        <v>45</v>
      </c>
      <c r="Q37" s="39">
        <v>414</v>
      </c>
      <c r="R37" s="3">
        <f>TABL123[[#This Row],[خط (T/B  TOT) SAR]]-TABL123[[#This Row],[(T/B TOT) AJD]]</f>
        <v>11</v>
      </c>
      <c r="S37" s="3">
        <f>TABL123[[#This Row],[الفرق بين بداية ونهاية خط  T/B]]+TABL123[[#This Row],[الفرق بين بداية ونهاية خط  S/S]]</f>
        <v>56</v>
      </c>
      <c r="T37" s="3">
        <f>TABL123[[#This Row],[(S/S TOT) AJD]]+TABL123[[#This Row],[(T/B TOT) AJD]]</f>
        <v>797</v>
      </c>
      <c r="U37" s="41">
        <v>545</v>
      </c>
      <c r="V37" s="41">
        <v>271</v>
      </c>
      <c r="W37" s="3">
        <f>TABL123[[#This Row],[(A/B TOT) AJD]]+TABL123[[#This Row],[(A/S TOT) AJD]]</f>
        <v>816</v>
      </c>
      <c r="X37" s="3">
        <f>TABL123[[#This Row],[( S/S+T/B) AJD]]-TABL123[[#This Row],[(A/B + A/S) AJD]]</f>
        <v>-19</v>
      </c>
      <c r="Y37" s="41">
        <v>92.238</v>
      </c>
      <c r="Z37" s="43">
        <v>340835</v>
      </c>
      <c r="AA37" s="3">
        <f>TABL123[[#This Row],[(RESV. STORGE) AJD]]/10</f>
        <v>34083.5</v>
      </c>
      <c r="AB37" s="45">
        <f t="shared" si="1"/>
        <v>-53.457000000000001</v>
      </c>
      <c r="AC37" s="43">
        <v>1288</v>
      </c>
      <c r="AD37" s="84">
        <f>TABL123[[#This Row],[( S/S+T/B) AJD]]-(TABL123[[#This Row],[(A/B + A/S) AJD]]+(TABL123[[#This Row],[(STORGE DIFF.) AJD]])+TABL123[[#This Row],[البخر  AJD]]/1000)</f>
        <v>33.168999999999983</v>
      </c>
      <c r="AE37" s="68">
        <v>86</v>
      </c>
      <c r="AF37" s="68">
        <v>58.55</v>
      </c>
      <c r="AG37" s="68">
        <v>1327432</v>
      </c>
      <c r="AH37" s="43">
        <v>871</v>
      </c>
      <c r="AI37" s="43">
        <v>871</v>
      </c>
      <c r="AJ37" s="79">
        <f>TABL123[[#This Row],[(A/B TOT) AJD]]-TABL123[[#This Row],[BER_ IN]]</f>
        <v>459</v>
      </c>
      <c r="AK37" s="68">
        <v>21</v>
      </c>
      <c r="AL37" s="88">
        <v>45.245199999999997</v>
      </c>
      <c r="AM37" s="88">
        <v>4342940</v>
      </c>
      <c r="AN37" s="88">
        <f>TABL123[[#This Row],[ (RESV. STORGE) SER]]/10</f>
        <v>434294</v>
      </c>
      <c r="AO37" s="43">
        <v>1580</v>
      </c>
      <c r="AP37" s="32">
        <f>TABL123[[#This Row],[(A/S TOT) AJD]]-TABL123[[#This Row],[SER_ IN]]</f>
        <v>250</v>
      </c>
    </row>
    <row r="38" spans="1:42" ht="18.75" x14ac:dyDescent="0.3">
      <c r="A38" s="2">
        <v>46059</v>
      </c>
      <c r="B38" s="44">
        <v>31</v>
      </c>
      <c r="C38" s="44">
        <v>257</v>
      </c>
      <c r="D38" s="44">
        <v>31</v>
      </c>
      <c r="E38" s="44">
        <f t="shared" si="2"/>
        <v>0</v>
      </c>
      <c r="F38" s="44">
        <v>97</v>
      </c>
      <c r="G38" s="40">
        <v>605</v>
      </c>
      <c r="H38" s="28">
        <f t="shared" si="0"/>
        <v>6</v>
      </c>
      <c r="I38" s="40">
        <v>440</v>
      </c>
      <c r="J38" s="44">
        <v>428</v>
      </c>
      <c r="K38" s="28">
        <f>TABL123[[#This Row],[خط (T/B  TOT) SAR]]+TABL123[[#This Row],[خط (S/S  TOT) SAR2]]</f>
        <v>868</v>
      </c>
      <c r="L38" s="45">
        <v>263</v>
      </c>
      <c r="M38" s="46">
        <v>19.7</v>
      </c>
      <c r="N38" s="46">
        <v>7.25</v>
      </c>
      <c r="O38" s="40">
        <v>388</v>
      </c>
      <c r="P38" s="3">
        <f>TABL123[[#This Row],[خط (S/S  TOT) SAR2]]-TABL123[[#This Row],[(S/S TOT) AJD]]</f>
        <v>40</v>
      </c>
      <c r="Q38" s="40">
        <v>419</v>
      </c>
      <c r="R38" s="3">
        <f>TABL123[[#This Row],[خط (T/B  TOT) SAR]]-TABL123[[#This Row],[(T/B TOT) AJD]]</f>
        <v>21</v>
      </c>
      <c r="S38" s="3">
        <f>TABL123[[#This Row],[الفرق بين بداية ونهاية خط  T/B]]+TABL123[[#This Row],[الفرق بين بداية ونهاية خط  S/S]]</f>
        <v>61</v>
      </c>
      <c r="T38" s="3">
        <f>TABL123[[#This Row],[(S/S TOT) AJD]]+TABL123[[#This Row],[(T/B TOT) AJD]]</f>
        <v>807</v>
      </c>
      <c r="U38" s="44">
        <v>557</v>
      </c>
      <c r="V38" s="44">
        <v>267</v>
      </c>
      <c r="W38" s="3">
        <f>TABL123[[#This Row],[(A/B TOT) AJD]]+TABL123[[#This Row],[(A/S TOT) AJD]]</f>
        <v>824</v>
      </c>
      <c r="X38" s="3">
        <f>TABL123[[#This Row],[( S/S+T/B) AJD]]-TABL123[[#This Row],[(A/B + A/S) AJD]]</f>
        <v>-17</v>
      </c>
      <c r="Y38" s="44">
        <v>92.17</v>
      </c>
      <c r="Z38" s="45">
        <v>300498</v>
      </c>
      <c r="AA38" s="3">
        <f>TABL123[[#This Row],[(RESV. STORGE) AJD]]/10</f>
        <v>30049.8</v>
      </c>
      <c r="AB38" s="45">
        <f t="shared" si="1"/>
        <v>-40.337000000000003</v>
      </c>
      <c r="AC38" s="45">
        <v>1137</v>
      </c>
      <c r="AD38" s="84">
        <f>TABL123[[#This Row],[( S/S+T/B) AJD]]-(TABL123[[#This Row],[(A/B + A/S) AJD]]+(TABL123[[#This Row],[(STORGE DIFF.) AJD]])+TABL123[[#This Row],[البخر  AJD]]/1000)</f>
        <v>22.200000000000045</v>
      </c>
      <c r="AE38" s="68">
        <v>86</v>
      </c>
      <c r="AF38" s="68">
        <v>58.58</v>
      </c>
      <c r="AG38" s="68">
        <v>1347126</v>
      </c>
      <c r="AH38" s="45">
        <v>1510</v>
      </c>
      <c r="AI38" s="45">
        <v>1510</v>
      </c>
      <c r="AJ38" s="79">
        <f>TABL123[[#This Row],[(A/B TOT) AJD]]-TABL123[[#This Row],[BER_ IN]]</f>
        <v>471</v>
      </c>
      <c r="AK38" s="68">
        <v>7</v>
      </c>
      <c r="AL38" s="88">
        <v>45.238</v>
      </c>
      <c r="AM38" s="88">
        <v>4339036</v>
      </c>
      <c r="AN38" s="88">
        <f>TABL123[[#This Row],[ (RESV. STORGE) SER]]/10</f>
        <v>433903.6</v>
      </c>
      <c r="AO38" s="45">
        <v>1600</v>
      </c>
      <c r="AP38" s="32">
        <f>TABL123[[#This Row],[(A/S TOT) AJD]]-TABL123[[#This Row],[SER_ IN]]</f>
        <v>260</v>
      </c>
    </row>
    <row r="39" spans="1:42" ht="18.75" x14ac:dyDescent="0.3">
      <c r="A39" s="2">
        <v>46060</v>
      </c>
      <c r="B39" s="41">
        <v>30</v>
      </c>
      <c r="C39" s="41">
        <v>245</v>
      </c>
      <c r="D39" s="41">
        <v>30</v>
      </c>
      <c r="E39" s="41">
        <f t="shared" si="2"/>
        <v>0</v>
      </c>
      <c r="F39" s="41">
        <v>97</v>
      </c>
      <c r="G39" s="39">
        <v>612</v>
      </c>
      <c r="H39" s="28">
        <f t="shared" si="0"/>
        <v>6</v>
      </c>
      <c r="I39" s="39">
        <v>442</v>
      </c>
      <c r="J39" s="39">
        <v>430</v>
      </c>
      <c r="K39" s="28">
        <f>TABL123[[#This Row],[خط (T/B  TOT) SAR]]+TABL123[[#This Row],[خط (S/S  TOT) SAR2]]</f>
        <v>872</v>
      </c>
      <c r="L39" s="41">
        <v>260</v>
      </c>
      <c r="M39" s="42">
        <v>19.7</v>
      </c>
      <c r="N39" s="42">
        <v>7.3</v>
      </c>
      <c r="O39" s="39">
        <v>383</v>
      </c>
      <c r="P39" s="3">
        <f>TABL123[[#This Row],[خط (S/S  TOT) SAR2]]-TABL123[[#This Row],[(S/S TOT) AJD]]</f>
        <v>47</v>
      </c>
      <c r="Q39" s="39">
        <v>414</v>
      </c>
      <c r="R39" s="3">
        <f>TABL123[[#This Row],[خط (T/B  TOT) SAR]]-TABL123[[#This Row],[(T/B TOT) AJD]]</f>
        <v>28</v>
      </c>
      <c r="S39" s="3">
        <f>TABL123[[#This Row],[الفرق بين بداية ونهاية خط  T/B]]+TABL123[[#This Row],[الفرق بين بداية ونهاية خط  S/S]]</f>
        <v>75</v>
      </c>
      <c r="T39" s="3">
        <f>TABL123[[#This Row],[(S/S TOT) AJD]]+TABL123[[#This Row],[(T/B TOT) AJD]]</f>
        <v>797</v>
      </c>
      <c r="U39" s="41">
        <v>476</v>
      </c>
      <c r="V39" s="41">
        <v>258</v>
      </c>
      <c r="W39" s="3">
        <f>TABL123[[#This Row],[(A/B TOT) AJD]]+TABL123[[#This Row],[(A/S TOT) AJD]]</f>
        <v>734</v>
      </c>
      <c r="X39" s="3">
        <f>TABL123[[#This Row],[( S/S+T/B) AJD]]-TABL123[[#This Row],[(A/B + A/S) AJD]]</f>
        <v>63</v>
      </c>
      <c r="Y39" s="41">
        <v>92.222999999999999</v>
      </c>
      <c r="Z39" s="43">
        <v>331937</v>
      </c>
      <c r="AA39" s="3">
        <f>TABL123[[#This Row],[(RESV. STORGE) AJD]]/10</f>
        <v>33193.699999999997</v>
      </c>
      <c r="AB39" s="45">
        <f t="shared" si="1"/>
        <v>31.439</v>
      </c>
      <c r="AC39" s="43">
        <v>1308</v>
      </c>
      <c r="AD39" s="84">
        <f>TABL123[[#This Row],[( S/S+T/B) AJD]]-(TABL123[[#This Row],[(A/B + A/S) AJD]]+(TABL123[[#This Row],[(STORGE DIFF.) AJD]])+TABL123[[#This Row],[البخر  AJD]]/1000)</f>
        <v>30.253000000000043</v>
      </c>
      <c r="AE39" s="68">
        <v>88</v>
      </c>
      <c r="AF39" s="68">
        <v>58.62</v>
      </c>
      <c r="AG39" s="68">
        <v>1373396</v>
      </c>
      <c r="AH39" s="43">
        <v>1679</v>
      </c>
      <c r="AI39" s="43">
        <v>1679</v>
      </c>
      <c r="AJ39" s="79">
        <f>TABL123[[#This Row],[(A/B TOT) AJD]]-TABL123[[#This Row],[BER_ IN]]</f>
        <v>388</v>
      </c>
      <c r="AK39" s="68">
        <v>0</v>
      </c>
      <c r="AL39" s="88">
        <v>45.232100000000003</v>
      </c>
      <c r="AM39" s="88">
        <v>4335680</v>
      </c>
      <c r="AN39" s="88">
        <f>TABL123[[#This Row],[ (RESV. STORGE) SER]]/10</f>
        <v>433568</v>
      </c>
      <c r="AO39" s="43">
        <v>1620</v>
      </c>
      <c r="AP39" s="32">
        <f>TABL123[[#This Row],[(A/S TOT) AJD]]-TABL123[[#This Row],[SER_ IN]]</f>
        <v>258</v>
      </c>
    </row>
    <row r="40" spans="1:42" ht="18.75" x14ac:dyDescent="0.3">
      <c r="A40" s="2">
        <v>46061</v>
      </c>
      <c r="B40" s="44">
        <v>32</v>
      </c>
      <c r="C40" s="44">
        <v>253</v>
      </c>
      <c r="D40" s="44">
        <v>32</v>
      </c>
      <c r="E40" s="44">
        <f t="shared" si="2"/>
        <v>0</v>
      </c>
      <c r="F40" s="44">
        <v>97</v>
      </c>
      <c r="G40" s="40">
        <v>612</v>
      </c>
      <c r="H40" s="28">
        <f t="shared" si="0"/>
        <v>6</v>
      </c>
      <c r="I40" s="40">
        <v>442</v>
      </c>
      <c r="J40" s="44">
        <v>430</v>
      </c>
      <c r="K40" s="28">
        <f>TABL123[[#This Row],[خط (T/B  TOT) SAR]]+TABL123[[#This Row],[خط (S/S  TOT) SAR2]]</f>
        <v>872</v>
      </c>
      <c r="L40" s="45">
        <v>260</v>
      </c>
      <c r="M40" s="46">
        <v>19.7</v>
      </c>
      <c r="N40" s="46">
        <v>7.34</v>
      </c>
      <c r="O40" s="40">
        <v>388</v>
      </c>
      <c r="P40" s="3">
        <f>TABL123[[#This Row],[خط (S/S  TOT) SAR2]]-TABL123[[#This Row],[(S/S TOT) AJD]]</f>
        <v>42</v>
      </c>
      <c r="Q40" s="40">
        <v>419</v>
      </c>
      <c r="R40" s="3">
        <f>TABL123[[#This Row],[خط (T/B  TOT) SAR]]-TABL123[[#This Row],[(T/B TOT) AJD]]</f>
        <v>23</v>
      </c>
      <c r="S40" s="3">
        <f>TABL123[[#This Row],[الفرق بين بداية ونهاية خط  T/B]]+TABL123[[#This Row],[الفرق بين بداية ونهاية خط  S/S]]</f>
        <v>65</v>
      </c>
      <c r="T40" s="3">
        <f>TABL123[[#This Row],[(S/S TOT) AJD]]+TABL123[[#This Row],[(T/B TOT) AJD]]</f>
        <v>807</v>
      </c>
      <c r="U40" s="44">
        <v>553</v>
      </c>
      <c r="V40" s="44">
        <v>257</v>
      </c>
      <c r="W40" s="3">
        <f>TABL123[[#This Row],[(A/B TOT) AJD]]+TABL123[[#This Row],[(A/S TOT) AJD]]</f>
        <v>810</v>
      </c>
      <c r="X40" s="3">
        <f>TABL123[[#This Row],[( S/S+T/B) AJD]]-TABL123[[#This Row],[(A/B + A/S) AJD]]</f>
        <v>-3</v>
      </c>
      <c r="Y40" s="44">
        <v>92.17</v>
      </c>
      <c r="Z40" s="45">
        <v>300498</v>
      </c>
      <c r="AA40" s="3">
        <f>TABL123[[#This Row],[(RESV. STORGE) AJD]]/10</f>
        <v>30049.8</v>
      </c>
      <c r="AB40" s="45">
        <f t="shared" si="1"/>
        <v>-31.439</v>
      </c>
      <c r="AC40" s="45">
        <v>1237</v>
      </c>
      <c r="AD40" s="84">
        <f>TABL123[[#This Row],[( S/S+T/B) AJD]]-(TABL123[[#This Row],[(A/B + A/S) AJD]]+(TABL123[[#This Row],[(STORGE DIFF.) AJD]])+TABL123[[#This Row],[البخر  AJD]]/1000)</f>
        <v>27.201999999999998</v>
      </c>
      <c r="AE40" s="68">
        <v>90</v>
      </c>
      <c r="AF40" s="68">
        <v>58.58</v>
      </c>
      <c r="AG40" s="68">
        <v>1347126</v>
      </c>
      <c r="AH40" s="45">
        <v>1447</v>
      </c>
      <c r="AI40" s="45">
        <v>1447</v>
      </c>
      <c r="AJ40" s="79">
        <f>TABL123[[#This Row],[(A/B TOT) AJD]]-TABL123[[#This Row],[BER_ IN]]</f>
        <v>463</v>
      </c>
      <c r="AK40" s="68">
        <v>0</v>
      </c>
      <c r="AL40" s="88">
        <v>45.185600000000001</v>
      </c>
      <c r="AM40" s="88">
        <v>4309440</v>
      </c>
      <c r="AN40" s="88">
        <f>TABL123[[#This Row],[ (RESV. STORGE) SER]]/10</f>
        <v>430944</v>
      </c>
      <c r="AO40" s="45">
        <v>1630</v>
      </c>
      <c r="AP40" s="32">
        <f>TABL123[[#This Row],[(A/S TOT) AJD]]-TABL123[[#This Row],[SER_ IN]]</f>
        <v>257</v>
      </c>
    </row>
    <row r="41" spans="1:42" ht="18.75" x14ac:dyDescent="0.3">
      <c r="A41" s="2">
        <v>46062</v>
      </c>
      <c r="B41" s="41">
        <v>32</v>
      </c>
      <c r="C41" s="41">
        <v>258</v>
      </c>
      <c r="D41" s="41">
        <v>32</v>
      </c>
      <c r="E41" s="41">
        <f t="shared" si="2"/>
        <v>0</v>
      </c>
      <c r="F41" s="41">
        <v>97</v>
      </c>
      <c r="G41" s="39">
        <v>612</v>
      </c>
      <c r="H41" s="28">
        <f t="shared" si="0"/>
        <v>6</v>
      </c>
      <c r="I41" s="39">
        <v>442</v>
      </c>
      <c r="J41" s="39">
        <v>430</v>
      </c>
      <c r="K41" s="28">
        <f>TABL123[[#This Row],[خط (T/B  TOT) SAR]]+TABL123[[#This Row],[خط (S/S  TOT) SAR2]]</f>
        <v>872</v>
      </c>
      <c r="L41" s="41">
        <v>260</v>
      </c>
      <c r="M41" s="42">
        <v>19.7</v>
      </c>
      <c r="N41" s="42">
        <v>7.44</v>
      </c>
      <c r="O41" s="39">
        <v>379</v>
      </c>
      <c r="P41" s="3">
        <f>TABL123[[#This Row],[خط (S/S  TOT) SAR2]]-TABL123[[#This Row],[(S/S TOT) AJD]]</f>
        <v>51</v>
      </c>
      <c r="Q41" s="39">
        <v>421</v>
      </c>
      <c r="R41" s="3">
        <f>TABL123[[#This Row],[خط (T/B  TOT) SAR]]-TABL123[[#This Row],[(T/B TOT) AJD]]</f>
        <v>21</v>
      </c>
      <c r="S41" s="3">
        <f>TABL123[[#This Row],[الفرق بين بداية ونهاية خط  T/B]]+TABL123[[#This Row],[الفرق بين بداية ونهاية خط  S/S]]</f>
        <v>72</v>
      </c>
      <c r="T41" s="3">
        <f>TABL123[[#This Row],[(S/S TOT) AJD]]+TABL123[[#This Row],[(T/B TOT) AJD]]</f>
        <v>800</v>
      </c>
      <c r="U41" s="41">
        <v>554</v>
      </c>
      <c r="V41" s="41">
        <v>250</v>
      </c>
      <c r="W41" s="3">
        <f>TABL123[[#This Row],[(A/B TOT) AJD]]+TABL123[[#This Row],[(A/S TOT) AJD]]</f>
        <v>804</v>
      </c>
      <c r="X41" s="3">
        <f>TABL123[[#This Row],[( S/S+T/B) AJD]]-TABL123[[#This Row],[(A/B + A/S) AJD]]</f>
        <v>-4</v>
      </c>
      <c r="Y41" s="41">
        <v>92.14</v>
      </c>
      <c r="Z41" s="43">
        <v>282713</v>
      </c>
      <c r="AA41" s="3">
        <f>TABL123[[#This Row],[(RESV. STORGE) AJD]]/10</f>
        <v>28271.3</v>
      </c>
      <c r="AB41" s="45">
        <f t="shared" si="1"/>
        <v>-17.785</v>
      </c>
      <c r="AC41" s="43">
        <v>1237</v>
      </c>
      <c r="AD41" s="84">
        <f>TABL123[[#This Row],[( S/S+T/B) AJD]]-(TABL123[[#This Row],[(A/B + A/S) AJD]]+(TABL123[[#This Row],[(STORGE DIFF.) AJD]])+TABL123[[#This Row],[البخر  AJD]]/1000)</f>
        <v>12.548000000000002</v>
      </c>
      <c r="AE41" s="68">
        <v>90</v>
      </c>
      <c r="AF41" s="68">
        <v>58.5</v>
      </c>
      <c r="AG41" s="68">
        <v>1294627</v>
      </c>
      <c r="AH41" s="43">
        <v>1498</v>
      </c>
      <c r="AI41" s="43">
        <v>1498</v>
      </c>
      <c r="AJ41" s="79">
        <f>TABL123[[#This Row],[(A/B TOT) AJD]]-TABL123[[#This Row],[BER_ IN]]</f>
        <v>464</v>
      </c>
      <c r="AK41" s="68">
        <v>0</v>
      </c>
      <c r="AL41" s="88">
        <v>45.168900000000001</v>
      </c>
      <c r="AM41" s="88">
        <v>4300490</v>
      </c>
      <c r="AN41" s="88">
        <f>TABL123[[#This Row],[ (RESV. STORGE) SER]]/10</f>
        <v>430049</v>
      </c>
      <c r="AO41" s="43">
        <v>1498</v>
      </c>
      <c r="AP41" s="32">
        <f>TABL123[[#This Row],[(A/S TOT) AJD]]-TABL123[[#This Row],[SER_ IN]]</f>
        <v>250</v>
      </c>
    </row>
    <row r="42" spans="1:42" ht="18.75" x14ac:dyDescent="0.3">
      <c r="A42" s="2">
        <v>46063</v>
      </c>
      <c r="B42" s="44">
        <v>32</v>
      </c>
      <c r="C42" s="44">
        <v>257</v>
      </c>
      <c r="D42" s="44">
        <v>32</v>
      </c>
      <c r="E42" s="44">
        <f t="shared" si="2"/>
        <v>0</v>
      </c>
      <c r="F42" s="44">
        <v>97</v>
      </c>
      <c r="G42" s="40">
        <v>612</v>
      </c>
      <c r="H42" s="28">
        <f t="shared" si="0"/>
        <v>6</v>
      </c>
      <c r="I42" s="40">
        <v>444</v>
      </c>
      <c r="J42" s="44">
        <v>430</v>
      </c>
      <c r="K42" s="28">
        <f>TABL123[[#This Row],[خط (T/B  TOT) SAR]]+TABL123[[#This Row],[خط (S/S  TOT) SAR2]]</f>
        <v>874</v>
      </c>
      <c r="L42" s="45">
        <v>262</v>
      </c>
      <c r="M42" s="46">
        <v>19.7</v>
      </c>
      <c r="N42" s="46">
        <v>7.54</v>
      </c>
      <c r="O42" s="40">
        <v>389</v>
      </c>
      <c r="P42" s="3">
        <f>TABL123[[#This Row],[خط (S/S  TOT) SAR2]]-TABL123[[#This Row],[(S/S TOT) AJD]]</f>
        <v>41</v>
      </c>
      <c r="Q42" s="40">
        <v>418</v>
      </c>
      <c r="R42" s="3">
        <f>TABL123[[#This Row],[خط (T/B  TOT) SAR]]-TABL123[[#This Row],[(T/B TOT) AJD]]</f>
        <v>26</v>
      </c>
      <c r="S42" s="3">
        <f>TABL123[[#This Row],[الفرق بين بداية ونهاية خط  T/B]]+TABL123[[#This Row],[الفرق بين بداية ونهاية خط  S/S]]</f>
        <v>67</v>
      </c>
      <c r="T42" s="3">
        <f>TABL123[[#This Row],[(S/S TOT) AJD]]+TABL123[[#This Row],[(T/B TOT) AJD]]</f>
        <v>807</v>
      </c>
      <c r="U42" s="44">
        <v>562</v>
      </c>
      <c r="V42" s="44">
        <v>246</v>
      </c>
      <c r="W42" s="3">
        <f>TABL123[[#This Row],[(A/B TOT) AJD]]+TABL123[[#This Row],[(A/S TOT) AJD]]</f>
        <v>808</v>
      </c>
      <c r="X42" s="3">
        <f>TABL123[[#This Row],[( S/S+T/B) AJD]]-TABL123[[#This Row],[(A/B + A/S) AJD]]</f>
        <v>-1</v>
      </c>
      <c r="Y42" s="44">
        <v>92.128</v>
      </c>
      <c r="Z42" s="45">
        <v>275600</v>
      </c>
      <c r="AA42" s="3">
        <f>TABL123[[#This Row],[(RESV. STORGE) AJD]]/10</f>
        <v>27560</v>
      </c>
      <c r="AB42" s="45">
        <f t="shared" si="1"/>
        <v>-7.1130000000000004</v>
      </c>
      <c r="AC42" s="45">
        <v>0</v>
      </c>
      <c r="AD42" s="84">
        <f>TABL123[[#This Row],[( S/S+T/B) AJD]]-(TABL123[[#This Row],[(A/B + A/S) AJD]]+(TABL123[[#This Row],[(STORGE DIFF.) AJD]])+TABL123[[#This Row],[البخر  AJD]]/1000)</f>
        <v>6.1130000000000564</v>
      </c>
      <c r="AE42" s="68">
        <v>89</v>
      </c>
      <c r="AF42" s="68">
        <v>58.43</v>
      </c>
      <c r="AG42" s="68">
        <v>1248736</v>
      </c>
      <c r="AH42" s="45">
        <v>1891</v>
      </c>
      <c r="AI42" s="45">
        <v>1891</v>
      </c>
      <c r="AJ42" s="79">
        <f>TABL123[[#This Row],[(A/B TOT) AJD]]-TABL123[[#This Row],[BER_ IN]]</f>
        <v>473</v>
      </c>
      <c r="AK42" s="68">
        <v>0</v>
      </c>
      <c r="AL42" s="88">
        <v>45.115200000000002</v>
      </c>
      <c r="AM42" s="88">
        <v>4270360</v>
      </c>
      <c r="AN42" s="88">
        <f>TABL123[[#This Row],[ (RESV. STORGE) SER]]/10</f>
        <v>427036</v>
      </c>
      <c r="AO42" s="45">
        <v>1545</v>
      </c>
      <c r="AP42" s="32">
        <f>TABL123[[#This Row],[(A/S TOT) AJD]]-TABL123[[#This Row],[SER_ IN]]</f>
        <v>246</v>
      </c>
    </row>
    <row r="43" spans="1:42" ht="18.75" x14ac:dyDescent="0.3">
      <c r="A43" s="2">
        <v>46064</v>
      </c>
      <c r="B43" s="41">
        <v>31</v>
      </c>
      <c r="C43" s="41">
        <v>256</v>
      </c>
      <c r="D43" s="41">
        <v>31</v>
      </c>
      <c r="E43" s="41">
        <f t="shared" si="2"/>
        <v>0</v>
      </c>
      <c r="F43" s="41">
        <v>97</v>
      </c>
      <c r="G43" s="39">
        <v>613</v>
      </c>
      <c r="H43" s="28">
        <f t="shared" si="0"/>
        <v>6</v>
      </c>
      <c r="I43" s="39">
        <v>449</v>
      </c>
      <c r="J43" s="39">
        <v>431</v>
      </c>
      <c r="K43" s="28">
        <f>TABL123[[#This Row],[خط (T/B  TOT) SAR]]+TABL123[[#This Row],[خط (S/S  TOT) SAR2]]</f>
        <v>880</v>
      </c>
      <c r="L43" s="41">
        <v>267</v>
      </c>
      <c r="M43" s="42">
        <v>19.7</v>
      </c>
      <c r="N43" s="42">
        <v>7.3</v>
      </c>
      <c r="O43" s="39">
        <v>390</v>
      </c>
      <c r="P43" s="3">
        <f>TABL123[[#This Row],[خط (S/S  TOT) SAR2]]-TABL123[[#This Row],[(S/S TOT) AJD]]</f>
        <v>41</v>
      </c>
      <c r="Q43" s="39">
        <v>421</v>
      </c>
      <c r="R43" s="3">
        <f>TABL123[[#This Row],[خط (T/B  TOT) SAR]]-TABL123[[#This Row],[(T/B TOT) AJD]]</f>
        <v>28</v>
      </c>
      <c r="S43" s="3">
        <f>TABL123[[#This Row],[الفرق بين بداية ونهاية خط  T/B]]+TABL123[[#This Row],[الفرق بين بداية ونهاية خط  S/S]]</f>
        <v>69</v>
      </c>
      <c r="T43" s="3">
        <f>TABL123[[#This Row],[(S/S TOT) AJD]]+TABL123[[#This Row],[(T/B TOT) AJD]]</f>
        <v>811</v>
      </c>
      <c r="U43" s="41">
        <v>556</v>
      </c>
      <c r="V43" s="41">
        <v>275</v>
      </c>
      <c r="W43" s="3">
        <f>TABL123[[#This Row],[(A/B TOT) AJD]]+TABL123[[#This Row],[(A/S TOT) AJD]]</f>
        <v>831</v>
      </c>
      <c r="X43" s="3">
        <f>TABL123[[#This Row],[( S/S+T/B) AJD]]-TABL123[[#This Row],[(A/B + A/S) AJD]]</f>
        <v>-20</v>
      </c>
      <c r="Y43" s="41">
        <v>92.072999999999993</v>
      </c>
      <c r="Z43" s="43">
        <v>244202</v>
      </c>
      <c r="AA43" s="3">
        <f>TABL123[[#This Row],[(RESV. STORGE) AJD]]/10</f>
        <v>24420.2</v>
      </c>
      <c r="AB43" s="45">
        <f t="shared" si="1"/>
        <v>-31.398</v>
      </c>
      <c r="AC43" s="43">
        <v>0</v>
      </c>
      <c r="AD43" s="84">
        <f>TABL123[[#This Row],[( S/S+T/B) AJD]]-(TABL123[[#This Row],[(A/B + A/S) AJD]]+(TABL123[[#This Row],[(STORGE DIFF.) AJD]])+TABL123[[#This Row],[البخر  AJD]]/1000)</f>
        <v>11.398000000000025</v>
      </c>
      <c r="AE43" s="68">
        <v>89</v>
      </c>
      <c r="AF43" s="68">
        <v>58.42</v>
      </c>
      <c r="AG43" s="68">
        <v>1242183</v>
      </c>
      <c r="AH43" s="43">
        <v>1552</v>
      </c>
      <c r="AI43" s="43">
        <v>1552</v>
      </c>
      <c r="AJ43" s="79">
        <f>TABL123[[#This Row],[(A/B TOT) AJD]]-TABL123[[#This Row],[BER_ IN]]</f>
        <v>467</v>
      </c>
      <c r="AK43" s="68">
        <v>0</v>
      </c>
      <c r="AL43" s="88">
        <v>45.024799999999999</v>
      </c>
      <c r="AM43" s="88">
        <v>4219780</v>
      </c>
      <c r="AN43" s="88">
        <f>TABL123[[#This Row],[ (RESV. STORGE) SER]]/10</f>
        <v>421978</v>
      </c>
      <c r="AO43" s="43">
        <v>1533</v>
      </c>
      <c r="AP43" s="32">
        <f>TABL123[[#This Row],[(A/S TOT) AJD]]-TABL123[[#This Row],[SER_ IN]]</f>
        <v>275</v>
      </c>
    </row>
    <row r="44" spans="1:42" ht="18.75" x14ac:dyDescent="0.3">
      <c r="A44" s="2">
        <v>46065</v>
      </c>
      <c r="B44" s="44">
        <v>32</v>
      </c>
      <c r="C44" s="44">
        <v>259</v>
      </c>
      <c r="D44" s="44">
        <v>32</v>
      </c>
      <c r="E44" s="44">
        <f t="shared" si="2"/>
        <v>0</v>
      </c>
      <c r="F44" s="44">
        <v>97</v>
      </c>
      <c r="G44" s="40">
        <v>610</v>
      </c>
      <c r="H44" s="28">
        <f t="shared" si="0"/>
        <v>6</v>
      </c>
      <c r="I44" s="40">
        <v>447</v>
      </c>
      <c r="J44" s="44">
        <v>433</v>
      </c>
      <c r="K44" s="28">
        <f>TABL123[[#This Row],[خط (T/B  TOT) SAR]]+TABL123[[#This Row],[خط (S/S  TOT) SAR2]]</f>
        <v>880</v>
      </c>
      <c r="L44" s="45">
        <v>270</v>
      </c>
      <c r="M44" s="46">
        <v>19.7</v>
      </c>
      <c r="N44" s="46">
        <v>7.69</v>
      </c>
      <c r="O44" s="40">
        <v>388</v>
      </c>
      <c r="P44" s="3">
        <f>TABL123[[#This Row],[خط (S/S  TOT) SAR2]]-TABL123[[#This Row],[(S/S TOT) AJD]]</f>
        <v>45</v>
      </c>
      <c r="Q44" s="40">
        <v>418</v>
      </c>
      <c r="R44" s="3">
        <f>TABL123[[#This Row],[خط (T/B  TOT) SAR]]-TABL123[[#This Row],[(T/B TOT) AJD]]</f>
        <v>29</v>
      </c>
      <c r="S44" s="3">
        <f>TABL123[[#This Row],[الفرق بين بداية ونهاية خط  T/B]]+TABL123[[#This Row],[الفرق بين بداية ونهاية خط  S/S]]</f>
        <v>74</v>
      </c>
      <c r="T44" s="3">
        <f>TABL123[[#This Row],[(S/S TOT) AJD]]+TABL123[[#This Row],[(T/B TOT) AJD]]</f>
        <v>806</v>
      </c>
      <c r="U44" s="44">
        <v>538</v>
      </c>
      <c r="V44" s="44">
        <v>264</v>
      </c>
      <c r="W44" s="3">
        <f>TABL123[[#This Row],[(A/B TOT) AJD]]+TABL123[[#This Row],[(A/S TOT) AJD]]</f>
        <v>802</v>
      </c>
      <c r="X44" s="3">
        <f>TABL123[[#This Row],[( S/S+T/B) AJD]]-TABL123[[#This Row],[(A/B + A/S) AJD]]</f>
        <v>4</v>
      </c>
      <c r="Y44" s="44">
        <v>92.018000000000001</v>
      </c>
      <c r="Z44" s="45">
        <v>210460</v>
      </c>
      <c r="AA44" s="3">
        <f>TABL123[[#This Row],[(RESV. STORGE) AJD]]/10</f>
        <v>21046</v>
      </c>
      <c r="AB44" s="45">
        <f t="shared" si="1"/>
        <v>-33.741999999999997</v>
      </c>
      <c r="AC44" s="45">
        <v>0</v>
      </c>
      <c r="AD44" s="84">
        <f>TABL123[[#This Row],[( S/S+T/B) AJD]]-(TABL123[[#This Row],[(A/B + A/S) AJD]]+(TABL123[[#This Row],[(STORGE DIFF.) AJD]])+TABL123[[#This Row],[البخر  AJD]]/1000)</f>
        <v>37.741999999999962</v>
      </c>
      <c r="AE44" s="68">
        <v>69</v>
      </c>
      <c r="AF44" s="68">
        <v>58.43</v>
      </c>
      <c r="AG44" s="68">
        <v>1248736</v>
      </c>
      <c r="AH44" s="45">
        <v>1927</v>
      </c>
      <c r="AI44" s="45">
        <v>1927</v>
      </c>
      <c r="AJ44" s="79">
        <f>TABL123[[#This Row],[(A/B TOT) AJD]]-TABL123[[#This Row],[BER_ IN]]</f>
        <v>469</v>
      </c>
      <c r="AK44" s="68">
        <v>0</v>
      </c>
      <c r="AL44" s="88">
        <v>44.954599999999999</v>
      </c>
      <c r="AM44" s="88">
        <v>4181210</v>
      </c>
      <c r="AN44" s="88">
        <f>TABL123[[#This Row],[ (RESV. STORGE) SER]]/10</f>
        <v>418121</v>
      </c>
      <c r="AO44" s="45">
        <v>1565</v>
      </c>
      <c r="AP44" s="32">
        <f>TABL123[[#This Row],[(A/S TOT) AJD]]-TABL123[[#This Row],[SER_ IN]]</f>
        <v>264</v>
      </c>
    </row>
    <row r="45" spans="1:42" ht="18.75" x14ac:dyDescent="0.3">
      <c r="A45" s="2">
        <v>46066</v>
      </c>
      <c r="B45" s="41">
        <v>33</v>
      </c>
      <c r="C45" s="41">
        <v>253</v>
      </c>
      <c r="D45" s="41">
        <v>33</v>
      </c>
      <c r="E45" s="41">
        <f t="shared" si="2"/>
        <v>0</v>
      </c>
      <c r="F45" s="41">
        <v>97</v>
      </c>
      <c r="G45" s="39">
        <v>583</v>
      </c>
      <c r="H45" s="28">
        <f t="shared" si="0"/>
        <v>6</v>
      </c>
      <c r="I45" s="39">
        <v>427</v>
      </c>
      <c r="J45" s="39">
        <v>412</v>
      </c>
      <c r="K45" s="28">
        <f>TABL123[[#This Row],[خط (T/B  TOT) SAR]]+TABL123[[#This Row],[خط (S/S  TOT) SAR2]]</f>
        <v>839</v>
      </c>
      <c r="L45" s="41">
        <v>256</v>
      </c>
      <c r="M45" s="42">
        <v>19.7</v>
      </c>
      <c r="N45" s="42">
        <v>7.3</v>
      </c>
      <c r="O45" s="39">
        <v>389</v>
      </c>
      <c r="P45" s="3">
        <f>TABL123[[#This Row],[خط (S/S  TOT) SAR2]]-TABL123[[#This Row],[(S/S TOT) AJD]]</f>
        <v>23</v>
      </c>
      <c r="Q45" s="39">
        <v>420</v>
      </c>
      <c r="R45" s="3">
        <f>TABL123[[#This Row],[خط (T/B  TOT) SAR]]-TABL123[[#This Row],[(T/B TOT) AJD]]</f>
        <v>7</v>
      </c>
      <c r="S45" s="3">
        <f>TABL123[[#This Row],[الفرق بين بداية ونهاية خط  T/B]]+TABL123[[#This Row],[الفرق بين بداية ونهاية خط  S/S]]</f>
        <v>30</v>
      </c>
      <c r="T45" s="3">
        <f>TABL123[[#This Row],[(S/S TOT) AJD]]+TABL123[[#This Row],[(T/B TOT) AJD]]</f>
        <v>809</v>
      </c>
      <c r="U45" s="41">
        <v>519</v>
      </c>
      <c r="V45" s="41">
        <v>267</v>
      </c>
      <c r="W45" s="3">
        <f>TABL123[[#This Row],[(A/B TOT) AJD]]+TABL123[[#This Row],[(A/S TOT) AJD]]</f>
        <v>786</v>
      </c>
      <c r="X45" s="3">
        <f>TABL123[[#This Row],[( S/S+T/B) AJD]]-TABL123[[#This Row],[(A/B + A/S) AJD]]</f>
        <v>23</v>
      </c>
      <c r="Y45" s="41">
        <v>92.025000000000006</v>
      </c>
      <c r="Z45" s="43">
        <v>214606</v>
      </c>
      <c r="AA45" s="3">
        <f>TABL123[[#This Row],[(RESV. STORGE) AJD]]/10</f>
        <v>21460.6</v>
      </c>
      <c r="AB45" s="45">
        <f t="shared" si="1"/>
        <v>4.1459999999999999</v>
      </c>
      <c r="AC45" s="43">
        <v>0</v>
      </c>
      <c r="AD45" s="84">
        <f>TABL123[[#This Row],[( S/S+T/B) AJD]]-(TABL123[[#This Row],[(A/B + A/S) AJD]]+(TABL123[[#This Row],[(STORGE DIFF.) AJD]])+TABL123[[#This Row],[البخر  AJD]]/1000)</f>
        <v>18.854000000000042</v>
      </c>
      <c r="AE45" s="68">
        <v>61</v>
      </c>
      <c r="AF45" s="68">
        <v>58.44</v>
      </c>
      <c r="AG45" s="68">
        <v>1255289</v>
      </c>
      <c r="AH45" s="43">
        <v>1266</v>
      </c>
      <c r="AI45" s="43">
        <v>1266</v>
      </c>
      <c r="AJ45" s="79">
        <f>TABL123[[#This Row],[(A/B TOT) AJD]]-TABL123[[#This Row],[BER_ IN]]</f>
        <v>458</v>
      </c>
      <c r="AK45" s="68">
        <v>0</v>
      </c>
      <c r="AL45" s="88">
        <v>44.924199999999999</v>
      </c>
      <c r="AM45" s="88">
        <v>4163967</v>
      </c>
      <c r="AN45" s="88">
        <f>TABL123[[#This Row],[ (RESV. STORGE) SER]]/10</f>
        <v>416396.7</v>
      </c>
      <c r="AO45" s="43">
        <v>1544</v>
      </c>
      <c r="AP45" s="32">
        <f>TABL123[[#This Row],[(A/S TOT) AJD]]-TABL123[[#This Row],[SER_ IN]]</f>
        <v>267</v>
      </c>
    </row>
    <row r="46" spans="1:42" ht="18.75" x14ac:dyDescent="0.3">
      <c r="A46" s="2">
        <v>46067</v>
      </c>
      <c r="B46" s="44">
        <v>33</v>
      </c>
      <c r="C46" s="44">
        <v>255</v>
      </c>
      <c r="D46" s="44">
        <v>33</v>
      </c>
      <c r="E46" s="44">
        <f t="shared" si="2"/>
        <v>0</v>
      </c>
      <c r="F46" s="44">
        <v>97</v>
      </c>
      <c r="G46" s="40">
        <v>583</v>
      </c>
      <c r="H46" s="28">
        <f t="shared" si="0"/>
        <v>6</v>
      </c>
      <c r="I46" s="40">
        <v>427</v>
      </c>
      <c r="J46" s="44">
        <v>412</v>
      </c>
      <c r="K46" s="28">
        <f>TABL123[[#This Row],[خط (T/B  TOT) SAR]]+TABL123[[#This Row],[خط (S/S  TOT) SAR2]]</f>
        <v>839</v>
      </c>
      <c r="L46" s="45">
        <v>256</v>
      </c>
      <c r="M46" s="46">
        <v>19.7</v>
      </c>
      <c r="N46" s="46">
        <v>7.3</v>
      </c>
      <c r="O46" s="40">
        <v>390</v>
      </c>
      <c r="P46" s="3">
        <f>TABL123[[#This Row],[خط (S/S  TOT) SAR2]]-TABL123[[#This Row],[(S/S TOT) AJD]]</f>
        <v>22</v>
      </c>
      <c r="Q46" s="40">
        <v>422</v>
      </c>
      <c r="R46" s="3">
        <f>TABL123[[#This Row],[خط (T/B  TOT) SAR]]-TABL123[[#This Row],[(T/B TOT) AJD]]</f>
        <v>5</v>
      </c>
      <c r="S46" s="3">
        <f>TABL123[[#This Row],[الفرق بين بداية ونهاية خط  T/B]]+TABL123[[#This Row],[الفرق بين بداية ونهاية خط  S/S]]</f>
        <v>27</v>
      </c>
      <c r="T46" s="3">
        <f>TABL123[[#This Row],[(S/S TOT) AJD]]+TABL123[[#This Row],[(T/B TOT) AJD]]</f>
        <v>812</v>
      </c>
      <c r="U46" s="44">
        <v>521</v>
      </c>
      <c r="V46" s="44">
        <v>244</v>
      </c>
      <c r="W46" s="3">
        <f>TABL123[[#This Row],[(A/B TOT) AJD]]+TABL123[[#This Row],[(A/S TOT) AJD]]</f>
        <v>765</v>
      </c>
      <c r="X46" s="3">
        <f>TABL123[[#This Row],[( S/S+T/B) AJD]]-TABL123[[#This Row],[(A/B + A/S) AJD]]</f>
        <v>47</v>
      </c>
      <c r="Y46" s="44">
        <v>92.1</v>
      </c>
      <c r="Z46" s="45">
        <v>259010</v>
      </c>
      <c r="AA46" s="3">
        <f>TABL123[[#This Row],[(RESV. STORGE) AJD]]/10</f>
        <v>25901</v>
      </c>
      <c r="AB46" s="45">
        <f t="shared" si="1"/>
        <v>44.404000000000003</v>
      </c>
      <c r="AC46" s="45">
        <v>0</v>
      </c>
      <c r="AD46" s="84">
        <f>TABL123[[#This Row],[( S/S+T/B) AJD]]-(TABL123[[#This Row],[(A/B + A/S) AJD]]+(TABL123[[#This Row],[(STORGE DIFF.) AJD]])+TABL123[[#This Row],[البخر  AJD]]/1000)</f>
        <v>2.5960000000000036</v>
      </c>
      <c r="AE46" s="68">
        <v>60</v>
      </c>
      <c r="AF46" s="68">
        <v>58.45</v>
      </c>
      <c r="AG46" s="68">
        <v>1261843</v>
      </c>
      <c r="AH46" s="45">
        <v>1150</v>
      </c>
      <c r="AI46" s="45">
        <v>1150</v>
      </c>
      <c r="AJ46" s="79">
        <f>TABL123[[#This Row],[(A/B TOT) AJD]]-TABL123[[#This Row],[BER_ IN]]</f>
        <v>461</v>
      </c>
      <c r="AK46" s="68">
        <v>0</v>
      </c>
      <c r="AL46" s="88">
        <v>44.877699999999997</v>
      </c>
      <c r="AM46" s="88">
        <v>4137560</v>
      </c>
      <c r="AN46" s="88">
        <f>TABL123[[#This Row],[ (RESV. STORGE) SER]]/10</f>
        <v>413756</v>
      </c>
      <c r="AO46" s="45">
        <v>1565</v>
      </c>
      <c r="AP46" s="32">
        <f>TABL123[[#This Row],[(A/S TOT) AJD]]-TABL123[[#This Row],[SER_ IN]]</f>
        <v>244</v>
      </c>
    </row>
    <row r="47" spans="1:42" ht="18.75" x14ac:dyDescent="0.3">
      <c r="A47" s="2">
        <v>46068</v>
      </c>
      <c r="B47" s="41">
        <v>33</v>
      </c>
      <c r="C47" s="41">
        <v>268</v>
      </c>
      <c r="D47" s="41">
        <v>33</v>
      </c>
      <c r="E47" s="41">
        <f t="shared" si="2"/>
        <v>0</v>
      </c>
      <c r="F47" s="41">
        <v>97</v>
      </c>
      <c r="G47" s="39">
        <v>600</v>
      </c>
      <c r="H47" s="28">
        <f t="shared" si="0"/>
        <v>6</v>
      </c>
      <c r="I47" s="39">
        <v>439</v>
      </c>
      <c r="J47" s="39">
        <v>431</v>
      </c>
      <c r="K47" s="28">
        <f>TABL123[[#This Row],[خط (T/B  TOT) SAR]]+TABL123[[#This Row],[خط (S/S  TOT) SAR2]]</f>
        <v>870</v>
      </c>
      <c r="L47" s="41">
        <v>270</v>
      </c>
      <c r="M47" s="42">
        <v>19.7</v>
      </c>
      <c r="N47" s="42">
        <v>7.93</v>
      </c>
      <c r="O47" s="39">
        <v>390</v>
      </c>
      <c r="P47" s="3">
        <f>TABL123[[#This Row],[خط (S/S  TOT) SAR2]]-TABL123[[#This Row],[(S/S TOT) AJD]]</f>
        <v>41</v>
      </c>
      <c r="Q47" s="39">
        <v>422</v>
      </c>
      <c r="R47" s="3">
        <f>TABL123[[#This Row],[خط (T/B  TOT) SAR]]-TABL123[[#This Row],[(T/B TOT) AJD]]</f>
        <v>17</v>
      </c>
      <c r="S47" s="3">
        <f>TABL123[[#This Row],[الفرق بين بداية ونهاية خط  T/B]]+TABL123[[#This Row],[الفرق بين بداية ونهاية خط  S/S]]</f>
        <v>58</v>
      </c>
      <c r="T47" s="3">
        <f>TABL123[[#This Row],[(S/S TOT) AJD]]+TABL123[[#This Row],[(T/B TOT) AJD]]</f>
        <v>812</v>
      </c>
      <c r="U47" s="41">
        <v>446</v>
      </c>
      <c r="V47" s="41">
        <v>250</v>
      </c>
      <c r="W47" s="3">
        <f>TABL123[[#This Row],[(A/B TOT) AJD]]+TABL123[[#This Row],[(A/S TOT) AJD]]</f>
        <v>696</v>
      </c>
      <c r="X47" s="3">
        <f>TABL123[[#This Row],[( S/S+T/B) AJD]]-TABL123[[#This Row],[(A/B + A/S) AJD]]</f>
        <v>116</v>
      </c>
      <c r="Y47" s="41">
        <v>92.212999999999994</v>
      </c>
      <c r="Z47" s="43">
        <v>326002</v>
      </c>
      <c r="AA47" s="3">
        <f>TABL123[[#This Row],[(RESV. STORGE) AJD]]/10</f>
        <v>32600.2</v>
      </c>
      <c r="AB47" s="45">
        <f t="shared" si="1"/>
        <v>66.992000000000004</v>
      </c>
      <c r="AC47" s="43">
        <v>0</v>
      </c>
      <c r="AD47" s="84">
        <f>TABL123[[#This Row],[( S/S+T/B) AJD]]-(TABL123[[#This Row],[(A/B + A/S) AJD]]+(TABL123[[#This Row],[(STORGE DIFF.) AJD]])+TABL123[[#This Row],[البخر  AJD]]/1000)</f>
        <v>49.008000000000038</v>
      </c>
      <c r="AE47" s="68">
        <v>60</v>
      </c>
      <c r="AF47" s="68">
        <v>58.4</v>
      </c>
      <c r="AG47" s="68">
        <v>1229081</v>
      </c>
      <c r="AH47" s="43">
        <v>1557</v>
      </c>
      <c r="AI47" s="43">
        <v>1557</v>
      </c>
      <c r="AJ47" s="79">
        <f>TABL123[[#This Row],[(A/B TOT) AJD]]-TABL123[[#This Row],[BER_ IN]]</f>
        <v>386</v>
      </c>
      <c r="AK47" s="68">
        <v>0</v>
      </c>
      <c r="AL47" s="88">
        <v>44.819800000000001</v>
      </c>
      <c r="AM47" s="88">
        <v>4106090</v>
      </c>
      <c r="AN47" s="88">
        <f>TABL123[[#This Row],[ (RESV. STORGE) SER]]/10</f>
        <v>410609</v>
      </c>
      <c r="AO47" s="43">
        <v>1573</v>
      </c>
      <c r="AP47" s="32">
        <f>TABL123[[#This Row],[(A/S TOT) AJD]]-TABL123[[#This Row],[SER_ IN]]</f>
        <v>250</v>
      </c>
    </row>
    <row r="48" spans="1:42" ht="18.75" x14ac:dyDescent="0.3">
      <c r="A48" s="2">
        <v>46069</v>
      </c>
      <c r="B48" s="44">
        <v>33</v>
      </c>
      <c r="C48" s="44">
        <v>268</v>
      </c>
      <c r="D48" s="44">
        <v>33</v>
      </c>
      <c r="E48" s="44">
        <f t="shared" si="2"/>
        <v>0</v>
      </c>
      <c r="F48" s="44">
        <v>97</v>
      </c>
      <c r="G48" s="40">
        <v>602</v>
      </c>
      <c r="H48" s="28">
        <f t="shared" si="0"/>
        <v>6</v>
      </c>
      <c r="I48" s="40">
        <v>445</v>
      </c>
      <c r="J48" s="44">
        <v>432</v>
      </c>
      <c r="K48" s="28">
        <f>TABL123[[#This Row],[خط (T/B  TOT) SAR]]+TABL123[[#This Row],[خط (S/S  TOT) SAR2]]</f>
        <v>877</v>
      </c>
      <c r="L48" s="45">
        <v>275</v>
      </c>
      <c r="M48" s="46">
        <v>19.7</v>
      </c>
      <c r="N48" s="46">
        <v>8.08</v>
      </c>
      <c r="O48" s="40">
        <v>391</v>
      </c>
      <c r="P48" s="3">
        <f>TABL123[[#This Row],[خط (S/S  TOT) SAR2]]-TABL123[[#This Row],[(S/S TOT) AJD]]</f>
        <v>41</v>
      </c>
      <c r="Q48" s="40">
        <v>422</v>
      </c>
      <c r="R48" s="3">
        <f>TABL123[[#This Row],[خط (T/B  TOT) SAR]]-TABL123[[#This Row],[(T/B TOT) AJD]]</f>
        <v>23</v>
      </c>
      <c r="S48" s="3">
        <f>TABL123[[#This Row],[الفرق بين بداية ونهاية خط  T/B]]+TABL123[[#This Row],[الفرق بين بداية ونهاية خط  S/S]]</f>
        <v>64</v>
      </c>
      <c r="T48" s="3">
        <f>TABL123[[#This Row],[(S/S TOT) AJD]]+TABL123[[#This Row],[(T/B TOT) AJD]]</f>
        <v>813</v>
      </c>
      <c r="U48" s="44">
        <v>516</v>
      </c>
      <c r="V48" s="44">
        <v>248</v>
      </c>
      <c r="W48" s="3">
        <f>TABL123[[#This Row],[(A/B TOT) AJD]]+TABL123[[#This Row],[(A/S TOT) AJD]]</f>
        <v>764</v>
      </c>
      <c r="X48" s="3">
        <f>TABL123[[#This Row],[( S/S+T/B) AJD]]-TABL123[[#This Row],[(A/B + A/S) AJD]]</f>
        <v>49</v>
      </c>
      <c r="Y48" s="44">
        <v>92.268000000000001</v>
      </c>
      <c r="Z48" s="45">
        <v>358650</v>
      </c>
      <c r="AA48" s="3">
        <f>TABL123[[#This Row],[(RESV. STORGE) AJD]]/10</f>
        <v>35865</v>
      </c>
      <c r="AB48" s="45">
        <f t="shared" si="1"/>
        <v>32.648000000000003</v>
      </c>
      <c r="AC48" s="45">
        <v>0</v>
      </c>
      <c r="AD48" s="84">
        <f>TABL123[[#This Row],[( S/S+T/B) AJD]]-(TABL123[[#This Row],[(A/B + A/S) AJD]]+(TABL123[[#This Row],[(STORGE DIFF.) AJD]])+TABL123[[#This Row],[البخر  AJD]]/1000)</f>
        <v>16.351999999999975</v>
      </c>
      <c r="AE48" s="68">
        <v>60</v>
      </c>
      <c r="AF48" s="68">
        <v>58.47</v>
      </c>
      <c r="AG48" s="68">
        <v>1274954</v>
      </c>
      <c r="AH48" s="45">
        <v>1815</v>
      </c>
      <c r="AI48" s="45">
        <v>1815</v>
      </c>
      <c r="AJ48" s="79">
        <f>TABL123[[#This Row],[(A/B TOT) AJD]]-TABL123[[#This Row],[BER_ IN]]</f>
        <v>456</v>
      </c>
      <c r="AK48" s="68">
        <v>0</v>
      </c>
      <c r="AL48" s="88">
        <v>44.786200000000001</v>
      </c>
      <c r="AM48" s="88">
        <v>4067260</v>
      </c>
      <c r="AN48" s="88">
        <f>TABL123[[#This Row],[ (RESV. STORGE) SER]]/10</f>
        <v>406726</v>
      </c>
      <c r="AO48" s="45">
        <v>1830</v>
      </c>
      <c r="AP48" s="32">
        <f>TABL123[[#This Row],[(A/S TOT) AJD]]-TABL123[[#This Row],[SER_ IN]]</f>
        <v>248</v>
      </c>
    </row>
    <row r="49" spans="1:42" ht="18.75" x14ac:dyDescent="0.3">
      <c r="A49" s="2">
        <v>46070</v>
      </c>
      <c r="B49" s="41">
        <v>33</v>
      </c>
      <c r="C49" s="41">
        <v>262</v>
      </c>
      <c r="D49" s="41">
        <v>33</v>
      </c>
      <c r="E49" s="41">
        <f t="shared" si="2"/>
        <v>0</v>
      </c>
      <c r="F49" s="41">
        <v>97</v>
      </c>
      <c r="G49" s="39">
        <v>607</v>
      </c>
      <c r="H49" s="28">
        <f t="shared" si="0"/>
        <v>6</v>
      </c>
      <c r="I49" s="39">
        <v>450</v>
      </c>
      <c r="J49" s="39">
        <v>433</v>
      </c>
      <c r="K49" s="28">
        <f>TABL123[[#This Row],[خط (T/B  TOT) SAR]]+TABL123[[#This Row],[خط (S/S  TOT) SAR2]]</f>
        <v>883</v>
      </c>
      <c r="L49" s="41">
        <v>276</v>
      </c>
      <c r="M49" s="42">
        <v>19.7</v>
      </c>
      <c r="N49" s="42">
        <v>8.19</v>
      </c>
      <c r="O49" s="39">
        <v>391</v>
      </c>
      <c r="P49" s="3">
        <f>TABL123[[#This Row],[خط (S/S  TOT) SAR2]]-TABL123[[#This Row],[(S/S TOT) AJD]]</f>
        <v>42</v>
      </c>
      <c r="Q49" s="39">
        <v>422</v>
      </c>
      <c r="R49" s="3">
        <f>TABL123[[#This Row],[خط (T/B  TOT) SAR]]-TABL123[[#This Row],[(T/B TOT) AJD]]</f>
        <v>28</v>
      </c>
      <c r="S49" s="3">
        <f>TABL123[[#This Row],[الفرق بين بداية ونهاية خط  T/B]]+TABL123[[#This Row],[الفرق بين بداية ونهاية خط  S/S]]</f>
        <v>70</v>
      </c>
      <c r="T49" s="3">
        <f>TABL123[[#This Row],[(S/S TOT) AJD]]+TABL123[[#This Row],[(T/B TOT) AJD]]</f>
        <v>813</v>
      </c>
      <c r="U49" s="41">
        <v>521</v>
      </c>
      <c r="V49" s="41">
        <v>249</v>
      </c>
      <c r="W49" s="3">
        <f>TABL123[[#This Row],[(A/B TOT) AJD]]+TABL123[[#This Row],[(A/S TOT) AJD]]</f>
        <v>770</v>
      </c>
      <c r="X49" s="3">
        <f>TABL123[[#This Row],[( S/S+T/B) AJD]]-TABL123[[#This Row],[(A/B + A/S) AJD]]</f>
        <v>43</v>
      </c>
      <c r="Y49" s="41">
        <v>92.268000000000001</v>
      </c>
      <c r="Z49" s="43">
        <v>356867</v>
      </c>
      <c r="AA49" s="3">
        <f>TABL123[[#This Row],[(RESV. STORGE) AJD]]/10</f>
        <v>35686.699999999997</v>
      </c>
      <c r="AB49" s="45">
        <f t="shared" si="1"/>
        <v>-1.7829999999999999</v>
      </c>
      <c r="AC49" s="43">
        <v>0</v>
      </c>
      <c r="AD49" s="84">
        <f>TABL123[[#This Row],[( S/S+T/B) AJD]]-(TABL123[[#This Row],[(A/B + A/S) AJD]]+(TABL123[[#This Row],[(STORGE DIFF.) AJD]])+TABL123[[#This Row],[البخر  AJD]]/1000)</f>
        <v>44.783000000000015</v>
      </c>
      <c r="AE49" s="68">
        <v>60</v>
      </c>
      <c r="AF49" s="68">
        <v>58.48</v>
      </c>
      <c r="AG49" s="68">
        <v>1281511</v>
      </c>
      <c r="AH49" s="43">
        <v>1481</v>
      </c>
      <c r="AI49" s="43">
        <v>1481</v>
      </c>
      <c r="AJ49" s="79">
        <f>TABL123[[#This Row],[(A/B TOT) AJD]]-TABL123[[#This Row],[BER_ IN]]</f>
        <v>461</v>
      </c>
      <c r="AK49" s="68">
        <v>0</v>
      </c>
      <c r="AL49" s="88">
        <v>44.742899999999999</v>
      </c>
      <c r="AM49" s="88">
        <v>4063390</v>
      </c>
      <c r="AN49" s="88">
        <f>TABL123[[#This Row],[ (RESV. STORGE) SER]]/10</f>
        <v>406339</v>
      </c>
      <c r="AO49" s="43">
        <v>1870</v>
      </c>
      <c r="AP49" s="32">
        <f>TABL123[[#This Row],[(A/S TOT) AJD]]-TABL123[[#This Row],[SER_ IN]]</f>
        <v>249</v>
      </c>
    </row>
    <row r="50" spans="1:42" ht="18.75" x14ac:dyDescent="0.3">
      <c r="A50" s="2">
        <v>46071</v>
      </c>
      <c r="B50" s="44">
        <v>33</v>
      </c>
      <c r="C50" s="44">
        <v>268</v>
      </c>
      <c r="D50" s="44">
        <v>33</v>
      </c>
      <c r="E50" s="44">
        <f t="shared" si="2"/>
        <v>0</v>
      </c>
      <c r="F50" s="44">
        <v>97</v>
      </c>
      <c r="G50" s="40">
        <v>605</v>
      </c>
      <c r="H50" s="28">
        <f t="shared" si="0"/>
        <v>6</v>
      </c>
      <c r="I50" s="40">
        <v>460</v>
      </c>
      <c r="J50" s="44">
        <v>440</v>
      </c>
      <c r="K50" s="28">
        <f>TABL123[[#This Row],[خط (T/B  TOT) SAR]]+TABL123[[#This Row],[خط (S/S  TOT) SAR2]]</f>
        <v>900</v>
      </c>
      <c r="L50" s="45">
        <v>295</v>
      </c>
      <c r="M50" s="46">
        <v>20</v>
      </c>
      <c r="N50" s="46">
        <v>8.23</v>
      </c>
      <c r="O50" s="40">
        <v>391</v>
      </c>
      <c r="P50" s="3">
        <f>TABL123[[#This Row],[خط (S/S  TOT) SAR2]]-TABL123[[#This Row],[(S/S TOT) AJD]]</f>
        <v>49</v>
      </c>
      <c r="Q50" s="40">
        <v>422</v>
      </c>
      <c r="R50" s="3">
        <f>TABL123[[#This Row],[خط (T/B  TOT) SAR]]-TABL123[[#This Row],[(T/B TOT) AJD]]</f>
        <v>38</v>
      </c>
      <c r="S50" s="3">
        <f>TABL123[[#This Row],[الفرق بين بداية ونهاية خط  T/B]]+TABL123[[#This Row],[الفرق بين بداية ونهاية خط  S/S]]</f>
        <v>87</v>
      </c>
      <c r="T50" s="3">
        <f>TABL123[[#This Row],[(S/S TOT) AJD]]+TABL123[[#This Row],[(T/B TOT) AJD]]</f>
        <v>813</v>
      </c>
      <c r="U50" s="44">
        <v>516</v>
      </c>
      <c r="V50" s="44">
        <v>248</v>
      </c>
      <c r="W50" s="3">
        <f>TABL123[[#This Row],[(A/B TOT) AJD]]+TABL123[[#This Row],[(A/S TOT) AJD]]</f>
        <v>764</v>
      </c>
      <c r="X50" s="3">
        <f>TABL123[[#This Row],[( S/S+T/B) AJD]]-TABL123[[#This Row],[(A/B + A/S) AJD]]</f>
        <v>49</v>
      </c>
      <c r="Y50" s="44">
        <v>92.68</v>
      </c>
      <c r="Z50" s="45">
        <v>358650</v>
      </c>
      <c r="AA50" s="3">
        <f>TABL123[[#This Row],[(RESV. STORGE) AJD]]/10</f>
        <v>35865</v>
      </c>
      <c r="AB50" s="45">
        <f t="shared" si="1"/>
        <v>1.7829999999999999</v>
      </c>
      <c r="AC50" s="45">
        <v>0</v>
      </c>
      <c r="AD50" s="84">
        <f>TABL123[[#This Row],[( S/S+T/B) AJD]]-(TABL123[[#This Row],[(A/B + A/S) AJD]]+(TABL123[[#This Row],[(STORGE DIFF.) AJD]])+TABL123[[#This Row],[البخر  AJD]]/1000)</f>
        <v>47.216999999999985</v>
      </c>
      <c r="AE50" s="68">
        <v>60</v>
      </c>
      <c r="AF50" s="68">
        <v>58.49</v>
      </c>
      <c r="AG50" s="68">
        <v>1288069</v>
      </c>
      <c r="AH50" s="45">
        <v>1801</v>
      </c>
      <c r="AI50" s="45">
        <v>1801</v>
      </c>
      <c r="AJ50" s="79">
        <f>TABL123[[#This Row],[(A/B TOT) AJD]]-TABL123[[#This Row],[BER_ IN]]</f>
        <v>456</v>
      </c>
      <c r="AK50" s="68">
        <v>0</v>
      </c>
      <c r="AL50" s="88">
        <v>44.725099999999998</v>
      </c>
      <c r="AM50" s="88">
        <v>4053400</v>
      </c>
      <c r="AN50" s="88">
        <f>TABL123[[#This Row],[ (RESV. STORGE) SER]]/10</f>
        <v>405340</v>
      </c>
      <c r="AO50" s="45">
        <v>1790</v>
      </c>
      <c r="AP50" s="32">
        <f>TABL123[[#This Row],[(A/S TOT) AJD]]-TABL123[[#This Row],[SER_ IN]]</f>
        <v>248</v>
      </c>
    </row>
    <row r="51" spans="1:42" ht="18.75" x14ac:dyDescent="0.3">
      <c r="A51" s="2">
        <v>46072</v>
      </c>
      <c r="B51" s="41">
        <v>33</v>
      </c>
      <c r="C51" s="41">
        <v>267</v>
      </c>
      <c r="D51" s="41">
        <v>33</v>
      </c>
      <c r="E51" s="41">
        <f t="shared" si="2"/>
        <v>0</v>
      </c>
      <c r="F51" s="41">
        <v>97</v>
      </c>
      <c r="G51" s="39">
        <v>605</v>
      </c>
      <c r="H51" s="28">
        <f t="shared" si="0"/>
        <v>6</v>
      </c>
      <c r="I51" s="39">
        <v>462</v>
      </c>
      <c r="J51" s="39">
        <v>448</v>
      </c>
      <c r="K51" s="28">
        <f>TABL123[[#This Row],[خط (T/B  TOT) SAR]]+TABL123[[#This Row],[خط (S/S  TOT) SAR2]]</f>
        <v>910</v>
      </c>
      <c r="L51" s="41">
        <v>305</v>
      </c>
      <c r="M51" s="42">
        <v>21.4</v>
      </c>
      <c r="N51" s="42">
        <v>8.19</v>
      </c>
      <c r="O51" s="39">
        <v>397</v>
      </c>
      <c r="P51" s="3">
        <f>TABL123[[#This Row],[خط (S/S  TOT) SAR2]]-TABL123[[#This Row],[(S/S TOT) AJD]]</f>
        <v>51</v>
      </c>
      <c r="Q51" s="39">
        <v>429</v>
      </c>
      <c r="R51" s="3">
        <f>TABL123[[#This Row],[خط (T/B  TOT) SAR]]-TABL123[[#This Row],[(T/B TOT) AJD]]</f>
        <v>33</v>
      </c>
      <c r="S51" s="3">
        <f>TABL123[[#This Row],[الفرق بين بداية ونهاية خط  T/B]]+TABL123[[#This Row],[الفرق بين بداية ونهاية خط  S/S]]</f>
        <v>84</v>
      </c>
      <c r="T51" s="3">
        <f>TABL123[[#This Row],[(S/S TOT) AJD]]+TABL123[[#This Row],[(T/B TOT) AJD]]</f>
        <v>826</v>
      </c>
      <c r="U51" s="41">
        <v>515</v>
      </c>
      <c r="V51" s="41">
        <v>250</v>
      </c>
      <c r="W51" s="3">
        <f>TABL123[[#This Row],[(A/B TOT) AJD]]+TABL123[[#This Row],[(A/S TOT) AJD]]</f>
        <v>765</v>
      </c>
      <c r="X51" s="3">
        <f>TABL123[[#This Row],[( S/S+T/B) AJD]]-TABL123[[#This Row],[(A/B + A/S) AJD]]</f>
        <v>61</v>
      </c>
      <c r="Y51" s="41">
        <v>92.316999999999993</v>
      </c>
      <c r="Z51" s="43">
        <v>389536</v>
      </c>
      <c r="AA51" s="3">
        <f>TABL123[[#This Row],[(RESV. STORGE) AJD]]/10</f>
        <v>38953.599999999999</v>
      </c>
      <c r="AB51" s="45">
        <f t="shared" si="1"/>
        <v>30.885999999999999</v>
      </c>
      <c r="AC51" s="43">
        <v>0</v>
      </c>
      <c r="AD51" s="84">
        <f>TABL123[[#This Row],[( S/S+T/B) AJD]]-(TABL123[[#This Row],[(A/B + A/S) AJD]]+(TABL123[[#This Row],[(STORGE DIFF.) AJD]])+TABL123[[#This Row],[البخر  AJD]]/1000)</f>
        <v>30.114000000000033</v>
      </c>
      <c r="AE51" s="68">
        <v>60</v>
      </c>
      <c r="AF51" s="68">
        <v>58.49</v>
      </c>
      <c r="AG51" s="68">
        <v>1288069</v>
      </c>
      <c r="AH51" s="43">
        <v>1794</v>
      </c>
      <c r="AI51" s="43">
        <v>1794</v>
      </c>
      <c r="AJ51" s="79">
        <f>TABL123[[#This Row],[(A/B TOT) AJD]]-TABL123[[#This Row],[BER_ IN]]</f>
        <v>455</v>
      </c>
      <c r="AK51" s="68">
        <v>0</v>
      </c>
      <c r="AL51" s="88">
        <v>44.648400000000002</v>
      </c>
      <c r="AM51" s="88">
        <v>4011220</v>
      </c>
      <c r="AN51" s="88">
        <f>TABL123[[#This Row],[ (RESV. STORGE) SER]]/10</f>
        <v>401122</v>
      </c>
      <c r="AO51" s="43">
        <v>1780</v>
      </c>
      <c r="AP51" s="32">
        <f>TABL123[[#This Row],[(A/S TOT) AJD]]-TABL123[[#This Row],[SER_ IN]]</f>
        <v>250</v>
      </c>
    </row>
    <row r="52" spans="1:42" ht="18.75" x14ac:dyDescent="0.3">
      <c r="A52" s="2">
        <v>46073</v>
      </c>
      <c r="B52" s="44">
        <v>33</v>
      </c>
      <c r="C52" s="44">
        <v>270</v>
      </c>
      <c r="D52" s="44">
        <v>33</v>
      </c>
      <c r="E52" s="44">
        <f t="shared" si="2"/>
        <v>0</v>
      </c>
      <c r="F52" s="44">
        <v>96</v>
      </c>
      <c r="G52" s="40">
        <v>601</v>
      </c>
      <c r="H52" s="28">
        <f t="shared" si="0"/>
        <v>7</v>
      </c>
      <c r="I52" s="40">
        <v>459</v>
      </c>
      <c r="J52" s="44">
        <v>442</v>
      </c>
      <c r="K52" s="28">
        <f>TABL123[[#This Row],[خط (T/B  TOT) SAR]]+TABL123[[#This Row],[خط (S/S  TOT) SAR2]]</f>
        <v>901</v>
      </c>
      <c r="L52" s="45">
        <v>300</v>
      </c>
      <c r="M52" s="46">
        <v>21.4</v>
      </c>
      <c r="N52" s="46">
        <v>8.15</v>
      </c>
      <c r="O52" s="40">
        <v>401</v>
      </c>
      <c r="P52" s="3">
        <f>TABL123[[#This Row],[خط (S/S  TOT) SAR2]]-TABL123[[#This Row],[(S/S TOT) AJD]]</f>
        <v>41</v>
      </c>
      <c r="Q52" s="40">
        <v>435</v>
      </c>
      <c r="R52" s="3">
        <f>TABL123[[#This Row],[خط (T/B  TOT) SAR]]-TABL123[[#This Row],[(T/B TOT) AJD]]</f>
        <v>24</v>
      </c>
      <c r="S52" s="3">
        <f>TABL123[[#This Row],[الفرق بين بداية ونهاية خط  T/B]]+TABL123[[#This Row],[الفرق بين بداية ونهاية خط  S/S]]</f>
        <v>65</v>
      </c>
      <c r="T52" s="3">
        <f>TABL123[[#This Row],[(S/S TOT) AJD]]+TABL123[[#This Row],[(T/B TOT) AJD]]</f>
        <v>836</v>
      </c>
      <c r="U52" s="44">
        <v>531</v>
      </c>
      <c r="V52" s="44">
        <v>246</v>
      </c>
      <c r="W52" s="3">
        <f>TABL123[[#This Row],[(A/B TOT) AJD]]+TABL123[[#This Row],[(A/S TOT) AJD]]</f>
        <v>777</v>
      </c>
      <c r="X52" s="3">
        <f>TABL123[[#This Row],[( S/S+T/B) AJD]]-TABL123[[#This Row],[(A/B + A/S) AJD]]</f>
        <v>59</v>
      </c>
      <c r="Y52" s="44">
        <v>92.405000000000001</v>
      </c>
      <c r="Z52" s="45">
        <v>440072</v>
      </c>
      <c r="AA52" s="3">
        <f>TABL123[[#This Row],[(RESV. STORGE) AJD]]/10</f>
        <v>44007.199999999997</v>
      </c>
      <c r="AB52" s="45">
        <f t="shared" si="1"/>
        <v>50.536000000000001</v>
      </c>
      <c r="AC52" s="45">
        <v>0</v>
      </c>
      <c r="AD52" s="84">
        <f>TABL123[[#This Row],[( S/S+T/B) AJD]]-(TABL123[[#This Row],[(A/B + A/S) AJD]]+(TABL123[[#This Row],[(STORGE DIFF.) AJD]])+TABL123[[#This Row],[البخر  AJD]]/1000)</f>
        <v>8.4639999999999418</v>
      </c>
      <c r="AE52" s="68">
        <v>74</v>
      </c>
      <c r="AF52" s="68">
        <v>58.51</v>
      </c>
      <c r="AG52" s="68">
        <v>1301186</v>
      </c>
      <c r="AH52" s="45">
        <v>1359</v>
      </c>
      <c r="AI52" s="45">
        <v>1359</v>
      </c>
      <c r="AJ52" s="79">
        <f>TABL123[[#This Row],[(A/B TOT) AJD]]-TABL123[[#This Row],[BER_ IN]]</f>
        <v>457</v>
      </c>
      <c r="AK52" s="68">
        <v>0</v>
      </c>
      <c r="AL52" s="88">
        <v>44.472299999999997</v>
      </c>
      <c r="AM52" s="88">
        <v>3913310</v>
      </c>
      <c r="AN52" s="88">
        <f>TABL123[[#This Row],[ (RESV. STORGE) SER]]/10</f>
        <v>391331</v>
      </c>
      <c r="AO52" s="45">
        <v>1810</v>
      </c>
      <c r="AP52" s="32">
        <f>TABL123[[#This Row],[(A/S TOT) AJD]]-TABL123[[#This Row],[SER_ IN]]</f>
        <v>246</v>
      </c>
    </row>
    <row r="53" spans="1:42" ht="18.75" x14ac:dyDescent="0.3">
      <c r="A53" s="2">
        <v>46074</v>
      </c>
      <c r="B53" s="41">
        <v>33</v>
      </c>
      <c r="C53" s="41">
        <v>269</v>
      </c>
      <c r="D53" s="41">
        <v>33</v>
      </c>
      <c r="E53" s="41">
        <f t="shared" si="2"/>
        <v>0</v>
      </c>
      <c r="F53" s="41">
        <v>96</v>
      </c>
      <c r="G53" s="39">
        <v>600</v>
      </c>
      <c r="H53" s="28">
        <f t="shared" si="0"/>
        <v>7</v>
      </c>
      <c r="I53" s="39">
        <v>458</v>
      </c>
      <c r="J53" s="39">
        <v>442</v>
      </c>
      <c r="K53" s="28">
        <f>TABL123[[#This Row],[خط (T/B  TOT) SAR]]+TABL123[[#This Row],[خط (S/S  TOT) SAR2]]</f>
        <v>900</v>
      </c>
      <c r="L53" s="41">
        <v>300</v>
      </c>
      <c r="M53" s="42">
        <v>21.4</v>
      </c>
      <c r="N53" s="42">
        <v>8.15</v>
      </c>
      <c r="O53" s="39">
        <v>397</v>
      </c>
      <c r="P53" s="3">
        <f>TABL123[[#This Row],[خط (S/S  TOT) SAR2]]-TABL123[[#This Row],[(S/S TOT) AJD]]</f>
        <v>45</v>
      </c>
      <c r="Q53" s="39">
        <v>431</v>
      </c>
      <c r="R53" s="3">
        <f>TABL123[[#This Row],[خط (T/B  TOT) SAR]]-TABL123[[#This Row],[(T/B TOT) AJD]]</f>
        <v>27</v>
      </c>
      <c r="S53" s="3">
        <f>TABL123[[#This Row],[الفرق بين بداية ونهاية خط  T/B]]+TABL123[[#This Row],[الفرق بين بداية ونهاية خط  S/S]]</f>
        <v>72</v>
      </c>
      <c r="T53" s="3">
        <f>TABL123[[#This Row],[(S/S TOT) AJD]]+TABL123[[#This Row],[(T/B TOT) AJD]]</f>
        <v>828</v>
      </c>
      <c r="U53" s="41">
        <v>520</v>
      </c>
      <c r="V53" s="41">
        <v>247</v>
      </c>
      <c r="W53" s="3">
        <f>TABL123[[#This Row],[(A/B TOT) AJD]]+TABL123[[#This Row],[(A/S TOT) AJD]]</f>
        <v>767</v>
      </c>
      <c r="X53" s="3">
        <f>TABL123[[#This Row],[( S/S+T/B) AJD]]-TABL123[[#This Row],[(A/B + A/S) AJD]]</f>
        <v>61</v>
      </c>
      <c r="Y53" s="41">
        <v>92.444999999999993</v>
      </c>
      <c r="Z53" s="43">
        <v>463896</v>
      </c>
      <c r="AA53" s="3">
        <f>TABL123[[#This Row],[(RESV. STORGE) AJD]]/10</f>
        <v>46389.599999999999</v>
      </c>
      <c r="AB53" s="45">
        <f t="shared" si="1"/>
        <v>23.824000000000002</v>
      </c>
      <c r="AC53" s="43">
        <v>0</v>
      </c>
      <c r="AD53" s="84">
        <f>TABL123[[#This Row],[( S/S+T/B) AJD]]-(TABL123[[#This Row],[(A/B + A/S) AJD]]+(TABL123[[#This Row],[(STORGE DIFF.) AJD]])+TABL123[[#This Row],[البخر  AJD]]/1000)</f>
        <v>37.176000000000045</v>
      </c>
      <c r="AE53" s="68">
        <v>80</v>
      </c>
      <c r="AF53" s="68">
        <v>58.52</v>
      </c>
      <c r="AG53" s="68">
        <v>1370747</v>
      </c>
      <c r="AH53" s="43">
        <v>1442</v>
      </c>
      <c r="AI53" s="43">
        <v>1442</v>
      </c>
      <c r="AJ53" s="79">
        <f>TABL123[[#This Row],[(A/B TOT) AJD]]-TABL123[[#This Row],[BER_ IN]]</f>
        <v>440</v>
      </c>
      <c r="AK53" s="68">
        <v>0</v>
      </c>
      <c r="AL53" s="88">
        <v>44.305100000000003</v>
      </c>
      <c r="AM53" s="88">
        <v>3821120</v>
      </c>
      <c r="AN53" s="88">
        <f>TABL123[[#This Row],[ (RESV. STORGE) SER]]/10</f>
        <v>382112</v>
      </c>
      <c r="AO53" s="43">
        <v>1890</v>
      </c>
      <c r="AP53" s="32">
        <f>TABL123[[#This Row],[(A/S TOT) AJD]]-TABL123[[#This Row],[SER_ IN]]</f>
        <v>247</v>
      </c>
    </row>
    <row r="54" spans="1:42" ht="18.75" x14ac:dyDescent="0.3">
      <c r="A54" s="2">
        <v>46075</v>
      </c>
      <c r="B54" s="44">
        <v>33</v>
      </c>
      <c r="C54" s="44">
        <v>263</v>
      </c>
      <c r="D54" s="44">
        <v>33</v>
      </c>
      <c r="E54" s="44">
        <f t="shared" si="2"/>
        <v>0</v>
      </c>
      <c r="F54" s="44">
        <v>96</v>
      </c>
      <c r="G54" s="40">
        <v>602</v>
      </c>
      <c r="H54" s="28">
        <f t="shared" si="0"/>
        <v>7</v>
      </c>
      <c r="I54" s="40">
        <v>458</v>
      </c>
      <c r="J54" s="44">
        <v>442</v>
      </c>
      <c r="K54" s="28">
        <f>TABL123[[#This Row],[خط (T/B  TOT) SAR]]+TABL123[[#This Row],[خط (S/S  TOT) SAR2]]</f>
        <v>900</v>
      </c>
      <c r="L54" s="45">
        <v>298</v>
      </c>
      <c r="M54" s="46">
        <v>21.4</v>
      </c>
      <c r="N54" s="46">
        <v>8.08</v>
      </c>
      <c r="O54" s="40">
        <v>402</v>
      </c>
      <c r="P54" s="3">
        <f>TABL123[[#This Row],[خط (S/S  TOT) SAR2]]-TABL123[[#This Row],[(S/S TOT) AJD]]</f>
        <v>40</v>
      </c>
      <c r="Q54" s="40">
        <v>433</v>
      </c>
      <c r="R54" s="3">
        <f>TABL123[[#This Row],[خط (T/B  TOT) SAR]]-TABL123[[#This Row],[(T/B TOT) AJD]]</f>
        <v>25</v>
      </c>
      <c r="S54" s="3">
        <f>TABL123[[#This Row],[الفرق بين بداية ونهاية خط  T/B]]+TABL123[[#This Row],[الفرق بين بداية ونهاية خط  S/S]]</f>
        <v>65</v>
      </c>
      <c r="T54" s="3">
        <f>TABL123[[#This Row],[(S/S TOT) AJD]]+TABL123[[#This Row],[(T/B TOT) AJD]]</f>
        <v>835</v>
      </c>
      <c r="U54" s="44">
        <v>540</v>
      </c>
      <c r="V54" s="44">
        <v>279</v>
      </c>
      <c r="W54" s="3">
        <f>TABL123[[#This Row],[(A/B TOT) AJD]]+TABL123[[#This Row],[(A/S TOT) AJD]]</f>
        <v>819</v>
      </c>
      <c r="X54" s="3">
        <f>TABL123[[#This Row],[( S/S+T/B) AJD]]-TABL123[[#This Row],[(A/B + A/S) AJD]]</f>
        <v>16</v>
      </c>
      <c r="Y54" s="44">
        <v>92.435000000000002</v>
      </c>
      <c r="Z54" s="45">
        <v>457921</v>
      </c>
      <c r="AA54" s="3">
        <f>TABL123[[#This Row],[(RESV. STORGE) AJD]]/10</f>
        <v>45792.1</v>
      </c>
      <c r="AB54" s="45">
        <f t="shared" si="1"/>
        <v>-5.9749999999999996</v>
      </c>
      <c r="AC54" s="45">
        <v>0</v>
      </c>
      <c r="AD54" s="84">
        <f>TABL123[[#This Row],[( S/S+T/B) AJD]]-(TABL123[[#This Row],[(A/B + A/S) AJD]]+(TABL123[[#This Row],[(STORGE DIFF.) AJD]])+TABL123[[#This Row],[البخر  AJD]]/1000)</f>
        <v>21.975000000000023</v>
      </c>
      <c r="AE54" s="68">
        <v>80</v>
      </c>
      <c r="AF54" s="68">
        <v>58.771999999999998</v>
      </c>
      <c r="AG54" s="68">
        <v>1327432</v>
      </c>
      <c r="AH54" s="45">
        <v>1542</v>
      </c>
      <c r="AI54" s="45">
        <v>1542</v>
      </c>
      <c r="AJ54" s="79">
        <f>TABL123[[#This Row],[(A/B TOT) AJD]]-TABL123[[#This Row],[BER_ IN]]</f>
        <v>460</v>
      </c>
      <c r="AK54" s="68">
        <v>0</v>
      </c>
      <c r="AL54" s="88">
        <v>44.238199999999999</v>
      </c>
      <c r="AM54" s="88">
        <v>3784200</v>
      </c>
      <c r="AN54" s="88">
        <f>TABL123[[#This Row],[ (RESV. STORGE) SER]]/10</f>
        <v>378420</v>
      </c>
      <c r="AO54" s="45">
        <v>1820</v>
      </c>
      <c r="AP54" s="32">
        <f>TABL123[[#This Row],[(A/S TOT) AJD]]-TABL123[[#This Row],[SER_ IN]]</f>
        <v>279</v>
      </c>
    </row>
    <row r="55" spans="1:42" ht="18.75" x14ac:dyDescent="0.3">
      <c r="A55" s="2">
        <v>46076</v>
      </c>
      <c r="B55" s="41">
        <v>31</v>
      </c>
      <c r="C55" s="41">
        <v>264</v>
      </c>
      <c r="D55" s="41">
        <v>31</v>
      </c>
      <c r="E55" s="41">
        <f t="shared" si="2"/>
        <v>0</v>
      </c>
      <c r="F55" s="41">
        <v>96</v>
      </c>
      <c r="G55" s="39">
        <v>608</v>
      </c>
      <c r="H55" s="28">
        <f t="shared" si="0"/>
        <v>7</v>
      </c>
      <c r="I55" s="39">
        <v>460</v>
      </c>
      <c r="J55" s="39">
        <v>448</v>
      </c>
      <c r="K55" s="28">
        <f>TABL123[[#This Row],[خط (T/B  TOT) SAR]]+TABL123[[#This Row],[خط (S/S  TOT) SAR2]]</f>
        <v>908</v>
      </c>
      <c r="L55" s="41">
        <v>300</v>
      </c>
      <c r="M55" s="42">
        <v>21.4</v>
      </c>
      <c r="N55" s="42">
        <v>8</v>
      </c>
      <c r="O55" s="39">
        <v>404</v>
      </c>
      <c r="P55" s="3">
        <f>TABL123[[#This Row],[خط (S/S  TOT) SAR2]]-TABL123[[#This Row],[(S/S TOT) AJD]]</f>
        <v>44</v>
      </c>
      <c r="Q55" s="39">
        <v>433</v>
      </c>
      <c r="R55" s="3">
        <f>TABL123[[#This Row],[خط (T/B  TOT) SAR]]-TABL123[[#This Row],[(T/B TOT) AJD]]</f>
        <v>27</v>
      </c>
      <c r="S55" s="3">
        <f>TABL123[[#This Row],[الفرق بين بداية ونهاية خط  T/B]]+TABL123[[#This Row],[الفرق بين بداية ونهاية خط  S/S]]</f>
        <v>71</v>
      </c>
      <c r="T55" s="3">
        <f>TABL123[[#This Row],[(S/S TOT) AJD]]+TABL123[[#This Row],[(T/B TOT) AJD]]</f>
        <v>837</v>
      </c>
      <c r="U55" s="41">
        <v>506</v>
      </c>
      <c r="V55" s="41">
        <v>246</v>
      </c>
      <c r="W55" s="3">
        <f>TABL123[[#This Row],[(A/B TOT) AJD]]+TABL123[[#This Row],[(A/S TOT) AJD]]</f>
        <v>752</v>
      </c>
      <c r="X55" s="3">
        <f>TABL123[[#This Row],[( S/S+T/B) AJD]]-TABL123[[#This Row],[(A/B + A/S) AJD]]</f>
        <v>85</v>
      </c>
      <c r="Y55" s="41">
        <v>92.563999999999993</v>
      </c>
      <c r="Z55" s="43">
        <v>534766</v>
      </c>
      <c r="AA55" s="3">
        <f>TABL123[[#This Row],[(RESV. STORGE) AJD]]/10</f>
        <v>53476.6</v>
      </c>
      <c r="AB55" s="45">
        <f t="shared" si="1"/>
        <v>76.844999999999999</v>
      </c>
      <c r="AC55" s="43">
        <v>0</v>
      </c>
      <c r="AD55" s="84">
        <f>TABL123[[#This Row],[( S/S+T/B) AJD]]-(TABL123[[#This Row],[(A/B + A/S) AJD]]+(TABL123[[#This Row],[(STORGE DIFF.) AJD]])+TABL123[[#This Row],[البخر  AJD]]/1000)</f>
        <v>8.1549999999999727</v>
      </c>
      <c r="AE55" s="68">
        <v>78</v>
      </c>
      <c r="AF55" s="68">
        <v>58.58</v>
      </c>
      <c r="AG55" s="68">
        <v>1347126</v>
      </c>
      <c r="AH55" s="43">
        <v>1085</v>
      </c>
      <c r="AI55" s="43">
        <v>1085</v>
      </c>
      <c r="AJ55" s="79">
        <f>TABL123[[#This Row],[(A/B TOT) AJD]]-TABL123[[#This Row],[BER_ IN]]</f>
        <v>428</v>
      </c>
      <c r="AK55" s="68">
        <v>0</v>
      </c>
      <c r="AL55" s="88">
        <v>44.206800000000001</v>
      </c>
      <c r="AM55" s="88">
        <v>3767110</v>
      </c>
      <c r="AN55" s="88">
        <f>TABL123[[#This Row],[ (RESV. STORGE) SER]]/10</f>
        <v>376711</v>
      </c>
      <c r="AO55" s="43">
        <v>1890</v>
      </c>
      <c r="AP55" s="32">
        <f>TABL123[[#This Row],[(A/S TOT) AJD]]-TABL123[[#This Row],[SER_ IN]]</f>
        <v>246</v>
      </c>
    </row>
    <row r="56" spans="1:42" ht="18.75" x14ac:dyDescent="0.3">
      <c r="A56" s="2">
        <v>46077</v>
      </c>
      <c r="B56" s="44">
        <v>31</v>
      </c>
      <c r="C56" s="44">
        <v>265</v>
      </c>
      <c r="D56" s="44">
        <v>31</v>
      </c>
      <c r="E56" s="44">
        <f t="shared" si="2"/>
        <v>0</v>
      </c>
      <c r="F56" s="44">
        <v>96</v>
      </c>
      <c r="G56" s="40">
        <v>608</v>
      </c>
      <c r="H56" s="28">
        <f t="shared" si="0"/>
        <v>7</v>
      </c>
      <c r="I56" s="40">
        <v>460</v>
      </c>
      <c r="J56" s="44">
        <v>448</v>
      </c>
      <c r="K56" s="28">
        <f>TABL123[[#This Row],[خط (T/B  TOT) SAR]]+TABL123[[#This Row],[خط (S/S  TOT) SAR2]]</f>
        <v>908</v>
      </c>
      <c r="L56" s="45">
        <v>300</v>
      </c>
      <c r="M56" s="46">
        <v>21.4</v>
      </c>
      <c r="N56" s="46">
        <v>7.96</v>
      </c>
      <c r="O56" s="40">
        <v>409</v>
      </c>
      <c r="P56" s="3">
        <f>TABL123[[#This Row],[خط (S/S  TOT) SAR2]]-TABL123[[#This Row],[(S/S TOT) AJD]]</f>
        <v>39</v>
      </c>
      <c r="Q56" s="40">
        <v>436</v>
      </c>
      <c r="R56" s="3">
        <f>TABL123[[#This Row],[خط (T/B  TOT) SAR]]-TABL123[[#This Row],[(T/B TOT) AJD]]</f>
        <v>24</v>
      </c>
      <c r="S56" s="3">
        <f>TABL123[[#This Row],[الفرق بين بداية ونهاية خط  T/B]]+TABL123[[#This Row],[الفرق بين بداية ونهاية خط  S/S]]</f>
        <v>63</v>
      </c>
      <c r="T56" s="3">
        <f>TABL123[[#This Row],[(S/S TOT) AJD]]+TABL123[[#This Row],[(T/B TOT) AJD]]</f>
        <v>845</v>
      </c>
      <c r="U56" s="44">
        <v>543</v>
      </c>
      <c r="V56" s="44">
        <v>236</v>
      </c>
      <c r="W56" s="3">
        <f>TABL123[[#This Row],[(A/B TOT) AJD]]+TABL123[[#This Row],[(A/S TOT) AJD]]</f>
        <v>779</v>
      </c>
      <c r="X56" s="3">
        <f>TABL123[[#This Row],[( S/S+T/B) AJD]]-TABL123[[#This Row],[(A/B + A/S) AJD]]</f>
        <v>66</v>
      </c>
      <c r="Y56" s="44">
        <v>92.629000000000005</v>
      </c>
      <c r="Z56" s="45">
        <v>573543</v>
      </c>
      <c r="AA56" s="3">
        <f>TABL123[[#This Row],[(RESV. STORGE) AJD]]/10</f>
        <v>57354.3</v>
      </c>
      <c r="AB56" s="45">
        <f t="shared" si="1"/>
        <v>38.777000000000001</v>
      </c>
      <c r="AC56" s="45">
        <v>0</v>
      </c>
      <c r="AD56" s="84">
        <f>TABL123[[#This Row],[( S/S+T/B) AJD]]-(TABL123[[#This Row],[(A/B + A/S) AJD]]+(TABL123[[#This Row],[(STORGE DIFF.) AJD]])+TABL123[[#This Row],[البخر  AJD]]/1000)</f>
        <v>27.222999999999956</v>
      </c>
      <c r="AE56" s="68">
        <v>77</v>
      </c>
      <c r="AF56" s="68">
        <v>58.61</v>
      </c>
      <c r="AG56" s="68">
        <v>1366827</v>
      </c>
      <c r="AH56" s="45">
        <v>1692</v>
      </c>
      <c r="AI56" s="45">
        <v>1692</v>
      </c>
      <c r="AJ56" s="79">
        <f>TABL123[[#This Row],[(A/B TOT) AJD]]-TABL123[[#This Row],[BER_ IN]]</f>
        <v>466</v>
      </c>
      <c r="AK56" s="68">
        <v>0</v>
      </c>
      <c r="AL56" s="88">
        <v>44.175800000000002</v>
      </c>
      <c r="AM56" s="88">
        <v>3750270</v>
      </c>
      <c r="AN56" s="88">
        <f>TABL123[[#This Row],[ (RESV. STORGE) SER]]/10</f>
        <v>375027</v>
      </c>
      <c r="AO56" s="45">
        <v>1840</v>
      </c>
      <c r="AP56" s="32">
        <f>TABL123[[#This Row],[(A/S TOT) AJD]]-TABL123[[#This Row],[SER_ IN]]</f>
        <v>236</v>
      </c>
    </row>
    <row r="57" spans="1:42" ht="18.75" x14ac:dyDescent="0.3">
      <c r="A57" s="2">
        <v>46078</v>
      </c>
      <c r="B57" s="41">
        <v>31</v>
      </c>
      <c r="C57" s="41">
        <v>253</v>
      </c>
      <c r="D57" s="41">
        <v>31</v>
      </c>
      <c r="E57" s="41">
        <f t="shared" si="2"/>
        <v>0</v>
      </c>
      <c r="F57" s="41">
        <v>96</v>
      </c>
      <c r="G57" s="39">
        <v>605</v>
      </c>
      <c r="H57" s="28">
        <f t="shared" si="0"/>
        <v>7</v>
      </c>
      <c r="I57" s="39">
        <v>462</v>
      </c>
      <c r="J57" s="39">
        <v>442</v>
      </c>
      <c r="K57" s="28">
        <f>TABL123[[#This Row],[خط (T/B  TOT) SAR]]+TABL123[[#This Row],[خط (S/S  TOT) SAR2]]</f>
        <v>904</v>
      </c>
      <c r="L57" s="41">
        <v>299</v>
      </c>
      <c r="M57" s="42">
        <v>21.4</v>
      </c>
      <c r="N57" s="42">
        <v>7.85</v>
      </c>
      <c r="O57" s="39">
        <v>436</v>
      </c>
      <c r="P57" s="3">
        <f>TABL123[[#This Row],[خط (S/S  TOT) SAR2]]-TABL123[[#This Row],[(S/S TOT) AJD]]</f>
        <v>6</v>
      </c>
      <c r="Q57" s="39">
        <v>407</v>
      </c>
      <c r="R57" s="3">
        <f>TABL123[[#This Row],[خط (T/B  TOT) SAR]]-TABL123[[#This Row],[(T/B TOT) AJD]]</f>
        <v>55</v>
      </c>
      <c r="S57" s="3">
        <f>TABL123[[#This Row],[الفرق بين بداية ونهاية خط  T/B]]+TABL123[[#This Row],[الفرق بين بداية ونهاية خط  S/S]]</f>
        <v>61</v>
      </c>
      <c r="T57" s="3">
        <f>TABL123[[#This Row],[(S/S TOT) AJD]]+TABL123[[#This Row],[(T/B TOT) AJD]]</f>
        <v>843</v>
      </c>
      <c r="U57" s="41">
        <v>565</v>
      </c>
      <c r="V57" s="41">
        <v>223</v>
      </c>
      <c r="W57" s="3">
        <f>TABL123[[#This Row],[(A/B TOT) AJD]]+TABL123[[#This Row],[(A/S TOT) AJD]]</f>
        <v>788</v>
      </c>
      <c r="X57" s="3">
        <f>TABL123[[#This Row],[( S/S+T/B) AJD]]-TABL123[[#This Row],[(A/B + A/S) AJD]]</f>
        <v>55</v>
      </c>
      <c r="Y57" s="41">
        <v>92.668999999999997</v>
      </c>
      <c r="Z57" s="43">
        <v>597410</v>
      </c>
      <c r="AA57" s="3">
        <f>TABL123[[#This Row],[(RESV. STORGE) AJD]]/10</f>
        <v>59741</v>
      </c>
      <c r="AB57" s="45">
        <f t="shared" si="1"/>
        <v>23.867000000000001</v>
      </c>
      <c r="AC57" s="43">
        <v>0</v>
      </c>
      <c r="AD57" s="84">
        <f>TABL123[[#This Row],[( S/S+T/B) AJD]]-(TABL123[[#This Row],[(A/B + A/S) AJD]]+(TABL123[[#This Row],[(STORGE DIFF.) AJD]])+TABL123[[#This Row],[البخر  AJD]]/1000)</f>
        <v>31.133000000000038</v>
      </c>
      <c r="AE57" s="68">
        <v>94</v>
      </c>
      <c r="AF57" s="68">
        <v>58.54</v>
      </c>
      <c r="AG57" s="68">
        <v>1320869</v>
      </c>
      <c r="AH57" s="43">
        <v>1785</v>
      </c>
      <c r="AI57" s="43">
        <v>1785</v>
      </c>
      <c r="AJ57" s="79">
        <f>TABL123[[#This Row],[(A/B TOT) AJD]]-TABL123[[#This Row],[BER_ IN]]</f>
        <v>471</v>
      </c>
      <c r="AK57" s="68">
        <v>0</v>
      </c>
      <c r="AL57" s="88">
        <v>44.146299999999997</v>
      </c>
      <c r="AM57" s="88">
        <v>3733560</v>
      </c>
      <c r="AN57" s="88">
        <f>TABL123[[#This Row],[ (RESV. STORGE) SER]]/10</f>
        <v>373356</v>
      </c>
      <c r="AO57" s="43">
        <v>1810</v>
      </c>
      <c r="AP57" s="32">
        <f>TABL123[[#This Row],[(A/S TOT) AJD]]-TABL123[[#This Row],[SER_ IN]]</f>
        <v>223</v>
      </c>
    </row>
    <row r="58" spans="1:42" ht="18.75" x14ac:dyDescent="0.3">
      <c r="A58" s="2">
        <v>46079</v>
      </c>
      <c r="B58" s="44">
        <v>31</v>
      </c>
      <c r="C58" s="44">
        <v>254</v>
      </c>
      <c r="D58" s="44">
        <v>31</v>
      </c>
      <c r="E58" s="44">
        <f t="shared" si="2"/>
        <v>0</v>
      </c>
      <c r="F58" s="44">
        <v>96</v>
      </c>
      <c r="G58" s="40">
        <v>606</v>
      </c>
      <c r="H58" s="28">
        <f t="shared" si="0"/>
        <v>7</v>
      </c>
      <c r="I58" s="40">
        <v>462</v>
      </c>
      <c r="J58" s="44">
        <v>442</v>
      </c>
      <c r="K58" s="28">
        <f>TABL123[[#This Row],[خط (T/B  TOT) SAR]]+TABL123[[#This Row],[خط (S/S  TOT) SAR2]]</f>
        <v>904</v>
      </c>
      <c r="L58" s="45">
        <v>298</v>
      </c>
      <c r="M58" s="46">
        <v>21.4</v>
      </c>
      <c r="N58" s="46">
        <v>7.74</v>
      </c>
      <c r="O58" s="40">
        <v>434</v>
      </c>
      <c r="P58" s="3">
        <f>TABL123[[#This Row],[خط (S/S  TOT) SAR2]]-TABL123[[#This Row],[(S/S TOT) AJD]]</f>
        <v>8</v>
      </c>
      <c r="Q58" s="40">
        <v>403</v>
      </c>
      <c r="R58" s="3">
        <f>TABL123[[#This Row],[خط (T/B  TOT) SAR]]-TABL123[[#This Row],[(T/B TOT) AJD]]</f>
        <v>59</v>
      </c>
      <c r="S58" s="3">
        <f>TABL123[[#This Row],[الفرق بين بداية ونهاية خط  T/B]]+TABL123[[#This Row],[الفرق بين بداية ونهاية خط  S/S]]</f>
        <v>67</v>
      </c>
      <c r="T58" s="3">
        <f>TABL123[[#This Row],[(S/S TOT) AJD]]+TABL123[[#This Row],[(T/B TOT) AJD]]</f>
        <v>837</v>
      </c>
      <c r="U58" s="44">
        <v>570</v>
      </c>
      <c r="V58" s="44">
        <v>238</v>
      </c>
      <c r="W58" s="3">
        <f>TABL123[[#This Row],[(A/B TOT) AJD]]+TABL123[[#This Row],[(A/S TOT) AJD]]</f>
        <v>808</v>
      </c>
      <c r="X58" s="3">
        <f>TABL123[[#This Row],[( S/S+T/B) AJD]]-TABL123[[#This Row],[(A/B + A/S) AJD]]</f>
        <v>29</v>
      </c>
      <c r="Y58" s="44">
        <v>92.668999999999997</v>
      </c>
      <c r="Z58" s="45">
        <v>597410</v>
      </c>
      <c r="AA58" s="3">
        <f>TABL123[[#This Row],[(RESV. STORGE) AJD]]/10</f>
        <v>59741</v>
      </c>
      <c r="AB58" s="45">
        <f t="shared" si="1"/>
        <v>0</v>
      </c>
      <c r="AC58" s="45">
        <v>0</v>
      </c>
      <c r="AD58" s="84">
        <f>TABL123[[#This Row],[( S/S+T/B) AJD]]-(TABL123[[#This Row],[(A/B + A/S) AJD]]+(TABL123[[#This Row],[(STORGE DIFF.) AJD]])+TABL123[[#This Row],[البخر  AJD]]/1000)</f>
        <v>29</v>
      </c>
      <c r="AE58" s="68">
        <v>102</v>
      </c>
      <c r="AF58" s="68">
        <v>58.48</v>
      </c>
      <c r="AG58" s="68">
        <v>1281511</v>
      </c>
      <c r="AH58" s="45">
        <v>1758</v>
      </c>
      <c r="AI58" s="45">
        <v>1758</v>
      </c>
      <c r="AJ58" s="79">
        <f>TABL123[[#This Row],[(A/B TOT) AJD]]-TABL123[[#This Row],[BER_ IN]]</f>
        <v>468</v>
      </c>
      <c r="AK58" s="68">
        <v>0</v>
      </c>
      <c r="AL58" s="88">
        <v>44.111400000000003</v>
      </c>
      <c r="AM58" s="88">
        <v>3714450</v>
      </c>
      <c r="AN58" s="88">
        <f>TABL123[[#This Row],[ (RESV. STORGE) SER]]/10</f>
        <v>371445</v>
      </c>
      <c r="AO58" s="45">
        <v>1810</v>
      </c>
      <c r="AP58" s="32">
        <f>TABL123[[#This Row],[(A/S TOT) AJD]]-TABL123[[#This Row],[SER_ IN]]</f>
        <v>238</v>
      </c>
    </row>
    <row r="59" spans="1:42" ht="18.75" x14ac:dyDescent="0.3">
      <c r="A59" s="2">
        <v>46080</v>
      </c>
      <c r="B59" s="41">
        <v>31</v>
      </c>
      <c r="C59" s="41">
        <v>252</v>
      </c>
      <c r="D59" s="41">
        <v>31</v>
      </c>
      <c r="E59" s="41">
        <f t="shared" si="2"/>
        <v>0</v>
      </c>
      <c r="F59" s="41">
        <v>96</v>
      </c>
      <c r="G59" s="39">
        <v>609</v>
      </c>
      <c r="H59" s="28">
        <f t="shared" si="0"/>
        <v>7</v>
      </c>
      <c r="I59" s="39">
        <v>462</v>
      </c>
      <c r="J59" s="39">
        <v>442</v>
      </c>
      <c r="K59" s="28">
        <f>TABL123[[#This Row],[خط (T/B  TOT) SAR]]+TABL123[[#This Row],[خط (S/S  TOT) SAR2]]</f>
        <v>904</v>
      </c>
      <c r="L59" s="41">
        <v>295</v>
      </c>
      <c r="M59" s="42">
        <v>21.4</v>
      </c>
      <c r="N59" s="42">
        <v>7.67</v>
      </c>
      <c r="O59" s="39">
        <v>424</v>
      </c>
      <c r="P59" s="3">
        <f>TABL123[[#This Row],[خط (S/S  TOT) SAR2]]-TABL123[[#This Row],[(S/S TOT) AJD]]</f>
        <v>18</v>
      </c>
      <c r="Q59" s="39">
        <v>392</v>
      </c>
      <c r="R59" s="3">
        <f>TABL123[[#This Row],[خط (T/B  TOT) SAR]]-TABL123[[#This Row],[(T/B TOT) AJD]]</f>
        <v>70</v>
      </c>
      <c r="S59" s="3">
        <f>TABL123[[#This Row],[الفرق بين بداية ونهاية خط  T/B]]+TABL123[[#This Row],[الفرق بين بداية ونهاية خط  S/S]]</f>
        <v>88</v>
      </c>
      <c r="T59" s="3">
        <f>TABL123[[#This Row],[(S/S TOT) AJD]]+TABL123[[#This Row],[(T/B TOT) AJD]]</f>
        <v>816</v>
      </c>
      <c r="U59" s="41">
        <v>556</v>
      </c>
      <c r="V59" s="41">
        <v>251</v>
      </c>
      <c r="W59" s="3">
        <f>TABL123[[#This Row],[(A/B TOT) AJD]]+TABL123[[#This Row],[(A/S TOT) AJD]]</f>
        <v>807</v>
      </c>
      <c r="X59" s="3">
        <f>TABL123[[#This Row],[( S/S+T/B) AJD]]-TABL123[[#This Row],[(A/B + A/S) AJD]]</f>
        <v>9</v>
      </c>
      <c r="Y59" s="41">
        <v>92.629000000000005</v>
      </c>
      <c r="Z59" s="43">
        <v>572344</v>
      </c>
      <c r="AA59" s="3">
        <f>TABL123[[#This Row],[(RESV. STORGE) AJD]]/10</f>
        <v>57234.400000000001</v>
      </c>
      <c r="AB59" s="45">
        <f t="shared" si="1"/>
        <v>-25.065999999999999</v>
      </c>
      <c r="AC59" s="43">
        <v>0</v>
      </c>
      <c r="AD59" s="84">
        <f>TABL123[[#This Row],[( S/S+T/B) AJD]]-(TABL123[[#This Row],[(A/B + A/S) AJD]]+(TABL123[[#This Row],[(STORGE DIFF.) AJD]])+TABL123[[#This Row],[البخر  AJD]]/1000)</f>
        <v>34.066000000000031</v>
      </c>
      <c r="AE59" s="68">
        <v>104</v>
      </c>
      <c r="AF59" s="68">
        <v>58.41</v>
      </c>
      <c r="AG59" s="68">
        <v>1235632</v>
      </c>
      <c r="AH59" s="43">
        <v>2583</v>
      </c>
      <c r="AI59" s="43">
        <v>2583</v>
      </c>
      <c r="AJ59" s="79">
        <f>TABL123[[#This Row],[(A/B TOT) AJD]]-TABL123[[#This Row],[BER_ IN]]</f>
        <v>452</v>
      </c>
      <c r="AK59" s="68">
        <v>0</v>
      </c>
      <c r="AL59" s="88">
        <v>44.177399999999999</v>
      </c>
      <c r="AM59" s="88">
        <v>3696260</v>
      </c>
      <c r="AN59" s="88">
        <f>TABL123[[#This Row],[ (RESV. STORGE) SER]]/10</f>
        <v>369626</v>
      </c>
      <c r="AO59" s="43">
        <v>1890</v>
      </c>
      <c r="AP59" s="32">
        <f>TABL123[[#This Row],[(A/S TOT) AJD]]-TABL123[[#This Row],[SER_ IN]]</f>
        <v>251</v>
      </c>
    </row>
    <row r="60" spans="1:42" ht="18.75" x14ac:dyDescent="0.3">
      <c r="A60" s="2">
        <v>46081</v>
      </c>
      <c r="B60" s="44">
        <v>31</v>
      </c>
      <c r="C60" s="44">
        <v>255</v>
      </c>
      <c r="D60" s="44">
        <v>31</v>
      </c>
      <c r="E60" s="44">
        <f t="shared" si="2"/>
        <v>0</v>
      </c>
      <c r="F60" s="44">
        <v>96</v>
      </c>
      <c r="G60" s="40">
        <v>607</v>
      </c>
      <c r="H60" s="28">
        <f t="shared" si="0"/>
        <v>7</v>
      </c>
      <c r="I60" s="40">
        <v>460</v>
      </c>
      <c r="J60" s="44">
        <v>440</v>
      </c>
      <c r="K60" s="28">
        <f>TABL123[[#This Row],[خط (T/B  TOT) SAR]]+TABL123[[#This Row],[خط (S/S  TOT) SAR2]]</f>
        <v>900</v>
      </c>
      <c r="L60" s="45">
        <v>293</v>
      </c>
      <c r="M60" s="46">
        <v>21.4</v>
      </c>
      <c r="N60" s="46">
        <v>7.56</v>
      </c>
      <c r="O60" s="40">
        <v>442</v>
      </c>
      <c r="P60" s="3">
        <f>TABL123[[#This Row],[خط (S/S  TOT) SAR2]]-TABL123[[#This Row],[(S/S TOT) AJD]]</f>
        <v>-2</v>
      </c>
      <c r="Q60" s="40">
        <v>412</v>
      </c>
      <c r="R60" s="3">
        <f>TABL123[[#This Row],[خط (T/B  TOT) SAR]]-TABL123[[#This Row],[(T/B TOT) AJD]]</f>
        <v>48</v>
      </c>
      <c r="S60" s="3">
        <f>TABL123[[#This Row],[الفرق بين بداية ونهاية خط  T/B]]+TABL123[[#This Row],[الفرق بين بداية ونهاية خط  S/S]]</f>
        <v>46</v>
      </c>
      <c r="T60" s="3">
        <f>TABL123[[#This Row],[(S/S TOT) AJD]]+TABL123[[#This Row],[(T/B TOT) AJD]]</f>
        <v>854</v>
      </c>
      <c r="U60" s="44">
        <v>572</v>
      </c>
      <c r="V60" s="44">
        <v>260</v>
      </c>
      <c r="W60" s="3">
        <f>TABL123[[#This Row],[(A/B TOT) AJD]]+TABL123[[#This Row],[(A/S TOT) AJD]]</f>
        <v>832</v>
      </c>
      <c r="X60" s="3">
        <f>TABL123[[#This Row],[( S/S+T/B) AJD]]-TABL123[[#This Row],[(A/B + A/S) AJD]]</f>
        <v>22</v>
      </c>
      <c r="Y60" s="44">
        <v>92.602000000000004</v>
      </c>
      <c r="Z60" s="45">
        <v>557425</v>
      </c>
      <c r="AA60" s="3">
        <f>TABL123[[#This Row],[(RESV. STORGE) AJD]]/10</f>
        <v>55742.5</v>
      </c>
      <c r="AB60" s="45">
        <f t="shared" si="1"/>
        <v>-14.919</v>
      </c>
      <c r="AC60" s="45">
        <v>0</v>
      </c>
      <c r="AD60" s="84">
        <f>TABL123[[#This Row],[( S/S+T/B) AJD]]-(TABL123[[#This Row],[(A/B + A/S) AJD]]+(TABL123[[#This Row],[(STORGE DIFF.) AJD]])+TABL123[[#This Row],[البخر  AJD]]/1000)</f>
        <v>36.918999999999983</v>
      </c>
      <c r="AE60" s="68">
        <v>104</v>
      </c>
      <c r="AF60" s="68">
        <v>58.468000000000004</v>
      </c>
      <c r="AG60" s="68">
        <v>1273643</v>
      </c>
      <c r="AH60" s="45">
        <v>2001</v>
      </c>
      <c r="AI60" s="45">
        <v>2001</v>
      </c>
      <c r="AJ60" s="79">
        <f>TABL123[[#This Row],[(A/B TOT) AJD]]-TABL123[[#This Row],[BER_ IN]]</f>
        <v>468</v>
      </c>
      <c r="AK60" s="68">
        <v>0</v>
      </c>
      <c r="AL60" s="88">
        <v>44.0747</v>
      </c>
      <c r="AM60" s="88">
        <v>3694490</v>
      </c>
      <c r="AN60" s="88">
        <f>TABL123[[#This Row],[ (RESV. STORGE) SER]]/10</f>
        <v>369449</v>
      </c>
      <c r="AO60" s="45">
        <v>1770</v>
      </c>
      <c r="AP60" s="32">
        <f>TABL123[[#This Row],[(A/S TOT) AJD]]-TABL123[[#This Row],[SER_ IN]]</f>
        <v>260</v>
      </c>
    </row>
    <row r="61" spans="1:42" ht="18.75" x14ac:dyDescent="0.3">
      <c r="A61" s="2">
        <v>46082</v>
      </c>
      <c r="B61" s="41">
        <v>31</v>
      </c>
      <c r="C61" s="41">
        <v>254</v>
      </c>
      <c r="D61" s="41">
        <v>31</v>
      </c>
      <c r="E61" s="44">
        <f t="shared" si="2"/>
        <v>0</v>
      </c>
      <c r="F61" s="41">
        <v>96</v>
      </c>
      <c r="G61" s="39">
        <v>608</v>
      </c>
      <c r="H61" s="28">
        <f t="shared" si="0"/>
        <v>7</v>
      </c>
      <c r="I61" s="39">
        <v>459</v>
      </c>
      <c r="J61" s="39">
        <v>441</v>
      </c>
      <c r="K61" s="28">
        <f>TABL123[[#This Row],[خط (T/B  TOT) SAR]]+TABL123[[#This Row],[خط (S/S  TOT) SAR2]]</f>
        <v>900</v>
      </c>
      <c r="L61" s="41">
        <v>292</v>
      </c>
      <c r="M61" s="42">
        <v>21.4</v>
      </c>
      <c r="N61" s="42">
        <v>7.51</v>
      </c>
      <c r="O61" s="39">
        <v>401</v>
      </c>
      <c r="P61" s="3">
        <f>TABL123[[#This Row],[خط (S/S  TOT) SAR2]]-TABL123[[#This Row],[(S/S TOT) AJD]]</f>
        <v>40</v>
      </c>
      <c r="Q61" s="39">
        <v>430</v>
      </c>
      <c r="R61" s="3">
        <f>TABL123[[#This Row],[خط (T/B  TOT) SAR]]-TABL123[[#This Row],[(T/B TOT) AJD]]</f>
        <v>29</v>
      </c>
      <c r="S61" s="3">
        <f>TABL123[[#This Row],[الفرق بين بداية ونهاية خط  T/B]]+TABL123[[#This Row],[الفرق بين بداية ونهاية خط  S/S]]</f>
        <v>69</v>
      </c>
      <c r="T61" s="3">
        <f>TABL123[[#This Row],[(S/S TOT) AJD]]+TABL123[[#This Row],[(T/B TOT) AJD]]</f>
        <v>831</v>
      </c>
      <c r="U61" s="41">
        <v>559</v>
      </c>
      <c r="V61" s="41">
        <v>268</v>
      </c>
      <c r="W61" s="3">
        <f>TABL123[[#This Row],[(A/B TOT) AJD]]+TABL123[[#This Row],[(A/S TOT) AJD]]</f>
        <v>827</v>
      </c>
      <c r="X61" s="3">
        <f>TABL123[[#This Row],[( S/S+T/B) AJD]]-TABL123[[#This Row],[(A/B + A/S) AJD]]</f>
        <v>4</v>
      </c>
      <c r="Y61" s="41">
        <v>92.537000000000006</v>
      </c>
      <c r="Z61" s="43">
        <v>518672</v>
      </c>
      <c r="AA61" s="3">
        <f>TABL123[[#This Row],[(RESV. STORGE) AJD]]/10</f>
        <v>51867.199999999997</v>
      </c>
      <c r="AB61" s="45">
        <f t="shared" si="1"/>
        <v>-38.753</v>
      </c>
      <c r="AC61" s="43">
        <v>968</v>
      </c>
      <c r="AD61" s="84">
        <f>TABL123[[#This Row],[( S/S+T/B) AJD]]-(TABL123[[#This Row],[(A/B + A/S) AJD]]+(TABL123[[#This Row],[(STORGE DIFF.) AJD]])+TABL123[[#This Row],[البخر  AJD]]/1000)</f>
        <v>41.785000000000082</v>
      </c>
      <c r="AE61" s="68">
        <v>102</v>
      </c>
      <c r="AF61" s="68">
        <v>58.51</v>
      </c>
      <c r="AG61" s="68">
        <v>1301186</v>
      </c>
      <c r="AH61" s="43">
        <v>1596</v>
      </c>
      <c r="AI61" s="43">
        <v>1596</v>
      </c>
      <c r="AJ61" s="79">
        <f>TABL123[[#This Row],[(A/B TOT) AJD]]-TABL123[[#This Row],[BER_ IN]]</f>
        <v>457</v>
      </c>
      <c r="AK61" s="68">
        <v>0</v>
      </c>
      <c r="AL61" s="88">
        <v>44.062899999999999</v>
      </c>
      <c r="AM61" s="88">
        <v>3686870</v>
      </c>
      <c r="AN61" s="88">
        <f>TABL123[[#This Row],[ (RESV. STORGE) SER]]/10</f>
        <v>368687</v>
      </c>
      <c r="AO61" s="43">
        <v>1730</v>
      </c>
      <c r="AP61" s="32">
        <f>TABL123[[#This Row],[(A/S TOT) AJD]]-TABL123[[#This Row],[SER_ IN]]</f>
        <v>268</v>
      </c>
    </row>
    <row r="62" spans="1:42" ht="18.75" x14ac:dyDescent="0.3">
      <c r="A62" s="2">
        <v>46083</v>
      </c>
      <c r="B62" s="44">
        <v>30</v>
      </c>
      <c r="C62" s="44">
        <v>252</v>
      </c>
      <c r="D62" s="44">
        <v>30</v>
      </c>
      <c r="E62" s="44">
        <f t="shared" si="2"/>
        <v>0</v>
      </c>
      <c r="F62" s="44">
        <v>96</v>
      </c>
      <c r="G62" s="40">
        <v>609</v>
      </c>
      <c r="H62" s="28">
        <f t="shared" si="0"/>
        <v>7</v>
      </c>
      <c r="I62" s="40">
        <v>460</v>
      </c>
      <c r="J62" s="44">
        <v>441</v>
      </c>
      <c r="K62" s="28">
        <f>TABL123[[#This Row],[خط (T/B  TOT) SAR]]+TABL123[[#This Row],[خط (S/S  TOT) SAR2]]</f>
        <v>901</v>
      </c>
      <c r="L62" s="45">
        <v>292</v>
      </c>
      <c r="M62" s="46">
        <v>21.4</v>
      </c>
      <c r="N62" s="46">
        <v>7.44</v>
      </c>
      <c r="O62" s="40">
        <v>401</v>
      </c>
      <c r="P62" s="3">
        <f>TABL123[[#This Row],[خط (S/S  TOT) SAR2]]-TABL123[[#This Row],[(S/S TOT) AJD]]</f>
        <v>40</v>
      </c>
      <c r="Q62" s="40">
        <v>430</v>
      </c>
      <c r="R62" s="3">
        <f>TABL123[[#This Row],[خط (T/B  TOT) SAR]]-TABL123[[#This Row],[(T/B TOT) AJD]]</f>
        <v>30</v>
      </c>
      <c r="S62" s="3">
        <f>TABL123[[#This Row],[الفرق بين بداية ونهاية خط  T/B]]+TABL123[[#This Row],[الفرق بين بداية ونهاية خط  S/S]]</f>
        <v>70</v>
      </c>
      <c r="T62" s="3">
        <f>TABL123[[#This Row],[(S/S TOT) AJD]]+TABL123[[#This Row],[(T/B TOT) AJD]]</f>
        <v>831</v>
      </c>
      <c r="U62" s="44">
        <v>559</v>
      </c>
      <c r="V62" s="44">
        <v>265</v>
      </c>
      <c r="W62" s="3">
        <f>TABL123[[#This Row],[(A/B TOT) AJD]]+TABL123[[#This Row],[(A/S TOT) AJD]]</f>
        <v>824</v>
      </c>
      <c r="X62" s="3">
        <f>TABL123[[#This Row],[( S/S+T/B) AJD]]-TABL123[[#This Row],[(A/B + A/S) AJD]]</f>
        <v>7</v>
      </c>
      <c r="Y62" s="44">
        <v>92.516999999999996</v>
      </c>
      <c r="Z62" s="45">
        <v>506715</v>
      </c>
      <c r="AA62" s="3">
        <f>TABL123[[#This Row],[(RESV. STORGE) AJD]]/10</f>
        <v>50671.5</v>
      </c>
      <c r="AB62" s="45">
        <f t="shared" si="1"/>
        <v>-11.957000000000001</v>
      </c>
      <c r="AC62" s="45">
        <v>0</v>
      </c>
      <c r="AD62" s="84">
        <f>TABL123[[#This Row],[( S/S+T/B) AJD]]-(TABL123[[#This Row],[(A/B + A/S) AJD]]+(TABL123[[#This Row],[(STORGE DIFF.) AJD]])+TABL123[[#This Row],[البخر  AJD]]/1000)</f>
        <v>18.956999999999994</v>
      </c>
      <c r="AE62" s="68">
        <v>101</v>
      </c>
      <c r="AF62" s="68">
        <v>58.55</v>
      </c>
      <c r="AG62" s="68">
        <v>1327423</v>
      </c>
      <c r="AH62" s="45">
        <v>1914</v>
      </c>
      <c r="AI62" s="45">
        <v>1914</v>
      </c>
      <c r="AJ62" s="79">
        <f>TABL123[[#This Row],[(A/B TOT) AJD]]-TABL123[[#This Row],[BER_ IN]]</f>
        <v>458</v>
      </c>
      <c r="AK62" s="68">
        <v>0</v>
      </c>
      <c r="AL62" s="88">
        <v>44.028799999999997</v>
      </c>
      <c r="AM62" s="88">
        <v>3669100</v>
      </c>
      <c r="AN62" s="88">
        <f>TABL123[[#This Row],[ (RESV. STORGE) SER]]/10</f>
        <v>366910</v>
      </c>
      <c r="AO62" s="45">
        <v>1745</v>
      </c>
      <c r="AP62" s="32">
        <f>TABL123[[#This Row],[(A/S TOT) AJD]]-TABL123[[#This Row],[SER_ IN]]</f>
        <v>265</v>
      </c>
    </row>
    <row r="63" spans="1:42" ht="18.75" x14ac:dyDescent="0.3">
      <c r="A63" s="2">
        <v>46084</v>
      </c>
      <c r="B63" s="41">
        <v>30</v>
      </c>
      <c r="C63" s="41">
        <v>254</v>
      </c>
      <c r="D63" s="41">
        <v>30</v>
      </c>
      <c r="E63" s="44">
        <f t="shared" si="2"/>
        <v>0</v>
      </c>
      <c r="F63" s="41">
        <v>96</v>
      </c>
      <c r="G63" s="39">
        <v>608</v>
      </c>
      <c r="H63" s="28">
        <f t="shared" si="0"/>
        <v>7</v>
      </c>
      <c r="I63" s="39">
        <v>460</v>
      </c>
      <c r="J63" s="39">
        <v>440</v>
      </c>
      <c r="K63" s="28">
        <f>TABL123[[#This Row],[خط (T/B  TOT) SAR]]+TABL123[[#This Row],[خط (S/S  TOT) SAR2]]</f>
        <v>900</v>
      </c>
      <c r="L63" s="41">
        <v>292</v>
      </c>
      <c r="M63" s="42">
        <v>21.4</v>
      </c>
      <c r="N63" s="42">
        <v>7.36</v>
      </c>
      <c r="O63" s="39">
        <v>400</v>
      </c>
      <c r="P63" s="3">
        <f>TABL123[[#This Row],[خط (S/S  TOT) SAR2]]-TABL123[[#This Row],[(S/S TOT) AJD]]</f>
        <v>40</v>
      </c>
      <c r="Q63" s="39">
        <v>428</v>
      </c>
      <c r="R63" s="3">
        <f>TABL123[[#This Row],[خط (T/B  TOT) SAR]]-TABL123[[#This Row],[(T/B TOT) AJD]]</f>
        <v>32</v>
      </c>
      <c r="S63" s="3">
        <f>TABL123[[#This Row],[الفرق بين بداية ونهاية خط  T/B]]+TABL123[[#This Row],[الفرق بين بداية ونهاية خط  S/S]]</f>
        <v>72</v>
      </c>
      <c r="T63" s="3">
        <f>TABL123[[#This Row],[(S/S TOT) AJD]]+TABL123[[#This Row],[(T/B TOT) AJD]]</f>
        <v>828</v>
      </c>
      <c r="U63" s="41">
        <v>574</v>
      </c>
      <c r="V63" s="41">
        <v>249</v>
      </c>
      <c r="W63" s="3">
        <f>TABL123[[#This Row],[(A/B TOT) AJD]]+TABL123[[#This Row],[(A/S TOT) AJD]]</f>
        <v>823</v>
      </c>
      <c r="X63" s="3">
        <f>TABL123[[#This Row],[( S/S+T/B) AJD]]-TABL123[[#This Row],[(A/B + A/S) AJD]]</f>
        <v>5</v>
      </c>
      <c r="Y63" s="41">
        <v>92.48</v>
      </c>
      <c r="Z63" s="43">
        <v>484715</v>
      </c>
      <c r="AA63" s="3">
        <f>TABL123[[#This Row],[(RESV. STORGE) AJD]]/10</f>
        <v>48471.5</v>
      </c>
      <c r="AB63" s="45">
        <f t="shared" si="1"/>
        <v>-22</v>
      </c>
      <c r="AC63" s="43">
        <v>0</v>
      </c>
      <c r="AD63" s="84">
        <f>TABL123[[#This Row],[( S/S+T/B) AJD]]-(TABL123[[#This Row],[(A/B + A/S) AJD]]+(TABL123[[#This Row],[(STORGE DIFF.) AJD]])+TABL123[[#This Row],[البخر  AJD]]/1000)</f>
        <v>27</v>
      </c>
      <c r="AE63" s="68">
        <v>101</v>
      </c>
      <c r="AF63" s="68">
        <v>58.58</v>
      </c>
      <c r="AG63" s="68">
        <v>1347126</v>
      </c>
      <c r="AH63" s="43">
        <v>1457</v>
      </c>
      <c r="AI63" s="43">
        <v>1457</v>
      </c>
      <c r="AJ63" s="79">
        <f>TABL123[[#This Row],[(A/B TOT) AJD]]-TABL123[[#This Row],[BER_ IN]]</f>
        <v>473</v>
      </c>
      <c r="AK63" s="68">
        <v>0</v>
      </c>
      <c r="AL63" s="88">
        <v>43.975700000000003</v>
      </c>
      <c r="AM63" s="88">
        <v>3639840</v>
      </c>
      <c r="AN63" s="88">
        <f>TABL123[[#This Row],[ (RESV. STORGE) SER]]/10</f>
        <v>363984</v>
      </c>
      <c r="AO63" s="43">
        <v>1726</v>
      </c>
      <c r="AP63" s="32">
        <f>TABL123[[#This Row],[(A/S TOT) AJD]]-TABL123[[#This Row],[SER_ IN]]</f>
        <v>249</v>
      </c>
    </row>
    <row r="64" spans="1:42" ht="18.75" x14ac:dyDescent="0.3">
      <c r="A64" s="2">
        <v>46085</v>
      </c>
      <c r="B64" s="44">
        <v>30</v>
      </c>
      <c r="C64" s="44">
        <v>252</v>
      </c>
      <c r="D64" s="44">
        <v>30</v>
      </c>
      <c r="E64" s="28"/>
      <c r="F64" s="44">
        <v>96</v>
      </c>
      <c r="G64" s="40">
        <v>608</v>
      </c>
      <c r="H64" s="28">
        <f t="shared" si="0"/>
        <v>7</v>
      </c>
      <c r="I64" s="40">
        <v>460</v>
      </c>
      <c r="J64" s="44">
        <v>440</v>
      </c>
      <c r="K64" s="28">
        <f>TABL123[[#This Row],[خط (T/B  TOT) SAR]]+TABL123[[#This Row],[خط (S/S  TOT) SAR2]]</f>
        <v>900</v>
      </c>
      <c r="L64" s="45">
        <v>292</v>
      </c>
      <c r="M64" s="46">
        <v>21.4</v>
      </c>
      <c r="N64" s="46">
        <v>7.3</v>
      </c>
      <c r="O64" s="40">
        <v>401</v>
      </c>
      <c r="P64" s="3">
        <f>TABL123[[#This Row],[خط (S/S  TOT) SAR2]]-TABL123[[#This Row],[(S/S TOT) AJD]]</f>
        <v>39</v>
      </c>
      <c r="Q64" s="40">
        <v>429</v>
      </c>
      <c r="R64" s="3">
        <f>TABL123[[#This Row],[خط (T/B  TOT) SAR]]-TABL123[[#This Row],[(T/B TOT) AJD]]</f>
        <v>31</v>
      </c>
      <c r="S64" s="3">
        <f>TABL123[[#This Row],[الفرق بين بداية ونهاية خط  T/B]]+TABL123[[#This Row],[الفرق بين بداية ونهاية خط  S/S]]</f>
        <v>70</v>
      </c>
      <c r="T64" s="3">
        <f>TABL123[[#This Row],[(S/S TOT) AJD]]+TABL123[[#This Row],[(T/B TOT) AJD]]</f>
        <v>830</v>
      </c>
      <c r="U64" s="44">
        <v>579</v>
      </c>
      <c r="V64" s="44">
        <v>200</v>
      </c>
      <c r="W64" s="3">
        <f>TABL123[[#This Row],[(A/B TOT) AJD]]+TABL123[[#This Row],[(A/S TOT) AJD]]</f>
        <v>779</v>
      </c>
      <c r="X64" s="3">
        <f>TABL123[[#This Row],[( S/S+T/B) AJD]]-TABL123[[#This Row],[(A/B + A/S) AJD]]</f>
        <v>51</v>
      </c>
      <c r="Y64" s="44">
        <v>92.516999999999996</v>
      </c>
      <c r="Z64" s="45">
        <v>506751</v>
      </c>
      <c r="AA64" s="3">
        <f>TABL123[[#This Row],[(RESV. STORGE) AJD]]/10</f>
        <v>50675.1</v>
      </c>
      <c r="AB64" s="45">
        <f t="shared" si="1"/>
        <v>22.036000000000001</v>
      </c>
      <c r="AC64" s="45">
        <v>0</v>
      </c>
      <c r="AD64" s="84">
        <f>TABL123[[#This Row],[( S/S+T/B) AJD]]-(TABL123[[#This Row],[(A/B + A/S) AJD]]+(TABL123[[#This Row],[(STORGE DIFF.) AJD]])+TABL123[[#This Row],[البخر  AJD]]/1000)</f>
        <v>28.963999999999942</v>
      </c>
      <c r="AE64" s="68">
        <v>100</v>
      </c>
      <c r="AF64" s="68">
        <v>58.62</v>
      </c>
      <c r="AG64" s="68">
        <v>1373396</v>
      </c>
      <c r="AH64" s="45">
        <v>1889</v>
      </c>
      <c r="AI64" s="45">
        <v>1889</v>
      </c>
      <c r="AJ64" s="79">
        <f>TABL123[[#This Row],[(A/B TOT) AJD]]-TABL123[[#This Row],[BER_ IN]]</f>
        <v>479</v>
      </c>
      <c r="AK64" s="68">
        <v>0</v>
      </c>
      <c r="AL64" s="88">
        <v>43.9221</v>
      </c>
      <c r="AM64" s="88">
        <v>3610490</v>
      </c>
      <c r="AN64" s="88">
        <f>TABL123[[#This Row],[ (RESV. STORGE) SER]]/10</f>
        <v>361049</v>
      </c>
      <c r="AO64" s="45">
        <v>1723</v>
      </c>
      <c r="AP64" s="32">
        <f>TABL123[[#This Row],[(A/S TOT) AJD]]-TABL123[[#This Row],[SER_ IN]]</f>
        <v>200</v>
      </c>
    </row>
    <row r="65" spans="1:42" ht="18.75" x14ac:dyDescent="0.3">
      <c r="A65" s="2">
        <v>46086</v>
      </c>
      <c r="B65" s="41">
        <v>30</v>
      </c>
      <c r="C65" s="41">
        <v>245</v>
      </c>
      <c r="D65" s="41">
        <v>30</v>
      </c>
      <c r="E65" s="28"/>
      <c r="F65" s="41">
        <v>96</v>
      </c>
      <c r="G65" s="39">
        <v>608</v>
      </c>
      <c r="H65" s="28">
        <f t="shared" si="0"/>
        <v>7</v>
      </c>
      <c r="I65" s="39">
        <v>460</v>
      </c>
      <c r="J65" s="39">
        <v>440</v>
      </c>
      <c r="K65" s="28">
        <f>TABL123[[#This Row],[خط (T/B  TOT) SAR]]+TABL123[[#This Row],[خط (S/S  TOT) SAR2]]</f>
        <v>900</v>
      </c>
      <c r="L65" s="41">
        <v>292</v>
      </c>
      <c r="M65" s="42">
        <v>21.4</v>
      </c>
      <c r="N65" s="42">
        <v>7.23</v>
      </c>
      <c r="O65" s="39">
        <v>400</v>
      </c>
      <c r="P65" s="3">
        <f>TABL123[[#This Row],[خط (S/S  TOT) SAR2]]-TABL123[[#This Row],[(S/S TOT) AJD]]</f>
        <v>40</v>
      </c>
      <c r="Q65" s="39">
        <v>428</v>
      </c>
      <c r="R65" s="3">
        <f>TABL123[[#This Row],[خط (T/B  TOT) SAR]]-TABL123[[#This Row],[(T/B TOT) AJD]]</f>
        <v>32</v>
      </c>
      <c r="S65" s="3">
        <f>TABL123[[#This Row],[الفرق بين بداية ونهاية خط  T/B]]+TABL123[[#This Row],[الفرق بين بداية ونهاية خط  S/S]]</f>
        <v>72</v>
      </c>
      <c r="T65" s="3">
        <f>TABL123[[#This Row],[(S/S TOT) AJD]]+TABL123[[#This Row],[(T/B TOT) AJD]]</f>
        <v>828</v>
      </c>
      <c r="U65" s="41">
        <v>577</v>
      </c>
      <c r="V65" s="41">
        <v>211</v>
      </c>
      <c r="W65" s="3">
        <f>TABL123[[#This Row],[(A/B TOT) AJD]]+TABL123[[#This Row],[(A/S TOT) AJD]]</f>
        <v>788</v>
      </c>
      <c r="X65" s="3">
        <f>TABL123[[#This Row],[( S/S+T/B) AJD]]-TABL123[[#This Row],[(A/B + A/S) AJD]]</f>
        <v>40</v>
      </c>
      <c r="Y65" s="41">
        <v>92.507000000000005</v>
      </c>
      <c r="Z65" s="43">
        <v>500797</v>
      </c>
      <c r="AA65" s="3">
        <f>TABL123[[#This Row],[(RESV. STORGE) AJD]]/10</f>
        <v>50079.7</v>
      </c>
      <c r="AB65" s="45">
        <f t="shared" si="1"/>
        <v>-5.9539999999999997</v>
      </c>
      <c r="AC65" s="43">
        <v>0</v>
      </c>
      <c r="AD65" s="84">
        <f>TABL123[[#This Row],[( S/S+T/B) AJD]]-(TABL123[[#This Row],[(A/B + A/S) AJD]]+(TABL123[[#This Row],[(STORGE DIFF.) AJD]])+TABL123[[#This Row],[البخر  AJD]]/1000)</f>
        <v>45.953999999999951</v>
      </c>
      <c r="AE65" s="68">
        <v>98</v>
      </c>
      <c r="AF65" s="68">
        <v>58.66</v>
      </c>
      <c r="AG65" s="68">
        <v>1399679</v>
      </c>
      <c r="AH65" s="43">
        <v>2876</v>
      </c>
      <c r="AI65" s="43">
        <v>2876</v>
      </c>
      <c r="AJ65" s="79">
        <f>TABL123[[#This Row],[(A/B TOT) AJD]]-TABL123[[#This Row],[BER_ IN]]</f>
        <v>479</v>
      </c>
      <c r="AK65" s="68">
        <v>0</v>
      </c>
      <c r="AL65" s="88">
        <v>43.8613</v>
      </c>
      <c r="AM65" s="88">
        <v>3577400</v>
      </c>
      <c r="AN65" s="88">
        <f>TABL123[[#This Row],[ (RESV. STORGE) SER]]/10</f>
        <v>357740</v>
      </c>
      <c r="AO65" s="43">
        <v>1738</v>
      </c>
      <c r="AP65" s="32">
        <f>TABL123[[#This Row],[(A/S TOT) AJD]]-TABL123[[#This Row],[SER_ IN]]</f>
        <v>211</v>
      </c>
    </row>
    <row r="66" spans="1:42" ht="18.75" x14ac:dyDescent="0.3">
      <c r="A66" s="2">
        <v>46087</v>
      </c>
      <c r="B66" s="44">
        <v>30</v>
      </c>
      <c r="C66" s="44">
        <v>245</v>
      </c>
      <c r="D66" s="44">
        <v>30</v>
      </c>
      <c r="E66" s="28"/>
      <c r="F66" s="44">
        <v>96</v>
      </c>
      <c r="G66" s="40">
        <v>608</v>
      </c>
      <c r="H66" s="28">
        <f t="shared" ref="H66:H129" si="3">103-F66</f>
        <v>7</v>
      </c>
      <c r="I66" s="40">
        <v>458</v>
      </c>
      <c r="J66" s="44">
        <v>438</v>
      </c>
      <c r="K66" s="28">
        <f>TABL123[[#This Row],[خط (T/B  TOT) SAR]]+TABL123[[#This Row],[خط (S/S  TOT) SAR2]]</f>
        <v>896</v>
      </c>
      <c r="L66" s="45">
        <v>288</v>
      </c>
      <c r="M66" s="46">
        <v>21.4</v>
      </c>
      <c r="N66" s="46">
        <v>7.14</v>
      </c>
      <c r="O66" s="40">
        <v>399</v>
      </c>
      <c r="P66" s="3">
        <f>TABL123[[#This Row],[خط (S/S  TOT) SAR2]]-TABL123[[#This Row],[(S/S TOT) AJD]]</f>
        <v>39</v>
      </c>
      <c r="Q66" s="40">
        <v>427</v>
      </c>
      <c r="R66" s="3">
        <f>TABL123[[#This Row],[خط (T/B  TOT) SAR]]-TABL123[[#This Row],[(T/B TOT) AJD]]</f>
        <v>31</v>
      </c>
      <c r="S66" s="3">
        <f>TABL123[[#This Row],[الفرق بين بداية ونهاية خط  T/B]]+TABL123[[#This Row],[الفرق بين بداية ونهاية خط  S/S]]</f>
        <v>70</v>
      </c>
      <c r="T66" s="3">
        <f>TABL123[[#This Row],[(S/S TOT) AJD]]+TABL123[[#This Row],[(T/B TOT) AJD]]</f>
        <v>826</v>
      </c>
      <c r="U66" s="44">
        <v>569</v>
      </c>
      <c r="V66" s="44">
        <v>254</v>
      </c>
      <c r="W66" s="3">
        <f>TABL123[[#This Row],[(A/B TOT) AJD]]+TABL123[[#This Row],[(A/S TOT) AJD]]</f>
        <v>823</v>
      </c>
      <c r="X66" s="3">
        <f>TABL123[[#This Row],[( S/S+T/B) AJD]]-TABL123[[#This Row],[(A/B + A/S) AJD]]</f>
        <v>3</v>
      </c>
      <c r="Y66" s="44">
        <v>92.462000000000003</v>
      </c>
      <c r="Z66" s="45">
        <v>473994</v>
      </c>
      <c r="AA66" s="3">
        <f>TABL123[[#This Row],[(RESV. STORGE) AJD]]/10</f>
        <v>47399.4</v>
      </c>
      <c r="AB66" s="45">
        <f t="shared" si="1"/>
        <v>-26.803000000000001</v>
      </c>
      <c r="AC66" s="45">
        <v>0</v>
      </c>
      <c r="AD66" s="84">
        <f>TABL123[[#This Row],[( S/S+T/B) AJD]]-(TABL123[[#This Row],[(A/B + A/S) AJD]]+(TABL123[[#This Row],[(STORGE DIFF.) AJD]])+TABL123[[#This Row],[البخر  AJD]]/1000)</f>
        <v>29.802999999999997</v>
      </c>
      <c r="AE66" s="68">
        <v>101</v>
      </c>
      <c r="AF66" s="68">
        <v>58.65</v>
      </c>
      <c r="AG66" s="68">
        <v>1393107</v>
      </c>
      <c r="AH66" s="45">
        <v>1339</v>
      </c>
      <c r="AI66" s="45">
        <v>1339</v>
      </c>
      <c r="AJ66" s="79">
        <f>TABL123[[#This Row],[(A/B TOT) AJD]]-TABL123[[#This Row],[BER_ IN]]</f>
        <v>468</v>
      </c>
      <c r="AK66" s="68">
        <v>0</v>
      </c>
      <c r="AL66" s="88">
        <v>43.8063</v>
      </c>
      <c r="AM66" s="88">
        <v>3546991</v>
      </c>
      <c r="AN66" s="88">
        <f>TABL123[[#This Row],[ (RESV. STORGE) SER]]/10</f>
        <v>354699.1</v>
      </c>
      <c r="AO66" s="45">
        <v>1680</v>
      </c>
      <c r="AP66" s="32">
        <f>TABL123[[#This Row],[(A/S TOT) AJD]]-TABL123[[#This Row],[SER_ IN]]</f>
        <v>254</v>
      </c>
    </row>
    <row r="67" spans="1:42" ht="18.75" x14ac:dyDescent="0.3">
      <c r="A67" s="2">
        <v>46088</v>
      </c>
      <c r="B67" s="41">
        <v>30</v>
      </c>
      <c r="C67" s="41">
        <v>255</v>
      </c>
      <c r="D67" s="41">
        <v>30</v>
      </c>
      <c r="E67" s="28"/>
      <c r="F67" s="41">
        <v>96</v>
      </c>
      <c r="G67" s="39">
        <v>608</v>
      </c>
      <c r="H67" s="28">
        <f t="shared" si="3"/>
        <v>7</v>
      </c>
      <c r="I67" s="39">
        <v>458</v>
      </c>
      <c r="J67" s="39">
        <v>438</v>
      </c>
      <c r="K67" s="28">
        <f>TABL123[[#This Row],[خط (T/B  TOT) SAR]]+TABL123[[#This Row],[خط (S/S  TOT) SAR2]]</f>
        <v>896</v>
      </c>
      <c r="L67" s="41">
        <v>288</v>
      </c>
      <c r="M67" s="42">
        <v>21.4</v>
      </c>
      <c r="N67" s="42">
        <v>7.1</v>
      </c>
      <c r="O67" s="39">
        <v>398</v>
      </c>
      <c r="P67" s="3">
        <f>TABL123[[#This Row],[خط (S/S  TOT) SAR2]]-TABL123[[#This Row],[(S/S TOT) AJD]]</f>
        <v>40</v>
      </c>
      <c r="Q67" s="39">
        <v>428</v>
      </c>
      <c r="R67" s="3">
        <f>TABL123[[#This Row],[خط (T/B  TOT) SAR]]-TABL123[[#This Row],[(T/B TOT) AJD]]</f>
        <v>30</v>
      </c>
      <c r="S67" s="3">
        <f>TABL123[[#This Row],[الفرق بين بداية ونهاية خط  T/B]]+TABL123[[#This Row],[الفرق بين بداية ونهاية خط  S/S]]</f>
        <v>70</v>
      </c>
      <c r="T67" s="3">
        <f>TABL123[[#This Row],[(S/S TOT) AJD]]+TABL123[[#This Row],[(T/B TOT) AJD]]</f>
        <v>826</v>
      </c>
      <c r="U67" s="41">
        <v>574</v>
      </c>
      <c r="V67" s="41">
        <v>255</v>
      </c>
      <c r="W67" s="3">
        <f>TABL123[[#This Row],[(A/B TOT) AJD]]+TABL123[[#This Row],[(A/S TOT) AJD]]</f>
        <v>829</v>
      </c>
      <c r="X67" s="3">
        <f>TABL123[[#This Row],[( S/S+T/B) AJD]]-TABL123[[#This Row],[(A/B + A/S) AJD]]</f>
        <v>-3</v>
      </c>
      <c r="Y67" s="41">
        <v>92.417000000000002</v>
      </c>
      <c r="Z67" s="43">
        <v>447212</v>
      </c>
      <c r="AA67" s="3">
        <f>TABL123[[#This Row],[(RESV. STORGE) AJD]]/10</f>
        <v>44721.2</v>
      </c>
      <c r="AB67" s="45">
        <f t="shared" si="1"/>
        <v>-26.782</v>
      </c>
      <c r="AC67" s="43">
        <v>1320</v>
      </c>
      <c r="AD67" s="84">
        <f>TABL123[[#This Row],[( S/S+T/B) AJD]]-(TABL123[[#This Row],[(A/B + A/S) AJD]]+(TABL123[[#This Row],[(STORGE DIFF.) AJD]])+TABL123[[#This Row],[البخر  AJD]]/1000)</f>
        <v>22.461999999999989</v>
      </c>
      <c r="AE67" s="68">
        <v>98</v>
      </c>
      <c r="AF67" s="68">
        <v>58.58</v>
      </c>
      <c r="AG67" s="68">
        <v>1347126</v>
      </c>
      <c r="AH67" s="43">
        <v>1920</v>
      </c>
      <c r="AI67" s="43">
        <v>1920</v>
      </c>
      <c r="AJ67" s="79">
        <f>TABL123[[#This Row],[(A/B TOT) AJD]]-TABL123[[#This Row],[BER_ IN]]</f>
        <v>476</v>
      </c>
      <c r="AK67" s="68">
        <v>0</v>
      </c>
      <c r="AL67" s="88">
        <v>43.775199999999998</v>
      </c>
      <c r="AM67" s="88">
        <v>3530507</v>
      </c>
      <c r="AN67" s="88">
        <f>TABL123[[#This Row],[ (RESV. STORGE) SER]]/10</f>
        <v>353050.7</v>
      </c>
      <c r="AO67" s="43">
        <v>1710</v>
      </c>
      <c r="AP67" s="32">
        <f>TABL123[[#This Row],[(A/S TOT) AJD]]-TABL123[[#This Row],[SER_ IN]]</f>
        <v>255</v>
      </c>
    </row>
    <row r="68" spans="1:42" ht="18.75" x14ac:dyDescent="0.3">
      <c r="A68" s="2">
        <v>46089</v>
      </c>
      <c r="B68" s="44">
        <v>30</v>
      </c>
      <c r="C68" s="44">
        <v>253</v>
      </c>
      <c r="D68" s="44">
        <v>30</v>
      </c>
      <c r="E68" s="28"/>
      <c r="F68" s="44">
        <v>96</v>
      </c>
      <c r="G68" s="40">
        <v>608</v>
      </c>
      <c r="H68" s="28">
        <f t="shared" si="3"/>
        <v>7</v>
      </c>
      <c r="I68" s="40">
        <v>458</v>
      </c>
      <c r="J68" s="44">
        <v>438</v>
      </c>
      <c r="K68" s="28">
        <f>TABL123[[#This Row],[خط (T/B  TOT) SAR]]+TABL123[[#This Row],[خط (S/S  TOT) SAR2]]</f>
        <v>896</v>
      </c>
      <c r="L68" s="45">
        <v>288</v>
      </c>
      <c r="M68" s="46">
        <v>21.4</v>
      </c>
      <c r="N68" s="46">
        <v>7.06</v>
      </c>
      <c r="O68" s="40">
        <v>396</v>
      </c>
      <c r="P68" s="3">
        <f>TABL123[[#This Row],[خط (S/S  TOT) SAR2]]-TABL123[[#This Row],[(S/S TOT) AJD]]</f>
        <v>42</v>
      </c>
      <c r="Q68" s="40">
        <v>424</v>
      </c>
      <c r="R68" s="3">
        <f>TABL123[[#This Row],[خط (T/B  TOT) SAR]]-TABL123[[#This Row],[(T/B TOT) AJD]]</f>
        <v>34</v>
      </c>
      <c r="S68" s="3">
        <f>TABL123[[#This Row],[الفرق بين بداية ونهاية خط  T/B]]+TABL123[[#This Row],[الفرق بين بداية ونهاية خط  S/S]]</f>
        <v>76</v>
      </c>
      <c r="T68" s="3">
        <f>TABL123[[#This Row],[(S/S TOT) AJD]]+TABL123[[#This Row],[(T/B TOT) AJD]]</f>
        <v>820</v>
      </c>
      <c r="U68" s="44">
        <v>583</v>
      </c>
      <c r="V68" s="44">
        <v>256</v>
      </c>
      <c r="W68" s="3">
        <f>TABL123[[#This Row],[(A/B TOT) AJD]]+TABL123[[#This Row],[(A/S TOT) AJD]]</f>
        <v>839</v>
      </c>
      <c r="X68" s="3">
        <f>TABL123[[#This Row],[( S/S+T/B) AJD]]-TABL123[[#This Row],[(A/B + A/S) AJD]]</f>
        <v>-19</v>
      </c>
      <c r="Y68" s="44">
        <v>92.325000000000003</v>
      </c>
      <c r="Z68" s="45">
        <v>392505</v>
      </c>
      <c r="AA68" s="3">
        <f>TABL123[[#This Row],[(RESV. STORGE) AJD]]/10</f>
        <v>39250.5</v>
      </c>
      <c r="AB68" s="45">
        <f t="shared" ref="AB68:AB131" si="4">(Z68-Z67)/1000</f>
        <v>-54.707000000000001</v>
      </c>
      <c r="AC68" s="45">
        <v>2816</v>
      </c>
      <c r="AD68" s="84">
        <f>TABL123[[#This Row],[( S/S+T/B) AJD]]-(TABL123[[#This Row],[(A/B + A/S) AJD]]+(TABL123[[#This Row],[(STORGE DIFF.) AJD]])+TABL123[[#This Row],[البخر  AJD]]/1000)</f>
        <v>32.890999999999963</v>
      </c>
      <c r="AE68" s="68">
        <v>99</v>
      </c>
      <c r="AF68" s="68">
        <v>58.5</v>
      </c>
      <c r="AG68" s="68">
        <v>1294628</v>
      </c>
      <c r="AH68" s="45">
        <v>998</v>
      </c>
      <c r="AI68" s="45">
        <v>998</v>
      </c>
      <c r="AJ68" s="79">
        <f>TABL123[[#This Row],[(A/B TOT) AJD]]-TABL123[[#This Row],[BER_ IN]]</f>
        <v>484</v>
      </c>
      <c r="AK68" s="68">
        <v>0</v>
      </c>
      <c r="AL68" s="88">
        <v>43.753700000000002</v>
      </c>
      <c r="AM68" s="88">
        <v>3518470</v>
      </c>
      <c r="AN68" s="88">
        <f>TABL123[[#This Row],[ (RESV. STORGE) SER]]/10</f>
        <v>351847</v>
      </c>
      <c r="AO68" s="45">
        <v>1727</v>
      </c>
      <c r="AP68" s="32">
        <f>TABL123[[#This Row],[(A/S TOT) AJD]]-TABL123[[#This Row],[SER_ IN]]</f>
        <v>256</v>
      </c>
    </row>
    <row r="69" spans="1:42" ht="18.75" x14ac:dyDescent="0.3">
      <c r="A69" s="2">
        <v>46090</v>
      </c>
      <c r="B69" s="41">
        <v>30</v>
      </c>
      <c r="C69" s="41">
        <v>240</v>
      </c>
      <c r="D69" s="41">
        <v>30</v>
      </c>
      <c r="E69" s="28"/>
      <c r="F69" s="41">
        <v>96</v>
      </c>
      <c r="G69" s="39">
        <v>596</v>
      </c>
      <c r="H69" s="28">
        <f t="shared" si="3"/>
        <v>7</v>
      </c>
      <c r="I69" s="39">
        <v>428</v>
      </c>
      <c r="J69" s="39">
        <v>418</v>
      </c>
      <c r="K69" s="28">
        <f>TABL123[[#This Row],[خط (T/B  TOT) SAR]]+TABL123[[#This Row],[خط (S/S  TOT) SAR2]]</f>
        <v>846</v>
      </c>
      <c r="L69" s="41">
        <v>250</v>
      </c>
      <c r="M69" s="42">
        <v>19.399999999999999</v>
      </c>
      <c r="N69" s="42">
        <v>7.13</v>
      </c>
      <c r="O69" s="39">
        <v>393</v>
      </c>
      <c r="P69" s="3">
        <f>TABL123[[#This Row],[خط (S/S  TOT) SAR2]]-TABL123[[#This Row],[(S/S TOT) AJD]]</f>
        <v>25</v>
      </c>
      <c r="Q69" s="39">
        <v>422</v>
      </c>
      <c r="R69" s="3">
        <f>TABL123[[#This Row],[خط (T/B  TOT) SAR]]-TABL123[[#This Row],[(T/B TOT) AJD]]</f>
        <v>6</v>
      </c>
      <c r="S69" s="3">
        <f>TABL123[[#This Row],[الفرق بين بداية ونهاية خط  T/B]]+TABL123[[#This Row],[الفرق بين بداية ونهاية خط  S/S]]</f>
        <v>31</v>
      </c>
      <c r="T69" s="3">
        <f>TABL123[[#This Row],[(S/S TOT) AJD]]+TABL123[[#This Row],[(T/B TOT) AJD]]</f>
        <v>815</v>
      </c>
      <c r="U69" s="41">
        <v>557</v>
      </c>
      <c r="V69" s="41">
        <v>255</v>
      </c>
      <c r="W69" s="3">
        <f>TABL123[[#This Row],[(A/B TOT) AJD]]+TABL123[[#This Row],[(A/S TOT) AJD]]</f>
        <v>812</v>
      </c>
      <c r="X69" s="3">
        <f>TABL123[[#This Row],[( S/S+T/B) AJD]]-TABL123[[#This Row],[(A/B + A/S) AJD]]</f>
        <v>3</v>
      </c>
      <c r="Y69" s="41">
        <v>92.284999999999997</v>
      </c>
      <c r="Z69" s="43">
        <v>368746</v>
      </c>
      <c r="AA69" s="3">
        <f>TABL123[[#This Row],[(RESV. STORGE) AJD]]/10</f>
        <v>36874.6</v>
      </c>
      <c r="AB69" s="45">
        <f t="shared" si="4"/>
        <v>-23.759</v>
      </c>
      <c r="AC69" s="43">
        <v>1513</v>
      </c>
      <c r="AD69" s="84">
        <f>TABL123[[#This Row],[( S/S+T/B) AJD]]-(TABL123[[#This Row],[(A/B + A/S) AJD]]+(TABL123[[#This Row],[(STORGE DIFF.) AJD]])+TABL123[[#This Row],[البخر  AJD]]/1000)</f>
        <v>25.245999999999981</v>
      </c>
      <c r="AE69" s="68">
        <v>89</v>
      </c>
      <c r="AF69" s="68">
        <v>58.4</v>
      </c>
      <c r="AG69" s="68">
        <v>1229081</v>
      </c>
      <c r="AH69" s="43">
        <v>1599</v>
      </c>
      <c r="AI69" s="43">
        <v>1599</v>
      </c>
      <c r="AJ69" s="79">
        <f>TABL123[[#This Row],[(A/B TOT) AJD]]-TABL123[[#This Row],[BER_ IN]]</f>
        <v>468</v>
      </c>
      <c r="AK69" s="68">
        <v>0</v>
      </c>
      <c r="AL69" s="88">
        <v>43.729199999999999</v>
      </c>
      <c r="AM69" s="88">
        <v>3504800</v>
      </c>
      <c r="AN69" s="88">
        <f>TABL123[[#This Row],[ (RESV. STORGE) SER]]/10</f>
        <v>350480</v>
      </c>
      <c r="AO69" s="43">
        <v>1690</v>
      </c>
      <c r="AP69" s="32">
        <f>TABL123[[#This Row],[(A/S TOT) AJD]]-TABL123[[#This Row],[SER_ IN]]</f>
        <v>255</v>
      </c>
    </row>
    <row r="70" spans="1:42" ht="18.75" x14ac:dyDescent="0.3">
      <c r="A70" s="2">
        <v>46091</v>
      </c>
      <c r="B70" s="44">
        <v>30</v>
      </c>
      <c r="C70" s="44">
        <v>251</v>
      </c>
      <c r="D70" s="44">
        <v>30</v>
      </c>
      <c r="E70" s="28"/>
      <c r="F70" s="44">
        <v>96</v>
      </c>
      <c r="G70" s="40">
        <v>602</v>
      </c>
      <c r="H70" s="28">
        <f t="shared" si="3"/>
        <v>7</v>
      </c>
      <c r="I70" s="40">
        <v>432</v>
      </c>
      <c r="J70" s="44">
        <v>420</v>
      </c>
      <c r="K70" s="28">
        <f>TABL123[[#This Row],[خط (T/B  TOT) SAR]]+TABL123[[#This Row],[خط (S/S  TOT) SAR2]]</f>
        <v>852</v>
      </c>
      <c r="L70" s="45">
        <v>250</v>
      </c>
      <c r="M70" s="46">
        <v>19.399999999999999</v>
      </c>
      <c r="N70" s="46">
        <v>7.21</v>
      </c>
      <c r="O70" s="40">
        <v>382</v>
      </c>
      <c r="P70" s="3">
        <f>TABL123[[#This Row],[خط (S/S  TOT) SAR2]]-TABL123[[#This Row],[(S/S TOT) AJD]]</f>
        <v>38</v>
      </c>
      <c r="Q70" s="40">
        <v>411</v>
      </c>
      <c r="R70" s="3">
        <f>TABL123[[#This Row],[خط (T/B  TOT) SAR]]-TABL123[[#This Row],[(T/B TOT) AJD]]</f>
        <v>21</v>
      </c>
      <c r="S70" s="3">
        <f>TABL123[[#This Row],[الفرق بين بداية ونهاية خط  T/B]]+TABL123[[#This Row],[الفرق بين بداية ونهاية خط  S/S]]</f>
        <v>59</v>
      </c>
      <c r="T70" s="3">
        <f>TABL123[[#This Row],[(S/S TOT) AJD]]+TABL123[[#This Row],[(T/B TOT) AJD]]</f>
        <v>793</v>
      </c>
      <c r="U70" s="44">
        <v>532</v>
      </c>
      <c r="V70" s="44">
        <v>245</v>
      </c>
      <c r="W70" s="3">
        <f>TABL123[[#This Row],[(A/B TOT) AJD]]+TABL123[[#This Row],[(A/S TOT) AJD]]</f>
        <v>777</v>
      </c>
      <c r="X70" s="3">
        <f>TABL123[[#This Row],[( S/S+T/B) AJD]]-TABL123[[#This Row],[(A/B + A/S) AJD]]</f>
        <v>16</v>
      </c>
      <c r="Y70" s="44">
        <v>92.27</v>
      </c>
      <c r="Z70" s="45">
        <v>359834</v>
      </c>
      <c r="AA70" s="3">
        <f>TABL123[[#This Row],[(RESV. STORGE) AJD]]/10</f>
        <v>35983.4</v>
      </c>
      <c r="AB70" s="45">
        <f t="shared" si="4"/>
        <v>-8.9120000000000008</v>
      </c>
      <c r="AC70" s="45">
        <v>1654</v>
      </c>
      <c r="AD70" s="84">
        <f>TABL123[[#This Row],[( S/S+T/B) AJD]]-(TABL123[[#This Row],[(A/B + A/S) AJD]]+(TABL123[[#This Row],[(STORGE DIFF.) AJD]])+TABL123[[#This Row],[البخر  AJD]]/1000)</f>
        <v>23.258000000000038</v>
      </c>
      <c r="AE70" s="68">
        <v>80</v>
      </c>
      <c r="AF70" s="68">
        <v>58.38</v>
      </c>
      <c r="AG70" s="68">
        <v>1215982</v>
      </c>
      <c r="AH70" s="45">
        <v>1589</v>
      </c>
      <c r="AI70" s="45">
        <v>1589</v>
      </c>
      <c r="AJ70" s="79">
        <f>TABL123[[#This Row],[(A/B TOT) AJD]]-TABL123[[#This Row],[BER_ IN]]</f>
        <v>452</v>
      </c>
      <c r="AK70" s="68">
        <v>0</v>
      </c>
      <c r="AL70" s="88">
        <v>43.681600000000003</v>
      </c>
      <c r="AM70" s="88">
        <v>3475830</v>
      </c>
      <c r="AN70" s="88">
        <f>TABL123[[#This Row],[ (RESV. STORGE) SER]]/10</f>
        <v>347583</v>
      </c>
      <c r="AO70" s="45">
        <v>1685</v>
      </c>
      <c r="AP70" s="32">
        <f>TABL123[[#This Row],[(A/S TOT) AJD]]-TABL123[[#This Row],[SER_ IN]]</f>
        <v>245</v>
      </c>
    </row>
    <row r="71" spans="1:42" ht="18.75" x14ac:dyDescent="0.3">
      <c r="A71" s="2">
        <v>46092</v>
      </c>
      <c r="B71" s="41">
        <v>30</v>
      </c>
      <c r="C71" s="41">
        <v>253</v>
      </c>
      <c r="D71" s="41">
        <v>30</v>
      </c>
      <c r="E71" s="28"/>
      <c r="F71" s="41">
        <v>96</v>
      </c>
      <c r="G71" s="39">
        <v>602</v>
      </c>
      <c r="H71" s="28">
        <f t="shared" si="3"/>
        <v>7</v>
      </c>
      <c r="I71" s="39">
        <v>432</v>
      </c>
      <c r="J71" s="39">
        <v>420</v>
      </c>
      <c r="K71" s="28">
        <f>TABL123[[#This Row],[خط (T/B  TOT) SAR]]+TABL123[[#This Row],[خط (S/S  TOT) SAR2]]</f>
        <v>852</v>
      </c>
      <c r="L71" s="41">
        <v>250</v>
      </c>
      <c r="M71" s="42">
        <v>19.399999999999999</v>
      </c>
      <c r="N71" s="42">
        <v>7.34</v>
      </c>
      <c r="O71" s="39">
        <v>379</v>
      </c>
      <c r="P71" s="3">
        <f>TABL123[[#This Row],[خط (S/S  TOT) SAR2]]-TABL123[[#This Row],[(S/S TOT) AJD]]</f>
        <v>41</v>
      </c>
      <c r="Q71" s="39">
        <v>408</v>
      </c>
      <c r="R71" s="3">
        <f>TABL123[[#This Row],[خط (T/B  TOT) SAR]]-TABL123[[#This Row],[(T/B TOT) AJD]]</f>
        <v>24</v>
      </c>
      <c r="S71" s="3">
        <f>TABL123[[#This Row],[الفرق بين بداية ونهاية خط  T/B]]+TABL123[[#This Row],[الفرق بين بداية ونهاية خط  S/S]]</f>
        <v>65</v>
      </c>
      <c r="T71" s="3">
        <f>TABL123[[#This Row],[(S/S TOT) AJD]]+TABL123[[#This Row],[(T/B TOT) AJD]]</f>
        <v>787</v>
      </c>
      <c r="U71" s="41">
        <v>513</v>
      </c>
      <c r="V71" s="41">
        <v>245</v>
      </c>
      <c r="W71" s="3">
        <f>TABL123[[#This Row],[(A/B TOT) AJD]]+TABL123[[#This Row],[(A/S TOT) AJD]]</f>
        <v>758</v>
      </c>
      <c r="X71" s="3">
        <f>TABL123[[#This Row],[( S/S+T/B) AJD]]-TABL123[[#This Row],[(A/B + A/S) AJD]]</f>
        <v>29</v>
      </c>
      <c r="Y71" s="41">
        <v>92.28</v>
      </c>
      <c r="Z71" s="43">
        <v>365774</v>
      </c>
      <c r="AA71" s="3">
        <f>TABL123[[#This Row],[(RESV. STORGE) AJD]]/10</f>
        <v>36577.4</v>
      </c>
      <c r="AB71" s="45">
        <f t="shared" si="4"/>
        <v>5.94</v>
      </c>
      <c r="AC71" s="43">
        <v>1804</v>
      </c>
      <c r="AD71" s="84">
        <f>TABL123[[#This Row],[( S/S+T/B) AJD]]-(TABL123[[#This Row],[(A/B + A/S) AJD]]+(TABL123[[#This Row],[(STORGE DIFF.) AJD]])+TABL123[[#This Row],[البخر  AJD]]/1000)</f>
        <v>21.255999999999972</v>
      </c>
      <c r="AE71" s="68">
        <v>80</v>
      </c>
      <c r="AF71" s="68">
        <v>58.4</v>
      </c>
      <c r="AG71" s="68">
        <v>1229081</v>
      </c>
      <c r="AH71" s="68">
        <v>1399</v>
      </c>
      <c r="AI71" s="68">
        <v>1399</v>
      </c>
      <c r="AJ71" s="79">
        <f>TABL123[[#This Row],[(A/B TOT) AJD]]-TABL123[[#This Row],[BER_ IN]]</f>
        <v>433</v>
      </c>
      <c r="AK71" s="68">
        <v>0</v>
      </c>
      <c r="AL71" s="88">
        <v>43.645400000000002</v>
      </c>
      <c r="AM71" s="88">
        <v>3459380</v>
      </c>
      <c r="AN71" s="88">
        <f>TABL123[[#This Row],[ (RESV. STORGE) SER]]/10</f>
        <v>345938</v>
      </c>
      <c r="AO71" s="43">
        <v>1675</v>
      </c>
      <c r="AP71" s="32">
        <f>TABL123[[#This Row],[(A/S TOT) AJD]]-TABL123[[#This Row],[SER_ IN]]</f>
        <v>245</v>
      </c>
    </row>
    <row r="72" spans="1:42" ht="18.75" x14ac:dyDescent="0.3">
      <c r="A72" s="2">
        <v>46093</v>
      </c>
      <c r="B72" s="44">
        <v>30</v>
      </c>
      <c r="C72" s="44">
        <v>242</v>
      </c>
      <c r="D72" s="44">
        <v>30</v>
      </c>
      <c r="E72" s="28"/>
      <c r="F72" s="44">
        <v>96</v>
      </c>
      <c r="G72" s="40">
        <v>603</v>
      </c>
      <c r="H72" s="28">
        <f t="shared" si="3"/>
        <v>7</v>
      </c>
      <c r="I72" s="40">
        <v>438</v>
      </c>
      <c r="J72" s="44">
        <v>420</v>
      </c>
      <c r="K72" s="28">
        <f>TABL123[[#This Row],[خط (T/B  TOT) SAR]]+TABL123[[#This Row],[خط (S/S  TOT) SAR2]]</f>
        <v>858</v>
      </c>
      <c r="L72" s="45">
        <v>255</v>
      </c>
      <c r="M72" s="46">
        <v>19.399999999999999</v>
      </c>
      <c r="N72" s="46">
        <v>7.39</v>
      </c>
      <c r="O72" s="40">
        <v>380</v>
      </c>
      <c r="P72" s="3">
        <f>TABL123[[#This Row],[خط (S/S  TOT) SAR2]]-TABL123[[#This Row],[(S/S TOT) AJD]]</f>
        <v>40</v>
      </c>
      <c r="Q72" s="40">
        <v>407</v>
      </c>
      <c r="R72" s="3">
        <f>TABL123[[#This Row],[خط (T/B  TOT) SAR]]-TABL123[[#This Row],[(T/B TOT) AJD]]</f>
        <v>31</v>
      </c>
      <c r="S72" s="3">
        <f>TABL123[[#This Row],[الفرق بين بداية ونهاية خط  T/B]]+TABL123[[#This Row],[الفرق بين بداية ونهاية خط  S/S]]</f>
        <v>71</v>
      </c>
      <c r="T72" s="3">
        <f>TABL123[[#This Row],[(S/S TOT) AJD]]+TABL123[[#This Row],[(T/B TOT) AJD]]</f>
        <v>787</v>
      </c>
      <c r="U72" s="44">
        <v>546</v>
      </c>
      <c r="V72" s="44">
        <v>281</v>
      </c>
      <c r="W72" s="3">
        <f>TABL123[[#This Row],[(A/B TOT) AJD]]+TABL123[[#This Row],[(A/S TOT) AJD]]</f>
        <v>827</v>
      </c>
      <c r="X72" s="3">
        <f>TABL123[[#This Row],[( S/S+T/B) AJD]]-TABL123[[#This Row],[(A/B + A/S) AJD]]</f>
        <v>-40</v>
      </c>
      <c r="Y72" s="44">
        <v>92.165000000000006</v>
      </c>
      <c r="Z72" s="45">
        <v>297535</v>
      </c>
      <c r="AA72" s="3">
        <f>TABL123[[#This Row],[(RESV. STORGE) AJD]]/10</f>
        <v>29753.5</v>
      </c>
      <c r="AB72" s="45">
        <f t="shared" si="4"/>
        <v>-68.239000000000004</v>
      </c>
      <c r="AC72" s="45">
        <v>1859</v>
      </c>
      <c r="AD72" s="84">
        <f>TABL123[[#This Row],[( S/S+T/B) AJD]]-(TABL123[[#This Row],[(A/B + A/S) AJD]]+(TABL123[[#This Row],[(STORGE DIFF.) AJD]])+TABL123[[#This Row],[البخر  AJD]]/1000)</f>
        <v>26.379999999999995</v>
      </c>
      <c r="AE72" s="68">
        <v>80</v>
      </c>
      <c r="AF72" s="68">
        <v>58.4</v>
      </c>
      <c r="AG72" s="68">
        <v>1229081</v>
      </c>
      <c r="AH72" s="45">
        <v>1498</v>
      </c>
      <c r="AI72" s="45">
        <v>1498</v>
      </c>
      <c r="AJ72" s="79">
        <f>TABL123[[#This Row],[(A/B TOT) AJD]]-TABL123[[#This Row],[BER_ IN]]</f>
        <v>466</v>
      </c>
      <c r="AK72" s="68">
        <v>0</v>
      </c>
      <c r="AL72" s="88">
        <v>43.608499999999999</v>
      </c>
      <c r="AM72" s="88">
        <v>3438700</v>
      </c>
      <c r="AN72" s="88">
        <f>TABL123[[#This Row],[ (RESV. STORGE) SER]]/10</f>
        <v>343870</v>
      </c>
      <c r="AO72" s="45">
        <v>1670</v>
      </c>
      <c r="AP72" s="32">
        <f>TABL123[[#This Row],[(A/S TOT) AJD]]-TABL123[[#This Row],[SER_ IN]]</f>
        <v>281</v>
      </c>
    </row>
    <row r="73" spans="1:42" ht="18.75" x14ac:dyDescent="0.3">
      <c r="A73" s="2">
        <v>46094</v>
      </c>
      <c r="B73" s="41">
        <v>30</v>
      </c>
      <c r="C73" s="41">
        <v>246</v>
      </c>
      <c r="D73" s="41">
        <v>30</v>
      </c>
      <c r="E73" s="28"/>
      <c r="F73" s="41">
        <v>96</v>
      </c>
      <c r="G73" s="39">
        <v>603</v>
      </c>
      <c r="H73" s="28">
        <f t="shared" si="3"/>
        <v>7</v>
      </c>
      <c r="I73" s="39">
        <v>438</v>
      </c>
      <c r="J73" s="39">
        <v>420</v>
      </c>
      <c r="K73" s="28">
        <f>TABL123[[#This Row],[خط (T/B  TOT) SAR]]+TABL123[[#This Row],[خط (S/S  TOT) SAR2]]</f>
        <v>858</v>
      </c>
      <c r="L73" s="41">
        <v>255</v>
      </c>
      <c r="M73" s="42">
        <v>19.399999999999999</v>
      </c>
      <c r="N73" s="42">
        <v>7.46</v>
      </c>
      <c r="O73" s="39">
        <v>382</v>
      </c>
      <c r="P73" s="3">
        <f>TABL123[[#This Row],[خط (S/S  TOT) SAR2]]-TABL123[[#This Row],[(S/S TOT) AJD]]</f>
        <v>38</v>
      </c>
      <c r="Q73" s="39">
        <v>409</v>
      </c>
      <c r="R73" s="3">
        <f>TABL123[[#This Row],[خط (T/B  TOT) SAR]]-TABL123[[#This Row],[(T/B TOT) AJD]]</f>
        <v>29</v>
      </c>
      <c r="S73" s="3">
        <f>TABL123[[#This Row],[الفرق بين بداية ونهاية خط  T/B]]+TABL123[[#This Row],[الفرق بين بداية ونهاية خط  S/S]]</f>
        <v>67</v>
      </c>
      <c r="T73" s="3">
        <f>TABL123[[#This Row],[(S/S TOT) AJD]]+TABL123[[#This Row],[(T/B TOT) AJD]]</f>
        <v>791</v>
      </c>
      <c r="U73" s="41">
        <v>557</v>
      </c>
      <c r="V73" s="41">
        <v>254</v>
      </c>
      <c r="W73" s="3">
        <f>TABL123[[#This Row],[(A/B TOT) AJD]]+TABL123[[#This Row],[(A/S TOT) AJD]]</f>
        <v>811</v>
      </c>
      <c r="X73" s="3">
        <f>TABL123[[#This Row],[( S/S+T/B) AJD]]-TABL123[[#This Row],[(A/B + A/S) AJD]]</f>
        <v>-20</v>
      </c>
      <c r="Y73" s="41">
        <v>92.087999999999994</v>
      </c>
      <c r="Z73" s="43">
        <v>251902</v>
      </c>
      <c r="AA73" s="3">
        <f>TABL123[[#This Row],[(RESV. STORGE) AJD]]/10</f>
        <v>25190.2</v>
      </c>
      <c r="AB73" s="45">
        <f t="shared" si="4"/>
        <v>-45.633000000000003</v>
      </c>
      <c r="AC73" s="43">
        <v>2071</v>
      </c>
      <c r="AD73" s="84">
        <f>TABL123[[#This Row],[( S/S+T/B) AJD]]-(TABL123[[#This Row],[(A/B + A/S) AJD]]+(TABL123[[#This Row],[(STORGE DIFF.) AJD]])+TABL123[[#This Row],[البخر  AJD]]/1000)</f>
        <v>23.562000000000012</v>
      </c>
      <c r="AE73" s="68">
        <v>80</v>
      </c>
      <c r="AF73" s="68">
        <v>58.41</v>
      </c>
      <c r="AG73" s="68">
        <v>1235632</v>
      </c>
      <c r="AH73" s="43">
        <v>1498</v>
      </c>
      <c r="AI73" s="43">
        <v>1498</v>
      </c>
      <c r="AJ73" s="79">
        <f>TABL123[[#This Row],[(A/B TOT) AJD]]-TABL123[[#This Row],[BER_ IN]]</f>
        <v>477</v>
      </c>
      <c r="AK73" s="68">
        <v>0</v>
      </c>
      <c r="AL73" s="88">
        <v>43.567900000000002</v>
      </c>
      <c r="AM73" s="88">
        <v>3416735</v>
      </c>
      <c r="AN73" s="88">
        <f>TABL123[[#This Row],[ (RESV. STORGE) SER]]/10</f>
        <v>341673.5</v>
      </c>
      <c r="AO73" s="43">
        <v>1730</v>
      </c>
      <c r="AP73" s="32">
        <f>TABL123[[#This Row],[(A/S TOT) AJD]]-TABL123[[#This Row],[SER_ IN]]</f>
        <v>254</v>
      </c>
    </row>
    <row r="74" spans="1:42" ht="18.75" x14ac:dyDescent="0.3">
      <c r="A74" s="2">
        <v>46095</v>
      </c>
      <c r="B74" s="44">
        <v>30</v>
      </c>
      <c r="C74" s="44">
        <v>245</v>
      </c>
      <c r="D74" s="44">
        <v>30</v>
      </c>
      <c r="E74" s="28"/>
      <c r="F74" s="44">
        <v>96</v>
      </c>
      <c r="G74" s="40">
        <v>603</v>
      </c>
      <c r="H74" s="28">
        <f t="shared" si="3"/>
        <v>7</v>
      </c>
      <c r="I74" s="40">
        <v>438</v>
      </c>
      <c r="J74" s="44">
        <v>420</v>
      </c>
      <c r="K74" s="28">
        <f>TABL123[[#This Row],[خط (T/B  TOT) SAR]]+TABL123[[#This Row],[خط (S/S  TOT) SAR2]]</f>
        <v>858</v>
      </c>
      <c r="L74" s="45">
        <v>255</v>
      </c>
      <c r="M74" s="46">
        <v>19.399999999999999</v>
      </c>
      <c r="N74" s="46">
        <v>7.53</v>
      </c>
      <c r="O74" s="40">
        <v>383</v>
      </c>
      <c r="P74" s="3">
        <f>TABL123[[#This Row],[خط (S/S  TOT) SAR2]]-TABL123[[#This Row],[(S/S TOT) AJD]]</f>
        <v>37</v>
      </c>
      <c r="Q74" s="40">
        <v>411</v>
      </c>
      <c r="R74" s="3">
        <f>TABL123[[#This Row],[خط (T/B  TOT) SAR]]-TABL123[[#This Row],[(T/B TOT) AJD]]</f>
        <v>27</v>
      </c>
      <c r="S74" s="3">
        <f>TABL123[[#This Row],[الفرق بين بداية ونهاية خط  T/B]]+TABL123[[#This Row],[الفرق بين بداية ونهاية خط  S/S]]</f>
        <v>64</v>
      </c>
      <c r="T74" s="3">
        <f>TABL123[[#This Row],[(S/S TOT) AJD]]+TABL123[[#This Row],[(T/B TOT) AJD]]</f>
        <v>794</v>
      </c>
      <c r="U74" s="44">
        <v>542</v>
      </c>
      <c r="V74" s="44">
        <v>206</v>
      </c>
      <c r="W74" s="3">
        <f>TABL123[[#This Row],[(A/B TOT) AJD]]+TABL123[[#This Row],[(A/S TOT) AJD]]</f>
        <v>748</v>
      </c>
      <c r="X74" s="3">
        <f>TABL123[[#This Row],[( S/S+T/B) AJD]]-TABL123[[#This Row],[(A/B + A/S) AJD]]</f>
        <v>46</v>
      </c>
      <c r="Y74" s="44">
        <v>92.15</v>
      </c>
      <c r="Z74" s="45">
        <v>288642</v>
      </c>
      <c r="AA74" s="3">
        <f>TABL123[[#This Row],[(RESV. STORGE) AJD]]/10</f>
        <v>28864.2</v>
      </c>
      <c r="AB74" s="45">
        <f t="shared" si="4"/>
        <v>36.74</v>
      </c>
      <c r="AC74" s="45">
        <v>2071</v>
      </c>
      <c r="AD74" s="84">
        <f>TABL123[[#This Row],[( S/S+T/B) AJD]]-(TABL123[[#This Row],[(A/B + A/S) AJD]]+(TABL123[[#This Row],[(STORGE DIFF.) AJD]])+TABL123[[#This Row],[البخر  AJD]]/1000)</f>
        <v>7.1889999999999645</v>
      </c>
      <c r="AE74" s="68">
        <v>80</v>
      </c>
      <c r="AF74" s="68">
        <v>58.4</v>
      </c>
      <c r="AG74" s="68">
        <v>1229081</v>
      </c>
      <c r="AH74" s="45">
        <v>1250</v>
      </c>
      <c r="AI74" s="45">
        <v>1250</v>
      </c>
      <c r="AJ74" s="79">
        <f>TABL123[[#This Row],[(A/B TOT) AJD]]-TABL123[[#This Row],[BER_ IN]]</f>
        <v>462</v>
      </c>
      <c r="AK74" s="68">
        <v>0</v>
      </c>
      <c r="AL74" s="88">
        <v>43.555300000000003</v>
      </c>
      <c r="AM74" s="88">
        <v>3409770</v>
      </c>
      <c r="AN74" s="88">
        <f>TABL123[[#This Row],[ (RESV. STORGE) SER]]/10</f>
        <v>340977</v>
      </c>
      <c r="AO74" s="45">
        <v>1745</v>
      </c>
      <c r="AP74" s="32">
        <f>TABL123[[#This Row],[(A/S TOT) AJD]]-TABL123[[#This Row],[SER_ IN]]</f>
        <v>206</v>
      </c>
    </row>
    <row r="75" spans="1:42" ht="18.75" x14ac:dyDescent="0.3">
      <c r="A75" s="2">
        <v>46096</v>
      </c>
      <c r="B75" s="41">
        <v>30</v>
      </c>
      <c r="C75" s="41">
        <v>249</v>
      </c>
      <c r="D75" s="41">
        <v>30</v>
      </c>
      <c r="E75" s="28"/>
      <c r="F75" s="41">
        <v>96</v>
      </c>
      <c r="G75" s="39">
        <v>603</v>
      </c>
      <c r="H75" s="28">
        <f t="shared" si="3"/>
        <v>7</v>
      </c>
      <c r="I75" s="39">
        <v>438</v>
      </c>
      <c r="J75" s="39">
        <v>420</v>
      </c>
      <c r="K75" s="28">
        <f>TABL123[[#This Row],[خط (T/B  TOT) SAR]]+TABL123[[#This Row],[خط (S/S  TOT) SAR2]]</f>
        <v>858</v>
      </c>
      <c r="L75" s="41">
        <v>255</v>
      </c>
      <c r="M75" s="42">
        <v>19.399999999999999</v>
      </c>
      <c r="N75" s="42">
        <v>7.59</v>
      </c>
      <c r="O75" s="39">
        <v>383</v>
      </c>
      <c r="P75" s="3">
        <f>TABL123[[#This Row],[خط (S/S  TOT) SAR2]]-TABL123[[#This Row],[(S/S TOT) AJD]]</f>
        <v>37</v>
      </c>
      <c r="Q75" s="39">
        <v>411</v>
      </c>
      <c r="R75" s="3">
        <f>TABL123[[#This Row],[خط (T/B  TOT) SAR]]-TABL123[[#This Row],[(T/B TOT) AJD]]</f>
        <v>27</v>
      </c>
      <c r="S75" s="3">
        <f>TABL123[[#This Row],[الفرق بين بداية ونهاية خط  T/B]]+TABL123[[#This Row],[الفرق بين بداية ونهاية خط  S/S]]</f>
        <v>64</v>
      </c>
      <c r="T75" s="3">
        <f>TABL123[[#This Row],[(S/S TOT) AJD]]+TABL123[[#This Row],[(T/B TOT) AJD]]</f>
        <v>794</v>
      </c>
      <c r="U75" s="41">
        <v>559</v>
      </c>
      <c r="V75" s="41">
        <v>190</v>
      </c>
      <c r="W75" s="3">
        <f>TABL123[[#This Row],[(A/B TOT) AJD]]+TABL123[[#This Row],[(A/S TOT) AJD]]</f>
        <v>749</v>
      </c>
      <c r="X75" s="3">
        <f>TABL123[[#This Row],[( S/S+T/B) AJD]]-TABL123[[#This Row],[(A/B + A/S) AJD]]</f>
        <v>45</v>
      </c>
      <c r="Y75" s="41">
        <v>92.194999999999993</v>
      </c>
      <c r="Z75" s="43">
        <v>315325</v>
      </c>
      <c r="AA75" s="3">
        <f>TABL123[[#This Row],[(RESV. STORGE) AJD]]/10</f>
        <v>31532.5</v>
      </c>
      <c r="AB75" s="45">
        <f t="shared" si="4"/>
        <v>26.683</v>
      </c>
      <c r="AC75" s="43">
        <v>0</v>
      </c>
      <c r="AD75" s="84">
        <f>TABL123[[#This Row],[( S/S+T/B) AJD]]-(TABL123[[#This Row],[(A/B + A/S) AJD]]+(TABL123[[#This Row],[(STORGE DIFF.) AJD]])+TABL123[[#This Row],[البخر  AJD]]/1000)</f>
        <v>18.317000000000007</v>
      </c>
      <c r="AE75" s="68">
        <v>80</v>
      </c>
      <c r="AF75" s="68">
        <v>58.43</v>
      </c>
      <c r="AG75" s="68">
        <v>1248736</v>
      </c>
      <c r="AH75" s="43">
        <v>1367</v>
      </c>
      <c r="AI75" s="43">
        <v>1367</v>
      </c>
      <c r="AJ75" s="79">
        <f>TABL123[[#This Row],[(A/B TOT) AJD]]-TABL123[[#This Row],[BER_ IN]]</f>
        <v>479</v>
      </c>
      <c r="AK75" s="68">
        <v>0</v>
      </c>
      <c r="AL75" s="88">
        <v>43.537999999999997</v>
      </c>
      <c r="AM75" s="88">
        <v>3400140</v>
      </c>
      <c r="AN75" s="88">
        <f>TABL123[[#This Row],[ (RESV. STORGE) SER]]/10</f>
        <v>340014</v>
      </c>
      <c r="AO75" s="43">
        <v>1770</v>
      </c>
      <c r="AP75" s="32">
        <f>TABL123[[#This Row],[(A/S TOT) AJD]]-TABL123[[#This Row],[SER_ IN]]</f>
        <v>190</v>
      </c>
    </row>
    <row r="76" spans="1:42" ht="18.75" x14ac:dyDescent="0.3">
      <c r="A76" s="2">
        <v>46097</v>
      </c>
      <c r="B76" s="44">
        <v>30</v>
      </c>
      <c r="C76" s="44">
        <v>249</v>
      </c>
      <c r="D76" s="44">
        <v>30</v>
      </c>
      <c r="E76" s="28"/>
      <c r="F76" s="44">
        <v>96</v>
      </c>
      <c r="G76" s="40">
        <v>600</v>
      </c>
      <c r="H76" s="28">
        <f t="shared" si="3"/>
        <v>7</v>
      </c>
      <c r="I76" s="40">
        <v>440</v>
      </c>
      <c r="J76" s="44">
        <v>422</v>
      </c>
      <c r="K76" s="28">
        <f>TABL123[[#This Row],[خط (T/B  TOT) SAR]]+TABL123[[#This Row],[خط (S/S  TOT) SAR2]]</f>
        <v>862</v>
      </c>
      <c r="L76" s="45">
        <v>262</v>
      </c>
      <c r="M76" s="46">
        <v>19.399999999999999</v>
      </c>
      <c r="N76" s="46">
        <v>7.66</v>
      </c>
      <c r="O76" s="40">
        <v>383</v>
      </c>
      <c r="P76" s="3">
        <f>TABL123[[#This Row],[خط (S/S  TOT) SAR2]]-TABL123[[#This Row],[(S/S TOT) AJD]]</f>
        <v>39</v>
      </c>
      <c r="Q76" s="40">
        <v>411</v>
      </c>
      <c r="R76" s="3">
        <f>TABL123[[#This Row],[خط (T/B  TOT) SAR]]-TABL123[[#This Row],[(T/B TOT) AJD]]</f>
        <v>29</v>
      </c>
      <c r="S76" s="3">
        <f>TABL123[[#This Row],[الفرق بين بداية ونهاية خط  T/B]]+TABL123[[#This Row],[الفرق بين بداية ونهاية خط  S/S]]</f>
        <v>68</v>
      </c>
      <c r="T76" s="3">
        <f>TABL123[[#This Row],[(S/S TOT) AJD]]+TABL123[[#This Row],[(T/B TOT) AJD]]</f>
        <v>794</v>
      </c>
      <c r="U76" s="44">
        <v>551</v>
      </c>
      <c r="V76" s="44">
        <v>166</v>
      </c>
      <c r="W76" s="3">
        <f>TABL123[[#This Row],[(A/B TOT) AJD]]+TABL123[[#This Row],[(A/S TOT) AJD]]</f>
        <v>717</v>
      </c>
      <c r="X76" s="3">
        <f>TABL123[[#This Row],[( S/S+T/B) AJD]]-TABL123[[#This Row],[(A/B + A/S) AJD]]</f>
        <v>77</v>
      </c>
      <c r="Y76" s="44">
        <v>92.268000000000001</v>
      </c>
      <c r="Z76" s="45">
        <v>359839</v>
      </c>
      <c r="AA76" s="3">
        <f>TABL123[[#This Row],[(RESV. STORGE) AJD]]/10</f>
        <v>35983.9</v>
      </c>
      <c r="AB76" s="45">
        <f t="shared" si="4"/>
        <v>44.514000000000003</v>
      </c>
      <c r="AC76" s="45">
        <v>1077</v>
      </c>
      <c r="AD76" s="84">
        <f>TABL123[[#This Row],[( S/S+T/B) AJD]]-(TABL123[[#This Row],[(A/B + A/S) AJD]]+(TABL123[[#This Row],[(STORGE DIFF.) AJD]])+TABL123[[#This Row],[البخر  AJD]]/1000)</f>
        <v>31.408999999999992</v>
      </c>
      <c r="AE76" s="68">
        <v>79</v>
      </c>
      <c r="AF76" s="68">
        <v>58.43</v>
      </c>
      <c r="AG76" s="68">
        <v>1248736</v>
      </c>
      <c r="AH76" s="45">
        <v>1830</v>
      </c>
      <c r="AI76" s="45">
        <v>1830</v>
      </c>
      <c r="AJ76" s="79">
        <f>TABL123[[#This Row],[(A/B TOT) AJD]]-TABL123[[#This Row],[BER_ IN]]</f>
        <v>472</v>
      </c>
      <c r="AK76" s="68">
        <v>0</v>
      </c>
      <c r="AL76" s="88">
        <v>43.463000000000001</v>
      </c>
      <c r="AM76" s="88">
        <v>3359610</v>
      </c>
      <c r="AN76" s="88">
        <f>TABL123[[#This Row],[ (RESV. STORGE) SER]]/10</f>
        <v>335961</v>
      </c>
      <c r="AO76" s="45">
        <v>1830</v>
      </c>
      <c r="AP76" s="32">
        <f>TABL123[[#This Row],[(A/S TOT) AJD]]-TABL123[[#This Row],[SER_ IN]]</f>
        <v>166</v>
      </c>
    </row>
    <row r="77" spans="1:42" ht="18.75" x14ac:dyDescent="0.3">
      <c r="A77" s="2">
        <v>46098</v>
      </c>
      <c r="B77" s="41">
        <v>30</v>
      </c>
      <c r="C77" s="41">
        <v>248</v>
      </c>
      <c r="D77" s="41">
        <v>30</v>
      </c>
      <c r="E77" s="28"/>
      <c r="F77" s="41">
        <v>96</v>
      </c>
      <c r="G77" s="39">
        <v>600</v>
      </c>
      <c r="H77" s="28">
        <f t="shared" si="3"/>
        <v>7</v>
      </c>
      <c r="I77" s="39">
        <v>440</v>
      </c>
      <c r="J77" s="39">
        <v>422</v>
      </c>
      <c r="K77" s="28">
        <f>TABL123[[#This Row],[خط (T/B  TOT) SAR]]+TABL123[[#This Row],[خط (S/S  TOT) SAR2]]</f>
        <v>862</v>
      </c>
      <c r="L77" s="41">
        <v>262</v>
      </c>
      <c r="M77" s="42">
        <v>19.399999999999999</v>
      </c>
      <c r="N77" s="42">
        <v>7.73</v>
      </c>
      <c r="O77" s="39">
        <v>383</v>
      </c>
      <c r="P77" s="3">
        <f>TABL123[[#This Row],[خط (S/S  TOT) SAR2]]-TABL123[[#This Row],[(S/S TOT) AJD]]</f>
        <v>39</v>
      </c>
      <c r="Q77" s="39">
        <v>411</v>
      </c>
      <c r="R77" s="3">
        <f>TABL123[[#This Row],[خط (T/B  TOT) SAR]]-TABL123[[#This Row],[(T/B TOT) AJD]]</f>
        <v>29</v>
      </c>
      <c r="S77" s="3">
        <f>TABL123[[#This Row],[الفرق بين بداية ونهاية خط  T/B]]+TABL123[[#This Row],[الفرق بين بداية ونهاية خط  S/S]]</f>
        <v>68</v>
      </c>
      <c r="T77" s="3">
        <f>TABL123[[#This Row],[(S/S TOT) AJD]]+TABL123[[#This Row],[(T/B TOT) AJD]]</f>
        <v>794</v>
      </c>
      <c r="U77" s="41">
        <v>548</v>
      </c>
      <c r="V77" s="41">
        <v>191</v>
      </c>
      <c r="W77" s="3">
        <f>TABL123[[#This Row],[(A/B TOT) AJD]]+TABL123[[#This Row],[(A/S TOT) AJD]]</f>
        <v>739</v>
      </c>
      <c r="X77" s="3">
        <f>TABL123[[#This Row],[( S/S+T/B) AJD]]-TABL123[[#This Row],[(A/B + A/S) AJD]]</f>
        <v>55</v>
      </c>
      <c r="Y77" s="41">
        <v>92.311999999999998</v>
      </c>
      <c r="Z77" s="43">
        <v>384781</v>
      </c>
      <c r="AA77" s="3">
        <f>TABL123[[#This Row],[(RESV. STORGE) AJD]]/10</f>
        <v>38478.1</v>
      </c>
      <c r="AB77" s="45">
        <f t="shared" si="4"/>
        <v>24.942</v>
      </c>
      <c r="AC77" s="43">
        <v>0</v>
      </c>
      <c r="AD77" s="84">
        <f>TABL123[[#This Row],[( S/S+T/B) AJD]]-(TABL123[[#This Row],[(A/B + A/S) AJD]]+(TABL123[[#This Row],[(STORGE DIFF.) AJD]])+TABL123[[#This Row],[البخر  AJD]]/1000)</f>
        <v>30.057999999999993</v>
      </c>
      <c r="AE77" s="68">
        <v>80</v>
      </c>
      <c r="AF77" s="68">
        <v>58.34</v>
      </c>
      <c r="AG77" s="68">
        <v>1189795</v>
      </c>
      <c r="AH77" s="43">
        <v>1621</v>
      </c>
      <c r="AI77" s="43">
        <v>1621</v>
      </c>
      <c r="AJ77" s="79">
        <f>TABL123[[#This Row],[(A/B TOT) AJD]]-TABL123[[#This Row],[BER_ IN]]</f>
        <v>468</v>
      </c>
      <c r="AK77" s="68">
        <v>0</v>
      </c>
      <c r="AL77" s="88">
        <v>43.393999999999998</v>
      </c>
      <c r="AM77" s="88">
        <v>3322050</v>
      </c>
      <c r="AN77" s="88">
        <f>TABL123[[#This Row],[ (RESV. STORGE) SER]]/10</f>
        <v>332205</v>
      </c>
      <c r="AO77" s="43">
        <v>1860</v>
      </c>
      <c r="AP77" s="32">
        <f>TABL123[[#This Row],[(A/S TOT) AJD]]-TABL123[[#This Row],[SER_ IN]]</f>
        <v>191</v>
      </c>
    </row>
    <row r="78" spans="1:42" ht="18.75" x14ac:dyDescent="0.3">
      <c r="A78" s="2">
        <v>46099</v>
      </c>
      <c r="B78" s="44">
        <v>30</v>
      </c>
      <c r="C78" s="44">
        <v>243</v>
      </c>
      <c r="D78" s="44">
        <v>30</v>
      </c>
      <c r="E78" s="28"/>
      <c r="F78" s="44">
        <v>96</v>
      </c>
      <c r="G78" s="40">
        <v>603</v>
      </c>
      <c r="H78" s="28">
        <f t="shared" si="3"/>
        <v>7</v>
      </c>
      <c r="I78" s="40">
        <v>445</v>
      </c>
      <c r="J78" s="44">
        <v>430</v>
      </c>
      <c r="K78" s="28">
        <f>TABL123[[#This Row],[خط (T/B  TOT) SAR]]+TABL123[[#This Row],[خط (S/S  TOT) SAR2]]</f>
        <v>875</v>
      </c>
      <c r="L78" s="45">
        <v>272</v>
      </c>
      <c r="M78" s="46">
        <v>19.7</v>
      </c>
      <c r="N78" s="46">
        <v>7.66</v>
      </c>
      <c r="O78" s="40">
        <v>386</v>
      </c>
      <c r="P78" s="3">
        <f>TABL123[[#This Row],[خط (S/S  TOT) SAR2]]-TABL123[[#This Row],[(S/S TOT) AJD]]</f>
        <v>44</v>
      </c>
      <c r="Q78" s="40">
        <v>413</v>
      </c>
      <c r="R78" s="3">
        <f>TABL123[[#This Row],[خط (T/B  TOT) SAR]]-TABL123[[#This Row],[(T/B TOT) AJD]]</f>
        <v>32</v>
      </c>
      <c r="S78" s="3">
        <f>TABL123[[#This Row],[الفرق بين بداية ونهاية خط  T/B]]+TABL123[[#This Row],[الفرق بين بداية ونهاية خط  S/S]]</f>
        <v>76</v>
      </c>
      <c r="T78" s="3">
        <f>TABL123[[#This Row],[(S/S TOT) AJD]]+TABL123[[#This Row],[(T/B TOT) AJD]]</f>
        <v>799</v>
      </c>
      <c r="U78" s="44">
        <v>546</v>
      </c>
      <c r="V78" s="44">
        <v>215</v>
      </c>
      <c r="W78" s="3">
        <f>TABL123[[#This Row],[(A/B TOT) AJD]]+TABL123[[#This Row],[(A/S TOT) AJD]]</f>
        <v>761</v>
      </c>
      <c r="X78" s="3">
        <f>TABL123[[#This Row],[( S/S+T/B) AJD]]-TABL123[[#This Row],[(A/B + A/S) AJD]]</f>
        <v>38</v>
      </c>
      <c r="Y78" s="44">
        <v>92.341999999999999</v>
      </c>
      <c r="Z78" s="45">
        <v>402617</v>
      </c>
      <c r="AA78" s="3">
        <f>TABL123[[#This Row],[(RESV. STORGE) AJD]]/10</f>
        <v>40261.699999999997</v>
      </c>
      <c r="AB78" s="45">
        <f t="shared" si="4"/>
        <v>17.835999999999999</v>
      </c>
      <c r="AC78" s="45">
        <v>0</v>
      </c>
      <c r="AD78" s="84">
        <f>TABL123[[#This Row],[( S/S+T/B) AJD]]-(TABL123[[#This Row],[(A/B + A/S) AJD]]+(TABL123[[#This Row],[(STORGE DIFF.) AJD]])+TABL123[[#This Row],[البخر  AJD]]/1000)</f>
        <v>20.163999999999987</v>
      </c>
      <c r="AE78" s="68">
        <v>80</v>
      </c>
      <c r="AF78" s="68">
        <v>58.34</v>
      </c>
      <c r="AG78" s="68">
        <v>1189795</v>
      </c>
      <c r="AH78" s="45">
        <v>1308</v>
      </c>
      <c r="AI78" s="45">
        <v>1308</v>
      </c>
      <c r="AJ78" s="79">
        <f>TABL123[[#This Row],[(A/B TOT) AJD]]-TABL123[[#This Row],[BER_ IN]]</f>
        <v>466</v>
      </c>
      <c r="AK78" s="68">
        <v>0</v>
      </c>
      <c r="AL78" s="88">
        <v>43.333199999999998</v>
      </c>
      <c r="AM78" s="88">
        <v>3288850</v>
      </c>
      <c r="AN78" s="88">
        <f>TABL123[[#This Row],[ (RESV. STORGE) SER]]/10</f>
        <v>328885</v>
      </c>
      <c r="AO78" s="45">
        <v>1800</v>
      </c>
      <c r="AP78" s="32">
        <f>TABL123[[#This Row],[(A/S TOT) AJD]]-TABL123[[#This Row],[SER_ IN]]</f>
        <v>215</v>
      </c>
    </row>
    <row r="79" spans="1:42" ht="18.75" x14ac:dyDescent="0.3">
      <c r="A79" s="2">
        <v>46100</v>
      </c>
      <c r="B79" s="41">
        <v>30</v>
      </c>
      <c r="C79" s="41">
        <v>248</v>
      </c>
      <c r="D79" s="41">
        <v>30</v>
      </c>
      <c r="E79" s="28"/>
      <c r="F79" s="41">
        <v>96</v>
      </c>
      <c r="G79" s="39">
        <v>603</v>
      </c>
      <c r="H79" s="28">
        <f t="shared" si="3"/>
        <v>7</v>
      </c>
      <c r="I79" s="39">
        <v>445</v>
      </c>
      <c r="J79" s="39">
        <v>430</v>
      </c>
      <c r="K79" s="28">
        <f>TABL123[[#This Row],[خط (T/B  TOT) SAR]]+TABL123[[#This Row],[خط (S/S  TOT) SAR2]]</f>
        <v>875</v>
      </c>
      <c r="L79" s="41">
        <v>272</v>
      </c>
      <c r="M79" s="42">
        <v>19.7</v>
      </c>
      <c r="N79" s="42">
        <v>7.64</v>
      </c>
      <c r="O79" s="39">
        <v>389</v>
      </c>
      <c r="P79" s="3">
        <f>TABL123[[#This Row],[خط (S/S  TOT) SAR2]]-TABL123[[#This Row],[(S/S TOT) AJD]]</f>
        <v>41</v>
      </c>
      <c r="Q79" s="39">
        <v>418</v>
      </c>
      <c r="R79" s="3">
        <f>TABL123[[#This Row],[خط (T/B  TOT) SAR]]-TABL123[[#This Row],[(T/B TOT) AJD]]</f>
        <v>27</v>
      </c>
      <c r="S79" s="3">
        <f>TABL123[[#This Row],[الفرق بين بداية ونهاية خط  T/B]]+TABL123[[#This Row],[الفرق بين بداية ونهاية خط  S/S]]</f>
        <v>68</v>
      </c>
      <c r="T79" s="3">
        <f>TABL123[[#This Row],[(S/S TOT) AJD]]+TABL123[[#This Row],[(T/B TOT) AJD]]</f>
        <v>807</v>
      </c>
      <c r="U79" s="41">
        <v>571</v>
      </c>
      <c r="V79" s="41">
        <v>202</v>
      </c>
      <c r="W79" s="3">
        <f>TABL123[[#This Row],[(A/B TOT) AJD]]+TABL123[[#This Row],[(A/S TOT) AJD]]</f>
        <v>773</v>
      </c>
      <c r="X79" s="3">
        <f>TABL123[[#This Row],[( S/S+T/B) AJD]]-TABL123[[#This Row],[(A/B + A/S) AJD]]</f>
        <v>34</v>
      </c>
      <c r="Y79" s="41">
        <v>92.432000000000002</v>
      </c>
      <c r="Z79" s="43">
        <v>456137</v>
      </c>
      <c r="AA79" s="3">
        <f>TABL123[[#This Row],[(RESV. STORGE) AJD]]/10</f>
        <v>45613.7</v>
      </c>
      <c r="AB79" s="45">
        <f t="shared" si="4"/>
        <v>53.52</v>
      </c>
      <c r="AC79" s="43">
        <v>0</v>
      </c>
      <c r="AD79" s="84">
        <f>TABL123[[#This Row],[( S/S+T/B) AJD]]-(TABL123[[#This Row],[(A/B + A/S) AJD]]+(TABL123[[#This Row],[(STORGE DIFF.) AJD]])+TABL123[[#This Row],[البخر  AJD]]/1000)</f>
        <v>-19.519999999999982</v>
      </c>
      <c r="AE79" s="68">
        <v>79</v>
      </c>
      <c r="AF79" s="68">
        <v>58.36</v>
      </c>
      <c r="AG79" s="68">
        <v>1202887</v>
      </c>
      <c r="AH79" s="43">
        <v>1838</v>
      </c>
      <c r="AI79" s="43">
        <v>1838</v>
      </c>
      <c r="AJ79" s="79">
        <f>TABL123[[#This Row],[(A/B TOT) AJD]]-TABL123[[#This Row],[BER_ IN]]</f>
        <v>492</v>
      </c>
      <c r="AK79" s="68">
        <v>0</v>
      </c>
      <c r="AL79" s="88">
        <v>43.305</v>
      </c>
      <c r="AM79" s="88">
        <v>3273470</v>
      </c>
      <c r="AN79" s="88">
        <f>TABL123[[#This Row],[ (RESV. STORGE) SER]]/10</f>
        <v>327347</v>
      </c>
      <c r="AO79" s="43">
        <v>1880</v>
      </c>
      <c r="AP79" s="32">
        <f>TABL123[[#This Row],[(A/S TOT) AJD]]-TABL123[[#This Row],[SER_ IN]]</f>
        <v>202</v>
      </c>
    </row>
    <row r="80" spans="1:42" ht="18.75" x14ac:dyDescent="0.3">
      <c r="A80" s="2">
        <v>46101</v>
      </c>
      <c r="B80" s="44">
        <v>30</v>
      </c>
      <c r="C80" s="44">
        <v>245</v>
      </c>
      <c r="D80" s="44">
        <v>30</v>
      </c>
      <c r="E80" s="28"/>
      <c r="F80" s="44">
        <v>96</v>
      </c>
      <c r="G80" s="40">
        <v>603</v>
      </c>
      <c r="H80" s="28">
        <f t="shared" si="3"/>
        <v>7</v>
      </c>
      <c r="I80" s="40">
        <v>445</v>
      </c>
      <c r="J80" s="44">
        <v>430</v>
      </c>
      <c r="K80" s="28">
        <f>TABL123[[#This Row],[خط (T/B  TOT) SAR]]+TABL123[[#This Row],[خط (S/S  TOT) SAR2]]</f>
        <v>875</v>
      </c>
      <c r="L80" s="45">
        <v>272</v>
      </c>
      <c r="M80" s="46">
        <v>19.7</v>
      </c>
      <c r="N80" s="46">
        <v>7.62</v>
      </c>
      <c r="O80" s="40">
        <v>391</v>
      </c>
      <c r="P80" s="3">
        <f>TABL123[[#This Row],[خط (S/S  TOT) SAR2]]-TABL123[[#This Row],[(S/S TOT) AJD]]</f>
        <v>39</v>
      </c>
      <c r="Q80" s="40">
        <v>419</v>
      </c>
      <c r="R80" s="3">
        <f>TABL123[[#This Row],[خط (T/B  TOT) SAR]]-TABL123[[#This Row],[(T/B TOT) AJD]]</f>
        <v>26</v>
      </c>
      <c r="S80" s="3">
        <f>TABL123[[#This Row],[الفرق بين بداية ونهاية خط  T/B]]+TABL123[[#This Row],[الفرق بين بداية ونهاية خط  S/S]]</f>
        <v>65</v>
      </c>
      <c r="T80" s="3">
        <f>TABL123[[#This Row],[(S/S TOT) AJD]]+TABL123[[#This Row],[(T/B TOT) AJD]]</f>
        <v>810</v>
      </c>
      <c r="U80" s="44">
        <v>552</v>
      </c>
      <c r="V80" s="44">
        <v>228</v>
      </c>
      <c r="W80" s="3">
        <f>TABL123[[#This Row],[(A/B TOT) AJD]]+TABL123[[#This Row],[(A/S TOT) AJD]]</f>
        <v>780</v>
      </c>
      <c r="X80" s="3">
        <f>TABL123[[#This Row],[( S/S+T/B) AJD]]-TABL123[[#This Row],[(A/B + A/S) AJD]]</f>
        <v>30</v>
      </c>
      <c r="Y80" s="44">
        <v>92.4</v>
      </c>
      <c r="Z80" s="45">
        <v>437099</v>
      </c>
      <c r="AA80" s="3">
        <f>TABL123[[#This Row],[(RESV. STORGE) AJD]]/10</f>
        <v>43709.9</v>
      </c>
      <c r="AB80" s="45">
        <f t="shared" si="4"/>
        <v>-19.038</v>
      </c>
      <c r="AC80" s="45">
        <v>0</v>
      </c>
      <c r="AD80" s="84">
        <f>TABL123[[#This Row],[( S/S+T/B) AJD]]-(TABL123[[#This Row],[(A/B + A/S) AJD]]+(TABL123[[#This Row],[(STORGE DIFF.) AJD]])+TABL123[[#This Row],[البخر  AJD]]/1000)</f>
        <v>49.038000000000011</v>
      </c>
      <c r="AE80" s="68">
        <v>78</v>
      </c>
      <c r="AF80" s="68">
        <v>58.4</v>
      </c>
      <c r="AG80" s="68">
        <v>1229081</v>
      </c>
      <c r="AH80" s="45">
        <v>2000</v>
      </c>
      <c r="AI80" s="45">
        <v>2000</v>
      </c>
      <c r="AJ80" s="79">
        <f>TABL123[[#This Row],[(A/B TOT) AJD]]-TABL123[[#This Row],[BER_ IN]]</f>
        <v>474</v>
      </c>
      <c r="AK80" s="68">
        <v>14</v>
      </c>
      <c r="AL80" s="88">
        <v>43.2271</v>
      </c>
      <c r="AM80" s="88">
        <v>3231260</v>
      </c>
      <c r="AN80" s="88">
        <f>TABL123[[#This Row],[ (RESV. STORGE) SER]]/10</f>
        <v>323126</v>
      </c>
      <c r="AO80" s="45">
        <v>1810</v>
      </c>
      <c r="AP80" s="32">
        <f>TABL123[[#This Row],[(A/S TOT) AJD]]-TABL123[[#This Row],[SER_ IN]]</f>
        <v>214</v>
      </c>
    </row>
    <row r="81" spans="1:42" ht="18.75" x14ac:dyDescent="0.3">
      <c r="A81" s="2">
        <v>46102</v>
      </c>
      <c r="B81" s="41">
        <v>30</v>
      </c>
      <c r="C81" s="41">
        <v>239</v>
      </c>
      <c r="D81" s="41">
        <v>30</v>
      </c>
      <c r="E81" s="28"/>
      <c r="F81" s="41">
        <v>96</v>
      </c>
      <c r="G81" s="39">
        <v>603</v>
      </c>
      <c r="H81" s="28">
        <f t="shared" si="3"/>
        <v>7</v>
      </c>
      <c r="I81" s="39">
        <v>445</v>
      </c>
      <c r="J81" s="39">
        <v>430</v>
      </c>
      <c r="K81" s="28">
        <f>TABL123[[#This Row],[خط (T/B  TOT) SAR]]+TABL123[[#This Row],[خط (S/S  TOT) SAR2]]</f>
        <v>875</v>
      </c>
      <c r="L81" s="41">
        <v>272</v>
      </c>
      <c r="M81" s="42">
        <v>19.7</v>
      </c>
      <c r="N81" s="42">
        <v>7.58</v>
      </c>
      <c r="O81" s="39">
        <v>390</v>
      </c>
      <c r="P81" s="3">
        <f>TABL123[[#This Row],[خط (S/S  TOT) SAR2]]-TABL123[[#This Row],[(S/S TOT) AJD]]</f>
        <v>40</v>
      </c>
      <c r="Q81" s="39">
        <v>420</v>
      </c>
      <c r="R81" s="3">
        <f>TABL123[[#This Row],[خط (T/B  TOT) SAR]]-TABL123[[#This Row],[(T/B TOT) AJD]]</f>
        <v>25</v>
      </c>
      <c r="S81" s="3">
        <f>TABL123[[#This Row],[الفرق بين بداية ونهاية خط  T/B]]+TABL123[[#This Row],[الفرق بين بداية ونهاية خط  S/S]]</f>
        <v>65</v>
      </c>
      <c r="T81" s="3">
        <f>TABL123[[#This Row],[(S/S TOT) AJD]]+TABL123[[#This Row],[(T/B TOT) AJD]]</f>
        <v>810</v>
      </c>
      <c r="U81" s="41">
        <v>550</v>
      </c>
      <c r="V81" s="41">
        <v>220</v>
      </c>
      <c r="W81" s="3">
        <f>TABL123[[#This Row],[(A/B TOT) AJD]]+TABL123[[#This Row],[(A/S TOT) AJD]]</f>
        <v>770</v>
      </c>
      <c r="X81" s="3">
        <f>TABL123[[#This Row],[( S/S+T/B) AJD]]-TABL123[[#This Row],[(A/B + A/S) AJD]]</f>
        <v>40</v>
      </c>
      <c r="Y81" s="41">
        <v>92.474999999999994</v>
      </c>
      <c r="Z81" s="43">
        <v>481734</v>
      </c>
      <c r="AA81" s="3">
        <f>TABL123[[#This Row],[(RESV. STORGE) AJD]]/10</f>
        <v>48173.4</v>
      </c>
      <c r="AB81" s="45">
        <f t="shared" si="4"/>
        <v>44.634999999999998</v>
      </c>
      <c r="AC81" s="43">
        <v>250</v>
      </c>
      <c r="AD81" s="84">
        <f>TABL123[[#This Row],[( S/S+T/B) AJD]]-(TABL123[[#This Row],[(A/B + A/S) AJD]]+(TABL123[[#This Row],[(STORGE DIFF.) AJD]])+TABL123[[#This Row],[البخر  AJD]]/1000)</f>
        <v>-4.8849999999999909</v>
      </c>
      <c r="AE81" s="68">
        <v>78</v>
      </c>
      <c r="AF81" s="68">
        <v>58.512</v>
      </c>
      <c r="AG81" s="68">
        <v>1308403</v>
      </c>
      <c r="AH81" s="43">
        <v>656</v>
      </c>
      <c r="AI81" s="43">
        <v>656</v>
      </c>
      <c r="AJ81" s="79">
        <f>TABL123[[#This Row],[(A/B TOT) AJD]]-TABL123[[#This Row],[BER_ IN]]</f>
        <v>472</v>
      </c>
      <c r="AK81" s="68">
        <v>20</v>
      </c>
      <c r="AL81" s="88">
        <v>43.202599999999997</v>
      </c>
      <c r="AM81" s="88">
        <v>3218220</v>
      </c>
      <c r="AN81" s="88">
        <f>TABL123[[#This Row],[ (RESV. STORGE) SER]]/10</f>
        <v>321822</v>
      </c>
      <c r="AO81" s="43">
        <v>1040</v>
      </c>
      <c r="AP81" s="32">
        <f>TABL123[[#This Row],[(A/S TOT) AJD]]-TABL123[[#This Row],[SER_ IN]]</f>
        <v>200</v>
      </c>
    </row>
    <row r="82" spans="1:42" ht="18.75" x14ac:dyDescent="0.3">
      <c r="A82" s="2">
        <v>46103</v>
      </c>
      <c r="B82" s="44">
        <v>30</v>
      </c>
      <c r="C82" s="44">
        <v>237</v>
      </c>
      <c r="D82" s="44">
        <v>30</v>
      </c>
      <c r="E82" s="28"/>
      <c r="F82" s="44">
        <v>96</v>
      </c>
      <c r="G82" s="40">
        <v>603</v>
      </c>
      <c r="H82" s="28">
        <f t="shared" si="3"/>
        <v>7</v>
      </c>
      <c r="I82" s="40">
        <v>445</v>
      </c>
      <c r="J82" s="44">
        <v>430</v>
      </c>
      <c r="K82" s="28">
        <f>TABL123[[#This Row],[خط (T/B  TOT) SAR]]+TABL123[[#This Row],[خط (S/S  TOT) SAR2]]</f>
        <v>875</v>
      </c>
      <c r="L82" s="45">
        <v>272</v>
      </c>
      <c r="M82" s="46">
        <v>19.7</v>
      </c>
      <c r="N82" s="46">
        <v>7.5</v>
      </c>
      <c r="O82" s="40">
        <v>405</v>
      </c>
      <c r="P82" s="3">
        <f>TABL123[[#This Row],[خط (S/S  TOT) SAR2]]-TABL123[[#This Row],[(S/S TOT) AJD]]</f>
        <v>25</v>
      </c>
      <c r="Q82" s="40">
        <v>434</v>
      </c>
      <c r="R82" s="3">
        <f>TABL123[[#This Row],[خط (T/B  TOT) SAR]]-TABL123[[#This Row],[(T/B TOT) AJD]]</f>
        <v>11</v>
      </c>
      <c r="S82" s="3">
        <f>TABL123[[#This Row],[الفرق بين بداية ونهاية خط  T/B]]+TABL123[[#This Row],[الفرق بين بداية ونهاية خط  S/S]]</f>
        <v>36</v>
      </c>
      <c r="T82" s="3">
        <f>TABL123[[#This Row],[(S/S TOT) AJD]]+TABL123[[#This Row],[(T/B TOT) AJD]]</f>
        <v>839</v>
      </c>
      <c r="U82" s="44">
        <v>570</v>
      </c>
      <c r="V82" s="44">
        <v>226</v>
      </c>
      <c r="W82" s="3">
        <f>TABL123[[#This Row],[(A/B TOT) AJD]]+TABL123[[#This Row],[(A/S TOT) AJD]]</f>
        <v>796</v>
      </c>
      <c r="X82" s="3">
        <f>TABL123[[#This Row],[( S/S+T/B) AJD]]-TABL123[[#This Row],[(A/B + A/S) AJD]]</f>
        <v>43</v>
      </c>
      <c r="Y82" s="44">
        <v>92.484999999999999</v>
      </c>
      <c r="Z82" s="45">
        <v>488881</v>
      </c>
      <c r="AA82" s="3">
        <f>TABL123[[#This Row],[(RESV. STORGE) AJD]]/10</f>
        <v>48888.1</v>
      </c>
      <c r="AB82" s="45">
        <f t="shared" si="4"/>
        <v>7.1470000000000002</v>
      </c>
      <c r="AC82" s="45">
        <v>917</v>
      </c>
      <c r="AD82" s="84">
        <f>TABL123[[#This Row],[( S/S+T/B) AJD]]-(TABL123[[#This Row],[(A/B + A/S) AJD]]+(TABL123[[#This Row],[(STORGE DIFF.) AJD]])+TABL123[[#This Row],[البخر  AJD]]/1000)</f>
        <v>34.935999999999922</v>
      </c>
      <c r="AE82" s="68">
        <v>81</v>
      </c>
      <c r="AF82" s="68">
        <v>58.51</v>
      </c>
      <c r="AG82" s="68">
        <v>1301186</v>
      </c>
      <c r="AH82" s="45">
        <v>2216</v>
      </c>
      <c r="AI82" s="45">
        <v>2216</v>
      </c>
      <c r="AJ82" s="79">
        <f>TABL123[[#This Row],[(A/B TOT) AJD]]-TABL123[[#This Row],[BER_ IN]]</f>
        <v>489</v>
      </c>
      <c r="AK82" s="68">
        <v>19</v>
      </c>
      <c r="AL82" s="88">
        <v>43.217399999999998</v>
      </c>
      <c r="AM82" s="88">
        <v>3226370</v>
      </c>
      <c r="AN82" s="88">
        <f>TABL123[[#This Row],[ (RESV. STORGE) SER]]/10</f>
        <v>322637</v>
      </c>
      <c r="AO82" s="45">
        <v>1850</v>
      </c>
      <c r="AP82" s="32">
        <f>TABL123[[#This Row],[(A/S TOT) AJD]]-TABL123[[#This Row],[SER_ IN]]</f>
        <v>207</v>
      </c>
    </row>
    <row r="83" spans="1:42" ht="18.75" x14ac:dyDescent="0.3">
      <c r="A83" s="2">
        <v>46104</v>
      </c>
      <c r="B83" s="41">
        <v>30</v>
      </c>
      <c r="C83" s="41">
        <v>244</v>
      </c>
      <c r="D83" s="41">
        <v>30</v>
      </c>
      <c r="E83" s="28"/>
      <c r="F83" s="41">
        <v>96</v>
      </c>
      <c r="G83" s="39">
        <v>603</v>
      </c>
      <c r="H83" s="28">
        <f t="shared" si="3"/>
        <v>7</v>
      </c>
      <c r="I83" s="39">
        <v>445</v>
      </c>
      <c r="J83" s="39">
        <v>430</v>
      </c>
      <c r="K83" s="28">
        <f>TABL123[[#This Row],[خط (T/B  TOT) SAR]]+TABL123[[#This Row],[خط (S/S  TOT) SAR2]]</f>
        <v>875</v>
      </c>
      <c r="L83" s="41">
        <v>272</v>
      </c>
      <c r="M83" s="42">
        <v>19.7</v>
      </c>
      <c r="N83" s="42">
        <v>7.46</v>
      </c>
      <c r="O83" s="39">
        <v>374</v>
      </c>
      <c r="P83" s="3">
        <f>TABL123[[#This Row],[خط (S/S  TOT) SAR2]]-TABL123[[#This Row],[(S/S TOT) AJD]]</f>
        <v>56</v>
      </c>
      <c r="Q83" s="39">
        <v>403</v>
      </c>
      <c r="R83" s="3">
        <f>TABL123[[#This Row],[خط (T/B  TOT) SAR]]-TABL123[[#This Row],[(T/B TOT) AJD]]</f>
        <v>42</v>
      </c>
      <c r="S83" s="3">
        <f>TABL123[[#This Row],[الفرق بين بداية ونهاية خط  T/B]]+TABL123[[#This Row],[الفرق بين بداية ونهاية خط  S/S]]</f>
        <v>98</v>
      </c>
      <c r="T83" s="3">
        <f>TABL123[[#This Row],[(S/S TOT) AJD]]+TABL123[[#This Row],[(T/B TOT) AJD]]</f>
        <v>777</v>
      </c>
      <c r="U83" s="41">
        <v>527</v>
      </c>
      <c r="V83" s="41">
        <v>208</v>
      </c>
      <c r="W83" s="3">
        <f>TABL123[[#This Row],[(A/B TOT) AJD]]+TABL123[[#This Row],[(A/S TOT) AJD]]</f>
        <v>735</v>
      </c>
      <c r="X83" s="3">
        <f>TABL123[[#This Row],[( S/S+T/B) AJD]]-TABL123[[#This Row],[(A/B + A/S) AJD]]</f>
        <v>42</v>
      </c>
      <c r="Y83" s="41">
        <v>92.481999999999999</v>
      </c>
      <c r="Z83" s="43">
        <v>485905</v>
      </c>
      <c r="AA83" s="3">
        <f>TABL123[[#This Row],[(RESV. STORGE) AJD]]/10</f>
        <v>48590.5</v>
      </c>
      <c r="AB83" s="45">
        <f t="shared" si="4"/>
        <v>-2.976</v>
      </c>
      <c r="AC83" s="43">
        <v>1059</v>
      </c>
      <c r="AD83" s="84">
        <f>TABL123[[#This Row],[( S/S+T/B) AJD]]-(TABL123[[#This Row],[(A/B + A/S) AJD]]+(TABL123[[#This Row],[(STORGE DIFF.) AJD]])+TABL123[[#This Row],[البخر  AJD]]/1000)</f>
        <v>43.91700000000003</v>
      </c>
      <c r="AE83" s="68">
        <v>82</v>
      </c>
      <c r="AF83" s="68">
        <v>58.53</v>
      </c>
      <c r="AG83" s="68">
        <v>1314308</v>
      </c>
      <c r="AH83" s="43">
        <v>1695</v>
      </c>
      <c r="AI83" s="43">
        <v>1695</v>
      </c>
      <c r="AJ83" s="79">
        <f>TABL123[[#This Row],[(A/B TOT) AJD]]-TABL123[[#This Row],[BER_ IN]]</f>
        <v>445</v>
      </c>
      <c r="AK83" s="68">
        <v>20</v>
      </c>
      <c r="AL83" s="88">
        <v>43.218600000000002</v>
      </c>
      <c r="AM83" s="88">
        <v>3226790</v>
      </c>
      <c r="AN83" s="88">
        <f>TABL123[[#This Row],[ (RESV. STORGE) SER]]/10</f>
        <v>322679</v>
      </c>
      <c r="AO83" s="43">
        <v>1880</v>
      </c>
      <c r="AP83" s="32">
        <f>TABL123[[#This Row],[(A/S TOT) AJD]]-TABL123[[#This Row],[SER_ IN]]</f>
        <v>188</v>
      </c>
    </row>
    <row r="84" spans="1:42" ht="18.75" x14ac:dyDescent="0.3">
      <c r="A84" s="2">
        <v>46105</v>
      </c>
      <c r="B84" s="44">
        <v>30</v>
      </c>
      <c r="C84" s="44">
        <v>241</v>
      </c>
      <c r="D84" s="44">
        <v>30</v>
      </c>
      <c r="E84" s="28"/>
      <c r="F84" s="44">
        <v>96</v>
      </c>
      <c r="G84" s="40">
        <v>603</v>
      </c>
      <c r="H84" s="28">
        <f t="shared" si="3"/>
        <v>7</v>
      </c>
      <c r="I84" s="40">
        <v>445</v>
      </c>
      <c r="J84" s="44">
        <v>430</v>
      </c>
      <c r="K84" s="28">
        <f>TABL123[[#This Row],[خط (T/B  TOT) SAR]]+TABL123[[#This Row],[خط (S/S  TOT) SAR2]]</f>
        <v>875</v>
      </c>
      <c r="L84" s="45">
        <v>272</v>
      </c>
      <c r="M84" s="46">
        <v>19.7</v>
      </c>
      <c r="N84" s="46">
        <v>7.43</v>
      </c>
      <c r="O84" s="40">
        <v>386</v>
      </c>
      <c r="P84" s="3">
        <f>TABL123[[#This Row],[خط (S/S  TOT) SAR2]]-TABL123[[#This Row],[(S/S TOT) AJD]]</f>
        <v>44</v>
      </c>
      <c r="Q84" s="40">
        <v>416</v>
      </c>
      <c r="R84" s="3">
        <f>TABL123[[#This Row],[خط (T/B  TOT) SAR]]-TABL123[[#This Row],[(T/B TOT) AJD]]</f>
        <v>29</v>
      </c>
      <c r="S84" s="3">
        <f>TABL123[[#This Row],[الفرق بين بداية ونهاية خط  T/B]]+TABL123[[#This Row],[الفرق بين بداية ونهاية خط  S/S]]</f>
        <v>73</v>
      </c>
      <c r="T84" s="3">
        <f>TABL123[[#This Row],[(S/S TOT) AJD]]+TABL123[[#This Row],[(T/B TOT) AJD]]</f>
        <v>802</v>
      </c>
      <c r="U84" s="44">
        <v>550</v>
      </c>
      <c r="V84" s="44">
        <v>222</v>
      </c>
      <c r="W84" s="3">
        <f>TABL123[[#This Row],[(A/B TOT) AJD]]+TABL123[[#This Row],[(A/S TOT) AJD]]</f>
        <v>772</v>
      </c>
      <c r="X84" s="3">
        <f>TABL123[[#This Row],[( S/S+T/B) AJD]]-TABL123[[#This Row],[(A/B + A/S) AJD]]</f>
        <v>30</v>
      </c>
      <c r="Y84" s="44">
        <v>92.486999999999995</v>
      </c>
      <c r="Z84" s="45">
        <v>488881</v>
      </c>
      <c r="AA84" s="3">
        <f>TABL123[[#This Row],[(RESV. STORGE) AJD]]/10</f>
        <v>48888.1</v>
      </c>
      <c r="AB84" s="45">
        <f t="shared" si="4"/>
        <v>2.976</v>
      </c>
      <c r="AC84" s="45">
        <v>1109</v>
      </c>
      <c r="AD84" s="84">
        <f>TABL123[[#This Row],[( S/S+T/B) AJD]]-(TABL123[[#This Row],[(A/B + A/S) AJD]]+(TABL123[[#This Row],[(STORGE DIFF.) AJD]])+TABL123[[#This Row],[البخر  AJD]]/1000)</f>
        <v>25.914999999999964</v>
      </c>
      <c r="AE84" s="68">
        <v>81</v>
      </c>
      <c r="AF84" s="68">
        <v>58.55</v>
      </c>
      <c r="AG84" s="68">
        <v>1327432</v>
      </c>
      <c r="AH84" s="45">
        <v>2035</v>
      </c>
      <c r="AI84" s="45">
        <v>2035</v>
      </c>
      <c r="AJ84" s="79">
        <f>TABL123[[#This Row],[(A/B TOT) AJD]]-TABL123[[#This Row],[BER_ IN]]</f>
        <v>469</v>
      </c>
      <c r="AK84" s="68">
        <v>21</v>
      </c>
      <c r="AL84" s="88">
        <v>43.223999999999997</v>
      </c>
      <c r="AM84" s="88">
        <v>3230690</v>
      </c>
      <c r="AN84" s="88">
        <f>TABL123[[#This Row],[ (RESV. STORGE) SER]]/10</f>
        <v>323069</v>
      </c>
      <c r="AO84" s="45">
        <v>1800</v>
      </c>
      <c r="AP84" s="32">
        <f>TABL123[[#This Row],[(A/S TOT) AJD]]-TABL123[[#This Row],[SER_ IN]]</f>
        <v>201</v>
      </c>
    </row>
    <row r="85" spans="1:42" ht="18.75" x14ac:dyDescent="0.3">
      <c r="A85" s="2">
        <v>46106</v>
      </c>
      <c r="B85" s="41">
        <v>31</v>
      </c>
      <c r="C85" s="41">
        <v>241</v>
      </c>
      <c r="D85" s="41">
        <v>31</v>
      </c>
      <c r="E85" s="28"/>
      <c r="F85" s="41">
        <v>96</v>
      </c>
      <c r="G85" s="39">
        <v>603</v>
      </c>
      <c r="H85" s="28">
        <f t="shared" si="3"/>
        <v>7</v>
      </c>
      <c r="I85" s="39">
        <v>445</v>
      </c>
      <c r="J85" s="39">
        <v>430</v>
      </c>
      <c r="K85" s="28">
        <f>TABL123[[#This Row],[خط (T/B  TOT) SAR]]+TABL123[[#This Row],[خط (S/S  TOT) SAR2]]</f>
        <v>875</v>
      </c>
      <c r="L85" s="41">
        <v>272</v>
      </c>
      <c r="M85" s="42">
        <v>19.7</v>
      </c>
      <c r="N85" s="42">
        <v>7.39</v>
      </c>
      <c r="O85" s="39">
        <v>389</v>
      </c>
      <c r="P85" s="3">
        <f>TABL123[[#This Row],[خط (S/S  TOT) SAR2]]-TABL123[[#This Row],[(S/S TOT) AJD]]</f>
        <v>41</v>
      </c>
      <c r="Q85" s="39">
        <v>418</v>
      </c>
      <c r="R85" s="3">
        <f>TABL123[[#This Row],[خط (T/B  TOT) SAR]]-TABL123[[#This Row],[(T/B TOT) AJD]]</f>
        <v>27</v>
      </c>
      <c r="S85" s="3">
        <f>TABL123[[#This Row],[الفرق بين بداية ونهاية خط  T/B]]+TABL123[[#This Row],[الفرق بين بداية ونهاية خط  S/S]]</f>
        <v>68</v>
      </c>
      <c r="T85" s="3">
        <f>TABL123[[#This Row],[(S/S TOT) AJD]]+TABL123[[#This Row],[(T/B TOT) AJD]]</f>
        <v>807</v>
      </c>
      <c r="U85" s="41">
        <v>546</v>
      </c>
      <c r="V85" s="41">
        <v>211</v>
      </c>
      <c r="W85" s="3">
        <f>TABL123[[#This Row],[(A/B TOT) AJD]]+TABL123[[#This Row],[(A/S TOT) AJD]]</f>
        <v>757</v>
      </c>
      <c r="X85" s="3">
        <f>TABL123[[#This Row],[( S/S+T/B) AJD]]-TABL123[[#This Row],[(A/B + A/S) AJD]]</f>
        <v>50</v>
      </c>
      <c r="Y85" s="41">
        <v>92.557000000000002</v>
      </c>
      <c r="Z85" s="43">
        <v>530591</v>
      </c>
      <c r="AA85" s="3">
        <f>TABL123[[#This Row],[(RESV. STORGE) AJD]]/10</f>
        <v>53059.1</v>
      </c>
      <c r="AB85" s="45">
        <f t="shared" si="4"/>
        <v>41.71</v>
      </c>
      <c r="AC85" s="43">
        <v>0</v>
      </c>
      <c r="AD85" s="84">
        <f>TABL123[[#This Row],[( S/S+T/B) AJD]]-(TABL123[[#This Row],[(A/B + A/S) AJD]]+(TABL123[[#This Row],[(STORGE DIFF.) AJD]])+TABL123[[#This Row],[البخر  AJD]]/1000)</f>
        <v>8.2899999999999636</v>
      </c>
      <c r="AE85" s="68">
        <v>78</v>
      </c>
      <c r="AF85" s="68">
        <v>58.57</v>
      </c>
      <c r="AG85" s="68">
        <v>1340560</v>
      </c>
      <c r="AH85" s="43">
        <v>923</v>
      </c>
      <c r="AI85" s="43">
        <v>923</v>
      </c>
      <c r="AJ85" s="79">
        <f>TABL123[[#This Row],[(A/B TOT) AJD]]-TABL123[[#This Row],[BER_ IN]]</f>
        <v>468</v>
      </c>
      <c r="AK85" s="68">
        <v>21</v>
      </c>
      <c r="AL85" s="88">
        <v>43.227699999999999</v>
      </c>
      <c r="AM85" s="88">
        <v>3231810</v>
      </c>
      <c r="AN85" s="88">
        <f>TABL123[[#This Row],[ (RESV. STORGE) SER]]/10</f>
        <v>323181</v>
      </c>
      <c r="AO85" s="43">
        <v>0</v>
      </c>
      <c r="AP85" s="32">
        <f>TABL123[[#This Row],[(A/S TOT) AJD]]-TABL123[[#This Row],[SER_ IN]]</f>
        <v>190</v>
      </c>
    </row>
    <row r="86" spans="1:42" ht="18.75" x14ac:dyDescent="0.3">
      <c r="A86" s="2">
        <v>46107</v>
      </c>
      <c r="B86" s="44">
        <v>31</v>
      </c>
      <c r="C86" s="44">
        <v>243</v>
      </c>
      <c r="D86" s="44">
        <v>31</v>
      </c>
      <c r="E86" s="28"/>
      <c r="F86" s="44">
        <v>96</v>
      </c>
      <c r="G86" s="40">
        <v>603</v>
      </c>
      <c r="H86" s="28">
        <f t="shared" si="3"/>
        <v>7</v>
      </c>
      <c r="I86" s="40">
        <v>445</v>
      </c>
      <c r="J86" s="44">
        <v>430</v>
      </c>
      <c r="K86" s="28">
        <f>TABL123[[#This Row],[خط (T/B  TOT) SAR]]+TABL123[[#This Row],[خط (S/S  TOT) SAR2]]</f>
        <v>875</v>
      </c>
      <c r="L86" s="45">
        <v>272</v>
      </c>
      <c r="M86" s="46">
        <v>19.7</v>
      </c>
      <c r="N86" s="46">
        <v>7.34</v>
      </c>
      <c r="O86" s="40">
        <v>389</v>
      </c>
      <c r="P86" s="3">
        <f>TABL123[[#This Row],[خط (S/S  TOT) SAR2]]-TABL123[[#This Row],[(S/S TOT) AJD]]</f>
        <v>41</v>
      </c>
      <c r="Q86" s="40">
        <v>416</v>
      </c>
      <c r="R86" s="3">
        <f>TABL123[[#This Row],[خط (T/B  TOT) SAR]]-TABL123[[#This Row],[(T/B TOT) AJD]]</f>
        <v>29</v>
      </c>
      <c r="S86" s="3">
        <f>TABL123[[#This Row],[الفرق بين بداية ونهاية خط  T/B]]+TABL123[[#This Row],[الفرق بين بداية ونهاية خط  S/S]]</f>
        <v>70</v>
      </c>
      <c r="T86" s="3">
        <f>TABL123[[#This Row],[(S/S TOT) AJD]]+TABL123[[#This Row],[(T/B TOT) AJD]]</f>
        <v>805</v>
      </c>
      <c r="U86" s="44">
        <v>541</v>
      </c>
      <c r="V86" s="44">
        <v>206</v>
      </c>
      <c r="W86" s="3">
        <f>TABL123[[#This Row],[(A/B TOT) AJD]]+TABL123[[#This Row],[(A/S TOT) AJD]]</f>
        <v>747</v>
      </c>
      <c r="X86" s="3">
        <f>TABL123[[#This Row],[( S/S+T/B) AJD]]-TABL123[[#This Row],[(A/B + A/S) AJD]]</f>
        <v>58</v>
      </c>
      <c r="Y86" s="44">
        <v>92.572000000000003</v>
      </c>
      <c r="Z86" s="45">
        <v>539534</v>
      </c>
      <c r="AA86" s="3">
        <f>TABL123[[#This Row],[(RESV. STORGE) AJD]]/10</f>
        <v>53953.4</v>
      </c>
      <c r="AB86" s="45">
        <f t="shared" si="4"/>
        <v>8.9429999999999996</v>
      </c>
      <c r="AC86" s="45">
        <v>0</v>
      </c>
      <c r="AD86" s="84">
        <f>TABL123[[#This Row],[( S/S+T/B) AJD]]-(TABL123[[#This Row],[(A/B + A/S) AJD]]+(TABL123[[#This Row],[(STORGE DIFF.) AJD]])+TABL123[[#This Row],[البخر  AJD]]/1000)</f>
        <v>49.057000000000016</v>
      </c>
      <c r="AE86" s="68">
        <v>80</v>
      </c>
      <c r="AF86" s="68">
        <v>58.59</v>
      </c>
      <c r="AG86" s="68">
        <v>1353692</v>
      </c>
      <c r="AH86" s="45">
        <v>844</v>
      </c>
      <c r="AI86" s="45">
        <v>844</v>
      </c>
      <c r="AJ86" s="79">
        <f>TABL123[[#This Row],[(A/B TOT) AJD]]-TABL123[[#This Row],[BER_ IN]]</f>
        <v>461</v>
      </c>
      <c r="AK86" s="68">
        <v>22</v>
      </c>
      <c r="AL86" s="88">
        <v>43.2607</v>
      </c>
      <c r="AM86" s="88">
        <v>3249200</v>
      </c>
      <c r="AN86" s="88">
        <f>TABL123[[#This Row],[ (RESV. STORGE) SER]]/10</f>
        <v>324920</v>
      </c>
      <c r="AO86" s="45">
        <v>1800</v>
      </c>
      <c r="AP86" s="32">
        <f>TABL123[[#This Row],[(A/S TOT) AJD]]-TABL123[[#This Row],[SER_ IN]]</f>
        <v>184</v>
      </c>
    </row>
    <row r="87" spans="1:42" ht="18.75" x14ac:dyDescent="0.3">
      <c r="A87" s="2">
        <v>46108</v>
      </c>
      <c r="B87" s="41">
        <v>32</v>
      </c>
      <c r="C87" s="41">
        <v>258</v>
      </c>
      <c r="D87" s="41">
        <v>32</v>
      </c>
      <c r="E87" s="28"/>
      <c r="F87" s="41">
        <v>96</v>
      </c>
      <c r="G87" s="39">
        <v>603</v>
      </c>
      <c r="H87" s="28">
        <f t="shared" si="3"/>
        <v>7</v>
      </c>
      <c r="I87" s="39">
        <v>445</v>
      </c>
      <c r="J87" s="39">
        <v>430</v>
      </c>
      <c r="K87" s="28">
        <f>TABL123[[#This Row],[خط (T/B  TOT) SAR]]+TABL123[[#This Row],[خط (S/S  TOT) SAR2]]</f>
        <v>875</v>
      </c>
      <c r="L87" s="41">
        <v>272</v>
      </c>
      <c r="M87" s="42">
        <v>19.7</v>
      </c>
      <c r="N87" s="42">
        <v>7.35</v>
      </c>
      <c r="O87" s="39">
        <v>388</v>
      </c>
      <c r="P87" s="3">
        <f>TABL123[[#This Row],[خط (S/S  TOT) SAR2]]-TABL123[[#This Row],[(S/S TOT) AJD]]</f>
        <v>42</v>
      </c>
      <c r="Q87" s="39">
        <v>416</v>
      </c>
      <c r="R87" s="3">
        <f>TABL123[[#This Row],[خط (T/B  TOT) SAR]]-TABL123[[#This Row],[(T/B TOT) AJD]]</f>
        <v>29</v>
      </c>
      <c r="S87" s="3">
        <f>TABL123[[#This Row],[الفرق بين بداية ونهاية خط  T/B]]+TABL123[[#This Row],[الفرق بين بداية ونهاية خط  S/S]]</f>
        <v>71</v>
      </c>
      <c r="T87" s="3">
        <f>TABL123[[#This Row],[(S/S TOT) AJD]]+TABL123[[#This Row],[(T/B TOT) AJD]]</f>
        <v>804</v>
      </c>
      <c r="U87" s="41">
        <v>549</v>
      </c>
      <c r="V87" s="41">
        <v>227</v>
      </c>
      <c r="W87" s="3">
        <f>TABL123[[#This Row],[(A/B TOT) AJD]]+TABL123[[#This Row],[(A/S TOT) AJD]]</f>
        <v>776</v>
      </c>
      <c r="X87" s="3">
        <f>TABL123[[#This Row],[( S/S+T/B) AJD]]-TABL123[[#This Row],[(A/B + A/S) AJD]]</f>
        <v>28</v>
      </c>
      <c r="Y87" s="41">
        <v>92.587000000000003</v>
      </c>
      <c r="Z87" s="43">
        <v>548478</v>
      </c>
      <c r="AA87" s="3">
        <f>TABL123[[#This Row],[(RESV. STORGE) AJD]]/10</f>
        <v>54847.8</v>
      </c>
      <c r="AB87" s="45">
        <f t="shared" si="4"/>
        <v>8.9440000000000008</v>
      </c>
      <c r="AC87" s="43">
        <v>309</v>
      </c>
      <c r="AD87" s="84">
        <f>TABL123[[#This Row],[( S/S+T/B) AJD]]-(TABL123[[#This Row],[(A/B + A/S) AJD]]+(TABL123[[#This Row],[(STORGE DIFF.) AJD]])+TABL123[[#This Row],[البخر  AJD]]/1000)</f>
        <v>18.747000000000071</v>
      </c>
      <c r="AE87" s="68">
        <v>81</v>
      </c>
      <c r="AF87" s="68">
        <v>58.61</v>
      </c>
      <c r="AG87" s="68">
        <v>1366827</v>
      </c>
      <c r="AH87" s="43">
        <v>1744</v>
      </c>
      <c r="AI87" s="43">
        <v>1744</v>
      </c>
      <c r="AJ87" s="79">
        <f>TABL123[[#This Row],[(A/B TOT) AJD]]-TABL123[[#This Row],[BER_ IN]]</f>
        <v>468</v>
      </c>
      <c r="AK87" s="68">
        <v>22</v>
      </c>
      <c r="AL87" s="88">
        <v>43.262799999999999</v>
      </c>
      <c r="AM87" s="88">
        <v>3250800</v>
      </c>
      <c r="AN87" s="88">
        <f>TABL123[[#This Row],[ (RESV. STORGE) SER]]/10</f>
        <v>325080</v>
      </c>
      <c r="AO87" s="43">
        <v>1800</v>
      </c>
      <c r="AP87" s="32">
        <f>TABL123[[#This Row],[(A/S TOT) AJD]]-TABL123[[#This Row],[SER_ IN]]</f>
        <v>205</v>
      </c>
    </row>
    <row r="88" spans="1:42" ht="18.75" x14ac:dyDescent="0.3">
      <c r="A88" s="2">
        <v>46109</v>
      </c>
      <c r="B88" s="44">
        <v>32</v>
      </c>
      <c r="C88" s="44">
        <v>262</v>
      </c>
      <c r="D88" s="44">
        <v>32</v>
      </c>
      <c r="E88" s="28"/>
      <c r="F88" s="44">
        <v>96</v>
      </c>
      <c r="G88" s="40">
        <v>603</v>
      </c>
      <c r="H88" s="28">
        <f t="shared" si="3"/>
        <v>7</v>
      </c>
      <c r="I88" s="40">
        <v>445</v>
      </c>
      <c r="J88" s="44">
        <v>430</v>
      </c>
      <c r="K88" s="28">
        <f>TABL123[[#This Row],[خط (T/B  TOT) SAR]]+TABL123[[#This Row],[خط (S/S  TOT) SAR2]]</f>
        <v>875</v>
      </c>
      <c r="L88" s="45">
        <v>272</v>
      </c>
      <c r="M88" s="46">
        <v>19.7</v>
      </c>
      <c r="N88" s="46">
        <v>7.43</v>
      </c>
      <c r="O88" s="40">
        <v>388</v>
      </c>
      <c r="P88" s="3">
        <f>TABL123[[#This Row],[خط (S/S  TOT) SAR2]]-TABL123[[#This Row],[(S/S TOT) AJD]]</f>
        <v>42</v>
      </c>
      <c r="Q88" s="40">
        <v>417</v>
      </c>
      <c r="R88" s="3">
        <f>TABL123[[#This Row],[خط (T/B  TOT) SAR]]-TABL123[[#This Row],[(T/B TOT) AJD]]</f>
        <v>28</v>
      </c>
      <c r="S88" s="3">
        <f>TABL123[[#This Row],[الفرق بين بداية ونهاية خط  T/B]]+TABL123[[#This Row],[الفرق بين بداية ونهاية خط  S/S]]</f>
        <v>70</v>
      </c>
      <c r="T88" s="3">
        <f>TABL123[[#This Row],[(S/S TOT) AJD]]+TABL123[[#This Row],[(T/B TOT) AJD]]</f>
        <v>805</v>
      </c>
      <c r="U88" s="44">
        <v>553</v>
      </c>
      <c r="V88" s="44">
        <v>214</v>
      </c>
      <c r="W88" s="3">
        <f>TABL123[[#This Row],[(A/B TOT) AJD]]+TABL123[[#This Row],[(A/S TOT) AJD]]</f>
        <v>767</v>
      </c>
      <c r="X88" s="3">
        <f>TABL123[[#This Row],[( S/S+T/B) AJD]]-TABL123[[#This Row],[(A/B + A/S) AJD]]</f>
        <v>38</v>
      </c>
      <c r="Y88" s="44">
        <v>92.584999999999994</v>
      </c>
      <c r="Z88" s="45">
        <v>547286</v>
      </c>
      <c r="AA88" s="3">
        <f>TABL123[[#This Row],[(RESV. STORGE) AJD]]/10</f>
        <v>54728.6</v>
      </c>
      <c r="AB88" s="45">
        <f t="shared" si="4"/>
        <v>-1.1919999999999999</v>
      </c>
      <c r="AC88" s="45">
        <v>0</v>
      </c>
      <c r="AD88" s="84">
        <f>TABL123[[#This Row],[( S/S+T/B) AJD]]-(TABL123[[#This Row],[(A/B + A/S) AJD]]+(TABL123[[#This Row],[(STORGE DIFF.) AJD]])+TABL123[[#This Row],[البخر  AJD]]/1000)</f>
        <v>39.192000000000007</v>
      </c>
      <c r="AE88" s="68">
        <v>81</v>
      </c>
      <c r="AF88" s="68">
        <v>58.63</v>
      </c>
      <c r="AG88" s="68">
        <v>1379965</v>
      </c>
      <c r="AH88" s="45">
        <v>0</v>
      </c>
      <c r="AI88" s="45">
        <v>0</v>
      </c>
      <c r="AJ88" s="79">
        <f>TABL123[[#This Row],[(A/B TOT) AJD]]-TABL123[[#This Row],[BER_ IN]]</f>
        <v>472</v>
      </c>
      <c r="AK88" s="68">
        <v>22</v>
      </c>
      <c r="AL88" s="88">
        <v>43.286299999999997</v>
      </c>
      <c r="AM88" s="88">
        <v>3263300</v>
      </c>
      <c r="AN88" s="88">
        <f>TABL123[[#This Row],[ (RESV. STORGE) SER]]/10</f>
        <v>326330</v>
      </c>
      <c r="AO88" s="45">
        <v>0</v>
      </c>
      <c r="AP88" s="32">
        <f>TABL123[[#This Row],[(A/S TOT) AJD]]-TABL123[[#This Row],[SER_ IN]]</f>
        <v>192</v>
      </c>
    </row>
    <row r="89" spans="1:42" ht="18.75" x14ac:dyDescent="0.3">
      <c r="A89" s="2">
        <v>46110</v>
      </c>
      <c r="B89" s="41">
        <v>32</v>
      </c>
      <c r="C89" s="41">
        <v>264</v>
      </c>
      <c r="D89" s="41">
        <v>32</v>
      </c>
      <c r="E89" s="28"/>
      <c r="F89" s="41">
        <v>96</v>
      </c>
      <c r="G89" s="39">
        <v>603</v>
      </c>
      <c r="H89" s="28">
        <f t="shared" si="3"/>
        <v>7</v>
      </c>
      <c r="I89" s="39">
        <v>445</v>
      </c>
      <c r="J89" s="39">
        <v>430</v>
      </c>
      <c r="K89" s="28">
        <f>TABL123[[#This Row],[خط (T/B  TOT) SAR]]+TABL123[[#This Row],[خط (S/S  TOT) SAR2]]</f>
        <v>875</v>
      </c>
      <c r="L89" s="41">
        <v>272</v>
      </c>
      <c r="M89" s="42">
        <v>19.7</v>
      </c>
      <c r="N89" s="42">
        <v>7.53</v>
      </c>
      <c r="O89" s="39">
        <v>389</v>
      </c>
      <c r="P89" s="3">
        <f>TABL123[[#This Row],[خط (S/S  TOT) SAR2]]-TABL123[[#This Row],[(S/S TOT) AJD]]</f>
        <v>41</v>
      </c>
      <c r="Q89" s="39">
        <v>418</v>
      </c>
      <c r="R89" s="3">
        <f>TABL123[[#This Row],[خط (T/B  TOT) SAR]]-TABL123[[#This Row],[(T/B TOT) AJD]]</f>
        <v>27</v>
      </c>
      <c r="S89" s="3">
        <f>TABL123[[#This Row],[الفرق بين بداية ونهاية خط  T/B]]+TABL123[[#This Row],[الفرق بين بداية ونهاية خط  S/S]]</f>
        <v>68</v>
      </c>
      <c r="T89" s="3">
        <f>TABL123[[#This Row],[(S/S TOT) AJD]]+TABL123[[#This Row],[(T/B TOT) AJD]]</f>
        <v>807</v>
      </c>
      <c r="U89" s="41">
        <v>543</v>
      </c>
      <c r="V89" s="41">
        <v>212</v>
      </c>
      <c r="W89" s="3">
        <f>TABL123[[#This Row],[(A/B TOT) AJD]]+TABL123[[#This Row],[(A/S TOT) AJD]]</f>
        <v>755</v>
      </c>
      <c r="X89" s="3">
        <f>TABL123[[#This Row],[( S/S+T/B) AJD]]-TABL123[[#This Row],[(A/B + A/S) AJD]]</f>
        <v>52</v>
      </c>
      <c r="Y89" s="41">
        <v>92.647000000000006</v>
      </c>
      <c r="Z89" s="43">
        <v>584280</v>
      </c>
      <c r="AA89" s="3">
        <f>TABL123[[#This Row],[(RESV. STORGE) AJD]]/10</f>
        <v>58428</v>
      </c>
      <c r="AB89" s="45">
        <f t="shared" si="4"/>
        <v>36.994</v>
      </c>
      <c r="AC89" s="43">
        <v>134</v>
      </c>
      <c r="AD89" s="84">
        <f>TABL123[[#This Row],[( S/S+T/B) AJD]]-(TABL123[[#This Row],[(A/B + A/S) AJD]]+(TABL123[[#This Row],[(STORGE DIFF.) AJD]])+TABL123[[#This Row],[البخر  AJD]]/1000)</f>
        <v>14.871999999999957</v>
      </c>
      <c r="AE89" s="68">
        <v>80</v>
      </c>
      <c r="AF89" s="68">
        <v>58.65</v>
      </c>
      <c r="AG89" s="68">
        <v>1393107</v>
      </c>
      <c r="AH89" s="43">
        <v>723</v>
      </c>
      <c r="AI89" s="43">
        <v>723</v>
      </c>
      <c r="AJ89" s="79">
        <f>TABL123[[#This Row],[(A/B TOT) AJD]]-TABL123[[#This Row],[BER_ IN]]</f>
        <v>463</v>
      </c>
      <c r="AK89" s="68">
        <v>21</v>
      </c>
      <c r="AL89" s="88">
        <v>43.294499999999999</v>
      </c>
      <c r="AM89" s="88">
        <v>3267770</v>
      </c>
      <c r="AN89" s="88">
        <f>TABL123[[#This Row],[ (RESV. STORGE) SER]]/10</f>
        <v>326777</v>
      </c>
      <c r="AO89" s="43">
        <v>1830</v>
      </c>
      <c r="AP89" s="32">
        <f>TABL123[[#This Row],[(A/S TOT) AJD]]-TABL123[[#This Row],[SER_ IN]]</f>
        <v>191</v>
      </c>
    </row>
    <row r="90" spans="1:42" ht="18.75" x14ac:dyDescent="0.3">
      <c r="A90" s="2">
        <v>46111</v>
      </c>
      <c r="B90" s="44">
        <v>32</v>
      </c>
      <c r="C90" s="44">
        <v>267</v>
      </c>
      <c r="D90" s="44">
        <v>32</v>
      </c>
      <c r="E90" s="28"/>
      <c r="F90" s="44">
        <v>96</v>
      </c>
      <c r="G90" s="40">
        <v>603</v>
      </c>
      <c r="H90" s="28">
        <f t="shared" si="3"/>
        <v>7</v>
      </c>
      <c r="I90" s="40">
        <v>445</v>
      </c>
      <c r="J90" s="44">
        <v>430</v>
      </c>
      <c r="K90" s="28">
        <f>TABL123[[#This Row],[خط (T/B  TOT) SAR]]+TABL123[[#This Row],[خط (S/S  TOT) SAR2]]</f>
        <v>875</v>
      </c>
      <c r="L90" s="45">
        <v>272</v>
      </c>
      <c r="M90" s="46">
        <v>19.7</v>
      </c>
      <c r="N90" s="46">
        <v>7.56</v>
      </c>
      <c r="O90" s="40">
        <v>388</v>
      </c>
      <c r="P90" s="3">
        <f>TABL123[[#This Row],[خط (S/S  TOT) SAR2]]-TABL123[[#This Row],[(S/S TOT) AJD]]</f>
        <v>42</v>
      </c>
      <c r="Q90" s="40">
        <v>416</v>
      </c>
      <c r="R90" s="3">
        <f>TABL123[[#This Row],[خط (T/B  TOT) SAR]]-TABL123[[#This Row],[(T/B TOT) AJD]]</f>
        <v>29</v>
      </c>
      <c r="S90" s="3">
        <f>TABL123[[#This Row],[الفرق بين بداية ونهاية خط  T/B]]+TABL123[[#This Row],[الفرق بين بداية ونهاية خط  S/S]]</f>
        <v>71</v>
      </c>
      <c r="T90" s="3">
        <f>TABL123[[#This Row],[(S/S TOT) AJD]]+TABL123[[#This Row],[(T/B TOT) AJD]]</f>
        <v>804</v>
      </c>
      <c r="U90" s="44">
        <v>567</v>
      </c>
      <c r="V90" s="44">
        <v>265</v>
      </c>
      <c r="W90" s="3">
        <f>TABL123[[#This Row],[(A/B TOT) AJD]]+TABL123[[#This Row],[(A/S TOT) AJD]]</f>
        <v>832</v>
      </c>
      <c r="X90" s="3">
        <f>TABL123[[#This Row],[( S/S+T/B) AJD]]-TABL123[[#This Row],[(A/B + A/S) AJD]]</f>
        <v>-28</v>
      </c>
      <c r="Y90" s="44">
        <v>92.545000000000002</v>
      </c>
      <c r="Z90" s="45">
        <v>522841</v>
      </c>
      <c r="AA90" s="3">
        <f>TABL123[[#This Row],[(RESV. STORGE) AJD]]/10</f>
        <v>52284.1</v>
      </c>
      <c r="AB90" s="45">
        <f t="shared" si="4"/>
        <v>-61.439</v>
      </c>
      <c r="AC90" s="45">
        <v>0</v>
      </c>
      <c r="AD90" s="84">
        <f>TABL123[[#This Row],[( S/S+T/B) AJD]]-(TABL123[[#This Row],[(A/B + A/S) AJD]]+(TABL123[[#This Row],[(STORGE DIFF.) AJD]])+TABL123[[#This Row],[البخر  AJD]]/1000)</f>
        <v>33.438999999999965</v>
      </c>
      <c r="AE90" s="68">
        <v>86</v>
      </c>
      <c r="AF90" s="68">
        <v>58.68</v>
      </c>
      <c r="AG90" s="68">
        <v>1412827</v>
      </c>
      <c r="AH90" s="45">
        <v>1451</v>
      </c>
      <c r="AI90" s="45">
        <v>1451</v>
      </c>
      <c r="AJ90" s="79">
        <f>TABL123[[#This Row],[(A/B TOT) AJD]]-TABL123[[#This Row],[BER_ IN]]</f>
        <v>481</v>
      </c>
      <c r="AK90" s="68">
        <v>27</v>
      </c>
      <c r="AL90" s="88">
        <v>43.271799999999999</v>
      </c>
      <c r="AM90" s="88">
        <v>3255690</v>
      </c>
      <c r="AN90" s="88">
        <f>TABL123[[#This Row],[ (RESV. STORGE) SER]]/10</f>
        <v>325569</v>
      </c>
      <c r="AO90" s="45">
        <v>1880</v>
      </c>
      <c r="AP90" s="32">
        <f>TABL123[[#This Row],[(A/S TOT) AJD]]-TABL123[[#This Row],[SER_ IN]]</f>
        <v>238</v>
      </c>
    </row>
    <row r="91" spans="1:42" ht="18.75" x14ac:dyDescent="0.3">
      <c r="A91" s="2">
        <v>46112</v>
      </c>
      <c r="B91" s="41">
        <v>32</v>
      </c>
      <c r="C91" s="41">
        <v>267</v>
      </c>
      <c r="D91" s="41">
        <v>32</v>
      </c>
      <c r="E91" s="28"/>
      <c r="F91" s="41">
        <v>96</v>
      </c>
      <c r="G91" s="39">
        <v>603</v>
      </c>
      <c r="H91" s="28">
        <f t="shared" si="3"/>
        <v>7</v>
      </c>
      <c r="I91" s="39">
        <v>445</v>
      </c>
      <c r="J91" s="39">
        <v>430</v>
      </c>
      <c r="K91" s="28">
        <f>TABL123[[#This Row],[خط (T/B  TOT) SAR]]+TABL123[[#This Row],[خط (S/S  TOT) SAR2]]</f>
        <v>875</v>
      </c>
      <c r="L91" s="41">
        <v>272</v>
      </c>
      <c r="M91" s="42">
        <v>19.7</v>
      </c>
      <c r="N91" s="42">
        <v>7.64</v>
      </c>
      <c r="O91" s="39">
        <v>387</v>
      </c>
      <c r="P91" s="3">
        <f>TABL123[[#This Row],[خط (S/S  TOT) SAR2]]-TABL123[[#This Row],[(S/S TOT) AJD]]</f>
        <v>43</v>
      </c>
      <c r="Q91" s="39">
        <v>417</v>
      </c>
      <c r="R91" s="3">
        <f>TABL123[[#This Row],[خط (T/B  TOT) SAR]]-TABL123[[#This Row],[(T/B TOT) AJD]]</f>
        <v>28</v>
      </c>
      <c r="S91" s="3">
        <f>TABL123[[#This Row],[الفرق بين بداية ونهاية خط  T/B]]+TABL123[[#This Row],[الفرق بين بداية ونهاية خط  S/S]]</f>
        <v>71</v>
      </c>
      <c r="T91" s="3">
        <f>TABL123[[#This Row],[(S/S TOT) AJD]]+TABL123[[#This Row],[(T/B TOT) AJD]]</f>
        <v>804</v>
      </c>
      <c r="U91" s="41">
        <v>576</v>
      </c>
      <c r="V91" s="41">
        <v>220</v>
      </c>
      <c r="W91" s="3">
        <f>TABL123[[#This Row],[(A/B TOT) AJD]]+TABL123[[#This Row],[(A/S TOT) AJD]]</f>
        <v>796</v>
      </c>
      <c r="X91" s="3">
        <f>TABL123[[#This Row],[( S/S+T/B) AJD]]-TABL123[[#This Row],[(A/B + A/S) AJD]]</f>
        <v>8</v>
      </c>
      <c r="Y91" s="41">
        <v>92.484999999999999</v>
      </c>
      <c r="Z91" s="43">
        <v>487691</v>
      </c>
      <c r="AA91" s="3">
        <f>TABL123[[#This Row],[(RESV. STORGE) AJD]]/10</f>
        <v>48769.1</v>
      </c>
      <c r="AB91" s="45">
        <f t="shared" si="4"/>
        <v>-35.15</v>
      </c>
      <c r="AC91" s="43">
        <v>1280</v>
      </c>
      <c r="AD91" s="84">
        <f>TABL123[[#This Row],[( S/S+T/B) AJD]]-(TABL123[[#This Row],[(A/B + A/S) AJD]]+(TABL123[[#This Row],[(STORGE DIFF.) AJD]])+TABL123[[#This Row],[البخر  AJD]]/1000)</f>
        <v>41.870000000000005</v>
      </c>
      <c r="AE91" s="68">
        <v>90</v>
      </c>
      <c r="AF91" s="68">
        <v>58.71</v>
      </c>
      <c r="AG91" s="68">
        <v>1432554</v>
      </c>
      <c r="AH91" s="43">
        <v>2143</v>
      </c>
      <c r="AI91" s="43">
        <v>2143</v>
      </c>
      <c r="AJ91" s="79">
        <f>TABL123[[#This Row],[(A/B TOT) AJD]]-TABL123[[#This Row],[BER_ IN]]</f>
        <v>486</v>
      </c>
      <c r="AK91" s="68">
        <v>32</v>
      </c>
      <c r="AL91" s="88">
        <v>43.225900000000003</v>
      </c>
      <c r="AM91" s="88">
        <v>3230710</v>
      </c>
      <c r="AN91" s="88">
        <f>TABL123[[#This Row],[ (RESV. STORGE) SER]]/10</f>
        <v>323071</v>
      </c>
      <c r="AO91" s="43">
        <v>1880</v>
      </c>
      <c r="AP91" s="32">
        <f>TABL123[[#This Row],[(A/S TOT) AJD]]-TABL123[[#This Row],[SER_ IN]]</f>
        <v>188</v>
      </c>
    </row>
    <row r="92" spans="1:42" ht="18.75" x14ac:dyDescent="0.3">
      <c r="A92" s="2">
        <v>46113</v>
      </c>
      <c r="B92" s="41">
        <v>32</v>
      </c>
      <c r="C92" s="41">
        <v>268</v>
      </c>
      <c r="D92" s="41">
        <v>32</v>
      </c>
      <c r="E92" s="41">
        <v>0</v>
      </c>
      <c r="F92" s="41">
        <v>96</v>
      </c>
      <c r="G92" s="39">
        <v>603</v>
      </c>
      <c r="H92" s="28">
        <f t="shared" si="3"/>
        <v>7</v>
      </c>
      <c r="I92" s="39">
        <v>445</v>
      </c>
      <c r="J92" s="39">
        <v>430</v>
      </c>
      <c r="K92" s="28">
        <f>TABL123[[#This Row],[خط (T/B  TOT) SAR]]+TABL123[[#This Row],[خط (S/S  TOT) SAR2]]</f>
        <v>875</v>
      </c>
      <c r="L92" s="41">
        <v>272</v>
      </c>
      <c r="M92" s="42">
        <v>19.7</v>
      </c>
      <c r="N92" s="42">
        <v>7.73</v>
      </c>
      <c r="O92" s="39">
        <v>385</v>
      </c>
      <c r="P92" s="3">
        <f>TABL123[[#This Row],[خط (S/S  TOT) SAR2]]-TABL123[[#This Row],[(S/S TOT) AJD]]</f>
        <v>45</v>
      </c>
      <c r="Q92" s="39">
        <v>416</v>
      </c>
      <c r="R92" s="3">
        <f>TABL123[[#This Row],[خط (T/B  TOT) SAR]]-TABL123[[#This Row],[(T/B TOT) AJD]]</f>
        <v>29</v>
      </c>
      <c r="S92" s="3">
        <f>TABL123[[#This Row],[الفرق بين بداية ونهاية خط  T/B]]+TABL123[[#This Row],[الفرق بين بداية ونهاية خط  S/S]]</f>
        <v>74</v>
      </c>
      <c r="T92" s="3">
        <f>TABL123[[#This Row],[(S/S TOT) AJD]]+TABL123[[#This Row],[(T/B TOT) AJD]]</f>
        <v>801</v>
      </c>
      <c r="U92" s="41">
        <v>565</v>
      </c>
      <c r="V92" s="41">
        <v>220</v>
      </c>
      <c r="W92" s="3">
        <f>TABL123[[#This Row],[(A/B TOT) AJD]]+TABL123[[#This Row],[(A/S TOT) AJD]]</f>
        <v>785</v>
      </c>
      <c r="X92" s="3">
        <f>TABL123[[#This Row],[( S/S+T/B) AJD]]-TABL123[[#This Row],[(A/B + A/S) AJD]]</f>
        <v>16</v>
      </c>
      <c r="Y92" s="41">
        <v>92.462000000000003</v>
      </c>
      <c r="Z92" s="43">
        <v>475779</v>
      </c>
      <c r="AA92" s="3">
        <f>TABL123[[#This Row],[(RESV. STORGE) AJD]]/10</f>
        <v>47577.9</v>
      </c>
      <c r="AB92" s="45">
        <f t="shared" si="4"/>
        <v>-11.912000000000001</v>
      </c>
      <c r="AC92" s="43">
        <v>0</v>
      </c>
      <c r="AD92" s="84">
        <f>TABL123[[#This Row],[( S/S+T/B) AJD]]-(TABL123[[#This Row],[(A/B + A/S) AJD]]+(TABL123[[#This Row],[(STORGE DIFF.) AJD]])+TABL123[[#This Row],[البخر  AJD]]/1000)</f>
        <v>27.912000000000035</v>
      </c>
      <c r="AE92" s="68">
        <v>90</v>
      </c>
      <c r="AF92" s="68">
        <v>58.75</v>
      </c>
      <c r="AG92" s="68">
        <v>1428868</v>
      </c>
      <c r="AH92" s="43">
        <v>1522</v>
      </c>
      <c r="AI92" s="43">
        <v>1522</v>
      </c>
      <c r="AJ92" s="79">
        <f>TABL123[[#This Row],[(A/B TOT) AJD]]-TABL123[[#This Row],[BER_ IN]]</f>
        <v>475</v>
      </c>
      <c r="AK92" s="68">
        <v>28</v>
      </c>
      <c r="AL92" s="88">
        <v>43.1235</v>
      </c>
      <c r="AM92" s="88">
        <v>3175240</v>
      </c>
      <c r="AN92" s="88">
        <f>TABL123[[#This Row],[ (RESV. STORGE) SER]]/10</f>
        <v>317524</v>
      </c>
      <c r="AO92" s="43">
        <v>1670</v>
      </c>
      <c r="AP92" s="32">
        <f>TABL123[[#This Row],[(A/S TOT) AJD]]-TABL123[[#This Row],[SER_ IN]]</f>
        <v>192</v>
      </c>
    </row>
    <row r="93" spans="1:42" ht="18.75" x14ac:dyDescent="0.3">
      <c r="A93" s="2">
        <v>46114</v>
      </c>
      <c r="B93" s="44">
        <v>32</v>
      </c>
      <c r="C93" s="44">
        <v>264</v>
      </c>
      <c r="D93" s="44">
        <v>32</v>
      </c>
      <c r="E93" s="44">
        <v>0</v>
      </c>
      <c r="F93" s="44">
        <v>95</v>
      </c>
      <c r="G93" s="40">
        <v>447</v>
      </c>
      <c r="H93" s="28">
        <f t="shared" si="3"/>
        <v>8</v>
      </c>
      <c r="I93" s="40">
        <v>379</v>
      </c>
      <c r="J93" s="44">
        <v>343</v>
      </c>
      <c r="K93" s="28">
        <f>TABL123[[#This Row],[خط (T/B  TOT) SAR]]+TABL123[[#This Row],[خط (S/S  TOT) SAR2]]</f>
        <v>722</v>
      </c>
      <c r="L93" s="45">
        <v>275</v>
      </c>
      <c r="M93" s="46">
        <v>20.3</v>
      </c>
      <c r="N93" s="46">
        <v>7.73</v>
      </c>
      <c r="O93" s="40">
        <v>358</v>
      </c>
      <c r="P93" s="3">
        <f>TABL123[[#This Row],[خط (S/S  TOT) SAR2]]-TABL123[[#This Row],[(S/S TOT) AJD]]</f>
        <v>-15</v>
      </c>
      <c r="Q93" s="40">
        <v>392</v>
      </c>
      <c r="R93" s="3">
        <f>TABL123[[#This Row],[خط (T/B  TOT) SAR]]-TABL123[[#This Row],[(T/B TOT) AJD]]</f>
        <v>-13</v>
      </c>
      <c r="S93" s="3">
        <f>TABL123[[#This Row],[الفرق بين بداية ونهاية خط  T/B]]+TABL123[[#This Row],[الفرق بين بداية ونهاية خط  S/S]]</f>
        <v>-28</v>
      </c>
      <c r="T93" s="3">
        <f>TABL123[[#This Row],[(S/S TOT) AJD]]+TABL123[[#This Row],[(T/B TOT) AJD]]</f>
        <v>750</v>
      </c>
      <c r="U93" s="44">
        <v>564</v>
      </c>
      <c r="V93" s="44">
        <v>217</v>
      </c>
      <c r="W93" s="3">
        <f>TABL123[[#This Row],[(A/B TOT) AJD]]+TABL123[[#This Row],[(A/S TOT) AJD]]</f>
        <v>781</v>
      </c>
      <c r="X93" s="3">
        <f>TABL123[[#This Row],[( S/S+T/B) AJD]]-TABL123[[#This Row],[(A/B + A/S) AJD]]</f>
        <v>-31</v>
      </c>
      <c r="Y93" s="44">
        <v>92.4</v>
      </c>
      <c r="Z93" s="45">
        <v>437099</v>
      </c>
      <c r="AA93" s="3">
        <f>TABL123[[#This Row],[(RESV. STORGE) AJD]]/10</f>
        <v>43709.9</v>
      </c>
      <c r="AB93" s="45">
        <f t="shared" si="4"/>
        <v>-38.68</v>
      </c>
      <c r="AC93" s="45">
        <v>0</v>
      </c>
      <c r="AD93" s="84">
        <f>TABL123[[#This Row],[( S/S+T/B) AJD]]-(TABL123[[#This Row],[(A/B + A/S) AJD]]+(TABL123[[#This Row],[(STORGE DIFF.) AJD]])+TABL123[[#This Row],[البخر  AJD]]/1000)</f>
        <v>7.67999999999995</v>
      </c>
      <c r="AE93" s="68">
        <v>90</v>
      </c>
      <c r="AF93" s="68">
        <v>58.79</v>
      </c>
      <c r="AG93" s="68">
        <v>1485197</v>
      </c>
      <c r="AH93" s="45">
        <v>1053</v>
      </c>
      <c r="AI93" s="45">
        <v>1053</v>
      </c>
      <c r="AJ93" s="79">
        <f>TABL123[[#This Row],[(A/B TOT) AJD]]-TABL123[[#This Row],[BER_ IN]]</f>
        <v>474</v>
      </c>
      <c r="AK93" s="68">
        <v>29</v>
      </c>
      <c r="AL93" s="88">
        <v>42.998899999999999</v>
      </c>
      <c r="AM93" s="88">
        <v>3107000</v>
      </c>
      <c r="AN93" s="88">
        <f>TABL123[[#This Row],[ (RESV. STORGE) SER]]/10</f>
        <v>310700</v>
      </c>
      <c r="AO93" s="45">
        <v>1655</v>
      </c>
      <c r="AP93" s="32">
        <f>TABL123[[#This Row],[(A/S TOT) AJD]]-TABL123[[#This Row],[SER_ IN]]</f>
        <v>188</v>
      </c>
    </row>
    <row r="94" spans="1:42" ht="18.75" x14ac:dyDescent="0.3">
      <c r="A94" s="2">
        <v>46115</v>
      </c>
      <c r="B94" s="41">
        <v>32</v>
      </c>
      <c r="C94" s="41">
        <v>265</v>
      </c>
      <c r="D94" s="41">
        <v>32</v>
      </c>
      <c r="E94" s="41">
        <v>0</v>
      </c>
      <c r="F94" s="41">
        <v>95</v>
      </c>
      <c r="G94" s="39">
        <v>593</v>
      </c>
      <c r="H94" s="28">
        <f t="shared" si="3"/>
        <v>8</v>
      </c>
      <c r="I94" s="39">
        <v>445</v>
      </c>
      <c r="J94" s="39">
        <v>425</v>
      </c>
      <c r="K94" s="28">
        <f>TABL123[[#This Row],[خط (T/B  TOT) SAR]]+TABL123[[#This Row],[خط (S/S  TOT) SAR2]]</f>
        <v>870</v>
      </c>
      <c r="L94" s="41">
        <v>277</v>
      </c>
      <c r="M94" s="42">
        <v>20.3</v>
      </c>
      <c r="N94" s="42">
        <v>7.74</v>
      </c>
      <c r="O94" s="39">
        <v>344</v>
      </c>
      <c r="P94" s="3">
        <f>TABL123[[#This Row],[خط (S/S  TOT) SAR2]]-TABL123[[#This Row],[(S/S TOT) AJD]]</f>
        <v>81</v>
      </c>
      <c r="Q94" s="39">
        <v>371</v>
      </c>
      <c r="R94" s="3">
        <f>TABL123[[#This Row],[خط (T/B  TOT) SAR]]-TABL123[[#This Row],[(T/B TOT) AJD]]</f>
        <v>74</v>
      </c>
      <c r="S94" s="3">
        <f>TABL123[[#This Row],[الفرق بين بداية ونهاية خط  T/B]]+TABL123[[#This Row],[الفرق بين بداية ونهاية خط  S/S]]</f>
        <v>155</v>
      </c>
      <c r="T94" s="3">
        <f>TABL123[[#This Row],[(S/S TOT) AJD]]+TABL123[[#This Row],[(T/B TOT) AJD]]</f>
        <v>715</v>
      </c>
      <c r="U94" s="41">
        <v>561</v>
      </c>
      <c r="V94" s="41">
        <v>220</v>
      </c>
      <c r="W94" s="3">
        <f>TABL123[[#This Row],[(A/B TOT) AJD]]+TABL123[[#This Row],[(A/S TOT) AJD]]</f>
        <v>781</v>
      </c>
      <c r="X94" s="3">
        <f>TABL123[[#This Row],[( S/S+T/B) AJD]]-TABL123[[#This Row],[(A/B + A/S) AJD]]</f>
        <v>-66</v>
      </c>
      <c r="Y94" s="41">
        <v>92.23</v>
      </c>
      <c r="Z94" s="43">
        <v>336094</v>
      </c>
      <c r="AA94" s="3">
        <f>TABL123[[#This Row],[(RESV. STORGE) AJD]]/10</f>
        <v>33609.4</v>
      </c>
      <c r="AB94" s="45">
        <f t="shared" si="4"/>
        <v>-101.005</v>
      </c>
      <c r="AC94" s="43">
        <v>0</v>
      </c>
      <c r="AD94" s="84">
        <f>TABL123[[#This Row],[( S/S+T/B) AJD]]-(TABL123[[#This Row],[(A/B + A/S) AJD]]+(TABL123[[#This Row],[(STORGE DIFF.) AJD]])+TABL123[[#This Row],[البخر  AJD]]/1000)</f>
        <v>35.004999999999995</v>
      </c>
      <c r="AE94" s="68">
        <v>90</v>
      </c>
      <c r="AF94" s="68">
        <v>58.811999999999998</v>
      </c>
      <c r="AG94" s="68">
        <v>1499684</v>
      </c>
      <c r="AH94" s="43">
        <v>1732</v>
      </c>
      <c r="AI94" s="43">
        <v>1732</v>
      </c>
      <c r="AJ94" s="79">
        <f>TABL123[[#This Row],[(A/B TOT) AJD]]-TABL123[[#This Row],[BER_ IN]]</f>
        <v>471</v>
      </c>
      <c r="AK94" s="68">
        <v>27</v>
      </c>
      <c r="AL94" s="88">
        <v>42.860700000000001</v>
      </c>
      <c r="AM94" s="88">
        <v>3033000</v>
      </c>
      <c r="AN94" s="88">
        <f>TABL123[[#This Row],[ (RESV. STORGE) SER]]/10</f>
        <v>303300</v>
      </c>
      <c r="AO94" s="43">
        <v>1780</v>
      </c>
      <c r="AP94" s="32">
        <f>TABL123[[#This Row],[(A/S TOT) AJD]]-TABL123[[#This Row],[SER_ IN]]</f>
        <v>193</v>
      </c>
    </row>
    <row r="95" spans="1:42" ht="18.75" x14ac:dyDescent="0.3">
      <c r="A95" s="2">
        <v>46116</v>
      </c>
      <c r="B95" s="44">
        <v>32</v>
      </c>
      <c r="C95" s="44">
        <v>266</v>
      </c>
      <c r="D95" s="44">
        <v>32</v>
      </c>
      <c r="E95" s="44">
        <v>0</v>
      </c>
      <c r="F95" s="44">
        <v>96</v>
      </c>
      <c r="G95" s="40">
        <v>605</v>
      </c>
      <c r="H95" s="28">
        <f t="shared" si="3"/>
        <v>7</v>
      </c>
      <c r="I95" s="40">
        <v>450</v>
      </c>
      <c r="J95" s="44">
        <v>432</v>
      </c>
      <c r="K95" s="28">
        <f>TABL123[[#This Row],[خط (T/B  TOT) SAR]]+TABL123[[#This Row],[خط (S/S  TOT) SAR2]]</f>
        <v>882</v>
      </c>
      <c r="L95" s="45">
        <v>277</v>
      </c>
      <c r="M95" s="46">
        <v>20.3</v>
      </c>
      <c r="N95" s="46">
        <v>7.76</v>
      </c>
      <c r="O95" s="40">
        <v>384</v>
      </c>
      <c r="P95" s="3">
        <f>TABL123[[#This Row],[خط (S/S  TOT) SAR2]]-TABL123[[#This Row],[(S/S TOT) AJD]]</f>
        <v>48</v>
      </c>
      <c r="Q95" s="40">
        <v>413</v>
      </c>
      <c r="R95" s="3">
        <f>TABL123[[#This Row],[خط (T/B  TOT) SAR]]-TABL123[[#This Row],[(T/B TOT) AJD]]</f>
        <v>37</v>
      </c>
      <c r="S95" s="3">
        <f>TABL123[[#This Row],[الفرق بين بداية ونهاية خط  T/B]]+TABL123[[#This Row],[الفرق بين بداية ونهاية خط  S/S]]</f>
        <v>85</v>
      </c>
      <c r="T95" s="3">
        <f>TABL123[[#This Row],[(S/S TOT) AJD]]+TABL123[[#This Row],[(T/B TOT) AJD]]</f>
        <v>797</v>
      </c>
      <c r="U95" s="44">
        <v>571</v>
      </c>
      <c r="V95" s="44">
        <v>215</v>
      </c>
      <c r="W95" s="3">
        <f>TABL123[[#This Row],[(A/B TOT) AJD]]+TABL123[[#This Row],[(A/S TOT) AJD]]</f>
        <v>786</v>
      </c>
      <c r="X95" s="3">
        <f>TABL123[[#This Row],[( S/S+T/B) AJD]]-TABL123[[#This Row],[(A/B + A/S) AJD]]</f>
        <v>11</v>
      </c>
      <c r="Y95" s="44">
        <v>92.16</v>
      </c>
      <c r="Z95" s="45">
        <v>294572</v>
      </c>
      <c r="AA95" s="3">
        <f>TABL123[[#This Row],[(RESV. STORGE) AJD]]/10</f>
        <v>29457.200000000001</v>
      </c>
      <c r="AB95" s="45">
        <f t="shared" si="4"/>
        <v>-41.521999999999998</v>
      </c>
      <c r="AC95" s="45">
        <v>1328</v>
      </c>
      <c r="AD95" s="84">
        <f>TABL123[[#This Row],[( S/S+T/B) AJD]]-(TABL123[[#This Row],[(A/B + A/S) AJD]]+(TABL123[[#This Row],[(STORGE DIFF.) AJD]])+TABL123[[#This Row],[البخر  AJD]]/1000)</f>
        <v>51.194000000000074</v>
      </c>
      <c r="AE95" s="68">
        <v>90</v>
      </c>
      <c r="AF95" s="68">
        <v>58.86</v>
      </c>
      <c r="AG95" s="68">
        <v>1531306</v>
      </c>
      <c r="AH95" s="45">
        <v>1401</v>
      </c>
      <c r="AI95" s="45">
        <v>1401</v>
      </c>
      <c r="AJ95" s="79">
        <f>TABL123[[#This Row],[(A/B TOT) AJD]]-TABL123[[#This Row],[BER_ IN]]</f>
        <v>481</v>
      </c>
      <c r="AK95" s="68">
        <v>26</v>
      </c>
      <c r="AL95" s="88">
        <v>42.805900000000001</v>
      </c>
      <c r="AM95" s="88">
        <v>3003083</v>
      </c>
      <c r="AN95" s="88">
        <f>TABL123[[#This Row],[ (RESV. STORGE) SER]]/10</f>
        <v>300308.3</v>
      </c>
      <c r="AO95" s="45">
        <v>1800</v>
      </c>
      <c r="AP95" s="32">
        <f>TABL123[[#This Row],[(A/S TOT) AJD]]-TABL123[[#This Row],[SER_ IN]]</f>
        <v>189</v>
      </c>
    </row>
    <row r="96" spans="1:42" ht="18.75" x14ac:dyDescent="0.3">
      <c r="A96" s="2">
        <v>46117</v>
      </c>
      <c r="B96" s="41">
        <v>32</v>
      </c>
      <c r="C96" s="41">
        <v>249</v>
      </c>
      <c r="D96" s="41">
        <v>32</v>
      </c>
      <c r="E96" s="41">
        <v>0</v>
      </c>
      <c r="F96" s="41">
        <v>96</v>
      </c>
      <c r="G96" s="39">
        <v>594</v>
      </c>
      <c r="H96" s="28">
        <f t="shared" si="3"/>
        <v>7</v>
      </c>
      <c r="I96" s="39">
        <v>445</v>
      </c>
      <c r="J96" s="39">
        <v>430</v>
      </c>
      <c r="K96" s="28">
        <f>TABL123[[#This Row],[خط (T/B  TOT) SAR]]+TABL123[[#This Row],[خط (S/S  TOT) SAR2]]</f>
        <v>875</v>
      </c>
      <c r="L96" s="41">
        <v>281</v>
      </c>
      <c r="M96" s="42">
        <v>20.3</v>
      </c>
      <c r="N96" s="42">
        <v>7.72</v>
      </c>
      <c r="O96" s="39">
        <v>388</v>
      </c>
      <c r="P96" s="3">
        <f>TABL123[[#This Row],[خط (S/S  TOT) SAR2]]-TABL123[[#This Row],[(S/S TOT) AJD]]</f>
        <v>42</v>
      </c>
      <c r="Q96" s="39">
        <v>417</v>
      </c>
      <c r="R96" s="3">
        <f>TABL123[[#This Row],[خط (T/B  TOT) SAR]]-TABL123[[#This Row],[(T/B TOT) AJD]]</f>
        <v>28</v>
      </c>
      <c r="S96" s="3">
        <f>TABL123[[#This Row],[الفرق بين بداية ونهاية خط  T/B]]+TABL123[[#This Row],[الفرق بين بداية ونهاية خط  S/S]]</f>
        <v>70</v>
      </c>
      <c r="T96" s="3">
        <f>TABL123[[#This Row],[(S/S TOT) AJD]]+TABL123[[#This Row],[(T/B TOT) AJD]]</f>
        <v>805</v>
      </c>
      <c r="U96" s="41">
        <v>575</v>
      </c>
      <c r="V96" s="41">
        <v>221</v>
      </c>
      <c r="W96" s="3">
        <f>TABL123[[#This Row],[(A/B TOT) AJD]]+TABL123[[#This Row],[(A/S TOT) AJD]]</f>
        <v>796</v>
      </c>
      <c r="X96" s="3">
        <f>TABL123[[#This Row],[( S/S+T/B) AJD]]-TABL123[[#This Row],[(A/B + A/S) AJD]]</f>
        <v>9</v>
      </c>
      <c r="Y96" s="41">
        <v>92.185000000000002</v>
      </c>
      <c r="Z96" s="43">
        <v>309393</v>
      </c>
      <c r="AA96" s="3">
        <f>TABL123[[#This Row],[(RESV. STORGE) AJD]]/10</f>
        <v>30939.3</v>
      </c>
      <c r="AB96" s="45">
        <f t="shared" si="4"/>
        <v>14.821</v>
      </c>
      <c r="AC96" s="43">
        <v>1079</v>
      </c>
      <c r="AD96" s="84">
        <f>TABL123[[#This Row],[( S/S+T/B) AJD]]-(TABL123[[#This Row],[(A/B + A/S) AJD]]+(TABL123[[#This Row],[(STORGE DIFF.) AJD]])+TABL123[[#This Row],[البخر  AJD]]/1000)</f>
        <v>-6.8999999999999773</v>
      </c>
      <c r="AE96" s="68">
        <v>89</v>
      </c>
      <c r="AF96" s="68">
        <v>58.9</v>
      </c>
      <c r="AG96" s="68">
        <v>1557672</v>
      </c>
      <c r="AH96" s="43">
        <v>2793</v>
      </c>
      <c r="AI96" s="43">
        <v>2793</v>
      </c>
      <c r="AJ96" s="79">
        <f>TABL123[[#This Row],[(A/B TOT) AJD]]-TABL123[[#This Row],[BER_ IN]]</f>
        <v>486</v>
      </c>
      <c r="AK96" s="68">
        <v>25</v>
      </c>
      <c r="AL96" s="88">
        <v>42.827800000000003</v>
      </c>
      <c r="AM96" s="88">
        <v>3014710</v>
      </c>
      <c r="AN96" s="88">
        <f>TABL123[[#This Row],[ (RESV. STORGE) SER]]/10</f>
        <v>301471</v>
      </c>
      <c r="AO96" s="43">
        <v>1820</v>
      </c>
      <c r="AP96" s="32">
        <f>TABL123[[#This Row],[(A/S TOT) AJD]]-TABL123[[#This Row],[SER_ IN]]</f>
        <v>196</v>
      </c>
    </row>
    <row r="97" spans="1:42" ht="18.75" x14ac:dyDescent="0.3">
      <c r="A97" s="2">
        <v>46118</v>
      </c>
      <c r="B97" s="44">
        <v>32</v>
      </c>
      <c r="C97" s="44">
        <v>255</v>
      </c>
      <c r="D97" s="44">
        <v>32</v>
      </c>
      <c r="E97" s="44">
        <v>0</v>
      </c>
      <c r="F97" s="44">
        <v>96</v>
      </c>
      <c r="G97" s="40">
        <v>594</v>
      </c>
      <c r="H97" s="28">
        <f t="shared" si="3"/>
        <v>7</v>
      </c>
      <c r="I97" s="40">
        <v>437</v>
      </c>
      <c r="J97" s="44">
        <v>455</v>
      </c>
      <c r="K97" s="28">
        <f>TABL123[[#This Row],[خط (T/B  TOT) SAR]]+TABL123[[#This Row],[خط (S/S  TOT) SAR2]]</f>
        <v>892</v>
      </c>
      <c r="L97" s="45">
        <v>286</v>
      </c>
      <c r="M97" s="46">
        <v>20.3</v>
      </c>
      <c r="N97" s="46">
        <v>7.6</v>
      </c>
      <c r="O97" s="40">
        <v>391</v>
      </c>
      <c r="P97" s="3">
        <f>TABL123[[#This Row],[خط (S/S  TOT) SAR2]]-TABL123[[#This Row],[(S/S TOT) AJD]]</f>
        <v>64</v>
      </c>
      <c r="Q97" s="40">
        <v>420</v>
      </c>
      <c r="R97" s="3">
        <f>TABL123[[#This Row],[خط (T/B  TOT) SAR]]-TABL123[[#This Row],[(T/B TOT) AJD]]</f>
        <v>17</v>
      </c>
      <c r="S97" s="3">
        <f>TABL123[[#This Row],[الفرق بين بداية ونهاية خط  T/B]]+TABL123[[#This Row],[الفرق بين بداية ونهاية خط  S/S]]</f>
        <v>81</v>
      </c>
      <c r="T97" s="3">
        <f>TABL123[[#This Row],[(S/S TOT) AJD]]+TABL123[[#This Row],[(T/B TOT) AJD]]</f>
        <v>811</v>
      </c>
      <c r="U97" s="44">
        <v>581</v>
      </c>
      <c r="V97" s="44">
        <v>203</v>
      </c>
      <c r="W97" s="3">
        <f>TABL123[[#This Row],[(A/B TOT) AJD]]+TABL123[[#This Row],[(A/S TOT) AJD]]</f>
        <v>784</v>
      </c>
      <c r="X97" s="3">
        <f>TABL123[[#This Row],[( S/S+T/B) AJD]]-TABL123[[#This Row],[(A/B + A/S) AJD]]</f>
        <v>27</v>
      </c>
      <c r="Y97" s="44">
        <v>92.155000000000001</v>
      </c>
      <c r="Z97" s="45">
        <v>291604</v>
      </c>
      <c r="AA97" s="3">
        <f>TABL123[[#This Row],[(RESV. STORGE) AJD]]/10</f>
        <v>29160.400000000001</v>
      </c>
      <c r="AB97" s="45">
        <f t="shared" si="4"/>
        <v>-17.789000000000001</v>
      </c>
      <c r="AC97" s="45">
        <v>0</v>
      </c>
      <c r="AD97" s="84">
        <f>TABL123[[#This Row],[( S/S+T/B) AJD]]-(TABL123[[#This Row],[(A/B + A/S) AJD]]+(TABL123[[#This Row],[(STORGE DIFF.) AJD]])+TABL123[[#This Row],[البخر  AJD]]/1000)</f>
        <v>44.788999999999987</v>
      </c>
      <c r="AE97" s="68">
        <v>90</v>
      </c>
      <c r="AF97" s="68">
        <v>58.85</v>
      </c>
      <c r="AG97" s="68">
        <v>1524716</v>
      </c>
      <c r="AH97" s="45">
        <v>2286</v>
      </c>
      <c r="AI97" s="45">
        <v>2286</v>
      </c>
      <c r="AJ97" s="79">
        <f>TABL123[[#This Row],[(A/B TOT) AJD]]-TABL123[[#This Row],[BER_ IN]]</f>
        <v>491</v>
      </c>
      <c r="AK97" s="68">
        <v>25</v>
      </c>
      <c r="AL97" s="88">
        <v>42.835099999999997</v>
      </c>
      <c r="AM97" s="88">
        <v>3019020</v>
      </c>
      <c r="AN97" s="88">
        <f>TABL123[[#This Row],[ (RESV. STORGE) SER]]/10</f>
        <v>301902</v>
      </c>
      <c r="AO97" s="45">
        <v>1720</v>
      </c>
      <c r="AP97" s="32">
        <f>TABL123[[#This Row],[(A/S TOT) AJD]]-TABL123[[#This Row],[SER_ IN]]</f>
        <v>178</v>
      </c>
    </row>
    <row r="98" spans="1:42" ht="18.75" x14ac:dyDescent="0.3">
      <c r="A98" s="2">
        <v>46119</v>
      </c>
      <c r="B98" s="41">
        <v>32</v>
      </c>
      <c r="C98" s="41">
        <v>260</v>
      </c>
      <c r="D98" s="41">
        <v>32</v>
      </c>
      <c r="E98" s="41">
        <v>0</v>
      </c>
      <c r="F98" s="41">
        <v>96</v>
      </c>
      <c r="G98" s="39">
        <v>597</v>
      </c>
      <c r="H98" s="28">
        <f t="shared" si="3"/>
        <v>7</v>
      </c>
      <c r="I98" s="39">
        <v>449</v>
      </c>
      <c r="J98" s="39">
        <v>433</v>
      </c>
      <c r="K98" s="28">
        <f>TABL123[[#This Row],[خط (T/B  TOT) SAR]]+TABL123[[#This Row],[خط (S/S  TOT) SAR2]]</f>
        <v>882</v>
      </c>
      <c r="L98" s="41">
        <v>285</v>
      </c>
      <c r="M98" s="42">
        <v>20.3</v>
      </c>
      <c r="N98" s="42">
        <v>7.6</v>
      </c>
      <c r="O98" s="39">
        <v>389</v>
      </c>
      <c r="P98" s="3">
        <f>TABL123[[#This Row],[خط (S/S  TOT) SAR2]]-TABL123[[#This Row],[(S/S TOT) AJD]]</f>
        <v>44</v>
      </c>
      <c r="Q98" s="39">
        <v>410</v>
      </c>
      <c r="R98" s="3">
        <f>TABL123[[#This Row],[خط (T/B  TOT) SAR]]-TABL123[[#This Row],[(T/B TOT) AJD]]</f>
        <v>39</v>
      </c>
      <c r="S98" s="3">
        <f>TABL123[[#This Row],[الفرق بين بداية ونهاية خط  T/B]]+TABL123[[#This Row],[الفرق بين بداية ونهاية خط  S/S]]</f>
        <v>83</v>
      </c>
      <c r="T98" s="3">
        <f>TABL123[[#This Row],[(S/S TOT) AJD]]+TABL123[[#This Row],[(T/B TOT) AJD]]</f>
        <v>799</v>
      </c>
      <c r="U98" s="41">
        <v>579</v>
      </c>
      <c r="V98" s="41">
        <v>198</v>
      </c>
      <c r="W98" s="3">
        <f>TABL123[[#This Row],[(A/B TOT) AJD]]+TABL123[[#This Row],[(A/S TOT) AJD]]</f>
        <v>777</v>
      </c>
      <c r="X98" s="3">
        <f>TABL123[[#This Row],[( S/S+T/B) AJD]]-TABL123[[#This Row],[(A/B + A/S) AJD]]</f>
        <v>22</v>
      </c>
      <c r="Y98" s="41">
        <v>92.174999999999997</v>
      </c>
      <c r="Z98" s="43">
        <v>303466</v>
      </c>
      <c r="AA98" s="3">
        <f>TABL123[[#This Row],[(RESV. STORGE) AJD]]/10</f>
        <v>30346.6</v>
      </c>
      <c r="AB98" s="45">
        <f t="shared" si="4"/>
        <v>11.862</v>
      </c>
      <c r="AC98" s="43">
        <v>1196</v>
      </c>
      <c r="AD98" s="84">
        <f>TABL123[[#This Row],[( S/S+T/B) AJD]]-(TABL123[[#This Row],[(A/B + A/S) AJD]]+(TABL123[[#This Row],[(STORGE DIFF.) AJD]])+TABL123[[#This Row],[البخر  AJD]]/1000)</f>
        <v>8.9420000000000073</v>
      </c>
      <c r="AE98" s="68">
        <v>90</v>
      </c>
      <c r="AF98" s="68">
        <v>58.78</v>
      </c>
      <c r="AG98" s="68">
        <v>1478610</v>
      </c>
      <c r="AH98" s="43">
        <v>2223</v>
      </c>
      <c r="AI98" s="43">
        <v>657660</v>
      </c>
      <c r="AJ98" s="79">
        <f>TABL123[[#This Row],[(A/B TOT) AJD]]-TABL123[[#This Row],[BER_ IN]]</f>
        <v>489</v>
      </c>
      <c r="AK98" s="68">
        <v>24</v>
      </c>
      <c r="AL98" s="88">
        <v>42.854700000000001</v>
      </c>
      <c r="AM98" s="88">
        <v>3029840</v>
      </c>
      <c r="AN98" s="88">
        <f>TABL123[[#This Row],[ (RESV. STORGE) SER]]/10</f>
        <v>302984</v>
      </c>
      <c r="AO98" s="43">
        <v>1735</v>
      </c>
      <c r="AP98" s="32">
        <f>TABL123[[#This Row],[(A/S TOT) AJD]]-TABL123[[#This Row],[SER_ IN]]</f>
        <v>174</v>
      </c>
    </row>
    <row r="99" spans="1:42" ht="18.75" x14ac:dyDescent="0.3">
      <c r="A99" s="2">
        <v>46120</v>
      </c>
      <c r="B99" s="44">
        <v>32</v>
      </c>
      <c r="C99" s="44">
        <v>250</v>
      </c>
      <c r="D99" s="44">
        <v>32</v>
      </c>
      <c r="E99" s="44">
        <v>0</v>
      </c>
      <c r="F99" s="44">
        <v>96</v>
      </c>
      <c r="G99" s="40">
        <v>594</v>
      </c>
      <c r="H99" s="28">
        <f t="shared" si="3"/>
        <v>7</v>
      </c>
      <c r="I99" s="40">
        <v>449</v>
      </c>
      <c r="J99" s="44">
        <v>432</v>
      </c>
      <c r="K99" s="28">
        <f>TABL123[[#This Row],[خط (T/B  TOT) SAR]]+TABL123[[#This Row],[خط (S/S  TOT) SAR2]]</f>
        <v>881</v>
      </c>
      <c r="L99" s="45">
        <v>287</v>
      </c>
      <c r="M99" s="46">
        <v>20.3</v>
      </c>
      <c r="N99" s="46">
        <v>7.6</v>
      </c>
      <c r="O99" s="40">
        <v>391</v>
      </c>
      <c r="P99" s="3">
        <f>TABL123[[#This Row],[خط (S/S  TOT) SAR2]]-TABL123[[#This Row],[(S/S TOT) AJD]]</f>
        <v>41</v>
      </c>
      <c r="Q99" s="40">
        <v>432</v>
      </c>
      <c r="R99" s="3">
        <f>TABL123[[#This Row],[خط (T/B  TOT) SAR]]-TABL123[[#This Row],[(T/B TOT) AJD]]</f>
        <v>17</v>
      </c>
      <c r="S99" s="3">
        <f>TABL123[[#This Row],[الفرق بين بداية ونهاية خط  T/B]]+TABL123[[#This Row],[الفرق بين بداية ونهاية خط  S/S]]</f>
        <v>58</v>
      </c>
      <c r="T99" s="3">
        <f>TABL123[[#This Row],[(S/S TOT) AJD]]+TABL123[[#This Row],[(T/B TOT) AJD]]</f>
        <v>823</v>
      </c>
      <c r="U99" s="44">
        <v>574</v>
      </c>
      <c r="V99" s="44">
        <v>199</v>
      </c>
      <c r="W99" s="3">
        <f>TABL123[[#This Row],[(A/B TOT) AJD]]+TABL123[[#This Row],[(A/S TOT) AJD]]</f>
        <v>773</v>
      </c>
      <c r="X99" s="3">
        <f>TABL123[[#This Row],[( S/S+T/B) AJD]]-TABL123[[#This Row],[(A/B + A/S) AJD]]</f>
        <v>50</v>
      </c>
      <c r="Y99" s="44">
        <v>92.204999999999998</v>
      </c>
      <c r="Z99" s="45">
        <v>321759</v>
      </c>
      <c r="AA99" s="3">
        <f>TABL123[[#This Row],[(RESV. STORGE) AJD]]/10</f>
        <v>32175.9</v>
      </c>
      <c r="AB99" s="45">
        <f t="shared" si="4"/>
        <v>18.292999999999999</v>
      </c>
      <c r="AC99" s="45">
        <v>1005</v>
      </c>
      <c r="AD99" s="84">
        <f>TABL123[[#This Row],[( S/S+T/B) AJD]]-(TABL123[[#This Row],[(A/B + A/S) AJD]]+(TABL123[[#This Row],[(STORGE DIFF.) AJD]])+TABL123[[#This Row],[البخر  AJD]]/1000)</f>
        <v>30.701999999999998</v>
      </c>
      <c r="AE99" s="68">
        <v>92</v>
      </c>
      <c r="AF99" s="68">
        <v>58.71</v>
      </c>
      <c r="AG99" s="68">
        <v>1432554</v>
      </c>
      <c r="AH99" s="45">
        <v>2060</v>
      </c>
      <c r="AI99" s="45">
        <v>2060</v>
      </c>
      <c r="AJ99" s="79">
        <f>TABL123[[#This Row],[(A/B TOT) AJD]]-TABL123[[#This Row],[BER_ IN]]</f>
        <v>482</v>
      </c>
      <c r="AK99" s="68">
        <v>25</v>
      </c>
      <c r="AL99" s="88">
        <v>42.863300000000002</v>
      </c>
      <c r="AM99" s="88">
        <v>3033860</v>
      </c>
      <c r="AN99" s="88">
        <f>TABL123[[#This Row],[ (RESV. STORGE) SER]]/10</f>
        <v>303386</v>
      </c>
      <c r="AO99" s="45">
        <v>1765</v>
      </c>
      <c r="AP99" s="32">
        <f>TABL123[[#This Row],[(A/S TOT) AJD]]-TABL123[[#This Row],[SER_ IN]]</f>
        <v>174</v>
      </c>
    </row>
    <row r="100" spans="1:42" ht="18.75" x14ac:dyDescent="0.3">
      <c r="A100" s="2">
        <v>46121</v>
      </c>
      <c r="B100" s="41">
        <v>32</v>
      </c>
      <c r="C100" s="41">
        <v>241</v>
      </c>
      <c r="D100" s="41">
        <v>32</v>
      </c>
      <c r="E100" s="41">
        <v>0</v>
      </c>
      <c r="F100" s="41">
        <v>96</v>
      </c>
      <c r="G100" s="39">
        <v>602</v>
      </c>
      <c r="H100" s="28">
        <f t="shared" si="3"/>
        <v>7</v>
      </c>
      <c r="I100" s="39">
        <v>451</v>
      </c>
      <c r="J100" s="39">
        <v>436</v>
      </c>
      <c r="K100" s="28">
        <f>TABL123[[#This Row],[خط (T/B  TOT) SAR]]+TABL123[[#This Row],[خط (S/S  TOT) SAR2]]</f>
        <v>887</v>
      </c>
      <c r="L100" s="41">
        <v>285</v>
      </c>
      <c r="M100" s="42">
        <v>20.3</v>
      </c>
      <c r="N100" s="42">
        <v>7.54</v>
      </c>
      <c r="O100" s="39">
        <v>392</v>
      </c>
      <c r="P100" s="3">
        <f>TABL123[[#This Row],[خط (S/S  TOT) SAR2]]-TABL123[[#This Row],[(S/S TOT) AJD]]</f>
        <v>44</v>
      </c>
      <c r="Q100" s="39">
        <v>421</v>
      </c>
      <c r="R100" s="3">
        <f>TABL123[[#This Row],[خط (T/B  TOT) SAR]]-TABL123[[#This Row],[(T/B TOT) AJD]]</f>
        <v>30</v>
      </c>
      <c r="S100" s="3">
        <f>TABL123[[#This Row],[الفرق بين بداية ونهاية خط  T/B]]+TABL123[[#This Row],[الفرق بين بداية ونهاية خط  S/S]]</f>
        <v>74</v>
      </c>
      <c r="T100" s="3">
        <f>TABL123[[#This Row],[(S/S TOT) AJD]]+TABL123[[#This Row],[(T/B TOT) AJD]]</f>
        <v>813</v>
      </c>
      <c r="U100" s="41">
        <v>575</v>
      </c>
      <c r="V100" s="41">
        <v>216</v>
      </c>
      <c r="W100" s="3">
        <f>TABL123[[#This Row],[(A/B TOT) AJD]]+TABL123[[#This Row],[(A/S TOT) AJD]]</f>
        <v>791</v>
      </c>
      <c r="X100" s="3">
        <f>TABL123[[#This Row],[( S/S+T/B) AJD]]-TABL123[[#This Row],[(A/B + A/S) AJD]]</f>
        <v>22</v>
      </c>
      <c r="Y100" s="41">
        <v>92.2</v>
      </c>
      <c r="Z100" s="43">
        <v>318290</v>
      </c>
      <c r="AA100" s="3">
        <f>TABL123[[#This Row],[(RESV. STORGE) AJD]]/10</f>
        <v>31829</v>
      </c>
      <c r="AB100" s="45">
        <f t="shared" si="4"/>
        <v>-3.4689999999999999</v>
      </c>
      <c r="AC100" s="43">
        <v>0</v>
      </c>
      <c r="AD100" s="84">
        <f>TABL123[[#This Row],[( S/S+T/B) AJD]]-(TABL123[[#This Row],[(A/B + A/S) AJD]]+(TABL123[[#This Row],[(STORGE DIFF.) AJD]])+TABL123[[#This Row],[البخر  AJD]]/1000)</f>
        <v>25.469000000000051</v>
      </c>
      <c r="AE100" s="68">
        <v>90</v>
      </c>
      <c r="AF100" s="68">
        <v>58.64</v>
      </c>
      <c r="AG100" s="68">
        <v>1386536</v>
      </c>
      <c r="AH100" s="43">
        <v>1674</v>
      </c>
      <c r="AI100" s="43">
        <v>1674</v>
      </c>
      <c r="AJ100" s="79">
        <f>TABL123[[#This Row],[(A/B TOT) AJD]]-TABL123[[#This Row],[BER_ IN]]</f>
        <v>485</v>
      </c>
      <c r="AK100" s="68">
        <v>21</v>
      </c>
      <c r="AL100" s="88">
        <v>42.850900000000003</v>
      </c>
      <c r="AM100" s="88">
        <v>3027660</v>
      </c>
      <c r="AN100" s="88">
        <f>TABL123[[#This Row],[ (RESV. STORGE) SER]]/10</f>
        <v>302766</v>
      </c>
      <c r="AO100" s="43">
        <v>1775</v>
      </c>
      <c r="AP100" s="32">
        <f>TABL123[[#This Row],[(A/S TOT) AJD]]-TABL123[[#This Row],[SER_ IN]]</f>
        <v>195</v>
      </c>
    </row>
    <row r="101" spans="1:42" ht="18.75" x14ac:dyDescent="0.3">
      <c r="A101" s="2">
        <v>46122</v>
      </c>
      <c r="B101" s="44">
        <v>32</v>
      </c>
      <c r="C101" s="44">
        <v>263</v>
      </c>
      <c r="D101" s="44">
        <v>32</v>
      </c>
      <c r="E101" s="44">
        <v>0</v>
      </c>
      <c r="F101" s="44">
        <v>96</v>
      </c>
      <c r="G101" s="40">
        <v>607</v>
      </c>
      <c r="H101" s="28">
        <f t="shared" si="3"/>
        <v>7</v>
      </c>
      <c r="I101" s="40">
        <v>455</v>
      </c>
      <c r="J101" s="44">
        <v>437</v>
      </c>
      <c r="K101" s="28">
        <f>TABL123[[#This Row],[خط (T/B  TOT) SAR]]+TABL123[[#This Row],[خط (S/S  TOT) SAR2]]</f>
        <v>892</v>
      </c>
      <c r="L101" s="45">
        <v>285</v>
      </c>
      <c r="M101" s="46">
        <v>20.3</v>
      </c>
      <c r="N101" s="46">
        <v>7.54</v>
      </c>
      <c r="O101" s="40">
        <v>395</v>
      </c>
      <c r="P101" s="3">
        <f>TABL123[[#This Row],[خط (S/S  TOT) SAR2]]-TABL123[[#This Row],[(S/S TOT) AJD]]</f>
        <v>42</v>
      </c>
      <c r="Q101" s="40">
        <v>424</v>
      </c>
      <c r="R101" s="3">
        <f>TABL123[[#This Row],[خط (T/B  TOT) SAR]]-TABL123[[#This Row],[(T/B TOT) AJD]]</f>
        <v>31</v>
      </c>
      <c r="S101" s="3">
        <f>TABL123[[#This Row],[الفرق بين بداية ونهاية خط  T/B]]+TABL123[[#This Row],[الفرق بين بداية ونهاية خط  S/S]]</f>
        <v>73</v>
      </c>
      <c r="T101" s="3">
        <f>TABL123[[#This Row],[(S/S TOT) AJD]]+TABL123[[#This Row],[(T/B TOT) AJD]]</f>
        <v>819</v>
      </c>
      <c r="U101" s="44">
        <v>575</v>
      </c>
      <c r="V101" s="44">
        <v>236</v>
      </c>
      <c r="W101" s="3">
        <f>TABL123[[#This Row],[(A/B TOT) AJD]]+TABL123[[#This Row],[(A/S TOT) AJD]]</f>
        <v>811</v>
      </c>
      <c r="X101" s="3">
        <f>TABL123[[#This Row],[( S/S+T/B) AJD]]-TABL123[[#This Row],[(A/B + A/S) AJD]]</f>
        <v>8</v>
      </c>
      <c r="Y101" s="44">
        <v>92.168000000000006</v>
      </c>
      <c r="Z101" s="45">
        <v>299312</v>
      </c>
      <c r="AA101" s="3">
        <f>TABL123[[#This Row],[(RESV. STORGE) AJD]]/10</f>
        <v>29931.200000000001</v>
      </c>
      <c r="AB101" s="45">
        <f t="shared" si="4"/>
        <v>-18.978000000000002</v>
      </c>
      <c r="AC101" s="45">
        <v>0</v>
      </c>
      <c r="AD101" s="84">
        <f>TABL123[[#This Row],[( S/S+T/B) AJD]]-(TABL123[[#This Row],[(A/B + A/S) AJD]]+(TABL123[[#This Row],[(STORGE DIFF.) AJD]])+TABL123[[#This Row],[البخر  AJD]]/1000)</f>
        <v>26.977999999999952</v>
      </c>
      <c r="AE101" s="68">
        <v>90</v>
      </c>
      <c r="AF101" s="68">
        <v>58.56</v>
      </c>
      <c r="AG101" s="68">
        <v>1333996</v>
      </c>
      <c r="AH101" s="45">
        <v>1612</v>
      </c>
      <c r="AI101" s="45">
        <v>1612</v>
      </c>
      <c r="AJ101" s="79">
        <f>TABL123[[#This Row],[(A/B TOT) AJD]]-TABL123[[#This Row],[BER_ IN]]</f>
        <v>485</v>
      </c>
      <c r="AK101" s="68">
        <v>21</v>
      </c>
      <c r="AL101" s="88">
        <v>42.835099999999997</v>
      </c>
      <c r="AM101" s="88">
        <v>3019020</v>
      </c>
      <c r="AN101" s="88">
        <f>TABL123[[#This Row],[ (RESV. STORGE) SER]]/10</f>
        <v>301902</v>
      </c>
      <c r="AO101" s="45">
        <v>1785</v>
      </c>
      <c r="AP101" s="32">
        <f>TABL123[[#This Row],[(A/S TOT) AJD]]-TABL123[[#This Row],[SER_ IN]]</f>
        <v>215</v>
      </c>
    </row>
    <row r="102" spans="1:42" ht="18.75" x14ac:dyDescent="0.3">
      <c r="A102" s="2">
        <v>46123</v>
      </c>
      <c r="B102" s="41">
        <v>32</v>
      </c>
      <c r="C102" s="41">
        <v>256</v>
      </c>
      <c r="D102" s="41">
        <v>32</v>
      </c>
      <c r="E102" s="41">
        <v>0</v>
      </c>
      <c r="F102" s="41">
        <v>96</v>
      </c>
      <c r="G102" s="39">
        <v>600</v>
      </c>
      <c r="H102" s="28">
        <f t="shared" si="3"/>
        <v>7</v>
      </c>
      <c r="I102" s="39">
        <v>451</v>
      </c>
      <c r="J102" s="39">
        <v>434</v>
      </c>
      <c r="K102" s="28">
        <f>TABL123[[#This Row],[خط (T/B  TOT) SAR]]+TABL123[[#This Row],[خط (S/S  TOT) SAR2]]</f>
        <v>885</v>
      </c>
      <c r="L102" s="41">
        <v>285</v>
      </c>
      <c r="M102" s="42">
        <v>20.3</v>
      </c>
      <c r="N102" s="42">
        <v>7.55</v>
      </c>
      <c r="O102" s="39">
        <v>397</v>
      </c>
      <c r="P102" s="3">
        <f>TABL123[[#This Row],[خط (S/S  TOT) SAR2]]-TABL123[[#This Row],[(S/S TOT) AJD]]</f>
        <v>37</v>
      </c>
      <c r="Q102" s="39">
        <v>428</v>
      </c>
      <c r="R102" s="3">
        <f>TABL123[[#This Row],[خط (T/B  TOT) SAR]]-TABL123[[#This Row],[(T/B TOT) AJD]]</f>
        <v>23</v>
      </c>
      <c r="S102" s="3">
        <f>TABL123[[#This Row],[الفرق بين بداية ونهاية خط  T/B]]+TABL123[[#This Row],[الفرق بين بداية ونهاية خط  S/S]]</f>
        <v>60</v>
      </c>
      <c r="T102" s="3">
        <f>TABL123[[#This Row],[(S/S TOT) AJD]]+TABL123[[#This Row],[(T/B TOT) AJD]]</f>
        <v>825</v>
      </c>
      <c r="U102" s="41">
        <v>579</v>
      </c>
      <c r="V102" s="41">
        <v>254</v>
      </c>
      <c r="W102" s="3">
        <f>TABL123[[#This Row],[(A/B TOT) AJD]]+TABL123[[#This Row],[(A/S TOT) AJD]]</f>
        <v>833</v>
      </c>
      <c r="X102" s="3">
        <f>TABL123[[#This Row],[( S/S+T/B) AJD]]-TABL123[[#This Row],[(A/B + A/S) AJD]]</f>
        <v>-8</v>
      </c>
      <c r="Y102" s="41">
        <v>92.108000000000004</v>
      </c>
      <c r="Z102" s="43">
        <v>263752</v>
      </c>
      <c r="AA102" s="3">
        <f>TABL123[[#This Row],[(RESV. STORGE) AJD]]/10</f>
        <v>26375.200000000001</v>
      </c>
      <c r="AB102" s="45">
        <f t="shared" si="4"/>
        <v>-35.56</v>
      </c>
      <c r="AC102" s="43">
        <v>0</v>
      </c>
      <c r="AD102" s="84">
        <f>TABL123[[#This Row],[( S/S+T/B) AJD]]-(TABL123[[#This Row],[(A/B + A/S) AJD]]+(TABL123[[#This Row],[(STORGE DIFF.) AJD]])+TABL123[[#This Row],[البخر  AJD]]/1000)</f>
        <v>27.559999999999945</v>
      </c>
      <c r="AE102" s="68">
        <v>90</v>
      </c>
      <c r="AF102" s="68">
        <v>58.49</v>
      </c>
      <c r="AG102" s="68">
        <v>1288069</v>
      </c>
      <c r="AH102" s="43">
        <v>2327</v>
      </c>
      <c r="AI102" s="43">
        <v>2327</v>
      </c>
      <c r="AJ102" s="79">
        <f>TABL123[[#This Row],[(A/B TOT) AJD]]-TABL123[[#This Row],[BER_ IN]]</f>
        <v>489</v>
      </c>
      <c r="AK102" s="68">
        <v>22</v>
      </c>
      <c r="AL102" s="88">
        <v>42.835099999999997</v>
      </c>
      <c r="AM102" s="88">
        <v>3019020</v>
      </c>
      <c r="AN102" s="88">
        <f>TABL123[[#This Row],[ (RESV. STORGE) SER]]/10</f>
        <v>301902</v>
      </c>
      <c r="AO102" s="43">
        <v>1820</v>
      </c>
      <c r="AP102" s="32">
        <f>TABL123[[#This Row],[(A/S TOT) AJD]]-TABL123[[#This Row],[SER_ IN]]</f>
        <v>232</v>
      </c>
    </row>
    <row r="103" spans="1:42" ht="18.75" x14ac:dyDescent="0.3">
      <c r="A103" s="2">
        <v>46124</v>
      </c>
      <c r="B103" s="44">
        <v>33</v>
      </c>
      <c r="C103" s="44">
        <v>258</v>
      </c>
      <c r="D103" s="44">
        <v>33</v>
      </c>
      <c r="E103" s="44">
        <v>0</v>
      </c>
      <c r="F103" s="44">
        <v>96</v>
      </c>
      <c r="G103" s="40">
        <v>587</v>
      </c>
      <c r="H103" s="28">
        <f t="shared" si="3"/>
        <v>7</v>
      </c>
      <c r="I103" s="40">
        <v>444</v>
      </c>
      <c r="J103" s="44">
        <v>429</v>
      </c>
      <c r="K103" s="28">
        <f>TABL123[[#This Row],[خط (T/B  TOT) SAR]]+TABL123[[#This Row],[خط (S/S  TOT) SAR2]]</f>
        <v>873</v>
      </c>
      <c r="L103" s="45">
        <v>286</v>
      </c>
      <c r="M103" s="46">
        <v>20.3</v>
      </c>
      <c r="N103" s="46">
        <v>7.54</v>
      </c>
      <c r="O103" s="40">
        <v>395</v>
      </c>
      <c r="P103" s="3">
        <f>TABL123[[#This Row],[خط (S/S  TOT) SAR2]]-TABL123[[#This Row],[(S/S TOT) AJD]]</f>
        <v>34</v>
      </c>
      <c r="Q103" s="40">
        <v>424</v>
      </c>
      <c r="R103" s="3">
        <f>TABL123[[#This Row],[خط (T/B  TOT) SAR]]-TABL123[[#This Row],[(T/B TOT) AJD]]</f>
        <v>20</v>
      </c>
      <c r="S103" s="3">
        <f>TABL123[[#This Row],[الفرق بين بداية ونهاية خط  T/B]]+TABL123[[#This Row],[الفرق بين بداية ونهاية خط  S/S]]</f>
        <v>54</v>
      </c>
      <c r="T103" s="3">
        <f>TABL123[[#This Row],[(S/S TOT) AJD]]+TABL123[[#This Row],[(T/B TOT) AJD]]</f>
        <v>819</v>
      </c>
      <c r="U103" s="44">
        <v>581</v>
      </c>
      <c r="V103" s="44">
        <v>251</v>
      </c>
      <c r="W103" s="3">
        <f>TABL123[[#This Row],[(A/B TOT) AJD]]+TABL123[[#This Row],[(A/S TOT) AJD]]</f>
        <v>832</v>
      </c>
      <c r="X103" s="3">
        <f>TABL123[[#This Row],[( S/S+T/B) AJD]]-TABL123[[#This Row],[(A/B + A/S) AJD]]</f>
        <v>-13</v>
      </c>
      <c r="Y103" s="44">
        <v>92.046000000000006</v>
      </c>
      <c r="Z103" s="45">
        <v>227032</v>
      </c>
      <c r="AA103" s="3">
        <f>TABL123[[#This Row],[(RESV. STORGE) AJD]]/10</f>
        <v>22703.200000000001</v>
      </c>
      <c r="AB103" s="45">
        <f t="shared" si="4"/>
        <v>-36.72</v>
      </c>
      <c r="AC103" s="45">
        <v>1160</v>
      </c>
      <c r="AD103" s="84">
        <f>TABL123[[#This Row],[( S/S+T/B) AJD]]-(TABL123[[#This Row],[(A/B + A/S) AJD]]+(TABL123[[#This Row],[(STORGE DIFF.) AJD]])+TABL123[[#This Row],[البخر  AJD]]/1000)</f>
        <v>22.560000000000059</v>
      </c>
      <c r="AE103" s="68">
        <v>92</v>
      </c>
      <c r="AF103" s="68">
        <v>58.51</v>
      </c>
      <c r="AG103" s="68">
        <v>1301186</v>
      </c>
      <c r="AH103" s="45">
        <v>2234</v>
      </c>
      <c r="AI103" s="45">
        <v>2234</v>
      </c>
      <c r="AJ103" s="79">
        <f>TABL123[[#This Row],[(A/B TOT) AJD]]-TABL123[[#This Row],[BER_ IN]]</f>
        <v>489</v>
      </c>
      <c r="AK103" s="68">
        <v>22</v>
      </c>
      <c r="AL103" s="88">
        <v>42.830800000000004</v>
      </c>
      <c r="AM103" s="88">
        <v>3016870</v>
      </c>
      <c r="AN103" s="88">
        <f>TABL123[[#This Row],[ (RESV. STORGE) SER]]/10</f>
        <v>301687</v>
      </c>
      <c r="AO103" s="45">
        <v>1850</v>
      </c>
      <c r="AP103" s="32">
        <f>TABL123[[#This Row],[(A/S TOT) AJD]]-TABL123[[#This Row],[SER_ IN]]</f>
        <v>229</v>
      </c>
    </row>
    <row r="104" spans="1:42" ht="18.75" x14ac:dyDescent="0.3">
      <c r="A104" s="2">
        <v>46125</v>
      </c>
      <c r="B104" s="41">
        <v>33</v>
      </c>
      <c r="C104" s="41">
        <v>271</v>
      </c>
      <c r="D104" s="41">
        <v>33</v>
      </c>
      <c r="E104" s="41">
        <v>0</v>
      </c>
      <c r="F104" s="41">
        <v>96</v>
      </c>
      <c r="G104" s="39">
        <v>592</v>
      </c>
      <c r="H104" s="28">
        <f t="shared" si="3"/>
        <v>7</v>
      </c>
      <c r="I104" s="39">
        <v>447</v>
      </c>
      <c r="J104" s="39">
        <v>431</v>
      </c>
      <c r="K104" s="28">
        <f>TABL123[[#This Row],[خط (T/B  TOT) SAR]]+TABL123[[#This Row],[خط (S/S  TOT) SAR2]]</f>
        <v>878</v>
      </c>
      <c r="L104" s="41">
        <v>286</v>
      </c>
      <c r="M104" s="42">
        <v>20.3</v>
      </c>
      <c r="N104" s="42">
        <v>7.61</v>
      </c>
      <c r="O104" s="39">
        <v>390</v>
      </c>
      <c r="P104" s="3">
        <f>TABL123[[#This Row],[خط (S/S  TOT) SAR2]]-TABL123[[#This Row],[(S/S TOT) AJD]]</f>
        <v>41</v>
      </c>
      <c r="Q104" s="39">
        <v>420</v>
      </c>
      <c r="R104" s="3">
        <f>TABL123[[#This Row],[خط (T/B  TOT) SAR]]-TABL123[[#This Row],[(T/B TOT) AJD]]</f>
        <v>27</v>
      </c>
      <c r="S104" s="3">
        <f>TABL123[[#This Row],[الفرق بين بداية ونهاية خط  T/B]]+TABL123[[#This Row],[الفرق بين بداية ونهاية خط  S/S]]</f>
        <v>68</v>
      </c>
      <c r="T104" s="3">
        <f>TABL123[[#This Row],[(S/S TOT) AJD]]+TABL123[[#This Row],[(T/B TOT) AJD]]</f>
        <v>810</v>
      </c>
      <c r="U104" s="41">
        <v>562</v>
      </c>
      <c r="V104" s="41">
        <v>222</v>
      </c>
      <c r="W104" s="3">
        <f>TABL123[[#This Row],[(A/B TOT) AJD]]+TABL123[[#This Row],[(A/S TOT) AJD]]</f>
        <v>784</v>
      </c>
      <c r="X104" s="3">
        <f>TABL123[[#This Row],[( S/S+T/B) AJD]]-TABL123[[#This Row],[(A/B + A/S) AJD]]</f>
        <v>26</v>
      </c>
      <c r="Y104" s="41">
        <v>92.036000000000001</v>
      </c>
      <c r="Z104" s="43">
        <v>221338</v>
      </c>
      <c r="AA104" s="3">
        <f>TABL123[[#This Row],[(RESV. STORGE) AJD]]/10</f>
        <v>22133.8</v>
      </c>
      <c r="AB104" s="45">
        <f t="shared" si="4"/>
        <v>-5.694</v>
      </c>
      <c r="AC104" s="43">
        <v>1384</v>
      </c>
      <c r="AD104" s="84">
        <f>TABL123[[#This Row],[( S/S+T/B) AJD]]-(TABL123[[#This Row],[(A/B + A/S) AJD]]+(TABL123[[#This Row],[(STORGE DIFF.) AJD]])+TABL123[[#This Row],[البخر  AJD]]/1000)</f>
        <v>30.309999999999945</v>
      </c>
      <c r="AE104" s="68">
        <v>72</v>
      </c>
      <c r="AF104" s="68">
        <v>58.53</v>
      </c>
      <c r="AG104" s="68">
        <v>1314308</v>
      </c>
      <c r="AH104" s="43">
        <v>1762</v>
      </c>
      <c r="AI104" s="43">
        <v>1762</v>
      </c>
      <c r="AJ104" s="79">
        <f>TABL123[[#This Row],[(A/B TOT) AJD]]-TABL123[[#This Row],[BER_ IN]]</f>
        <v>490</v>
      </c>
      <c r="AK104" s="68">
        <v>23</v>
      </c>
      <c r="AL104" s="88">
        <v>42.813099999999999</v>
      </c>
      <c r="AM104" s="88">
        <v>3007150</v>
      </c>
      <c r="AN104" s="88">
        <f>TABL123[[#This Row],[ (RESV. STORGE) SER]]/10</f>
        <v>300715</v>
      </c>
      <c r="AO104" s="43">
        <v>2125</v>
      </c>
      <c r="AP104" s="32">
        <f>TABL123[[#This Row],[(A/S TOT) AJD]]-TABL123[[#This Row],[SER_ IN]]</f>
        <v>199</v>
      </c>
    </row>
    <row r="105" spans="1:42" ht="18.75" x14ac:dyDescent="0.3">
      <c r="A105" s="2">
        <v>46126</v>
      </c>
      <c r="B105" s="44">
        <v>33</v>
      </c>
      <c r="C105" s="44">
        <v>249</v>
      </c>
      <c r="D105" s="44">
        <v>33</v>
      </c>
      <c r="E105" s="44">
        <v>0</v>
      </c>
      <c r="F105" s="44">
        <v>96</v>
      </c>
      <c r="G105" s="40">
        <v>580</v>
      </c>
      <c r="H105" s="28">
        <f t="shared" si="3"/>
        <v>7</v>
      </c>
      <c r="I105" s="40">
        <v>441</v>
      </c>
      <c r="J105" s="44">
        <v>425</v>
      </c>
      <c r="K105" s="28">
        <f>TABL123[[#This Row],[خط (T/B  TOT) SAR]]+TABL123[[#This Row],[خط (S/S  TOT) SAR2]]</f>
        <v>866</v>
      </c>
      <c r="L105" s="45">
        <v>286</v>
      </c>
      <c r="M105" s="46">
        <v>20.3</v>
      </c>
      <c r="N105" s="46">
        <v>7.59</v>
      </c>
      <c r="O105" s="40">
        <v>389</v>
      </c>
      <c r="P105" s="3">
        <f>TABL123[[#This Row],[خط (S/S  TOT) SAR2]]-TABL123[[#This Row],[(S/S TOT) AJD]]</f>
        <v>36</v>
      </c>
      <c r="Q105" s="40">
        <v>420</v>
      </c>
      <c r="R105" s="3">
        <f>TABL123[[#This Row],[خط (T/B  TOT) SAR]]-TABL123[[#This Row],[(T/B TOT) AJD]]</f>
        <v>21</v>
      </c>
      <c r="S105" s="3">
        <f>TABL123[[#This Row],[الفرق بين بداية ونهاية خط  T/B]]+TABL123[[#This Row],[الفرق بين بداية ونهاية خط  S/S]]</f>
        <v>57</v>
      </c>
      <c r="T105" s="3">
        <f>TABL123[[#This Row],[(S/S TOT) AJD]]+TABL123[[#This Row],[(T/B TOT) AJD]]</f>
        <v>809</v>
      </c>
      <c r="U105" s="44">
        <v>564</v>
      </c>
      <c r="V105" s="44">
        <v>232</v>
      </c>
      <c r="W105" s="3">
        <f>TABL123[[#This Row],[(A/B TOT) AJD]]+TABL123[[#This Row],[(A/S TOT) AJD]]</f>
        <v>796</v>
      </c>
      <c r="X105" s="3">
        <f>TABL123[[#This Row],[( S/S+T/B) AJD]]-TABL123[[#This Row],[(A/B + A/S) AJD]]</f>
        <v>13</v>
      </c>
      <c r="Y105" s="44">
        <v>92.018000000000001</v>
      </c>
      <c r="Z105" s="45">
        <v>210461</v>
      </c>
      <c r="AA105" s="3">
        <f>TABL123[[#This Row],[(RESV. STORGE) AJD]]/10</f>
        <v>21046.1</v>
      </c>
      <c r="AB105" s="45">
        <f t="shared" si="4"/>
        <v>-10.877000000000001</v>
      </c>
      <c r="AC105" s="45">
        <v>1736</v>
      </c>
      <c r="AD105" s="84">
        <f>TABL123[[#This Row],[( S/S+T/B) AJD]]-(TABL123[[#This Row],[(A/B + A/S) AJD]]+(TABL123[[#This Row],[(STORGE DIFF.) AJD]])+TABL123[[#This Row],[البخر  AJD]]/1000)</f>
        <v>22.140999999999963</v>
      </c>
      <c r="AE105" s="68">
        <v>61</v>
      </c>
      <c r="AF105" s="68">
        <v>58.55</v>
      </c>
      <c r="AG105" s="68">
        <v>1327432</v>
      </c>
      <c r="AH105" s="45">
        <v>2035</v>
      </c>
      <c r="AI105" s="45">
        <v>2035</v>
      </c>
      <c r="AJ105" s="79">
        <f>TABL123[[#This Row],[(A/B TOT) AJD]]-TABL123[[#This Row],[BER_ IN]]</f>
        <v>503</v>
      </c>
      <c r="AK105" s="68">
        <v>24</v>
      </c>
      <c r="AL105" s="88">
        <v>42.790100000000002</v>
      </c>
      <c r="AM105" s="88">
        <v>2995030</v>
      </c>
      <c r="AN105" s="88">
        <f>TABL123[[#This Row],[ (RESV. STORGE) SER]]/10</f>
        <v>299503</v>
      </c>
      <c r="AO105" s="45">
        <v>2135</v>
      </c>
      <c r="AP105" s="32">
        <f>TABL123[[#This Row],[(A/S TOT) AJD]]-TABL123[[#This Row],[SER_ IN]]</f>
        <v>208</v>
      </c>
    </row>
    <row r="106" spans="1:42" ht="18.75" x14ac:dyDescent="0.3">
      <c r="A106" s="2">
        <v>46127</v>
      </c>
      <c r="B106" s="41">
        <v>34</v>
      </c>
      <c r="C106" s="41">
        <v>271</v>
      </c>
      <c r="D106" s="41">
        <v>34</v>
      </c>
      <c r="E106" s="41">
        <v>0</v>
      </c>
      <c r="F106" s="41">
        <v>96</v>
      </c>
      <c r="G106" s="39">
        <v>589</v>
      </c>
      <c r="H106" s="28">
        <f t="shared" si="3"/>
        <v>7</v>
      </c>
      <c r="I106" s="39">
        <v>445</v>
      </c>
      <c r="J106" s="39">
        <v>429</v>
      </c>
      <c r="K106" s="28">
        <f>TABL123[[#This Row],[خط (T/B  TOT) SAR]]+TABL123[[#This Row],[خط (S/S  TOT) SAR2]]</f>
        <v>874</v>
      </c>
      <c r="L106" s="41">
        <v>285</v>
      </c>
      <c r="M106" s="42">
        <v>20.3</v>
      </c>
      <c r="N106" s="42">
        <v>7.62</v>
      </c>
      <c r="O106" s="39">
        <v>387</v>
      </c>
      <c r="P106" s="3">
        <f>TABL123[[#This Row],[خط (S/S  TOT) SAR2]]-TABL123[[#This Row],[(S/S TOT) AJD]]</f>
        <v>42</v>
      </c>
      <c r="Q106" s="39">
        <v>419</v>
      </c>
      <c r="R106" s="3">
        <f>TABL123[[#This Row],[خط (T/B  TOT) SAR]]-TABL123[[#This Row],[(T/B TOT) AJD]]</f>
        <v>26</v>
      </c>
      <c r="S106" s="3">
        <f>TABL123[[#This Row],[الفرق بين بداية ونهاية خط  T/B]]+TABL123[[#This Row],[الفرق بين بداية ونهاية خط  S/S]]</f>
        <v>68</v>
      </c>
      <c r="T106" s="3">
        <f>TABL123[[#This Row],[(S/S TOT) AJD]]+TABL123[[#This Row],[(T/B TOT) AJD]]</f>
        <v>806</v>
      </c>
      <c r="U106" s="41">
        <v>554</v>
      </c>
      <c r="V106" s="41">
        <v>234</v>
      </c>
      <c r="W106" s="3">
        <f>TABL123[[#This Row],[(A/B TOT) AJD]]+TABL123[[#This Row],[(A/S TOT) AJD]]</f>
        <v>788</v>
      </c>
      <c r="X106" s="3">
        <f>TABL123[[#This Row],[( S/S+T/B) AJD]]-TABL123[[#This Row],[(A/B + A/S) AJD]]</f>
        <v>18</v>
      </c>
      <c r="Y106" s="41">
        <v>92.006</v>
      </c>
      <c r="Z106" s="43">
        <v>203360</v>
      </c>
      <c r="AA106" s="3">
        <f>TABL123[[#This Row],[(RESV. STORGE) AJD]]/10</f>
        <v>20336</v>
      </c>
      <c r="AB106" s="45">
        <f t="shared" si="4"/>
        <v>-7.101</v>
      </c>
      <c r="AC106" s="43">
        <v>1416</v>
      </c>
      <c r="AD106" s="84">
        <f>TABL123[[#This Row],[( S/S+T/B) AJD]]-(TABL123[[#This Row],[(A/B + A/S) AJD]]+(TABL123[[#This Row],[(STORGE DIFF.) AJD]])+TABL123[[#This Row],[البخر  AJD]]/1000)</f>
        <v>23.684999999999945</v>
      </c>
      <c r="AE106" s="68">
        <v>61</v>
      </c>
      <c r="AF106" s="68">
        <v>58.54</v>
      </c>
      <c r="AG106" s="68">
        <v>1320869</v>
      </c>
      <c r="AH106" s="43">
        <v>2840</v>
      </c>
      <c r="AI106" s="43">
        <v>2840</v>
      </c>
      <c r="AJ106" s="79">
        <f>TABL123[[#This Row],[(A/B TOT) AJD]]-TABL123[[#This Row],[BER_ IN]]</f>
        <v>493</v>
      </c>
      <c r="AK106" s="68">
        <v>23</v>
      </c>
      <c r="AL106" s="88">
        <v>42.783000000000001</v>
      </c>
      <c r="AM106" s="88">
        <v>2990960</v>
      </c>
      <c r="AN106" s="88">
        <f>TABL123[[#This Row],[ (RESV. STORGE) SER]]/10</f>
        <v>299096</v>
      </c>
      <c r="AO106" s="43">
        <v>1995</v>
      </c>
      <c r="AP106" s="32">
        <f>TABL123[[#This Row],[(A/S TOT) AJD]]-TABL123[[#This Row],[SER_ IN]]</f>
        <v>211</v>
      </c>
    </row>
    <row r="107" spans="1:42" ht="18.75" x14ac:dyDescent="0.3">
      <c r="A107" s="2">
        <v>46128</v>
      </c>
      <c r="B107" s="44">
        <v>34</v>
      </c>
      <c r="C107" s="44">
        <v>276</v>
      </c>
      <c r="D107" s="44">
        <v>34</v>
      </c>
      <c r="E107" s="44">
        <v>0</v>
      </c>
      <c r="F107" s="44">
        <v>96</v>
      </c>
      <c r="G107" s="40">
        <v>590</v>
      </c>
      <c r="H107" s="28">
        <f t="shared" si="3"/>
        <v>7</v>
      </c>
      <c r="I107" s="40">
        <v>446</v>
      </c>
      <c r="J107" s="44">
        <v>430</v>
      </c>
      <c r="K107" s="28">
        <f>TABL123[[#This Row],[خط (T/B  TOT) SAR]]+TABL123[[#This Row],[خط (S/S  TOT) SAR2]]</f>
        <v>876</v>
      </c>
      <c r="L107" s="45">
        <v>286</v>
      </c>
      <c r="M107" s="46">
        <v>20.2</v>
      </c>
      <c r="N107" s="46">
        <v>7.68</v>
      </c>
      <c r="O107" s="40">
        <v>389</v>
      </c>
      <c r="P107" s="3">
        <f>TABL123[[#This Row],[خط (S/S  TOT) SAR2]]-TABL123[[#This Row],[(S/S TOT) AJD]]</f>
        <v>41</v>
      </c>
      <c r="Q107" s="40">
        <v>418</v>
      </c>
      <c r="R107" s="3">
        <f>TABL123[[#This Row],[خط (T/B  TOT) SAR]]-TABL123[[#This Row],[(T/B TOT) AJD]]</f>
        <v>28</v>
      </c>
      <c r="S107" s="3">
        <f>TABL123[[#This Row],[الفرق بين بداية ونهاية خط  T/B]]+TABL123[[#This Row],[الفرق بين بداية ونهاية خط  S/S]]</f>
        <v>69</v>
      </c>
      <c r="T107" s="3">
        <f>TABL123[[#This Row],[(S/S TOT) AJD]]+TABL123[[#This Row],[(T/B TOT) AJD]]</f>
        <v>807</v>
      </c>
      <c r="U107" s="44">
        <v>553</v>
      </c>
      <c r="V107" s="44">
        <v>231</v>
      </c>
      <c r="W107" s="3">
        <f>TABL123[[#This Row],[(A/B TOT) AJD]]+TABL123[[#This Row],[(A/S TOT) AJD]]</f>
        <v>784</v>
      </c>
      <c r="X107" s="3">
        <f>TABL123[[#This Row],[( S/S+T/B) AJD]]-TABL123[[#This Row],[(A/B + A/S) AJD]]</f>
        <v>23</v>
      </c>
      <c r="Y107" s="44">
        <v>92.016000000000005</v>
      </c>
      <c r="Z107" s="45">
        <v>209278</v>
      </c>
      <c r="AA107" s="3">
        <f>TABL123[[#This Row],[(RESV. STORGE) AJD]]/10</f>
        <v>20927.8</v>
      </c>
      <c r="AB107" s="45">
        <f t="shared" si="4"/>
        <v>5.9180000000000001</v>
      </c>
      <c r="AC107" s="45">
        <v>1450</v>
      </c>
      <c r="AD107" s="84">
        <f>TABL123[[#This Row],[( S/S+T/B) AJD]]-(TABL123[[#This Row],[(A/B + A/S) AJD]]+(TABL123[[#This Row],[(STORGE DIFF.) AJD]])+TABL123[[#This Row],[البخر  AJD]]/1000)</f>
        <v>15.631999999999948</v>
      </c>
      <c r="AE107" s="68">
        <v>62</v>
      </c>
      <c r="AF107" s="68">
        <v>58.56</v>
      </c>
      <c r="AG107" s="68">
        <v>1333996</v>
      </c>
      <c r="AH107" s="45">
        <v>1745</v>
      </c>
      <c r="AI107" s="45">
        <v>1745</v>
      </c>
      <c r="AJ107" s="79">
        <f>TABL123[[#This Row],[(A/B TOT) AJD]]-TABL123[[#This Row],[BER_ IN]]</f>
        <v>491</v>
      </c>
      <c r="AK107" s="68">
        <v>6</v>
      </c>
      <c r="AL107" s="88">
        <v>42.745600000000003</v>
      </c>
      <c r="AM107" s="88">
        <v>2971220</v>
      </c>
      <c r="AN107" s="88">
        <f>TABL123[[#This Row],[ (RESV. STORGE) SER]]/10</f>
        <v>297122</v>
      </c>
      <c r="AO107" s="45">
        <v>1740</v>
      </c>
      <c r="AP107" s="32">
        <f>TABL123[[#This Row],[(A/S TOT) AJD]]-TABL123[[#This Row],[SER_ IN]]</f>
        <v>225</v>
      </c>
    </row>
    <row r="108" spans="1:42" ht="18.75" x14ac:dyDescent="0.3">
      <c r="A108" s="2">
        <v>46129</v>
      </c>
      <c r="B108" s="41">
        <v>34</v>
      </c>
      <c r="C108" s="41">
        <v>275</v>
      </c>
      <c r="D108" s="41">
        <v>34</v>
      </c>
      <c r="E108" s="41">
        <v>0</v>
      </c>
      <c r="F108" s="41">
        <v>96</v>
      </c>
      <c r="G108" s="39">
        <v>585</v>
      </c>
      <c r="H108" s="28">
        <f t="shared" si="3"/>
        <v>7</v>
      </c>
      <c r="I108" s="39">
        <v>448</v>
      </c>
      <c r="J108" s="39">
        <v>431</v>
      </c>
      <c r="K108" s="28">
        <f>TABL123[[#This Row],[خط (T/B  TOT) SAR]]+TABL123[[#This Row],[خط (S/S  TOT) SAR2]]</f>
        <v>879</v>
      </c>
      <c r="L108" s="41">
        <v>294</v>
      </c>
      <c r="M108" s="42">
        <v>21.3</v>
      </c>
      <c r="N108" s="42">
        <v>7.74</v>
      </c>
      <c r="O108" s="39">
        <v>388</v>
      </c>
      <c r="P108" s="3">
        <f>TABL123[[#This Row],[خط (S/S  TOT) SAR2]]-TABL123[[#This Row],[(S/S TOT) AJD]]</f>
        <v>43</v>
      </c>
      <c r="Q108" s="39">
        <v>419</v>
      </c>
      <c r="R108" s="3">
        <f>TABL123[[#This Row],[خط (T/B  TOT) SAR]]-TABL123[[#This Row],[(T/B TOT) AJD]]</f>
        <v>29</v>
      </c>
      <c r="S108" s="3">
        <f>TABL123[[#This Row],[الفرق بين بداية ونهاية خط  T/B]]+TABL123[[#This Row],[الفرق بين بداية ونهاية خط  S/S]]</f>
        <v>72</v>
      </c>
      <c r="T108" s="3">
        <f>TABL123[[#This Row],[(S/S TOT) AJD]]+TABL123[[#This Row],[(T/B TOT) AJD]]</f>
        <v>807</v>
      </c>
      <c r="U108" s="41">
        <v>553</v>
      </c>
      <c r="V108" s="41">
        <v>227</v>
      </c>
      <c r="W108" s="3">
        <f>TABL123[[#This Row],[(A/B TOT) AJD]]+TABL123[[#This Row],[(A/S TOT) AJD]]</f>
        <v>780</v>
      </c>
      <c r="X108" s="3">
        <f>TABL123[[#This Row],[( S/S+T/B) AJD]]-TABL123[[#This Row],[(A/B + A/S) AJD]]</f>
        <v>27</v>
      </c>
      <c r="Y108" s="41">
        <v>92.04</v>
      </c>
      <c r="Z108" s="43">
        <v>223482</v>
      </c>
      <c r="AA108" s="3">
        <f>TABL123[[#This Row],[(RESV. STORGE) AJD]]/10</f>
        <v>22348.2</v>
      </c>
      <c r="AB108" s="45">
        <f t="shared" si="4"/>
        <v>14.204000000000001</v>
      </c>
      <c r="AC108" s="43">
        <v>800</v>
      </c>
      <c r="AD108" s="84">
        <f>TABL123[[#This Row],[( S/S+T/B) AJD]]-(TABL123[[#This Row],[(A/B + A/S) AJD]]+(TABL123[[#This Row],[(STORGE DIFF.) AJD]])+TABL123[[#This Row],[البخر  AJD]]/1000)</f>
        <v>11.996000000000095</v>
      </c>
      <c r="AE108" s="68">
        <v>60</v>
      </c>
      <c r="AF108" s="68">
        <v>58.58</v>
      </c>
      <c r="AG108" s="68">
        <v>1347126</v>
      </c>
      <c r="AH108" s="43">
        <v>2275</v>
      </c>
      <c r="AI108" s="43">
        <v>2275</v>
      </c>
      <c r="AJ108" s="79">
        <f>TABL123[[#This Row],[(A/B TOT) AJD]]-TABL123[[#This Row],[BER_ IN]]</f>
        <v>493</v>
      </c>
      <c r="AK108" s="68">
        <v>0</v>
      </c>
      <c r="AL108" s="88">
        <v>42.700600000000001</v>
      </c>
      <c r="AM108" s="88">
        <v>2946760</v>
      </c>
      <c r="AN108" s="88">
        <f>TABL123[[#This Row],[ (RESV. STORGE) SER]]/10</f>
        <v>294676</v>
      </c>
      <c r="AO108" s="43">
        <v>1860</v>
      </c>
      <c r="AP108" s="32">
        <f>TABL123[[#This Row],[(A/S TOT) AJD]]-TABL123[[#This Row],[SER_ IN]]</f>
        <v>227</v>
      </c>
    </row>
    <row r="109" spans="1:42" ht="18.75" x14ac:dyDescent="0.3">
      <c r="A109" s="2">
        <v>46130</v>
      </c>
      <c r="B109" s="44">
        <v>34</v>
      </c>
      <c r="C109" s="44">
        <v>274</v>
      </c>
      <c r="D109" s="44">
        <v>34</v>
      </c>
      <c r="E109" s="44">
        <v>0</v>
      </c>
      <c r="F109" s="44">
        <v>96</v>
      </c>
      <c r="G109" s="40">
        <v>580</v>
      </c>
      <c r="H109" s="28">
        <f t="shared" si="3"/>
        <v>7</v>
      </c>
      <c r="I109" s="40">
        <v>455</v>
      </c>
      <c r="J109" s="44">
        <v>439</v>
      </c>
      <c r="K109" s="28">
        <f>TABL123[[#This Row],[خط (T/B  TOT) SAR]]+TABL123[[#This Row],[خط (S/S  TOT) SAR2]]</f>
        <v>894</v>
      </c>
      <c r="L109" s="45">
        <v>314</v>
      </c>
      <c r="M109" s="46">
        <v>22.3</v>
      </c>
      <c r="N109" s="46">
        <v>7.72</v>
      </c>
      <c r="O109" s="40">
        <v>390</v>
      </c>
      <c r="P109" s="3">
        <f>TABL123[[#This Row],[خط (S/S  TOT) SAR2]]-TABL123[[#This Row],[(S/S TOT) AJD]]</f>
        <v>49</v>
      </c>
      <c r="Q109" s="40">
        <v>422</v>
      </c>
      <c r="R109" s="3">
        <f>TABL123[[#This Row],[خط (T/B  TOT) SAR]]-TABL123[[#This Row],[(T/B TOT) AJD]]</f>
        <v>33</v>
      </c>
      <c r="S109" s="3">
        <f>TABL123[[#This Row],[الفرق بين بداية ونهاية خط  T/B]]+TABL123[[#This Row],[الفرق بين بداية ونهاية خط  S/S]]</f>
        <v>82</v>
      </c>
      <c r="T109" s="3">
        <f>TABL123[[#This Row],[(S/S TOT) AJD]]+TABL123[[#This Row],[(T/B TOT) AJD]]</f>
        <v>812</v>
      </c>
      <c r="U109" s="44">
        <v>553</v>
      </c>
      <c r="V109" s="44">
        <v>243</v>
      </c>
      <c r="W109" s="3">
        <f>TABL123[[#This Row],[(A/B TOT) AJD]]+TABL123[[#This Row],[(A/S TOT) AJD]]</f>
        <v>796</v>
      </c>
      <c r="X109" s="3">
        <f>TABL123[[#This Row],[( S/S+T/B) AJD]]-TABL123[[#This Row],[(A/B + A/S) AJD]]</f>
        <v>16</v>
      </c>
      <c r="Y109" s="44">
        <v>92.025000000000006</v>
      </c>
      <c r="Z109" s="45">
        <v>214606</v>
      </c>
      <c r="AA109" s="3">
        <f>TABL123[[#This Row],[(RESV. STORGE) AJD]]/10</f>
        <v>21460.6</v>
      </c>
      <c r="AB109" s="45">
        <f t="shared" si="4"/>
        <v>-8.8759999999999994</v>
      </c>
      <c r="AC109" s="45">
        <v>800</v>
      </c>
      <c r="AD109" s="84">
        <f>TABL123[[#This Row],[( S/S+T/B) AJD]]-(TABL123[[#This Row],[(A/B + A/S) AJD]]+(TABL123[[#This Row],[(STORGE DIFF.) AJD]])+TABL123[[#This Row],[البخر  AJD]]/1000)</f>
        <v>24.076000000000022</v>
      </c>
      <c r="AE109" s="68">
        <v>60</v>
      </c>
      <c r="AF109" s="68">
        <v>58.6</v>
      </c>
      <c r="AG109" s="68">
        <v>1360259</v>
      </c>
      <c r="AH109" s="45">
        <v>2309</v>
      </c>
      <c r="AI109" s="45">
        <v>2309</v>
      </c>
      <c r="AJ109" s="79">
        <f>TABL123[[#This Row],[(A/B TOT) AJD]]-TABL123[[#This Row],[BER_ IN]]</f>
        <v>493</v>
      </c>
      <c r="AK109" s="68">
        <v>0</v>
      </c>
      <c r="AL109" s="88">
        <v>42.674399999999999</v>
      </c>
      <c r="AM109" s="88">
        <v>2932700</v>
      </c>
      <c r="AN109" s="88">
        <f>TABL123[[#This Row],[ (RESV. STORGE) SER]]/10</f>
        <v>293270</v>
      </c>
      <c r="AO109" s="45">
        <v>1860</v>
      </c>
      <c r="AP109" s="32">
        <f>TABL123[[#This Row],[(A/S TOT) AJD]]-TABL123[[#This Row],[SER_ IN]]</f>
        <v>243</v>
      </c>
    </row>
    <row r="110" spans="1:42" ht="18.75" x14ac:dyDescent="0.3">
      <c r="A110" s="2">
        <v>46131</v>
      </c>
      <c r="B110" s="41">
        <v>35</v>
      </c>
      <c r="C110" s="41">
        <v>277</v>
      </c>
      <c r="D110" s="41">
        <v>35</v>
      </c>
      <c r="E110" s="41">
        <v>0</v>
      </c>
      <c r="F110" s="41">
        <v>95</v>
      </c>
      <c r="G110" s="39">
        <v>596</v>
      </c>
      <c r="H110" s="28">
        <f t="shared" si="3"/>
        <v>8</v>
      </c>
      <c r="I110" s="39">
        <v>463</v>
      </c>
      <c r="J110" s="39">
        <v>446</v>
      </c>
      <c r="K110" s="28">
        <f>TABL123[[#This Row],[خط (T/B  TOT) SAR]]+TABL123[[#This Row],[خط (S/S  TOT) SAR2]]</f>
        <v>909</v>
      </c>
      <c r="L110" s="41">
        <v>313</v>
      </c>
      <c r="M110" s="42">
        <v>22.3</v>
      </c>
      <c r="N110" s="42">
        <v>7.7</v>
      </c>
      <c r="O110" s="39">
        <v>396</v>
      </c>
      <c r="P110" s="3">
        <f>TABL123[[#This Row],[خط (S/S  TOT) SAR2]]-TABL123[[#This Row],[(S/S TOT) AJD]]</f>
        <v>50</v>
      </c>
      <c r="Q110" s="39">
        <v>428</v>
      </c>
      <c r="R110" s="3">
        <f>TABL123[[#This Row],[خط (T/B  TOT) SAR]]-TABL123[[#This Row],[(T/B TOT) AJD]]</f>
        <v>35</v>
      </c>
      <c r="S110" s="3">
        <f>TABL123[[#This Row],[الفرق بين بداية ونهاية خط  T/B]]+TABL123[[#This Row],[الفرق بين بداية ونهاية خط  S/S]]</f>
        <v>85</v>
      </c>
      <c r="T110" s="3">
        <f>TABL123[[#This Row],[(S/S TOT) AJD]]+TABL123[[#This Row],[(T/B TOT) AJD]]</f>
        <v>824</v>
      </c>
      <c r="U110" s="41">
        <v>552</v>
      </c>
      <c r="V110" s="41">
        <v>198</v>
      </c>
      <c r="W110" s="3">
        <f>TABL123[[#This Row],[(A/B TOT) AJD]]+TABL123[[#This Row],[(A/S TOT) AJD]]</f>
        <v>750</v>
      </c>
      <c r="X110" s="3">
        <f>TABL123[[#This Row],[( S/S+T/B) AJD]]-TABL123[[#This Row],[(A/B + A/S) AJD]]</f>
        <v>74</v>
      </c>
      <c r="Y110" s="41">
        <v>92.108000000000004</v>
      </c>
      <c r="Z110" s="43">
        <v>263752</v>
      </c>
      <c r="AA110" s="3">
        <f>TABL123[[#This Row],[(RESV. STORGE) AJD]]/10</f>
        <v>26375.200000000001</v>
      </c>
      <c r="AB110" s="45">
        <f t="shared" si="4"/>
        <v>49.146000000000001</v>
      </c>
      <c r="AC110" s="43">
        <v>0</v>
      </c>
      <c r="AD110" s="84">
        <f>TABL123[[#This Row],[( S/S+T/B) AJD]]-(TABL123[[#This Row],[(A/B + A/S) AJD]]+(TABL123[[#This Row],[(STORGE DIFF.) AJD]])+TABL123[[#This Row],[البخر  AJD]]/1000)</f>
        <v>24.854000000000042</v>
      </c>
      <c r="AE110" s="68">
        <v>60</v>
      </c>
      <c r="AF110" s="68">
        <v>58.62</v>
      </c>
      <c r="AG110" s="68">
        <v>1373396</v>
      </c>
      <c r="AH110" s="43">
        <v>2424</v>
      </c>
      <c r="AI110" s="43">
        <v>2424</v>
      </c>
      <c r="AJ110" s="79">
        <f>TABL123[[#This Row],[(A/B TOT) AJD]]-TABL123[[#This Row],[BER_ IN]]</f>
        <v>492</v>
      </c>
      <c r="AK110" s="68">
        <v>0</v>
      </c>
      <c r="AL110" s="88">
        <v>42.6447</v>
      </c>
      <c r="AM110" s="88">
        <v>2916590</v>
      </c>
      <c r="AN110" s="88">
        <f>TABL123[[#This Row],[ (RESV. STORGE) SER]]/10</f>
        <v>291659</v>
      </c>
      <c r="AO110" s="43">
        <v>1810</v>
      </c>
      <c r="AP110" s="32">
        <f>TABL123[[#This Row],[(A/S TOT) AJD]]-TABL123[[#This Row],[SER_ IN]]</f>
        <v>198</v>
      </c>
    </row>
    <row r="111" spans="1:42" ht="18.75" x14ac:dyDescent="0.3">
      <c r="A111" s="2">
        <v>46132</v>
      </c>
      <c r="B111" s="44">
        <v>35</v>
      </c>
      <c r="C111" s="44">
        <v>267</v>
      </c>
      <c r="D111" s="44">
        <v>35</v>
      </c>
      <c r="E111" s="44">
        <v>0</v>
      </c>
      <c r="F111" s="44">
        <v>95</v>
      </c>
      <c r="G111" s="40">
        <v>596</v>
      </c>
      <c r="H111" s="28">
        <f t="shared" si="3"/>
        <v>8</v>
      </c>
      <c r="I111" s="40">
        <v>463</v>
      </c>
      <c r="J111" s="44">
        <v>446</v>
      </c>
      <c r="K111" s="28">
        <f>TABL123[[#This Row],[خط (T/B  TOT) SAR]]+TABL123[[#This Row],[خط (S/S  TOT) SAR2]]</f>
        <v>909</v>
      </c>
      <c r="L111" s="45">
        <v>313</v>
      </c>
      <c r="M111" s="46">
        <v>22.3</v>
      </c>
      <c r="N111" s="46">
        <v>7.63</v>
      </c>
      <c r="O111" s="40">
        <v>403</v>
      </c>
      <c r="P111" s="3">
        <f>TABL123[[#This Row],[خط (S/S  TOT) SAR2]]-TABL123[[#This Row],[(S/S TOT) AJD]]</f>
        <v>43</v>
      </c>
      <c r="Q111" s="40">
        <v>435</v>
      </c>
      <c r="R111" s="3">
        <f>TABL123[[#This Row],[خط (T/B  TOT) SAR]]-TABL123[[#This Row],[(T/B TOT) AJD]]</f>
        <v>28</v>
      </c>
      <c r="S111" s="3">
        <f>TABL123[[#This Row],[الفرق بين بداية ونهاية خط  T/B]]+TABL123[[#This Row],[الفرق بين بداية ونهاية خط  S/S]]</f>
        <v>71</v>
      </c>
      <c r="T111" s="3">
        <f>TABL123[[#This Row],[(S/S TOT) AJD]]+TABL123[[#This Row],[(T/B TOT) AJD]]</f>
        <v>838</v>
      </c>
      <c r="U111" s="44">
        <v>559</v>
      </c>
      <c r="V111" s="44">
        <v>207</v>
      </c>
      <c r="W111" s="3">
        <f>TABL123[[#This Row],[(A/B TOT) AJD]]+TABL123[[#This Row],[(A/S TOT) AJD]]</f>
        <v>766</v>
      </c>
      <c r="X111" s="3">
        <f>TABL123[[#This Row],[( S/S+T/B) AJD]]-TABL123[[#This Row],[(A/B + A/S) AJD]]</f>
        <v>72</v>
      </c>
      <c r="Y111" s="44">
        <v>92.185000000000002</v>
      </c>
      <c r="Z111" s="45">
        <v>309396</v>
      </c>
      <c r="AA111" s="3">
        <f>TABL123[[#This Row],[(RESV. STORGE) AJD]]/10</f>
        <v>30939.599999999999</v>
      </c>
      <c r="AB111" s="45">
        <f t="shared" si="4"/>
        <v>45.643999999999998</v>
      </c>
      <c r="AC111" s="45">
        <v>1079</v>
      </c>
      <c r="AD111" s="84">
        <f>TABL123[[#This Row],[( S/S+T/B) AJD]]-(TABL123[[#This Row],[(A/B + A/S) AJD]]+(TABL123[[#This Row],[(STORGE DIFF.) AJD]])+TABL123[[#This Row],[البخر  AJD]]/1000)</f>
        <v>25.277000000000044</v>
      </c>
      <c r="AE111" s="68">
        <v>69</v>
      </c>
      <c r="AF111" s="68">
        <v>58.55</v>
      </c>
      <c r="AG111" s="68">
        <v>1327432</v>
      </c>
      <c r="AH111" s="45">
        <v>2063</v>
      </c>
      <c r="AI111" s="45">
        <v>2063</v>
      </c>
      <c r="AJ111" s="79">
        <f>TABL123[[#This Row],[(A/B TOT) AJD]]-TABL123[[#This Row],[BER_ IN]]</f>
        <v>490</v>
      </c>
      <c r="AK111" s="68">
        <v>0</v>
      </c>
      <c r="AL111" s="88">
        <v>42.598100000000002</v>
      </c>
      <c r="AM111" s="88">
        <v>2891290</v>
      </c>
      <c r="AN111" s="88">
        <f>TABL123[[#This Row],[ (RESV. STORGE) SER]]/10</f>
        <v>289129</v>
      </c>
      <c r="AO111" s="45">
        <v>1800</v>
      </c>
      <c r="AP111" s="32">
        <f>TABL123[[#This Row],[(A/S TOT) AJD]]-TABL123[[#This Row],[SER_ IN]]</f>
        <v>207</v>
      </c>
    </row>
    <row r="112" spans="1:42" ht="18.75" x14ac:dyDescent="0.3">
      <c r="A112" s="2">
        <v>46133</v>
      </c>
      <c r="B112" s="41">
        <v>37</v>
      </c>
      <c r="C112" s="41">
        <v>279</v>
      </c>
      <c r="D112" s="41">
        <v>37</v>
      </c>
      <c r="E112" s="41">
        <v>0</v>
      </c>
      <c r="F112" s="41">
        <v>95</v>
      </c>
      <c r="G112" s="39">
        <v>593</v>
      </c>
      <c r="H112" s="28">
        <f t="shared" si="3"/>
        <v>8</v>
      </c>
      <c r="I112" s="39">
        <v>460</v>
      </c>
      <c r="J112" s="39">
        <v>444</v>
      </c>
      <c r="K112" s="28">
        <f>TABL123[[#This Row],[خط (T/B  TOT) SAR]]+TABL123[[#This Row],[خط (S/S  TOT) SAR2]]</f>
        <v>904</v>
      </c>
      <c r="L112" s="41">
        <v>311</v>
      </c>
      <c r="M112" s="42">
        <v>22.3</v>
      </c>
      <c r="N112" s="42">
        <v>7.6</v>
      </c>
      <c r="O112" s="39">
        <v>404</v>
      </c>
      <c r="P112" s="3">
        <f>TABL123[[#This Row],[خط (S/S  TOT) SAR2]]-TABL123[[#This Row],[(S/S TOT) AJD]]</f>
        <v>40</v>
      </c>
      <c r="Q112" s="39">
        <v>435</v>
      </c>
      <c r="R112" s="3">
        <f>TABL123[[#This Row],[خط (T/B  TOT) SAR]]-TABL123[[#This Row],[(T/B TOT) AJD]]</f>
        <v>25</v>
      </c>
      <c r="S112" s="3">
        <f>TABL123[[#This Row],[الفرق بين بداية ونهاية خط  T/B]]+TABL123[[#This Row],[الفرق بين بداية ونهاية خط  S/S]]</f>
        <v>65</v>
      </c>
      <c r="T112" s="3">
        <f>TABL123[[#This Row],[(S/S TOT) AJD]]+TABL123[[#This Row],[(T/B TOT) AJD]]</f>
        <v>839</v>
      </c>
      <c r="U112" s="41">
        <v>564</v>
      </c>
      <c r="V112" s="41">
        <v>240</v>
      </c>
      <c r="W112" s="3">
        <f>TABL123[[#This Row],[(A/B TOT) AJD]]+TABL123[[#This Row],[(A/S TOT) AJD]]</f>
        <v>804</v>
      </c>
      <c r="X112" s="3">
        <f>TABL123[[#This Row],[( S/S+T/B) AJD]]-TABL123[[#This Row],[(A/B + A/S) AJD]]</f>
        <v>35</v>
      </c>
      <c r="Y112" s="41">
        <v>92.215000000000003</v>
      </c>
      <c r="Z112" s="43">
        <v>327188</v>
      </c>
      <c r="AA112" s="3">
        <f>TABL123[[#This Row],[(RESV. STORGE) AJD]]/10</f>
        <v>32718.799999999999</v>
      </c>
      <c r="AB112" s="45">
        <f t="shared" si="4"/>
        <v>17.792000000000002</v>
      </c>
      <c r="AC112" s="43">
        <v>1146</v>
      </c>
      <c r="AD112" s="84">
        <f>TABL123[[#This Row],[( S/S+T/B) AJD]]-(TABL123[[#This Row],[(A/B + A/S) AJD]]+(TABL123[[#This Row],[(STORGE DIFF.) AJD]])+TABL123[[#This Row],[البخر  AJD]]/1000)</f>
        <v>16.062000000000012</v>
      </c>
      <c r="AE112" s="68">
        <v>70</v>
      </c>
      <c r="AF112" s="68">
        <v>58.47</v>
      </c>
      <c r="AG112" s="68">
        <v>1274954</v>
      </c>
      <c r="AH112" s="43">
        <v>2278</v>
      </c>
      <c r="AI112" s="43">
        <v>2278</v>
      </c>
      <c r="AJ112" s="79">
        <f>TABL123[[#This Row],[(A/B TOT) AJD]]-TABL123[[#This Row],[BER_ IN]]</f>
        <v>494</v>
      </c>
      <c r="AK112" s="68">
        <v>0</v>
      </c>
      <c r="AL112" s="88">
        <v>42.552300000000002</v>
      </c>
      <c r="AM112" s="88">
        <v>2866550</v>
      </c>
      <c r="AN112" s="88">
        <f>TABL123[[#This Row],[ (RESV. STORGE) SER]]/10</f>
        <v>286655</v>
      </c>
      <c r="AO112" s="43">
        <v>1840</v>
      </c>
      <c r="AP112" s="32">
        <f>TABL123[[#This Row],[(A/S TOT) AJD]]-TABL123[[#This Row],[SER_ IN]]</f>
        <v>240</v>
      </c>
    </row>
    <row r="113" spans="1:42" ht="18.75" x14ac:dyDescent="0.3">
      <c r="A113" s="2">
        <v>46134</v>
      </c>
      <c r="B113" s="44">
        <v>37</v>
      </c>
      <c r="C113" s="44">
        <v>294</v>
      </c>
      <c r="D113" s="44">
        <v>37</v>
      </c>
      <c r="E113" s="44">
        <v>0</v>
      </c>
      <c r="F113" s="44">
        <v>95</v>
      </c>
      <c r="G113" s="40">
        <v>586</v>
      </c>
      <c r="H113" s="28">
        <f t="shared" si="3"/>
        <v>8</v>
      </c>
      <c r="I113" s="40">
        <v>457</v>
      </c>
      <c r="J113" s="44">
        <v>440</v>
      </c>
      <c r="K113" s="28">
        <f>TABL123[[#This Row],[خط (T/B  TOT) SAR]]+TABL123[[#This Row],[خط (S/S  TOT) SAR2]]</f>
        <v>897</v>
      </c>
      <c r="L113" s="45">
        <v>311</v>
      </c>
      <c r="M113" s="46">
        <v>22.3</v>
      </c>
      <c r="N113" s="46">
        <v>7.65</v>
      </c>
      <c r="O113" s="40">
        <v>400</v>
      </c>
      <c r="P113" s="3">
        <f>TABL123[[#This Row],[خط (S/S  TOT) SAR2]]-TABL123[[#This Row],[(S/S TOT) AJD]]</f>
        <v>40</v>
      </c>
      <c r="Q113" s="40">
        <v>432</v>
      </c>
      <c r="R113" s="3">
        <f>TABL123[[#This Row],[خط (T/B  TOT) SAR]]-TABL123[[#This Row],[(T/B TOT) AJD]]</f>
        <v>25</v>
      </c>
      <c r="S113" s="3">
        <f>TABL123[[#This Row],[الفرق بين بداية ونهاية خط  T/B]]+TABL123[[#This Row],[الفرق بين بداية ونهاية خط  S/S]]</f>
        <v>65</v>
      </c>
      <c r="T113" s="3">
        <f>TABL123[[#This Row],[(S/S TOT) AJD]]+TABL123[[#This Row],[(T/B TOT) AJD]]</f>
        <v>832</v>
      </c>
      <c r="U113" s="44">
        <v>584</v>
      </c>
      <c r="V113" s="44">
        <v>254</v>
      </c>
      <c r="W113" s="3">
        <f>TABL123[[#This Row],[(A/B TOT) AJD]]+TABL123[[#This Row],[(A/S TOT) AJD]]</f>
        <v>838</v>
      </c>
      <c r="X113" s="3">
        <f>TABL123[[#This Row],[( S/S+T/B) AJD]]-TABL123[[#This Row],[(A/B + A/S) AJD]]</f>
        <v>-6</v>
      </c>
      <c r="Y113" s="44">
        <v>92.144999999999996</v>
      </c>
      <c r="Z113" s="45">
        <v>285675</v>
      </c>
      <c r="AA113" s="3">
        <f>TABL123[[#This Row],[(RESV. STORGE) AJD]]/10</f>
        <v>28567.5</v>
      </c>
      <c r="AB113" s="45">
        <f t="shared" si="4"/>
        <v>-41.512999999999998</v>
      </c>
      <c r="AC113" s="45">
        <v>1095</v>
      </c>
      <c r="AD113" s="84">
        <f>TABL123[[#This Row],[( S/S+T/B) AJD]]-(TABL123[[#This Row],[(A/B + A/S) AJD]]+(TABL123[[#This Row],[(STORGE DIFF.) AJD]])+TABL123[[#This Row],[البخر  AJD]]/1000)</f>
        <v>34.418000000000006</v>
      </c>
      <c r="AE113" s="68">
        <v>78</v>
      </c>
      <c r="AF113" s="68">
        <v>58.41</v>
      </c>
      <c r="AG113" s="68">
        <v>1235632</v>
      </c>
      <c r="AH113" s="45">
        <v>2396</v>
      </c>
      <c r="AI113" s="45">
        <v>2396</v>
      </c>
      <c r="AJ113" s="79">
        <f>TABL123[[#This Row],[(A/B TOT) AJD]]-TABL123[[#This Row],[BER_ IN]]</f>
        <v>506</v>
      </c>
      <c r="AK113" s="68">
        <v>0</v>
      </c>
      <c r="AL113" s="88">
        <v>42.513199999999998</v>
      </c>
      <c r="AM113" s="88">
        <v>2845590</v>
      </c>
      <c r="AN113" s="88">
        <f>TABL123[[#This Row],[ (RESV. STORGE) SER]]/10</f>
        <v>284559</v>
      </c>
      <c r="AO113" s="45">
        <v>1860</v>
      </c>
      <c r="AP113" s="32">
        <f>TABL123[[#This Row],[(A/S TOT) AJD]]-TABL123[[#This Row],[SER_ IN]]</f>
        <v>254</v>
      </c>
    </row>
    <row r="114" spans="1:42" ht="18.75" x14ac:dyDescent="0.3">
      <c r="A114" s="2">
        <v>46135</v>
      </c>
      <c r="B114" s="41">
        <v>38</v>
      </c>
      <c r="C114" s="41">
        <v>299</v>
      </c>
      <c r="D114" s="41">
        <v>38</v>
      </c>
      <c r="E114" s="41">
        <v>0</v>
      </c>
      <c r="F114" s="41">
        <v>95</v>
      </c>
      <c r="G114" s="39">
        <v>589</v>
      </c>
      <c r="H114" s="28">
        <f t="shared" si="3"/>
        <v>8</v>
      </c>
      <c r="I114" s="39">
        <v>459</v>
      </c>
      <c r="J114" s="39">
        <v>444</v>
      </c>
      <c r="K114" s="28">
        <f>TABL123[[#This Row],[خط (T/B  TOT) SAR]]+TABL123[[#This Row],[خط (S/S  TOT) SAR2]]</f>
        <v>903</v>
      </c>
      <c r="L114" s="41">
        <v>314</v>
      </c>
      <c r="M114" s="42">
        <v>22.3</v>
      </c>
      <c r="N114" s="42">
        <v>7.77</v>
      </c>
      <c r="O114" s="39">
        <v>398</v>
      </c>
      <c r="P114" s="3">
        <f>TABL123[[#This Row],[خط (S/S  TOT) SAR2]]-TABL123[[#This Row],[(S/S TOT) AJD]]</f>
        <v>46</v>
      </c>
      <c r="Q114" s="39">
        <v>430</v>
      </c>
      <c r="R114" s="3">
        <f>TABL123[[#This Row],[خط (T/B  TOT) SAR]]-TABL123[[#This Row],[(T/B TOT) AJD]]</f>
        <v>29</v>
      </c>
      <c r="S114" s="3">
        <f>TABL123[[#This Row],[الفرق بين بداية ونهاية خط  T/B]]+TABL123[[#This Row],[الفرق بين بداية ونهاية خط  S/S]]</f>
        <v>75</v>
      </c>
      <c r="T114" s="3">
        <f>TABL123[[#This Row],[(S/S TOT) AJD]]+TABL123[[#This Row],[(T/B TOT) AJD]]</f>
        <v>828</v>
      </c>
      <c r="U114" s="41">
        <v>597</v>
      </c>
      <c r="V114" s="41">
        <v>261</v>
      </c>
      <c r="W114" s="3">
        <f>TABL123[[#This Row],[(A/B TOT) AJD]]+TABL123[[#This Row],[(A/S TOT) AJD]]</f>
        <v>858</v>
      </c>
      <c r="X114" s="3">
        <f>TABL123[[#This Row],[( S/S+T/B) AJD]]-TABL123[[#This Row],[(A/B + A/S) AJD]]</f>
        <v>-30</v>
      </c>
      <c r="Y114" s="41">
        <v>92.037999999999997</v>
      </c>
      <c r="Z114" s="43">
        <v>222300</v>
      </c>
      <c r="AA114" s="3">
        <f>TABL123[[#This Row],[(RESV. STORGE) AJD]]/10</f>
        <v>22230</v>
      </c>
      <c r="AB114" s="45">
        <f t="shared" si="4"/>
        <v>-63.375</v>
      </c>
      <c r="AC114" s="43">
        <v>1162</v>
      </c>
      <c r="AD114" s="84">
        <f>TABL123[[#This Row],[( S/S+T/B) AJD]]-(TABL123[[#This Row],[(A/B + A/S) AJD]]+(TABL123[[#This Row],[(STORGE DIFF.) AJD]])+TABL123[[#This Row],[البخر  AJD]]/1000)</f>
        <v>32.212999999999965</v>
      </c>
      <c r="AE114" s="68">
        <v>80</v>
      </c>
      <c r="AF114" s="68">
        <v>58.35</v>
      </c>
      <c r="AG114" s="68">
        <v>1196341</v>
      </c>
      <c r="AH114" s="43">
        <v>2308</v>
      </c>
      <c r="AI114" s="43">
        <v>2308</v>
      </c>
      <c r="AJ114" s="79">
        <f>TABL123[[#This Row],[(A/B TOT) AJD]]-TABL123[[#This Row],[BER_ IN]]</f>
        <v>517</v>
      </c>
      <c r="AK114" s="68">
        <v>0</v>
      </c>
      <c r="AL114" s="88">
        <v>42.4604</v>
      </c>
      <c r="AM114" s="88">
        <v>2817120</v>
      </c>
      <c r="AN114" s="88">
        <f>TABL123[[#This Row],[ (RESV. STORGE) SER]]/10</f>
        <v>281712</v>
      </c>
      <c r="AO114" s="43">
        <v>1870</v>
      </c>
      <c r="AP114" s="32">
        <f>TABL123[[#This Row],[(A/S TOT) AJD]]-TABL123[[#This Row],[SER_ IN]]</f>
        <v>261</v>
      </c>
    </row>
    <row r="115" spans="1:42" ht="18.75" x14ac:dyDescent="0.3">
      <c r="A115" s="2">
        <v>46136</v>
      </c>
      <c r="B115" s="44">
        <v>37</v>
      </c>
      <c r="C115" s="44">
        <v>292</v>
      </c>
      <c r="D115" s="44">
        <v>37</v>
      </c>
      <c r="E115" s="44">
        <v>0</v>
      </c>
      <c r="F115" s="44">
        <v>95</v>
      </c>
      <c r="G115" s="40">
        <v>587</v>
      </c>
      <c r="H115" s="28">
        <f t="shared" si="3"/>
        <v>8</v>
      </c>
      <c r="I115" s="40">
        <v>460</v>
      </c>
      <c r="J115" s="44">
        <v>443</v>
      </c>
      <c r="K115" s="28">
        <f>TABL123[[#This Row],[خط (T/B  TOT) SAR]]+TABL123[[#This Row],[خط (S/S  TOT) SAR2]]</f>
        <v>903</v>
      </c>
      <c r="L115" s="45">
        <v>316</v>
      </c>
      <c r="M115" s="46">
        <v>22.3</v>
      </c>
      <c r="N115" s="46">
        <v>7.87</v>
      </c>
      <c r="O115" s="40">
        <v>400</v>
      </c>
      <c r="P115" s="3">
        <f>TABL123[[#This Row],[خط (S/S  TOT) SAR2]]-TABL123[[#This Row],[(S/S TOT) AJD]]</f>
        <v>43</v>
      </c>
      <c r="Q115" s="40">
        <v>431</v>
      </c>
      <c r="R115" s="3">
        <f>TABL123[[#This Row],[خط (T/B  TOT) SAR]]-TABL123[[#This Row],[(T/B TOT) AJD]]</f>
        <v>29</v>
      </c>
      <c r="S115" s="3">
        <f>TABL123[[#This Row],[الفرق بين بداية ونهاية خط  T/B]]+TABL123[[#This Row],[الفرق بين بداية ونهاية خط  S/S]]</f>
        <v>72</v>
      </c>
      <c r="T115" s="3">
        <f>TABL123[[#This Row],[(S/S TOT) AJD]]+TABL123[[#This Row],[(T/B TOT) AJD]]</f>
        <v>831</v>
      </c>
      <c r="U115" s="44">
        <v>588</v>
      </c>
      <c r="V115" s="44">
        <v>213</v>
      </c>
      <c r="W115" s="3">
        <f>TABL123[[#This Row],[(A/B TOT) AJD]]+TABL123[[#This Row],[(A/S TOT) AJD]]</f>
        <v>801</v>
      </c>
      <c r="X115" s="3">
        <f>TABL123[[#This Row],[( S/S+T/B) AJD]]-TABL123[[#This Row],[(A/B + A/S) AJD]]</f>
        <v>30</v>
      </c>
      <c r="Y115" s="44">
        <v>92.072999999999993</v>
      </c>
      <c r="Z115" s="45">
        <v>243018</v>
      </c>
      <c r="AA115" s="3">
        <f>TABL123[[#This Row],[(RESV. STORGE) AJD]]/10</f>
        <v>24301.8</v>
      </c>
      <c r="AB115" s="45">
        <f t="shared" si="4"/>
        <v>20.718</v>
      </c>
      <c r="AC115" s="45">
        <v>0</v>
      </c>
      <c r="AD115" s="84">
        <f>TABL123[[#This Row],[( S/S+T/B) AJD]]-(TABL123[[#This Row],[(A/B + A/S) AJD]]+(TABL123[[#This Row],[(STORGE DIFF.) AJD]])+TABL123[[#This Row],[البخر  AJD]]/1000)</f>
        <v>9.2820000000000391</v>
      </c>
      <c r="AE115" s="68">
        <v>80</v>
      </c>
      <c r="AF115" s="68">
        <v>58.36</v>
      </c>
      <c r="AG115" s="68">
        <v>1202887</v>
      </c>
      <c r="AH115" s="45">
        <v>2472</v>
      </c>
      <c r="AI115" s="45">
        <v>2472</v>
      </c>
      <c r="AJ115" s="79">
        <f>TABL123[[#This Row],[(A/B TOT) AJD]]-TABL123[[#This Row],[BER_ IN]]</f>
        <v>508</v>
      </c>
      <c r="AK115" s="68">
        <v>0</v>
      </c>
      <c r="AL115" s="88">
        <v>42.4161</v>
      </c>
      <c r="AM115" s="88">
        <v>2793590</v>
      </c>
      <c r="AN115" s="88">
        <f>TABL123[[#This Row],[ (RESV. STORGE) SER]]/10</f>
        <v>279359</v>
      </c>
      <c r="AO115" s="45">
        <v>1830</v>
      </c>
      <c r="AP115" s="32">
        <f>TABL123[[#This Row],[(A/S TOT) AJD]]-TABL123[[#This Row],[SER_ IN]]</f>
        <v>213</v>
      </c>
    </row>
    <row r="116" spans="1:42" ht="18.75" x14ac:dyDescent="0.3">
      <c r="A116" s="2">
        <v>46137</v>
      </c>
      <c r="B116" s="41">
        <v>36</v>
      </c>
      <c r="C116" s="41">
        <v>280</v>
      </c>
      <c r="D116" s="41">
        <v>36</v>
      </c>
      <c r="E116" s="41">
        <v>0</v>
      </c>
      <c r="F116" s="41">
        <v>95</v>
      </c>
      <c r="G116" s="39">
        <v>587</v>
      </c>
      <c r="H116" s="28">
        <f t="shared" si="3"/>
        <v>8</v>
      </c>
      <c r="I116" s="39">
        <v>466</v>
      </c>
      <c r="J116" s="39">
        <v>448</v>
      </c>
      <c r="K116" s="28">
        <f>TABL123[[#This Row],[خط (T/B  TOT) SAR]]+TABL123[[#This Row],[خط (S/S  TOT) SAR2]]</f>
        <v>914</v>
      </c>
      <c r="L116" s="41">
        <v>327</v>
      </c>
      <c r="M116" s="42">
        <v>24</v>
      </c>
      <c r="N116" s="42">
        <v>7.73</v>
      </c>
      <c r="O116" s="39">
        <v>402</v>
      </c>
      <c r="P116" s="3">
        <f>TABL123[[#This Row],[خط (S/S  TOT) SAR2]]-TABL123[[#This Row],[(S/S TOT) AJD]]</f>
        <v>46</v>
      </c>
      <c r="Q116" s="39">
        <v>434</v>
      </c>
      <c r="R116" s="3">
        <f>TABL123[[#This Row],[خط (T/B  TOT) SAR]]-TABL123[[#This Row],[(T/B TOT) AJD]]</f>
        <v>32</v>
      </c>
      <c r="S116" s="3">
        <f>TABL123[[#This Row],[الفرق بين بداية ونهاية خط  T/B]]+TABL123[[#This Row],[الفرق بين بداية ونهاية خط  S/S]]</f>
        <v>78</v>
      </c>
      <c r="T116" s="3">
        <f>TABL123[[#This Row],[(S/S TOT) AJD]]+TABL123[[#This Row],[(T/B TOT) AJD]]</f>
        <v>836</v>
      </c>
      <c r="U116" s="41">
        <v>587</v>
      </c>
      <c r="V116" s="41">
        <v>207</v>
      </c>
      <c r="W116" s="3">
        <f>TABL123[[#This Row],[(A/B TOT) AJD]]+TABL123[[#This Row],[(A/S TOT) AJD]]</f>
        <v>794</v>
      </c>
      <c r="X116" s="3">
        <f>TABL123[[#This Row],[( S/S+T/B) AJD]]-TABL123[[#This Row],[(A/B + A/S) AJD]]</f>
        <v>42</v>
      </c>
      <c r="Y116" s="41">
        <v>92.1</v>
      </c>
      <c r="Z116" s="43">
        <v>259010</v>
      </c>
      <c r="AA116" s="3">
        <f>TABL123[[#This Row],[(RESV. STORGE) AJD]]/10</f>
        <v>25901</v>
      </c>
      <c r="AB116" s="45">
        <f t="shared" si="4"/>
        <v>15.992000000000001</v>
      </c>
      <c r="AC116" s="43">
        <v>1344</v>
      </c>
      <c r="AD116" s="84">
        <f>TABL123[[#This Row],[( S/S+T/B) AJD]]-(TABL123[[#This Row],[(A/B + A/S) AJD]]+(TABL123[[#This Row],[(STORGE DIFF.) AJD]])+TABL123[[#This Row],[البخر  AJD]]/1000)</f>
        <v>24.663999999999987</v>
      </c>
      <c r="AE116" s="68">
        <v>80</v>
      </c>
      <c r="AF116" s="68">
        <v>58.39</v>
      </c>
      <c r="AG116" s="68">
        <v>1222531</v>
      </c>
      <c r="AH116" s="43">
        <v>2012</v>
      </c>
      <c r="AI116" s="43">
        <v>2012</v>
      </c>
      <c r="AJ116" s="79">
        <f>TABL123[[#This Row],[(A/B TOT) AJD]]-TABL123[[#This Row],[BER_ IN]]</f>
        <v>507</v>
      </c>
      <c r="AK116" s="68">
        <v>0</v>
      </c>
      <c r="AL116" s="88">
        <v>42.399000000000001</v>
      </c>
      <c r="AM116" s="88">
        <v>2784380</v>
      </c>
      <c r="AN116" s="88">
        <f>TABL123[[#This Row],[ (RESV. STORGE) SER]]/10</f>
        <v>278438</v>
      </c>
      <c r="AO116" s="43">
        <v>1810</v>
      </c>
      <c r="AP116" s="32">
        <f>TABL123[[#This Row],[(A/S TOT) AJD]]-TABL123[[#This Row],[SER_ IN]]</f>
        <v>207</v>
      </c>
    </row>
    <row r="117" spans="1:42" ht="18.75" x14ac:dyDescent="0.3">
      <c r="A117" s="2">
        <v>46138</v>
      </c>
      <c r="B117" s="44">
        <v>36</v>
      </c>
      <c r="C117" s="67">
        <v>323</v>
      </c>
      <c r="D117" s="44">
        <v>36</v>
      </c>
      <c r="E117" s="44">
        <v>0</v>
      </c>
      <c r="F117" s="44">
        <v>95</v>
      </c>
      <c r="G117" s="40">
        <v>584</v>
      </c>
      <c r="H117" s="28">
        <f t="shared" si="3"/>
        <v>8</v>
      </c>
      <c r="I117" s="40">
        <v>469</v>
      </c>
      <c r="J117" s="44">
        <v>451</v>
      </c>
      <c r="K117" s="28">
        <f>TABL123[[#This Row],[خط (T/B  TOT) SAR]]+TABL123[[#This Row],[خط (S/S  TOT) SAR2]]</f>
        <v>920</v>
      </c>
      <c r="L117" s="45">
        <v>336</v>
      </c>
      <c r="M117" s="46">
        <v>24</v>
      </c>
      <c r="N117" s="46">
        <v>7.62</v>
      </c>
      <c r="O117" s="40">
        <v>408</v>
      </c>
      <c r="P117" s="3">
        <f>TABL123[[#This Row],[خط (S/S  TOT) SAR2]]-TABL123[[#This Row],[(S/S TOT) AJD]]</f>
        <v>43</v>
      </c>
      <c r="Q117" s="40">
        <v>440</v>
      </c>
      <c r="R117" s="3">
        <f>TABL123[[#This Row],[خط (T/B  TOT) SAR]]-TABL123[[#This Row],[(T/B TOT) AJD]]</f>
        <v>29</v>
      </c>
      <c r="S117" s="3">
        <f>TABL123[[#This Row],[الفرق بين بداية ونهاية خط  T/B]]+TABL123[[#This Row],[الفرق بين بداية ونهاية خط  S/S]]</f>
        <v>72</v>
      </c>
      <c r="T117" s="3">
        <f>TABL123[[#This Row],[(S/S TOT) AJD]]+TABL123[[#This Row],[(T/B TOT) AJD]]</f>
        <v>848</v>
      </c>
      <c r="U117" s="44">
        <v>590</v>
      </c>
      <c r="V117" s="44">
        <v>230</v>
      </c>
      <c r="W117" s="3">
        <f>TABL123[[#This Row],[(A/B TOT) AJD]]+TABL123[[#This Row],[(A/S TOT) AJD]]</f>
        <v>820</v>
      </c>
      <c r="X117" s="3">
        <f>TABL123[[#This Row],[( S/S+T/B) AJD]]-TABL123[[#This Row],[(A/B + A/S) AJD]]</f>
        <v>28</v>
      </c>
      <c r="Y117" s="44">
        <v>92.125</v>
      </c>
      <c r="Z117" s="45">
        <v>273824</v>
      </c>
      <c r="AA117" s="3">
        <f>TABL123[[#This Row],[(RESV. STORGE) AJD]]/10</f>
        <v>27382.400000000001</v>
      </c>
      <c r="AB117" s="45">
        <f t="shared" si="4"/>
        <v>14.814</v>
      </c>
      <c r="AC117" s="45">
        <v>1020</v>
      </c>
      <c r="AD117" s="84">
        <f>TABL123[[#This Row],[( S/S+T/B) AJD]]-(TABL123[[#This Row],[(A/B + A/S) AJD]]+(TABL123[[#This Row],[(STORGE DIFF.) AJD]])+TABL123[[#This Row],[البخر  AJD]]/1000)</f>
        <v>12.166000000000054</v>
      </c>
      <c r="AE117" s="68">
        <v>80</v>
      </c>
      <c r="AF117" s="68">
        <v>58.41</v>
      </c>
      <c r="AG117" s="68">
        <v>1235632</v>
      </c>
      <c r="AH117" s="45">
        <v>2203</v>
      </c>
      <c r="AI117" s="45">
        <v>2203</v>
      </c>
      <c r="AJ117" s="79">
        <f>TABL123[[#This Row],[(A/B TOT) AJD]]-TABL123[[#This Row],[BER_ IN]]</f>
        <v>510</v>
      </c>
      <c r="AK117" s="68">
        <v>0</v>
      </c>
      <c r="AL117" s="88">
        <v>42.362099999999998</v>
      </c>
      <c r="AM117" s="88">
        <v>2764530</v>
      </c>
      <c r="AN117" s="88">
        <f>TABL123[[#This Row],[ (RESV. STORGE) SER]]/10</f>
        <v>276453</v>
      </c>
      <c r="AO117" s="45">
        <v>1850</v>
      </c>
      <c r="AP117" s="32">
        <f>TABL123[[#This Row],[(A/S TOT) AJD]]-TABL123[[#This Row],[SER_ IN]]</f>
        <v>230</v>
      </c>
    </row>
    <row r="118" spans="1:42" ht="18.75" x14ac:dyDescent="0.3">
      <c r="A118" s="2">
        <v>46139</v>
      </c>
      <c r="B118" s="41">
        <v>35</v>
      </c>
      <c r="C118" s="41">
        <v>281</v>
      </c>
      <c r="D118" s="41">
        <v>35</v>
      </c>
      <c r="E118" s="41">
        <v>0</v>
      </c>
      <c r="F118" s="41">
        <v>95</v>
      </c>
      <c r="G118" s="39">
        <v>430</v>
      </c>
      <c r="H118" s="28">
        <f t="shared" si="3"/>
        <v>8</v>
      </c>
      <c r="I118" s="39">
        <v>389</v>
      </c>
      <c r="J118" s="39">
        <v>376</v>
      </c>
      <c r="K118" s="28">
        <f>TABL123[[#This Row],[خط (T/B  TOT) SAR]]+TABL123[[#This Row],[خط (S/S  TOT) SAR2]]</f>
        <v>765</v>
      </c>
      <c r="L118" s="41">
        <v>335</v>
      </c>
      <c r="M118" s="42">
        <v>24</v>
      </c>
      <c r="N118" s="42">
        <v>7.54</v>
      </c>
      <c r="O118" s="39">
        <v>406</v>
      </c>
      <c r="P118" s="3">
        <f>TABL123[[#This Row],[خط (S/S  TOT) SAR2]]-TABL123[[#This Row],[(S/S TOT) AJD]]</f>
        <v>-30</v>
      </c>
      <c r="Q118" s="39">
        <v>440</v>
      </c>
      <c r="R118" s="3">
        <f>TABL123[[#This Row],[خط (T/B  TOT) SAR]]-TABL123[[#This Row],[(T/B TOT) AJD]]</f>
        <v>-51</v>
      </c>
      <c r="S118" s="3">
        <f>TABL123[[#This Row],[الفرق بين بداية ونهاية خط  T/B]]+TABL123[[#This Row],[الفرق بين بداية ونهاية خط  S/S]]</f>
        <v>-81</v>
      </c>
      <c r="T118" s="3">
        <f>TABL123[[#This Row],[(S/S TOT) AJD]]+TABL123[[#This Row],[(T/B TOT) AJD]]</f>
        <v>846</v>
      </c>
      <c r="U118" s="41">
        <v>586</v>
      </c>
      <c r="V118" s="41">
        <v>237</v>
      </c>
      <c r="W118" s="3">
        <f>TABL123[[#This Row],[(A/B TOT) AJD]]+TABL123[[#This Row],[(A/S TOT) AJD]]</f>
        <v>823</v>
      </c>
      <c r="X118" s="3">
        <f>TABL123[[#This Row],[( S/S+T/B) AJD]]-TABL123[[#This Row],[(A/B + A/S) AJD]]</f>
        <v>23</v>
      </c>
      <c r="Y118" s="41">
        <v>92.11</v>
      </c>
      <c r="Z118" s="43">
        <v>264936</v>
      </c>
      <c r="AA118" s="3">
        <f>TABL123[[#This Row],[(RESV. STORGE) AJD]]/10</f>
        <v>26493.599999999999</v>
      </c>
      <c r="AB118" s="45">
        <f t="shared" si="4"/>
        <v>-8.8879999999999999</v>
      </c>
      <c r="AC118" s="43">
        <v>1389</v>
      </c>
      <c r="AD118" s="84">
        <f>TABL123[[#This Row],[( S/S+T/B) AJD]]-(TABL123[[#This Row],[(A/B + A/S) AJD]]+(TABL123[[#This Row],[(STORGE DIFF.) AJD]])+TABL123[[#This Row],[البخر  AJD]]/1000)</f>
        <v>30.499000000000024</v>
      </c>
      <c r="AE118" s="68">
        <v>80</v>
      </c>
      <c r="AF118" s="68">
        <v>58.45</v>
      </c>
      <c r="AG118" s="68">
        <v>1261843</v>
      </c>
      <c r="AH118" s="43">
        <v>2328</v>
      </c>
      <c r="AI118" s="43">
        <v>2328</v>
      </c>
      <c r="AJ118" s="79">
        <f>TABL123[[#This Row],[(A/B TOT) AJD]]-TABL123[[#This Row],[BER_ IN]]</f>
        <v>506</v>
      </c>
      <c r="AK118" s="68">
        <v>0</v>
      </c>
      <c r="AL118" s="88">
        <v>42.308500000000002</v>
      </c>
      <c r="AM118" s="88">
        <v>2735590</v>
      </c>
      <c r="AN118" s="88">
        <f>TABL123[[#This Row],[ (RESV. STORGE) SER]]/10</f>
        <v>273559</v>
      </c>
      <c r="AO118" s="43">
        <v>1840</v>
      </c>
      <c r="AP118" s="32">
        <f>TABL123[[#This Row],[(A/S TOT) AJD]]-TABL123[[#This Row],[SER_ IN]]</f>
        <v>237</v>
      </c>
    </row>
    <row r="119" spans="1:42" ht="18.75" x14ac:dyDescent="0.3">
      <c r="A119" s="2">
        <v>46140</v>
      </c>
      <c r="B119" s="44">
        <v>37</v>
      </c>
      <c r="C119" s="44">
        <v>301</v>
      </c>
      <c r="D119" s="44">
        <v>37</v>
      </c>
      <c r="E119" s="44">
        <v>0</v>
      </c>
      <c r="F119" s="44">
        <v>95</v>
      </c>
      <c r="G119" s="40">
        <v>578</v>
      </c>
      <c r="H119" s="28">
        <f t="shared" si="3"/>
        <v>8</v>
      </c>
      <c r="I119" s="40">
        <v>465</v>
      </c>
      <c r="J119" s="44">
        <v>448</v>
      </c>
      <c r="K119" s="28">
        <f>TABL123[[#This Row],[خط (T/B  TOT) SAR]]+TABL123[[#This Row],[خط (S/S  TOT) SAR2]]</f>
        <v>913</v>
      </c>
      <c r="L119" s="45">
        <v>335</v>
      </c>
      <c r="M119" s="46">
        <v>24</v>
      </c>
      <c r="N119" s="46">
        <v>7.49</v>
      </c>
      <c r="O119" s="40">
        <v>406</v>
      </c>
      <c r="P119" s="3">
        <f>TABL123[[#This Row],[خط (S/S  TOT) SAR2]]-TABL123[[#This Row],[(S/S TOT) AJD]]</f>
        <v>42</v>
      </c>
      <c r="Q119" s="40">
        <v>440</v>
      </c>
      <c r="R119" s="3">
        <f>TABL123[[#This Row],[خط (T/B  TOT) SAR]]-TABL123[[#This Row],[(T/B TOT) AJD]]</f>
        <v>25</v>
      </c>
      <c r="S119" s="3">
        <f>TABL123[[#This Row],[الفرق بين بداية ونهاية خط  T/B]]+TABL123[[#This Row],[الفرق بين بداية ونهاية خط  S/S]]</f>
        <v>67</v>
      </c>
      <c r="T119" s="3">
        <f>TABL123[[#This Row],[(S/S TOT) AJD]]+TABL123[[#This Row],[(T/B TOT) AJD]]</f>
        <v>846</v>
      </c>
      <c r="U119" s="44">
        <v>586</v>
      </c>
      <c r="V119" s="44">
        <v>237</v>
      </c>
      <c r="W119" s="3">
        <f>TABL123[[#This Row],[(A/B TOT) AJD]]+TABL123[[#This Row],[(A/S TOT) AJD]]</f>
        <v>823</v>
      </c>
      <c r="X119" s="3">
        <f>TABL123[[#This Row],[( S/S+T/B) AJD]]-TABL123[[#This Row],[(A/B + A/S) AJD]]</f>
        <v>23</v>
      </c>
      <c r="Y119" s="44">
        <v>92.11</v>
      </c>
      <c r="Z119" s="45">
        <v>264936</v>
      </c>
      <c r="AA119" s="3">
        <f>TABL123[[#This Row],[(RESV. STORGE) AJD]]/10</f>
        <v>26493.599999999999</v>
      </c>
      <c r="AB119" s="45">
        <f t="shared" si="4"/>
        <v>0</v>
      </c>
      <c r="AC119" s="45">
        <v>1389</v>
      </c>
      <c r="AD119" s="84">
        <f>TABL123[[#This Row],[( S/S+T/B) AJD]]-(TABL123[[#This Row],[(A/B + A/S) AJD]]+(TABL123[[#This Row],[(STORGE DIFF.) AJD]])+TABL123[[#This Row],[البخر  AJD]]/1000)</f>
        <v>21.61099999999999</v>
      </c>
      <c r="AE119" s="68">
        <v>58</v>
      </c>
      <c r="AF119" s="68">
        <v>58.43</v>
      </c>
      <c r="AG119" s="68">
        <v>1248736</v>
      </c>
      <c r="AH119" s="45">
        <v>1387</v>
      </c>
      <c r="AI119" s="45">
        <v>1387</v>
      </c>
      <c r="AJ119" s="79">
        <f>TABL123[[#This Row],[(A/B TOT) AJD]]-TABL123[[#This Row],[BER_ IN]]</f>
        <v>528</v>
      </c>
      <c r="AK119" s="68">
        <v>0</v>
      </c>
      <c r="AL119" s="88">
        <v>42.298299999999998</v>
      </c>
      <c r="AM119" s="88">
        <v>2730770</v>
      </c>
      <c r="AN119" s="88">
        <f>TABL123[[#This Row],[ (RESV. STORGE) SER]]/10</f>
        <v>273077</v>
      </c>
      <c r="AO119" s="45">
        <v>1387</v>
      </c>
      <c r="AP119" s="32">
        <f>TABL123[[#This Row],[(A/S TOT) AJD]]-TABL123[[#This Row],[SER_ IN]]</f>
        <v>237</v>
      </c>
    </row>
    <row r="120" spans="1:42" ht="18.75" x14ac:dyDescent="0.3">
      <c r="A120" s="2">
        <v>46141</v>
      </c>
      <c r="B120" s="41">
        <v>38</v>
      </c>
      <c r="C120" s="41">
        <v>300</v>
      </c>
      <c r="D120" s="41">
        <v>38</v>
      </c>
      <c r="E120" s="41">
        <v>0</v>
      </c>
      <c r="F120" s="41">
        <v>95</v>
      </c>
      <c r="G120" s="39">
        <v>576</v>
      </c>
      <c r="H120" s="28">
        <f t="shared" si="3"/>
        <v>8</v>
      </c>
      <c r="I120" s="39">
        <v>462</v>
      </c>
      <c r="J120" s="39">
        <v>445</v>
      </c>
      <c r="K120" s="28">
        <f>TABL123[[#This Row],[خط (T/B  TOT) SAR]]+TABL123[[#This Row],[خط (S/S  TOT) SAR2]]</f>
        <v>907</v>
      </c>
      <c r="L120" s="41">
        <v>331</v>
      </c>
      <c r="M120" s="42">
        <v>24</v>
      </c>
      <c r="N120" s="42">
        <v>7.48</v>
      </c>
      <c r="O120" s="39">
        <v>404</v>
      </c>
      <c r="P120" s="3">
        <f>TABL123[[#This Row],[خط (S/S  TOT) SAR2]]-TABL123[[#This Row],[(S/S TOT) AJD]]</f>
        <v>41</v>
      </c>
      <c r="Q120" s="39">
        <v>428</v>
      </c>
      <c r="R120" s="3">
        <f>TABL123[[#This Row],[خط (T/B  TOT) SAR]]-TABL123[[#This Row],[(T/B TOT) AJD]]</f>
        <v>34</v>
      </c>
      <c r="S120" s="3">
        <f>TABL123[[#This Row],[الفرق بين بداية ونهاية خط  T/B]]+TABL123[[#This Row],[الفرق بين بداية ونهاية خط  S/S]]</f>
        <v>75</v>
      </c>
      <c r="T120" s="3">
        <f>TABL123[[#This Row],[(S/S TOT) AJD]]+TABL123[[#This Row],[(T/B TOT) AJD]]</f>
        <v>832</v>
      </c>
      <c r="U120" s="41">
        <v>508</v>
      </c>
      <c r="V120" s="41">
        <v>224</v>
      </c>
      <c r="W120" s="3">
        <f>TABL123[[#This Row],[(A/B TOT) AJD]]+TABL123[[#This Row],[(A/S TOT) AJD]]</f>
        <v>732</v>
      </c>
      <c r="X120" s="3">
        <f>TABL123[[#This Row],[( S/S+T/B) AJD]]-TABL123[[#This Row],[(A/B + A/S) AJD]]</f>
        <v>100</v>
      </c>
      <c r="Y120" s="41">
        <v>92.216999999999999</v>
      </c>
      <c r="Z120" s="43">
        <v>328379</v>
      </c>
      <c r="AA120" s="3">
        <f>TABL123[[#This Row],[(RESV. STORGE) AJD]]/10</f>
        <v>32837.9</v>
      </c>
      <c r="AB120" s="45">
        <f t="shared" si="4"/>
        <v>63.442999999999998</v>
      </c>
      <c r="AC120" s="43">
        <v>1213</v>
      </c>
      <c r="AD120" s="84">
        <f>TABL123[[#This Row],[( S/S+T/B) AJD]]-(TABL123[[#This Row],[(A/B + A/S) AJD]]+(TABL123[[#This Row],[(STORGE DIFF.) AJD]])+TABL123[[#This Row],[البخر  AJD]]/1000)</f>
        <v>35.344000000000051</v>
      </c>
      <c r="AE120" s="68">
        <v>49</v>
      </c>
      <c r="AF120" s="68">
        <v>58.4</v>
      </c>
      <c r="AG120" s="68">
        <v>1229081</v>
      </c>
      <c r="AH120" s="43">
        <v>2254</v>
      </c>
      <c r="AI120" s="43">
        <v>2254</v>
      </c>
      <c r="AJ120" s="79">
        <f>TABL123[[#This Row],[(A/B TOT) AJD]]-TABL123[[#This Row],[BER_ IN]]</f>
        <v>459</v>
      </c>
      <c r="AK120" s="68">
        <v>0</v>
      </c>
      <c r="AL120" s="88">
        <v>42.291600000000003</v>
      </c>
      <c r="AM120" s="88">
        <v>2727870</v>
      </c>
      <c r="AN120" s="88">
        <f>TABL123[[#This Row],[ (RESV. STORGE) SER]]/10</f>
        <v>272787</v>
      </c>
      <c r="AO120" s="43">
        <v>1900</v>
      </c>
      <c r="AP120" s="32">
        <f>TABL123[[#This Row],[(A/S TOT) AJD]]-TABL123[[#This Row],[SER_ IN]]</f>
        <v>224</v>
      </c>
    </row>
    <row r="121" spans="1:42" ht="18.75" x14ac:dyDescent="0.3">
      <c r="A121" s="2">
        <v>46142</v>
      </c>
      <c r="B121" s="44">
        <v>38</v>
      </c>
      <c r="C121" s="44">
        <v>306</v>
      </c>
      <c r="D121" s="44">
        <v>38</v>
      </c>
      <c r="E121" s="44">
        <v>0</v>
      </c>
      <c r="F121" s="44">
        <v>95</v>
      </c>
      <c r="G121" s="40">
        <v>576</v>
      </c>
      <c r="H121" s="28">
        <f t="shared" si="3"/>
        <v>8</v>
      </c>
      <c r="I121" s="40">
        <v>463</v>
      </c>
      <c r="J121" s="44">
        <v>446</v>
      </c>
      <c r="K121" s="28">
        <f>TABL123[[#This Row],[خط (T/B  TOT) SAR]]+TABL123[[#This Row],[خط (S/S  TOT) SAR2]]</f>
        <v>909</v>
      </c>
      <c r="L121" s="45">
        <v>333</v>
      </c>
      <c r="M121" s="46">
        <v>24</v>
      </c>
      <c r="N121" s="46">
        <v>7.51</v>
      </c>
      <c r="O121" s="40">
        <v>401</v>
      </c>
      <c r="P121" s="3">
        <f>TABL123[[#This Row],[خط (S/S  TOT) SAR2]]-TABL123[[#This Row],[(S/S TOT) AJD]]</f>
        <v>45</v>
      </c>
      <c r="Q121" s="40">
        <v>433</v>
      </c>
      <c r="R121" s="3">
        <f>TABL123[[#This Row],[خط (T/B  TOT) SAR]]-TABL123[[#This Row],[(T/B TOT) AJD]]</f>
        <v>30</v>
      </c>
      <c r="S121" s="3">
        <f>TABL123[[#This Row],[الفرق بين بداية ونهاية خط  T/B]]+TABL123[[#This Row],[الفرق بين بداية ونهاية خط  S/S]]</f>
        <v>75</v>
      </c>
      <c r="T121" s="3">
        <f>TABL123[[#This Row],[(S/S TOT) AJD]]+TABL123[[#This Row],[(T/B TOT) AJD]]</f>
        <v>834</v>
      </c>
      <c r="U121" s="44">
        <v>529</v>
      </c>
      <c r="V121" s="44">
        <v>198</v>
      </c>
      <c r="W121" s="3">
        <f>TABL123[[#This Row],[(A/B TOT) AJD]]+TABL123[[#This Row],[(A/S TOT) AJD]]</f>
        <v>727</v>
      </c>
      <c r="X121" s="3">
        <f>TABL123[[#This Row],[( S/S+T/B) AJD]]-TABL123[[#This Row],[(A/B + A/S) AJD]]</f>
        <v>107</v>
      </c>
      <c r="Y121" s="44">
        <v>92.341999999999999</v>
      </c>
      <c r="Z121" s="45">
        <v>402612</v>
      </c>
      <c r="AA121" s="3">
        <f>TABL123[[#This Row],[(RESV. STORGE) AJD]]/10</f>
        <v>40261.199999999997</v>
      </c>
      <c r="AB121" s="45">
        <f t="shared" si="4"/>
        <v>74.233000000000004</v>
      </c>
      <c r="AC121" s="45">
        <v>2189</v>
      </c>
      <c r="AD121" s="84">
        <f>TABL123[[#This Row],[( S/S+T/B) AJD]]-(TABL123[[#This Row],[(A/B + A/S) AJD]]+(TABL123[[#This Row],[(STORGE DIFF.) AJD]])+TABL123[[#This Row],[البخر  AJD]]/1000)</f>
        <v>30.578000000000088</v>
      </c>
      <c r="AE121" s="68">
        <v>49</v>
      </c>
      <c r="AF121" s="68">
        <v>58.35</v>
      </c>
      <c r="AG121" s="68">
        <v>1196341</v>
      </c>
      <c r="AH121" s="45">
        <v>2060</v>
      </c>
      <c r="AI121" s="45">
        <v>2060</v>
      </c>
      <c r="AJ121" s="79">
        <f>TABL123[[#This Row],[(A/B TOT) AJD]]-TABL123[[#This Row],[BER_ IN]]</f>
        <v>480</v>
      </c>
      <c r="AK121" s="68">
        <v>0</v>
      </c>
      <c r="AL121" s="88">
        <v>42.284300000000002</v>
      </c>
      <c r="AM121" s="88">
        <v>2722360</v>
      </c>
      <c r="AN121" s="88">
        <f>TABL123[[#This Row],[ (RESV. STORGE) SER]]/10</f>
        <v>272236</v>
      </c>
      <c r="AO121" s="45">
        <v>1810</v>
      </c>
      <c r="AP121" s="32">
        <f>TABL123[[#This Row],[(A/S TOT) AJD]]-TABL123[[#This Row],[SER_ IN]]</f>
        <v>198</v>
      </c>
    </row>
    <row r="122" spans="1:42" ht="18.75" x14ac:dyDescent="0.3">
      <c r="A122" s="2">
        <v>46143</v>
      </c>
      <c r="B122" s="41">
        <v>38</v>
      </c>
      <c r="C122" s="41">
        <v>291</v>
      </c>
      <c r="D122" s="41">
        <v>38</v>
      </c>
      <c r="E122" s="41">
        <v>0</v>
      </c>
      <c r="F122" s="41">
        <v>95</v>
      </c>
      <c r="G122" s="39">
        <v>584</v>
      </c>
      <c r="H122" s="28">
        <f t="shared" si="3"/>
        <v>8</v>
      </c>
      <c r="I122" s="39">
        <v>468</v>
      </c>
      <c r="J122" s="39">
        <v>447</v>
      </c>
      <c r="K122" s="28">
        <f>TABL123[[#This Row],[خط (T/B  TOT) SAR]]+TABL123[[#This Row],[خط (S/S  TOT) SAR2]]</f>
        <v>915</v>
      </c>
      <c r="L122" s="41">
        <v>331</v>
      </c>
      <c r="M122" s="42">
        <v>24</v>
      </c>
      <c r="N122" s="42">
        <v>7.44</v>
      </c>
      <c r="O122" s="39">
        <v>418</v>
      </c>
      <c r="P122" s="3">
        <f>TABL123[[#This Row],[خط (S/S  TOT) SAR2]]-TABL123[[#This Row],[(S/S TOT) AJD]]</f>
        <v>29</v>
      </c>
      <c r="Q122" s="39">
        <v>451</v>
      </c>
      <c r="R122" s="3">
        <f>TABL123[[#This Row],[خط (T/B  TOT) SAR]]-TABL123[[#This Row],[(T/B TOT) AJD]]</f>
        <v>17</v>
      </c>
      <c r="S122" s="3">
        <f>TABL123[[#This Row],[الفرق بين بداية ونهاية خط  T/B]]+TABL123[[#This Row],[الفرق بين بداية ونهاية خط  S/S]]</f>
        <v>46</v>
      </c>
      <c r="T122" s="3">
        <f>TABL123[[#This Row],[(S/S TOT) AJD]]+TABL123[[#This Row],[(T/B TOT) AJD]]</f>
        <v>869</v>
      </c>
      <c r="U122" s="41">
        <v>580</v>
      </c>
      <c r="V122" s="41">
        <v>268</v>
      </c>
      <c r="W122" s="3">
        <f>TABL123[[#This Row],[(A/B TOT) AJD]]+TABL123[[#This Row],[(A/S TOT) AJD]]</f>
        <v>848</v>
      </c>
      <c r="X122" s="3">
        <f>TABL123[[#This Row],[( S/S+T/B) AJD]]-TABL123[[#This Row],[(A/B + A/S) AJD]]</f>
        <v>21</v>
      </c>
      <c r="Y122" s="41">
        <v>92.325999999999993</v>
      </c>
      <c r="Z122" s="43">
        <v>392505</v>
      </c>
      <c r="AA122" s="3">
        <f>TABL123[[#This Row],[(RESV. STORGE) AJD]]/10</f>
        <v>39250.5</v>
      </c>
      <c r="AB122" s="45">
        <f t="shared" si="4"/>
        <v>-10.106999999999999</v>
      </c>
      <c r="AC122" s="43">
        <v>2304</v>
      </c>
      <c r="AD122" s="84">
        <f>TABL123[[#This Row],[( S/S+T/B) AJD]]-(TABL123[[#This Row],[(A/B + A/S) AJD]]+(TABL123[[#This Row],[(STORGE DIFF.) AJD]])+TABL123[[#This Row],[البخر  AJD]]/1000)</f>
        <v>28.802999999999997</v>
      </c>
      <c r="AE122" s="68">
        <v>66</v>
      </c>
      <c r="AF122" s="68">
        <v>58.33</v>
      </c>
      <c r="AG122" s="68">
        <v>1183250</v>
      </c>
      <c r="AH122" s="43">
        <v>2028</v>
      </c>
      <c r="AI122" s="43">
        <v>2028</v>
      </c>
      <c r="AJ122" s="79">
        <f>TABL123[[#This Row],[(A/B TOT) AJD]]-TABL123[[#This Row],[BER_ IN]]</f>
        <v>514</v>
      </c>
      <c r="AK122" s="68">
        <v>15</v>
      </c>
      <c r="AL122" s="88">
        <v>42.27</v>
      </c>
      <c r="AM122" s="88">
        <v>2715240</v>
      </c>
      <c r="AN122" s="88">
        <f>TABL123[[#This Row],[ (RESV. STORGE) SER]]/10</f>
        <v>271524</v>
      </c>
      <c r="AO122" s="43">
        <v>1920</v>
      </c>
      <c r="AP122" s="32">
        <f>TABL123[[#This Row],[(A/S TOT) AJD]]-TABL123[[#This Row],[SER_ IN]]</f>
        <v>253</v>
      </c>
    </row>
    <row r="123" spans="1:42" ht="18.75" x14ac:dyDescent="0.3">
      <c r="A123" s="2">
        <v>46144</v>
      </c>
      <c r="B123" s="44">
        <v>38</v>
      </c>
      <c r="C123" s="44">
        <v>301</v>
      </c>
      <c r="D123" s="44">
        <v>38</v>
      </c>
      <c r="E123" s="44">
        <v>0</v>
      </c>
      <c r="F123" s="44">
        <v>95</v>
      </c>
      <c r="G123" s="40">
        <v>571</v>
      </c>
      <c r="H123" s="28">
        <f t="shared" si="3"/>
        <v>8</v>
      </c>
      <c r="I123" s="40">
        <v>460</v>
      </c>
      <c r="J123" s="44">
        <v>445</v>
      </c>
      <c r="K123" s="28">
        <f>TABL123[[#This Row],[خط (T/B  TOT) SAR]]+TABL123[[#This Row],[خط (S/S  TOT) SAR2]]</f>
        <v>905</v>
      </c>
      <c r="L123" s="45">
        <v>334</v>
      </c>
      <c r="M123" s="46">
        <v>24</v>
      </c>
      <c r="N123" s="46">
        <v>7.46</v>
      </c>
      <c r="O123" s="40">
        <v>386</v>
      </c>
      <c r="P123" s="3">
        <f>TABL123[[#This Row],[خط (S/S  TOT) SAR2]]-TABL123[[#This Row],[(S/S TOT) AJD]]</f>
        <v>59</v>
      </c>
      <c r="Q123" s="40">
        <v>419</v>
      </c>
      <c r="R123" s="3">
        <f>TABL123[[#This Row],[خط (T/B  TOT) SAR]]-TABL123[[#This Row],[(T/B TOT) AJD]]</f>
        <v>41</v>
      </c>
      <c r="S123" s="3">
        <f>TABL123[[#This Row],[الفرق بين بداية ونهاية خط  T/B]]+TABL123[[#This Row],[الفرق بين بداية ونهاية خط  S/S]]</f>
        <v>100</v>
      </c>
      <c r="T123" s="3">
        <f>TABL123[[#This Row],[(S/S TOT) AJD]]+TABL123[[#This Row],[(T/B TOT) AJD]]</f>
        <v>805</v>
      </c>
      <c r="U123" s="44">
        <v>541</v>
      </c>
      <c r="V123" s="44">
        <v>275</v>
      </c>
      <c r="W123" s="3">
        <f>TABL123[[#This Row],[(A/B TOT) AJD]]+TABL123[[#This Row],[(A/S TOT) AJD]]</f>
        <v>816</v>
      </c>
      <c r="X123" s="3">
        <f>TABL123[[#This Row],[( S/S+T/B) AJD]]-TABL123[[#This Row],[(A/B + A/S) AJD]]</f>
        <v>-11</v>
      </c>
      <c r="Y123" s="44">
        <v>92.268000000000001</v>
      </c>
      <c r="Z123" s="45">
        <v>358647</v>
      </c>
      <c r="AA123" s="3">
        <f>TABL123[[#This Row],[(RESV. STORGE) AJD]]/10</f>
        <v>35864.699999999997</v>
      </c>
      <c r="AB123" s="45">
        <f t="shared" si="4"/>
        <v>-33.857999999999997</v>
      </c>
      <c r="AC123" s="45">
        <v>2772</v>
      </c>
      <c r="AD123" s="84">
        <f>TABL123[[#This Row],[( S/S+T/B) AJD]]-(TABL123[[#This Row],[(A/B + A/S) AJD]]+(TABL123[[#This Row],[(STORGE DIFF.) AJD]])+TABL123[[#This Row],[البخر  AJD]]/1000)</f>
        <v>20.085999999999899</v>
      </c>
      <c r="AE123" s="68">
        <v>69</v>
      </c>
      <c r="AF123" s="68">
        <v>58.32</v>
      </c>
      <c r="AG123" s="68">
        <v>1176706</v>
      </c>
      <c r="AH123" s="45">
        <v>1999</v>
      </c>
      <c r="AI123" s="45">
        <v>1999</v>
      </c>
      <c r="AJ123" s="79">
        <f>TABL123[[#This Row],[(A/B TOT) AJD]]-TABL123[[#This Row],[BER_ IN]]</f>
        <v>472</v>
      </c>
      <c r="AK123" s="68">
        <v>21</v>
      </c>
      <c r="AL123" s="88">
        <v>42.277000000000001</v>
      </c>
      <c r="AM123" s="88">
        <v>2718490</v>
      </c>
      <c r="AN123" s="88">
        <f>TABL123[[#This Row],[ (RESV. STORGE) SER]]/10</f>
        <v>271849</v>
      </c>
      <c r="AO123" s="45">
        <v>1860</v>
      </c>
      <c r="AP123" s="32">
        <f>TABL123[[#This Row],[(A/S TOT) AJD]]-TABL123[[#This Row],[SER_ IN]]</f>
        <v>254</v>
      </c>
    </row>
    <row r="124" spans="1:42" ht="18.75" x14ac:dyDescent="0.3">
      <c r="A124" s="2">
        <v>46145</v>
      </c>
      <c r="B124" s="41">
        <v>38</v>
      </c>
      <c r="C124" s="41">
        <v>306</v>
      </c>
      <c r="D124" s="41">
        <v>38</v>
      </c>
      <c r="E124" s="41">
        <v>0</v>
      </c>
      <c r="F124" s="41">
        <v>95</v>
      </c>
      <c r="G124" s="39">
        <v>567</v>
      </c>
      <c r="H124" s="28">
        <f t="shared" si="3"/>
        <v>8</v>
      </c>
      <c r="I124" s="39">
        <v>450</v>
      </c>
      <c r="J124" s="39">
        <v>455</v>
      </c>
      <c r="K124" s="28">
        <f>TABL123[[#This Row],[خط (T/B  TOT) SAR]]+TABL123[[#This Row],[خط (S/S  TOT) SAR2]]</f>
        <v>905</v>
      </c>
      <c r="L124" s="41">
        <v>338</v>
      </c>
      <c r="M124" s="42">
        <v>24</v>
      </c>
      <c r="N124" s="42">
        <v>7.49</v>
      </c>
      <c r="O124" s="39">
        <v>404</v>
      </c>
      <c r="P124" s="3">
        <f>TABL123[[#This Row],[خط (S/S  TOT) SAR2]]-TABL123[[#This Row],[(S/S TOT) AJD]]</f>
        <v>51</v>
      </c>
      <c r="Q124" s="39">
        <v>435</v>
      </c>
      <c r="R124" s="3">
        <f>TABL123[[#This Row],[خط (T/B  TOT) SAR]]-TABL123[[#This Row],[(T/B TOT) AJD]]</f>
        <v>15</v>
      </c>
      <c r="S124" s="3">
        <f>TABL123[[#This Row],[الفرق بين بداية ونهاية خط  T/B]]+TABL123[[#This Row],[الفرق بين بداية ونهاية خط  S/S]]</f>
        <v>66</v>
      </c>
      <c r="T124" s="3">
        <f>TABL123[[#This Row],[(S/S TOT) AJD]]+TABL123[[#This Row],[(T/B TOT) AJD]]</f>
        <v>839</v>
      </c>
      <c r="U124" s="41">
        <v>563</v>
      </c>
      <c r="V124" s="41">
        <v>273</v>
      </c>
      <c r="W124" s="3">
        <f>TABL123[[#This Row],[(A/B TOT) AJD]]+TABL123[[#This Row],[(A/S TOT) AJD]]</f>
        <v>836</v>
      </c>
      <c r="X124" s="3">
        <f>TABL123[[#This Row],[( S/S+T/B) AJD]]-TABL123[[#This Row],[(A/B + A/S) AJD]]</f>
        <v>3</v>
      </c>
      <c r="Y124" s="41">
        <v>92.227999999999994</v>
      </c>
      <c r="Z124" s="43">
        <v>334903</v>
      </c>
      <c r="AA124" s="3">
        <f>TABL123[[#This Row],[(RESV. STORGE) AJD]]/10</f>
        <v>33490.300000000003</v>
      </c>
      <c r="AB124" s="45">
        <f t="shared" si="4"/>
        <v>-23.744</v>
      </c>
      <c r="AC124" s="43">
        <v>0</v>
      </c>
      <c r="AD124" s="84">
        <f>TABL123[[#This Row],[( S/S+T/B) AJD]]-(TABL123[[#This Row],[(A/B + A/S) AJD]]+(TABL123[[#This Row],[(STORGE DIFF.) AJD]])+TABL123[[#This Row],[البخر  AJD]]/1000)</f>
        <v>26.744000000000028</v>
      </c>
      <c r="AE124" s="68">
        <v>70</v>
      </c>
      <c r="AF124" s="68">
        <v>58.32</v>
      </c>
      <c r="AG124" s="68">
        <v>1176706</v>
      </c>
      <c r="AH124" s="43">
        <v>2387</v>
      </c>
      <c r="AI124" s="43">
        <v>2387</v>
      </c>
      <c r="AJ124" s="79">
        <f>TABL123[[#This Row],[(A/B TOT) AJD]]-TABL123[[#This Row],[BER_ IN]]</f>
        <v>493</v>
      </c>
      <c r="AK124" s="68">
        <v>21</v>
      </c>
      <c r="AL124" s="88">
        <v>42.257100000000001</v>
      </c>
      <c r="AM124" s="88">
        <v>2708940</v>
      </c>
      <c r="AN124" s="88">
        <f>TABL123[[#This Row],[ (RESV. STORGE) SER]]/10</f>
        <v>270894</v>
      </c>
      <c r="AO124" s="43">
        <v>1925</v>
      </c>
      <c r="AP124" s="32">
        <f>TABL123[[#This Row],[(A/S TOT) AJD]]-TABL123[[#This Row],[SER_ IN]]</f>
        <v>252</v>
      </c>
    </row>
    <row r="125" spans="1:42" ht="18.75" x14ac:dyDescent="0.3">
      <c r="A125" s="2">
        <v>46146</v>
      </c>
      <c r="B125" s="44">
        <v>38</v>
      </c>
      <c r="C125" s="44">
        <v>316</v>
      </c>
      <c r="D125" s="44">
        <v>38</v>
      </c>
      <c r="E125" s="44">
        <v>0</v>
      </c>
      <c r="F125" s="44">
        <v>95</v>
      </c>
      <c r="G125" s="40">
        <v>591</v>
      </c>
      <c r="H125" s="28">
        <f t="shared" si="3"/>
        <v>8</v>
      </c>
      <c r="I125" s="40">
        <v>471</v>
      </c>
      <c r="J125" s="44">
        <v>456</v>
      </c>
      <c r="K125" s="28">
        <f>TABL123[[#This Row],[خط (T/B  TOT) SAR]]+TABL123[[#This Row],[خط (S/S  TOT) SAR2]]</f>
        <v>927</v>
      </c>
      <c r="L125" s="45">
        <v>336</v>
      </c>
      <c r="M125" s="46">
        <v>24</v>
      </c>
      <c r="N125" s="46">
        <v>7.54</v>
      </c>
      <c r="O125" s="40">
        <v>408</v>
      </c>
      <c r="P125" s="3">
        <f>TABL123[[#This Row],[خط (S/S  TOT) SAR2]]-TABL123[[#This Row],[(S/S TOT) AJD]]</f>
        <v>48</v>
      </c>
      <c r="Q125" s="40">
        <v>438</v>
      </c>
      <c r="R125" s="3">
        <f>TABL123[[#This Row],[خط (T/B  TOT) SAR]]-TABL123[[#This Row],[(T/B TOT) AJD]]</f>
        <v>33</v>
      </c>
      <c r="S125" s="3">
        <f>TABL123[[#This Row],[الفرق بين بداية ونهاية خط  T/B]]+TABL123[[#This Row],[الفرق بين بداية ونهاية خط  S/S]]</f>
        <v>81</v>
      </c>
      <c r="T125" s="3">
        <f>TABL123[[#This Row],[(S/S TOT) AJD]]+TABL123[[#This Row],[(T/B TOT) AJD]]</f>
        <v>846</v>
      </c>
      <c r="U125" s="44">
        <v>566</v>
      </c>
      <c r="V125" s="44">
        <v>278</v>
      </c>
      <c r="W125" s="3">
        <f>TABL123[[#This Row],[(A/B TOT) AJD]]+TABL123[[#This Row],[(A/S TOT) AJD]]</f>
        <v>844</v>
      </c>
      <c r="X125" s="3">
        <f>TABL123[[#This Row],[( S/S+T/B) AJD]]-TABL123[[#This Row],[(A/B + A/S) AJD]]</f>
        <v>2</v>
      </c>
      <c r="Y125" s="44">
        <v>92.192999999999998</v>
      </c>
      <c r="Z125" s="45">
        <v>314136</v>
      </c>
      <c r="AA125" s="3">
        <f>TABL123[[#This Row],[(RESV. STORGE) AJD]]/10</f>
        <v>31413.599999999999</v>
      </c>
      <c r="AB125" s="45">
        <f t="shared" si="4"/>
        <v>-20.766999999999999</v>
      </c>
      <c r="AC125" s="45">
        <v>1084</v>
      </c>
      <c r="AD125" s="84">
        <f>TABL123[[#This Row],[( S/S+T/B) AJD]]-(TABL123[[#This Row],[(A/B + A/S) AJD]]+(TABL123[[#This Row],[(STORGE DIFF.) AJD]])+TABL123[[#This Row],[البخر  AJD]]/1000)</f>
        <v>21.683000000000106</v>
      </c>
      <c r="AE125" s="68">
        <v>70</v>
      </c>
      <c r="AF125" s="68">
        <v>58.33</v>
      </c>
      <c r="AG125" s="68">
        <v>1183250</v>
      </c>
      <c r="AH125" s="45">
        <v>2000</v>
      </c>
      <c r="AI125" s="45">
        <v>2000</v>
      </c>
      <c r="AJ125" s="79">
        <f>TABL123[[#This Row],[(A/B TOT) AJD]]-TABL123[[#This Row],[BER_ IN]]</f>
        <v>496</v>
      </c>
      <c r="AK125" s="68">
        <v>21</v>
      </c>
      <c r="AL125" s="88">
        <v>42.231499999999997</v>
      </c>
      <c r="AM125" s="88">
        <v>2694890</v>
      </c>
      <c r="AN125" s="88">
        <f>TABL123[[#This Row],[ (RESV. STORGE) SER]]/10</f>
        <v>269489</v>
      </c>
      <c r="AO125" s="45">
        <v>1932</v>
      </c>
      <c r="AP125" s="32">
        <f>TABL123[[#This Row],[(A/S TOT) AJD]]-TABL123[[#This Row],[SER_ IN]]</f>
        <v>257</v>
      </c>
    </row>
    <row r="126" spans="1:42" ht="18.75" x14ac:dyDescent="0.3">
      <c r="A126" s="2">
        <v>46147</v>
      </c>
      <c r="B126" s="41">
        <v>37</v>
      </c>
      <c r="C126" s="41">
        <v>304</v>
      </c>
      <c r="D126" s="41">
        <v>37</v>
      </c>
      <c r="E126" s="41">
        <v>0</v>
      </c>
      <c r="F126" s="41">
        <v>95</v>
      </c>
      <c r="G126" s="39">
        <v>563</v>
      </c>
      <c r="H126" s="28">
        <f t="shared" si="3"/>
        <v>8</v>
      </c>
      <c r="I126" s="39">
        <v>467</v>
      </c>
      <c r="J126" s="39">
        <v>451</v>
      </c>
      <c r="K126" s="28">
        <f>TABL123[[#This Row],[خط (T/B  TOT) SAR]]+TABL123[[#This Row],[خط (S/S  TOT) SAR2]]</f>
        <v>918</v>
      </c>
      <c r="L126" s="41">
        <v>335</v>
      </c>
      <c r="M126" s="42">
        <v>24</v>
      </c>
      <c r="N126" s="42">
        <v>7.58</v>
      </c>
      <c r="O126" s="39">
        <v>411</v>
      </c>
      <c r="P126" s="3">
        <f>TABL123[[#This Row],[خط (S/S  TOT) SAR2]]-TABL123[[#This Row],[(S/S TOT) AJD]]</f>
        <v>40</v>
      </c>
      <c r="Q126" s="39">
        <v>442</v>
      </c>
      <c r="R126" s="3">
        <f>TABL123[[#This Row],[خط (T/B  TOT) SAR]]-TABL123[[#This Row],[(T/B TOT) AJD]]</f>
        <v>25</v>
      </c>
      <c r="S126" s="3">
        <f>TABL123[[#This Row],[الفرق بين بداية ونهاية خط  T/B]]+TABL123[[#This Row],[الفرق بين بداية ونهاية خط  S/S]]</f>
        <v>65</v>
      </c>
      <c r="T126" s="3">
        <f>TABL123[[#This Row],[(S/S TOT) AJD]]+TABL123[[#This Row],[(T/B TOT) AJD]]</f>
        <v>853</v>
      </c>
      <c r="U126" s="41">
        <v>563</v>
      </c>
      <c r="V126" s="41">
        <v>238</v>
      </c>
      <c r="W126" s="3">
        <f>TABL123[[#This Row],[(A/B TOT) AJD]]+TABL123[[#This Row],[(A/S TOT) AJD]]</f>
        <v>801</v>
      </c>
      <c r="X126" s="3">
        <f>TABL123[[#This Row],[( S/S+T/B) AJD]]-TABL123[[#This Row],[(A/B + A/S) AJD]]</f>
        <v>52</v>
      </c>
      <c r="Y126" s="41">
        <v>92.227999999999994</v>
      </c>
      <c r="Z126" s="43">
        <v>334094</v>
      </c>
      <c r="AA126" s="3">
        <f>TABL123[[#This Row],[(RESV. STORGE) AJD]]/10</f>
        <v>33409.4</v>
      </c>
      <c r="AB126" s="45">
        <f t="shared" si="4"/>
        <v>19.957999999999998</v>
      </c>
      <c r="AC126" s="43">
        <v>1034</v>
      </c>
      <c r="AD126" s="84">
        <f>TABL123[[#This Row],[( S/S+T/B) AJD]]-(TABL123[[#This Row],[(A/B + A/S) AJD]]+(TABL123[[#This Row],[(STORGE DIFF.) AJD]])+TABL123[[#This Row],[البخر  AJD]]/1000)</f>
        <v>31.008000000000038</v>
      </c>
      <c r="AE126" s="68">
        <v>70</v>
      </c>
      <c r="AF126" s="68">
        <v>58.35</v>
      </c>
      <c r="AG126" s="68">
        <v>1196341</v>
      </c>
      <c r="AH126" s="43">
        <v>2795</v>
      </c>
      <c r="AI126" s="43">
        <v>2795</v>
      </c>
      <c r="AJ126" s="79">
        <f>TABL123[[#This Row],[(A/B TOT) AJD]]-TABL123[[#This Row],[BER_ IN]]</f>
        <v>493</v>
      </c>
      <c r="AK126" s="68">
        <v>22</v>
      </c>
      <c r="AL126" s="88">
        <v>42.214199999999998</v>
      </c>
      <c r="AM126" s="88">
        <v>2685260</v>
      </c>
      <c r="AN126" s="88">
        <f>TABL123[[#This Row],[ (RESV. STORGE) SER]]/10</f>
        <v>268526</v>
      </c>
      <c r="AO126" s="43">
        <v>1945</v>
      </c>
      <c r="AP126" s="32">
        <f>TABL123[[#This Row],[(A/S TOT) AJD]]-TABL123[[#This Row],[SER_ IN]]</f>
        <v>216</v>
      </c>
    </row>
    <row r="127" spans="1:42" ht="18.75" x14ac:dyDescent="0.3">
      <c r="A127" s="2">
        <v>46148</v>
      </c>
      <c r="B127" s="44">
        <v>37</v>
      </c>
      <c r="C127" s="44">
        <v>306</v>
      </c>
      <c r="D127" s="44">
        <v>37</v>
      </c>
      <c r="E127" s="44">
        <v>0</v>
      </c>
      <c r="F127" s="44">
        <v>95</v>
      </c>
      <c r="G127" s="40">
        <v>589</v>
      </c>
      <c r="H127" s="28">
        <f t="shared" si="3"/>
        <v>8</v>
      </c>
      <c r="I127" s="40">
        <v>477</v>
      </c>
      <c r="J127" s="44">
        <v>460</v>
      </c>
      <c r="K127" s="28">
        <f>TABL123[[#This Row],[خط (T/B  TOT) SAR]]+TABL123[[#This Row],[خط (S/S  TOT) SAR2]]</f>
        <v>937</v>
      </c>
      <c r="L127" s="45">
        <v>348</v>
      </c>
      <c r="M127" s="46">
        <v>24.6</v>
      </c>
      <c r="N127" s="46">
        <v>7.52</v>
      </c>
      <c r="O127" s="40">
        <v>412</v>
      </c>
      <c r="P127" s="3">
        <f>TABL123[[#This Row],[خط (S/S  TOT) SAR2]]-TABL123[[#This Row],[(S/S TOT) AJD]]</f>
        <v>48</v>
      </c>
      <c r="Q127" s="40">
        <v>444</v>
      </c>
      <c r="R127" s="3">
        <f>TABL123[[#This Row],[خط (T/B  TOT) SAR]]-TABL123[[#This Row],[(T/B TOT) AJD]]</f>
        <v>33</v>
      </c>
      <c r="S127" s="3">
        <f>TABL123[[#This Row],[الفرق بين بداية ونهاية خط  T/B]]+TABL123[[#This Row],[الفرق بين بداية ونهاية خط  S/S]]</f>
        <v>81</v>
      </c>
      <c r="T127" s="3">
        <f>TABL123[[#This Row],[(S/S TOT) AJD]]+TABL123[[#This Row],[(T/B TOT) AJD]]</f>
        <v>856</v>
      </c>
      <c r="U127" s="44">
        <v>566</v>
      </c>
      <c r="V127" s="44">
        <v>230</v>
      </c>
      <c r="W127" s="3">
        <f>TABL123[[#This Row],[(A/B TOT) AJD]]+TABL123[[#This Row],[(A/S TOT) AJD]]</f>
        <v>796</v>
      </c>
      <c r="X127" s="3">
        <f>TABL123[[#This Row],[( S/S+T/B) AJD]]-TABL123[[#This Row],[(A/B + A/S) AJD]]</f>
        <v>60</v>
      </c>
      <c r="Y127" s="44">
        <v>92.29</v>
      </c>
      <c r="Z127" s="45">
        <v>371714</v>
      </c>
      <c r="AA127" s="3">
        <f>TABL123[[#This Row],[(RESV. STORGE) AJD]]/10</f>
        <v>37171.4</v>
      </c>
      <c r="AB127" s="45">
        <f t="shared" si="4"/>
        <v>37.619999999999997</v>
      </c>
      <c r="AC127" s="45">
        <v>1127</v>
      </c>
      <c r="AD127" s="84">
        <f>TABL123[[#This Row],[( S/S+T/B) AJD]]-(TABL123[[#This Row],[(A/B + A/S) AJD]]+(TABL123[[#This Row],[(STORGE DIFF.) AJD]])+TABL123[[#This Row],[البخر  AJD]]/1000)</f>
        <v>21.253000000000043</v>
      </c>
      <c r="AE127" s="68">
        <v>70</v>
      </c>
      <c r="AF127" s="68">
        <v>58.37</v>
      </c>
      <c r="AG127" s="68">
        <v>1209434</v>
      </c>
      <c r="AH127" s="45">
        <v>2691</v>
      </c>
      <c r="AI127" s="45">
        <v>2691</v>
      </c>
      <c r="AJ127" s="79">
        <f>TABL123[[#This Row],[(A/B TOT) AJD]]-TABL123[[#This Row],[BER_ IN]]</f>
        <v>496</v>
      </c>
      <c r="AK127" s="68">
        <v>22</v>
      </c>
      <c r="AL127" s="88">
        <v>42.195500000000003</v>
      </c>
      <c r="AM127" s="88">
        <v>2675570</v>
      </c>
      <c r="AN127" s="88">
        <f>TABL123[[#This Row],[ (RESV. STORGE) SER]]/10</f>
        <v>267557</v>
      </c>
      <c r="AO127" s="45">
        <v>2021</v>
      </c>
      <c r="AP127" s="32">
        <f>TABL123[[#This Row],[(A/S TOT) AJD]]-TABL123[[#This Row],[SER_ IN]]</f>
        <v>208</v>
      </c>
    </row>
    <row r="128" spans="1:42" ht="18.75" x14ac:dyDescent="0.3">
      <c r="A128" s="2">
        <v>46149</v>
      </c>
      <c r="B128" s="41">
        <v>37</v>
      </c>
      <c r="C128" s="41">
        <v>304</v>
      </c>
      <c r="D128" s="41">
        <v>37</v>
      </c>
      <c r="E128" s="41">
        <v>0</v>
      </c>
      <c r="F128" s="41">
        <v>95</v>
      </c>
      <c r="G128" s="39">
        <v>586</v>
      </c>
      <c r="H128" s="28">
        <f t="shared" si="3"/>
        <v>8</v>
      </c>
      <c r="I128" s="39">
        <v>475</v>
      </c>
      <c r="J128" s="39">
        <v>459</v>
      </c>
      <c r="K128" s="28">
        <f>TABL123[[#This Row],[خط (T/B  TOT) SAR]]+TABL123[[#This Row],[خط (S/S  TOT) SAR2]]</f>
        <v>934</v>
      </c>
      <c r="L128" s="41">
        <v>348</v>
      </c>
      <c r="M128" s="42">
        <v>24.6</v>
      </c>
      <c r="N128" s="42">
        <v>7.49</v>
      </c>
      <c r="O128" s="39">
        <v>416</v>
      </c>
      <c r="P128" s="3">
        <f>TABL123[[#This Row],[خط (S/S  TOT) SAR2]]-TABL123[[#This Row],[(S/S TOT) AJD]]</f>
        <v>43</v>
      </c>
      <c r="Q128" s="39">
        <v>448</v>
      </c>
      <c r="R128" s="3">
        <f>TABL123[[#This Row],[خط (T/B  TOT) SAR]]-TABL123[[#This Row],[(T/B TOT) AJD]]</f>
        <v>27</v>
      </c>
      <c r="S128" s="3">
        <f>TABL123[[#This Row],[الفرق بين بداية ونهاية خط  T/B]]+TABL123[[#This Row],[الفرق بين بداية ونهاية خط  S/S]]</f>
        <v>70</v>
      </c>
      <c r="T128" s="3">
        <f>TABL123[[#This Row],[(S/S TOT) AJD]]+TABL123[[#This Row],[(T/B TOT) AJD]]</f>
        <v>864</v>
      </c>
      <c r="U128" s="41">
        <v>561</v>
      </c>
      <c r="V128" s="41">
        <v>223</v>
      </c>
      <c r="W128" s="3">
        <f>TABL123[[#This Row],[(A/B TOT) AJD]]+TABL123[[#This Row],[(A/S TOT) AJD]]</f>
        <v>784</v>
      </c>
      <c r="X128" s="3">
        <f>TABL123[[#This Row],[( S/S+T/B) AJD]]-TABL123[[#This Row],[(A/B + A/S) AJD]]</f>
        <v>80</v>
      </c>
      <c r="Y128" s="41">
        <v>92.372</v>
      </c>
      <c r="Z128" s="43">
        <v>420446</v>
      </c>
      <c r="AA128" s="3">
        <f>TABL123[[#This Row],[(RESV. STORGE) AJD]]/10</f>
        <v>42044.6</v>
      </c>
      <c r="AB128" s="45">
        <f t="shared" si="4"/>
        <v>48.731999999999999</v>
      </c>
      <c r="AC128" s="43">
        <v>1082</v>
      </c>
      <c r="AD128" s="84">
        <f>TABL123[[#This Row],[( S/S+T/B) AJD]]-(TABL123[[#This Row],[(A/B + A/S) AJD]]+(TABL123[[#This Row],[(STORGE DIFF.) AJD]])+TABL123[[#This Row],[البخر  AJD]]/1000)</f>
        <v>30.186000000000035</v>
      </c>
      <c r="AE128" s="68">
        <v>67</v>
      </c>
      <c r="AF128" s="68">
        <v>58.38</v>
      </c>
      <c r="AG128" s="68">
        <v>1215983</v>
      </c>
      <c r="AH128" s="43">
        <v>2509</v>
      </c>
      <c r="AI128" s="43">
        <v>2509</v>
      </c>
      <c r="AJ128" s="79">
        <f>TABL123[[#This Row],[(A/B TOT) AJD]]-TABL123[[#This Row],[BER_ IN]]</f>
        <v>494</v>
      </c>
      <c r="AK128" s="68">
        <v>22</v>
      </c>
      <c r="AL128" s="88">
        <v>42.170099999999998</v>
      </c>
      <c r="AM128" s="88">
        <v>2661730</v>
      </c>
      <c r="AN128" s="88">
        <f>TABL123[[#This Row],[ (RESV. STORGE) SER]]/10</f>
        <v>266173</v>
      </c>
      <c r="AO128" s="43">
        <v>2125</v>
      </c>
      <c r="AP128" s="32">
        <f>TABL123[[#This Row],[(A/S TOT) AJD]]-TABL123[[#This Row],[SER_ IN]]</f>
        <v>201</v>
      </c>
    </row>
    <row r="129" spans="1:42" ht="18.75" x14ac:dyDescent="0.3">
      <c r="A129" s="2">
        <v>46150</v>
      </c>
      <c r="B129" s="44">
        <v>37</v>
      </c>
      <c r="C129" s="44">
        <v>306</v>
      </c>
      <c r="D129" s="44">
        <v>37</v>
      </c>
      <c r="E129" s="44">
        <v>0</v>
      </c>
      <c r="F129" s="44">
        <v>95</v>
      </c>
      <c r="G129" s="40">
        <v>590</v>
      </c>
      <c r="H129" s="28">
        <f t="shared" si="3"/>
        <v>8</v>
      </c>
      <c r="I129" s="40">
        <v>475</v>
      </c>
      <c r="J129" s="44">
        <v>460</v>
      </c>
      <c r="K129" s="28">
        <f>TABL123[[#This Row],[خط (T/B  TOT) SAR]]+TABL123[[#This Row],[خط (S/S  TOT) SAR2]]</f>
        <v>935</v>
      </c>
      <c r="L129" s="45">
        <v>345</v>
      </c>
      <c r="M129" s="46">
        <v>24.6</v>
      </c>
      <c r="N129" s="46">
        <v>7.44</v>
      </c>
      <c r="O129" s="40">
        <v>415</v>
      </c>
      <c r="P129" s="3">
        <f>TABL123[[#This Row],[خط (S/S  TOT) SAR2]]-TABL123[[#This Row],[(S/S TOT) AJD]]</f>
        <v>45</v>
      </c>
      <c r="Q129" s="40">
        <v>448</v>
      </c>
      <c r="R129" s="3">
        <f>TABL123[[#This Row],[خط (T/B  TOT) SAR]]-TABL123[[#This Row],[(T/B TOT) AJD]]</f>
        <v>27</v>
      </c>
      <c r="S129" s="3">
        <f>TABL123[[#This Row],[الفرق بين بداية ونهاية خط  T/B]]+TABL123[[#This Row],[الفرق بين بداية ونهاية خط  S/S]]</f>
        <v>72</v>
      </c>
      <c r="T129" s="3">
        <f>TABL123[[#This Row],[(S/S TOT) AJD]]+TABL123[[#This Row],[(T/B TOT) AJD]]</f>
        <v>863</v>
      </c>
      <c r="U129" s="44">
        <v>510</v>
      </c>
      <c r="V129" s="44">
        <v>218</v>
      </c>
      <c r="W129" s="3">
        <f>TABL123[[#This Row],[(A/B TOT) AJD]]+TABL123[[#This Row],[(A/S TOT) AJD]]</f>
        <v>728</v>
      </c>
      <c r="X129" s="3">
        <f>TABL123[[#This Row],[( S/S+T/B) AJD]]-TABL123[[#This Row],[(A/B + A/S) AJD]]</f>
        <v>135</v>
      </c>
      <c r="Y129" s="44">
        <v>92.545000000000002</v>
      </c>
      <c r="Z129" s="45">
        <v>522841</v>
      </c>
      <c r="AA129" s="3">
        <f>TABL123[[#This Row],[(RESV. STORGE) AJD]]/10</f>
        <v>52284.1</v>
      </c>
      <c r="AB129" s="45">
        <f t="shared" si="4"/>
        <v>102.395</v>
      </c>
      <c r="AC129" s="45">
        <v>1168</v>
      </c>
      <c r="AD129" s="84">
        <f>TABL123[[#This Row],[( S/S+T/B) AJD]]-(TABL123[[#This Row],[(A/B + A/S) AJD]]+(TABL123[[#This Row],[(STORGE DIFF.) AJD]])+TABL123[[#This Row],[البخر  AJD]]/1000)</f>
        <v>31.437000000000012</v>
      </c>
      <c r="AE129" s="68">
        <v>74</v>
      </c>
      <c r="AF129" s="68">
        <v>58.4</v>
      </c>
      <c r="AG129" s="68">
        <v>1229087</v>
      </c>
      <c r="AH129" s="45">
        <v>3585</v>
      </c>
      <c r="AI129" s="45">
        <v>3585</v>
      </c>
      <c r="AJ129" s="79">
        <f>TABL123[[#This Row],[(A/B TOT) AJD]]-TABL123[[#This Row],[BER_ IN]]</f>
        <v>436</v>
      </c>
      <c r="AK129" s="68">
        <v>21</v>
      </c>
      <c r="AL129" s="88">
        <v>42.133600000000001</v>
      </c>
      <c r="AM129" s="88">
        <v>2642534</v>
      </c>
      <c r="AN129" s="88">
        <f>TABL123[[#This Row],[ (RESV. STORGE) SER]]/10</f>
        <v>264253.40000000002</v>
      </c>
      <c r="AO129" s="45">
        <v>1970</v>
      </c>
      <c r="AP129" s="32">
        <f>TABL123[[#This Row],[(A/S TOT) AJD]]-TABL123[[#This Row],[SER_ IN]]</f>
        <v>197</v>
      </c>
    </row>
    <row r="130" spans="1:42" ht="18.75" x14ac:dyDescent="0.3">
      <c r="A130" s="2">
        <v>46151</v>
      </c>
      <c r="B130" s="41">
        <v>37</v>
      </c>
      <c r="C130" s="41">
        <v>296</v>
      </c>
      <c r="D130" s="41">
        <v>37</v>
      </c>
      <c r="E130" s="41">
        <v>0</v>
      </c>
      <c r="F130" s="41">
        <v>95</v>
      </c>
      <c r="G130" s="39">
        <v>590</v>
      </c>
      <c r="H130" s="28">
        <f t="shared" ref="H130:H193" si="5">103-F130</f>
        <v>8</v>
      </c>
      <c r="I130" s="39">
        <v>475</v>
      </c>
      <c r="J130" s="39">
        <v>460</v>
      </c>
      <c r="K130" s="28">
        <f>TABL123[[#This Row],[خط (T/B  TOT) SAR]]+TABL123[[#This Row],[خط (S/S  TOT) SAR2]]</f>
        <v>935</v>
      </c>
      <c r="L130" s="41">
        <v>345</v>
      </c>
      <c r="M130" s="42">
        <v>24.6</v>
      </c>
      <c r="N130" s="42">
        <v>7.37</v>
      </c>
      <c r="O130" s="39">
        <v>415</v>
      </c>
      <c r="P130" s="3">
        <f>TABL123[[#This Row],[خط (S/S  TOT) SAR2]]-TABL123[[#This Row],[(S/S TOT) AJD]]</f>
        <v>45</v>
      </c>
      <c r="Q130" s="39">
        <v>449</v>
      </c>
      <c r="R130" s="3">
        <f>TABL123[[#This Row],[خط (T/B  TOT) SAR]]-TABL123[[#This Row],[(T/B TOT) AJD]]</f>
        <v>26</v>
      </c>
      <c r="S130" s="3">
        <f>TABL123[[#This Row],[الفرق بين بداية ونهاية خط  T/B]]+TABL123[[#This Row],[الفرق بين بداية ونهاية خط  S/S]]</f>
        <v>71</v>
      </c>
      <c r="T130" s="3">
        <f>TABL123[[#This Row],[(S/S TOT) AJD]]+TABL123[[#This Row],[(T/B TOT) AJD]]</f>
        <v>864</v>
      </c>
      <c r="U130" s="41">
        <v>545</v>
      </c>
      <c r="V130" s="41">
        <v>235</v>
      </c>
      <c r="W130" s="3">
        <f>TABL123[[#This Row],[(A/B TOT) AJD]]+TABL123[[#This Row],[(A/S TOT) AJD]]</f>
        <v>780</v>
      </c>
      <c r="X130" s="3">
        <f>TABL123[[#This Row],[( S/S+T/B) AJD]]-TABL123[[#This Row],[(A/B + A/S) AJD]]</f>
        <v>84</v>
      </c>
      <c r="Y130" s="41">
        <v>92.623999999999995</v>
      </c>
      <c r="Z130" s="43">
        <v>570552</v>
      </c>
      <c r="AA130" s="3">
        <f>TABL123[[#This Row],[(RESV. STORGE) AJD]]/10</f>
        <v>57055.199999999997</v>
      </c>
      <c r="AB130" s="45">
        <f t="shared" si="4"/>
        <v>47.710999999999999</v>
      </c>
      <c r="AC130" s="43">
        <v>2239</v>
      </c>
      <c r="AD130" s="84">
        <f>TABL123[[#This Row],[( S/S+T/B) AJD]]-(TABL123[[#This Row],[(A/B + A/S) AJD]]+(TABL123[[#This Row],[(STORGE DIFF.) AJD]])+TABL123[[#This Row],[البخر  AJD]]/1000)</f>
        <v>34.049999999999955</v>
      </c>
      <c r="AE130" s="68">
        <v>73</v>
      </c>
      <c r="AF130" s="68">
        <v>58.4</v>
      </c>
      <c r="AG130" s="68">
        <v>1229087</v>
      </c>
      <c r="AH130" s="43">
        <v>2499</v>
      </c>
      <c r="AI130" s="43">
        <v>2499</v>
      </c>
      <c r="AJ130" s="79">
        <f>TABL123[[#This Row],[(A/B TOT) AJD]]-TABL123[[#This Row],[BER_ IN]]</f>
        <v>472</v>
      </c>
      <c r="AK130" s="68">
        <v>20</v>
      </c>
      <c r="AL130" s="88">
        <v>42.0944</v>
      </c>
      <c r="AM130" s="88">
        <v>2620580</v>
      </c>
      <c r="AN130" s="88">
        <f>TABL123[[#This Row],[ (RESV. STORGE) SER]]/10</f>
        <v>262058</v>
      </c>
      <c r="AO130" s="43">
        <v>2070</v>
      </c>
      <c r="AP130" s="32">
        <f>TABL123[[#This Row],[(A/S TOT) AJD]]-TABL123[[#This Row],[SER_ IN]]</f>
        <v>215</v>
      </c>
    </row>
    <row r="131" spans="1:42" ht="18.75" x14ac:dyDescent="0.3">
      <c r="A131" s="2">
        <v>46152</v>
      </c>
      <c r="B131" s="44">
        <v>37</v>
      </c>
      <c r="C131" s="44">
        <v>301</v>
      </c>
      <c r="D131" s="44">
        <v>37</v>
      </c>
      <c r="E131" s="44">
        <v>0</v>
      </c>
      <c r="F131" s="44">
        <v>95</v>
      </c>
      <c r="G131" s="40">
        <v>590</v>
      </c>
      <c r="H131" s="28">
        <f t="shared" si="5"/>
        <v>8</v>
      </c>
      <c r="I131" s="40">
        <v>475</v>
      </c>
      <c r="J131" s="44">
        <v>460</v>
      </c>
      <c r="K131" s="28">
        <f>TABL123[[#This Row],[خط (T/B  TOT) SAR]]+TABL123[[#This Row],[خط (S/S  TOT) SAR2]]</f>
        <v>935</v>
      </c>
      <c r="L131" s="45">
        <v>345</v>
      </c>
      <c r="M131" s="46">
        <v>24.6</v>
      </c>
      <c r="N131" s="46">
        <v>7.3</v>
      </c>
      <c r="O131" s="40">
        <v>417</v>
      </c>
      <c r="P131" s="3">
        <f>TABL123[[#This Row],[خط (S/S  TOT) SAR2]]-TABL123[[#This Row],[(S/S TOT) AJD]]</f>
        <v>43</v>
      </c>
      <c r="Q131" s="40">
        <v>450</v>
      </c>
      <c r="R131" s="3">
        <f>TABL123[[#This Row],[خط (T/B  TOT) SAR]]-TABL123[[#This Row],[(T/B TOT) AJD]]</f>
        <v>25</v>
      </c>
      <c r="S131" s="3">
        <f>TABL123[[#This Row],[الفرق بين بداية ونهاية خط  T/B]]+TABL123[[#This Row],[الفرق بين بداية ونهاية خط  S/S]]</f>
        <v>68</v>
      </c>
      <c r="T131" s="3">
        <f>TABL123[[#This Row],[(S/S TOT) AJD]]+TABL123[[#This Row],[(T/B TOT) AJD]]</f>
        <v>867</v>
      </c>
      <c r="U131" s="44">
        <v>581</v>
      </c>
      <c r="V131" s="44">
        <v>257</v>
      </c>
      <c r="W131" s="3">
        <f>TABL123[[#This Row],[(A/B TOT) AJD]]+TABL123[[#This Row],[(A/S TOT) AJD]]</f>
        <v>838</v>
      </c>
      <c r="X131" s="3">
        <f>TABL123[[#This Row],[( S/S+T/B) AJD]]-TABL123[[#This Row],[(A/B + A/S) AJD]]</f>
        <v>29</v>
      </c>
      <c r="Y131" s="44">
        <v>92.611999999999995</v>
      </c>
      <c r="Z131" s="45">
        <v>563391</v>
      </c>
      <c r="AA131" s="3">
        <f>TABL123[[#This Row],[(RESV. STORGE) AJD]]/10</f>
        <v>56339.1</v>
      </c>
      <c r="AB131" s="45">
        <f t="shared" si="4"/>
        <v>-7.1609999999999996</v>
      </c>
      <c r="AC131" s="45">
        <v>0</v>
      </c>
      <c r="AD131" s="84">
        <f>TABL123[[#This Row],[( S/S+T/B) AJD]]-(TABL123[[#This Row],[(A/B + A/S) AJD]]+(TABL123[[#This Row],[(STORGE DIFF.) AJD]])+TABL123[[#This Row],[البخر  AJD]]/1000)</f>
        <v>36.160999999999945</v>
      </c>
      <c r="AE131" s="68">
        <v>77</v>
      </c>
      <c r="AF131" s="68">
        <v>58.41</v>
      </c>
      <c r="AG131" s="68">
        <v>1235632</v>
      </c>
      <c r="AH131" s="45">
        <v>2263</v>
      </c>
      <c r="AI131" s="45">
        <v>2263</v>
      </c>
      <c r="AJ131" s="79">
        <f>TABL123[[#This Row],[(A/B TOT) AJD]]-TABL123[[#This Row],[BER_ IN]]</f>
        <v>504</v>
      </c>
      <c r="AK131" s="68">
        <v>21</v>
      </c>
      <c r="AL131" s="88">
        <v>42.033799999999999</v>
      </c>
      <c r="AM131" s="88">
        <v>2589050</v>
      </c>
      <c r="AN131" s="88">
        <f>TABL123[[#This Row],[ (RESV. STORGE) SER]]/10</f>
        <v>258905</v>
      </c>
      <c r="AO131" s="45">
        <v>2120</v>
      </c>
      <c r="AP131" s="32">
        <f>TABL123[[#This Row],[(A/S TOT) AJD]]-TABL123[[#This Row],[SER_ IN]]</f>
        <v>236</v>
      </c>
    </row>
    <row r="132" spans="1:42" ht="18.75" x14ac:dyDescent="0.3">
      <c r="A132" s="2">
        <v>46153</v>
      </c>
      <c r="B132" s="41">
        <v>37</v>
      </c>
      <c r="C132" s="41">
        <v>293</v>
      </c>
      <c r="D132" s="41">
        <v>37</v>
      </c>
      <c r="E132" s="41">
        <v>0</v>
      </c>
      <c r="F132" s="41">
        <v>95</v>
      </c>
      <c r="G132" s="39">
        <v>590</v>
      </c>
      <c r="H132" s="28">
        <f t="shared" si="5"/>
        <v>8</v>
      </c>
      <c r="I132" s="39">
        <v>475</v>
      </c>
      <c r="J132" s="39">
        <v>460</v>
      </c>
      <c r="K132" s="28">
        <f>TABL123[[#This Row],[خط (T/B  TOT) SAR]]+TABL123[[#This Row],[خط (S/S  TOT) SAR2]]</f>
        <v>935</v>
      </c>
      <c r="L132" s="41">
        <v>345</v>
      </c>
      <c r="M132" s="42">
        <v>24.6</v>
      </c>
      <c r="N132" s="42">
        <v>7.21</v>
      </c>
      <c r="O132" s="39">
        <v>410</v>
      </c>
      <c r="P132" s="3">
        <f>TABL123[[#This Row],[خط (S/S  TOT) SAR2]]-TABL123[[#This Row],[(S/S TOT) AJD]]</f>
        <v>50</v>
      </c>
      <c r="Q132" s="39">
        <v>440</v>
      </c>
      <c r="R132" s="3">
        <f>TABL123[[#This Row],[خط (T/B  TOT) SAR]]-TABL123[[#This Row],[(T/B TOT) AJD]]</f>
        <v>35</v>
      </c>
      <c r="S132" s="3">
        <f>TABL123[[#This Row],[الفرق بين بداية ونهاية خط  T/B]]+TABL123[[#This Row],[الفرق بين بداية ونهاية خط  S/S]]</f>
        <v>85</v>
      </c>
      <c r="T132" s="3">
        <f>TABL123[[#This Row],[(S/S TOT) AJD]]+TABL123[[#This Row],[(T/B TOT) AJD]]</f>
        <v>850</v>
      </c>
      <c r="U132" s="41">
        <v>581</v>
      </c>
      <c r="V132" s="41">
        <v>259</v>
      </c>
      <c r="W132" s="3">
        <f>TABL123[[#This Row],[(A/B TOT) AJD]]+TABL123[[#This Row],[(A/S TOT) AJD]]</f>
        <v>840</v>
      </c>
      <c r="X132" s="3">
        <f>TABL123[[#This Row],[( S/S+T/B) AJD]]-TABL123[[#This Row],[(A/B + A/S) AJD]]</f>
        <v>10</v>
      </c>
      <c r="Y132" s="41">
        <v>92.566999999999993</v>
      </c>
      <c r="Z132" s="43">
        <v>534699</v>
      </c>
      <c r="AA132" s="3">
        <f>TABL123[[#This Row],[(RESV. STORGE) AJD]]/10</f>
        <v>53469.9</v>
      </c>
      <c r="AB132" s="45">
        <f t="shared" ref="AB132:AB195" si="6">(Z132-Z131)/1000</f>
        <v>-28.692</v>
      </c>
      <c r="AC132" s="43">
        <v>2145</v>
      </c>
      <c r="AD132" s="84">
        <f>TABL123[[#This Row],[( S/S+T/B) AJD]]-(TABL123[[#This Row],[(A/B + A/S) AJD]]+(TABL123[[#This Row],[(STORGE DIFF.) AJD]])+TABL123[[#This Row],[البخر  AJD]]/1000)</f>
        <v>36.547000000000025</v>
      </c>
      <c r="AE132" s="68">
        <v>79</v>
      </c>
      <c r="AF132" s="68">
        <v>58.44</v>
      </c>
      <c r="AG132" s="68">
        <v>1255289</v>
      </c>
      <c r="AH132" s="68">
        <v>2195</v>
      </c>
      <c r="AI132" s="68">
        <v>2195</v>
      </c>
      <c r="AJ132" s="79">
        <f>TABL123[[#This Row],[(A/B TOT) AJD]]-TABL123[[#This Row],[BER_ IN]]</f>
        <v>502</v>
      </c>
      <c r="AK132" s="68">
        <v>23</v>
      </c>
      <c r="AL132" s="88">
        <v>41.994599999999998</v>
      </c>
      <c r="AM132" s="88">
        <v>2568280</v>
      </c>
      <c r="AN132" s="88">
        <f>TABL123[[#This Row],[ (RESV. STORGE) SER]]/10</f>
        <v>256828</v>
      </c>
      <c r="AO132" s="43">
        <v>2400</v>
      </c>
      <c r="AP132" s="32">
        <f>TABL123[[#This Row],[(A/S TOT) AJD]]-TABL123[[#This Row],[SER_ IN]]</f>
        <v>236</v>
      </c>
    </row>
    <row r="133" spans="1:42" ht="18.75" x14ac:dyDescent="0.3">
      <c r="A133" s="2">
        <v>46154</v>
      </c>
      <c r="B133" s="44">
        <v>37</v>
      </c>
      <c r="C133" s="44">
        <v>296</v>
      </c>
      <c r="D133" s="44">
        <v>37</v>
      </c>
      <c r="E133" s="44">
        <v>0</v>
      </c>
      <c r="F133" s="44">
        <v>95</v>
      </c>
      <c r="G133" s="40">
        <v>590</v>
      </c>
      <c r="H133" s="28">
        <f t="shared" si="5"/>
        <v>8</v>
      </c>
      <c r="I133" s="40">
        <v>472</v>
      </c>
      <c r="J133" s="44">
        <v>458</v>
      </c>
      <c r="K133" s="28">
        <f>TABL123[[#This Row],[خط (T/B  TOT) SAR]]+TABL123[[#This Row],[خط (S/S  TOT) SAR2]]</f>
        <v>930</v>
      </c>
      <c r="L133" s="45">
        <v>340</v>
      </c>
      <c r="M133" s="46">
        <v>24.6</v>
      </c>
      <c r="N133" s="46">
        <v>7.15</v>
      </c>
      <c r="O133" s="40">
        <v>407</v>
      </c>
      <c r="P133" s="3">
        <f>TABL123[[#This Row],[خط (S/S  TOT) SAR2]]-TABL123[[#This Row],[(S/S TOT) AJD]]</f>
        <v>51</v>
      </c>
      <c r="Q133" s="40">
        <v>442</v>
      </c>
      <c r="R133" s="3">
        <f>TABL123[[#This Row],[خط (T/B  TOT) SAR]]-TABL123[[#This Row],[(T/B TOT) AJD]]</f>
        <v>30</v>
      </c>
      <c r="S133" s="3">
        <f>TABL123[[#This Row],[الفرق بين بداية ونهاية خط  T/B]]+TABL123[[#This Row],[الفرق بين بداية ونهاية خط  S/S]]</f>
        <v>81</v>
      </c>
      <c r="T133" s="3">
        <f>TABL123[[#This Row],[(S/S TOT) AJD]]+TABL123[[#This Row],[(T/B TOT) AJD]]</f>
        <v>849</v>
      </c>
      <c r="U133" s="44">
        <v>581</v>
      </c>
      <c r="V133" s="44">
        <v>274</v>
      </c>
      <c r="W133" s="3">
        <f>TABL123[[#This Row],[(A/B TOT) AJD]]+TABL123[[#This Row],[(A/S TOT) AJD]]</f>
        <v>855</v>
      </c>
      <c r="X133" s="3">
        <f>TABL123[[#This Row],[( S/S+T/B) AJD]]-TABL123[[#This Row],[(A/B + A/S) AJD]]</f>
        <v>-6</v>
      </c>
      <c r="Y133" s="44">
        <v>92.51</v>
      </c>
      <c r="Z133" s="45">
        <v>502583</v>
      </c>
      <c r="AA133" s="3">
        <f>TABL123[[#This Row],[(RESV. STORGE) AJD]]/10</f>
        <v>50258.3</v>
      </c>
      <c r="AB133" s="45">
        <f t="shared" si="6"/>
        <v>-32.116</v>
      </c>
      <c r="AC133" s="45">
        <v>1818</v>
      </c>
      <c r="AD133" s="84">
        <f>TABL123[[#This Row],[( S/S+T/B) AJD]]-(TABL123[[#This Row],[(A/B + A/S) AJD]]+(TABL123[[#This Row],[(STORGE DIFF.) AJD]])+TABL123[[#This Row],[البخر  AJD]]/1000)</f>
        <v>24.298000000000002</v>
      </c>
      <c r="AE133" s="68">
        <v>85</v>
      </c>
      <c r="AF133" s="68">
        <v>58.47</v>
      </c>
      <c r="AG133" s="68">
        <v>1274954</v>
      </c>
      <c r="AH133" s="45">
        <v>2368</v>
      </c>
      <c r="AI133" s="45">
        <v>2368</v>
      </c>
      <c r="AJ133" s="79">
        <f>TABL123[[#This Row],[(A/B TOT) AJD]]-TABL123[[#This Row],[BER_ IN]]</f>
        <v>496</v>
      </c>
      <c r="AK133" s="68">
        <v>23</v>
      </c>
      <c r="AL133" s="88">
        <v>41.935400000000001</v>
      </c>
      <c r="AM133" s="88">
        <v>2536790</v>
      </c>
      <c r="AN133" s="88">
        <f>TABL123[[#This Row],[ (RESV. STORGE) SER]]/10</f>
        <v>253679</v>
      </c>
      <c r="AO133" s="45">
        <v>2380</v>
      </c>
      <c r="AP133" s="32">
        <f>TABL123[[#This Row],[(A/S TOT) AJD]]-TABL123[[#This Row],[SER_ IN]]</f>
        <v>251</v>
      </c>
    </row>
    <row r="134" spans="1:42" ht="18.75" x14ac:dyDescent="0.3">
      <c r="A134" s="2">
        <v>46155</v>
      </c>
      <c r="B134" s="41">
        <v>38</v>
      </c>
      <c r="C134" s="41">
        <v>308</v>
      </c>
      <c r="D134" s="41">
        <v>38</v>
      </c>
      <c r="E134" s="41">
        <v>0</v>
      </c>
      <c r="F134" s="41">
        <v>95</v>
      </c>
      <c r="G134" s="39">
        <v>590</v>
      </c>
      <c r="H134" s="28">
        <f t="shared" si="5"/>
        <v>8</v>
      </c>
      <c r="I134" s="39">
        <v>472</v>
      </c>
      <c r="J134" s="39">
        <v>458</v>
      </c>
      <c r="K134" s="28">
        <f>TABL123[[#This Row],[خط (T/B  TOT) SAR]]+TABL123[[#This Row],[خط (S/S  TOT) SAR2]]</f>
        <v>930</v>
      </c>
      <c r="L134" s="41">
        <v>340</v>
      </c>
      <c r="M134" s="42">
        <v>24.6</v>
      </c>
      <c r="N134" s="42">
        <v>7.14</v>
      </c>
      <c r="O134" s="39">
        <v>410</v>
      </c>
      <c r="P134" s="3">
        <f>TABL123[[#This Row],[خط (S/S  TOT) SAR2]]-TABL123[[#This Row],[(S/S TOT) AJD]]</f>
        <v>48</v>
      </c>
      <c r="Q134" s="39">
        <v>441</v>
      </c>
      <c r="R134" s="3">
        <f>TABL123[[#This Row],[خط (T/B  TOT) SAR]]-TABL123[[#This Row],[(T/B TOT) AJD]]</f>
        <v>31</v>
      </c>
      <c r="S134" s="3">
        <f>TABL123[[#This Row],[الفرق بين بداية ونهاية خط  T/B]]+TABL123[[#This Row],[الفرق بين بداية ونهاية خط  S/S]]</f>
        <v>79</v>
      </c>
      <c r="T134" s="3">
        <f>TABL123[[#This Row],[(S/S TOT) AJD]]+TABL123[[#This Row],[(T/B TOT) AJD]]</f>
        <v>851</v>
      </c>
      <c r="U134" s="41">
        <v>542</v>
      </c>
      <c r="V134" s="41">
        <v>256</v>
      </c>
      <c r="W134" s="3">
        <f>TABL123[[#This Row],[(A/B TOT) AJD]]+TABL123[[#This Row],[(A/S TOT) AJD]]</f>
        <v>798</v>
      </c>
      <c r="X134" s="3">
        <f>TABL123[[#This Row],[( S/S+T/B) AJD]]-TABL123[[#This Row],[(A/B + A/S) AJD]]</f>
        <v>53</v>
      </c>
      <c r="Y134" s="41">
        <v>92.537000000000006</v>
      </c>
      <c r="Z134" s="43">
        <v>518677</v>
      </c>
      <c r="AA134" s="3">
        <f>TABL123[[#This Row],[(RESV. STORGE) AJD]]/10</f>
        <v>51867.7</v>
      </c>
      <c r="AB134" s="45">
        <f t="shared" si="6"/>
        <v>16.094000000000001</v>
      </c>
      <c r="AC134" s="43">
        <v>1128</v>
      </c>
      <c r="AD134" s="84">
        <f>TABL123[[#This Row],[( S/S+T/B) AJD]]-(TABL123[[#This Row],[(A/B + A/S) AJD]]+(TABL123[[#This Row],[(STORGE DIFF.) AJD]])+TABL123[[#This Row],[البخر  AJD]]/1000)</f>
        <v>35.777999999999906</v>
      </c>
      <c r="AE134" s="68">
        <v>83</v>
      </c>
      <c r="AF134" s="68">
        <v>58.53</v>
      </c>
      <c r="AG134" s="68">
        <v>1314308</v>
      </c>
      <c r="AH134" s="43">
        <v>2312</v>
      </c>
      <c r="AI134" s="43">
        <v>2312</v>
      </c>
      <c r="AJ134" s="79">
        <f>TABL123[[#This Row],[(A/B TOT) AJD]]-TABL123[[#This Row],[BER_ IN]]</f>
        <v>459</v>
      </c>
      <c r="AK134" s="68">
        <v>22</v>
      </c>
      <c r="AL134" s="88">
        <v>41.8491</v>
      </c>
      <c r="AM134" s="88">
        <v>2490490</v>
      </c>
      <c r="AN134" s="88">
        <f>TABL123[[#This Row],[ (RESV. STORGE) SER]]/10</f>
        <v>249049</v>
      </c>
      <c r="AO134" s="43">
        <v>2430</v>
      </c>
      <c r="AP134" s="32">
        <f>TABL123[[#This Row],[(A/S TOT) AJD]]-TABL123[[#This Row],[SER_ IN]]</f>
        <v>234</v>
      </c>
    </row>
    <row r="135" spans="1:42" ht="18.75" x14ac:dyDescent="0.3">
      <c r="A135" s="2">
        <v>46156</v>
      </c>
      <c r="B135" s="44">
        <v>39</v>
      </c>
      <c r="C135" s="44">
        <v>318</v>
      </c>
      <c r="D135" s="44">
        <v>39</v>
      </c>
      <c r="E135" s="44">
        <v>0</v>
      </c>
      <c r="F135" s="44">
        <v>95</v>
      </c>
      <c r="G135" s="40">
        <v>590</v>
      </c>
      <c r="H135" s="28">
        <f t="shared" si="5"/>
        <v>8</v>
      </c>
      <c r="I135" s="40">
        <v>472</v>
      </c>
      <c r="J135" s="44">
        <v>458</v>
      </c>
      <c r="K135" s="28">
        <f>TABL123[[#This Row],[خط (T/B  TOT) SAR]]+TABL123[[#This Row],[خط (S/S  TOT) SAR2]]</f>
        <v>930</v>
      </c>
      <c r="L135" s="45">
        <v>340</v>
      </c>
      <c r="M135" s="46">
        <v>24.6</v>
      </c>
      <c r="N135" s="46">
        <v>7.19</v>
      </c>
      <c r="O135" s="40">
        <v>411</v>
      </c>
      <c r="P135" s="3">
        <f>TABL123[[#This Row],[خط (S/S  TOT) SAR2]]-TABL123[[#This Row],[(S/S TOT) AJD]]</f>
        <v>47</v>
      </c>
      <c r="Q135" s="40">
        <v>440</v>
      </c>
      <c r="R135" s="3">
        <f>TABL123[[#This Row],[خط (T/B  TOT) SAR]]-TABL123[[#This Row],[(T/B TOT) AJD]]</f>
        <v>32</v>
      </c>
      <c r="S135" s="3">
        <f>TABL123[[#This Row],[الفرق بين بداية ونهاية خط  T/B]]+TABL123[[#This Row],[الفرق بين بداية ونهاية خط  S/S]]</f>
        <v>79</v>
      </c>
      <c r="T135" s="3">
        <f>TABL123[[#This Row],[(S/S TOT) AJD]]+TABL123[[#This Row],[(T/B TOT) AJD]]</f>
        <v>851</v>
      </c>
      <c r="U135" s="44">
        <v>596</v>
      </c>
      <c r="V135" s="44">
        <v>264</v>
      </c>
      <c r="W135" s="3">
        <f>TABL123[[#This Row],[(A/B TOT) AJD]]+TABL123[[#This Row],[(A/S TOT) AJD]]</f>
        <v>860</v>
      </c>
      <c r="X135" s="3">
        <f>TABL123[[#This Row],[( S/S+T/B) AJD]]-TABL123[[#This Row],[(A/B + A/S) AJD]]</f>
        <v>-9</v>
      </c>
      <c r="Y135" s="44">
        <v>92.46</v>
      </c>
      <c r="Z135" s="45">
        <v>472803</v>
      </c>
      <c r="AA135" s="3">
        <f>TABL123[[#This Row],[(RESV. STORGE) AJD]]/10</f>
        <v>47280.3</v>
      </c>
      <c r="AB135" s="45">
        <f t="shared" si="6"/>
        <v>-45.874000000000002</v>
      </c>
      <c r="AC135" s="45">
        <v>1167</v>
      </c>
      <c r="AD135" s="84">
        <f>TABL123[[#This Row],[( S/S+T/B) AJD]]-(TABL123[[#This Row],[(A/B + A/S) AJD]]+(TABL123[[#This Row],[(STORGE DIFF.) AJD]])+TABL123[[#This Row],[البخر  AJD]]/1000)</f>
        <v>35.706999999999994</v>
      </c>
      <c r="AE135" s="68">
        <v>84</v>
      </c>
      <c r="AF135" s="68">
        <v>58.6</v>
      </c>
      <c r="AG135" s="68">
        <v>1360259</v>
      </c>
      <c r="AH135" s="45">
        <v>2503</v>
      </c>
      <c r="AI135" s="45">
        <v>2503</v>
      </c>
      <c r="AJ135" s="79">
        <f>TABL123[[#This Row],[(A/B TOT) AJD]]-TABL123[[#This Row],[BER_ IN]]</f>
        <v>512</v>
      </c>
      <c r="AK135" s="68">
        <v>21</v>
      </c>
      <c r="AL135" s="88">
        <v>41.803199999999997</v>
      </c>
      <c r="AM135" s="88">
        <v>2466220</v>
      </c>
      <c r="AN135" s="88">
        <f>TABL123[[#This Row],[ (RESV. STORGE) SER]]/10</f>
        <v>246622</v>
      </c>
      <c r="AO135" s="45">
        <v>2365</v>
      </c>
      <c r="AP135" s="32">
        <f>TABL123[[#This Row],[(A/S TOT) AJD]]-TABL123[[#This Row],[SER_ IN]]</f>
        <v>243</v>
      </c>
    </row>
    <row r="136" spans="1:42" ht="18.75" x14ac:dyDescent="0.3">
      <c r="A136" s="2">
        <v>46157</v>
      </c>
      <c r="B136" s="41">
        <v>39</v>
      </c>
      <c r="C136" s="41">
        <v>317</v>
      </c>
      <c r="D136" s="41">
        <v>39</v>
      </c>
      <c r="E136" s="41">
        <v>0</v>
      </c>
      <c r="F136" s="41">
        <v>95</v>
      </c>
      <c r="G136" s="39">
        <v>590</v>
      </c>
      <c r="H136" s="28">
        <f t="shared" si="5"/>
        <v>8</v>
      </c>
      <c r="I136" s="39">
        <v>472</v>
      </c>
      <c r="J136" s="39">
        <v>458</v>
      </c>
      <c r="K136" s="28">
        <f>TABL123[[#This Row],[خط (T/B  TOT) SAR]]+TABL123[[#This Row],[خط (S/S  TOT) SAR2]]</f>
        <v>930</v>
      </c>
      <c r="L136" s="41">
        <v>340</v>
      </c>
      <c r="M136" s="42">
        <v>24.6</v>
      </c>
      <c r="N136" s="42">
        <v>7.26</v>
      </c>
      <c r="O136" s="39">
        <v>410</v>
      </c>
      <c r="P136" s="3">
        <f>TABL123[[#This Row],[خط (S/S  TOT) SAR2]]-TABL123[[#This Row],[(S/S TOT) AJD]]</f>
        <v>48</v>
      </c>
      <c r="Q136" s="39">
        <v>441</v>
      </c>
      <c r="R136" s="3">
        <f>TABL123[[#This Row],[خط (T/B  TOT) SAR]]-TABL123[[#This Row],[(T/B TOT) AJD]]</f>
        <v>31</v>
      </c>
      <c r="S136" s="3">
        <f>TABL123[[#This Row],[الفرق بين بداية ونهاية خط  T/B]]+TABL123[[#This Row],[الفرق بين بداية ونهاية خط  S/S]]</f>
        <v>79</v>
      </c>
      <c r="T136" s="3">
        <f>TABL123[[#This Row],[(S/S TOT) AJD]]+TABL123[[#This Row],[(T/B TOT) AJD]]</f>
        <v>851</v>
      </c>
      <c r="U136" s="41">
        <v>600</v>
      </c>
      <c r="V136" s="41">
        <v>295</v>
      </c>
      <c r="W136" s="3">
        <f>TABL123[[#This Row],[(A/B TOT) AJD]]+TABL123[[#This Row],[(A/S TOT) AJD]]</f>
        <v>895</v>
      </c>
      <c r="X136" s="3">
        <f>TABL123[[#This Row],[( S/S+T/B) AJD]]-TABL123[[#This Row],[(A/B + A/S) AJD]]</f>
        <v>-44</v>
      </c>
      <c r="Y136" s="41">
        <v>92.34</v>
      </c>
      <c r="Z136" s="43">
        <v>401419</v>
      </c>
      <c r="AA136" s="3">
        <f>TABL123[[#This Row],[(RESV. STORGE) AJD]]/10</f>
        <v>40141.9</v>
      </c>
      <c r="AB136" s="45">
        <f t="shared" si="6"/>
        <v>-71.384</v>
      </c>
      <c r="AC136" s="43">
        <v>1061</v>
      </c>
      <c r="AD136" s="84">
        <f>TABL123[[#This Row],[( S/S+T/B) AJD]]-(TABL123[[#This Row],[(A/B + A/S) AJD]]+(TABL123[[#This Row],[(STORGE DIFF.) AJD]])+TABL123[[#This Row],[البخر  AJD]]/1000)</f>
        <v>26.322999999999979</v>
      </c>
      <c r="AE136" s="68">
        <v>83</v>
      </c>
      <c r="AF136" s="68">
        <v>58.71</v>
      </c>
      <c r="AG136" s="68">
        <v>1432554</v>
      </c>
      <c r="AH136" s="43">
        <v>2154</v>
      </c>
      <c r="AI136" s="43">
        <v>2154</v>
      </c>
      <c r="AJ136" s="79">
        <f>TABL123[[#This Row],[(A/B TOT) AJD]]-TABL123[[#This Row],[BER_ IN]]</f>
        <v>517</v>
      </c>
      <c r="AK136" s="68">
        <v>21</v>
      </c>
      <c r="AL136" s="88">
        <v>41.749600000000001</v>
      </c>
      <c r="AM136" s="88">
        <v>2437846</v>
      </c>
      <c r="AN136" s="88">
        <f>TABL123[[#This Row],[ (RESV. STORGE) SER]]/10</f>
        <v>243784.6</v>
      </c>
      <c r="AO136" s="43">
        <v>2175</v>
      </c>
      <c r="AP136" s="32">
        <f>TABL123[[#This Row],[(A/S TOT) AJD]]-TABL123[[#This Row],[SER_ IN]]</f>
        <v>274</v>
      </c>
    </row>
    <row r="137" spans="1:42" ht="18.75" x14ac:dyDescent="0.3">
      <c r="A137" s="2">
        <v>46158</v>
      </c>
      <c r="B137" s="44">
        <v>39</v>
      </c>
      <c r="C137" s="44">
        <v>305</v>
      </c>
      <c r="D137" s="44">
        <v>39</v>
      </c>
      <c r="E137" s="44">
        <v>0</v>
      </c>
      <c r="F137" s="44">
        <v>95</v>
      </c>
      <c r="G137" s="40">
        <v>590</v>
      </c>
      <c r="H137" s="28">
        <f t="shared" si="5"/>
        <v>8</v>
      </c>
      <c r="I137" s="40">
        <v>472</v>
      </c>
      <c r="J137" s="44">
        <v>458</v>
      </c>
      <c r="K137" s="28">
        <f>TABL123[[#This Row],[خط (T/B  TOT) SAR]]+TABL123[[#This Row],[خط (S/S  TOT) SAR2]]</f>
        <v>930</v>
      </c>
      <c r="L137" s="45">
        <v>340</v>
      </c>
      <c r="M137" s="46">
        <v>24.6</v>
      </c>
      <c r="N137" s="46">
        <v>7.24</v>
      </c>
      <c r="O137" s="40">
        <v>410</v>
      </c>
      <c r="P137" s="3">
        <f>TABL123[[#This Row],[خط (S/S  TOT) SAR2]]-TABL123[[#This Row],[(S/S TOT) AJD]]</f>
        <v>48</v>
      </c>
      <c r="Q137" s="40">
        <v>443</v>
      </c>
      <c r="R137" s="3">
        <f>TABL123[[#This Row],[خط (T/B  TOT) SAR]]-TABL123[[#This Row],[(T/B TOT) AJD]]</f>
        <v>29</v>
      </c>
      <c r="S137" s="3">
        <f>TABL123[[#This Row],[الفرق بين بداية ونهاية خط  T/B]]+TABL123[[#This Row],[الفرق بين بداية ونهاية خط  S/S]]</f>
        <v>77</v>
      </c>
      <c r="T137" s="3">
        <f>TABL123[[#This Row],[(S/S TOT) AJD]]+TABL123[[#This Row],[(T/B TOT) AJD]]</f>
        <v>853</v>
      </c>
      <c r="U137" s="44">
        <v>594</v>
      </c>
      <c r="V137" s="44">
        <v>291</v>
      </c>
      <c r="W137" s="3">
        <f>TABL123[[#This Row],[(A/B TOT) AJD]]+TABL123[[#This Row],[(A/S TOT) AJD]]</f>
        <v>885</v>
      </c>
      <c r="X137" s="3">
        <f>TABL123[[#This Row],[( S/S+T/B) AJD]]-TABL123[[#This Row],[(A/B + A/S) AJD]]</f>
        <v>-32</v>
      </c>
      <c r="Y137" s="44">
        <v>92.22</v>
      </c>
      <c r="Z137" s="45">
        <v>330158</v>
      </c>
      <c r="AA137" s="3">
        <f>TABL123[[#This Row],[(RESV. STORGE) AJD]]/10</f>
        <v>33015.800000000003</v>
      </c>
      <c r="AB137" s="45">
        <f t="shared" si="6"/>
        <v>-71.260999999999996</v>
      </c>
      <c r="AC137" s="45">
        <v>3011</v>
      </c>
      <c r="AD137" s="84">
        <f>TABL123[[#This Row],[( S/S+T/B) AJD]]-(TABL123[[#This Row],[(A/B + A/S) AJD]]+(TABL123[[#This Row],[(STORGE DIFF.) AJD]])+TABL123[[#This Row],[البخر  AJD]]/1000)</f>
        <v>36.25</v>
      </c>
      <c r="AE137" s="68">
        <v>77</v>
      </c>
      <c r="AF137" s="68">
        <v>58.805999999999997</v>
      </c>
      <c r="AG137" s="68">
        <v>1495732</v>
      </c>
      <c r="AH137" s="45">
        <v>3171</v>
      </c>
      <c r="AI137" s="45">
        <v>3171</v>
      </c>
      <c r="AJ137" s="79">
        <f>TABL123[[#This Row],[(A/B TOT) AJD]]-TABL123[[#This Row],[BER_ IN]]</f>
        <v>517</v>
      </c>
      <c r="AK137" s="68">
        <v>22</v>
      </c>
      <c r="AL137" s="88">
        <v>41.739400000000003</v>
      </c>
      <c r="AM137" s="88">
        <v>2432180</v>
      </c>
      <c r="AN137" s="88">
        <f>TABL123[[#This Row],[ (RESV. STORGE) SER]]/10</f>
        <v>243218</v>
      </c>
      <c r="AO137" s="45">
        <v>1866</v>
      </c>
      <c r="AP137" s="32">
        <f>TABL123[[#This Row],[(A/S TOT) AJD]]-TABL123[[#This Row],[SER_ IN]]</f>
        <v>269</v>
      </c>
    </row>
    <row r="138" spans="1:42" ht="18.75" x14ac:dyDescent="0.3">
      <c r="A138" s="2">
        <v>46159</v>
      </c>
      <c r="B138" s="41">
        <v>38</v>
      </c>
      <c r="C138" s="41">
        <v>310</v>
      </c>
      <c r="D138" s="41">
        <v>38</v>
      </c>
      <c r="E138" s="41">
        <v>0</v>
      </c>
      <c r="F138" s="41">
        <v>95</v>
      </c>
      <c r="G138" s="39">
        <v>590</v>
      </c>
      <c r="H138" s="28">
        <f t="shared" si="5"/>
        <v>8</v>
      </c>
      <c r="I138" s="39">
        <v>472</v>
      </c>
      <c r="J138" s="39">
        <v>458</v>
      </c>
      <c r="K138" s="28">
        <f>TABL123[[#This Row],[خط (T/B  TOT) SAR]]+TABL123[[#This Row],[خط (S/S  TOT) SAR2]]</f>
        <v>930</v>
      </c>
      <c r="L138" s="41">
        <v>340</v>
      </c>
      <c r="M138" s="42">
        <v>24.6</v>
      </c>
      <c r="N138" s="42">
        <v>7.23</v>
      </c>
      <c r="O138" s="39">
        <v>411</v>
      </c>
      <c r="P138" s="3">
        <f>TABL123[[#This Row],[خط (S/S  TOT) SAR2]]-TABL123[[#This Row],[(S/S TOT) AJD]]</f>
        <v>47</v>
      </c>
      <c r="Q138" s="39">
        <v>445</v>
      </c>
      <c r="R138" s="3">
        <f>TABL123[[#This Row],[خط (T/B  TOT) SAR]]-TABL123[[#This Row],[(T/B TOT) AJD]]</f>
        <v>27</v>
      </c>
      <c r="S138" s="3">
        <f>TABL123[[#This Row],[الفرق بين بداية ونهاية خط  T/B]]+TABL123[[#This Row],[الفرق بين بداية ونهاية خط  S/S]]</f>
        <v>74</v>
      </c>
      <c r="T138" s="3">
        <f>TABL123[[#This Row],[(S/S TOT) AJD]]+TABL123[[#This Row],[(T/B TOT) AJD]]</f>
        <v>856</v>
      </c>
      <c r="U138" s="41">
        <v>600</v>
      </c>
      <c r="V138" s="41">
        <v>247</v>
      </c>
      <c r="W138" s="3">
        <f>TABL123[[#This Row],[(A/B TOT) AJD]]+TABL123[[#This Row],[(A/S TOT) AJD]]</f>
        <v>847</v>
      </c>
      <c r="X138" s="3">
        <f>TABL123[[#This Row],[( S/S+T/B) AJD]]-TABL123[[#This Row],[(A/B + A/S) AJD]]</f>
        <v>9</v>
      </c>
      <c r="Y138" s="41">
        <v>92.185000000000002</v>
      </c>
      <c r="Z138" s="43">
        <v>309393</v>
      </c>
      <c r="AA138" s="3">
        <f>TABL123[[#This Row],[(RESV. STORGE) AJD]]/10</f>
        <v>30939.3</v>
      </c>
      <c r="AB138" s="45">
        <f t="shared" si="6"/>
        <v>-20.765000000000001</v>
      </c>
      <c r="AC138" s="43">
        <v>4828</v>
      </c>
      <c r="AD138" s="84">
        <f>TABL123[[#This Row],[( S/S+T/B) AJD]]-(TABL123[[#This Row],[(A/B + A/S) AJD]]+(TABL123[[#This Row],[(STORGE DIFF.) AJD]])+TABL123[[#This Row],[البخر  AJD]]/1000)</f>
        <v>24.937000000000012</v>
      </c>
      <c r="AE138" s="68">
        <v>67</v>
      </c>
      <c r="AF138" s="68">
        <v>58.89</v>
      </c>
      <c r="AG138" s="68">
        <v>1551079</v>
      </c>
      <c r="AH138" s="43">
        <v>3153</v>
      </c>
      <c r="AI138" s="43">
        <v>3153</v>
      </c>
      <c r="AJ138" s="79">
        <f>TABL123[[#This Row],[(A/B TOT) AJD]]-TABL123[[#This Row],[BER_ IN]]</f>
        <v>533</v>
      </c>
      <c r="AK138" s="68">
        <v>21</v>
      </c>
      <c r="AL138" s="88">
        <v>41.726900000000001</v>
      </c>
      <c r="AM138" s="88">
        <v>2425620</v>
      </c>
      <c r="AN138" s="88">
        <f>TABL123[[#This Row],[ (RESV. STORGE) SER]]/10</f>
        <v>242562</v>
      </c>
      <c r="AO138" s="43">
        <v>1860</v>
      </c>
      <c r="AP138" s="32">
        <f>TABL123[[#This Row],[(A/S TOT) AJD]]-TABL123[[#This Row],[SER_ IN]]</f>
        <v>226</v>
      </c>
    </row>
    <row r="139" spans="1:42" ht="18.75" x14ac:dyDescent="0.3">
      <c r="A139" s="2">
        <v>46160</v>
      </c>
      <c r="B139" s="44">
        <v>38</v>
      </c>
      <c r="C139" s="44">
        <v>299</v>
      </c>
      <c r="D139" s="44">
        <v>38</v>
      </c>
      <c r="E139" s="44">
        <v>0</v>
      </c>
      <c r="F139" s="44">
        <v>95</v>
      </c>
      <c r="G139" s="40">
        <v>587</v>
      </c>
      <c r="H139" s="28">
        <f t="shared" si="5"/>
        <v>8</v>
      </c>
      <c r="I139" s="40">
        <v>470</v>
      </c>
      <c r="J139" s="44">
        <v>455</v>
      </c>
      <c r="K139" s="28">
        <f>TABL123[[#This Row],[خط (T/B  TOT) SAR]]+TABL123[[#This Row],[خط (S/S  TOT) SAR2]]</f>
        <v>925</v>
      </c>
      <c r="L139" s="45">
        <v>338</v>
      </c>
      <c r="M139" s="46">
        <v>24.6</v>
      </c>
      <c r="N139" s="46">
        <v>7.18</v>
      </c>
      <c r="O139" s="40">
        <v>404</v>
      </c>
      <c r="P139" s="3">
        <f>TABL123[[#This Row],[خط (S/S  TOT) SAR2]]-TABL123[[#This Row],[(S/S TOT) AJD]]</f>
        <v>51</v>
      </c>
      <c r="Q139" s="40">
        <v>436</v>
      </c>
      <c r="R139" s="3">
        <f>TABL123[[#This Row],[خط (T/B  TOT) SAR]]-TABL123[[#This Row],[(T/B TOT) AJD]]</f>
        <v>34</v>
      </c>
      <c r="S139" s="3">
        <f>TABL123[[#This Row],[الفرق بين بداية ونهاية خط  T/B]]+TABL123[[#This Row],[الفرق بين بداية ونهاية خط  S/S]]</f>
        <v>85</v>
      </c>
      <c r="T139" s="3">
        <f>TABL123[[#This Row],[(S/S TOT) AJD]]+TABL123[[#This Row],[(T/B TOT) AJD]]</f>
        <v>840</v>
      </c>
      <c r="U139" s="44">
        <v>608</v>
      </c>
      <c r="V139" s="44">
        <v>224</v>
      </c>
      <c r="W139" s="3">
        <f>TABL123[[#This Row],[(A/B TOT) AJD]]+TABL123[[#This Row],[(A/S TOT) AJD]]</f>
        <v>832</v>
      </c>
      <c r="X139" s="3">
        <f>TABL123[[#This Row],[( S/S+T/B) AJD]]-TABL123[[#This Row],[(A/B + A/S) AJD]]</f>
        <v>8</v>
      </c>
      <c r="Y139" s="44">
        <v>92.15</v>
      </c>
      <c r="Z139" s="45">
        <v>290419</v>
      </c>
      <c r="AA139" s="3">
        <f>TABL123[[#This Row],[(RESV. STORGE) AJD]]/10</f>
        <v>29041.9</v>
      </c>
      <c r="AB139" s="45">
        <f t="shared" si="6"/>
        <v>-18.974</v>
      </c>
      <c r="AC139" s="45">
        <v>2627</v>
      </c>
      <c r="AD139" s="84">
        <f>TABL123[[#This Row],[( S/S+T/B) AJD]]-(TABL123[[#This Row],[(A/B + A/S) AJD]]+(TABL123[[#This Row],[(STORGE DIFF.) AJD]])+TABL123[[#This Row],[البخر  AJD]]/1000)</f>
        <v>24.347000000000094</v>
      </c>
      <c r="AE139" s="68">
        <v>55</v>
      </c>
      <c r="AF139" s="68">
        <v>58.9</v>
      </c>
      <c r="AG139" s="68">
        <v>1557672</v>
      </c>
      <c r="AH139" s="45">
        <v>3547</v>
      </c>
      <c r="AI139" s="45">
        <v>3547</v>
      </c>
      <c r="AJ139" s="79">
        <f>TABL123[[#This Row],[(A/B TOT) AJD]]-TABL123[[#This Row],[BER_ IN]]</f>
        <v>553</v>
      </c>
      <c r="AK139" s="68">
        <v>22</v>
      </c>
      <c r="AL139" s="88">
        <v>41.713000000000001</v>
      </c>
      <c r="AM139" s="88">
        <v>2418190</v>
      </c>
      <c r="AN139" s="88">
        <f>TABL123[[#This Row],[ (RESV. STORGE) SER]]/10</f>
        <v>241819</v>
      </c>
      <c r="AO139" s="45">
        <v>1830</v>
      </c>
      <c r="AP139" s="32">
        <f>TABL123[[#This Row],[(A/S TOT) AJD]]-TABL123[[#This Row],[SER_ IN]]</f>
        <v>202</v>
      </c>
    </row>
    <row r="140" spans="1:42" ht="18.75" x14ac:dyDescent="0.3">
      <c r="A140" s="2">
        <v>46161</v>
      </c>
      <c r="B140" s="41">
        <v>38</v>
      </c>
      <c r="C140" s="41">
        <v>325</v>
      </c>
      <c r="D140" s="41">
        <v>38</v>
      </c>
      <c r="E140" s="41">
        <v>0</v>
      </c>
      <c r="F140" s="41">
        <v>95</v>
      </c>
      <c r="G140" s="39">
        <v>585</v>
      </c>
      <c r="H140" s="28">
        <f t="shared" si="5"/>
        <v>8</v>
      </c>
      <c r="I140" s="39">
        <v>468</v>
      </c>
      <c r="J140" s="39">
        <v>452</v>
      </c>
      <c r="K140" s="28">
        <f>TABL123[[#This Row],[خط (T/B  TOT) SAR]]+TABL123[[#This Row],[خط (S/S  TOT) SAR2]]</f>
        <v>920</v>
      </c>
      <c r="L140" s="41">
        <v>335</v>
      </c>
      <c r="M140" s="42">
        <v>24.6</v>
      </c>
      <c r="N140" s="42">
        <v>7.09</v>
      </c>
      <c r="O140" s="39">
        <v>406</v>
      </c>
      <c r="P140" s="3">
        <f>TABL123[[#This Row],[خط (S/S  TOT) SAR2]]-TABL123[[#This Row],[(S/S TOT) AJD]]</f>
        <v>46</v>
      </c>
      <c r="Q140" s="39">
        <v>438</v>
      </c>
      <c r="R140" s="3">
        <f>TABL123[[#This Row],[خط (T/B  TOT) SAR]]-TABL123[[#This Row],[(T/B TOT) AJD]]</f>
        <v>30</v>
      </c>
      <c r="S140" s="3">
        <f>TABL123[[#This Row],[الفرق بين بداية ونهاية خط  T/B]]+TABL123[[#This Row],[الفرق بين بداية ونهاية خط  S/S]]</f>
        <v>76</v>
      </c>
      <c r="T140" s="3">
        <f>TABL123[[#This Row],[(S/S TOT) AJD]]+TABL123[[#This Row],[(T/B TOT) AJD]]</f>
        <v>844</v>
      </c>
      <c r="U140" s="41">
        <v>600</v>
      </c>
      <c r="V140" s="41">
        <v>231</v>
      </c>
      <c r="W140" s="3">
        <f>TABL123[[#This Row],[(A/B TOT) AJD]]+TABL123[[#This Row],[(A/S TOT) AJD]]</f>
        <v>831</v>
      </c>
      <c r="X140" s="3">
        <f>TABL123[[#This Row],[( S/S+T/B) AJD]]-TABL123[[#This Row],[(A/B + A/S) AJD]]</f>
        <v>13</v>
      </c>
      <c r="Y140" s="41">
        <v>92.147999999999996</v>
      </c>
      <c r="Z140" s="43">
        <v>287457</v>
      </c>
      <c r="AA140" s="3">
        <f>TABL123[[#This Row],[(RESV. STORGE) AJD]]/10</f>
        <v>28745.7</v>
      </c>
      <c r="AB140" s="45">
        <f t="shared" si="6"/>
        <v>-2.9620000000000002</v>
      </c>
      <c r="AC140" s="43">
        <v>2008</v>
      </c>
      <c r="AD140" s="84">
        <f>TABL123[[#This Row],[( S/S+T/B) AJD]]-(TABL123[[#This Row],[(A/B + A/S) AJD]]+(TABL123[[#This Row],[(STORGE DIFF.) AJD]])+TABL123[[#This Row],[البخر  AJD]]/1000)</f>
        <v>13.953999999999951</v>
      </c>
      <c r="AE140" s="68">
        <v>55</v>
      </c>
      <c r="AF140" s="68">
        <v>58.91</v>
      </c>
      <c r="AG140" s="68">
        <v>1564266</v>
      </c>
      <c r="AH140" s="43">
        <v>3566</v>
      </c>
      <c r="AI140" s="43">
        <v>3566</v>
      </c>
      <c r="AJ140" s="79">
        <f>TABL123[[#This Row],[(A/B TOT) AJD]]-TABL123[[#This Row],[BER_ IN]]</f>
        <v>545</v>
      </c>
      <c r="AK140" s="68">
        <v>21</v>
      </c>
      <c r="AL140" s="88">
        <v>41.699399999999997</v>
      </c>
      <c r="AM140" s="88">
        <v>2410720</v>
      </c>
      <c r="AN140" s="88">
        <f>TABL123[[#This Row],[ (RESV. STORGE) SER]]/10</f>
        <v>241072</v>
      </c>
      <c r="AO140" s="43">
        <v>1870</v>
      </c>
      <c r="AP140" s="32">
        <f>TABL123[[#This Row],[(A/S TOT) AJD]]-TABL123[[#This Row],[SER_ IN]]</f>
        <v>210</v>
      </c>
    </row>
    <row r="141" spans="1:42" ht="18.75" x14ac:dyDescent="0.3">
      <c r="A141" s="2">
        <v>46162</v>
      </c>
      <c r="B141" s="44">
        <v>40</v>
      </c>
      <c r="C141" s="44">
        <v>327</v>
      </c>
      <c r="D141" s="44">
        <v>40</v>
      </c>
      <c r="E141" s="44">
        <v>0</v>
      </c>
      <c r="F141" s="44">
        <v>95</v>
      </c>
      <c r="G141" s="40">
        <v>586</v>
      </c>
      <c r="H141" s="28">
        <f t="shared" si="5"/>
        <v>8</v>
      </c>
      <c r="I141" s="40">
        <v>468</v>
      </c>
      <c r="J141" s="44">
        <v>453</v>
      </c>
      <c r="K141" s="28">
        <f>TABL123[[#This Row],[خط (T/B  TOT) SAR]]+TABL123[[#This Row],[خط (S/S  TOT) SAR2]]</f>
        <v>921</v>
      </c>
      <c r="L141" s="45">
        <v>335</v>
      </c>
      <c r="M141" s="46">
        <v>24.6</v>
      </c>
      <c r="N141" s="46">
        <v>7.14</v>
      </c>
      <c r="O141" s="40">
        <v>399</v>
      </c>
      <c r="P141" s="3">
        <f>TABL123[[#This Row],[خط (S/S  TOT) SAR2]]-TABL123[[#This Row],[(S/S TOT) AJD]]</f>
        <v>54</v>
      </c>
      <c r="Q141" s="40">
        <v>431</v>
      </c>
      <c r="R141" s="3">
        <f>TABL123[[#This Row],[خط (T/B  TOT) SAR]]-TABL123[[#This Row],[(T/B TOT) AJD]]</f>
        <v>37</v>
      </c>
      <c r="S141" s="3">
        <f>TABL123[[#This Row],[الفرق بين بداية ونهاية خط  T/B]]+TABL123[[#This Row],[الفرق بين بداية ونهاية خط  S/S]]</f>
        <v>91</v>
      </c>
      <c r="T141" s="3">
        <f>TABL123[[#This Row],[(S/S TOT) AJD]]+TABL123[[#This Row],[(T/B TOT) AJD]]</f>
        <v>830</v>
      </c>
      <c r="U141" s="44">
        <v>600</v>
      </c>
      <c r="V141" s="44">
        <v>218</v>
      </c>
      <c r="W141" s="3">
        <f>TABL123[[#This Row],[(A/B TOT) AJD]]+TABL123[[#This Row],[(A/S TOT) AJD]]</f>
        <v>818</v>
      </c>
      <c r="X141" s="3">
        <f>TABL123[[#This Row],[( S/S+T/B) AJD]]-TABL123[[#This Row],[(A/B + A/S) AJD]]</f>
        <v>12</v>
      </c>
      <c r="Y141" s="44">
        <v>92.12</v>
      </c>
      <c r="Z141" s="45">
        <v>270862</v>
      </c>
      <c r="AA141" s="3">
        <f>TABL123[[#This Row],[(RESV. STORGE) AJD]]/10</f>
        <v>27086.2</v>
      </c>
      <c r="AB141" s="45">
        <f t="shared" si="6"/>
        <v>-16.594999999999999</v>
      </c>
      <c r="AC141" s="45">
        <v>1493</v>
      </c>
      <c r="AD141" s="84">
        <f>TABL123[[#This Row],[( S/S+T/B) AJD]]-(TABL123[[#This Row],[(A/B + A/S) AJD]]+(TABL123[[#This Row],[(STORGE DIFF.) AJD]])+TABL123[[#This Row],[البخر  AJD]]/1000)</f>
        <v>27.101999999999975</v>
      </c>
      <c r="AE141" s="68">
        <v>56</v>
      </c>
      <c r="AF141" s="68">
        <v>58.9</v>
      </c>
      <c r="AG141" s="68">
        <v>1557672</v>
      </c>
      <c r="AH141" s="45">
        <v>2253</v>
      </c>
      <c r="AI141" s="45">
        <v>2253</v>
      </c>
      <c r="AJ141" s="79">
        <f>TABL123[[#This Row],[(A/B TOT) AJD]]-TABL123[[#This Row],[BER_ IN]]</f>
        <v>544</v>
      </c>
      <c r="AK141" s="68">
        <v>21</v>
      </c>
      <c r="AL141" s="88">
        <v>41.711100000000002</v>
      </c>
      <c r="AM141" s="88">
        <v>2417120</v>
      </c>
      <c r="AN141" s="88">
        <f>TABL123[[#This Row],[ (RESV. STORGE) SER]]/10</f>
        <v>241712</v>
      </c>
      <c r="AO141" s="45">
        <v>1800</v>
      </c>
      <c r="AP141" s="32">
        <f>TABL123[[#This Row],[(A/S TOT) AJD]]-TABL123[[#This Row],[SER_ IN]]</f>
        <v>197</v>
      </c>
    </row>
    <row r="142" spans="1:42" ht="18.75" x14ac:dyDescent="0.3">
      <c r="A142" s="2">
        <v>46163</v>
      </c>
      <c r="B142" s="41">
        <v>40</v>
      </c>
      <c r="C142" s="41">
        <v>315</v>
      </c>
      <c r="D142" s="41">
        <v>40</v>
      </c>
      <c r="E142" s="41">
        <v>0</v>
      </c>
      <c r="F142" s="41">
        <v>95</v>
      </c>
      <c r="G142" s="39">
        <v>586</v>
      </c>
      <c r="H142" s="28">
        <f t="shared" si="5"/>
        <v>8</v>
      </c>
      <c r="I142" s="39">
        <v>469</v>
      </c>
      <c r="J142" s="39">
        <v>455</v>
      </c>
      <c r="K142" s="28">
        <f>TABL123[[#This Row],[خط (T/B  TOT) SAR]]+TABL123[[#This Row],[خط (S/S  TOT) SAR2]]</f>
        <v>924</v>
      </c>
      <c r="L142" s="41">
        <v>338</v>
      </c>
      <c r="M142" s="42">
        <v>24.6</v>
      </c>
      <c r="N142" s="42">
        <v>7.23</v>
      </c>
      <c r="O142" s="39">
        <v>403</v>
      </c>
      <c r="P142" s="3">
        <f>TABL123[[#This Row],[خط (S/S  TOT) SAR2]]-TABL123[[#This Row],[(S/S TOT) AJD]]</f>
        <v>52</v>
      </c>
      <c r="Q142" s="39">
        <v>435</v>
      </c>
      <c r="R142" s="3">
        <f>TABL123[[#This Row],[خط (T/B  TOT) SAR]]-TABL123[[#This Row],[(T/B TOT) AJD]]</f>
        <v>34</v>
      </c>
      <c r="S142" s="3">
        <f>TABL123[[#This Row],[الفرق بين بداية ونهاية خط  T/B]]+TABL123[[#This Row],[الفرق بين بداية ونهاية خط  S/S]]</f>
        <v>86</v>
      </c>
      <c r="T142" s="3">
        <f>TABL123[[#This Row],[(S/S TOT) AJD]]+TABL123[[#This Row],[(T/B TOT) AJD]]</f>
        <v>838</v>
      </c>
      <c r="U142" s="41">
        <v>568</v>
      </c>
      <c r="V142" s="41">
        <v>220</v>
      </c>
      <c r="W142" s="3">
        <f>TABL123[[#This Row],[(A/B TOT) AJD]]+TABL123[[#This Row],[(A/S TOT) AJD]]</f>
        <v>788</v>
      </c>
      <c r="X142" s="3">
        <f>TABL123[[#This Row],[( S/S+T/B) AJD]]-TABL123[[#This Row],[(A/B + A/S) AJD]]</f>
        <v>50</v>
      </c>
      <c r="Y142" s="41">
        <v>92.174999999999997</v>
      </c>
      <c r="Z142" s="43">
        <v>303466</v>
      </c>
      <c r="AA142" s="3">
        <f>TABL123[[#This Row],[(RESV. STORGE) AJD]]/10</f>
        <v>30346.6</v>
      </c>
      <c r="AB142" s="45">
        <f t="shared" si="6"/>
        <v>32.603999999999999</v>
      </c>
      <c r="AC142" s="43">
        <v>1079</v>
      </c>
      <c r="AD142" s="84">
        <f>TABL123[[#This Row],[( S/S+T/B) AJD]]-(TABL123[[#This Row],[(A/B + A/S) AJD]]+(TABL123[[#This Row],[(STORGE DIFF.) AJD]])+TABL123[[#This Row],[البخر  AJD]]/1000)</f>
        <v>16.317000000000007</v>
      </c>
      <c r="AE142" s="68">
        <v>60</v>
      </c>
      <c r="AF142" s="68">
        <v>58.89</v>
      </c>
      <c r="AG142" s="68">
        <v>1551079</v>
      </c>
      <c r="AH142" s="43">
        <v>2439</v>
      </c>
      <c r="AI142" s="43">
        <v>2439</v>
      </c>
      <c r="AJ142" s="79">
        <f>TABL123[[#This Row],[(A/B TOT) AJD]]-TABL123[[#This Row],[BER_ IN]]</f>
        <v>508</v>
      </c>
      <c r="AK142" s="68">
        <v>23</v>
      </c>
      <c r="AL142" s="88">
        <v>41.703400000000002</v>
      </c>
      <c r="AM142" s="88">
        <v>2412880</v>
      </c>
      <c r="AN142" s="88">
        <f>TABL123[[#This Row],[ (RESV. STORGE) SER]]/10</f>
        <v>241288</v>
      </c>
      <c r="AO142" s="43">
        <v>1840</v>
      </c>
      <c r="AP142" s="32">
        <f>TABL123[[#This Row],[(A/S TOT) AJD]]-TABL123[[#This Row],[SER_ IN]]</f>
        <v>197</v>
      </c>
    </row>
    <row r="143" spans="1:42" ht="18.75" x14ac:dyDescent="0.3">
      <c r="A143" s="2">
        <v>46164</v>
      </c>
      <c r="B143" s="44">
        <v>40</v>
      </c>
      <c r="C143" s="44">
        <v>315</v>
      </c>
      <c r="D143" s="44">
        <v>40</v>
      </c>
      <c r="E143" s="44">
        <v>0</v>
      </c>
      <c r="F143" s="44">
        <v>95</v>
      </c>
      <c r="G143" s="40">
        <v>588</v>
      </c>
      <c r="H143" s="28">
        <f t="shared" si="5"/>
        <v>8</v>
      </c>
      <c r="I143" s="40">
        <v>470</v>
      </c>
      <c r="J143" s="44">
        <v>456</v>
      </c>
      <c r="K143" s="28">
        <f>TABL123[[#This Row],[خط (T/B  TOT) SAR]]+TABL123[[#This Row],[خط (S/S  TOT) SAR2]]</f>
        <v>926</v>
      </c>
      <c r="L143" s="45">
        <v>338</v>
      </c>
      <c r="M143" s="46">
        <v>24.6</v>
      </c>
      <c r="N143" s="46">
        <v>7.22</v>
      </c>
      <c r="O143" s="40">
        <v>406</v>
      </c>
      <c r="P143" s="3">
        <f>TABL123[[#This Row],[خط (S/S  TOT) SAR2]]-TABL123[[#This Row],[(S/S TOT) AJD]]</f>
        <v>50</v>
      </c>
      <c r="Q143" s="40">
        <v>437</v>
      </c>
      <c r="R143" s="3">
        <f>TABL123[[#This Row],[خط (T/B  TOT) SAR]]-TABL123[[#This Row],[(T/B TOT) AJD]]</f>
        <v>33</v>
      </c>
      <c r="S143" s="3">
        <f>TABL123[[#This Row],[الفرق بين بداية ونهاية خط  T/B]]+TABL123[[#This Row],[الفرق بين بداية ونهاية خط  S/S]]</f>
        <v>83</v>
      </c>
      <c r="T143" s="3">
        <f>TABL123[[#This Row],[(S/S TOT) AJD]]+TABL123[[#This Row],[(T/B TOT) AJD]]</f>
        <v>843</v>
      </c>
      <c r="U143" s="44">
        <v>557</v>
      </c>
      <c r="V143" s="44">
        <v>249</v>
      </c>
      <c r="W143" s="3">
        <f>TABL123[[#This Row],[(A/B TOT) AJD]]+TABL123[[#This Row],[(A/S TOT) AJD]]</f>
        <v>806</v>
      </c>
      <c r="X143" s="3">
        <f>TABL123[[#This Row],[( S/S+T/B) AJD]]-TABL123[[#This Row],[(A/B + A/S) AJD]]</f>
        <v>37</v>
      </c>
      <c r="Y143" s="44">
        <v>92.18</v>
      </c>
      <c r="Z143" s="45">
        <v>306429</v>
      </c>
      <c r="AA143" s="3">
        <f>TABL123[[#This Row],[(RESV. STORGE) AJD]]/10</f>
        <v>30642.9</v>
      </c>
      <c r="AB143" s="45">
        <f t="shared" si="6"/>
        <v>2.9630000000000001</v>
      </c>
      <c r="AC143" s="45">
        <v>1287</v>
      </c>
      <c r="AD143" s="84">
        <f>TABL123[[#This Row],[( S/S+T/B) AJD]]-(TABL123[[#This Row],[(A/B + A/S) AJD]]+(TABL123[[#This Row],[(STORGE DIFF.) AJD]])+TABL123[[#This Row],[البخر  AJD]]/1000)</f>
        <v>32.75</v>
      </c>
      <c r="AE143" s="68">
        <v>62</v>
      </c>
      <c r="AF143" s="68">
        <v>58.87</v>
      </c>
      <c r="AG143" s="68">
        <v>1537896</v>
      </c>
      <c r="AH143" s="45">
        <v>2427</v>
      </c>
      <c r="AI143" s="45">
        <v>2427</v>
      </c>
      <c r="AJ143" s="79">
        <f>TABL123[[#This Row],[(A/B TOT) AJD]]-TABL123[[#This Row],[BER_ IN]]</f>
        <v>495</v>
      </c>
      <c r="AK143" s="68">
        <v>22</v>
      </c>
      <c r="AL143" s="88">
        <v>41.691400000000002</v>
      </c>
      <c r="AM143" s="88">
        <v>2406300</v>
      </c>
      <c r="AN143" s="88">
        <f>TABL123[[#This Row],[ (RESV. STORGE) SER]]/10</f>
        <v>240630</v>
      </c>
      <c r="AO143" s="45">
        <v>1880</v>
      </c>
      <c r="AP143" s="32">
        <f>TABL123[[#This Row],[(A/S TOT) AJD]]-TABL123[[#This Row],[SER_ IN]]</f>
        <v>227</v>
      </c>
    </row>
    <row r="144" spans="1:42" ht="18.75" x14ac:dyDescent="0.3">
      <c r="A144" s="2">
        <v>46165</v>
      </c>
      <c r="B144" s="41">
        <v>40</v>
      </c>
      <c r="C144" s="41">
        <v>320</v>
      </c>
      <c r="D144" s="41">
        <v>40</v>
      </c>
      <c r="E144" s="41">
        <v>0</v>
      </c>
      <c r="F144" s="41">
        <v>95</v>
      </c>
      <c r="G144" s="39">
        <v>587</v>
      </c>
      <c r="H144" s="28">
        <f t="shared" si="5"/>
        <v>8</v>
      </c>
      <c r="I144" s="39">
        <v>471</v>
      </c>
      <c r="J144" s="39">
        <v>456</v>
      </c>
      <c r="K144" s="28">
        <f>TABL123[[#This Row],[خط (T/B  TOT) SAR]]+TABL123[[#This Row],[خط (S/S  TOT) SAR2]]</f>
        <v>927</v>
      </c>
      <c r="L144" s="41">
        <v>340</v>
      </c>
      <c r="M144" s="42">
        <v>24.6</v>
      </c>
      <c r="N144" s="42">
        <v>7.29</v>
      </c>
      <c r="O144" s="39">
        <v>441</v>
      </c>
      <c r="P144" s="3">
        <f>TABL123[[#This Row],[خط (S/S  TOT) SAR2]]-TABL123[[#This Row],[(S/S TOT) AJD]]</f>
        <v>15</v>
      </c>
      <c r="Q144" s="39">
        <v>445</v>
      </c>
      <c r="R144" s="3">
        <f>TABL123[[#This Row],[خط (T/B  TOT) SAR]]-TABL123[[#This Row],[(T/B TOT) AJD]]</f>
        <v>26</v>
      </c>
      <c r="S144" s="3">
        <f>TABL123[[#This Row],[الفرق بين بداية ونهاية خط  T/B]]+TABL123[[#This Row],[الفرق بين بداية ونهاية خط  S/S]]</f>
        <v>41</v>
      </c>
      <c r="T144" s="3">
        <f>TABL123[[#This Row],[(S/S TOT) AJD]]+TABL123[[#This Row],[(T/B TOT) AJD]]</f>
        <v>886</v>
      </c>
      <c r="U144" s="41">
        <v>539</v>
      </c>
      <c r="V144" s="41">
        <v>258</v>
      </c>
      <c r="W144" s="3">
        <f>TABL123[[#This Row],[(A/B TOT) AJD]]+TABL123[[#This Row],[(A/S TOT) AJD]]</f>
        <v>797</v>
      </c>
      <c r="X144" s="3">
        <f>TABL123[[#This Row],[( S/S+T/B) AJD]]-TABL123[[#This Row],[(A/B + A/S) AJD]]</f>
        <v>89</v>
      </c>
      <c r="Y144" s="41">
        <v>92.24</v>
      </c>
      <c r="Z144" s="43">
        <v>342025</v>
      </c>
      <c r="AA144" s="3">
        <f>TABL123[[#This Row],[(RESV. STORGE) AJD]]/10</f>
        <v>34202.5</v>
      </c>
      <c r="AB144" s="45">
        <f t="shared" si="6"/>
        <v>35.595999999999997</v>
      </c>
      <c r="AC144" s="43">
        <v>1097</v>
      </c>
      <c r="AD144" s="84">
        <f>TABL123[[#This Row],[( S/S+T/B) AJD]]-(TABL123[[#This Row],[(A/B + A/S) AJD]]+(TABL123[[#This Row],[(STORGE DIFF.) AJD]])+TABL123[[#This Row],[البخر  AJD]]/1000)</f>
        <v>52.307000000000016</v>
      </c>
      <c r="AE144" s="68">
        <v>59</v>
      </c>
      <c r="AF144" s="68">
        <v>58.9</v>
      </c>
      <c r="AG144" s="68">
        <v>1557673</v>
      </c>
      <c r="AH144" s="43">
        <v>1575</v>
      </c>
      <c r="AI144" s="43">
        <v>1575</v>
      </c>
      <c r="AJ144" s="79">
        <f>TABL123[[#This Row],[(A/B TOT) AJD]]-TABL123[[#This Row],[BER_ IN]]</f>
        <v>480</v>
      </c>
      <c r="AK144" s="68">
        <v>22</v>
      </c>
      <c r="AL144" s="88">
        <v>41.697400000000002</v>
      </c>
      <c r="AM144" s="88">
        <v>2409710</v>
      </c>
      <c r="AN144" s="88">
        <f>TABL123[[#This Row],[ (RESV. STORGE) SER]]/10</f>
        <v>240971</v>
      </c>
      <c r="AO144" s="43">
        <v>1890</v>
      </c>
      <c r="AP144" s="32">
        <f>TABL123[[#This Row],[(A/S TOT) AJD]]-TABL123[[#This Row],[SER_ IN]]</f>
        <v>236</v>
      </c>
    </row>
    <row r="145" spans="1:42" ht="18.75" x14ac:dyDescent="0.3">
      <c r="A145" s="2">
        <v>46166</v>
      </c>
      <c r="B145" s="44">
        <v>41</v>
      </c>
      <c r="C145" s="44">
        <v>315</v>
      </c>
      <c r="D145" s="44">
        <v>41</v>
      </c>
      <c r="E145" s="44">
        <v>0</v>
      </c>
      <c r="F145" s="44">
        <v>95</v>
      </c>
      <c r="G145" s="40">
        <v>587</v>
      </c>
      <c r="H145" s="28">
        <f t="shared" si="5"/>
        <v>8</v>
      </c>
      <c r="I145" s="40">
        <v>472</v>
      </c>
      <c r="J145" s="44">
        <v>458</v>
      </c>
      <c r="K145" s="28">
        <f>TABL123[[#This Row],[خط (T/B  TOT) SAR]]+TABL123[[#This Row],[خط (S/S  TOT) SAR2]]</f>
        <v>930</v>
      </c>
      <c r="L145" s="45">
        <v>343</v>
      </c>
      <c r="M145" s="46">
        <v>24.6</v>
      </c>
      <c r="N145" s="46">
        <v>7.22</v>
      </c>
      <c r="O145" s="40">
        <v>413</v>
      </c>
      <c r="P145" s="3">
        <f>TABL123[[#This Row],[خط (S/S  TOT) SAR2]]-TABL123[[#This Row],[(S/S TOT) AJD]]</f>
        <v>45</v>
      </c>
      <c r="Q145" s="40">
        <v>446</v>
      </c>
      <c r="R145" s="3">
        <f>TABL123[[#This Row],[خط (T/B  TOT) SAR]]-TABL123[[#This Row],[(T/B TOT) AJD]]</f>
        <v>26</v>
      </c>
      <c r="S145" s="3">
        <f>TABL123[[#This Row],[الفرق بين بداية ونهاية خط  T/B]]+TABL123[[#This Row],[الفرق بين بداية ونهاية خط  S/S]]</f>
        <v>71</v>
      </c>
      <c r="T145" s="3">
        <f>TABL123[[#This Row],[(S/S TOT) AJD]]+TABL123[[#This Row],[(T/B TOT) AJD]]</f>
        <v>859</v>
      </c>
      <c r="U145" s="44">
        <v>537</v>
      </c>
      <c r="V145" s="44">
        <v>258</v>
      </c>
      <c r="W145" s="3">
        <f>TABL123[[#This Row],[(A/B TOT) AJD]]+TABL123[[#This Row],[(A/S TOT) AJD]]</f>
        <v>795</v>
      </c>
      <c r="X145" s="3">
        <f>TABL123[[#This Row],[( S/S+T/B) AJD]]-TABL123[[#This Row],[(A/B + A/S) AJD]]</f>
        <v>64</v>
      </c>
      <c r="Y145" s="44">
        <v>92.314999999999998</v>
      </c>
      <c r="Z145" s="45">
        <v>386567</v>
      </c>
      <c r="AA145" s="3">
        <f>TABL123[[#This Row],[(RESV. STORGE) AJD]]/10</f>
        <v>38656.699999999997</v>
      </c>
      <c r="AB145" s="45">
        <f t="shared" si="6"/>
        <v>44.542000000000002</v>
      </c>
      <c r="AC145" s="45">
        <v>1202</v>
      </c>
      <c r="AD145" s="84">
        <f>TABL123[[#This Row],[( S/S+T/B) AJD]]-(TABL123[[#This Row],[(A/B + A/S) AJD]]+(TABL123[[#This Row],[(STORGE DIFF.) AJD]])+TABL123[[#This Row],[البخر  AJD]]/1000)</f>
        <v>18.255999999999972</v>
      </c>
      <c r="AE145" s="68">
        <v>54</v>
      </c>
      <c r="AF145" s="68">
        <v>58.87</v>
      </c>
      <c r="AG145" s="68">
        <v>1537896</v>
      </c>
      <c r="AH145" s="45">
        <v>2421</v>
      </c>
      <c r="AI145" s="45">
        <v>2421</v>
      </c>
      <c r="AJ145" s="79">
        <f>TABL123[[#This Row],[(A/B TOT) AJD]]-TABL123[[#This Row],[BER_ IN]]</f>
        <v>483</v>
      </c>
      <c r="AK145" s="68">
        <v>22</v>
      </c>
      <c r="AL145" s="88">
        <v>41.688200000000002</v>
      </c>
      <c r="AM145" s="88">
        <v>2404910</v>
      </c>
      <c r="AN145" s="88">
        <f>TABL123[[#This Row],[ (RESV. STORGE) SER]]/10</f>
        <v>240491</v>
      </c>
      <c r="AO145" s="45">
        <v>1800</v>
      </c>
      <c r="AP145" s="32">
        <f>TABL123[[#This Row],[(A/S TOT) AJD]]-TABL123[[#This Row],[SER_ IN]]</f>
        <v>236</v>
      </c>
    </row>
    <row r="146" spans="1:42" ht="18.75" x14ac:dyDescent="0.3">
      <c r="A146" s="2">
        <v>46167</v>
      </c>
      <c r="B146" s="41">
        <v>41</v>
      </c>
      <c r="C146" s="41">
        <v>330</v>
      </c>
      <c r="D146" s="41">
        <v>41</v>
      </c>
      <c r="E146" s="41">
        <v>0</v>
      </c>
      <c r="F146" s="41">
        <v>95</v>
      </c>
      <c r="G146" s="39">
        <v>588</v>
      </c>
      <c r="H146" s="28">
        <f t="shared" si="5"/>
        <v>8</v>
      </c>
      <c r="I146" s="39">
        <v>473</v>
      </c>
      <c r="J146" s="39">
        <v>460</v>
      </c>
      <c r="K146" s="28">
        <f>TABL123[[#This Row],[خط (T/B  TOT) SAR]]+TABL123[[#This Row],[خط (S/S  TOT) SAR2]]</f>
        <v>933</v>
      </c>
      <c r="L146" s="41">
        <v>345</v>
      </c>
      <c r="M146" s="42">
        <v>24.6</v>
      </c>
      <c r="N146" s="42">
        <v>7.47</v>
      </c>
      <c r="O146" s="39">
        <v>412</v>
      </c>
      <c r="P146" s="3">
        <f>TABL123[[#This Row],[خط (S/S  TOT) SAR2]]-TABL123[[#This Row],[(S/S TOT) AJD]]</f>
        <v>48</v>
      </c>
      <c r="Q146" s="39">
        <v>446</v>
      </c>
      <c r="R146" s="3">
        <f>TABL123[[#This Row],[خط (T/B  TOT) SAR]]-TABL123[[#This Row],[(T/B TOT) AJD]]</f>
        <v>27</v>
      </c>
      <c r="S146" s="3">
        <f>TABL123[[#This Row],[الفرق بين بداية ونهاية خط  T/B]]+TABL123[[#This Row],[الفرق بين بداية ونهاية خط  S/S]]</f>
        <v>75</v>
      </c>
      <c r="T146" s="3">
        <f>TABL123[[#This Row],[(S/S TOT) AJD]]+TABL123[[#This Row],[(T/B TOT) AJD]]</f>
        <v>858</v>
      </c>
      <c r="U146" s="41">
        <v>530</v>
      </c>
      <c r="V146" s="41">
        <v>259</v>
      </c>
      <c r="W146" s="3">
        <f>TABL123[[#This Row],[(A/B TOT) AJD]]+TABL123[[#This Row],[(A/S TOT) AJD]]</f>
        <v>789</v>
      </c>
      <c r="X146" s="3">
        <f>TABL123[[#This Row],[( S/S+T/B) AJD]]-TABL123[[#This Row],[(A/B + A/S) AJD]]</f>
        <v>69</v>
      </c>
      <c r="Y146" s="41">
        <v>92.375</v>
      </c>
      <c r="Z146" s="43">
        <v>422229</v>
      </c>
      <c r="AA146" s="3">
        <f>TABL123[[#This Row],[(RESV. STORGE) AJD]]/10</f>
        <v>42222.9</v>
      </c>
      <c r="AB146" s="45">
        <f t="shared" si="6"/>
        <v>35.661999999999999</v>
      </c>
      <c r="AC146" s="43">
        <v>1124</v>
      </c>
      <c r="AD146" s="84">
        <f>TABL123[[#This Row],[( S/S+T/B) AJD]]-(TABL123[[#This Row],[(A/B + A/S) AJD]]+(TABL123[[#This Row],[(STORGE DIFF.) AJD]])+TABL123[[#This Row],[البخر  AJD]]/1000)</f>
        <v>32.213999999999942</v>
      </c>
      <c r="AE146" s="68">
        <v>62</v>
      </c>
      <c r="AF146" s="68">
        <v>58.86</v>
      </c>
      <c r="AG146" s="68">
        <v>1531306</v>
      </c>
      <c r="AH146" s="43">
        <v>2190</v>
      </c>
      <c r="AI146" s="43">
        <v>2190</v>
      </c>
      <c r="AJ146" s="79">
        <f>TABL123[[#This Row],[(A/B TOT) AJD]]-TABL123[[#This Row],[BER_ IN]]</f>
        <v>468</v>
      </c>
      <c r="AK146" s="68">
        <v>22</v>
      </c>
      <c r="AL146" s="88">
        <v>41.642600000000002</v>
      </c>
      <c r="AM146" s="88">
        <v>2381030</v>
      </c>
      <c r="AN146" s="88">
        <f>TABL123[[#This Row],[ (RESV. STORGE) SER]]/10</f>
        <v>238103</v>
      </c>
      <c r="AO146" s="43">
        <v>1880</v>
      </c>
      <c r="AP146" s="32">
        <f>TABL123[[#This Row],[(A/S TOT) AJD]]-TABL123[[#This Row],[SER_ IN]]</f>
        <v>237</v>
      </c>
    </row>
    <row r="147" spans="1:42" ht="18.75" x14ac:dyDescent="0.3">
      <c r="A147" s="2">
        <v>46168</v>
      </c>
      <c r="B147" s="44">
        <v>41</v>
      </c>
      <c r="C147" s="44">
        <v>324</v>
      </c>
      <c r="D147" s="44">
        <v>41</v>
      </c>
      <c r="E147" s="44">
        <v>0</v>
      </c>
      <c r="F147" s="44">
        <v>95</v>
      </c>
      <c r="G147" s="40">
        <v>588</v>
      </c>
      <c r="H147" s="28">
        <f t="shared" si="5"/>
        <v>8</v>
      </c>
      <c r="I147" s="40">
        <v>473</v>
      </c>
      <c r="J147" s="44">
        <v>460</v>
      </c>
      <c r="K147" s="28">
        <f>TABL123[[#This Row],[خط (T/B  TOT) SAR]]+TABL123[[#This Row],[خط (S/S  TOT) SAR2]]</f>
        <v>933</v>
      </c>
      <c r="L147" s="45">
        <v>345</v>
      </c>
      <c r="M147" s="46">
        <v>24.6</v>
      </c>
      <c r="N147" s="46">
        <v>7.55</v>
      </c>
      <c r="O147" s="40">
        <v>414</v>
      </c>
      <c r="P147" s="3">
        <f>TABL123[[#This Row],[خط (S/S  TOT) SAR2]]-TABL123[[#This Row],[(S/S TOT) AJD]]</f>
        <v>46</v>
      </c>
      <c r="Q147" s="40">
        <v>447</v>
      </c>
      <c r="R147" s="3">
        <f>TABL123[[#This Row],[خط (T/B  TOT) SAR]]-TABL123[[#This Row],[(T/B TOT) AJD]]</f>
        <v>26</v>
      </c>
      <c r="S147" s="3">
        <f>TABL123[[#This Row],[الفرق بين بداية ونهاية خط  T/B]]+TABL123[[#This Row],[الفرق بين بداية ونهاية خط  S/S]]</f>
        <v>72</v>
      </c>
      <c r="T147" s="3">
        <f>TABL123[[#This Row],[(S/S TOT) AJD]]+TABL123[[#This Row],[(T/B TOT) AJD]]</f>
        <v>861</v>
      </c>
      <c r="U147" s="44">
        <v>523</v>
      </c>
      <c r="V147" s="44">
        <v>264</v>
      </c>
      <c r="W147" s="3">
        <f>TABL123[[#This Row],[(A/B TOT) AJD]]+TABL123[[#This Row],[(A/S TOT) AJD]]</f>
        <v>787</v>
      </c>
      <c r="X147" s="3">
        <f>TABL123[[#This Row],[( S/S+T/B) AJD]]-TABL123[[#This Row],[(A/B + A/S) AJD]]</f>
        <v>74</v>
      </c>
      <c r="Y147" s="44">
        <v>92.441999999999993</v>
      </c>
      <c r="Z147" s="45">
        <v>460900</v>
      </c>
      <c r="AA147" s="3">
        <f>TABL123[[#This Row],[(RESV. STORGE) AJD]]/10</f>
        <v>46090</v>
      </c>
      <c r="AB147" s="45">
        <f t="shared" si="6"/>
        <v>38.670999999999999</v>
      </c>
      <c r="AC147" s="45">
        <v>1196</v>
      </c>
      <c r="AD147" s="84">
        <f>TABL123[[#This Row],[( S/S+T/B) AJD]]-(TABL123[[#This Row],[(A/B + A/S) AJD]]+(TABL123[[#This Row],[(STORGE DIFF.) AJD]])+TABL123[[#This Row],[البخر  AJD]]/1000)</f>
        <v>34.132999999999925</v>
      </c>
      <c r="AE147" s="68">
        <v>62</v>
      </c>
      <c r="AF147" s="68">
        <v>58.85</v>
      </c>
      <c r="AG147" s="68">
        <v>1524716</v>
      </c>
      <c r="AH147" s="45">
        <v>2189</v>
      </c>
      <c r="AI147" s="45">
        <v>2189</v>
      </c>
      <c r="AJ147" s="79">
        <f>TABL123[[#This Row],[(A/B TOT) AJD]]-TABL123[[#This Row],[BER_ IN]]</f>
        <v>461</v>
      </c>
      <c r="AK147" s="68">
        <v>22</v>
      </c>
      <c r="AL147" s="88">
        <v>41.604100000000003</v>
      </c>
      <c r="AM147" s="88">
        <v>2360540</v>
      </c>
      <c r="AN147" s="88">
        <f>TABL123[[#This Row],[ (RESV. STORGE) SER]]/10</f>
        <v>236054</v>
      </c>
      <c r="AO147" s="45">
        <v>1890</v>
      </c>
      <c r="AP147" s="32">
        <f>TABL123[[#This Row],[(A/S TOT) AJD]]-TABL123[[#This Row],[SER_ IN]]</f>
        <v>242</v>
      </c>
    </row>
    <row r="148" spans="1:42" ht="18.75" x14ac:dyDescent="0.3">
      <c r="A148" s="2">
        <v>46169</v>
      </c>
      <c r="B148" s="41">
        <v>41</v>
      </c>
      <c r="C148" s="41">
        <v>332</v>
      </c>
      <c r="D148" s="41">
        <v>41</v>
      </c>
      <c r="E148" s="41">
        <v>0</v>
      </c>
      <c r="F148" s="41">
        <v>95</v>
      </c>
      <c r="G148" s="39">
        <v>589</v>
      </c>
      <c r="H148" s="28">
        <f t="shared" si="5"/>
        <v>8</v>
      </c>
      <c r="I148" s="39">
        <v>475</v>
      </c>
      <c r="J148" s="39">
        <v>462</v>
      </c>
      <c r="K148" s="28">
        <f>TABL123[[#This Row],[خط (T/B  TOT) SAR]]+TABL123[[#This Row],[خط (S/S  TOT) SAR2]]</f>
        <v>937</v>
      </c>
      <c r="L148" s="41">
        <v>348</v>
      </c>
      <c r="M148" s="42">
        <v>24.6</v>
      </c>
      <c r="N148" s="42">
        <v>7.64</v>
      </c>
      <c r="O148" s="39">
        <v>415</v>
      </c>
      <c r="P148" s="3">
        <f>TABL123[[#This Row],[خط (S/S  TOT) SAR2]]-TABL123[[#This Row],[(S/S TOT) AJD]]</f>
        <v>47</v>
      </c>
      <c r="Q148" s="39">
        <v>448</v>
      </c>
      <c r="R148" s="3">
        <f>TABL123[[#This Row],[خط (T/B  TOT) SAR]]-TABL123[[#This Row],[(T/B TOT) AJD]]</f>
        <v>27</v>
      </c>
      <c r="S148" s="3">
        <f>TABL123[[#This Row],[الفرق بين بداية ونهاية خط  T/B]]+TABL123[[#This Row],[الفرق بين بداية ونهاية خط  S/S]]</f>
        <v>74</v>
      </c>
      <c r="T148" s="3">
        <f>TABL123[[#This Row],[(S/S TOT) AJD]]+TABL123[[#This Row],[(T/B TOT) AJD]]</f>
        <v>863</v>
      </c>
      <c r="U148" s="41">
        <v>534</v>
      </c>
      <c r="V148" s="41">
        <v>274</v>
      </c>
      <c r="W148" s="3">
        <f>TABL123[[#This Row],[(A/B TOT) AJD]]+TABL123[[#This Row],[(A/S TOT) AJD]]</f>
        <v>808</v>
      </c>
      <c r="X148" s="3">
        <f>TABL123[[#This Row],[( S/S+T/B) AJD]]-TABL123[[#This Row],[(A/B + A/S) AJD]]</f>
        <v>55</v>
      </c>
      <c r="Y148" s="41">
        <v>92.481999999999999</v>
      </c>
      <c r="Z148" s="43">
        <v>485905</v>
      </c>
      <c r="AA148" s="3">
        <f>TABL123[[#This Row],[(RESV. STORGE) AJD]]/10</f>
        <v>48590.5</v>
      </c>
      <c r="AB148" s="45">
        <f t="shared" si="6"/>
        <v>25.004999999999999</v>
      </c>
      <c r="AC148" s="43">
        <v>1084</v>
      </c>
      <c r="AD148" s="84">
        <f>TABL123[[#This Row],[( S/S+T/B) AJD]]-(TABL123[[#This Row],[(A/B + A/S) AJD]]+(TABL123[[#This Row],[(STORGE DIFF.) AJD]])+TABL123[[#This Row],[البخر  AJD]]/1000)</f>
        <v>28.911000000000058</v>
      </c>
      <c r="AE148" s="68">
        <v>59</v>
      </c>
      <c r="AF148" s="68">
        <v>58.936</v>
      </c>
      <c r="AG148" s="68">
        <v>1581414</v>
      </c>
      <c r="AH148" s="43">
        <v>2302</v>
      </c>
      <c r="AI148" s="43">
        <v>2302</v>
      </c>
      <c r="AJ148" s="79">
        <f>TABL123[[#This Row],[(A/B TOT) AJD]]-TABL123[[#This Row],[BER_ IN]]</f>
        <v>475</v>
      </c>
      <c r="AK148" s="68">
        <v>22</v>
      </c>
      <c r="AL148" s="88">
        <v>41.573099999999997</v>
      </c>
      <c r="AM148" s="88">
        <v>2343900</v>
      </c>
      <c r="AN148" s="88">
        <f>TABL123[[#This Row],[ (RESV. STORGE) SER]]/10</f>
        <v>234390</v>
      </c>
      <c r="AO148" s="43">
        <v>1840</v>
      </c>
      <c r="AP148" s="32">
        <f>TABL123[[#This Row],[(A/S TOT) AJD]]-TABL123[[#This Row],[SER_ IN]]</f>
        <v>252</v>
      </c>
    </row>
    <row r="149" spans="1:42" ht="18.75" x14ac:dyDescent="0.3">
      <c r="A149" s="2">
        <v>46170</v>
      </c>
      <c r="B149" s="44">
        <v>41</v>
      </c>
      <c r="C149" s="44">
        <v>326</v>
      </c>
      <c r="D149" s="44">
        <v>41</v>
      </c>
      <c r="E149" s="44">
        <v>0</v>
      </c>
      <c r="F149" s="44">
        <v>95</v>
      </c>
      <c r="G149" s="40">
        <v>589</v>
      </c>
      <c r="H149" s="28">
        <f t="shared" si="5"/>
        <v>8</v>
      </c>
      <c r="I149" s="40">
        <v>475</v>
      </c>
      <c r="J149" s="44">
        <v>462</v>
      </c>
      <c r="K149" s="28">
        <f>TABL123[[#This Row],[خط (T/B  TOT) SAR]]+TABL123[[#This Row],[خط (S/S  TOT) SAR2]]</f>
        <v>937</v>
      </c>
      <c r="L149" s="45">
        <v>348</v>
      </c>
      <c r="M149" s="46">
        <v>24.6</v>
      </c>
      <c r="N149" s="46">
        <v>7.73</v>
      </c>
      <c r="O149" s="40">
        <v>415</v>
      </c>
      <c r="P149" s="3">
        <f>TABL123[[#This Row],[خط (S/S  TOT) SAR2]]-TABL123[[#This Row],[(S/S TOT) AJD]]</f>
        <v>47</v>
      </c>
      <c r="Q149" s="40">
        <v>449</v>
      </c>
      <c r="R149" s="3">
        <f>TABL123[[#This Row],[خط (T/B  TOT) SAR]]-TABL123[[#This Row],[(T/B TOT) AJD]]</f>
        <v>26</v>
      </c>
      <c r="S149" s="3">
        <f>TABL123[[#This Row],[الفرق بين بداية ونهاية خط  T/B]]+TABL123[[#This Row],[الفرق بين بداية ونهاية خط  S/S]]</f>
        <v>73</v>
      </c>
      <c r="T149" s="3">
        <f>TABL123[[#This Row],[(S/S TOT) AJD]]+TABL123[[#This Row],[(T/B TOT) AJD]]</f>
        <v>864</v>
      </c>
      <c r="U149" s="44">
        <v>531</v>
      </c>
      <c r="V149" s="44">
        <v>272</v>
      </c>
      <c r="W149" s="3">
        <f>TABL123[[#This Row],[(A/B TOT) AJD]]+TABL123[[#This Row],[(A/S TOT) AJD]]</f>
        <v>803</v>
      </c>
      <c r="X149" s="3">
        <f>TABL123[[#This Row],[( S/S+T/B) AJD]]-TABL123[[#This Row],[(A/B + A/S) AJD]]</f>
        <v>61</v>
      </c>
      <c r="Y149" s="44">
        <v>92.534000000000006</v>
      </c>
      <c r="Z149" s="45">
        <v>516880</v>
      </c>
      <c r="AA149" s="3">
        <f>TABL123[[#This Row],[(RESV. STORGE) AJD]]/10</f>
        <v>51688</v>
      </c>
      <c r="AB149" s="45">
        <f t="shared" si="6"/>
        <v>30.975000000000001</v>
      </c>
      <c r="AC149" s="45">
        <v>1076</v>
      </c>
      <c r="AD149" s="84">
        <f>TABL123[[#This Row],[( S/S+T/B) AJD]]-(TABL123[[#This Row],[(A/B + A/S) AJD]]+(TABL123[[#This Row],[(STORGE DIFF.) AJD]])+TABL123[[#This Row],[البخر  AJD]]/1000)</f>
        <v>28.948999999999955</v>
      </c>
      <c r="AE149" s="68">
        <v>58</v>
      </c>
      <c r="AF149" s="68">
        <v>59.02</v>
      </c>
      <c r="AG149" s="68">
        <v>1636855</v>
      </c>
      <c r="AH149" s="45">
        <v>2558</v>
      </c>
      <c r="AI149" s="45">
        <v>2558</v>
      </c>
      <c r="AJ149" s="79">
        <f>TABL123[[#This Row],[(A/B TOT) AJD]]-TABL123[[#This Row],[BER_ IN]]</f>
        <v>473</v>
      </c>
      <c r="AK149" s="68">
        <v>22</v>
      </c>
      <c r="AL149" s="88">
        <v>41.573099999999997</v>
      </c>
      <c r="AM149" s="88">
        <v>2343900</v>
      </c>
      <c r="AN149" s="88">
        <f>TABL123[[#This Row],[ (RESV. STORGE) SER]]/10</f>
        <v>234390</v>
      </c>
      <c r="AO149" s="45">
        <v>1800</v>
      </c>
      <c r="AP149" s="32">
        <f>TABL123[[#This Row],[(A/S TOT) AJD]]-TABL123[[#This Row],[SER_ IN]]</f>
        <v>250</v>
      </c>
    </row>
    <row r="150" spans="1:42" ht="18.75" x14ac:dyDescent="0.3">
      <c r="A150" s="2">
        <v>46171</v>
      </c>
      <c r="B150" s="41">
        <v>41</v>
      </c>
      <c r="C150" s="41">
        <v>324</v>
      </c>
      <c r="D150" s="41">
        <v>41</v>
      </c>
      <c r="E150" s="41">
        <v>0</v>
      </c>
      <c r="F150" s="41">
        <v>95</v>
      </c>
      <c r="G150" s="39">
        <v>590</v>
      </c>
      <c r="H150" s="28">
        <f t="shared" si="5"/>
        <v>8</v>
      </c>
      <c r="I150" s="39">
        <v>477</v>
      </c>
      <c r="J150" s="39">
        <v>463</v>
      </c>
      <c r="K150" s="28">
        <f>TABL123[[#This Row],[خط (T/B  TOT) SAR]]+TABL123[[#This Row],[خط (S/S  TOT) SAR2]]</f>
        <v>940</v>
      </c>
      <c r="L150" s="41">
        <v>350</v>
      </c>
      <c r="M150" s="42">
        <v>24.6</v>
      </c>
      <c r="N150" s="42">
        <v>7.82</v>
      </c>
      <c r="O150" s="39">
        <v>417</v>
      </c>
      <c r="P150" s="3">
        <f>TABL123[[#This Row],[خط (S/S  TOT) SAR2]]-TABL123[[#This Row],[(S/S TOT) AJD]]</f>
        <v>46</v>
      </c>
      <c r="Q150" s="39">
        <v>451</v>
      </c>
      <c r="R150" s="3">
        <f>TABL123[[#This Row],[خط (T/B  TOT) SAR]]-TABL123[[#This Row],[(T/B TOT) AJD]]</f>
        <v>26</v>
      </c>
      <c r="S150" s="3">
        <f>TABL123[[#This Row],[الفرق بين بداية ونهاية خط  T/B]]+TABL123[[#This Row],[الفرق بين بداية ونهاية خط  S/S]]</f>
        <v>72</v>
      </c>
      <c r="T150" s="3">
        <f>TABL123[[#This Row],[(S/S TOT) AJD]]+TABL123[[#This Row],[(T/B TOT) AJD]]</f>
        <v>868</v>
      </c>
      <c r="U150" s="41">
        <v>507</v>
      </c>
      <c r="V150" s="41">
        <v>321</v>
      </c>
      <c r="W150" s="3">
        <f>TABL123[[#This Row],[(A/B TOT) AJD]]+TABL123[[#This Row],[(A/S TOT) AJD]]</f>
        <v>828</v>
      </c>
      <c r="X150" s="3">
        <f>TABL123[[#This Row],[( S/S+T/B) AJD]]-TABL123[[#This Row],[(A/B + A/S) AJD]]</f>
        <v>40</v>
      </c>
      <c r="Y150" s="41">
        <v>92.552000000000007</v>
      </c>
      <c r="Z150" s="43">
        <v>527612</v>
      </c>
      <c r="AA150" s="3">
        <f>TABL123[[#This Row],[(RESV. STORGE) AJD]]/10</f>
        <v>52761.2</v>
      </c>
      <c r="AB150" s="45">
        <f t="shared" si="6"/>
        <v>10.731999999999999</v>
      </c>
      <c r="AC150" s="43">
        <v>1460</v>
      </c>
      <c r="AD150" s="84">
        <f>TABL123[[#This Row],[( S/S+T/B) AJD]]-(TABL123[[#This Row],[(A/B + A/S) AJD]]+(TABL123[[#This Row],[(STORGE DIFF.) AJD]])+TABL123[[#This Row],[البخر  AJD]]/1000)</f>
        <v>27.807999999999993</v>
      </c>
      <c r="AE150" s="68">
        <v>52</v>
      </c>
      <c r="AF150" s="68">
        <v>58.97</v>
      </c>
      <c r="AG150" s="68">
        <v>1603847</v>
      </c>
      <c r="AH150" s="43">
        <v>2502</v>
      </c>
      <c r="AI150" s="43">
        <v>2502</v>
      </c>
      <c r="AJ150" s="79">
        <f>TABL123[[#This Row],[(A/B TOT) AJD]]-TABL123[[#This Row],[BER_ IN]]</f>
        <v>455</v>
      </c>
      <c r="AK150" s="68">
        <v>21</v>
      </c>
      <c r="AL150" s="88">
        <v>41.557600000000001</v>
      </c>
      <c r="AM150" s="88">
        <v>2335950</v>
      </c>
      <c r="AN150" s="88">
        <f>TABL123[[#This Row],[ (RESV. STORGE) SER]]/10</f>
        <v>233595</v>
      </c>
      <c r="AO150" s="43">
        <v>1850</v>
      </c>
      <c r="AP150" s="32">
        <f>TABL123[[#This Row],[(A/S TOT) AJD]]-TABL123[[#This Row],[SER_ IN]]</f>
        <v>300</v>
      </c>
    </row>
    <row r="151" spans="1:42" ht="18.75" x14ac:dyDescent="0.3">
      <c r="A151" s="2">
        <v>46172</v>
      </c>
      <c r="B151" s="44">
        <v>41</v>
      </c>
      <c r="C151" s="44">
        <v>302</v>
      </c>
      <c r="D151" s="44">
        <v>41</v>
      </c>
      <c r="E151" s="44">
        <v>0</v>
      </c>
      <c r="F151" s="44">
        <v>95</v>
      </c>
      <c r="G151" s="40">
        <v>589</v>
      </c>
      <c r="H151" s="28">
        <f t="shared" si="5"/>
        <v>8</v>
      </c>
      <c r="I151" s="40">
        <v>475</v>
      </c>
      <c r="J151" s="44">
        <v>462</v>
      </c>
      <c r="K151" s="28">
        <f>TABL123[[#This Row],[خط (T/B  TOT) SAR]]+TABL123[[#This Row],[خط (S/S  TOT) SAR2]]</f>
        <v>937</v>
      </c>
      <c r="L151" s="45">
        <v>348</v>
      </c>
      <c r="M151" s="46">
        <v>24.6</v>
      </c>
      <c r="N151" s="46">
        <v>7.74</v>
      </c>
      <c r="O151" s="40">
        <v>417</v>
      </c>
      <c r="P151" s="3">
        <f>TABL123[[#This Row],[خط (S/S  TOT) SAR2]]-TABL123[[#This Row],[(S/S TOT) AJD]]</f>
        <v>45</v>
      </c>
      <c r="Q151" s="40">
        <v>452</v>
      </c>
      <c r="R151" s="3">
        <f>TABL123[[#This Row],[خط (T/B  TOT) SAR]]-TABL123[[#This Row],[(T/B TOT) AJD]]</f>
        <v>23</v>
      </c>
      <c r="S151" s="3">
        <f>TABL123[[#This Row],[الفرق بين بداية ونهاية خط  T/B]]+TABL123[[#This Row],[الفرق بين بداية ونهاية خط  S/S]]</f>
        <v>68</v>
      </c>
      <c r="T151" s="3">
        <f>TABL123[[#This Row],[(S/S TOT) AJD]]+TABL123[[#This Row],[(T/B TOT) AJD]]</f>
        <v>869</v>
      </c>
      <c r="U151" s="44">
        <v>534</v>
      </c>
      <c r="V151" s="44">
        <v>318</v>
      </c>
      <c r="W151" s="3">
        <f>TABL123[[#This Row],[(A/B TOT) AJD]]+TABL123[[#This Row],[(A/S TOT) AJD]]</f>
        <v>852</v>
      </c>
      <c r="X151" s="3">
        <f>TABL123[[#This Row],[( S/S+T/B) AJD]]-TABL123[[#This Row],[(A/B + A/S) AJD]]</f>
        <v>17</v>
      </c>
      <c r="Y151" s="44">
        <v>92.527000000000001</v>
      </c>
      <c r="Z151" s="45">
        <v>513897</v>
      </c>
      <c r="AA151" s="3">
        <f>TABL123[[#This Row],[(RESV. STORGE) AJD]]/10</f>
        <v>51389.7</v>
      </c>
      <c r="AB151" s="45">
        <f t="shared" si="6"/>
        <v>-13.715</v>
      </c>
      <c r="AC151" s="45">
        <v>1064</v>
      </c>
      <c r="AD151" s="84">
        <f>TABL123[[#This Row],[( S/S+T/B) AJD]]-(TABL123[[#This Row],[(A/B + A/S) AJD]]+(TABL123[[#This Row],[(STORGE DIFF.) AJD]])+TABL123[[#This Row],[البخر  AJD]]/1000)</f>
        <v>29.651000000000067</v>
      </c>
      <c r="AE151" s="68">
        <v>50</v>
      </c>
      <c r="AF151" s="68">
        <v>58.9</v>
      </c>
      <c r="AG151" s="68">
        <v>1557672</v>
      </c>
      <c r="AH151" s="45">
        <v>2502</v>
      </c>
      <c r="AI151" s="45">
        <v>2502</v>
      </c>
      <c r="AJ151" s="79">
        <f>TABL123[[#This Row],[(A/B TOT) AJD]]-TABL123[[#This Row],[BER_ IN]]</f>
        <v>484</v>
      </c>
      <c r="AK151" s="68">
        <v>22</v>
      </c>
      <c r="AL151" s="88">
        <v>41.566299999999998</v>
      </c>
      <c r="AM151" s="88">
        <v>2340190</v>
      </c>
      <c r="AN151" s="88">
        <f>TABL123[[#This Row],[ (RESV. STORGE) SER]]/10</f>
        <v>234019</v>
      </c>
      <c r="AO151" s="45">
        <v>1860</v>
      </c>
      <c r="AP151" s="32">
        <f>TABL123[[#This Row],[(A/S TOT) AJD]]-TABL123[[#This Row],[SER_ IN]]</f>
        <v>296</v>
      </c>
    </row>
    <row r="152" spans="1:42" ht="18.75" x14ac:dyDescent="0.3">
      <c r="A152" s="2">
        <v>46173</v>
      </c>
      <c r="B152" s="41">
        <v>39</v>
      </c>
      <c r="C152" s="41">
        <v>201</v>
      </c>
      <c r="D152" s="41">
        <v>39</v>
      </c>
      <c r="E152" s="28"/>
      <c r="F152" s="41">
        <v>94</v>
      </c>
      <c r="G152" s="39">
        <v>350</v>
      </c>
      <c r="H152" s="28">
        <f t="shared" si="5"/>
        <v>9</v>
      </c>
      <c r="I152" s="39">
        <v>350</v>
      </c>
      <c r="J152" s="39">
        <v>340</v>
      </c>
      <c r="K152" s="28">
        <f>TABL123[[#This Row],[خط (T/B  TOT) SAR]]+TABL123[[#This Row],[خط (S/S  TOT) SAR2]]</f>
        <v>690</v>
      </c>
      <c r="L152" s="41">
        <v>340</v>
      </c>
      <c r="M152" s="42">
        <v>24.6</v>
      </c>
      <c r="N152" s="42">
        <v>7.29</v>
      </c>
      <c r="O152" s="39">
        <v>391</v>
      </c>
      <c r="P152" s="3">
        <f>TABL123[[#This Row],[خط (S/S  TOT) SAR2]]-TABL123[[#This Row],[(S/S TOT) AJD]]</f>
        <v>-51</v>
      </c>
      <c r="Q152" s="39">
        <v>429</v>
      </c>
      <c r="R152" s="3">
        <f>TABL123[[#This Row],[خط (T/B  TOT) SAR]]-TABL123[[#This Row],[(T/B TOT) AJD]]</f>
        <v>-79</v>
      </c>
      <c r="S152" s="3">
        <f>TABL123[[#This Row],[الفرق بين بداية ونهاية خط  T/B]]+TABL123[[#This Row],[الفرق بين بداية ونهاية خط  S/S]]</f>
        <v>-130</v>
      </c>
      <c r="T152" s="3">
        <f>TABL123[[#This Row],[(S/S TOT) AJD]]+TABL123[[#This Row],[(T/B TOT) AJD]]</f>
        <v>820</v>
      </c>
      <c r="U152" s="41">
        <v>503</v>
      </c>
      <c r="V152" s="41">
        <v>269</v>
      </c>
      <c r="W152" s="3">
        <f>TABL123[[#This Row],[(A/B TOT) AJD]]+TABL123[[#This Row],[(A/S TOT) AJD]]</f>
        <v>772</v>
      </c>
      <c r="X152" s="3">
        <f>TABL123[[#This Row],[( S/S+T/B) AJD]]-TABL123[[#This Row],[(A/B + A/S) AJD]]</f>
        <v>48</v>
      </c>
      <c r="Y152" s="41">
        <v>92.55</v>
      </c>
      <c r="Z152" s="43">
        <v>524629</v>
      </c>
      <c r="AA152" s="3">
        <f>TABL123[[#This Row],[(RESV. STORGE) AJD]]/10</f>
        <v>52462.9</v>
      </c>
      <c r="AB152" s="45">
        <f t="shared" si="6"/>
        <v>10.731999999999999</v>
      </c>
      <c r="AC152" s="43">
        <v>1026</v>
      </c>
      <c r="AD152" s="84">
        <f>TABL123[[#This Row],[( S/S+T/B) AJD]]-(TABL123[[#This Row],[(A/B + A/S) AJD]]+(TABL123[[#This Row],[(STORGE DIFF.) AJD]])+TABL123[[#This Row],[البخر  AJD]]/1000)</f>
        <v>36.242000000000075</v>
      </c>
      <c r="AE152" s="68">
        <v>55</v>
      </c>
      <c r="AF152" s="68">
        <v>58.85</v>
      </c>
      <c r="AG152" s="68">
        <v>1524716</v>
      </c>
      <c r="AH152" s="43">
        <v>2331</v>
      </c>
      <c r="AI152" s="43">
        <v>2331</v>
      </c>
      <c r="AJ152" s="79">
        <f>TABL123[[#This Row],[(A/B TOT) AJD]]-TABL123[[#This Row],[BER_ IN]]</f>
        <v>448</v>
      </c>
      <c r="AK152" s="68">
        <v>21</v>
      </c>
      <c r="AL152" s="88">
        <v>41.5505</v>
      </c>
      <c r="AM152" s="88">
        <v>2331710</v>
      </c>
      <c r="AN152" s="88">
        <f>TABL123[[#This Row],[ (RESV. STORGE) SER]]/10</f>
        <v>233171</v>
      </c>
      <c r="AO152" s="43">
        <v>1880</v>
      </c>
      <c r="AP152" s="32">
        <f>TABL123[[#This Row],[(A/S TOT) AJD]]-TABL123[[#This Row],[SER_ IN]]</f>
        <v>248</v>
      </c>
    </row>
    <row r="153" spans="1:42" ht="18.75" x14ac:dyDescent="0.3">
      <c r="A153" s="2">
        <v>46174</v>
      </c>
      <c r="B153" s="41">
        <v>39</v>
      </c>
      <c r="C153" s="41">
        <v>301</v>
      </c>
      <c r="D153" s="41">
        <f>B153</f>
        <v>39</v>
      </c>
      <c r="E153" s="28"/>
      <c r="F153" s="41">
        <v>95</v>
      </c>
      <c r="G153" s="39">
        <v>597</v>
      </c>
      <c r="H153" s="28">
        <f t="shared" si="5"/>
        <v>8</v>
      </c>
      <c r="I153" s="39">
        <v>475</v>
      </c>
      <c r="J153" s="39">
        <v>462</v>
      </c>
      <c r="K153" s="28">
        <f>TABL123[[#This Row],[خط (T/B  TOT) SAR]]+TABL123[[#This Row],[خط (S/S  TOT) SAR2]]</f>
        <v>937</v>
      </c>
      <c r="L153" s="41">
        <v>340</v>
      </c>
      <c r="M153" s="42">
        <v>24.6</v>
      </c>
      <c r="N153" s="42">
        <v>7.2</v>
      </c>
      <c r="O153" s="39">
        <v>335</v>
      </c>
      <c r="P153" s="10">
        <f>TABL123[[#This Row],[خط (S/S  TOT) SAR2]]-TABL123[[#This Row],[(S/S TOT) AJD]]</f>
        <v>127</v>
      </c>
      <c r="Q153" s="39">
        <v>366</v>
      </c>
      <c r="R153" s="10">
        <f>TABL123[[#This Row],[خط (T/B  TOT) SAR]]-TABL123[[#This Row],[(T/B TOT) AJD]]</f>
        <v>109</v>
      </c>
      <c r="S153" s="10">
        <f>TABL123[[#This Row],[الفرق بين بداية ونهاية خط  T/B]]+TABL123[[#This Row],[الفرق بين بداية ونهاية خط  S/S]]</f>
        <v>236</v>
      </c>
      <c r="T153" s="10">
        <f>TABL123[[#This Row],[(S/S TOT) AJD]]+TABL123[[#This Row],[(T/B TOT) AJD]]</f>
        <v>701</v>
      </c>
      <c r="U153" s="41">
        <v>570</v>
      </c>
      <c r="V153" s="41">
        <v>226</v>
      </c>
      <c r="W153" s="10">
        <f>TABL123[[#This Row],[(A/B TOT) AJD]]+TABL123[[#This Row],[(A/S TOT) AJD]]</f>
        <v>796</v>
      </c>
      <c r="X153" s="10">
        <f>TABL123[[#This Row],[( S/S+T/B) AJD]]-TABL123[[#This Row],[(A/B + A/S) AJD]]</f>
        <v>-95</v>
      </c>
      <c r="Y153" s="41">
        <v>92.325000000000003</v>
      </c>
      <c r="Z153" s="43">
        <v>392505</v>
      </c>
      <c r="AA153" s="3">
        <f>TABL123[[#This Row],[(RESV. STORGE) AJD]]/10</f>
        <v>39250.5</v>
      </c>
      <c r="AB153" s="45">
        <f t="shared" si="6"/>
        <v>-132.124</v>
      </c>
      <c r="AC153" s="43">
        <v>1244</v>
      </c>
      <c r="AD153" s="84">
        <f>TABL123[[#This Row],[( S/S+T/B) AJD]]-(TABL123[[#This Row],[(A/B + A/S) AJD]]+(TABL123[[#This Row],[(STORGE DIFF.) AJD]])+TABL123[[#This Row],[البخر  AJD]]/1000)</f>
        <v>35.879999999999995</v>
      </c>
      <c r="AE153" s="68">
        <v>55</v>
      </c>
      <c r="AF153" s="68">
        <v>58.78</v>
      </c>
      <c r="AG153" s="68">
        <v>1478614</v>
      </c>
      <c r="AH153" s="43">
        <v>2282</v>
      </c>
      <c r="AI153" s="43">
        <v>2282</v>
      </c>
      <c r="AJ153" s="79">
        <f>TABL123[[#This Row],[(A/B TOT) AJD]]-TABL123[[#This Row],[BER_ IN]]</f>
        <v>515</v>
      </c>
      <c r="AK153" s="68">
        <v>22</v>
      </c>
      <c r="AL153" s="88">
        <v>41.536200000000001</v>
      </c>
      <c r="AM153" s="88">
        <v>2324390</v>
      </c>
      <c r="AN153" s="88">
        <f>TABL123[[#This Row],[ (RESV. STORGE) SER]]/10</f>
        <v>232439</v>
      </c>
      <c r="AO153" s="43">
        <v>1920</v>
      </c>
      <c r="AP153" s="32">
        <f>TABL123[[#This Row],[(A/S TOT) AJD]]-TABL123[[#This Row],[SER_ IN]]</f>
        <v>204</v>
      </c>
    </row>
    <row r="154" spans="1:42" ht="18.75" x14ac:dyDescent="0.3">
      <c r="A154" s="2">
        <v>46175</v>
      </c>
      <c r="B154" s="44">
        <v>39</v>
      </c>
      <c r="C154" s="44">
        <v>316</v>
      </c>
      <c r="D154" s="44">
        <f>B154</f>
        <v>39</v>
      </c>
      <c r="E154" s="28"/>
      <c r="F154" s="44">
        <v>95</v>
      </c>
      <c r="G154" s="40">
        <v>597</v>
      </c>
      <c r="H154" s="28">
        <f t="shared" si="5"/>
        <v>8</v>
      </c>
      <c r="I154" s="40">
        <v>475</v>
      </c>
      <c r="J154" s="44">
        <v>462</v>
      </c>
      <c r="K154" s="28">
        <f>TABL123[[#This Row],[خط (T/B  TOT) SAR]]+TABL123[[#This Row],[خط (S/S  TOT) SAR2]]</f>
        <v>937</v>
      </c>
      <c r="L154" s="45">
        <v>340</v>
      </c>
      <c r="M154" s="46">
        <v>24.6</v>
      </c>
      <c r="N154" s="46">
        <v>7.18</v>
      </c>
      <c r="O154" s="40">
        <v>387</v>
      </c>
      <c r="P154" s="10">
        <f>TABL123[[#This Row],[خط (S/S  TOT) SAR2]]-TABL123[[#This Row],[(S/S TOT) AJD]]</f>
        <v>75</v>
      </c>
      <c r="Q154" s="40">
        <v>418</v>
      </c>
      <c r="R154" s="10">
        <f>TABL123[[#This Row],[خط (T/B  TOT) SAR]]-TABL123[[#This Row],[(T/B TOT) AJD]]</f>
        <v>57</v>
      </c>
      <c r="S154" s="10">
        <f>TABL123[[#This Row],[الفرق بين بداية ونهاية خط  T/B]]+TABL123[[#This Row],[الفرق بين بداية ونهاية خط  S/S]]</f>
        <v>132</v>
      </c>
      <c r="T154" s="10">
        <f>TABL123[[#This Row],[(S/S TOT) AJD]]+TABL123[[#This Row],[(T/B TOT) AJD]]</f>
        <v>805</v>
      </c>
      <c r="U154" s="44">
        <v>571</v>
      </c>
      <c r="V154" s="44">
        <v>227</v>
      </c>
      <c r="W154" s="10">
        <f>TABL123[[#This Row],[(A/B TOT) AJD]]+TABL123[[#This Row],[(A/S TOT) AJD]]</f>
        <v>798</v>
      </c>
      <c r="X154" s="10">
        <f>TABL123[[#This Row],[( S/S+T/B) AJD]]-TABL123[[#This Row],[(A/B + A/S) AJD]]</f>
        <v>7</v>
      </c>
      <c r="Y154" s="44">
        <v>92.293000000000006</v>
      </c>
      <c r="Z154" s="45">
        <v>371714</v>
      </c>
      <c r="AA154" s="3">
        <f>TABL123[[#This Row],[(RESV. STORGE) AJD]]/10</f>
        <v>37171.4</v>
      </c>
      <c r="AB154" s="45">
        <f t="shared" si="6"/>
        <v>-20.791</v>
      </c>
      <c r="AC154" s="45">
        <v>0</v>
      </c>
      <c r="AD154" s="84">
        <f>TABL123[[#This Row],[( S/S+T/B) AJD]]-(TABL123[[#This Row],[(A/B + A/S) AJD]]+(TABL123[[#This Row],[(STORGE DIFF.) AJD]])+TABL123[[#This Row],[البخر  AJD]]/1000)</f>
        <v>27.791000000000054</v>
      </c>
      <c r="AE154" s="68">
        <v>57</v>
      </c>
      <c r="AF154" s="68">
        <v>58.75</v>
      </c>
      <c r="AG154" s="68">
        <v>1458868</v>
      </c>
      <c r="AH154" s="45">
        <v>2015</v>
      </c>
      <c r="AI154" s="45">
        <v>2015</v>
      </c>
      <c r="AJ154" s="79">
        <f>TABL123[[#This Row],[(A/B TOT) AJD]]-TABL123[[#This Row],[BER_ IN]]</f>
        <v>514</v>
      </c>
      <c r="AK154" s="68">
        <v>21</v>
      </c>
      <c r="AL154" s="88">
        <v>41.519799999999996</v>
      </c>
      <c r="AM154" s="88">
        <v>2315820</v>
      </c>
      <c r="AN154" s="88">
        <f>TABL123[[#This Row],[ (RESV. STORGE) SER]]/10</f>
        <v>231582</v>
      </c>
      <c r="AO154" s="45">
        <v>1935</v>
      </c>
      <c r="AP154" s="32">
        <f>TABL123[[#This Row],[(A/S TOT) AJD]]-TABL123[[#This Row],[SER_ IN]]</f>
        <v>206</v>
      </c>
    </row>
    <row r="155" spans="1:42" ht="18.75" x14ac:dyDescent="0.3">
      <c r="A155" s="2">
        <v>46176</v>
      </c>
      <c r="B155" s="41">
        <v>38</v>
      </c>
      <c r="C155" s="41">
        <v>312</v>
      </c>
      <c r="D155" s="41">
        <f t="shared" ref="D155:D182" si="7">B155</f>
        <v>38</v>
      </c>
      <c r="E155" s="28"/>
      <c r="F155" s="41">
        <v>95</v>
      </c>
      <c r="G155" s="39">
        <v>599</v>
      </c>
      <c r="H155" s="28">
        <f t="shared" si="5"/>
        <v>8</v>
      </c>
      <c r="I155" s="39">
        <v>475</v>
      </c>
      <c r="J155" s="39">
        <v>462</v>
      </c>
      <c r="K155" s="28">
        <f>TABL123[[#This Row],[خط (T/B  TOT) SAR]]+TABL123[[#This Row],[خط (S/S  TOT) SAR2]]</f>
        <v>937</v>
      </c>
      <c r="L155" s="41">
        <v>340</v>
      </c>
      <c r="M155" s="42">
        <v>24.6</v>
      </c>
      <c r="N155" s="42">
        <v>7.21</v>
      </c>
      <c r="O155" s="39">
        <v>389</v>
      </c>
      <c r="P155" s="10">
        <f>TABL123[[#This Row],[خط (S/S  TOT) SAR2]]-TABL123[[#This Row],[(S/S TOT) AJD]]</f>
        <v>73</v>
      </c>
      <c r="Q155" s="39">
        <v>422</v>
      </c>
      <c r="R155" s="10">
        <f>TABL123[[#This Row],[خط (T/B  TOT) SAR]]-TABL123[[#This Row],[(T/B TOT) AJD]]</f>
        <v>53</v>
      </c>
      <c r="S155" s="10">
        <f>TABL123[[#This Row],[الفرق بين بداية ونهاية خط  T/B]]+TABL123[[#This Row],[الفرق بين بداية ونهاية خط  S/S]]</f>
        <v>126</v>
      </c>
      <c r="T155" s="10">
        <f>TABL123[[#This Row],[(S/S TOT) AJD]]+TABL123[[#This Row],[(T/B TOT) AJD]]</f>
        <v>811</v>
      </c>
      <c r="U155" s="41">
        <v>550</v>
      </c>
      <c r="V155" s="41">
        <v>238</v>
      </c>
      <c r="W155" s="10">
        <f>TABL123[[#This Row],[(A/B TOT) AJD]]+TABL123[[#This Row],[(A/S TOT) AJD]]</f>
        <v>788</v>
      </c>
      <c r="X155" s="10">
        <f>TABL123[[#This Row],[( S/S+T/B) AJD]]-TABL123[[#This Row],[(A/B + A/S) AJD]]</f>
        <v>23</v>
      </c>
      <c r="Y155" s="41">
        <v>92.28</v>
      </c>
      <c r="Z155" s="43">
        <v>365774</v>
      </c>
      <c r="AA155" s="3">
        <f>TABL123[[#This Row],[(RESV. STORGE) AJD]]/10</f>
        <v>36577.4</v>
      </c>
      <c r="AB155" s="45">
        <f t="shared" si="6"/>
        <v>-5.94</v>
      </c>
      <c r="AC155" s="43">
        <v>1221</v>
      </c>
      <c r="AD155" s="84">
        <f>TABL123[[#This Row],[( S/S+T/B) AJD]]-(TABL123[[#This Row],[(A/B + A/S) AJD]]+(TABL123[[#This Row],[(STORGE DIFF.) AJD]])+TABL123[[#This Row],[البخر  AJD]]/1000)</f>
        <v>27.719000000000051</v>
      </c>
      <c r="AE155" s="68">
        <v>65</v>
      </c>
      <c r="AF155" s="68">
        <v>59.59</v>
      </c>
      <c r="AG155" s="68">
        <v>2014674</v>
      </c>
      <c r="AH155" s="43">
        <v>2490</v>
      </c>
      <c r="AI155" s="43">
        <v>2490</v>
      </c>
      <c r="AJ155" s="79">
        <f>TABL123[[#This Row],[(A/B TOT) AJD]]-TABL123[[#This Row],[BER_ IN]]</f>
        <v>485</v>
      </c>
      <c r="AK155" s="68">
        <v>22</v>
      </c>
      <c r="AL155" s="88">
        <v>41.496499999999997</v>
      </c>
      <c r="AM155" s="88">
        <v>2303630</v>
      </c>
      <c r="AN155" s="88">
        <f>TABL123[[#This Row],[ (RESV. STORGE) SER]]/10</f>
        <v>230363</v>
      </c>
      <c r="AO155" s="43">
        <v>1940</v>
      </c>
      <c r="AP155" s="32">
        <f>TABL123[[#This Row],[(A/S TOT) AJD]]-TABL123[[#This Row],[SER_ IN]]</f>
        <v>216</v>
      </c>
    </row>
    <row r="156" spans="1:42" ht="18.75" x14ac:dyDescent="0.3">
      <c r="A156" s="2">
        <v>46177</v>
      </c>
      <c r="B156" s="44">
        <v>37</v>
      </c>
      <c r="C156" s="44">
        <v>298</v>
      </c>
      <c r="D156" s="44">
        <f t="shared" si="7"/>
        <v>37</v>
      </c>
      <c r="E156" s="28"/>
      <c r="F156" s="44">
        <v>95</v>
      </c>
      <c r="G156" s="40">
        <v>599</v>
      </c>
      <c r="H156" s="28">
        <f t="shared" si="5"/>
        <v>8</v>
      </c>
      <c r="I156" s="40">
        <v>476</v>
      </c>
      <c r="J156" s="44">
        <v>463</v>
      </c>
      <c r="K156" s="28">
        <f>TABL123[[#This Row],[خط (T/B  TOT) SAR]]+TABL123[[#This Row],[خط (S/S  TOT) SAR2]]</f>
        <v>939</v>
      </c>
      <c r="L156" s="45">
        <v>340</v>
      </c>
      <c r="M156" s="46">
        <v>24.6</v>
      </c>
      <c r="N156" s="46">
        <v>7.18</v>
      </c>
      <c r="O156" s="40">
        <v>390</v>
      </c>
      <c r="P156" s="10">
        <f>TABL123[[#This Row],[خط (S/S  TOT) SAR2]]-TABL123[[#This Row],[(S/S TOT) AJD]]</f>
        <v>73</v>
      </c>
      <c r="Q156" s="40">
        <v>422</v>
      </c>
      <c r="R156" s="10">
        <f>TABL123[[#This Row],[خط (T/B  TOT) SAR]]-TABL123[[#This Row],[(T/B TOT) AJD]]</f>
        <v>54</v>
      </c>
      <c r="S156" s="10">
        <f>TABL123[[#This Row],[الفرق بين بداية ونهاية خط  T/B]]+TABL123[[#This Row],[الفرق بين بداية ونهاية خط  S/S]]</f>
        <v>127</v>
      </c>
      <c r="T156" s="10">
        <f>TABL123[[#This Row],[(S/S TOT) AJD]]+TABL123[[#This Row],[(T/B TOT) AJD]]</f>
        <v>812</v>
      </c>
      <c r="U156" s="44">
        <v>543</v>
      </c>
      <c r="V156" s="44">
        <v>259</v>
      </c>
      <c r="W156" s="10">
        <f>TABL123[[#This Row],[(A/B TOT) AJD]]+TABL123[[#This Row],[(A/S TOT) AJD]]</f>
        <v>802</v>
      </c>
      <c r="X156" s="10">
        <f>TABL123[[#This Row],[( S/S+T/B) AJD]]-TABL123[[#This Row],[(A/B + A/S) AJD]]</f>
        <v>10</v>
      </c>
      <c r="Y156" s="44">
        <v>92.245000000000005</v>
      </c>
      <c r="Z156" s="45">
        <v>344996</v>
      </c>
      <c r="AA156" s="3">
        <f>TABL123[[#This Row],[(RESV. STORGE) AJD]]/10</f>
        <v>34499.599999999999</v>
      </c>
      <c r="AB156" s="45">
        <f t="shared" si="6"/>
        <v>-20.777999999999999</v>
      </c>
      <c r="AC156" s="45">
        <v>1620</v>
      </c>
      <c r="AD156" s="84">
        <f>TABL123[[#This Row],[( S/S+T/B) AJD]]-(TABL123[[#This Row],[(A/B + A/S) AJD]]+(TABL123[[#This Row],[(STORGE DIFF.) AJD]])+TABL123[[#This Row],[البخر  AJD]]/1000)</f>
        <v>29.158000000000015</v>
      </c>
      <c r="AE156" s="68">
        <v>55</v>
      </c>
      <c r="AF156" s="68">
        <v>59.54</v>
      </c>
      <c r="AG156" s="68">
        <v>1981420</v>
      </c>
      <c r="AH156" s="45">
        <v>2490</v>
      </c>
      <c r="AI156" s="45">
        <v>2490</v>
      </c>
      <c r="AJ156" s="79">
        <f>TABL123[[#This Row],[(A/B TOT) AJD]]-TABL123[[#This Row],[BER_ IN]]</f>
        <v>488</v>
      </c>
      <c r="AK156" s="68">
        <v>21</v>
      </c>
      <c r="AL156" s="88">
        <v>41.472000000000001</v>
      </c>
      <c r="AM156" s="88">
        <v>2290380</v>
      </c>
      <c r="AN156" s="88">
        <f>TABL123[[#This Row],[ (RESV. STORGE) SER]]/10</f>
        <v>229038</v>
      </c>
      <c r="AO156" s="45">
        <v>1980</v>
      </c>
      <c r="AP156" s="32">
        <f>TABL123[[#This Row],[(A/S TOT) AJD]]-TABL123[[#This Row],[SER_ IN]]</f>
        <v>238</v>
      </c>
    </row>
    <row r="157" spans="1:42" ht="18.75" x14ac:dyDescent="0.3">
      <c r="A157" s="2">
        <v>46178</v>
      </c>
      <c r="B157" s="41">
        <v>37</v>
      </c>
      <c r="C157" s="41">
        <v>288</v>
      </c>
      <c r="D157" s="41">
        <f t="shared" si="7"/>
        <v>37</v>
      </c>
      <c r="E157" s="28"/>
      <c r="F157" s="41">
        <v>95</v>
      </c>
      <c r="G157" s="39">
        <v>602</v>
      </c>
      <c r="H157" s="28">
        <f t="shared" si="5"/>
        <v>8</v>
      </c>
      <c r="I157" s="39">
        <v>473</v>
      </c>
      <c r="J157" s="39">
        <v>462</v>
      </c>
      <c r="K157" s="28">
        <f>TABL123[[#This Row],[خط (T/B  TOT) SAR]]+TABL123[[#This Row],[خط (S/S  TOT) SAR2]]</f>
        <v>935</v>
      </c>
      <c r="L157" s="41">
        <v>335</v>
      </c>
      <c r="M157" s="42">
        <v>24.6</v>
      </c>
      <c r="N157" s="42">
        <v>7.05</v>
      </c>
      <c r="O157" s="39">
        <v>388</v>
      </c>
      <c r="P157" s="10">
        <f>TABL123[[#This Row],[خط (S/S  TOT) SAR2]]-TABL123[[#This Row],[(S/S TOT) AJD]]</f>
        <v>74</v>
      </c>
      <c r="Q157" s="39">
        <v>420</v>
      </c>
      <c r="R157" s="10">
        <f>TABL123[[#This Row],[خط (T/B  TOT) SAR]]-TABL123[[#This Row],[(T/B TOT) AJD]]</f>
        <v>53</v>
      </c>
      <c r="S157" s="10">
        <f>TABL123[[#This Row],[الفرق بين بداية ونهاية خط  T/B]]+TABL123[[#This Row],[الفرق بين بداية ونهاية خط  S/S]]</f>
        <v>127</v>
      </c>
      <c r="T157" s="10">
        <f>TABL123[[#This Row],[(S/S TOT) AJD]]+TABL123[[#This Row],[(T/B TOT) AJD]]</f>
        <v>808</v>
      </c>
      <c r="U157" s="41">
        <v>531</v>
      </c>
      <c r="V157" s="41">
        <v>270</v>
      </c>
      <c r="W157" s="10">
        <f>TABL123[[#This Row],[(A/B TOT) AJD]]+TABL123[[#This Row],[(A/S TOT) AJD]]</f>
        <v>801</v>
      </c>
      <c r="X157" s="10">
        <f>TABL123[[#This Row],[( S/S+T/B) AJD]]-TABL123[[#This Row],[(A/B + A/S) AJD]]</f>
        <v>7</v>
      </c>
      <c r="Y157" s="41">
        <v>92.203000000000003</v>
      </c>
      <c r="Z157" s="43">
        <v>320073</v>
      </c>
      <c r="AA157" s="3">
        <f>TABL123[[#This Row],[(RESV. STORGE) AJD]]/10</f>
        <v>32007.3</v>
      </c>
      <c r="AB157" s="45">
        <f t="shared" si="6"/>
        <v>-24.922999999999998</v>
      </c>
      <c r="AC157" s="43">
        <v>0</v>
      </c>
      <c r="AD157" s="84">
        <f>TABL123[[#This Row],[( S/S+T/B) AJD]]-(TABL123[[#This Row],[(A/B + A/S) AJD]]+(TABL123[[#This Row],[(STORGE DIFF.) AJD]])+TABL123[[#This Row],[البخر  AJD]]/1000)</f>
        <v>31.923000000000002</v>
      </c>
      <c r="AE157" s="68">
        <v>53</v>
      </c>
      <c r="AF157" s="68">
        <v>59.5</v>
      </c>
      <c r="AG157" s="68">
        <v>1954832</v>
      </c>
      <c r="AH157" s="43">
        <v>2005</v>
      </c>
      <c r="AI157" s="43">
        <v>2005</v>
      </c>
      <c r="AJ157" s="79">
        <f>TABL123[[#This Row],[(A/B TOT) AJD]]-TABL123[[#This Row],[BER_ IN]]</f>
        <v>478</v>
      </c>
      <c r="AK157" s="68">
        <v>20</v>
      </c>
      <c r="AL157" s="88">
        <v>41.435699999999997</v>
      </c>
      <c r="AM157" s="88">
        <v>2271293</v>
      </c>
      <c r="AN157" s="88">
        <f>TABL123[[#This Row],[ (RESV. STORGE) SER]]/10</f>
        <v>227129.3</v>
      </c>
      <c r="AO157" s="43">
        <v>1965</v>
      </c>
      <c r="AP157" s="32">
        <f>TABL123[[#This Row],[(A/S TOT) AJD]]-TABL123[[#This Row],[SER_ IN]]</f>
        <v>250</v>
      </c>
    </row>
    <row r="158" spans="1:42" ht="18.75" x14ac:dyDescent="0.3">
      <c r="A158" s="2">
        <v>46179</v>
      </c>
      <c r="B158" s="44">
        <v>38</v>
      </c>
      <c r="C158" s="44">
        <v>307</v>
      </c>
      <c r="D158" s="44">
        <f t="shared" si="7"/>
        <v>38</v>
      </c>
      <c r="E158" s="28"/>
      <c r="F158" s="44">
        <v>95</v>
      </c>
      <c r="G158" s="40">
        <v>603</v>
      </c>
      <c r="H158" s="28">
        <f t="shared" si="5"/>
        <v>8</v>
      </c>
      <c r="I158" s="40">
        <v>474</v>
      </c>
      <c r="J158" s="44">
        <v>461</v>
      </c>
      <c r="K158" s="28">
        <f>TABL123[[#This Row],[خط (T/B  TOT) SAR]]+TABL123[[#This Row],[خط (S/S  TOT) SAR2]]</f>
        <v>935</v>
      </c>
      <c r="L158" s="45">
        <v>332</v>
      </c>
      <c r="M158" s="46">
        <v>24.6</v>
      </c>
      <c r="N158" s="46">
        <v>7.03</v>
      </c>
      <c r="O158" s="40">
        <v>392</v>
      </c>
      <c r="P158" s="10">
        <f>TABL123[[#This Row],[خط (S/S  TOT) SAR2]]-TABL123[[#This Row],[(S/S TOT) AJD]]</f>
        <v>69</v>
      </c>
      <c r="Q158" s="40">
        <v>423</v>
      </c>
      <c r="R158" s="10">
        <f>TABL123[[#This Row],[خط (T/B  TOT) SAR]]-TABL123[[#This Row],[(T/B TOT) AJD]]</f>
        <v>51</v>
      </c>
      <c r="S158" s="10">
        <f>TABL123[[#This Row],[الفرق بين بداية ونهاية خط  T/B]]+TABL123[[#This Row],[الفرق بين بداية ونهاية خط  S/S]]</f>
        <v>120</v>
      </c>
      <c r="T158" s="10">
        <f>TABL123[[#This Row],[(S/S TOT) AJD]]+TABL123[[#This Row],[(T/B TOT) AJD]]</f>
        <v>815</v>
      </c>
      <c r="U158" s="44">
        <v>547</v>
      </c>
      <c r="V158" s="44">
        <v>291</v>
      </c>
      <c r="W158" s="10">
        <f>TABL123[[#This Row],[(A/B TOT) AJD]]+TABL123[[#This Row],[(A/S TOT) AJD]]</f>
        <v>838</v>
      </c>
      <c r="X158" s="10">
        <f>TABL123[[#This Row],[( S/S+T/B) AJD]]-TABL123[[#This Row],[(A/B + A/S) AJD]]</f>
        <v>-23</v>
      </c>
      <c r="Y158" s="44">
        <v>92.117999999999995</v>
      </c>
      <c r="Z158" s="45">
        <v>269673</v>
      </c>
      <c r="AA158" s="3">
        <f>TABL123[[#This Row],[(RESV. STORGE) AJD]]/10</f>
        <v>26967.3</v>
      </c>
      <c r="AB158" s="45">
        <f t="shared" si="6"/>
        <v>-50.4</v>
      </c>
      <c r="AC158" s="45">
        <v>4251</v>
      </c>
      <c r="AD158" s="84">
        <f>TABL123[[#This Row],[( S/S+T/B) AJD]]-(TABL123[[#This Row],[(A/B + A/S) AJD]]+(TABL123[[#This Row],[(STORGE DIFF.) AJD]])+TABL123[[#This Row],[البخر  AJD]]/1000)</f>
        <v>23.149000000000001</v>
      </c>
      <c r="AE158" s="68">
        <v>75</v>
      </c>
      <c r="AF158" s="68">
        <v>59.588999999999999</v>
      </c>
      <c r="AG158" s="68">
        <v>2014009</v>
      </c>
      <c r="AH158" s="45">
        <v>2587</v>
      </c>
      <c r="AI158" s="45">
        <v>2587</v>
      </c>
      <c r="AJ158" s="79">
        <f>TABL123[[#This Row],[(A/B TOT) AJD]]-TABL123[[#This Row],[BER_ IN]]</f>
        <v>472</v>
      </c>
      <c r="AK158" s="68">
        <v>21</v>
      </c>
      <c r="AL158" s="88">
        <v>41.411200000000001</v>
      </c>
      <c r="AM158" s="88">
        <v>2258290</v>
      </c>
      <c r="AN158" s="88">
        <f>TABL123[[#This Row],[ (RESV. STORGE) SER]]/10</f>
        <v>225829</v>
      </c>
      <c r="AO158" s="45">
        <v>2200</v>
      </c>
      <c r="AP158" s="32">
        <f>TABL123[[#This Row],[(A/S TOT) AJD]]-TABL123[[#This Row],[SER_ IN]]</f>
        <v>270</v>
      </c>
    </row>
    <row r="159" spans="1:42" ht="18.75" x14ac:dyDescent="0.3">
      <c r="A159" s="2">
        <v>46180</v>
      </c>
      <c r="B159" s="41">
        <v>39</v>
      </c>
      <c r="C159" s="41">
        <v>310</v>
      </c>
      <c r="D159" s="41">
        <f t="shared" si="7"/>
        <v>39</v>
      </c>
      <c r="E159" s="28"/>
      <c r="F159" s="41">
        <v>95</v>
      </c>
      <c r="G159" s="39">
        <v>603</v>
      </c>
      <c r="H159" s="28">
        <f t="shared" si="5"/>
        <v>8</v>
      </c>
      <c r="I159" s="39">
        <v>475</v>
      </c>
      <c r="J159" s="39">
        <v>460</v>
      </c>
      <c r="K159" s="28">
        <f>TABL123[[#This Row],[خط (T/B  TOT) SAR]]+TABL123[[#This Row],[خط (S/S  TOT) SAR2]]</f>
        <v>935</v>
      </c>
      <c r="L159" s="41">
        <v>330</v>
      </c>
      <c r="M159" s="42">
        <v>24.6</v>
      </c>
      <c r="N159" s="42">
        <v>6.98</v>
      </c>
      <c r="O159" s="39">
        <v>382</v>
      </c>
      <c r="P159" s="10">
        <f>TABL123[[#This Row],[خط (S/S  TOT) SAR2]]-TABL123[[#This Row],[(S/S TOT) AJD]]</f>
        <v>78</v>
      </c>
      <c r="Q159" s="39">
        <v>414</v>
      </c>
      <c r="R159" s="10">
        <f>TABL123[[#This Row],[خط (T/B  TOT) SAR]]-TABL123[[#This Row],[(T/B TOT) AJD]]</f>
        <v>61</v>
      </c>
      <c r="S159" s="10">
        <f>TABL123[[#This Row],[الفرق بين بداية ونهاية خط  T/B]]+TABL123[[#This Row],[الفرق بين بداية ونهاية خط  S/S]]</f>
        <v>139</v>
      </c>
      <c r="T159" s="10">
        <f>TABL123[[#This Row],[(S/S TOT) AJD]]+TABL123[[#This Row],[(T/B TOT) AJD]]</f>
        <v>796</v>
      </c>
      <c r="U159" s="41">
        <v>533</v>
      </c>
      <c r="V159" s="41">
        <v>290</v>
      </c>
      <c r="W159" s="10">
        <f>TABL123[[#This Row],[(A/B TOT) AJD]]+TABL123[[#This Row],[(A/S TOT) AJD]]</f>
        <v>823</v>
      </c>
      <c r="X159" s="10">
        <f>TABL123[[#This Row],[( S/S+T/B) AJD]]-TABL123[[#This Row],[(A/B + A/S) AJD]]</f>
        <v>-27</v>
      </c>
      <c r="Y159" s="41">
        <v>92.046000000000006</v>
      </c>
      <c r="Z159" s="43">
        <v>227032</v>
      </c>
      <c r="AA159" s="3">
        <f>TABL123[[#This Row],[(RESV. STORGE) AJD]]/10</f>
        <v>22703.200000000001</v>
      </c>
      <c r="AB159" s="45">
        <f t="shared" si="6"/>
        <v>-42.640999999999998</v>
      </c>
      <c r="AC159" s="43">
        <v>2569</v>
      </c>
      <c r="AD159" s="84">
        <f>TABL123[[#This Row],[( S/S+T/B) AJD]]-(TABL123[[#This Row],[(A/B + A/S) AJD]]+(TABL123[[#This Row],[(STORGE DIFF.) AJD]])+TABL123[[#This Row],[البخر  AJD]]/1000)</f>
        <v>13.072000000000003</v>
      </c>
      <c r="AE159" s="68">
        <v>50</v>
      </c>
      <c r="AF159" s="68">
        <v>59.47</v>
      </c>
      <c r="AG159" s="68">
        <v>1934900</v>
      </c>
      <c r="AH159" s="43">
        <v>2325</v>
      </c>
      <c r="AI159" s="43">
        <v>2325</v>
      </c>
      <c r="AJ159" s="79">
        <f>TABL123[[#This Row],[(A/B TOT) AJD]]-TABL123[[#This Row],[BER_ IN]]</f>
        <v>483</v>
      </c>
      <c r="AK159" s="68">
        <v>21</v>
      </c>
      <c r="AL159" s="88">
        <v>41.373199999999997</v>
      </c>
      <c r="AM159" s="88">
        <v>2238560</v>
      </c>
      <c r="AN159" s="88">
        <f>TABL123[[#This Row],[ (RESV. STORGE) SER]]/10</f>
        <v>223856</v>
      </c>
      <c r="AO159" s="43">
        <v>2150</v>
      </c>
      <c r="AP159" s="32">
        <f>TABL123[[#This Row],[(A/S TOT) AJD]]-TABL123[[#This Row],[SER_ IN]]</f>
        <v>269</v>
      </c>
    </row>
    <row r="160" spans="1:42" ht="18.75" x14ac:dyDescent="0.3">
      <c r="A160" s="2">
        <v>46181</v>
      </c>
      <c r="B160" s="44">
        <v>39</v>
      </c>
      <c r="C160" s="44">
        <v>314</v>
      </c>
      <c r="D160" s="44">
        <f t="shared" si="7"/>
        <v>39</v>
      </c>
      <c r="E160" s="28"/>
      <c r="F160" s="44">
        <v>95</v>
      </c>
      <c r="G160" s="40">
        <v>615</v>
      </c>
      <c r="H160" s="28">
        <f t="shared" si="5"/>
        <v>8</v>
      </c>
      <c r="I160" s="40">
        <v>475</v>
      </c>
      <c r="J160" s="44">
        <v>465</v>
      </c>
      <c r="K160" s="28">
        <f>TABL123[[#This Row],[خط (T/B  TOT) SAR]]+TABL123[[#This Row],[خط (S/S  TOT) SAR2]]</f>
        <v>940</v>
      </c>
      <c r="L160" s="45">
        <v>325</v>
      </c>
      <c r="M160" s="46">
        <v>24.1</v>
      </c>
      <c r="N160" s="46">
        <v>7.1</v>
      </c>
      <c r="O160" s="40">
        <v>385</v>
      </c>
      <c r="P160" s="10">
        <f>TABL123[[#This Row],[خط (S/S  TOT) SAR2]]-TABL123[[#This Row],[(S/S TOT) AJD]]</f>
        <v>80</v>
      </c>
      <c r="Q160" s="40">
        <v>417</v>
      </c>
      <c r="R160" s="10">
        <f>TABL123[[#This Row],[خط (T/B  TOT) SAR]]-TABL123[[#This Row],[(T/B TOT) AJD]]</f>
        <v>58</v>
      </c>
      <c r="S160" s="10">
        <f>TABL123[[#This Row],[الفرق بين بداية ونهاية خط  T/B]]+TABL123[[#This Row],[الفرق بين بداية ونهاية خط  S/S]]</f>
        <v>138</v>
      </c>
      <c r="T160" s="10">
        <f>TABL123[[#This Row],[(S/S TOT) AJD]]+TABL123[[#This Row],[(T/B TOT) AJD]]</f>
        <v>802</v>
      </c>
      <c r="U160" s="44">
        <v>539</v>
      </c>
      <c r="V160" s="44">
        <v>262</v>
      </c>
      <c r="W160" s="10">
        <f>TABL123[[#This Row],[(A/B TOT) AJD]]+TABL123[[#This Row],[(A/S TOT) AJD]]</f>
        <v>801</v>
      </c>
      <c r="X160" s="10">
        <f>TABL123[[#This Row],[( S/S+T/B) AJD]]-TABL123[[#This Row],[(A/B + A/S) AJD]]</f>
        <v>1</v>
      </c>
      <c r="Y160" s="44">
        <v>91.991</v>
      </c>
      <c r="Z160" s="45">
        <v>199487</v>
      </c>
      <c r="AA160" s="3">
        <f>TABL123[[#This Row],[(RESV. STORGE) AJD]]/10</f>
        <v>19948.7</v>
      </c>
      <c r="AB160" s="45">
        <f t="shared" si="6"/>
        <v>-27.545000000000002</v>
      </c>
      <c r="AC160" s="45">
        <v>1793</v>
      </c>
      <c r="AD160" s="84">
        <f>TABL123[[#This Row],[( S/S+T/B) AJD]]-(TABL123[[#This Row],[(A/B + A/S) AJD]]+(TABL123[[#This Row],[(STORGE DIFF.) AJD]])+TABL123[[#This Row],[البخر  AJD]]/1000)</f>
        <v>26.751999999999953</v>
      </c>
      <c r="AE160" s="68">
        <v>52</v>
      </c>
      <c r="AF160" s="68">
        <v>59.37</v>
      </c>
      <c r="AG160" s="68">
        <v>1868516</v>
      </c>
      <c r="AH160" s="45">
        <v>2485</v>
      </c>
      <c r="AI160" s="45">
        <v>2485</v>
      </c>
      <c r="AJ160" s="79">
        <f>TABL123[[#This Row],[(A/B TOT) AJD]]-TABL123[[#This Row],[BER_ IN]]</f>
        <v>487</v>
      </c>
      <c r="AK160" s="68">
        <v>22</v>
      </c>
      <c r="AL160" s="88">
        <v>41.348199999999999</v>
      </c>
      <c r="AM160" s="88">
        <v>2225350</v>
      </c>
      <c r="AN160" s="88">
        <f>TABL123[[#This Row],[ (RESV. STORGE) SER]]/10</f>
        <v>222535</v>
      </c>
      <c r="AO160" s="45">
        <v>2070</v>
      </c>
      <c r="AP160" s="32">
        <f>TABL123[[#This Row],[(A/S TOT) AJD]]-TABL123[[#This Row],[SER_ IN]]</f>
        <v>240</v>
      </c>
    </row>
    <row r="161" spans="1:42" ht="18.75" x14ac:dyDescent="0.3">
      <c r="A161" s="2">
        <v>46182</v>
      </c>
      <c r="B161" s="41">
        <v>39</v>
      </c>
      <c r="C161" s="41">
        <v>325</v>
      </c>
      <c r="D161" s="41">
        <f t="shared" si="7"/>
        <v>39</v>
      </c>
      <c r="E161" s="28"/>
      <c r="F161" s="41">
        <v>95</v>
      </c>
      <c r="G161" s="39">
        <v>615</v>
      </c>
      <c r="H161" s="28">
        <f t="shared" si="5"/>
        <v>8</v>
      </c>
      <c r="I161" s="39">
        <v>480</v>
      </c>
      <c r="J161" s="39">
        <v>470</v>
      </c>
      <c r="K161" s="28">
        <f>TABL123[[#This Row],[خط (T/B  TOT) SAR]]+TABL123[[#This Row],[خط (S/S  TOT) SAR2]]</f>
        <v>950</v>
      </c>
      <c r="L161" s="41">
        <v>355</v>
      </c>
      <c r="M161" s="42">
        <v>24.2</v>
      </c>
      <c r="N161" s="42">
        <v>7.21</v>
      </c>
      <c r="O161" s="39">
        <v>392</v>
      </c>
      <c r="P161" s="10">
        <f>TABL123[[#This Row],[خط (S/S  TOT) SAR2]]-TABL123[[#This Row],[(S/S TOT) AJD]]</f>
        <v>78</v>
      </c>
      <c r="Q161" s="39">
        <v>423</v>
      </c>
      <c r="R161" s="10">
        <f>TABL123[[#This Row],[خط (T/B  TOT) SAR]]-TABL123[[#This Row],[(T/B TOT) AJD]]</f>
        <v>57</v>
      </c>
      <c r="S161" s="10">
        <f>TABL123[[#This Row],[الفرق بين بداية ونهاية خط  T/B]]+TABL123[[#This Row],[الفرق بين بداية ونهاية خط  S/S]]</f>
        <v>135</v>
      </c>
      <c r="T161" s="10">
        <f>TABL123[[#This Row],[(S/S TOT) AJD]]+TABL123[[#This Row],[(T/B TOT) AJD]]</f>
        <v>815</v>
      </c>
      <c r="U161" s="41">
        <v>521</v>
      </c>
      <c r="V161" s="41">
        <v>252</v>
      </c>
      <c r="W161" s="10">
        <f>TABL123[[#This Row],[(A/B TOT) AJD]]+TABL123[[#This Row],[(A/S TOT) AJD]]</f>
        <v>773</v>
      </c>
      <c r="X161" s="10">
        <f>TABL123[[#This Row],[( S/S+T/B) AJD]]-TABL123[[#This Row],[(A/B + A/S) AJD]]</f>
        <v>42</v>
      </c>
      <c r="Y161" s="41">
        <v>92.031000000000006</v>
      </c>
      <c r="Z161" s="43">
        <v>218155</v>
      </c>
      <c r="AA161" s="3">
        <f>TABL123[[#This Row],[(RESV. STORGE) AJD]]/10</f>
        <v>21815.5</v>
      </c>
      <c r="AB161" s="45">
        <f t="shared" si="6"/>
        <v>18.667999999999999</v>
      </c>
      <c r="AC161" s="43">
        <v>2076</v>
      </c>
      <c r="AD161" s="84">
        <f>TABL123[[#This Row],[( S/S+T/B) AJD]]-(TABL123[[#This Row],[(A/B + A/S) AJD]]+(TABL123[[#This Row],[(STORGE DIFF.) AJD]])+TABL123[[#This Row],[البخر  AJD]]/1000)</f>
        <v>21.255999999999972</v>
      </c>
      <c r="AE161" s="68">
        <v>41</v>
      </c>
      <c r="AF161" s="68">
        <v>59.25</v>
      </c>
      <c r="AG161" s="68">
        <v>1788970</v>
      </c>
      <c r="AH161" s="43">
        <v>3009</v>
      </c>
      <c r="AI161" s="43">
        <v>3009</v>
      </c>
      <c r="AJ161" s="79">
        <f>TABL123[[#This Row],[(A/B TOT) AJD]]-TABL123[[#This Row],[BER_ IN]]</f>
        <v>480</v>
      </c>
      <c r="AK161" s="68">
        <v>21</v>
      </c>
      <c r="AL161" s="88">
        <v>41.3352</v>
      </c>
      <c r="AM161" s="88">
        <v>2218180</v>
      </c>
      <c r="AN161" s="88">
        <f>TABL123[[#This Row],[ (RESV. STORGE) SER]]/10</f>
        <v>221818</v>
      </c>
      <c r="AO161" s="43">
        <v>1980</v>
      </c>
      <c r="AP161" s="32">
        <f>TABL123[[#This Row],[(A/S TOT) AJD]]-TABL123[[#This Row],[SER_ IN]]</f>
        <v>231</v>
      </c>
    </row>
    <row r="162" spans="1:42" ht="18.75" x14ac:dyDescent="0.3">
      <c r="A162" s="2">
        <v>46183</v>
      </c>
      <c r="B162" s="44">
        <v>39</v>
      </c>
      <c r="C162" s="44">
        <v>323</v>
      </c>
      <c r="D162" s="44">
        <f t="shared" si="7"/>
        <v>39</v>
      </c>
      <c r="E162" s="28"/>
      <c r="F162" s="44">
        <v>95</v>
      </c>
      <c r="G162" s="40">
        <v>620</v>
      </c>
      <c r="H162" s="28">
        <f t="shared" si="5"/>
        <v>8</v>
      </c>
      <c r="I162" s="40">
        <v>485</v>
      </c>
      <c r="J162" s="44">
        <v>475</v>
      </c>
      <c r="K162" s="28">
        <f>TABL123[[#This Row],[خط (T/B  TOT) SAR]]+TABL123[[#This Row],[خط (S/S  TOT) SAR2]]</f>
        <v>960</v>
      </c>
      <c r="L162" s="45">
        <v>340</v>
      </c>
      <c r="M162" s="46">
        <v>24.6</v>
      </c>
      <c r="N162" s="46">
        <v>7.26</v>
      </c>
      <c r="O162" s="40">
        <v>403</v>
      </c>
      <c r="P162" s="10">
        <f>TABL123[[#This Row],[خط (S/S  TOT) SAR2]]-TABL123[[#This Row],[(S/S TOT) AJD]]</f>
        <v>72</v>
      </c>
      <c r="Q162" s="40">
        <v>434</v>
      </c>
      <c r="R162" s="10">
        <f>TABL123[[#This Row],[خط (T/B  TOT) SAR]]-TABL123[[#This Row],[(T/B TOT) AJD]]</f>
        <v>51</v>
      </c>
      <c r="S162" s="10">
        <f>TABL123[[#This Row],[الفرق بين بداية ونهاية خط  T/B]]+TABL123[[#This Row],[الفرق بين بداية ونهاية خط  S/S]]</f>
        <v>123</v>
      </c>
      <c r="T162" s="10">
        <f>TABL123[[#This Row],[(S/S TOT) AJD]]+TABL123[[#This Row],[(T/B TOT) AJD]]</f>
        <v>837</v>
      </c>
      <c r="U162" s="44">
        <v>521</v>
      </c>
      <c r="V162" s="44">
        <v>259</v>
      </c>
      <c r="W162" s="10">
        <f>TABL123[[#This Row],[(A/B TOT) AJD]]+TABL123[[#This Row],[(A/S TOT) AJD]]</f>
        <v>780</v>
      </c>
      <c r="X162" s="10">
        <f>TABL123[[#This Row],[( S/S+T/B) AJD]]-TABL123[[#This Row],[(A/B + A/S) AJD]]</f>
        <v>57</v>
      </c>
      <c r="Y162" s="44">
        <v>92.09</v>
      </c>
      <c r="Z162" s="45">
        <v>253086</v>
      </c>
      <c r="AA162" s="3">
        <f>TABL123[[#This Row],[(RESV. STORGE) AJD]]/10</f>
        <v>25308.6</v>
      </c>
      <c r="AB162" s="45">
        <f t="shared" si="6"/>
        <v>34.930999999999997</v>
      </c>
      <c r="AC162" s="45">
        <v>1269</v>
      </c>
      <c r="AD162" s="84">
        <f>TABL123[[#This Row],[( S/S+T/B) AJD]]-(TABL123[[#This Row],[(A/B + A/S) AJD]]+(TABL123[[#This Row],[(STORGE DIFF.) AJD]])+TABL123[[#This Row],[البخر  AJD]]/1000)</f>
        <v>20.799999999999955</v>
      </c>
      <c r="AE162" s="68">
        <v>37</v>
      </c>
      <c r="AF162" s="68">
        <v>59.2</v>
      </c>
      <c r="AG162" s="68">
        <v>1755863</v>
      </c>
      <c r="AH162" s="45">
        <v>2160</v>
      </c>
      <c r="AI162" s="45">
        <v>2160</v>
      </c>
      <c r="AJ162" s="79">
        <f>TABL123[[#This Row],[(A/B TOT) AJD]]-TABL123[[#This Row],[BER_ IN]]</f>
        <v>484</v>
      </c>
      <c r="AK162" s="68">
        <v>21</v>
      </c>
      <c r="AL162" s="88">
        <v>41.328699999999998</v>
      </c>
      <c r="AM162" s="88">
        <v>2214800</v>
      </c>
      <c r="AN162" s="88">
        <f>TABL123[[#This Row],[ (RESV. STORGE) SER]]/10</f>
        <v>221480</v>
      </c>
      <c r="AO162" s="45">
        <v>1965</v>
      </c>
      <c r="AP162" s="32">
        <f>TABL123[[#This Row],[(A/S TOT) AJD]]-TABL123[[#This Row],[SER_ IN]]</f>
        <v>238</v>
      </c>
    </row>
    <row r="163" spans="1:42" ht="18.75" x14ac:dyDescent="0.3">
      <c r="A163" s="2">
        <v>46184</v>
      </c>
      <c r="B163" s="41">
        <v>39</v>
      </c>
      <c r="C163" s="41">
        <v>311</v>
      </c>
      <c r="D163" s="41">
        <f t="shared" si="7"/>
        <v>39</v>
      </c>
      <c r="E163" s="28"/>
      <c r="F163" s="41">
        <v>95</v>
      </c>
      <c r="G163" s="39">
        <v>620</v>
      </c>
      <c r="H163" s="28">
        <f t="shared" si="5"/>
        <v>8</v>
      </c>
      <c r="I163" s="39">
        <v>486</v>
      </c>
      <c r="J163" s="39">
        <v>476</v>
      </c>
      <c r="K163" s="28">
        <f>TABL123[[#This Row],[خط (T/B  TOT) SAR]]+TABL123[[#This Row],[خط (S/S  TOT) SAR2]]</f>
        <v>962</v>
      </c>
      <c r="L163" s="41">
        <v>342</v>
      </c>
      <c r="M163" s="42">
        <v>24.6</v>
      </c>
      <c r="N163" s="42">
        <v>7.28</v>
      </c>
      <c r="O163" s="39">
        <v>406</v>
      </c>
      <c r="P163" s="10">
        <f>TABL123[[#This Row],[خط (S/S  TOT) SAR2]]-TABL123[[#This Row],[(S/S TOT) AJD]]</f>
        <v>70</v>
      </c>
      <c r="Q163" s="39">
        <v>438</v>
      </c>
      <c r="R163" s="10">
        <f>TABL123[[#This Row],[خط (T/B  TOT) SAR]]-TABL123[[#This Row],[(T/B TOT) AJD]]</f>
        <v>48</v>
      </c>
      <c r="S163" s="10">
        <f>TABL123[[#This Row],[الفرق بين بداية ونهاية خط  T/B]]+TABL123[[#This Row],[الفرق بين بداية ونهاية خط  S/S]]</f>
        <v>118</v>
      </c>
      <c r="T163" s="10">
        <f>TABL123[[#This Row],[(S/S TOT) AJD]]+TABL123[[#This Row],[(T/B TOT) AJD]]</f>
        <v>844</v>
      </c>
      <c r="U163" s="41">
        <v>516</v>
      </c>
      <c r="V163" s="41">
        <v>255</v>
      </c>
      <c r="W163" s="10">
        <f>TABL123[[#This Row],[(A/B TOT) AJD]]+TABL123[[#This Row],[(A/S TOT) AJD]]</f>
        <v>771</v>
      </c>
      <c r="X163" s="10">
        <f>TABL123[[#This Row],[( S/S+T/B) AJD]]-TABL123[[#This Row],[(A/B + A/S) AJD]]</f>
        <v>73</v>
      </c>
      <c r="Y163" s="41">
        <v>92.162999999999997</v>
      </c>
      <c r="Z163" s="43">
        <v>296349</v>
      </c>
      <c r="AA163" s="3">
        <f>TABL123[[#This Row],[(RESV. STORGE) AJD]]/10</f>
        <v>29634.9</v>
      </c>
      <c r="AB163" s="45">
        <f t="shared" si="6"/>
        <v>43.262999999999998</v>
      </c>
      <c r="AC163" s="43">
        <v>1269</v>
      </c>
      <c r="AD163" s="84">
        <f>TABL123[[#This Row],[( S/S+T/B) AJD]]-(TABL123[[#This Row],[(A/B + A/S) AJD]]+(TABL123[[#This Row],[(STORGE DIFF.) AJD]])+TABL123[[#This Row],[البخر  AJD]]/1000)</f>
        <v>28.467999999999961</v>
      </c>
      <c r="AE163" s="68">
        <v>35</v>
      </c>
      <c r="AF163" s="68">
        <v>59.14</v>
      </c>
      <c r="AG163" s="68">
        <v>1716162</v>
      </c>
      <c r="AH163" s="43">
        <v>3000</v>
      </c>
      <c r="AI163" s="43">
        <v>3000</v>
      </c>
      <c r="AJ163" s="79">
        <f>TABL123[[#This Row],[(A/B TOT) AJD]]-TABL123[[#This Row],[BER_ IN]]</f>
        <v>481</v>
      </c>
      <c r="AK163" s="68">
        <v>21</v>
      </c>
      <c r="AL163" s="88">
        <v>41.322800000000001</v>
      </c>
      <c r="AM163" s="88">
        <v>2211110</v>
      </c>
      <c r="AN163" s="88">
        <f>TABL123[[#This Row],[ (RESV. STORGE) SER]]/10</f>
        <v>221111</v>
      </c>
      <c r="AO163" s="43">
        <v>1975</v>
      </c>
      <c r="AP163" s="32">
        <f>TABL123[[#This Row],[(A/S TOT) AJD]]-TABL123[[#This Row],[SER_ IN]]</f>
        <v>234</v>
      </c>
    </row>
    <row r="164" spans="1:42" ht="18.75" x14ac:dyDescent="0.3">
      <c r="A164" s="2">
        <v>46185</v>
      </c>
      <c r="B164" s="44">
        <v>39</v>
      </c>
      <c r="C164" s="44">
        <v>317</v>
      </c>
      <c r="D164" s="44">
        <f t="shared" si="7"/>
        <v>39</v>
      </c>
      <c r="E164" s="28"/>
      <c r="F164" s="44">
        <v>95</v>
      </c>
      <c r="G164" s="40">
        <v>621</v>
      </c>
      <c r="H164" s="28">
        <f t="shared" si="5"/>
        <v>8</v>
      </c>
      <c r="I164" s="40">
        <v>487</v>
      </c>
      <c r="J164" s="44">
        <v>476</v>
      </c>
      <c r="K164" s="28">
        <f>TABL123[[#This Row],[خط (T/B  TOT) SAR]]+TABL123[[#This Row],[خط (S/S  TOT) SAR2]]</f>
        <v>963</v>
      </c>
      <c r="L164" s="45">
        <v>342</v>
      </c>
      <c r="M164" s="46">
        <v>24.5</v>
      </c>
      <c r="N164" s="46">
        <v>7.23</v>
      </c>
      <c r="O164" s="40">
        <v>406</v>
      </c>
      <c r="P164" s="10">
        <f>TABL123[[#This Row],[خط (S/S  TOT) SAR2]]-TABL123[[#This Row],[(S/S TOT) AJD]]</f>
        <v>70</v>
      </c>
      <c r="Q164" s="40">
        <v>439</v>
      </c>
      <c r="R164" s="10">
        <f>TABL123[[#This Row],[خط (T/B  TOT) SAR]]-TABL123[[#This Row],[(T/B TOT) AJD]]</f>
        <v>48</v>
      </c>
      <c r="S164" s="10">
        <f>TABL123[[#This Row],[الفرق بين بداية ونهاية خط  T/B]]+TABL123[[#This Row],[الفرق بين بداية ونهاية خط  S/S]]</f>
        <v>118</v>
      </c>
      <c r="T164" s="10">
        <f>TABL123[[#This Row],[(S/S TOT) AJD]]+TABL123[[#This Row],[(T/B TOT) AJD]]</f>
        <v>845</v>
      </c>
      <c r="U164" s="44">
        <v>530</v>
      </c>
      <c r="V164" s="44">
        <v>246</v>
      </c>
      <c r="W164" s="10">
        <f>TABL123[[#This Row],[(A/B TOT) AJD]]+TABL123[[#This Row],[(A/S TOT) AJD]]</f>
        <v>776</v>
      </c>
      <c r="X164" s="10">
        <f>TABL123[[#This Row],[( S/S+T/B) AJD]]-TABL123[[#This Row],[(A/B + A/S) AJD]]</f>
        <v>69</v>
      </c>
      <c r="Y164" s="44">
        <v>92.234999999999999</v>
      </c>
      <c r="Z164" s="45">
        <v>339059</v>
      </c>
      <c r="AA164" s="3">
        <f>TABL123[[#This Row],[(RESV. STORGE) AJD]]/10</f>
        <v>33905.9</v>
      </c>
      <c r="AB164" s="45">
        <f t="shared" si="6"/>
        <v>42.71</v>
      </c>
      <c r="AC164" s="45">
        <v>2270</v>
      </c>
      <c r="AD164" s="84">
        <f>TABL123[[#This Row],[( S/S+T/B) AJD]]-(TABL123[[#This Row],[(A/B + A/S) AJD]]+(TABL123[[#This Row],[(STORGE DIFF.) AJD]])+TABL123[[#This Row],[البخر  AJD]]/1000)</f>
        <v>24.019999999999982</v>
      </c>
      <c r="AE164" s="68">
        <v>33</v>
      </c>
      <c r="AF164" s="68">
        <v>59.098999999999997</v>
      </c>
      <c r="AG164" s="68">
        <v>1689052</v>
      </c>
      <c r="AH164" s="45">
        <v>2911</v>
      </c>
      <c r="AI164" s="45">
        <v>2911</v>
      </c>
      <c r="AJ164" s="79">
        <f>TABL123[[#This Row],[(A/B TOT) AJD]]-TABL123[[#This Row],[BER_ IN]]</f>
        <v>497</v>
      </c>
      <c r="AK164" s="68">
        <v>21</v>
      </c>
      <c r="AL164" s="88">
        <v>41.313499999999998</v>
      </c>
      <c r="AM164" s="88">
        <v>2206375</v>
      </c>
      <c r="AN164" s="88">
        <f>TABL123[[#This Row],[ (RESV. STORGE) SER]]/10</f>
        <v>220637.5</v>
      </c>
      <c r="AO164" s="45">
        <v>2010</v>
      </c>
      <c r="AP164" s="32">
        <f>TABL123[[#This Row],[(A/S TOT) AJD]]-TABL123[[#This Row],[SER_ IN]]</f>
        <v>225</v>
      </c>
    </row>
    <row r="165" spans="1:42" ht="18.75" x14ac:dyDescent="0.3">
      <c r="A165" s="2">
        <v>46186</v>
      </c>
      <c r="B165" s="41">
        <v>39</v>
      </c>
      <c r="C165" s="41">
        <v>321</v>
      </c>
      <c r="D165" s="41">
        <f t="shared" si="7"/>
        <v>39</v>
      </c>
      <c r="E165" s="28"/>
      <c r="F165" s="41">
        <v>95</v>
      </c>
      <c r="G165" s="39">
        <v>622</v>
      </c>
      <c r="H165" s="28">
        <f t="shared" si="5"/>
        <v>8</v>
      </c>
      <c r="I165" s="39">
        <v>489</v>
      </c>
      <c r="J165" s="39">
        <v>478</v>
      </c>
      <c r="K165" s="28">
        <f>TABL123[[#This Row],[خط (T/B  TOT) SAR]]+TABL123[[#This Row],[خط (S/S  TOT) SAR2]]</f>
        <v>967</v>
      </c>
      <c r="L165" s="41">
        <v>345</v>
      </c>
      <c r="M165" s="42">
        <v>24.5</v>
      </c>
      <c r="N165" s="42">
        <v>7.25</v>
      </c>
      <c r="O165" s="39">
        <v>409</v>
      </c>
      <c r="P165" s="10">
        <f>TABL123[[#This Row],[خط (S/S  TOT) SAR2]]-TABL123[[#This Row],[(S/S TOT) AJD]]</f>
        <v>69</v>
      </c>
      <c r="Q165" s="39">
        <v>442</v>
      </c>
      <c r="R165" s="10">
        <f>TABL123[[#This Row],[خط (T/B  TOT) SAR]]-TABL123[[#This Row],[(T/B TOT) AJD]]</f>
        <v>47</v>
      </c>
      <c r="S165" s="10">
        <f>TABL123[[#This Row],[الفرق بين بداية ونهاية خط  T/B]]+TABL123[[#This Row],[الفرق بين بداية ونهاية خط  S/S]]</f>
        <v>116</v>
      </c>
      <c r="T165" s="10">
        <f>TABL123[[#This Row],[(S/S TOT) AJD]]+TABL123[[#This Row],[(T/B TOT) AJD]]</f>
        <v>851</v>
      </c>
      <c r="U165" s="41">
        <v>532</v>
      </c>
      <c r="V165" s="41">
        <v>244</v>
      </c>
      <c r="W165" s="10">
        <f>TABL123[[#This Row],[(A/B TOT) AJD]]+TABL123[[#This Row],[(A/S TOT) AJD]]</f>
        <v>776</v>
      </c>
      <c r="X165" s="10">
        <f>TABL123[[#This Row],[( S/S+T/B) AJD]]-TABL123[[#This Row],[(A/B + A/S) AJD]]</f>
        <v>75</v>
      </c>
      <c r="Y165" s="41">
        <v>92.328000000000003</v>
      </c>
      <c r="Z165" s="43">
        <v>394292</v>
      </c>
      <c r="AA165" s="3">
        <f>TABL123[[#This Row],[(RESV. STORGE) AJD]]/10</f>
        <v>39429.199999999997</v>
      </c>
      <c r="AB165" s="45">
        <f t="shared" si="6"/>
        <v>55.232999999999997</v>
      </c>
      <c r="AC165" s="43">
        <v>0</v>
      </c>
      <c r="AD165" s="84">
        <f>TABL123[[#This Row],[( S/S+T/B) AJD]]-(TABL123[[#This Row],[(A/B + A/S) AJD]]+(TABL123[[#This Row],[(STORGE DIFF.) AJD]])+TABL123[[#This Row],[البخر  AJD]]/1000)</f>
        <v>19.767000000000053</v>
      </c>
      <c r="AE165" s="68">
        <v>37</v>
      </c>
      <c r="AF165" s="68">
        <v>59.02</v>
      </c>
      <c r="AG165" s="68">
        <v>1636855</v>
      </c>
      <c r="AH165" s="43">
        <v>2000</v>
      </c>
      <c r="AI165" s="43">
        <v>2000</v>
      </c>
      <c r="AJ165" s="79">
        <f>TABL123[[#This Row],[(A/B TOT) AJD]]-TABL123[[#This Row],[BER_ IN]]</f>
        <v>495</v>
      </c>
      <c r="AK165" s="68">
        <v>21</v>
      </c>
      <c r="AL165" s="88">
        <v>41.305799999999998</v>
      </c>
      <c r="AM165" s="88">
        <v>2202650</v>
      </c>
      <c r="AN165" s="88">
        <f>TABL123[[#This Row],[ (RESV. STORGE) SER]]/10</f>
        <v>220265</v>
      </c>
      <c r="AO165" s="43">
        <v>2023</v>
      </c>
      <c r="AP165" s="32">
        <f>TABL123[[#This Row],[(A/S TOT) AJD]]-TABL123[[#This Row],[SER_ IN]]</f>
        <v>223</v>
      </c>
    </row>
    <row r="166" spans="1:42" ht="18.75" x14ac:dyDescent="0.3">
      <c r="A166" s="2">
        <v>46187</v>
      </c>
      <c r="B166" s="44">
        <v>39</v>
      </c>
      <c r="C166" s="44">
        <v>325</v>
      </c>
      <c r="D166" s="44">
        <f t="shared" si="7"/>
        <v>39</v>
      </c>
      <c r="E166" s="28"/>
      <c r="F166" s="44">
        <v>95</v>
      </c>
      <c r="G166" s="40">
        <v>645</v>
      </c>
      <c r="H166" s="28">
        <f t="shared" si="5"/>
        <v>8</v>
      </c>
      <c r="I166" s="40">
        <v>508</v>
      </c>
      <c r="J166" s="44">
        <v>490</v>
      </c>
      <c r="K166" s="28">
        <f>TABL123[[#This Row],[خط (T/B  TOT) SAR]]+TABL123[[#This Row],[خط (S/S  TOT) SAR2]]</f>
        <v>998</v>
      </c>
      <c r="L166" s="45">
        <v>353</v>
      </c>
      <c r="M166" s="46">
        <v>24.5</v>
      </c>
      <c r="N166" s="46">
        <v>7.31</v>
      </c>
      <c r="O166" s="40">
        <v>408</v>
      </c>
      <c r="P166" s="10">
        <f>TABL123[[#This Row],[خط (S/S  TOT) SAR2]]-TABL123[[#This Row],[(S/S TOT) AJD]]</f>
        <v>82</v>
      </c>
      <c r="Q166" s="40">
        <v>441</v>
      </c>
      <c r="R166" s="10">
        <f>TABL123[[#This Row],[خط (T/B  TOT) SAR]]-TABL123[[#This Row],[(T/B TOT) AJD]]</f>
        <v>67</v>
      </c>
      <c r="S166" s="10">
        <f>TABL123[[#This Row],[الفرق بين بداية ونهاية خط  T/B]]+TABL123[[#This Row],[الفرق بين بداية ونهاية خط  S/S]]</f>
        <v>149</v>
      </c>
      <c r="T166" s="10">
        <f>TABL123[[#This Row],[(S/S TOT) AJD]]+TABL123[[#This Row],[(T/B TOT) AJD]]</f>
        <v>849</v>
      </c>
      <c r="U166" s="44">
        <v>534</v>
      </c>
      <c r="V166" s="44">
        <v>236</v>
      </c>
      <c r="W166" s="10">
        <f>TABL123[[#This Row],[(A/B TOT) AJD]]+TABL123[[#This Row],[(A/S TOT) AJD]]</f>
        <v>770</v>
      </c>
      <c r="X166" s="10">
        <f>TABL123[[#This Row],[( S/S+T/B) AJD]]-TABL123[[#This Row],[(A/B + A/S) AJD]]</f>
        <v>79</v>
      </c>
      <c r="Y166" s="44">
        <v>92.402000000000001</v>
      </c>
      <c r="Z166" s="45">
        <v>438288</v>
      </c>
      <c r="AA166" s="3">
        <f>TABL123[[#This Row],[(RESV. STORGE) AJD]]/10</f>
        <v>43828.800000000003</v>
      </c>
      <c r="AB166" s="45">
        <f t="shared" si="6"/>
        <v>43.996000000000002</v>
      </c>
      <c r="AC166" s="45">
        <v>0</v>
      </c>
      <c r="AD166" s="84">
        <f>TABL123[[#This Row],[( S/S+T/B) AJD]]-(TABL123[[#This Row],[(A/B + A/S) AJD]]+(TABL123[[#This Row],[(STORGE DIFF.) AJD]])+TABL123[[#This Row],[البخر  AJD]]/1000)</f>
        <v>35.004000000000019</v>
      </c>
      <c r="AE166" s="68">
        <v>45</v>
      </c>
      <c r="AF166" s="68">
        <v>59.04</v>
      </c>
      <c r="AG166" s="68">
        <v>1650054</v>
      </c>
      <c r="AH166" s="45">
        <v>2960</v>
      </c>
      <c r="AI166" s="45">
        <v>2960</v>
      </c>
      <c r="AJ166" s="79">
        <f>TABL123[[#This Row],[(A/B TOT) AJD]]-TABL123[[#This Row],[BER_ IN]]</f>
        <v>489</v>
      </c>
      <c r="AK166" s="68">
        <v>34</v>
      </c>
      <c r="AL166" s="88">
        <v>41.305100000000003</v>
      </c>
      <c r="AM166" s="88">
        <v>2202190</v>
      </c>
      <c r="AN166" s="88">
        <f>TABL123[[#This Row],[ (RESV. STORGE) SER]]/10</f>
        <v>220219</v>
      </c>
      <c r="AO166" s="45">
        <v>2023</v>
      </c>
      <c r="AP166" s="32">
        <f>TABL123[[#This Row],[(A/S TOT) AJD]]-TABL123[[#This Row],[SER_ IN]]</f>
        <v>202</v>
      </c>
    </row>
    <row r="167" spans="1:42" ht="18.75" x14ac:dyDescent="0.3">
      <c r="A167" s="2">
        <v>46188</v>
      </c>
      <c r="B167" s="41">
        <v>39</v>
      </c>
      <c r="C167" s="41">
        <v>310</v>
      </c>
      <c r="D167" s="41">
        <f t="shared" si="7"/>
        <v>39</v>
      </c>
      <c r="E167" s="28"/>
      <c r="F167" s="41">
        <v>94</v>
      </c>
      <c r="G167" s="39">
        <v>650</v>
      </c>
      <c r="H167" s="28">
        <f t="shared" si="5"/>
        <v>9</v>
      </c>
      <c r="I167" s="39">
        <v>503</v>
      </c>
      <c r="J167" s="39">
        <v>491</v>
      </c>
      <c r="K167" s="28">
        <f>TABL123[[#This Row],[خط (T/B  TOT) SAR]]+TABL123[[#This Row],[خط (S/S  TOT) SAR2]]</f>
        <v>994</v>
      </c>
      <c r="L167" s="41">
        <v>344</v>
      </c>
      <c r="M167" s="42">
        <v>24.5</v>
      </c>
      <c r="N167" s="42">
        <v>7.29</v>
      </c>
      <c r="O167" s="39">
        <v>442</v>
      </c>
      <c r="P167" s="10">
        <f>TABL123[[#This Row],[خط (S/S  TOT) SAR2]]-TABL123[[#This Row],[(S/S TOT) AJD]]</f>
        <v>49</v>
      </c>
      <c r="Q167" s="39">
        <v>410</v>
      </c>
      <c r="R167" s="10">
        <f>TABL123[[#This Row],[خط (T/B  TOT) SAR]]-TABL123[[#This Row],[(T/B TOT) AJD]]</f>
        <v>93</v>
      </c>
      <c r="S167" s="10">
        <f>TABL123[[#This Row],[الفرق بين بداية ونهاية خط  T/B]]+TABL123[[#This Row],[الفرق بين بداية ونهاية خط  S/S]]</f>
        <v>142</v>
      </c>
      <c r="T167" s="10">
        <f>TABL123[[#This Row],[(S/S TOT) AJD]]+TABL123[[#This Row],[(T/B TOT) AJD]]</f>
        <v>852</v>
      </c>
      <c r="U167" s="41">
        <v>549</v>
      </c>
      <c r="V167" s="41">
        <v>241</v>
      </c>
      <c r="W167" s="10">
        <f>TABL123[[#This Row],[(A/B TOT) AJD]]+TABL123[[#This Row],[(A/S TOT) AJD]]</f>
        <v>790</v>
      </c>
      <c r="X167" s="10">
        <f>TABL123[[#This Row],[( S/S+T/B) AJD]]-TABL123[[#This Row],[(A/B + A/S) AJD]]</f>
        <v>62</v>
      </c>
      <c r="Y167" s="41">
        <v>92.46</v>
      </c>
      <c r="Z167" s="43">
        <v>472808</v>
      </c>
      <c r="AA167" s="3">
        <f>TABL123[[#This Row],[(RESV. STORGE) AJD]]/10</f>
        <v>47280.800000000003</v>
      </c>
      <c r="AB167" s="45">
        <f t="shared" si="6"/>
        <v>34.520000000000003</v>
      </c>
      <c r="AC167" s="43">
        <v>1600</v>
      </c>
      <c r="AD167" s="84">
        <f>TABL123[[#This Row],[( S/S+T/B) AJD]]-(TABL123[[#This Row],[(A/B + A/S) AJD]]+(TABL123[[#This Row],[(STORGE DIFF.) AJD]])+TABL123[[#This Row],[البخر  AJD]]/1000)</f>
        <v>25.879999999999995</v>
      </c>
      <c r="AE167" s="68">
        <v>50</v>
      </c>
      <c r="AF167" s="68">
        <v>59.03</v>
      </c>
      <c r="AG167" s="68">
        <v>1643459</v>
      </c>
      <c r="AH167" s="43">
        <v>2965</v>
      </c>
      <c r="AI167" s="43">
        <v>2965</v>
      </c>
      <c r="AJ167" s="79">
        <f>TABL123[[#This Row],[(A/B TOT) AJD]]-TABL123[[#This Row],[BER_ IN]]</f>
        <v>499</v>
      </c>
      <c r="AK167" s="68">
        <v>31</v>
      </c>
      <c r="AL167" s="88">
        <v>41.2988</v>
      </c>
      <c r="AM167" s="88">
        <v>2198960</v>
      </c>
      <c r="AN167" s="88">
        <f>TABL123[[#This Row],[ (RESV. STORGE) SER]]/10</f>
        <v>219896</v>
      </c>
      <c r="AO167" s="43">
        <v>2023</v>
      </c>
      <c r="AP167" s="32">
        <f>TABL123[[#This Row],[(A/S TOT) AJD]]-TABL123[[#This Row],[SER_ IN]]</f>
        <v>210</v>
      </c>
    </row>
    <row r="168" spans="1:42" ht="18.75" x14ac:dyDescent="0.3">
      <c r="A168" s="2">
        <v>46189</v>
      </c>
      <c r="B168" s="44">
        <v>39</v>
      </c>
      <c r="C168" s="44">
        <v>320</v>
      </c>
      <c r="D168" s="44">
        <f t="shared" si="7"/>
        <v>39</v>
      </c>
      <c r="E168" s="28"/>
      <c r="F168" s="44">
        <v>93</v>
      </c>
      <c r="G168" s="40">
        <v>646</v>
      </c>
      <c r="H168" s="28">
        <f t="shared" si="5"/>
        <v>10</v>
      </c>
      <c r="I168" s="40">
        <v>501</v>
      </c>
      <c r="J168" s="44">
        <v>488</v>
      </c>
      <c r="K168" s="28">
        <f>TABL123[[#This Row],[خط (T/B  TOT) SAR]]+TABL123[[#This Row],[خط (S/S  TOT) SAR2]]</f>
        <v>989</v>
      </c>
      <c r="L168" s="45">
        <v>343</v>
      </c>
      <c r="M168" s="46">
        <v>24.5</v>
      </c>
      <c r="N168" s="46">
        <v>7.31</v>
      </c>
      <c r="O168" s="40">
        <v>410</v>
      </c>
      <c r="P168" s="10">
        <f>TABL123[[#This Row],[خط (S/S  TOT) SAR2]]-TABL123[[#This Row],[(S/S TOT) AJD]]</f>
        <v>78</v>
      </c>
      <c r="Q168" s="40">
        <v>442</v>
      </c>
      <c r="R168" s="10">
        <f>TABL123[[#This Row],[خط (T/B  TOT) SAR]]-TABL123[[#This Row],[(T/B TOT) AJD]]</f>
        <v>59</v>
      </c>
      <c r="S168" s="10">
        <f>TABL123[[#This Row],[الفرق بين بداية ونهاية خط  T/B]]+TABL123[[#This Row],[الفرق بين بداية ونهاية خط  S/S]]</f>
        <v>137</v>
      </c>
      <c r="T168" s="10">
        <f>TABL123[[#This Row],[(S/S TOT) AJD]]+TABL123[[#This Row],[(T/B TOT) AJD]]</f>
        <v>852</v>
      </c>
      <c r="U168" s="44">
        <v>550</v>
      </c>
      <c r="V168" s="44">
        <v>241</v>
      </c>
      <c r="W168" s="10">
        <f>TABL123[[#This Row],[(A/B TOT) AJD]]+TABL123[[#This Row],[(A/S TOT) AJD]]</f>
        <v>791</v>
      </c>
      <c r="X168" s="10">
        <f>TABL123[[#This Row],[( S/S+T/B) AJD]]-TABL123[[#This Row],[(A/B + A/S) AJD]]</f>
        <v>61</v>
      </c>
      <c r="Y168" s="44">
        <v>92.46</v>
      </c>
      <c r="Z168" s="45">
        <v>472808</v>
      </c>
      <c r="AA168" s="3">
        <f>TABL123[[#This Row],[(RESV. STORGE) AJD]]/10</f>
        <v>47280.800000000003</v>
      </c>
      <c r="AB168" s="45">
        <f t="shared" si="6"/>
        <v>0</v>
      </c>
      <c r="AC168" s="45">
        <v>2084</v>
      </c>
      <c r="AD168" s="84">
        <f>TABL123[[#This Row],[( S/S+T/B) AJD]]-(TABL123[[#This Row],[(A/B + A/S) AJD]]+(TABL123[[#This Row],[(STORGE DIFF.) AJD]])+TABL123[[#This Row],[البخر  AJD]]/1000)</f>
        <v>58.916000000000054</v>
      </c>
      <c r="AE168" s="68">
        <v>55</v>
      </c>
      <c r="AF168" s="68">
        <v>59.07</v>
      </c>
      <c r="AG168" s="68">
        <v>1669884</v>
      </c>
      <c r="AH168" s="45">
        <v>1999</v>
      </c>
      <c r="AI168" s="45">
        <v>1999</v>
      </c>
      <c r="AJ168" s="79">
        <f>TABL123[[#This Row],[(A/B TOT) AJD]]-TABL123[[#This Row],[BER_ IN]]</f>
        <v>495</v>
      </c>
      <c r="AK168" s="68">
        <v>27</v>
      </c>
      <c r="AL168" s="88">
        <v>41.288400000000003</v>
      </c>
      <c r="AM168" s="88">
        <v>2193170</v>
      </c>
      <c r="AN168" s="88">
        <f>TABL123[[#This Row],[ (RESV. STORGE) SER]]/10</f>
        <v>219317</v>
      </c>
      <c r="AO168" s="45">
        <v>2868</v>
      </c>
      <c r="AP168" s="32">
        <f>TABL123[[#This Row],[(A/S TOT) AJD]]-TABL123[[#This Row],[SER_ IN]]</f>
        <v>214</v>
      </c>
    </row>
    <row r="169" spans="1:42" ht="18.75" x14ac:dyDescent="0.3">
      <c r="A169" s="2">
        <v>46190</v>
      </c>
      <c r="B169" s="41">
        <v>39</v>
      </c>
      <c r="C169" s="41">
        <v>316</v>
      </c>
      <c r="D169" s="41">
        <f t="shared" si="7"/>
        <v>39</v>
      </c>
      <c r="E169" s="28"/>
      <c r="F169" s="41">
        <v>93</v>
      </c>
      <c r="G169" s="39">
        <v>644</v>
      </c>
      <c r="H169" s="28">
        <f t="shared" si="5"/>
        <v>10</v>
      </c>
      <c r="I169" s="39">
        <v>501</v>
      </c>
      <c r="J169" s="39">
        <v>488</v>
      </c>
      <c r="K169" s="28">
        <f>TABL123[[#This Row],[خط (T/B  TOT) SAR]]+TABL123[[#This Row],[خط (S/S  TOT) SAR2]]</f>
        <v>989</v>
      </c>
      <c r="L169" s="41">
        <v>345</v>
      </c>
      <c r="M169" s="42">
        <v>24.5</v>
      </c>
      <c r="N169" s="42">
        <v>7.35</v>
      </c>
      <c r="O169" s="39">
        <v>408</v>
      </c>
      <c r="P169" s="10">
        <f>TABL123[[#This Row],[خط (S/S  TOT) SAR2]]-TABL123[[#This Row],[(S/S TOT) AJD]]</f>
        <v>80</v>
      </c>
      <c r="Q169" s="39">
        <v>441</v>
      </c>
      <c r="R169" s="10">
        <f>TABL123[[#This Row],[خط (T/B  TOT) SAR]]-TABL123[[#This Row],[(T/B TOT) AJD]]</f>
        <v>60</v>
      </c>
      <c r="S169" s="10">
        <f>TABL123[[#This Row],[الفرق بين بداية ونهاية خط  T/B]]+TABL123[[#This Row],[الفرق بين بداية ونهاية خط  S/S]]</f>
        <v>140</v>
      </c>
      <c r="T169" s="10">
        <f>TABL123[[#This Row],[(S/S TOT) AJD]]+TABL123[[#This Row],[(T/B TOT) AJD]]</f>
        <v>849</v>
      </c>
      <c r="U169" s="41">
        <v>539</v>
      </c>
      <c r="V169" s="41">
        <v>271</v>
      </c>
      <c r="W169" s="10">
        <f>TABL123[[#This Row],[(A/B TOT) AJD]]+TABL123[[#This Row],[(A/S TOT) AJD]]</f>
        <v>810</v>
      </c>
      <c r="X169" s="10">
        <f>TABL123[[#This Row],[( S/S+T/B) AJD]]-TABL123[[#This Row],[(A/B + A/S) AJD]]</f>
        <v>39</v>
      </c>
      <c r="Y169" s="41">
        <v>92.49</v>
      </c>
      <c r="Z169" s="43">
        <v>490667</v>
      </c>
      <c r="AA169" s="3">
        <f>TABL123[[#This Row],[(RESV. STORGE) AJD]]/10</f>
        <v>49066.7</v>
      </c>
      <c r="AB169" s="45">
        <f t="shared" si="6"/>
        <v>17.859000000000002</v>
      </c>
      <c r="AC169" s="43">
        <v>1600</v>
      </c>
      <c r="AD169" s="84">
        <f>TABL123[[#This Row],[( S/S+T/B) AJD]]-(TABL123[[#This Row],[(A/B + A/S) AJD]]+(TABL123[[#This Row],[(STORGE DIFF.) AJD]])+TABL123[[#This Row],[البخر  AJD]]/1000)</f>
        <v>19.54099999999994</v>
      </c>
      <c r="AE169" s="68">
        <v>59</v>
      </c>
      <c r="AF169" s="68">
        <v>59.08</v>
      </c>
      <c r="AG169" s="68">
        <v>1676493</v>
      </c>
      <c r="AH169" s="43">
        <v>2999</v>
      </c>
      <c r="AI169" s="43">
        <v>2999</v>
      </c>
      <c r="AJ169" s="79">
        <f>TABL123[[#This Row],[(A/B TOT) AJD]]-TABL123[[#This Row],[BER_ IN]]</f>
        <v>480</v>
      </c>
      <c r="AK169" s="68">
        <v>28</v>
      </c>
      <c r="AL169" s="88">
        <v>41.29</v>
      </c>
      <c r="AM169" s="88">
        <v>2194210</v>
      </c>
      <c r="AN169" s="88">
        <f>TABL123[[#This Row],[ (RESV. STORGE) SER]]/10</f>
        <v>219421</v>
      </c>
      <c r="AO169" s="43">
        <v>1890</v>
      </c>
      <c r="AP169" s="32">
        <f>TABL123[[#This Row],[(A/S TOT) AJD]]-TABL123[[#This Row],[SER_ IN]]</f>
        <v>243</v>
      </c>
    </row>
    <row r="170" spans="1:42" ht="18.75" x14ac:dyDescent="0.3">
      <c r="A170" s="2">
        <v>46191</v>
      </c>
      <c r="B170" s="44">
        <v>38</v>
      </c>
      <c r="C170" s="44">
        <v>300</v>
      </c>
      <c r="D170" s="44">
        <f t="shared" si="7"/>
        <v>38</v>
      </c>
      <c r="E170" s="28"/>
      <c r="F170" s="44">
        <v>93</v>
      </c>
      <c r="G170" s="40">
        <v>644</v>
      </c>
      <c r="H170" s="28">
        <f t="shared" si="5"/>
        <v>10</v>
      </c>
      <c r="I170" s="40">
        <v>501</v>
      </c>
      <c r="J170" s="44">
        <v>488</v>
      </c>
      <c r="K170" s="28">
        <f>TABL123[[#This Row],[خط (T/B  TOT) SAR]]+TABL123[[#This Row],[خط (S/S  TOT) SAR2]]</f>
        <v>989</v>
      </c>
      <c r="L170" s="45">
        <v>345</v>
      </c>
      <c r="M170" s="46">
        <v>24.5</v>
      </c>
      <c r="N170" s="46">
        <v>7.32</v>
      </c>
      <c r="O170" s="40">
        <v>408</v>
      </c>
      <c r="P170" s="3">
        <f>TABL123[[#This Row],[خط (S/S  TOT) SAR2]]-TABL123[[#This Row],[(S/S TOT) AJD]]</f>
        <v>80</v>
      </c>
      <c r="Q170" s="40">
        <v>440</v>
      </c>
      <c r="R170" s="3">
        <f>TABL123[[#This Row],[خط (T/B  TOT) SAR]]-TABL123[[#This Row],[(T/B TOT) AJD]]</f>
        <v>61</v>
      </c>
      <c r="S170" s="3">
        <f>TABL123[[#This Row],[الفرق بين بداية ونهاية خط  T/B]]+TABL123[[#This Row],[الفرق بين بداية ونهاية خط  S/S]]</f>
        <v>141</v>
      </c>
      <c r="T170" s="3">
        <f>TABL123[[#This Row],[(S/S TOT) AJD]]+TABL123[[#This Row],[(T/B TOT) AJD]]</f>
        <v>848</v>
      </c>
      <c r="U170" s="44">
        <v>570</v>
      </c>
      <c r="V170" s="44">
        <v>269</v>
      </c>
      <c r="W170" s="3">
        <f>TABL123[[#This Row],[(A/B TOT) AJD]]+TABL123[[#This Row],[(A/S TOT) AJD]]</f>
        <v>839</v>
      </c>
      <c r="X170" s="3">
        <f>TABL123[[#This Row],[( S/S+T/B) AJD]]-TABL123[[#This Row],[(A/B + A/S) AJD]]</f>
        <v>9</v>
      </c>
      <c r="Y170" s="44">
        <v>92.45</v>
      </c>
      <c r="Z170" s="45">
        <v>466849</v>
      </c>
      <c r="AA170" s="3">
        <f>TABL123[[#This Row],[(RESV. STORGE) AJD]]/10</f>
        <v>46684.9</v>
      </c>
      <c r="AB170" s="45">
        <f t="shared" si="6"/>
        <v>-23.818000000000001</v>
      </c>
      <c r="AC170" s="45">
        <v>3250</v>
      </c>
      <c r="AD170" s="84">
        <f>TABL123[[#This Row],[( S/S+T/B) AJD]]-(TABL123[[#This Row],[(A/B + A/S) AJD]]+(TABL123[[#This Row],[(STORGE DIFF.) AJD]])+TABL123[[#This Row],[البخر  AJD]]/1000)</f>
        <v>29.567999999999984</v>
      </c>
      <c r="AE170" s="68">
        <v>59</v>
      </c>
      <c r="AF170" s="68">
        <v>59.13</v>
      </c>
      <c r="AG170" s="68">
        <v>1709548</v>
      </c>
      <c r="AH170" s="45">
        <v>2965</v>
      </c>
      <c r="AI170" s="45">
        <v>2965</v>
      </c>
      <c r="AJ170" s="79">
        <f>TABL123[[#This Row],[(A/B TOT) AJD]]-TABL123[[#This Row],[BER_ IN]]</f>
        <v>511</v>
      </c>
      <c r="AK170" s="68">
        <v>30</v>
      </c>
      <c r="AL170" s="88">
        <v>41.296999999999997</v>
      </c>
      <c r="AM170" s="88">
        <v>2197980</v>
      </c>
      <c r="AN170" s="88">
        <f>TABL123[[#This Row],[ (RESV. STORGE) SER]]/10</f>
        <v>219798</v>
      </c>
      <c r="AO170" s="45">
        <v>1830</v>
      </c>
      <c r="AP170" s="32">
        <f>TABL123[[#This Row],[(A/S TOT) AJD]]-TABL123[[#This Row],[SER_ IN]]</f>
        <v>239</v>
      </c>
    </row>
    <row r="171" spans="1:42" ht="18.75" x14ac:dyDescent="0.3">
      <c r="A171" s="2">
        <v>46192</v>
      </c>
      <c r="B171" s="41">
        <v>39</v>
      </c>
      <c r="C171" s="41">
        <v>318</v>
      </c>
      <c r="D171" s="41">
        <f t="shared" si="7"/>
        <v>39</v>
      </c>
      <c r="E171" s="28"/>
      <c r="F171" s="41">
        <v>93</v>
      </c>
      <c r="G171" s="39">
        <v>654</v>
      </c>
      <c r="H171" s="28">
        <f t="shared" si="5"/>
        <v>10</v>
      </c>
      <c r="I171" s="39">
        <v>507</v>
      </c>
      <c r="J171" s="39">
        <v>492</v>
      </c>
      <c r="K171" s="28">
        <f>TABL123[[#This Row],[خط (T/B  TOT) SAR]]+TABL123[[#This Row],[خط (S/S  TOT) SAR2]]</f>
        <v>999</v>
      </c>
      <c r="L171" s="41">
        <v>345</v>
      </c>
      <c r="M171" s="42">
        <v>24.5</v>
      </c>
      <c r="N171" s="42">
        <v>7.29</v>
      </c>
      <c r="O171" s="39">
        <v>410</v>
      </c>
      <c r="P171" s="3">
        <f>TABL123[[#This Row],[خط (S/S  TOT) SAR2]]-TABL123[[#This Row],[(S/S TOT) AJD]]</f>
        <v>82</v>
      </c>
      <c r="Q171" s="39">
        <v>442</v>
      </c>
      <c r="R171" s="3">
        <f>TABL123[[#This Row],[خط (T/B  TOT) SAR]]-TABL123[[#This Row],[(T/B TOT) AJD]]</f>
        <v>65</v>
      </c>
      <c r="S171" s="3">
        <f>TABL123[[#This Row],[الفرق بين بداية ونهاية خط  T/B]]+TABL123[[#This Row],[الفرق بين بداية ونهاية خط  S/S]]</f>
        <v>147</v>
      </c>
      <c r="T171" s="3">
        <f>TABL123[[#This Row],[(S/S TOT) AJD]]+TABL123[[#This Row],[(T/B TOT) AJD]]</f>
        <v>852</v>
      </c>
      <c r="U171" s="41">
        <v>566</v>
      </c>
      <c r="V171" s="41">
        <v>276</v>
      </c>
      <c r="W171" s="3">
        <f>TABL123[[#This Row],[(A/B TOT) AJD]]+TABL123[[#This Row],[(A/S TOT) AJD]]</f>
        <v>842</v>
      </c>
      <c r="X171" s="3">
        <f>TABL123[[#This Row],[( S/S+T/B) AJD]]-TABL123[[#This Row],[(A/B + A/S) AJD]]</f>
        <v>10</v>
      </c>
      <c r="Y171" s="41">
        <v>92.421999999999997</v>
      </c>
      <c r="Z171" s="43">
        <v>450191</v>
      </c>
      <c r="AA171" s="3">
        <f>TABL123[[#This Row],[(RESV. STORGE) AJD]]/10</f>
        <v>45019.1</v>
      </c>
      <c r="AB171" s="45">
        <f t="shared" si="6"/>
        <v>-16.658000000000001</v>
      </c>
      <c r="AC171" s="43">
        <v>3699</v>
      </c>
      <c r="AD171" s="84">
        <f>TABL123[[#This Row],[( S/S+T/B) AJD]]-(TABL123[[#This Row],[(A/B + A/S) AJD]]+(TABL123[[#This Row],[(STORGE DIFF.) AJD]])+TABL123[[#This Row],[البخر  AJD]]/1000)</f>
        <v>22.95900000000006</v>
      </c>
      <c r="AE171" s="68">
        <v>60</v>
      </c>
      <c r="AF171" s="68">
        <v>59.17</v>
      </c>
      <c r="AG171" s="68">
        <v>1736008</v>
      </c>
      <c r="AH171" s="43">
        <v>1999</v>
      </c>
      <c r="AI171" s="43">
        <v>1999</v>
      </c>
      <c r="AJ171" s="79">
        <f>TABL123[[#This Row],[(A/B TOT) AJD]]-TABL123[[#This Row],[BER_ IN]]</f>
        <v>506</v>
      </c>
      <c r="AK171" s="68">
        <v>30</v>
      </c>
      <c r="AL171" s="88">
        <v>41.245199999999997</v>
      </c>
      <c r="AM171" s="88">
        <v>2170510</v>
      </c>
      <c r="AN171" s="88">
        <f>TABL123[[#This Row],[ (RESV. STORGE) SER]]/10</f>
        <v>217051</v>
      </c>
      <c r="AO171" s="43">
        <v>1870</v>
      </c>
      <c r="AP171" s="32">
        <f>TABL123[[#This Row],[(A/S TOT) AJD]]-TABL123[[#This Row],[SER_ IN]]</f>
        <v>246</v>
      </c>
    </row>
    <row r="172" spans="1:42" ht="18.75" x14ac:dyDescent="0.3">
      <c r="A172" s="2">
        <v>46193</v>
      </c>
      <c r="B172" s="44">
        <v>39</v>
      </c>
      <c r="C172" s="44">
        <v>321</v>
      </c>
      <c r="D172" s="44">
        <f t="shared" si="7"/>
        <v>39</v>
      </c>
      <c r="E172" s="28"/>
      <c r="F172" s="44">
        <v>93</v>
      </c>
      <c r="G172" s="40">
        <v>653</v>
      </c>
      <c r="H172" s="28">
        <f t="shared" si="5"/>
        <v>10</v>
      </c>
      <c r="I172" s="40">
        <v>504</v>
      </c>
      <c r="J172" s="40">
        <v>491</v>
      </c>
      <c r="K172" s="28">
        <f>TABL123[[#This Row],[خط (T/B  TOT) SAR]]+TABL123[[#This Row],[خط (S/S  TOT) SAR2]]</f>
        <v>995</v>
      </c>
      <c r="L172" s="44">
        <v>342</v>
      </c>
      <c r="M172" s="46">
        <v>24.5</v>
      </c>
      <c r="N172" s="46">
        <v>7.3</v>
      </c>
      <c r="O172" s="40">
        <v>412</v>
      </c>
      <c r="P172" s="3">
        <f>TABL123[[#This Row],[خط (S/S  TOT) SAR2]]-TABL123[[#This Row],[(S/S TOT) AJD]]</f>
        <v>79</v>
      </c>
      <c r="Q172" s="40">
        <v>445</v>
      </c>
      <c r="R172" s="3">
        <f>TABL123[[#This Row],[خط (T/B  TOT) SAR]]-TABL123[[#This Row],[(T/B TOT) AJD]]</f>
        <v>59</v>
      </c>
      <c r="S172" s="3">
        <f>TABL123[[#This Row],[الفرق بين بداية ونهاية خط  T/B]]+TABL123[[#This Row],[الفرق بين بداية ونهاية خط  S/S]]</f>
        <v>138</v>
      </c>
      <c r="T172" s="3">
        <f>TABL123[[#This Row],[(S/S TOT) AJD]]+TABL123[[#This Row],[(T/B TOT) AJD]]</f>
        <v>857</v>
      </c>
      <c r="U172" s="44">
        <v>590</v>
      </c>
      <c r="V172" s="44">
        <v>278</v>
      </c>
      <c r="W172" s="3">
        <f>TABL123[[#This Row],[(A/B TOT) AJD]]+TABL123[[#This Row],[(A/S TOT) AJD]]</f>
        <v>868</v>
      </c>
      <c r="X172" s="3">
        <f>TABL123[[#This Row],[( S/S+T/B) AJD]]-TABL123[[#This Row],[(A/B + A/S) AJD]]</f>
        <v>-11</v>
      </c>
      <c r="Y172" s="44">
        <v>92.375</v>
      </c>
      <c r="Z172" s="45">
        <v>422239</v>
      </c>
      <c r="AA172" s="3">
        <f>TABL123[[#This Row],[(RESV. STORGE) AJD]]/10</f>
        <v>42223.9</v>
      </c>
      <c r="AB172" s="45">
        <f t="shared" si="6"/>
        <v>-27.952000000000002</v>
      </c>
      <c r="AC172" s="45">
        <v>3628</v>
      </c>
      <c r="AD172" s="84">
        <f>TABL123[[#This Row],[( S/S+T/B) AJD]]-(TABL123[[#This Row],[(A/B + A/S) AJD]]+(TABL123[[#This Row],[(STORGE DIFF.) AJD]])+TABL123[[#This Row],[البخر  AJD]]/1000)</f>
        <v>13.323999999999955</v>
      </c>
      <c r="AE172" s="68">
        <v>60</v>
      </c>
      <c r="AF172" s="68">
        <v>59.19</v>
      </c>
      <c r="AG172" s="68">
        <v>1749244</v>
      </c>
      <c r="AH172" s="45">
        <v>2498</v>
      </c>
      <c r="AI172" s="45">
        <v>2498</v>
      </c>
      <c r="AJ172" s="79">
        <f>TABL123[[#This Row],[(A/B TOT) AJD]]-TABL123[[#This Row],[BER_ IN]]</f>
        <v>530</v>
      </c>
      <c r="AK172" s="68">
        <v>30</v>
      </c>
      <c r="AL172" s="88">
        <v>41.244999999999997</v>
      </c>
      <c r="AM172" s="88">
        <v>2170490</v>
      </c>
      <c r="AN172" s="88">
        <f>TABL123[[#This Row],[ (RESV. STORGE) SER]]/10</f>
        <v>217049</v>
      </c>
      <c r="AO172" s="45">
        <v>1820</v>
      </c>
      <c r="AP172" s="32">
        <f>TABL123[[#This Row],[(A/S TOT) AJD]]-TABL123[[#This Row],[SER_ IN]]</f>
        <v>248</v>
      </c>
    </row>
    <row r="173" spans="1:42" ht="18.75" x14ac:dyDescent="0.3">
      <c r="A173" s="2">
        <v>46194</v>
      </c>
      <c r="B173" s="41">
        <v>40</v>
      </c>
      <c r="C173" s="41">
        <v>325</v>
      </c>
      <c r="D173" s="41">
        <f t="shared" si="7"/>
        <v>40</v>
      </c>
      <c r="E173" s="28"/>
      <c r="F173" s="41">
        <v>93</v>
      </c>
      <c r="G173" s="39">
        <v>653</v>
      </c>
      <c r="H173" s="28">
        <f t="shared" si="5"/>
        <v>10</v>
      </c>
      <c r="I173" s="39">
        <v>506</v>
      </c>
      <c r="J173" s="39">
        <v>492</v>
      </c>
      <c r="K173" s="28">
        <f>TABL123[[#This Row],[خط (T/B  TOT) SAR]]+TABL123[[#This Row],[خط (S/S  TOT) SAR2]]</f>
        <v>998</v>
      </c>
      <c r="L173" s="41">
        <v>345</v>
      </c>
      <c r="M173" s="42">
        <v>24.5</v>
      </c>
      <c r="N173" s="42">
        <v>7.35</v>
      </c>
      <c r="O173" s="39">
        <v>413</v>
      </c>
      <c r="P173" s="3">
        <f>TABL123[[#This Row],[خط (S/S  TOT) SAR2]]-TABL123[[#This Row],[(S/S TOT) AJD]]</f>
        <v>79</v>
      </c>
      <c r="Q173" s="39">
        <v>444</v>
      </c>
      <c r="R173" s="3">
        <f>TABL123[[#This Row],[خط (T/B  TOT) SAR]]-TABL123[[#This Row],[(T/B TOT) AJD]]</f>
        <v>62</v>
      </c>
      <c r="S173" s="3">
        <f>TABL123[[#This Row],[الفرق بين بداية ونهاية خط  T/B]]+TABL123[[#This Row],[الفرق بين بداية ونهاية خط  S/S]]</f>
        <v>141</v>
      </c>
      <c r="T173" s="3">
        <f>TABL123[[#This Row],[(S/S TOT) AJD]]+TABL123[[#This Row],[(T/B TOT) AJD]]</f>
        <v>857</v>
      </c>
      <c r="U173" s="41">
        <v>566</v>
      </c>
      <c r="V173" s="41">
        <v>274</v>
      </c>
      <c r="W173" s="3">
        <f>TABL123[[#This Row],[(A/B TOT) AJD]]+TABL123[[#This Row],[(A/S TOT) AJD]]</f>
        <v>840</v>
      </c>
      <c r="X173" s="3">
        <f>TABL123[[#This Row],[( S/S+T/B) AJD]]-TABL123[[#This Row],[(A/B + A/S) AJD]]</f>
        <v>17</v>
      </c>
      <c r="Y173" s="41">
        <v>92.366</v>
      </c>
      <c r="Z173" s="43">
        <v>416282</v>
      </c>
      <c r="AA173" s="3">
        <f>TABL123[[#This Row],[(RESV. STORGE) AJD]]/10</f>
        <v>41628.199999999997</v>
      </c>
      <c r="AB173" s="45">
        <f t="shared" si="6"/>
        <v>-5.9569999999999999</v>
      </c>
      <c r="AC173" s="43">
        <v>0</v>
      </c>
      <c r="AD173" s="84">
        <f>TABL123[[#This Row],[( S/S+T/B) AJD]]-(TABL123[[#This Row],[(A/B + A/S) AJD]]+(TABL123[[#This Row],[(STORGE DIFF.) AJD]])+TABL123[[#This Row],[البخر  AJD]]/1000)</f>
        <v>22.956999999999994</v>
      </c>
      <c r="AE173" s="68">
        <v>60</v>
      </c>
      <c r="AF173" s="68">
        <v>59.22</v>
      </c>
      <c r="AG173" s="68">
        <v>1769103</v>
      </c>
      <c r="AH173" s="43">
        <v>2287</v>
      </c>
      <c r="AI173" s="43">
        <v>2287</v>
      </c>
      <c r="AJ173" s="79">
        <f>TABL123[[#This Row],[(A/B TOT) AJD]]-TABL123[[#This Row],[BER_ IN]]</f>
        <v>506</v>
      </c>
      <c r="AK173" s="68">
        <v>30</v>
      </c>
      <c r="AL173" s="88">
        <v>41.2286</v>
      </c>
      <c r="AM173" s="88">
        <v>2162020</v>
      </c>
      <c r="AN173" s="88">
        <f>TABL123[[#This Row],[ (RESV. STORGE) SER]]/10</f>
        <v>216202</v>
      </c>
      <c r="AO173" s="43">
        <v>1870</v>
      </c>
      <c r="AP173" s="32">
        <f>TABL123[[#This Row],[(A/S TOT) AJD]]-TABL123[[#This Row],[SER_ IN]]</f>
        <v>244</v>
      </c>
    </row>
    <row r="174" spans="1:42" ht="18.75" x14ac:dyDescent="0.3">
      <c r="A174" s="2">
        <v>46195</v>
      </c>
      <c r="B174" s="44">
        <v>40</v>
      </c>
      <c r="C174" s="44">
        <v>333</v>
      </c>
      <c r="D174" s="44">
        <f t="shared" si="7"/>
        <v>40</v>
      </c>
      <c r="E174" s="28"/>
      <c r="F174" s="44">
        <v>93</v>
      </c>
      <c r="G174" s="40">
        <v>658</v>
      </c>
      <c r="H174" s="28">
        <f t="shared" si="5"/>
        <v>10</v>
      </c>
      <c r="I174" s="40">
        <v>507</v>
      </c>
      <c r="J174" s="44">
        <v>493</v>
      </c>
      <c r="K174" s="28">
        <f>TABL123[[#This Row],[خط (T/B  TOT) SAR]]+TABL123[[#This Row],[خط (S/S  TOT) SAR2]]</f>
        <v>1000</v>
      </c>
      <c r="L174" s="45">
        <v>346</v>
      </c>
      <c r="M174" s="46">
        <v>24.5</v>
      </c>
      <c r="N174" s="46">
        <v>7.44</v>
      </c>
      <c r="O174" s="40">
        <v>413</v>
      </c>
      <c r="P174" s="3">
        <f>TABL123[[#This Row],[خط (S/S  TOT) SAR2]]-TABL123[[#This Row],[(S/S TOT) AJD]]</f>
        <v>80</v>
      </c>
      <c r="Q174" s="40">
        <v>444</v>
      </c>
      <c r="R174" s="3">
        <f>TABL123[[#This Row],[خط (T/B  TOT) SAR]]-TABL123[[#This Row],[(T/B TOT) AJD]]</f>
        <v>63</v>
      </c>
      <c r="S174" s="3">
        <f>TABL123[[#This Row],[الفرق بين بداية ونهاية خط  T/B]]+TABL123[[#This Row],[الفرق بين بداية ونهاية خط  S/S]]</f>
        <v>143</v>
      </c>
      <c r="T174" s="3">
        <f>TABL123[[#This Row],[(S/S TOT) AJD]]+TABL123[[#This Row],[(T/B TOT) AJD]]</f>
        <v>857</v>
      </c>
      <c r="U174" s="44">
        <v>565</v>
      </c>
      <c r="V174" s="44">
        <v>264</v>
      </c>
      <c r="W174" s="3">
        <f>TABL123[[#This Row],[(A/B TOT) AJD]]+TABL123[[#This Row],[(A/S TOT) AJD]]</f>
        <v>829</v>
      </c>
      <c r="X174" s="3">
        <f>TABL123[[#This Row],[( S/S+T/B) AJD]]-TABL123[[#This Row],[(A/B + A/S) AJD]]</f>
        <v>28</v>
      </c>
      <c r="Y174" s="44">
        <v>92.358000000000004</v>
      </c>
      <c r="Z174" s="45">
        <v>412122</v>
      </c>
      <c r="AA174" s="3">
        <f>TABL123[[#This Row],[(RESV. STORGE) AJD]]/10</f>
        <v>41212.199999999997</v>
      </c>
      <c r="AB174" s="45">
        <f t="shared" si="6"/>
        <v>-4.16</v>
      </c>
      <c r="AC174" s="45">
        <v>3100</v>
      </c>
      <c r="AD174" s="84">
        <f>TABL123[[#This Row],[( S/S+T/B) AJD]]-(TABL123[[#This Row],[(A/B + A/S) AJD]]+(TABL123[[#This Row],[(STORGE DIFF.) AJD]])+TABL123[[#This Row],[البخر  AJD]]/1000)</f>
        <v>29.059999999999945</v>
      </c>
      <c r="AE174" s="68">
        <v>60</v>
      </c>
      <c r="AF174" s="68">
        <v>59.25</v>
      </c>
      <c r="AG174" s="68">
        <v>1788970</v>
      </c>
      <c r="AH174" s="45">
        <v>2015</v>
      </c>
      <c r="AI174" s="45">
        <v>2015</v>
      </c>
      <c r="AJ174" s="79">
        <f>TABL123[[#This Row],[(A/B TOT) AJD]]-TABL123[[#This Row],[BER_ IN]]</f>
        <v>505</v>
      </c>
      <c r="AK174" s="68">
        <v>30</v>
      </c>
      <c r="AL174" s="88">
        <v>41.183</v>
      </c>
      <c r="AM174" s="88">
        <v>2137770</v>
      </c>
      <c r="AN174" s="88">
        <f>TABL123[[#This Row],[ (RESV. STORGE) SER]]/10</f>
        <v>213777</v>
      </c>
      <c r="AO174" s="45">
        <v>1850</v>
      </c>
      <c r="AP174" s="32">
        <f>TABL123[[#This Row],[(A/S TOT) AJD]]-TABL123[[#This Row],[SER_ IN]]</f>
        <v>234</v>
      </c>
    </row>
    <row r="175" spans="1:42" ht="18.75" x14ac:dyDescent="0.3">
      <c r="A175" s="2">
        <v>46196</v>
      </c>
      <c r="B175" s="41">
        <v>40</v>
      </c>
      <c r="C175" s="41">
        <v>324</v>
      </c>
      <c r="D175" s="41">
        <f t="shared" si="7"/>
        <v>40</v>
      </c>
      <c r="E175" s="28"/>
      <c r="F175" s="41">
        <v>93</v>
      </c>
      <c r="G175" s="39">
        <v>652</v>
      </c>
      <c r="H175" s="28">
        <f t="shared" si="5"/>
        <v>10</v>
      </c>
      <c r="I175" s="39">
        <v>507</v>
      </c>
      <c r="J175" s="39">
        <v>494</v>
      </c>
      <c r="K175" s="28">
        <f>TABL123[[#This Row],[خط (T/B  TOT) SAR]]+TABL123[[#This Row],[خط (S/S  TOT) SAR2]]</f>
        <v>1001</v>
      </c>
      <c r="L175" s="41">
        <v>349</v>
      </c>
      <c r="M175" s="42">
        <v>24.5</v>
      </c>
      <c r="N175" s="42">
        <v>7.51</v>
      </c>
      <c r="O175" s="39">
        <v>415</v>
      </c>
      <c r="P175" s="3">
        <f>TABL123[[#This Row],[خط (S/S  TOT) SAR2]]-TABL123[[#This Row],[(S/S TOT) AJD]]</f>
        <v>79</v>
      </c>
      <c r="Q175" s="39">
        <v>444</v>
      </c>
      <c r="R175" s="3">
        <f>TABL123[[#This Row],[خط (T/B  TOT) SAR]]-TABL123[[#This Row],[(T/B TOT) AJD]]</f>
        <v>63</v>
      </c>
      <c r="S175" s="3">
        <f>TABL123[[#This Row],[الفرق بين بداية ونهاية خط  T/B]]+TABL123[[#This Row],[الفرق بين بداية ونهاية خط  S/S]]</f>
        <v>142</v>
      </c>
      <c r="T175" s="3">
        <f>TABL123[[#This Row],[(S/S TOT) AJD]]+TABL123[[#This Row],[(T/B TOT) AJD]]</f>
        <v>859</v>
      </c>
      <c r="U175" s="41">
        <v>558</v>
      </c>
      <c r="V175" s="41">
        <v>274</v>
      </c>
      <c r="W175" s="3">
        <f>TABL123[[#This Row],[(A/B TOT) AJD]]+TABL123[[#This Row],[(A/S TOT) AJD]]</f>
        <v>832</v>
      </c>
      <c r="X175" s="3">
        <f>TABL123[[#This Row],[( S/S+T/B) AJD]]-TABL123[[#This Row],[(A/B + A/S) AJD]]</f>
        <v>27</v>
      </c>
      <c r="Y175" s="41">
        <v>92.36</v>
      </c>
      <c r="Z175" s="43">
        <v>413311</v>
      </c>
      <c r="AA175" s="3">
        <f>TABL123[[#This Row],[(RESV. STORGE) AJD]]/10</f>
        <v>41331.1</v>
      </c>
      <c r="AB175" s="45">
        <f t="shared" si="6"/>
        <v>1.1890000000000001</v>
      </c>
      <c r="AC175" s="43">
        <v>2780</v>
      </c>
      <c r="AD175" s="84">
        <f>TABL123[[#This Row],[( S/S+T/B) AJD]]-(TABL123[[#This Row],[(A/B + A/S) AJD]]+(TABL123[[#This Row],[(STORGE DIFF.) AJD]])+TABL123[[#This Row],[البخر  AJD]]/1000)</f>
        <v>23.031000000000063</v>
      </c>
      <c r="AE175" s="68">
        <v>60</v>
      </c>
      <c r="AF175" s="68">
        <v>59.27</v>
      </c>
      <c r="AG175" s="68">
        <v>1802219</v>
      </c>
      <c r="AH175" s="43">
        <v>2524</v>
      </c>
      <c r="AI175" s="43">
        <v>2524</v>
      </c>
      <c r="AJ175" s="79">
        <f>TABL123[[#This Row],[(A/B TOT) AJD]]-TABL123[[#This Row],[BER_ IN]]</f>
        <v>498</v>
      </c>
      <c r="AK175" s="68">
        <v>30</v>
      </c>
      <c r="AL175" s="88">
        <v>41.145099999999999</v>
      </c>
      <c r="AM175" s="88">
        <v>2117740</v>
      </c>
      <c r="AN175" s="88">
        <f>TABL123[[#This Row],[ (RESV. STORGE) SER]]/10</f>
        <v>211774</v>
      </c>
      <c r="AO175" s="43">
        <v>1830</v>
      </c>
      <c r="AP175" s="32">
        <f>TABL123[[#This Row],[(A/S TOT) AJD]]-TABL123[[#This Row],[SER_ IN]]</f>
        <v>244</v>
      </c>
    </row>
    <row r="176" spans="1:42" ht="18.75" x14ac:dyDescent="0.3">
      <c r="A176" s="2">
        <v>46197</v>
      </c>
      <c r="B176" s="44">
        <v>40</v>
      </c>
      <c r="C176" s="44">
        <v>299</v>
      </c>
      <c r="D176" s="44">
        <f t="shared" si="7"/>
        <v>40</v>
      </c>
      <c r="E176" s="28"/>
      <c r="F176" s="44">
        <v>0</v>
      </c>
      <c r="G176" s="40">
        <v>642</v>
      </c>
      <c r="H176" s="28">
        <f t="shared" si="5"/>
        <v>103</v>
      </c>
      <c r="I176" s="40">
        <v>507</v>
      </c>
      <c r="J176" s="44">
        <v>480</v>
      </c>
      <c r="K176" s="28">
        <f>TABL123[[#This Row],[خط (T/B  TOT) SAR]]+TABL123[[#This Row],[خط (S/S  TOT) SAR2]]</f>
        <v>987</v>
      </c>
      <c r="L176" s="45">
        <v>345</v>
      </c>
      <c r="M176" s="46">
        <v>24.5</v>
      </c>
      <c r="N176" s="46">
        <v>7.54</v>
      </c>
      <c r="O176" s="40">
        <v>413</v>
      </c>
      <c r="P176" s="3">
        <f>TABL123[[#This Row],[خط (S/S  TOT) SAR2]]-TABL123[[#This Row],[(S/S TOT) AJD]]</f>
        <v>67</v>
      </c>
      <c r="Q176" s="40">
        <v>443</v>
      </c>
      <c r="R176" s="3">
        <f>TABL123[[#This Row],[خط (T/B  TOT) SAR]]-TABL123[[#This Row],[(T/B TOT) AJD]]</f>
        <v>64</v>
      </c>
      <c r="S176" s="3">
        <f>TABL123[[#This Row],[الفرق بين بداية ونهاية خط  T/B]]+TABL123[[#This Row],[الفرق بين بداية ونهاية خط  S/S]]</f>
        <v>131</v>
      </c>
      <c r="T176" s="3">
        <f>TABL123[[#This Row],[(S/S TOT) AJD]]+TABL123[[#This Row],[(T/B TOT) AJD]]</f>
        <v>856</v>
      </c>
      <c r="U176" s="44">
        <v>547</v>
      </c>
      <c r="V176" s="44">
        <v>297</v>
      </c>
      <c r="W176" s="3">
        <f>TABL123[[#This Row],[(A/B TOT) AJD]]+TABL123[[#This Row],[(A/S TOT) AJD]]</f>
        <v>844</v>
      </c>
      <c r="X176" s="3">
        <f>TABL123[[#This Row],[( S/S+T/B) AJD]]-TABL123[[#This Row],[(A/B + A/S) AJD]]</f>
        <v>12</v>
      </c>
      <c r="Y176" s="44">
        <v>92.33</v>
      </c>
      <c r="Z176" s="45">
        <v>395479</v>
      </c>
      <c r="AA176" s="3">
        <f>TABL123[[#This Row],[(RESV. STORGE) AJD]]/10</f>
        <v>39547.9</v>
      </c>
      <c r="AB176" s="45">
        <f t="shared" si="6"/>
        <v>-17.832000000000001</v>
      </c>
      <c r="AC176" s="45">
        <v>3203</v>
      </c>
      <c r="AD176" s="84">
        <f>TABL123[[#This Row],[( S/S+T/B) AJD]]-(TABL123[[#This Row],[(A/B + A/S) AJD]]+(TABL123[[#This Row],[(STORGE DIFF.) AJD]])+TABL123[[#This Row],[البخر  AJD]]/1000)</f>
        <v>26.629000000000019</v>
      </c>
      <c r="AE176" s="68">
        <v>60</v>
      </c>
      <c r="AF176" s="68">
        <v>59.28</v>
      </c>
      <c r="AG176" s="68">
        <v>1808845</v>
      </c>
      <c r="AH176" s="45">
        <v>2060</v>
      </c>
      <c r="AI176" s="45">
        <v>2060</v>
      </c>
      <c r="AJ176" s="79">
        <f>TABL123[[#This Row],[(A/B TOT) AJD]]-TABL123[[#This Row],[BER_ IN]]</f>
        <v>487</v>
      </c>
      <c r="AK176" s="68">
        <v>30</v>
      </c>
      <c r="AL176" s="88">
        <v>41.128399999999999</v>
      </c>
      <c r="AM176" s="88">
        <v>2109030</v>
      </c>
      <c r="AN176" s="88">
        <f>TABL123[[#This Row],[ (RESV. STORGE) SER]]/10</f>
        <v>210903</v>
      </c>
      <c r="AO176" s="45">
        <v>1810</v>
      </c>
      <c r="AP176" s="32">
        <f>TABL123[[#This Row],[(A/S TOT) AJD]]-TABL123[[#This Row],[SER_ IN]]</f>
        <v>267</v>
      </c>
    </row>
    <row r="177" spans="1:42" ht="18.75" x14ac:dyDescent="0.3">
      <c r="A177" s="2">
        <v>46198</v>
      </c>
      <c r="B177" s="41">
        <v>40</v>
      </c>
      <c r="C177" s="41">
        <v>207</v>
      </c>
      <c r="D177" s="41">
        <f t="shared" si="7"/>
        <v>40</v>
      </c>
      <c r="E177" s="28"/>
      <c r="F177" s="41">
        <v>92</v>
      </c>
      <c r="G177" s="39">
        <v>629</v>
      </c>
      <c r="H177" s="28">
        <f t="shared" si="5"/>
        <v>11</v>
      </c>
      <c r="I177" s="39">
        <v>478</v>
      </c>
      <c r="J177" s="39">
        <v>465</v>
      </c>
      <c r="K177" s="28">
        <f>TABL123[[#This Row],[خط (T/B  TOT) SAR]]+TABL123[[#This Row],[خط (S/S  TOT) SAR2]]</f>
        <v>943</v>
      </c>
      <c r="L177" s="41">
        <v>314</v>
      </c>
      <c r="M177" s="42">
        <v>23.7</v>
      </c>
      <c r="N177" s="42">
        <v>6.83</v>
      </c>
      <c r="O177" s="39">
        <v>365</v>
      </c>
      <c r="P177" s="3">
        <f>TABL123[[#This Row],[خط (S/S  TOT) SAR2]]-TABL123[[#This Row],[(S/S TOT) AJD]]</f>
        <v>100</v>
      </c>
      <c r="Q177" s="39">
        <v>392</v>
      </c>
      <c r="R177" s="3">
        <f>TABL123[[#This Row],[خط (T/B  TOT) SAR]]-TABL123[[#This Row],[(T/B TOT) AJD]]</f>
        <v>86</v>
      </c>
      <c r="S177" s="3">
        <f>TABL123[[#This Row],[الفرق بين بداية ونهاية خط  T/B]]+TABL123[[#This Row],[الفرق بين بداية ونهاية خط  S/S]]</f>
        <v>186</v>
      </c>
      <c r="T177" s="3">
        <f>TABL123[[#This Row],[(S/S TOT) AJD]]+TABL123[[#This Row],[(T/B TOT) AJD]]</f>
        <v>757</v>
      </c>
      <c r="U177" s="41">
        <v>519</v>
      </c>
      <c r="V177" s="41">
        <v>271</v>
      </c>
      <c r="W177" s="3">
        <f>TABL123[[#This Row],[(A/B TOT) AJD]]+TABL123[[#This Row],[(A/S TOT) AJD]]</f>
        <v>790</v>
      </c>
      <c r="X177" s="3">
        <f>TABL123[[#This Row],[( S/S+T/B) AJD]]-TABL123[[#This Row],[(A/B + A/S) AJD]]</f>
        <v>-33</v>
      </c>
      <c r="Y177" s="41">
        <v>92.227999999999994</v>
      </c>
      <c r="Z177" s="43">
        <v>334903</v>
      </c>
      <c r="AA177" s="3">
        <f>TABL123[[#This Row],[(RESV. STORGE) AJD]]/10</f>
        <v>33490.300000000003</v>
      </c>
      <c r="AB177" s="45">
        <f t="shared" si="6"/>
        <v>-60.576000000000001</v>
      </c>
      <c r="AC177" s="43">
        <v>2202</v>
      </c>
      <c r="AD177" s="84">
        <f>TABL123[[#This Row],[( S/S+T/B) AJD]]-(TABL123[[#This Row],[(A/B + A/S) AJD]]+(TABL123[[#This Row],[(STORGE DIFF.) AJD]])+TABL123[[#This Row],[البخر  AJD]]/1000)</f>
        <v>25.374000000000024</v>
      </c>
      <c r="AE177" s="68">
        <v>53</v>
      </c>
      <c r="AF177" s="68">
        <v>59.24</v>
      </c>
      <c r="AG177" s="68">
        <v>1782347</v>
      </c>
      <c r="AH177" s="43">
        <v>2157</v>
      </c>
      <c r="AI177" s="43">
        <v>2157</v>
      </c>
      <c r="AJ177" s="79">
        <f>TABL123[[#This Row],[(A/B TOT) AJD]]-TABL123[[#This Row],[BER_ IN]]</f>
        <v>466</v>
      </c>
      <c r="AK177" s="68">
        <v>16</v>
      </c>
      <c r="AL177" s="88">
        <v>41.130899999999997</v>
      </c>
      <c r="AM177" s="88">
        <v>2110370</v>
      </c>
      <c r="AN177" s="88">
        <f>TABL123[[#This Row],[ (RESV. STORGE) SER]]/10</f>
        <v>211037</v>
      </c>
      <c r="AO177" s="43">
        <v>1860</v>
      </c>
      <c r="AP177" s="32">
        <f>TABL123[[#This Row],[(A/S TOT) AJD]]-TABL123[[#This Row],[SER_ IN]]</f>
        <v>255</v>
      </c>
    </row>
    <row r="178" spans="1:42" ht="18.75" x14ac:dyDescent="0.3">
      <c r="A178" s="2">
        <v>46199</v>
      </c>
      <c r="B178" s="44">
        <v>41</v>
      </c>
      <c r="C178" s="44">
        <v>334</v>
      </c>
      <c r="D178" s="44">
        <f t="shared" si="7"/>
        <v>41</v>
      </c>
      <c r="E178" s="28"/>
      <c r="F178" s="44">
        <v>92</v>
      </c>
      <c r="G178" s="40">
        <v>625</v>
      </c>
      <c r="H178" s="28">
        <f t="shared" si="5"/>
        <v>11</v>
      </c>
      <c r="I178" s="40">
        <v>479</v>
      </c>
      <c r="J178" s="44">
        <v>464</v>
      </c>
      <c r="K178" s="28">
        <f>TABL123[[#This Row],[خط (T/B  TOT) SAR]]+TABL123[[#This Row],[خط (S/S  TOT) SAR2]]</f>
        <v>943</v>
      </c>
      <c r="L178" s="45">
        <v>318</v>
      </c>
      <c r="M178" s="46">
        <v>23.7</v>
      </c>
      <c r="N178" s="46">
        <v>6.97</v>
      </c>
      <c r="O178" s="40">
        <v>383</v>
      </c>
      <c r="P178" s="3">
        <f>TABL123[[#This Row],[خط (S/S  TOT) SAR2]]-TABL123[[#This Row],[(S/S TOT) AJD]]</f>
        <v>81</v>
      </c>
      <c r="Q178" s="40">
        <v>405</v>
      </c>
      <c r="R178" s="3">
        <f>TABL123[[#This Row],[خط (T/B  TOT) SAR]]-TABL123[[#This Row],[(T/B TOT) AJD]]</f>
        <v>74</v>
      </c>
      <c r="S178" s="3">
        <f>TABL123[[#This Row],[الفرق بين بداية ونهاية خط  T/B]]+TABL123[[#This Row],[الفرق بين بداية ونهاية خط  S/S]]</f>
        <v>155</v>
      </c>
      <c r="T178" s="3">
        <f>TABL123[[#This Row],[(S/S TOT) AJD]]+TABL123[[#This Row],[(T/B TOT) AJD]]</f>
        <v>788</v>
      </c>
      <c r="U178" s="44">
        <v>553</v>
      </c>
      <c r="V178" s="44">
        <v>259</v>
      </c>
      <c r="W178" s="3">
        <f>TABL123[[#This Row],[(A/B TOT) AJD]]+TABL123[[#This Row],[(A/S TOT) AJD]]</f>
        <v>812</v>
      </c>
      <c r="X178" s="3">
        <f>TABL123[[#This Row],[( S/S+T/B) AJD]]-TABL123[[#This Row],[(A/B + A/S) AJD]]</f>
        <v>-24</v>
      </c>
      <c r="Y178" s="44">
        <v>92.147999999999996</v>
      </c>
      <c r="Z178" s="45">
        <v>287457</v>
      </c>
      <c r="AA178" s="3">
        <f>TABL123[[#This Row],[(RESV. STORGE) AJD]]/10</f>
        <v>28745.7</v>
      </c>
      <c r="AB178" s="45">
        <f t="shared" si="6"/>
        <v>-47.445999999999998</v>
      </c>
      <c r="AC178" s="45">
        <v>1938</v>
      </c>
      <c r="AD178" s="84">
        <f>TABL123[[#This Row],[( S/S+T/B) AJD]]-(TABL123[[#This Row],[(A/B + A/S) AJD]]+(TABL123[[#This Row],[(STORGE DIFF.) AJD]])+TABL123[[#This Row],[البخر  AJD]]/1000)</f>
        <v>21.508000000000038</v>
      </c>
      <c r="AE178" s="68">
        <v>40</v>
      </c>
      <c r="AF178" s="68">
        <v>59.16</v>
      </c>
      <c r="AG178" s="68">
        <v>1729392</v>
      </c>
      <c r="AH178" s="45">
        <v>2513</v>
      </c>
      <c r="AI178" s="45">
        <v>2513</v>
      </c>
      <c r="AJ178" s="79">
        <f>TABL123[[#This Row],[(A/B TOT) AJD]]-TABL123[[#This Row],[BER_ IN]]</f>
        <v>513</v>
      </c>
      <c r="AK178" s="68">
        <v>13</v>
      </c>
      <c r="AL178" s="88">
        <v>41.135800000000003</v>
      </c>
      <c r="AM178" s="88">
        <v>2113010</v>
      </c>
      <c r="AN178" s="88">
        <f>TABL123[[#This Row],[ (RESV. STORGE) SER]]/10</f>
        <v>211301</v>
      </c>
      <c r="AO178" s="45">
        <v>1860</v>
      </c>
      <c r="AP178" s="32">
        <f>TABL123[[#This Row],[(A/S TOT) AJD]]-TABL123[[#This Row],[SER_ IN]]</f>
        <v>246</v>
      </c>
    </row>
    <row r="179" spans="1:42" ht="18.75" x14ac:dyDescent="0.3">
      <c r="A179" s="2">
        <v>46200</v>
      </c>
      <c r="B179" s="41">
        <v>41</v>
      </c>
      <c r="C179" s="41">
        <v>342</v>
      </c>
      <c r="D179" s="41">
        <f t="shared" si="7"/>
        <v>41</v>
      </c>
      <c r="E179" s="28"/>
      <c r="F179" s="41">
        <v>92</v>
      </c>
      <c r="G179" s="39">
        <v>631</v>
      </c>
      <c r="H179" s="28">
        <f t="shared" si="5"/>
        <v>11</v>
      </c>
      <c r="I179" s="39">
        <v>482</v>
      </c>
      <c r="J179" s="39">
        <v>470</v>
      </c>
      <c r="K179" s="28">
        <f>TABL123[[#This Row],[خط (T/B  TOT) SAR]]+TABL123[[#This Row],[خط (S/S  TOT) SAR2]]</f>
        <v>952</v>
      </c>
      <c r="L179" s="41"/>
      <c r="M179" s="42">
        <v>23.7</v>
      </c>
      <c r="N179" s="42">
        <v>7.4</v>
      </c>
      <c r="O179" s="39">
        <v>388</v>
      </c>
      <c r="P179" s="3">
        <f>TABL123[[#This Row],[خط (S/S  TOT) SAR2]]-TABL123[[#This Row],[(S/S TOT) AJD]]</f>
        <v>82</v>
      </c>
      <c r="Q179" s="39">
        <v>420</v>
      </c>
      <c r="R179" s="3">
        <f>TABL123[[#This Row],[خط (T/B  TOT) SAR]]-TABL123[[#This Row],[(T/B TOT) AJD]]</f>
        <v>62</v>
      </c>
      <c r="S179" s="3">
        <f>TABL123[[#This Row],[الفرق بين بداية ونهاية خط  T/B]]+TABL123[[#This Row],[الفرق بين بداية ونهاية خط  S/S]]</f>
        <v>144</v>
      </c>
      <c r="T179" s="3">
        <f>TABL123[[#This Row],[(S/S TOT) AJD]]+TABL123[[#This Row],[(T/B TOT) AJD]]</f>
        <v>808</v>
      </c>
      <c r="U179" s="41">
        <v>555</v>
      </c>
      <c r="V179" s="41">
        <v>286</v>
      </c>
      <c r="W179" s="3">
        <f>TABL123[[#This Row],[(A/B TOT) AJD]]+TABL123[[#This Row],[(A/S TOT) AJD]]</f>
        <v>841</v>
      </c>
      <c r="X179" s="3">
        <f>TABL123[[#This Row],[( S/S+T/B) AJD]]-TABL123[[#This Row],[(A/B + A/S) AJD]]</f>
        <v>-33</v>
      </c>
      <c r="Y179" s="41">
        <v>92.046000000000006</v>
      </c>
      <c r="Z179" s="43">
        <v>227032</v>
      </c>
      <c r="AA179" s="3">
        <f>TABL123[[#This Row],[(RESV. STORGE) AJD]]/10</f>
        <v>22703.200000000001</v>
      </c>
      <c r="AB179" s="45">
        <f t="shared" si="6"/>
        <v>-60.424999999999997</v>
      </c>
      <c r="AC179" s="43">
        <v>2391</v>
      </c>
      <c r="AD179" s="84">
        <f>TABL123[[#This Row],[( S/S+T/B) AJD]]-(TABL123[[#This Row],[(A/B + A/S) AJD]]+(TABL123[[#This Row],[(STORGE DIFF.) AJD]])+TABL123[[#This Row],[البخر  AJD]]/1000)</f>
        <v>25.033999999999992</v>
      </c>
      <c r="AE179" s="68">
        <v>40</v>
      </c>
      <c r="AF179" s="68">
        <v>59.13</v>
      </c>
      <c r="AG179" s="68">
        <v>1709548</v>
      </c>
      <c r="AH179" s="43">
        <v>2643</v>
      </c>
      <c r="AI179" s="43">
        <v>2643</v>
      </c>
      <c r="AJ179" s="79">
        <f>TABL123[[#This Row],[(A/B TOT) AJD]]-TABL123[[#This Row],[BER_ IN]]</f>
        <v>515</v>
      </c>
      <c r="AK179" s="68">
        <v>13</v>
      </c>
      <c r="AL179" s="88">
        <v>41.137999999999998</v>
      </c>
      <c r="AM179" s="88">
        <v>2114640</v>
      </c>
      <c r="AN179" s="88">
        <f>TABL123[[#This Row],[ (RESV. STORGE) SER]]/10</f>
        <v>211464</v>
      </c>
      <c r="AO179" s="43">
        <v>1870</v>
      </c>
      <c r="AP179" s="32">
        <f>TABL123[[#This Row],[(A/S TOT) AJD]]-TABL123[[#This Row],[SER_ IN]]</f>
        <v>273</v>
      </c>
    </row>
    <row r="180" spans="1:42" ht="18.75" x14ac:dyDescent="0.3">
      <c r="A180" s="2">
        <v>46201</v>
      </c>
      <c r="B180" s="44">
        <v>42</v>
      </c>
      <c r="C180" s="44">
        <v>356</v>
      </c>
      <c r="D180" s="44">
        <f t="shared" si="7"/>
        <v>42</v>
      </c>
      <c r="E180" s="28"/>
      <c r="F180" s="44">
        <v>92</v>
      </c>
      <c r="G180" s="40">
        <v>637</v>
      </c>
      <c r="H180" s="28">
        <f t="shared" si="5"/>
        <v>11</v>
      </c>
      <c r="I180" s="40">
        <v>486</v>
      </c>
      <c r="J180" s="44">
        <v>473</v>
      </c>
      <c r="K180" s="28">
        <f>TABL123[[#This Row],[خط (T/B  TOT) SAR]]+TABL123[[#This Row],[خط (S/S  TOT) SAR2]]</f>
        <v>959</v>
      </c>
      <c r="L180" s="45"/>
      <c r="M180" s="46">
        <v>23.7</v>
      </c>
      <c r="N180" s="46">
        <v>7.4</v>
      </c>
      <c r="O180" s="40">
        <v>393</v>
      </c>
      <c r="P180" s="3">
        <f>TABL123[[#This Row],[خط (S/S  TOT) SAR2]]-TABL123[[#This Row],[(S/S TOT) AJD]]</f>
        <v>80</v>
      </c>
      <c r="Q180" s="40">
        <v>423</v>
      </c>
      <c r="R180" s="3">
        <f>TABL123[[#This Row],[خط (T/B  TOT) SAR]]-TABL123[[#This Row],[(T/B TOT) AJD]]</f>
        <v>63</v>
      </c>
      <c r="S180" s="3">
        <f>TABL123[[#This Row],[الفرق بين بداية ونهاية خط  T/B]]+TABL123[[#This Row],[الفرق بين بداية ونهاية خط  S/S]]</f>
        <v>143</v>
      </c>
      <c r="T180" s="3">
        <f>TABL123[[#This Row],[(S/S TOT) AJD]]+TABL123[[#This Row],[(T/B TOT) AJD]]</f>
        <v>816</v>
      </c>
      <c r="U180" s="44">
        <v>554</v>
      </c>
      <c r="V180" s="44">
        <v>245</v>
      </c>
      <c r="W180" s="3">
        <f>TABL123[[#This Row],[(A/B TOT) AJD]]+TABL123[[#This Row],[(A/S TOT) AJD]]</f>
        <v>799</v>
      </c>
      <c r="X180" s="3">
        <f>TABL123[[#This Row],[( S/S+T/B) AJD]]-TABL123[[#This Row],[(A/B + A/S) AJD]]</f>
        <v>17</v>
      </c>
      <c r="Y180" s="44">
        <v>92.036000000000001</v>
      </c>
      <c r="Z180" s="45">
        <v>221117</v>
      </c>
      <c r="AA180" s="3">
        <f>TABL123[[#This Row],[(RESV. STORGE) AJD]]/10</f>
        <v>22111.7</v>
      </c>
      <c r="AB180" s="45">
        <f t="shared" si="6"/>
        <v>-5.915</v>
      </c>
      <c r="AC180" s="45">
        <v>2254</v>
      </c>
      <c r="AD180" s="84">
        <f>TABL123[[#This Row],[( S/S+T/B) AJD]]-(TABL123[[#This Row],[(A/B + A/S) AJD]]+(TABL123[[#This Row],[(STORGE DIFF.) AJD]])+TABL123[[#This Row],[البخر  AJD]]/1000)</f>
        <v>20.660999999999945</v>
      </c>
      <c r="AE180" s="68">
        <v>42</v>
      </c>
      <c r="AF180" s="68">
        <v>59.08</v>
      </c>
      <c r="AG180" s="68">
        <v>1676493</v>
      </c>
      <c r="AH180" s="45">
        <v>2627</v>
      </c>
      <c r="AI180" s="45">
        <v>2627</v>
      </c>
      <c r="AJ180" s="79">
        <f>TABL123[[#This Row],[(A/B TOT) AJD]]-TABL123[[#This Row],[BER_ IN]]</f>
        <v>512</v>
      </c>
      <c r="AK180" s="68">
        <v>14</v>
      </c>
      <c r="AL180" s="88">
        <v>41.145000000000003</v>
      </c>
      <c r="AM180" s="88">
        <v>2114380</v>
      </c>
      <c r="AN180" s="88">
        <f>TABL123[[#This Row],[ (RESV. STORGE) SER]]/10</f>
        <v>211438</v>
      </c>
      <c r="AO180" s="45">
        <v>1860</v>
      </c>
      <c r="AP180" s="32">
        <f>TABL123[[#This Row],[(A/S TOT) AJD]]-TABL123[[#This Row],[SER_ IN]]</f>
        <v>231</v>
      </c>
    </row>
    <row r="181" spans="1:42" ht="18.75" x14ac:dyDescent="0.3">
      <c r="A181" s="2">
        <v>46202</v>
      </c>
      <c r="B181" s="41">
        <v>43</v>
      </c>
      <c r="C181" s="41">
        <v>348</v>
      </c>
      <c r="D181" s="41">
        <f t="shared" si="7"/>
        <v>43</v>
      </c>
      <c r="E181" s="28"/>
      <c r="F181" s="41">
        <v>93</v>
      </c>
      <c r="G181" s="39">
        <v>617</v>
      </c>
      <c r="H181" s="28">
        <f t="shared" si="5"/>
        <v>10</v>
      </c>
      <c r="I181" s="39">
        <v>506</v>
      </c>
      <c r="J181" s="39">
        <v>492</v>
      </c>
      <c r="K181" s="28">
        <f>TABL123[[#This Row],[خط (T/B  TOT) SAR]]+TABL123[[#This Row],[خط (S/S  TOT) SAR2]]</f>
        <v>998</v>
      </c>
      <c r="L181" s="41"/>
      <c r="M181" s="42"/>
      <c r="N181" s="42">
        <v>7.8</v>
      </c>
      <c r="O181" s="39">
        <v>400</v>
      </c>
      <c r="P181" s="3">
        <f>TABL123[[#This Row],[خط (S/S  TOT) SAR2]]-TABL123[[#This Row],[(S/S TOT) AJD]]</f>
        <v>92</v>
      </c>
      <c r="Q181" s="39">
        <v>429</v>
      </c>
      <c r="R181" s="3">
        <f>TABL123[[#This Row],[خط (T/B  TOT) SAR]]-TABL123[[#This Row],[(T/B TOT) AJD]]</f>
        <v>77</v>
      </c>
      <c r="S181" s="3">
        <f>TABL123[[#This Row],[الفرق بين بداية ونهاية خط  T/B]]+TABL123[[#This Row],[الفرق بين بداية ونهاية خط  S/S]]</f>
        <v>169</v>
      </c>
      <c r="T181" s="3">
        <f>TABL123[[#This Row],[(S/S TOT) AJD]]+TABL123[[#This Row],[(T/B TOT) AJD]]</f>
        <v>829</v>
      </c>
      <c r="U181" s="41">
        <v>553</v>
      </c>
      <c r="V181" s="41">
        <v>250</v>
      </c>
      <c r="W181" s="3">
        <f>TABL123[[#This Row],[(A/B TOT) AJD]]+TABL123[[#This Row],[(A/S TOT) AJD]]</f>
        <v>803</v>
      </c>
      <c r="X181" s="3">
        <f>TABL123[[#This Row],[( S/S+T/B) AJD]]-TABL123[[#This Row],[(A/B + A/S) AJD]]</f>
        <v>26</v>
      </c>
      <c r="Y181" s="41">
        <v>92.018000000000001</v>
      </c>
      <c r="Z181" s="43">
        <v>210461</v>
      </c>
      <c r="AA181" s="3">
        <f>TABL123[[#This Row],[(RESV. STORGE) AJD]]/10</f>
        <v>21046.1</v>
      </c>
      <c r="AB181" s="45">
        <f t="shared" si="6"/>
        <v>-10.656000000000001</v>
      </c>
      <c r="AC181" s="43">
        <v>2804</v>
      </c>
      <c r="AD181" s="84">
        <f>TABL123[[#This Row],[( S/S+T/B) AJD]]-(TABL123[[#This Row],[(A/B + A/S) AJD]]+(TABL123[[#This Row],[(STORGE DIFF.) AJD]])+TABL123[[#This Row],[البخر  AJD]]/1000)</f>
        <v>33.851999999999975</v>
      </c>
      <c r="AE181" s="68">
        <v>43</v>
      </c>
      <c r="AF181" s="68">
        <v>59.081000000000003</v>
      </c>
      <c r="AG181" s="68">
        <v>1677154</v>
      </c>
      <c r="AH181" s="43">
        <v>2659</v>
      </c>
      <c r="AI181" s="43">
        <v>2659</v>
      </c>
      <c r="AJ181" s="79">
        <f>TABL123[[#This Row],[(A/B TOT) AJD]]-TABL123[[#This Row],[BER_ IN]]</f>
        <v>510</v>
      </c>
      <c r="AK181" s="68">
        <v>13</v>
      </c>
      <c r="AL181" s="88">
        <v>41.118600000000001</v>
      </c>
      <c r="AM181" s="88">
        <v>2103570</v>
      </c>
      <c r="AN181" s="88">
        <f>TABL123[[#This Row],[ (RESV. STORGE) SER]]/10</f>
        <v>210357</v>
      </c>
      <c r="AO181" s="43">
        <v>1810</v>
      </c>
      <c r="AP181" s="32">
        <f>TABL123[[#This Row],[(A/S TOT) AJD]]-TABL123[[#This Row],[SER_ IN]]</f>
        <v>237</v>
      </c>
    </row>
    <row r="182" spans="1:42" ht="18.75" x14ac:dyDescent="0.3">
      <c r="A182" s="2">
        <v>46203</v>
      </c>
      <c r="B182" s="44">
        <v>44</v>
      </c>
      <c r="C182" s="44">
        <v>363</v>
      </c>
      <c r="D182" s="44">
        <f t="shared" si="7"/>
        <v>44</v>
      </c>
      <c r="E182" s="28"/>
      <c r="F182" s="44">
        <v>93</v>
      </c>
      <c r="G182" s="40">
        <v>617</v>
      </c>
      <c r="H182" s="28">
        <f t="shared" si="5"/>
        <v>10</v>
      </c>
      <c r="I182" s="40">
        <v>510</v>
      </c>
      <c r="J182" s="44">
        <v>498</v>
      </c>
      <c r="K182" s="28">
        <f>TABL123[[#This Row],[خط (T/B  TOT) SAR]]+TABL123[[#This Row],[خط (S/S  TOT) SAR2]]</f>
        <v>1008</v>
      </c>
      <c r="L182" s="45"/>
      <c r="M182" s="46"/>
      <c r="N182" s="46">
        <v>7.8</v>
      </c>
      <c r="O182" s="40">
        <v>412</v>
      </c>
      <c r="P182" s="3">
        <f>TABL123[[#This Row],[خط (S/S  TOT) SAR2]]-TABL123[[#This Row],[(S/S TOT) AJD]]</f>
        <v>86</v>
      </c>
      <c r="Q182" s="40">
        <v>442</v>
      </c>
      <c r="R182" s="3">
        <f>TABL123[[#This Row],[خط (T/B  TOT) SAR]]-TABL123[[#This Row],[(T/B TOT) AJD]]</f>
        <v>68</v>
      </c>
      <c r="S182" s="3">
        <f>TABL123[[#This Row],[الفرق بين بداية ونهاية خط  T/B]]+TABL123[[#This Row],[الفرق بين بداية ونهاية خط  S/S]]</f>
        <v>154</v>
      </c>
      <c r="T182" s="3">
        <f>TABL123[[#This Row],[(S/S TOT) AJD]]+TABL123[[#This Row],[(T/B TOT) AJD]]</f>
        <v>854</v>
      </c>
      <c r="U182" s="44">
        <v>557</v>
      </c>
      <c r="V182" s="44">
        <v>230</v>
      </c>
      <c r="W182" s="3">
        <f>TABL123[[#This Row],[(A/B TOT) AJD]]+TABL123[[#This Row],[(A/S TOT) AJD]]</f>
        <v>787</v>
      </c>
      <c r="X182" s="3">
        <f>TABL123[[#This Row],[( S/S+T/B) AJD]]-TABL123[[#This Row],[(A/B + A/S) AJD]]</f>
        <v>67</v>
      </c>
      <c r="Y182" s="44">
        <v>92.1</v>
      </c>
      <c r="Z182" s="45">
        <v>259010</v>
      </c>
      <c r="AA182" s="3">
        <f>TABL123[[#This Row],[(RESV. STORGE) AJD]]/10</f>
        <v>25901</v>
      </c>
      <c r="AB182" s="45">
        <f t="shared" si="6"/>
        <v>48.548999999999999</v>
      </c>
      <c r="AC182" s="45">
        <v>3147</v>
      </c>
      <c r="AD182" s="84">
        <f>TABL123[[#This Row],[( S/S+T/B) AJD]]-(TABL123[[#This Row],[(A/B + A/S) AJD]]+(TABL123[[#This Row],[(STORGE DIFF.) AJD]])+TABL123[[#This Row],[البخر  AJD]]/1000)</f>
        <v>15.303999999999974</v>
      </c>
      <c r="AE182" s="68">
        <v>39</v>
      </c>
      <c r="AF182" s="68">
        <v>59.05</v>
      </c>
      <c r="AG182" s="68">
        <v>1656670</v>
      </c>
      <c r="AH182" s="45">
        <v>2601</v>
      </c>
      <c r="AI182" s="45">
        <v>2601</v>
      </c>
      <c r="AJ182" s="79">
        <f>TABL123[[#This Row],[(A/B TOT) AJD]]-TABL123[[#This Row],[BER_ IN]]</f>
        <v>518</v>
      </c>
      <c r="AK182" s="68">
        <v>14</v>
      </c>
      <c r="AL182" s="88">
        <v>41.096400000000003</v>
      </c>
      <c r="AM182" s="88">
        <v>2092440</v>
      </c>
      <c r="AN182" s="88">
        <f>TABL123[[#This Row],[ (RESV. STORGE) SER]]/10</f>
        <v>209244</v>
      </c>
      <c r="AO182" s="45">
        <v>1830</v>
      </c>
      <c r="AP182" s="32">
        <f>TABL123[[#This Row],[(A/S TOT) AJD]]-TABL123[[#This Row],[SER_ IN]]</f>
        <v>216</v>
      </c>
    </row>
    <row r="183" spans="1:42" ht="18.75" x14ac:dyDescent="0.3">
      <c r="A183" s="2">
        <v>46204</v>
      </c>
      <c r="B183" s="41">
        <v>44</v>
      </c>
      <c r="C183" s="41">
        <v>360</v>
      </c>
      <c r="D183" s="41">
        <f>B183</f>
        <v>44</v>
      </c>
      <c r="E183" s="41">
        <v>0</v>
      </c>
      <c r="F183" s="41">
        <v>93</v>
      </c>
      <c r="G183" s="39">
        <v>617</v>
      </c>
      <c r="H183" s="28">
        <f t="shared" si="5"/>
        <v>10</v>
      </c>
      <c r="I183" s="39">
        <v>525</v>
      </c>
      <c r="J183" s="39">
        <v>509</v>
      </c>
      <c r="K183" s="28">
        <f>TABL123[[#This Row],[خط (T/B  TOT) SAR]]+TABL123[[#This Row],[خط (S/S  TOT) SAR2]]</f>
        <v>1034</v>
      </c>
      <c r="L183" s="41">
        <v>382</v>
      </c>
      <c r="M183" s="42">
        <v>25.4</v>
      </c>
      <c r="N183" s="42">
        <v>7.98</v>
      </c>
      <c r="O183" s="39">
        <v>417</v>
      </c>
      <c r="P183" s="12">
        <f>TABL123[[#This Row],[خط (S/S  TOT) SAR2]]-TABL123[[#This Row],[(S/S TOT) AJD]]</f>
        <v>92</v>
      </c>
      <c r="Q183" s="39">
        <v>449</v>
      </c>
      <c r="R183" s="12">
        <f>TABL123[[#This Row],[خط (T/B  TOT) SAR]]-TABL123[[#This Row],[(T/B TOT) AJD]]</f>
        <v>76</v>
      </c>
      <c r="S183" s="12">
        <f>TABL123[[#This Row],[الفرق بين بداية ونهاية خط  T/B]]+TABL123[[#This Row],[الفرق بين بداية ونهاية خط  S/S]]</f>
        <v>168</v>
      </c>
      <c r="T183" s="12">
        <f>TABL123[[#This Row],[(S/S TOT) AJD]]+TABL123[[#This Row],[(T/B TOT) AJD]]</f>
        <v>866</v>
      </c>
      <c r="U183" s="41">
        <v>555</v>
      </c>
      <c r="V183" s="41">
        <v>256</v>
      </c>
      <c r="W183" s="12">
        <f>TABL123[[#This Row],[(A/B TOT) AJD]]+TABL123[[#This Row],[(A/S TOT) AJD]]</f>
        <v>811</v>
      </c>
      <c r="X183" s="12">
        <f>TABL123[[#This Row],[( S/S+T/B) AJD]]-TABL123[[#This Row],[(A/B + A/S) AJD]]</f>
        <v>55</v>
      </c>
      <c r="Y183" s="41">
        <v>92.16</v>
      </c>
      <c r="Z183" s="43">
        <v>294572</v>
      </c>
      <c r="AA183" s="3">
        <f>TABL123[[#This Row],[(RESV. STORGE) AJD]]/10</f>
        <v>29457.200000000001</v>
      </c>
      <c r="AB183" s="45">
        <f t="shared" si="6"/>
        <v>35.561999999999998</v>
      </c>
      <c r="AC183" s="43">
        <v>3918</v>
      </c>
      <c r="AD183" s="84">
        <f>TABL123[[#This Row],[( S/S+T/B) AJD]]-(TABL123[[#This Row],[(A/B + A/S) AJD]]+(TABL123[[#This Row],[(STORGE DIFF.) AJD]])+TABL123[[#This Row],[البخر  AJD]]/1000)</f>
        <v>15.519999999999982</v>
      </c>
      <c r="AE183" s="68">
        <v>40</v>
      </c>
      <c r="AF183" s="68">
        <v>59.08</v>
      </c>
      <c r="AG183" s="68">
        <v>1676493</v>
      </c>
      <c r="AH183" s="43">
        <v>2802</v>
      </c>
      <c r="AI183" s="43">
        <v>2802</v>
      </c>
      <c r="AJ183" s="79">
        <f>TABL123[[#This Row],[(A/B TOT) AJD]]-TABL123[[#This Row],[BER_ IN]]</f>
        <v>515</v>
      </c>
      <c r="AK183" s="68">
        <v>13</v>
      </c>
      <c r="AL183" s="88">
        <v>41.068199999999997</v>
      </c>
      <c r="AM183" s="88">
        <v>2077210</v>
      </c>
      <c r="AN183" s="88">
        <f>TABL123[[#This Row],[ (RESV. STORGE) SER]]/10</f>
        <v>207721</v>
      </c>
      <c r="AO183" s="43">
        <v>1850</v>
      </c>
      <c r="AP183" s="32">
        <f>TABL123[[#This Row],[(A/S TOT) AJD]]-TABL123[[#This Row],[SER_ IN]]</f>
        <v>243</v>
      </c>
    </row>
    <row r="184" spans="1:42" ht="18.75" x14ac:dyDescent="0.3">
      <c r="A184" s="2">
        <v>46205</v>
      </c>
      <c r="B184" s="44">
        <v>44</v>
      </c>
      <c r="C184" s="44">
        <v>375</v>
      </c>
      <c r="D184" s="44">
        <f>B184</f>
        <v>44</v>
      </c>
      <c r="E184" s="44">
        <v>0</v>
      </c>
      <c r="F184" s="44">
        <v>93</v>
      </c>
      <c r="G184" s="40">
        <v>617</v>
      </c>
      <c r="H184" s="28">
        <f t="shared" si="5"/>
        <v>10</v>
      </c>
      <c r="I184" s="40">
        <v>525</v>
      </c>
      <c r="J184" s="44">
        <v>516</v>
      </c>
      <c r="K184" s="28">
        <f>TABL123[[#This Row],[خط (T/B  TOT) SAR]]+TABL123[[#This Row],[خط (S/S  TOT) SAR2]]</f>
        <v>1041</v>
      </c>
      <c r="L184" s="45">
        <v>398</v>
      </c>
      <c r="M184" s="46">
        <v>26.7</v>
      </c>
      <c r="N184" s="46">
        <v>7.96</v>
      </c>
      <c r="O184" s="40">
        <v>431</v>
      </c>
      <c r="P184" s="12">
        <f>TABL123[[#This Row],[خط (S/S  TOT) SAR2]]-TABL123[[#This Row],[(S/S TOT) AJD]]</f>
        <v>85</v>
      </c>
      <c r="Q184" s="40">
        <v>461</v>
      </c>
      <c r="R184" s="12">
        <f>TABL123[[#This Row],[خط (T/B  TOT) SAR]]-TABL123[[#This Row],[(T/B TOT) AJD]]</f>
        <v>64</v>
      </c>
      <c r="S184" s="12">
        <f>TABL123[[#This Row],[الفرق بين بداية ونهاية خط  T/B]]+TABL123[[#This Row],[الفرق بين بداية ونهاية خط  S/S]]</f>
        <v>149</v>
      </c>
      <c r="T184" s="12">
        <f>TABL123[[#This Row],[(S/S TOT) AJD]]+TABL123[[#This Row],[(T/B TOT) AJD]]</f>
        <v>892</v>
      </c>
      <c r="U184" s="44">
        <v>535</v>
      </c>
      <c r="V184" s="44">
        <v>260</v>
      </c>
      <c r="W184" s="12">
        <f>TABL123[[#This Row],[(A/B TOT) AJD]]+TABL123[[#This Row],[(A/S TOT) AJD]]</f>
        <v>795</v>
      </c>
      <c r="X184" s="12">
        <f>TABL123[[#This Row],[( S/S+T/B) AJD]]-TABL123[[#This Row],[(A/B + A/S) AJD]]</f>
        <v>97</v>
      </c>
      <c r="Y184" s="44">
        <v>92.281999999999996</v>
      </c>
      <c r="Z184" s="45">
        <v>366966</v>
      </c>
      <c r="AA184" s="3">
        <f>TABL123[[#This Row],[(RESV. STORGE) AJD]]/10</f>
        <v>36696.6</v>
      </c>
      <c r="AB184" s="45">
        <f t="shared" si="6"/>
        <v>72.394000000000005</v>
      </c>
      <c r="AC184" s="45">
        <v>3559</v>
      </c>
      <c r="AD184" s="84">
        <f>TABL123[[#This Row],[( S/S+T/B) AJD]]-(TABL123[[#This Row],[(A/B + A/S) AJD]]+(TABL123[[#This Row],[(STORGE DIFF.) AJD]])+TABL123[[#This Row],[البخر  AJD]]/1000)</f>
        <v>21.047000000000025</v>
      </c>
      <c r="AE184" s="68">
        <v>44</v>
      </c>
      <c r="AF184" s="68">
        <v>59.11</v>
      </c>
      <c r="AG184" s="68">
        <v>1696324</v>
      </c>
      <c r="AH184" s="45">
        <v>2364</v>
      </c>
      <c r="AI184" s="45">
        <v>2364</v>
      </c>
      <c r="AJ184" s="79">
        <f>TABL123[[#This Row],[(A/B TOT) AJD]]-TABL123[[#This Row],[BER_ IN]]</f>
        <v>491</v>
      </c>
      <c r="AK184" s="68">
        <v>13</v>
      </c>
      <c r="AL184" s="88">
        <v>41.0381</v>
      </c>
      <c r="AM184" s="88">
        <v>2061430</v>
      </c>
      <c r="AN184" s="88">
        <f>TABL123[[#This Row],[ (RESV. STORGE) SER]]/10</f>
        <v>206143</v>
      </c>
      <c r="AO184" s="45">
        <v>1865</v>
      </c>
      <c r="AP184" s="32">
        <f>TABL123[[#This Row],[(A/S TOT) AJD]]-TABL123[[#This Row],[SER_ IN]]</f>
        <v>247</v>
      </c>
    </row>
    <row r="185" spans="1:42" ht="18.75" x14ac:dyDescent="0.3">
      <c r="A185" s="2">
        <v>46206</v>
      </c>
      <c r="B185" s="41">
        <v>44</v>
      </c>
      <c r="C185" s="41">
        <v>370</v>
      </c>
      <c r="D185" s="41">
        <f t="shared" ref="D185:D213" si="8">B185</f>
        <v>44</v>
      </c>
      <c r="E185" s="41">
        <v>0</v>
      </c>
      <c r="F185" s="41">
        <v>90</v>
      </c>
      <c r="G185" s="39">
        <v>601</v>
      </c>
      <c r="H185" s="28">
        <f t="shared" si="5"/>
        <v>13</v>
      </c>
      <c r="I185" s="39">
        <v>520</v>
      </c>
      <c r="J185" s="39">
        <v>505</v>
      </c>
      <c r="K185" s="28">
        <f>TABL123[[#This Row],[خط (T/B  TOT) SAR]]+TABL123[[#This Row],[خط (S/S  TOT) SAR2]]</f>
        <v>1025</v>
      </c>
      <c r="L185" s="41">
        <v>410</v>
      </c>
      <c r="M185" s="42">
        <v>27.6</v>
      </c>
      <c r="N185" s="42">
        <v>7.88</v>
      </c>
      <c r="O185" s="39">
        <v>425</v>
      </c>
      <c r="P185" s="12">
        <f>TABL123[[#This Row],[خط (S/S  TOT) SAR2]]-TABL123[[#This Row],[(S/S TOT) AJD]]</f>
        <v>80</v>
      </c>
      <c r="Q185" s="39">
        <v>458</v>
      </c>
      <c r="R185" s="12">
        <f>TABL123[[#This Row],[خط (T/B  TOT) SAR]]-TABL123[[#This Row],[(T/B TOT) AJD]]</f>
        <v>62</v>
      </c>
      <c r="S185" s="12">
        <f>TABL123[[#This Row],[الفرق بين بداية ونهاية خط  T/B]]+TABL123[[#This Row],[الفرق بين بداية ونهاية خط  S/S]]</f>
        <v>142</v>
      </c>
      <c r="T185" s="12">
        <f>TABL123[[#This Row],[(S/S TOT) AJD]]+TABL123[[#This Row],[(T/B TOT) AJD]]</f>
        <v>883</v>
      </c>
      <c r="U185" s="41">
        <v>515</v>
      </c>
      <c r="V185" s="41">
        <v>262</v>
      </c>
      <c r="W185" s="12">
        <f>TABL123[[#This Row],[(A/B TOT) AJD]]+TABL123[[#This Row],[(A/S TOT) AJD]]</f>
        <v>777</v>
      </c>
      <c r="X185" s="12">
        <f>TABL123[[#This Row],[( S/S+T/B) AJD]]-TABL123[[#This Row],[(A/B + A/S) AJD]]</f>
        <v>106</v>
      </c>
      <c r="Y185" s="41">
        <v>92.417000000000002</v>
      </c>
      <c r="Z185" s="43">
        <v>447212</v>
      </c>
      <c r="AA185" s="3">
        <f>TABL123[[#This Row],[(RESV. STORGE) AJD]]/10</f>
        <v>44721.2</v>
      </c>
      <c r="AB185" s="45">
        <f t="shared" si="6"/>
        <v>80.245999999999995</v>
      </c>
      <c r="AC185" s="43">
        <v>2849</v>
      </c>
      <c r="AD185" s="84">
        <f>TABL123[[#This Row],[( S/S+T/B) AJD]]-(TABL123[[#This Row],[(A/B + A/S) AJD]]+(TABL123[[#This Row],[(STORGE DIFF.) AJD]])+TABL123[[#This Row],[البخر  AJD]]/1000)</f>
        <v>22.904999999999973</v>
      </c>
      <c r="AE185" s="68">
        <v>41</v>
      </c>
      <c r="AF185" s="68">
        <v>59.08</v>
      </c>
      <c r="AG185" s="68">
        <v>1676493</v>
      </c>
      <c r="AH185" s="43">
        <v>2465</v>
      </c>
      <c r="AI185" s="43">
        <v>2465</v>
      </c>
      <c r="AJ185" s="79">
        <f>TABL123[[#This Row],[(A/B TOT) AJD]]-TABL123[[#This Row],[BER_ IN]]</f>
        <v>474</v>
      </c>
      <c r="AK185" s="68">
        <v>13</v>
      </c>
      <c r="AL185" s="88">
        <v>41.0015</v>
      </c>
      <c r="AM185" s="88">
        <v>2042032</v>
      </c>
      <c r="AN185" s="88">
        <f>TABL123[[#This Row],[ (RESV. STORGE) SER]]/10</f>
        <v>204203.2</v>
      </c>
      <c r="AO185" s="43">
        <v>1835</v>
      </c>
      <c r="AP185" s="32">
        <f>TABL123[[#This Row],[(A/S TOT) AJD]]-TABL123[[#This Row],[SER_ IN]]</f>
        <v>249</v>
      </c>
    </row>
    <row r="186" spans="1:42" ht="18.75" x14ac:dyDescent="0.3">
      <c r="A186" s="2">
        <v>46207</v>
      </c>
      <c r="B186" s="44">
        <v>44</v>
      </c>
      <c r="C186" s="44">
        <v>375</v>
      </c>
      <c r="D186" s="44">
        <f t="shared" si="8"/>
        <v>44</v>
      </c>
      <c r="E186" s="44">
        <v>0</v>
      </c>
      <c r="F186" s="44">
        <v>92</v>
      </c>
      <c r="G186" s="40">
        <v>611</v>
      </c>
      <c r="H186" s="28">
        <f t="shared" si="5"/>
        <v>11</v>
      </c>
      <c r="I186" s="40">
        <v>522</v>
      </c>
      <c r="J186" s="44">
        <v>507</v>
      </c>
      <c r="K186" s="28">
        <f>TABL123[[#This Row],[خط (T/B  TOT) SAR]]+TABL123[[#This Row],[خط (S/S  TOT) SAR2]]</f>
        <v>1029</v>
      </c>
      <c r="L186" s="45">
        <v>410</v>
      </c>
      <c r="M186" s="46">
        <v>27.6</v>
      </c>
      <c r="N186" s="46">
        <v>7.85</v>
      </c>
      <c r="O186" s="40">
        <v>426</v>
      </c>
      <c r="P186" s="12">
        <f>TABL123[[#This Row],[خط (S/S  TOT) SAR2]]-TABL123[[#This Row],[(S/S TOT) AJD]]</f>
        <v>81</v>
      </c>
      <c r="Q186" s="40">
        <v>460</v>
      </c>
      <c r="R186" s="12">
        <f>TABL123[[#This Row],[خط (T/B  TOT) SAR]]-TABL123[[#This Row],[(T/B TOT) AJD]]</f>
        <v>62</v>
      </c>
      <c r="S186" s="12">
        <f>TABL123[[#This Row],[الفرق بين بداية ونهاية خط  T/B]]+TABL123[[#This Row],[الفرق بين بداية ونهاية خط  S/S]]</f>
        <v>143</v>
      </c>
      <c r="T186" s="12">
        <f>TABL123[[#This Row],[(S/S TOT) AJD]]+TABL123[[#This Row],[(T/B TOT) AJD]]</f>
        <v>886</v>
      </c>
      <c r="U186" s="44">
        <v>562</v>
      </c>
      <c r="V186" s="44">
        <v>261</v>
      </c>
      <c r="W186" s="12">
        <f>TABL123[[#This Row],[(A/B TOT) AJD]]+TABL123[[#This Row],[(A/S TOT) AJD]]</f>
        <v>823</v>
      </c>
      <c r="X186" s="12">
        <f>TABL123[[#This Row],[( S/S+T/B) AJD]]-TABL123[[#This Row],[(A/B + A/S) AJD]]</f>
        <v>63</v>
      </c>
      <c r="Y186" s="44">
        <v>92.47</v>
      </c>
      <c r="Z186" s="45">
        <v>478759</v>
      </c>
      <c r="AA186" s="3">
        <f>TABL123[[#This Row],[(RESV. STORGE) AJD]]/10</f>
        <v>47875.9</v>
      </c>
      <c r="AB186" s="45">
        <f t="shared" si="6"/>
        <v>31.547000000000001</v>
      </c>
      <c r="AC186" s="45">
        <v>3168</v>
      </c>
      <c r="AD186" s="84">
        <f>TABL123[[#This Row],[( S/S+T/B) AJD]]-(TABL123[[#This Row],[(A/B + A/S) AJD]]+(TABL123[[#This Row],[(STORGE DIFF.) AJD]])+TABL123[[#This Row],[البخر  AJD]]/1000)</f>
        <v>28.284999999999968</v>
      </c>
      <c r="AE186" s="68">
        <v>41</v>
      </c>
      <c r="AF186" s="68">
        <v>59.02</v>
      </c>
      <c r="AG186" s="68">
        <v>1636855</v>
      </c>
      <c r="AH186" s="45">
        <v>2999</v>
      </c>
      <c r="AI186" s="45">
        <v>2999</v>
      </c>
      <c r="AJ186" s="79">
        <f>TABL123[[#This Row],[(A/B TOT) AJD]]-TABL123[[#This Row],[BER_ IN]]</f>
        <v>521</v>
      </c>
      <c r="AK186" s="68">
        <v>14</v>
      </c>
      <c r="AL186" s="88">
        <v>41.000700000000002</v>
      </c>
      <c r="AM186" s="88">
        <v>2041850</v>
      </c>
      <c r="AN186" s="88">
        <f>TABL123[[#This Row],[ (RESV. STORGE) SER]]/10</f>
        <v>204185</v>
      </c>
      <c r="AO186" s="45">
        <v>1950</v>
      </c>
      <c r="AP186" s="32">
        <f>TABL123[[#This Row],[(A/S TOT) AJD]]-TABL123[[#This Row],[SER_ IN]]</f>
        <v>247</v>
      </c>
    </row>
    <row r="187" spans="1:42" ht="18.75" x14ac:dyDescent="0.3">
      <c r="A187" s="2">
        <v>46208</v>
      </c>
      <c r="B187" s="41">
        <v>46</v>
      </c>
      <c r="C187" s="41">
        <v>378</v>
      </c>
      <c r="D187" s="41">
        <f t="shared" si="8"/>
        <v>46</v>
      </c>
      <c r="E187" s="41">
        <v>0</v>
      </c>
      <c r="F187" s="41">
        <v>92</v>
      </c>
      <c r="G187" s="39">
        <v>617</v>
      </c>
      <c r="H187" s="28">
        <f t="shared" si="5"/>
        <v>11</v>
      </c>
      <c r="I187" s="39">
        <v>525</v>
      </c>
      <c r="J187" s="39">
        <v>510</v>
      </c>
      <c r="K187" s="28">
        <f>TABL123[[#This Row],[خط (T/B  TOT) SAR]]+TABL123[[#This Row],[خط (S/S  TOT) SAR2]]</f>
        <v>1035</v>
      </c>
      <c r="L187" s="41">
        <v>410</v>
      </c>
      <c r="M187" s="42">
        <v>27.6</v>
      </c>
      <c r="N187" s="42">
        <v>7.84</v>
      </c>
      <c r="O187" s="39">
        <v>434</v>
      </c>
      <c r="P187" s="12">
        <f>TABL123[[#This Row],[خط (S/S  TOT) SAR2]]-TABL123[[#This Row],[(S/S TOT) AJD]]</f>
        <v>76</v>
      </c>
      <c r="Q187" s="39">
        <v>466</v>
      </c>
      <c r="R187" s="12">
        <f>TABL123[[#This Row],[خط (T/B  TOT) SAR]]-TABL123[[#This Row],[(T/B TOT) AJD]]</f>
        <v>59</v>
      </c>
      <c r="S187" s="12">
        <f>TABL123[[#This Row],[الفرق بين بداية ونهاية خط  T/B]]+TABL123[[#This Row],[الفرق بين بداية ونهاية خط  S/S]]</f>
        <v>135</v>
      </c>
      <c r="T187" s="12">
        <f>TABL123[[#This Row],[(S/S TOT) AJD]]+TABL123[[#This Row],[(T/B TOT) AJD]]</f>
        <v>900</v>
      </c>
      <c r="U187" s="41">
        <v>559</v>
      </c>
      <c r="V187" s="41">
        <v>270</v>
      </c>
      <c r="W187" s="10">
        <f>TABL123[[#This Row],[(A/B TOT) AJD]]+TABL123[[#This Row],[(A/S TOT) AJD]]</f>
        <v>829</v>
      </c>
      <c r="X187" s="10">
        <f>TABL123[[#This Row],[( S/S+T/B) AJD]]-TABL123[[#This Row],[(A/B + A/S) AJD]]</f>
        <v>71</v>
      </c>
      <c r="Y187" s="41">
        <v>92.539000000000001</v>
      </c>
      <c r="Z187" s="43">
        <v>519863</v>
      </c>
      <c r="AA187" s="3">
        <f>TABL123[[#This Row],[(RESV. STORGE) AJD]]/10</f>
        <v>51986.3</v>
      </c>
      <c r="AB187" s="45">
        <f t="shared" si="6"/>
        <v>41.103999999999999</v>
      </c>
      <c r="AC187" s="43">
        <v>3004</v>
      </c>
      <c r="AD187" s="84">
        <f>TABL123[[#This Row],[( S/S+T/B) AJD]]-(TABL123[[#This Row],[(A/B + A/S) AJD]]+(TABL123[[#This Row],[(STORGE DIFF.) AJD]])+TABL123[[#This Row],[البخر  AJD]]/1000)</f>
        <v>26.891999999999939</v>
      </c>
      <c r="AE187" s="68">
        <v>42</v>
      </c>
      <c r="AF187" s="68">
        <v>58.98</v>
      </c>
      <c r="AG187" s="68">
        <v>1610447</v>
      </c>
      <c r="AH187" s="43">
        <v>2728</v>
      </c>
      <c r="AI187" s="43">
        <v>2728</v>
      </c>
      <c r="AJ187" s="79">
        <f>TABL123[[#This Row],[(A/B TOT) AJD]]-TABL123[[#This Row],[BER_ IN]]</f>
        <v>517</v>
      </c>
      <c r="AK187" s="68">
        <v>13</v>
      </c>
      <c r="AL187" s="88">
        <v>40.9925</v>
      </c>
      <c r="AM187" s="88">
        <v>2037770</v>
      </c>
      <c r="AN187" s="88">
        <f>TABL123[[#This Row],[ (RESV. STORGE) SER]]/10</f>
        <v>203777</v>
      </c>
      <c r="AO187" s="43">
        <v>2015</v>
      </c>
      <c r="AP187" s="32">
        <f>TABL123[[#This Row],[(A/S TOT) AJD]]-TABL123[[#This Row],[SER_ IN]]</f>
        <v>257</v>
      </c>
    </row>
    <row r="188" spans="1:42" ht="18.75" x14ac:dyDescent="0.3">
      <c r="A188" s="2">
        <v>46209</v>
      </c>
      <c r="B188" s="44">
        <v>46</v>
      </c>
      <c r="C188" s="44">
        <v>373</v>
      </c>
      <c r="D188" s="44">
        <f t="shared" si="8"/>
        <v>46</v>
      </c>
      <c r="E188" s="44">
        <v>0</v>
      </c>
      <c r="F188" s="44">
        <v>92</v>
      </c>
      <c r="G188" s="40">
        <v>617</v>
      </c>
      <c r="H188" s="28">
        <f t="shared" si="5"/>
        <v>11</v>
      </c>
      <c r="I188" s="40">
        <v>532</v>
      </c>
      <c r="J188" s="44">
        <v>518</v>
      </c>
      <c r="K188" s="28">
        <f>TABL123[[#This Row],[خط (T/B  TOT) SAR]]+TABL123[[#This Row],[خط (S/S  TOT) SAR2]]</f>
        <v>1050</v>
      </c>
      <c r="L188" s="45">
        <v>410</v>
      </c>
      <c r="M188" s="46">
        <v>27.6</v>
      </c>
      <c r="N188" s="46">
        <v>7.82</v>
      </c>
      <c r="O188" s="40">
        <v>469</v>
      </c>
      <c r="P188" s="12">
        <f>TABL123[[#This Row],[خط (S/S  TOT) SAR2]]-TABL123[[#This Row],[(S/S TOT) AJD]]</f>
        <v>49</v>
      </c>
      <c r="Q188" s="40">
        <v>437</v>
      </c>
      <c r="R188" s="12">
        <f>TABL123[[#This Row],[خط (T/B  TOT) SAR]]-TABL123[[#This Row],[(T/B TOT) AJD]]</f>
        <v>95</v>
      </c>
      <c r="S188" s="12">
        <f>TABL123[[#This Row],[الفرق بين بداية ونهاية خط  T/B]]+TABL123[[#This Row],[الفرق بين بداية ونهاية خط  S/S]]</f>
        <v>144</v>
      </c>
      <c r="T188" s="12">
        <f>TABL123[[#This Row],[(S/S TOT) AJD]]+TABL123[[#This Row],[(T/B TOT) AJD]]</f>
        <v>906</v>
      </c>
      <c r="U188" s="44">
        <v>568</v>
      </c>
      <c r="V188" s="44">
        <v>283</v>
      </c>
      <c r="W188" s="12">
        <f>TABL123[[#This Row],[(A/B TOT) AJD]]+TABL123[[#This Row],[(A/S TOT) AJD]]</f>
        <v>851</v>
      </c>
      <c r="X188" s="12">
        <f>TABL123[[#This Row],[( S/S+T/B) AJD]]-TABL123[[#This Row],[(A/B + A/S) AJD]]</f>
        <v>55</v>
      </c>
      <c r="Y188" s="44">
        <v>92.573999999999998</v>
      </c>
      <c r="Z188" s="45">
        <v>540725</v>
      </c>
      <c r="AA188" s="3">
        <f>TABL123[[#This Row],[(RESV. STORGE) AJD]]/10</f>
        <v>54072.5</v>
      </c>
      <c r="AB188" s="45">
        <f t="shared" si="6"/>
        <v>20.861999999999998</v>
      </c>
      <c r="AC188" s="45">
        <v>2170</v>
      </c>
      <c r="AD188" s="84">
        <f>TABL123[[#This Row],[( S/S+T/B) AJD]]-(TABL123[[#This Row],[(A/B + A/S) AJD]]+(TABL123[[#This Row],[(STORGE DIFF.) AJD]])+TABL123[[#This Row],[البخر  AJD]]/1000)</f>
        <v>31.968000000000075</v>
      </c>
      <c r="AE188" s="68">
        <v>39</v>
      </c>
      <c r="AF188" s="68">
        <v>58.97</v>
      </c>
      <c r="AG188" s="68">
        <v>1603847</v>
      </c>
      <c r="AH188" s="45">
        <v>2999</v>
      </c>
      <c r="AI188" s="45">
        <v>2999</v>
      </c>
      <c r="AJ188" s="79">
        <f>TABL123[[#This Row],[(A/B TOT) AJD]]-TABL123[[#This Row],[BER_ IN]]</f>
        <v>529</v>
      </c>
      <c r="AK188" s="68">
        <v>14</v>
      </c>
      <c r="AL188" s="88">
        <v>40.979300000000002</v>
      </c>
      <c r="AM188" s="88">
        <v>2030920</v>
      </c>
      <c r="AN188" s="88">
        <f>TABL123[[#This Row],[ (RESV. STORGE) SER]]/10</f>
        <v>203092</v>
      </c>
      <c r="AO188" s="45">
        <v>2035</v>
      </c>
      <c r="AP188" s="32">
        <f>TABL123[[#This Row],[(A/S TOT) AJD]]-TABL123[[#This Row],[SER_ IN]]</f>
        <v>269</v>
      </c>
    </row>
    <row r="189" spans="1:42" ht="18.75" x14ac:dyDescent="0.3">
      <c r="A189" s="2">
        <v>46210</v>
      </c>
      <c r="B189" s="41">
        <v>47</v>
      </c>
      <c r="C189" s="41">
        <v>378</v>
      </c>
      <c r="D189" s="41">
        <f t="shared" si="8"/>
        <v>47</v>
      </c>
      <c r="E189" s="41">
        <v>0</v>
      </c>
      <c r="F189" s="41">
        <v>92</v>
      </c>
      <c r="G189" s="39">
        <v>611</v>
      </c>
      <c r="H189" s="28">
        <f t="shared" si="5"/>
        <v>11</v>
      </c>
      <c r="I189" s="39">
        <v>533</v>
      </c>
      <c r="J189" s="39">
        <v>518</v>
      </c>
      <c r="K189" s="28">
        <f>TABL123[[#This Row],[خط (T/B  TOT) SAR]]+TABL123[[#This Row],[خط (S/S  TOT) SAR2]]</f>
        <v>1051</v>
      </c>
      <c r="L189" s="41">
        <v>512</v>
      </c>
      <c r="M189" s="42">
        <v>27.6</v>
      </c>
      <c r="N189" s="42">
        <v>7.86</v>
      </c>
      <c r="O189" s="39">
        <v>435</v>
      </c>
      <c r="P189" s="12">
        <f>TABL123[[#This Row],[خط (S/S  TOT) SAR2]]-TABL123[[#This Row],[(S/S TOT) AJD]]</f>
        <v>83</v>
      </c>
      <c r="Q189" s="39">
        <v>465</v>
      </c>
      <c r="R189" s="12">
        <f>TABL123[[#This Row],[خط (T/B  TOT) SAR]]-TABL123[[#This Row],[(T/B TOT) AJD]]</f>
        <v>68</v>
      </c>
      <c r="S189" s="12">
        <f>TABL123[[#This Row],[الفرق بين بداية ونهاية خط  T/B]]+TABL123[[#This Row],[الفرق بين بداية ونهاية خط  S/S]]</f>
        <v>151</v>
      </c>
      <c r="T189" s="12">
        <f>TABL123[[#This Row],[(S/S TOT) AJD]]+TABL123[[#This Row],[(T/B TOT) AJD]]</f>
        <v>900</v>
      </c>
      <c r="U189" s="41">
        <v>565</v>
      </c>
      <c r="V189" s="41">
        <v>285</v>
      </c>
      <c r="W189" s="12">
        <f>TABL123[[#This Row],[(A/B TOT) AJD]]+TABL123[[#This Row],[(A/S TOT) AJD]]</f>
        <v>850</v>
      </c>
      <c r="X189" s="12">
        <f>TABL123[[#This Row],[( S/S+T/B) AJD]]-TABL123[[#This Row],[(A/B + A/S) AJD]]</f>
        <v>50</v>
      </c>
      <c r="Y189" s="41">
        <v>92.603999999999999</v>
      </c>
      <c r="Z189" s="43">
        <v>558617</v>
      </c>
      <c r="AA189" s="3">
        <f>TABL123[[#This Row],[(RESV. STORGE) AJD]]/10</f>
        <v>55861.7</v>
      </c>
      <c r="AB189" s="45">
        <f t="shared" si="6"/>
        <v>17.891999999999999</v>
      </c>
      <c r="AC189" s="43">
        <v>2981</v>
      </c>
      <c r="AD189" s="84">
        <f>TABL123[[#This Row],[( S/S+T/B) AJD]]-(TABL123[[#This Row],[(A/B + A/S) AJD]]+(TABL123[[#This Row],[(STORGE DIFF.) AJD]])+TABL123[[#This Row],[البخر  AJD]]/1000)</f>
        <v>29.126999999999953</v>
      </c>
      <c r="AE189" s="68">
        <v>48</v>
      </c>
      <c r="AF189" s="68">
        <v>58.95</v>
      </c>
      <c r="AG189" s="68">
        <v>1590650</v>
      </c>
      <c r="AH189" s="43">
        <v>2987</v>
      </c>
      <c r="AI189" s="43">
        <v>2987</v>
      </c>
      <c r="AJ189" s="79">
        <f>TABL123[[#This Row],[(A/B TOT) AJD]]-TABL123[[#This Row],[BER_ IN]]</f>
        <v>517</v>
      </c>
      <c r="AK189" s="68">
        <v>22</v>
      </c>
      <c r="AL189" s="88">
        <v>40.976100000000002</v>
      </c>
      <c r="AM189" s="88">
        <v>2028840</v>
      </c>
      <c r="AN189" s="88">
        <f>TABL123[[#This Row],[ (RESV. STORGE) SER]]/10</f>
        <v>202884</v>
      </c>
      <c r="AO189" s="43">
        <v>2048</v>
      </c>
      <c r="AP189" s="32">
        <f>TABL123[[#This Row],[(A/S TOT) AJD]]-TABL123[[#This Row],[SER_ IN]]</f>
        <v>263</v>
      </c>
    </row>
    <row r="190" spans="1:42" ht="18.75" x14ac:dyDescent="0.3">
      <c r="A190" s="2">
        <v>46211</v>
      </c>
      <c r="B190" s="44">
        <v>47</v>
      </c>
      <c r="C190" s="44">
        <v>378</v>
      </c>
      <c r="D190" s="44">
        <f t="shared" si="8"/>
        <v>47</v>
      </c>
      <c r="E190" s="44">
        <v>0</v>
      </c>
      <c r="F190" s="44">
        <v>92</v>
      </c>
      <c r="G190" s="40">
        <v>616</v>
      </c>
      <c r="H190" s="28">
        <f t="shared" si="5"/>
        <v>11</v>
      </c>
      <c r="I190" s="40">
        <v>537</v>
      </c>
      <c r="J190" s="44">
        <v>520</v>
      </c>
      <c r="K190" s="28">
        <f>TABL123[[#This Row],[خط (T/B  TOT) SAR]]+TABL123[[#This Row],[خط (S/S  TOT) SAR2]]</f>
        <v>1057</v>
      </c>
      <c r="L190" s="45">
        <v>411</v>
      </c>
      <c r="M190" s="46">
        <v>27.6</v>
      </c>
      <c r="N190" s="46">
        <v>7.89</v>
      </c>
      <c r="O190" s="40">
        <v>436</v>
      </c>
      <c r="P190" s="12">
        <f>TABL123[[#This Row],[خط (S/S  TOT) SAR2]]-TABL123[[#This Row],[(S/S TOT) AJD]]</f>
        <v>84</v>
      </c>
      <c r="Q190" s="40">
        <v>468</v>
      </c>
      <c r="R190" s="12">
        <f>TABL123[[#This Row],[خط (T/B  TOT) SAR]]-TABL123[[#This Row],[(T/B TOT) AJD]]</f>
        <v>69</v>
      </c>
      <c r="S190" s="12">
        <f>TABL123[[#This Row],[الفرق بين بداية ونهاية خط  T/B]]+TABL123[[#This Row],[الفرق بين بداية ونهاية خط  S/S]]</f>
        <v>153</v>
      </c>
      <c r="T190" s="12">
        <f>TABL123[[#This Row],[(S/S TOT) AJD]]+TABL123[[#This Row],[(T/B TOT) AJD]]</f>
        <v>904</v>
      </c>
      <c r="U190" s="44">
        <v>559</v>
      </c>
      <c r="V190" s="44">
        <v>280</v>
      </c>
      <c r="W190" s="12">
        <f>TABL123[[#This Row],[(A/B TOT) AJD]]+TABL123[[#This Row],[(A/S TOT) AJD]]</f>
        <v>839</v>
      </c>
      <c r="X190" s="12">
        <f>TABL123[[#This Row],[( S/S+T/B) AJD]]-TABL123[[#This Row],[(A/B + A/S) AJD]]</f>
        <v>65</v>
      </c>
      <c r="Y190" s="44">
        <v>92.656999999999996</v>
      </c>
      <c r="Z190" s="45">
        <v>590439</v>
      </c>
      <c r="AA190" s="3">
        <f>TABL123[[#This Row],[(RESV. STORGE) AJD]]/10</f>
        <v>59043.9</v>
      </c>
      <c r="AB190" s="45">
        <f t="shared" si="6"/>
        <v>31.821999999999999</v>
      </c>
      <c r="AC190" s="45">
        <v>3243</v>
      </c>
      <c r="AD190" s="84">
        <f>TABL123[[#This Row],[( S/S+T/B) AJD]]-(TABL123[[#This Row],[(A/B + A/S) AJD]]+(TABL123[[#This Row],[(STORGE DIFF.) AJD]])+TABL123[[#This Row],[البخر  AJD]]/1000)</f>
        <v>29.934999999999945</v>
      </c>
      <c r="AE190" s="68">
        <v>50</v>
      </c>
      <c r="AF190" s="68">
        <v>58.91</v>
      </c>
      <c r="AG190" s="68">
        <v>1564266</v>
      </c>
      <c r="AH190" s="45">
        <v>2999</v>
      </c>
      <c r="AI190" s="45">
        <v>2999</v>
      </c>
      <c r="AJ190" s="79">
        <f>TABL123[[#This Row],[(A/B TOT) AJD]]-TABL123[[#This Row],[BER_ IN]]</f>
        <v>509</v>
      </c>
      <c r="AK190" s="68">
        <v>23</v>
      </c>
      <c r="AL190" s="88">
        <v>40.973399999999998</v>
      </c>
      <c r="AM190" s="88">
        <v>2027130</v>
      </c>
      <c r="AN190" s="88">
        <f>TABL123[[#This Row],[ (RESV. STORGE) SER]]/10</f>
        <v>202713</v>
      </c>
      <c r="AO190" s="45">
        <v>2050</v>
      </c>
      <c r="AP190" s="32">
        <f>TABL123[[#This Row],[(A/S TOT) AJD]]-TABL123[[#This Row],[SER_ IN]]</f>
        <v>257</v>
      </c>
    </row>
    <row r="191" spans="1:42" ht="18.75" x14ac:dyDescent="0.3">
      <c r="A191" s="2">
        <v>46212</v>
      </c>
      <c r="B191" s="41">
        <v>47</v>
      </c>
      <c r="C191" s="41">
        <v>399</v>
      </c>
      <c r="D191" s="41">
        <f t="shared" si="8"/>
        <v>47</v>
      </c>
      <c r="E191" s="41">
        <v>0</v>
      </c>
      <c r="F191" s="41">
        <v>92</v>
      </c>
      <c r="G191" s="39">
        <v>611</v>
      </c>
      <c r="H191" s="28">
        <f t="shared" si="5"/>
        <v>11</v>
      </c>
      <c r="I191" s="39">
        <v>540</v>
      </c>
      <c r="J191" s="39">
        <v>525</v>
      </c>
      <c r="K191" s="28">
        <f>TABL123[[#This Row],[خط (T/B  TOT) SAR]]+TABL123[[#This Row],[خط (S/S  TOT) SAR2]]</f>
        <v>1065</v>
      </c>
      <c r="L191" s="41">
        <v>414</v>
      </c>
      <c r="M191" s="42">
        <v>27.6</v>
      </c>
      <c r="N191" s="42">
        <v>7.98</v>
      </c>
      <c r="O191" s="39">
        <v>440</v>
      </c>
      <c r="P191" s="12">
        <f>TABL123[[#This Row],[خط (S/S  TOT) SAR2]]-TABL123[[#This Row],[(S/S TOT) AJD]]</f>
        <v>85</v>
      </c>
      <c r="Q191" s="39">
        <v>473</v>
      </c>
      <c r="R191" s="12">
        <f>TABL123[[#This Row],[خط (T/B  TOT) SAR]]-TABL123[[#This Row],[(T/B TOT) AJD]]</f>
        <v>67</v>
      </c>
      <c r="S191" s="12">
        <f>TABL123[[#This Row],[الفرق بين بداية ونهاية خط  T/B]]+TABL123[[#This Row],[الفرق بين بداية ونهاية خط  S/S]]</f>
        <v>152</v>
      </c>
      <c r="T191" s="12">
        <f>TABL123[[#This Row],[(S/S TOT) AJD]]+TABL123[[#This Row],[(T/B TOT) AJD]]</f>
        <v>913</v>
      </c>
      <c r="U191" s="41">
        <v>559</v>
      </c>
      <c r="V191" s="41">
        <v>267</v>
      </c>
      <c r="W191" s="12">
        <f>TABL123[[#This Row],[(A/B TOT) AJD]]+TABL123[[#This Row],[(A/S TOT) AJD]]</f>
        <v>826</v>
      </c>
      <c r="X191" s="12">
        <f>TABL123[[#This Row],[( S/S+T/B) AJD]]-TABL123[[#This Row],[(A/B + A/S) AJD]]</f>
        <v>87</v>
      </c>
      <c r="Y191" s="41">
        <v>92.733999999999995</v>
      </c>
      <c r="Z191" s="43">
        <v>636044</v>
      </c>
      <c r="AA191" s="3">
        <f>TABL123[[#This Row],[(RESV. STORGE) AJD]]/10</f>
        <v>63604.4</v>
      </c>
      <c r="AB191" s="45">
        <f t="shared" si="6"/>
        <v>45.604999999999997</v>
      </c>
      <c r="AC191" s="43">
        <v>3125</v>
      </c>
      <c r="AD191" s="84">
        <f>TABL123[[#This Row],[( S/S+T/B) AJD]]-(TABL123[[#This Row],[(A/B + A/S) AJD]]+(TABL123[[#This Row],[(STORGE DIFF.) AJD]])+TABL123[[#This Row],[البخر  AJD]]/1000)</f>
        <v>38.269999999999982</v>
      </c>
      <c r="AE191" s="68">
        <v>56</v>
      </c>
      <c r="AF191" s="68">
        <v>58.88</v>
      </c>
      <c r="AG191" s="68">
        <v>1544487</v>
      </c>
      <c r="AH191" s="43">
        <v>2999</v>
      </c>
      <c r="AI191" s="43">
        <v>2999</v>
      </c>
      <c r="AJ191" s="79">
        <f>TABL123[[#This Row],[(A/B TOT) AJD]]-TABL123[[#This Row],[BER_ IN]]</f>
        <v>503</v>
      </c>
      <c r="AK191" s="68">
        <v>32</v>
      </c>
      <c r="AL191" s="88">
        <v>40.979100000000003</v>
      </c>
      <c r="AM191" s="88">
        <v>2028840</v>
      </c>
      <c r="AN191" s="88">
        <f>TABL123[[#This Row],[ (RESV. STORGE) SER]]/10</f>
        <v>202884</v>
      </c>
      <c r="AO191" s="43">
        <v>2057</v>
      </c>
      <c r="AP191" s="32">
        <f>TABL123[[#This Row],[(A/S TOT) AJD]]-TABL123[[#This Row],[SER_ IN]]</f>
        <v>235</v>
      </c>
    </row>
    <row r="192" spans="1:42" ht="18.75" x14ac:dyDescent="0.3">
      <c r="A192" s="2">
        <v>46213</v>
      </c>
      <c r="B192" s="44">
        <v>47</v>
      </c>
      <c r="C192" s="44">
        <v>395</v>
      </c>
      <c r="D192" s="44">
        <f t="shared" si="8"/>
        <v>47</v>
      </c>
      <c r="E192" s="44">
        <v>0</v>
      </c>
      <c r="F192" s="44">
        <v>92</v>
      </c>
      <c r="G192" s="40">
        <v>611</v>
      </c>
      <c r="H192" s="28">
        <f t="shared" si="5"/>
        <v>11</v>
      </c>
      <c r="I192" s="40">
        <v>560</v>
      </c>
      <c r="J192" s="44">
        <v>535</v>
      </c>
      <c r="K192" s="28">
        <f>TABL123[[#This Row],[خط (T/B  TOT) SAR]]+TABL123[[#This Row],[خط (S/S  TOT) SAR2]]</f>
        <v>1095</v>
      </c>
      <c r="L192" s="45">
        <v>437</v>
      </c>
      <c r="M192" s="46">
        <v>29.4</v>
      </c>
      <c r="N192" s="46">
        <v>7.87</v>
      </c>
      <c r="O192" s="40">
        <v>477</v>
      </c>
      <c r="P192" s="12">
        <f>TABL123[[#This Row],[خط (S/S  TOT) SAR2]]-TABL123[[#This Row],[(S/S TOT) AJD]]</f>
        <v>58</v>
      </c>
      <c r="Q192" s="40">
        <v>477</v>
      </c>
      <c r="R192" s="12">
        <f>TABL123[[#This Row],[خط (T/B  TOT) SAR]]-TABL123[[#This Row],[(T/B TOT) AJD]]</f>
        <v>83</v>
      </c>
      <c r="S192" s="12">
        <f>TABL123[[#This Row],[الفرق بين بداية ونهاية خط  T/B]]+TABL123[[#This Row],[الفرق بين بداية ونهاية خط  S/S]]</f>
        <v>141</v>
      </c>
      <c r="T192" s="12">
        <f>TABL123[[#This Row],[(S/S TOT) AJD]]+TABL123[[#This Row],[(T/B TOT) AJD]]</f>
        <v>954</v>
      </c>
      <c r="U192" s="44">
        <v>559</v>
      </c>
      <c r="V192" s="44">
        <v>273</v>
      </c>
      <c r="W192" s="12">
        <f>TABL123[[#This Row],[(A/B TOT) AJD]]+TABL123[[#This Row],[(A/S TOT) AJD]]</f>
        <v>832</v>
      </c>
      <c r="X192" s="12">
        <f>TABL123[[#This Row],[( S/S+T/B) AJD]]-TABL123[[#This Row],[(A/B + A/S) AJD]]</f>
        <v>122</v>
      </c>
      <c r="Y192" s="44">
        <v>92.825999999999993</v>
      </c>
      <c r="Z192" s="45">
        <v>691250</v>
      </c>
      <c r="AA192" s="3">
        <f>TABL123[[#This Row],[(RESV. STORGE) AJD]]/10</f>
        <v>69125</v>
      </c>
      <c r="AB192" s="45">
        <f t="shared" si="6"/>
        <v>55.206000000000003</v>
      </c>
      <c r="AC192" s="45">
        <v>2100</v>
      </c>
      <c r="AD192" s="84">
        <f>TABL123[[#This Row],[( S/S+T/B) AJD]]-(TABL123[[#This Row],[(A/B + A/S) AJD]]+(TABL123[[#This Row],[(STORGE DIFF.) AJD]])+TABL123[[#This Row],[البخر  AJD]]/1000)</f>
        <v>64.69399999999996</v>
      </c>
      <c r="AE192" s="68">
        <v>77</v>
      </c>
      <c r="AF192" s="68">
        <v>58.89</v>
      </c>
      <c r="AG192" s="68">
        <v>1551079</v>
      </c>
      <c r="AH192" s="45">
        <v>2999</v>
      </c>
      <c r="AI192" s="45">
        <v>2999</v>
      </c>
      <c r="AJ192" s="79">
        <f>TABL123[[#This Row],[(A/B TOT) AJD]]-TABL123[[#This Row],[BER_ IN]]</f>
        <v>482</v>
      </c>
      <c r="AK192" s="68">
        <v>41</v>
      </c>
      <c r="AL192" s="88">
        <v>40.978700000000003</v>
      </c>
      <c r="AM192" s="88">
        <v>2030220</v>
      </c>
      <c r="AN192" s="88">
        <f>TABL123[[#This Row],[ (RESV. STORGE) SER]]/10</f>
        <v>203022</v>
      </c>
      <c r="AO192" s="45">
        <v>2075</v>
      </c>
      <c r="AP192" s="32">
        <f>TABL123[[#This Row],[(A/S TOT) AJD]]-TABL123[[#This Row],[SER_ IN]]</f>
        <v>232</v>
      </c>
    </row>
    <row r="193" spans="1:42" ht="18.75" x14ac:dyDescent="0.3">
      <c r="A193" s="2">
        <v>46214</v>
      </c>
      <c r="B193" s="41">
        <v>47</v>
      </c>
      <c r="C193" s="41">
        <v>387</v>
      </c>
      <c r="D193" s="41">
        <f t="shared" si="8"/>
        <v>47</v>
      </c>
      <c r="E193" s="41">
        <v>0</v>
      </c>
      <c r="F193" s="41">
        <v>92</v>
      </c>
      <c r="G193" s="39">
        <v>611</v>
      </c>
      <c r="H193" s="28">
        <f t="shared" si="5"/>
        <v>11</v>
      </c>
      <c r="I193" s="39">
        <v>558</v>
      </c>
      <c r="J193" s="39">
        <v>532</v>
      </c>
      <c r="K193" s="28">
        <f>TABL123[[#This Row],[خط (T/B  TOT) SAR]]+TABL123[[#This Row],[خط (S/S  TOT) SAR2]]</f>
        <v>1090</v>
      </c>
      <c r="L193" s="41">
        <v>438</v>
      </c>
      <c r="M193" s="42">
        <v>29.4</v>
      </c>
      <c r="N193" s="42">
        <v>7.81</v>
      </c>
      <c r="O193" s="39">
        <v>453</v>
      </c>
      <c r="P193" s="12">
        <f>TABL123[[#This Row],[خط (S/S  TOT) SAR2]]-TABL123[[#This Row],[(S/S TOT) AJD]]</f>
        <v>79</v>
      </c>
      <c r="Q193" s="39">
        <v>486</v>
      </c>
      <c r="R193" s="12">
        <f>TABL123[[#This Row],[خط (T/B  TOT) SAR]]-TABL123[[#This Row],[(T/B TOT) AJD]]</f>
        <v>72</v>
      </c>
      <c r="S193" s="12">
        <f>TABL123[[#This Row],[الفرق بين بداية ونهاية خط  T/B]]+TABL123[[#This Row],[الفرق بين بداية ونهاية خط  S/S]]</f>
        <v>151</v>
      </c>
      <c r="T193" s="12">
        <f>TABL123[[#This Row],[(S/S TOT) AJD]]+TABL123[[#This Row],[(T/B TOT) AJD]]</f>
        <v>939</v>
      </c>
      <c r="U193" s="41">
        <v>567</v>
      </c>
      <c r="V193" s="41">
        <v>257</v>
      </c>
      <c r="W193" s="12">
        <f>TABL123[[#This Row],[(A/B TOT) AJD]]+TABL123[[#This Row],[(A/S TOT) AJD]]</f>
        <v>824</v>
      </c>
      <c r="X193" s="12">
        <f>TABL123[[#This Row],[( S/S+T/B) AJD]]-TABL123[[#This Row],[(A/B + A/S) AJD]]</f>
        <v>115</v>
      </c>
      <c r="Y193" s="41">
        <v>92.945999999999998</v>
      </c>
      <c r="Z193" s="43">
        <v>763115</v>
      </c>
      <c r="AA193" s="3">
        <f>TABL123[[#This Row],[(RESV. STORGE) AJD]]/10</f>
        <v>76311.5</v>
      </c>
      <c r="AB193" s="45">
        <f t="shared" si="6"/>
        <v>71.864999999999995</v>
      </c>
      <c r="AC193" s="43">
        <v>2689</v>
      </c>
      <c r="AD193" s="84">
        <f>TABL123[[#This Row],[( S/S+T/B) AJD]]-(TABL123[[#This Row],[(A/B + A/S) AJD]]+(TABL123[[#This Row],[(STORGE DIFF.) AJD]])+TABL123[[#This Row],[البخر  AJD]]/1000)</f>
        <v>40.446000000000026</v>
      </c>
      <c r="AE193" s="68">
        <v>77</v>
      </c>
      <c r="AF193" s="68">
        <v>58.86</v>
      </c>
      <c r="AG193" s="68">
        <v>1531306</v>
      </c>
      <c r="AH193" s="68">
        <v>3000</v>
      </c>
      <c r="AI193" s="68">
        <v>3000</v>
      </c>
      <c r="AJ193" s="79">
        <f>TABL123[[#This Row],[(A/B TOT) AJD]]-TABL123[[#This Row],[BER_ IN]]</f>
        <v>490</v>
      </c>
      <c r="AK193" s="68">
        <v>42</v>
      </c>
      <c r="AL193" s="88">
        <v>40.9848</v>
      </c>
      <c r="AM193" s="88">
        <v>2033560</v>
      </c>
      <c r="AN193" s="88">
        <f>TABL123[[#This Row],[ (RESV. STORGE) SER]]/10</f>
        <v>203356</v>
      </c>
      <c r="AO193" s="43">
        <v>2095</v>
      </c>
      <c r="AP193" s="32">
        <f>TABL123[[#This Row],[(A/S TOT) AJD]]-TABL123[[#This Row],[SER_ IN]]</f>
        <v>215</v>
      </c>
    </row>
    <row r="194" spans="1:42" ht="18.75" x14ac:dyDescent="0.3">
      <c r="A194" s="2">
        <v>46215</v>
      </c>
      <c r="B194" s="44">
        <v>47</v>
      </c>
      <c r="C194" s="44">
        <v>382</v>
      </c>
      <c r="D194" s="44">
        <f t="shared" si="8"/>
        <v>47</v>
      </c>
      <c r="E194" s="44">
        <v>0</v>
      </c>
      <c r="F194" s="44">
        <v>92</v>
      </c>
      <c r="G194" s="40">
        <v>611</v>
      </c>
      <c r="H194" s="28">
        <f t="shared" ref="H194:H257" si="9">103-F194</f>
        <v>11</v>
      </c>
      <c r="I194" s="40">
        <v>558</v>
      </c>
      <c r="J194" s="44">
        <v>535</v>
      </c>
      <c r="K194" s="28">
        <f>TABL123[[#This Row],[خط (T/B  TOT) SAR]]+TABL123[[#This Row],[خط (S/S  TOT) SAR2]]</f>
        <v>1093</v>
      </c>
      <c r="L194" s="45">
        <v>437</v>
      </c>
      <c r="M194" s="46">
        <v>29.4</v>
      </c>
      <c r="N194" s="46">
        <v>7.69</v>
      </c>
      <c r="O194" s="40">
        <v>454</v>
      </c>
      <c r="P194" s="12">
        <f>TABL123[[#This Row],[خط (S/S  TOT) SAR2]]-TABL123[[#This Row],[(S/S TOT) AJD]]</f>
        <v>81</v>
      </c>
      <c r="Q194" s="40">
        <v>486</v>
      </c>
      <c r="R194" s="12">
        <f>TABL123[[#This Row],[خط (T/B  TOT) SAR]]-TABL123[[#This Row],[(T/B TOT) AJD]]</f>
        <v>72</v>
      </c>
      <c r="S194" s="12">
        <f>TABL123[[#This Row],[الفرق بين بداية ونهاية خط  T/B]]+TABL123[[#This Row],[الفرق بين بداية ونهاية خط  S/S]]</f>
        <v>153</v>
      </c>
      <c r="T194" s="12">
        <f>TABL123[[#This Row],[(S/S TOT) AJD]]+TABL123[[#This Row],[(T/B TOT) AJD]]</f>
        <v>940</v>
      </c>
      <c r="U194" s="44">
        <v>584</v>
      </c>
      <c r="V194" s="44">
        <v>327</v>
      </c>
      <c r="W194" s="12">
        <f>TABL123[[#This Row],[(A/B TOT) AJD]]+TABL123[[#This Row],[(A/S TOT) AJD]]</f>
        <v>911</v>
      </c>
      <c r="X194" s="12">
        <f>TABL123[[#This Row],[( S/S+T/B) AJD]]-TABL123[[#This Row],[(A/B + A/S) AJD]]</f>
        <v>29</v>
      </c>
      <c r="Y194" s="44">
        <v>92.921000000000006</v>
      </c>
      <c r="Z194" s="45">
        <v>748132</v>
      </c>
      <c r="AA194" s="3">
        <f>TABL123[[#This Row],[(RESV. STORGE) AJD]]/10</f>
        <v>74813.2</v>
      </c>
      <c r="AB194" s="45">
        <f t="shared" si="6"/>
        <v>-14.983000000000001</v>
      </c>
      <c r="AC194" s="45">
        <v>3397</v>
      </c>
      <c r="AD194" s="84">
        <f>TABL123[[#This Row],[( S/S+T/B) AJD]]-(TABL123[[#This Row],[(A/B + A/S) AJD]]+(TABL123[[#This Row],[(STORGE DIFF.) AJD]])+TABL123[[#This Row],[البخر  AJD]]/1000)</f>
        <v>40.585999999999899</v>
      </c>
      <c r="AE194" s="68">
        <v>82</v>
      </c>
      <c r="AF194" s="68">
        <v>58.83</v>
      </c>
      <c r="AG194" s="68">
        <v>1511540</v>
      </c>
      <c r="AH194" s="45">
        <v>2987</v>
      </c>
      <c r="AI194" s="45">
        <v>2987</v>
      </c>
      <c r="AJ194" s="79">
        <f>TABL123[[#This Row],[(A/B TOT) AJD]]-TABL123[[#This Row],[BER_ IN]]</f>
        <v>502</v>
      </c>
      <c r="AK194" s="68">
        <v>60</v>
      </c>
      <c r="AL194" s="88">
        <v>41.0366</v>
      </c>
      <c r="AM194" s="88">
        <v>2060900</v>
      </c>
      <c r="AN194" s="88">
        <f>TABL123[[#This Row],[ (RESV. STORGE) SER]]/10</f>
        <v>206090</v>
      </c>
      <c r="AO194" s="45">
        <v>2115</v>
      </c>
      <c r="AP194" s="32">
        <f>TABL123[[#This Row],[(A/S TOT) AJD]]-TABL123[[#This Row],[SER_ IN]]</f>
        <v>267</v>
      </c>
    </row>
    <row r="195" spans="1:42" ht="18.75" x14ac:dyDescent="0.3">
      <c r="A195" s="2">
        <v>46216</v>
      </c>
      <c r="B195" s="41">
        <v>47</v>
      </c>
      <c r="C195" s="41">
        <v>390</v>
      </c>
      <c r="D195" s="41">
        <f t="shared" si="8"/>
        <v>47</v>
      </c>
      <c r="E195" s="41">
        <v>0</v>
      </c>
      <c r="F195" s="41">
        <v>92</v>
      </c>
      <c r="G195" s="39">
        <v>611</v>
      </c>
      <c r="H195" s="28">
        <f t="shared" si="9"/>
        <v>11</v>
      </c>
      <c r="I195" s="39">
        <v>555</v>
      </c>
      <c r="J195" s="39">
        <v>530</v>
      </c>
      <c r="K195" s="28">
        <f>TABL123[[#This Row],[خط (T/B  TOT) SAR]]+TABL123[[#This Row],[خط (S/S  TOT) SAR2]]</f>
        <v>1085</v>
      </c>
      <c r="L195" s="41">
        <v>430</v>
      </c>
      <c r="M195" s="42">
        <v>29.4</v>
      </c>
      <c r="N195" s="42">
        <v>7.59</v>
      </c>
      <c r="O195" s="39">
        <v>452</v>
      </c>
      <c r="P195" s="12">
        <f>TABL123[[#This Row],[خط (S/S  TOT) SAR2]]-TABL123[[#This Row],[(S/S TOT) AJD]]</f>
        <v>78</v>
      </c>
      <c r="Q195" s="39">
        <v>485</v>
      </c>
      <c r="R195" s="12">
        <f>TABL123[[#This Row],[خط (T/B  TOT) SAR]]-TABL123[[#This Row],[(T/B TOT) AJD]]</f>
        <v>70</v>
      </c>
      <c r="S195" s="12">
        <f>TABL123[[#This Row],[الفرق بين بداية ونهاية خط  T/B]]+TABL123[[#This Row],[الفرق بين بداية ونهاية خط  S/S]]</f>
        <v>148</v>
      </c>
      <c r="T195" s="12">
        <f>TABL123[[#This Row],[(S/S TOT) AJD]]+TABL123[[#This Row],[(T/B TOT) AJD]]</f>
        <v>937</v>
      </c>
      <c r="U195" s="41">
        <v>587</v>
      </c>
      <c r="V195" s="41">
        <v>352</v>
      </c>
      <c r="W195" s="12">
        <f>TABL123[[#This Row],[(A/B TOT) AJD]]+TABL123[[#This Row],[(A/S TOT) AJD]]</f>
        <v>939</v>
      </c>
      <c r="X195" s="12">
        <f>TABL123[[#This Row],[( S/S+T/B) AJD]]-TABL123[[#This Row],[(A/B + A/S) AJD]]</f>
        <v>-2</v>
      </c>
      <c r="Y195" s="41">
        <v>92.843999999999994</v>
      </c>
      <c r="Z195" s="43">
        <v>702025</v>
      </c>
      <c r="AA195" s="3">
        <f>TABL123[[#This Row],[(RESV. STORGE) AJD]]/10</f>
        <v>70202.5</v>
      </c>
      <c r="AB195" s="45">
        <f t="shared" si="6"/>
        <v>-46.106999999999999</v>
      </c>
      <c r="AC195" s="43">
        <v>3150</v>
      </c>
      <c r="AD195" s="84">
        <f>TABL123[[#This Row],[( S/S+T/B) AJD]]-(TABL123[[#This Row],[(A/B + A/S) AJD]]+(TABL123[[#This Row],[(STORGE DIFF.) AJD]])+TABL123[[#This Row],[البخر  AJD]]/1000)</f>
        <v>40.956999999999994</v>
      </c>
      <c r="AE195" s="68">
        <v>86</v>
      </c>
      <c r="AF195" s="68">
        <v>58.82</v>
      </c>
      <c r="AG195" s="68">
        <v>1504953</v>
      </c>
      <c r="AH195" s="43">
        <v>2414</v>
      </c>
      <c r="AI195" s="43">
        <v>2414</v>
      </c>
      <c r="AJ195" s="79">
        <f>TABL123[[#This Row],[(A/B TOT) AJD]]-TABL123[[#This Row],[BER_ IN]]</f>
        <v>501</v>
      </c>
      <c r="AK195" s="68">
        <v>68</v>
      </c>
      <c r="AL195" s="88">
        <v>41.119100000000003</v>
      </c>
      <c r="AM195" s="88">
        <v>2104220</v>
      </c>
      <c r="AN195" s="88">
        <f>TABL123[[#This Row],[ (RESV. STORGE) SER]]/10</f>
        <v>210422</v>
      </c>
      <c r="AO195" s="43">
        <v>2125</v>
      </c>
      <c r="AP195" s="32">
        <f>TABL123[[#This Row],[(A/S TOT) AJD]]-TABL123[[#This Row],[SER_ IN]]</f>
        <v>284</v>
      </c>
    </row>
    <row r="196" spans="1:42" ht="18.75" x14ac:dyDescent="0.3">
      <c r="A196" s="2">
        <v>46217</v>
      </c>
      <c r="B196" s="44">
        <v>48</v>
      </c>
      <c r="C196" s="44">
        <v>382</v>
      </c>
      <c r="D196" s="44">
        <f t="shared" si="8"/>
        <v>48</v>
      </c>
      <c r="E196" s="44">
        <v>0</v>
      </c>
      <c r="F196" s="44">
        <v>92</v>
      </c>
      <c r="G196" s="40">
        <v>611</v>
      </c>
      <c r="H196" s="28">
        <f t="shared" si="9"/>
        <v>11</v>
      </c>
      <c r="I196" s="40">
        <v>550</v>
      </c>
      <c r="J196" s="44">
        <v>532</v>
      </c>
      <c r="K196" s="28">
        <f>TABL123[[#This Row],[خط (T/B  TOT) SAR]]+TABL123[[#This Row],[خط (S/S  TOT) SAR2]]</f>
        <v>1082</v>
      </c>
      <c r="L196" s="45">
        <v>426</v>
      </c>
      <c r="M196" s="46">
        <v>29.4</v>
      </c>
      <c r="N196" s="46">
        <v>7.5</v>
      </c>
      <c r="O196" s="40">
        <v>448</v>
      </c>
      <c r="P196" s="12">
        <f>TABL123[[#This Row],[خط (S/S  TOT) SAR2]]-TABL123[[#This Row],[(S/S TOT) AJD]]</f>
        <v>84</v>
      </c>
      <c r="Q196" s="40">
        <v>483</v>
      </c>
      <c r="R196" s="12">
        <f>TABL123[[#This Row],[خط (T/B  TOT) SAR]]-TABL123[[#This Row],[(T/B TOT) AJD]]</f>
        <v>67</v>
      </c>
      <c r="S196" s="12">
        <f>TABL123[[#This Row],[الفرق بين بداية ونهاية خط  T/B]]+TABL123[[#This Row],[الفرق بين بداية ونهاية خط  S/S]]</f>
        <v>151</v>
      </c>
      <c r="T196" s="12">
        <f>TABL123[[#This Row],[(S/S TOT) AJD]]+TABL123[[#This Row],[(T/B TOT) AJD]]</f>
        <v>931</v>
      </c>
      <c r="U196" s="44">
        <v>586</v>
      </c>
      <c r="V196" s="44">
        <v>360</v>
      </c>
      <c r="W196" s="12">
        <f>TABL123[[#This Row],[(A/B TOT) AJD]]+TABL123[[#This Row],[(A/S TOT) AJD]]</f>
        <v>946</v>
      </c>
      <c r="X196" s="12">
        <f>TABL123[[#This Row],[( S/S+T/B) AJD]]-TABL123[[#This Row],[(A/B + A/S) AJD]]</f>
        <v>-15</v>
      </c>
      <c r="Y196" s="44">
        <v>92.759</v>
      </c>
      <c r="Z196" s="45">
        <v>651182</v>
      </c>
      <c r="AA196" s="3">
        <f>TABL123[[#This Row],[(RESV. STORGE) AJD]]/10</f>
        <v>65118.2</v>
      </c>
      <c r="AB196" s="45">
        <f t="shared" ref="AB196:AB259" si="10">(Z196-Z195)/1000</f>
        <v>-50.843000000000004</v>
      </c>
      <c r="AC196" s="45">
        <v>2499</v>
      </c>
      <c r="AD196" s="84">
        <f>TABL123[[#This Row],[( S/S+T/B) AJD]]-(TABL123[[#This Row],[(A/B + A/S) AJD]]+(TABL123[[#This Row],[(STORGE DIFF.) AJD]])+TABL123[[#This Row],[البخر  AJD]]/1000)</f>
        <v>33.343999999999937</v>
      </c>
      <c r="AE196" s="68">
        <v>86</v>
      </c>
      <c r="AF196" s="68">
        <v>58.84</v>
      </c>
      <c r="AG196" s="68">
        <v>1518127</v>
      </c>
      <c r="AH196" s="45">
        <v>2367</v>
      </c>
      <c r="AI196" s="45">
        <v>2367</v>
      </c>
      <c r="AJ196" s="79">
        <f>TABL123[[#This Row],[(A/B TOT) AJD]]-TABL123[[#This Row],[BER_ IN]]</f>
        <v>500</v>
      </c>
      <c r="AK196" s="68">
        <v>70</v>
      </c>
      <c r="AL196" s="88">
        <v>41.213700000000003</v>
      </c>
      <c r="AM196" s="88">
        <v>2154110</v>
      </c>
      <c r="AN196" s="88">
        <f>TABL123[[#This Row],[ (RESV. STORGE) SER]]/10</f>
        <v>215411</v>
      </c>
      <c r="AO196" s="45">
        <v>2130</v>
      </c>
      <c r="AP196" s="32">
        <f>TABL123[[#This Row],[(A/S TOT) AJD]]-TABL123[[#This Row],[SER_ IN]]</f>
        <v>290</v>
      </c>
    </row>
    <row r="197" spans="1:42" ht="18.75" x14ac:dyDescent="0.3">
      <c r="A197" s="2">
        <v>46218</v>
      </c>
      <c r="B197" s="41">
        <v>48</v>
      </c>
      <c r="C197" s="41">
        <v>366</v>
      </c>
      <c r="D197" s="41">
        <f t="shared" si="8"/>
        <v>48</v>
      </c>
      <c r="E197" s="41">
        <v>0</v>
      </c>
      <c r="F197" s="41">
        <v>60</v>
      </c>
      <c r="G197" s="39">
        <v>409</v>
      </c>
      <c r="H197" s="28">
        <f t="shared" si="9"/>
        <v>43</v>
      </c>
      <c r="I197" s="39">
        <v>444</v>
      </c>
      <c r="J197" s="39">
        <v>428</v>
      </c>
      <c r="K197" s="28">
        <f>TABL123[[#This Row],[خط (T/B  TOT) SAR]]+TABL123[[#This Row],[خط (S/S  TOT) SAR2]]</f>
        <v>872</v>
      </c>
      <c r="L197" s="41">
        <v>426</v>
      </c>
      <c r="M197" s="42">
        <v>29.4</v>
      </c>
      <c r="N197" s="42">
        <v>7.41</v>
      </c>
      <c r="O197" s="39">
        <v>399</v>
      </c>
      <c r="P197" s="12">
        <f>TABL123[[#This Row],[خط (S/S  TOT) SAR2]]-TABL123[[#This Row],[(S/S TOT) AJD]]</f>
        <v>29</v>
      </c>
      <c r="Q197" s="39">
        <v>440</v>
      </c>
      <c r="R197" s="12">
        <f>TABL123[[#This Row],[خط (T/B  TOT) SAR]]-TABL123[[#This Row],[(T/B TOT) AJD]]</f>
        <v>4</v>
      </c>
      <c r="S197" s="12">
        <f>TABL123[[#This Row],[الفرق بين بداية ونهاية خط  T/B]]+TABL123[[#This Row],[الفرق بين بداية ونهاية خط  S/S]]</f>
        <v>33</v>
      </c>
      <c r="T197" s="12">
        <f>TABL123[[#This Row],[(S/S TOT) AJD]]+TABL123[[#This Row],[(T/B TOT) AJD]]</f>
        <v>839</v>
      </c>
      <c r="U197" s="41">
        <v>577</v>
      </c>
      <c r="V197" s="41">
        <v>329</v>
      </c>
      <c r="W197" s="12">
        <f>TABL123[[#This Row],[(A/B TOT) AJD]]+TABL123[[#This Row],[(A/S TOT) AJD]]</f>
        <v>906</v>
      </c>
      <c r="X197" s="12">
        <f>TABL123[[#This Row],[( S/S+T/B) AJD]]-TABL123[[#This Row],[(A/B + A/S) AJD]]</f>
        <v>-67</v>
      </c>
      <c r="Y197" s="41">
        <v>92.573999999999998</v>
      </c>
      <c r="Z197" s="43">
        <v>540720</v>
      </c>
      <c r="AA197" s="3">
        <f>TABL123[[#This Row],[(RESV. STORGE) AJD]]/10</f>
        <v>54072</v>
      </c>
      <c r="AB197" s="45">
        <f t="shared" si="10"/>
        <v>-110.462</v>
      </c>
      <c r="AC197" s="43">
        <v>2834</v>
      </c>
      <c r="AD197" s="84">
        <f>TABL123[[#This Row],[( S/S+T/B) AJD]]-(TABL123[[#This Row],[(A/B + A/S) AJD]]+(TABL123[[#This Row],[(STORGE DIFF.) AJD]])+TABL123[[#This Row],[البخر  AJD]]/1000)</f>
        <v>40.628000000000043</v>
      </c>
      <c r="AE197" s="68">
        <v>86</v>
      </c>
      <c r="AF197" s="68">
        <v>58.835999999999999</v>
      </c>
      <c r="AG197" s="68">
        <v>1515492</v>
      </c>
      <c r="AH197" s="43">
        <v>2635</v>
      </c>
      <c r="AI197" s="43">
        <v>2635</v>
      </c>
      <c r="AJ197" s="79">
        <f>TABL123[[#This Row],[(A/B TOT) AJD]]-TABL123[[#This Row],[BER_ IN]]</f>
        <v>491</v>
      </c>
      <c r="AK197" s="68">
        <v>71</v>
      </c>
      <c r="AL197" s="88">
        <v>41.320300000000003</v>
      </c>
      <c r="AM197" s="88">
        <v>2210540</v>
      </c>
      <c r="AN197" s="88">
        <f>TABL123[[#This Row],[ (RESV. STORGE) SER]]/10</f>
        <v>221054</v>
      </c>
      <c r="AO197" s="43">
        <v>2140</v>
      </c>
      <c r="AP197" s="32">
        <f>TABL123[[#This Row],[(A/S TOT) AJD]]-TABL123[[#This Row],[SER_ IN]]</f>
        <v>258</v>
      </c>
    </row>
    <row r="198" spans="1:42" ht="18.75" x14ac:dyDescent="0.3">
      <c r="A198" s="2">
        <v>46219</v>
      </c>
      <c r="B198" s="44">
        <v>48</v>
      </c>
      <c r="C198" s="44">
        <v>376</v>
      </c>
      <c r="D198" s="44">
        <f t="shared" si="8"/>
        <v>48</v>
      </c>
      <c r="E198" s="44">
        <v>0</v>
      </c>
      <c r="F198" s="44">
        <v>92</v>
      </c>
      <c r="G198" s="40">
        <v>611</v>
      </c>
      <c r="H198" s="28">
        <f t="shared" si="9"/>
        <v>11</v>
      </c>
      <c r="I198" s="40">
        <v>540</v>
      </c>
      <c r="J198" s="44">
        <v>526</v>
      </c>
      <c r="K198" s="28">
        <f>TABL123[[#This Row],[خط (T/B  TOT) SAR]]+TABL123[[#This Row],[خط (S/S  TOT) SAR2]]</f>
        <v>1066</v>
      </c>
      <c r="L198" s="45">
        <v>426</v>
      </c>
      <c r="M198" s="46">
        <v>29.4</v>
      </c>
      <c r="N198" s="46">
        <v>7.27</v>
      </c>
      <c r="O198" s="40">
        <v>321</v>
      </c>
      <c r="P198" s="12">
        <f>TABL123[[#This Row],[خط (S/S  TOT) SAR2]]-TABL123[[#This Row],[(S/S TOT) AJD]]</f>
        <v>205</v>
      </c>
      <c r="Q198" s="40">
        <v>351</v>
      </c>
      <c r="R198" s="12">
        <f>TABL123[[#This Row],[خط (T/B  TOT) SAR]]-TABL123[[#This Row],[(T/B TOT) AJD]]</f>
        <v>189</v>
      </c>
      <c r="S198" s="12">
        <f>TABL123[[#This Row],[الفرق بين بداية ونهاية خط  T/B]]+TABL123[[#This Row],[الفرق بين بداية ونهاية خط  S/S]]</f>
        <v>394</v>
      </c>
      <c r="T198" s="12">
        <f>TABL123[[#This Row],[(S/S TOT) AJD]]+TABL123[[#This Row],[(T/B TOT) AJD]]</f>
        <v>672</v>
      </c>
      <c r="U198" s="44">
        <v>584</v>
      </c>
      <c r="V198" s="44">
        <v>312</v>
      </c>
      <c r="W198" s="12">
        <f>TABL123[[#This Row],[(A/B TOT) AJD]]+TABL123[[#This Row],[(A/S TOT) AJD]]</f>
        <v>896</v>
      </c>
      <c r="X198" s="12">
        <f>TABL123[[#This Row],[( S/S+T/B) AJD]]-TABL123[[#This Row],[(A/B + A/S) AJD]]</f>
        <v>-224</v>
      </c>
      <c r="Y198" s="44">
        <v>92.144999999999996</v>
      </c>
      <c r="Z198" s="45">
        <v>284490</v>
      </c>
      <c r="AA198" s="3">
        <f>TABL123[[#This Row],[(RESV. STORGE) AJD]]/10</f>
        <v>28449</v>
      </c>
      <c r="AB198" s="45">
        <f t="shared" si="10"/>
        <v>-256.23</v>
      </c>
      <c r="AC198" s="45">
        <v>2149</v>
      </c>
      <c r="AD198" s="84">
        <f>TABL123[[#This Row],[( S/S+T/B) AJD]]-(TABL123[[#This Row],[(A/B + A/S) AJD]]+(TABL123[[#This Row],[(STORGE DIFF.) AJD]])+TABL123[[#This Row],[البخر  AJD]]/1000)</f>
        <v>30.081000000000017</v>
      </c>
      <c r="AE198" s="68">
        <v>90</v>
      </c>
      <c r="AF198" s="68">
        <v>58.85</v>
      </c>
      <c r="AG198" s="68">
        <v>1524716</v>
      </c>
      <c r="AH198" s="45">
        <v>2357</v>
      </c>
      <c r="AI198" s="45">
        <v>2357</v>
      </c>
      <c r="AJ198" s="79">
        <f>TABL123[[#This Row],[(A/B TOT) AJD]]-TABL123[[#This Row],[BER_ IN]]</f>
        <v>494</v>
      </c>
      <c r="AK198" s="68">
        <v>70</v>
      </c>
      <c r="AL198" s="88">
        <v>41.420499999999997</v>
      </c>
      <c r="AM198" s="88">
        <v>2263420</v>
      </c>
      <c r="AN198" s="88">
        <f>TABL123[[#This Row],[ (RESV. STORGE) SER]]/10</f>
        <v>226342</v>
      </c>
      <c r="AO198" s="45">
        <v>1820</v>
      </c>
      <c r="AP198" s="32">
        <f>TABL123[[#This Row],[(A/S TOT) AJD]]-TABL123[[#This Row],[SER_ IN]]</f>
        <v>242</v>
      </c>
    </row>
    <row r="199" spans="1:42" ht="18.75" x14ac:dyDescent="0.3">
      <c r="A199" s="2">
        <v>46220</v>
      </c>
      <c r="B199" s="41">
        <v>50</v>
      </c>
      <c r="C199" s="41">
        <v>400</v>
      </c>
      <c r="D199" s="41">
        <f t="shared" si="8"/>
        <v>50</v>
      </c>
      <c r="E199" s="41">
        <v>0</v>
      </c>
      <c r="F199" s="41">
        <v>92</v>
      </c>
      <c r="G199" s="39">
        <v>611</v>
      </c>
      <c r="H199" s="28">
        <f t="shared" si="9"/>
        <v>11</v>
      </c>
      <c r="I199" s="39">
        <v>537</v>
      </c>
      <c r="J199" s="39">
        <v>525</v>
      </c>
      <c r="K199" s="28">
        <f>TABL123[[#This Row],[خط (T/B  TOT) SAR]]+TABL123[[#This Row],[خط (S/S  TOT) SAR2]]</f>
        <v>1062</v>
      </c>
      <c r="L199" s="41">
        <v>426</v>
      </c>
      <c r="M199" s="42">
        <v>29.4</v>
      </c>
      <c r="N199" s="42">
        <v>7.26</v>
      </c>
      <c r="O199" s="39">
        <v>432</v>
      </c>
      <c r="P199" s="12">
        <f>TABL123[[#This Row],[خط (S/S  TOT) SAR2]]-TABL123[[#This Row],[(S/S TOT) AJD]]</f>
        <v>93</v>
      </c>
      <c r="Q199" s="39">
        <v>460</v>
      </c>
      <c r="R199" s="12">
        <f>TABL123[[#This Row],[خط (T/B  TOT) SAR]]-TABL123[[#This Row],[(T/B TOT) AJD]]</f>
        <v>77</v>
      </c>
      <c r="S199" s="12">
        <f>TABL123[[#This Row],[الفرق بين بداية ونهاية خط  T/B]]+TABL123[[#This Row],[الفرق بين بداية ونهاية خط  S/S]]</f>
        <v>170</v>
      </c>
      <c r="T199" s="12">
        <f>TABL123[[#This Row],[(S/S TOT) AJD]]+TABL123[[#This Row],[(T/B TOT) AJD]]</f>
        <v>892</v>
      </c>
      <c r="U199" s="41">
        <v>550</v>
      </c>
      <c r="V199" s="41">
        <v>277</v>
      </c>
      <c r="W199" s="12">
        <f>TABL123[[#This Row],[(A/B TOT) AJD]]+TABL123[[#This Row],[(A/S TOT) AJD]]</f>
        <v>827</v>
      </c>
      <c r="X199" s="12">
        <f>TABL123[[#This Row],[( S/S+T/B) AJD]]-TABL123[[#This Row],[(A/B + A/S) AJD]]</f>
        <v>65</v>
      </c>
      <c r="Y199" s="41">
        <v>92.215000000000003</v>
      </c>
      <c r="Z199" s="43">
        <v>327188</v>
      </c>
      <c r="AA199" s="3">
        <f>TABL123[[#This Row],[(RESV. STORGE) AJD]]/10</f>
        <v>32718.799999999999</v>
      </c>
      <c r="AB199" s="45">
        <f t="shared" si="10"/>
        <v>42.698</v>
      </c>
      <c r="AC199" s="43">
        <v>3015</v>
      </c>
      <c r="AD199" s="84">
        <f>TABL123[[#This Row],[( S/S+T/B) AJD]]-(TABL123[[#This Row],[(A/B + A/S) AJD]]+(TABL123[[#This Row],[(STORGE DIFF.) AJD]])+TABL123[[#This Row],[البخر  AJD]]/1000)</f>
        <v>19.287000000000035</v>
      </c>
      <c r="AE199" s="68">
        <v>61</v>
      </c>
      <c r="AF199" s="68">
        <v>58.83</v>
      </c>
      <c r="AG199" s="68">
        <v>1512810</v>
      </c>
      <c r="AH199" s="43">
        <v>2400</v>
      </c>
      <c r="AI199" s="43">
        <v>2400</v>
      </c>
      <c r="AJ199" s="79">
        <f>TABL123[[#This Row],[(A/B TOT) AJD]]-TABL123[[#This Row],[BER_ IN]]</f>
        <v>489</v>
      </c>
      <c r="AK199" s="68">
        <v>51</v>
      </c>
      <c r="AL199" s="88">
        <v>41.489100000000001</v>
      </c>
      <c r="AM199" s="88">
        <v>2299400</v>
      </c>
      <c r="AN199" s="88">
        <f>TABL123[[#This Row],[ (RESV. STORGE) SER]]/10</f>
        <v>229940</v>
      </c>
      <c r="AO199" s="43">
        <v>1920</v>
      </c>
      <c r="AP199" s="32">
        <f>TABL123[[#This Row],[(A/S TOT) AJD]]-TABL123[[#This Row],[SER_ IN]]</f>
        <v>226</v>
      </c>
    </row>
    <row r="200" spans="1:42" ht="18.75" x14ac:dyDescent="0.3">
      <c r="A200" s="2">
        <v>46221</v>
      </c>
      <c r="B200" s="44">
        <v>49</v>
      </c>
      <c r="C200" s="44">
        <v>311</v>
      </c>
      <c r="D200" s="44">
        <f t="shared" si="8"/>
        <v>49</v>
      </c>
      <c r="E200" s="44">
        <v>0</v>
      </c>
      <c r="F200" s="44">
        <v>90</v>
      </c>
      <c r="G200" s="40">
        <v>602</v>
      </c>
      <c r="H200" s="28">
        <f t="shared" si="9"/>
        <v>13</v>
      </c>
      <c r="I200" s="40">
        <v>470</v>
      </c>
      <c r="J200" s="44">
        <v>480</v>
      </c>
      <c r="K200" s="28">
        <f>TABL123[[#This Row],[خط (T/B  TOT) SAR]]+TABL123[[#This Row],[خط (S/S  TOT) SAR2]]</f>
        <v>950</v>
      </c>
      <c r="L200" s="45">
        <v>423</v>
      </c>
      <c r="M200" s="46">
        <v>29.5</v>
      </c>
      <c r="N200" s="46">
        <v>7.29</v>
      </c>
      <c r="O200" s="40">
        <v>439</v>
      </c>
      <c r="P200" s="12">
        <f>TABL123[[#This Row],[خط (S/S  TOT) SAR2]]-TABL123[[#This Row],[(S/S TOT) AJD]]</f>
        <v>41</v>
      </c>
      <c r="Q200" s="40">
        <v>472</v>
      </c>
      <c r="R200" s="12">
        <f>TABL123[[#This Row],[خط (T/B  TOT) SAR]]-TABL123[[#This Row],[(T/B TOT) AJD]]</f>
        <v>-2</v>
      </c>
      <c r="S200" s="12">
        <f>TABL123[[#This Row],[الفرق بين بداية ونهاية خط  T/B]]+TABL123[[#This Row],[الفرق بين بداية ونهاية خط  S/S]]</f>
        <v>39</v>
      </c>
      <c r="T200" s="12">
        <f>TABL123[[#This Row],[(S/S TOT) AJD]]+TABL123[[#This Row],[(T/B TOT) AJD]]</f>
        <v>911</v>
      </c>
      <c r="U200" s="44">
        <v>487</v>
      </c>
      <c r="V200" s="44">
        <v>275</v>
      </c>
      <c r="W200" s="12">
        <f>TABL123[[#This Row],[(A/B TOT) AJD]]+TABL123[[#This Row],[(A/S TOT) AJD]]</f>
        <v>762</v>
      </c>
      <c r="X200" s="12">
        <f>TABL123[[#This Row],[( S/S+T/B) AJD]]-TABL123[[#This Row],[(A/B + A/S) AJD]]</f>
        <v>149</v>
      </c>
      <c r="Y200" s="44">
        <v>92.424999999999997</v>
      </c>
      <c r="Z200" s="45">
        <v>451974</v>
      </c>
      <c r="AA200" s="3">
        <f>TABL123[[#This Row],[(RESV. STORGE) AJD]]/10</f>
        <v>45197.4</v>
      </c>
      <c r="AB200" s="45">
        <f t="shared" si="10"/>
        <v>124.786</v>
      </c>
      <c r="AC200" s="45">
        <v>3226</v>
      </c>
      <c r="AD200" s="84">
        <f>TABL123[[#This Row],[( S/S+T/B) AJD]]-(TABL123[[#This Row],[(A/B + A/S) AJD]]+(TABL123[[#This Row],[(STORGE DIFF.) AJD]])+TABL123[[#This Row],[البخر  AJD]]/1000)</f>
        <v>20.987999999999943</v>
      </c>
      <c r="AE200" s="68">
        <v>51</v>
      </c>
      <c r="AF200" s="68">
        <v>58.87</v>
      </c>
      <c r="AG200" s="68">
        <v>1537896</v>
      </c>
      <c r="AH200" s="45">
        <v>2999</v>
      </c>
      <c r="AI200" s="45">
        <v>2999</v>
      </c>
      <c r="AJ200" s="79">
        <f>TABL123[[#This Row],[(A/B TOT) AJD]]-TABL123[[#This Row],[BER_ IN]]</f>
        <v>436</v>
      </c>
      <c r="AK200" s="68">
        <v>42</v>
      </c>
      <c r="AL200" s="88">
        <v>41.5</v>
      </c>
      <c r="AM200" s="88">
        <v>2304060</v>
      </c>
      <c r="AN200" s="88">
        <f>TABL123[[#This Row],[ (RESV. STORGE) SER]]/10</f>
        <v>230406</v>
      </c>
      <c r="AO200" s="45">
        <v>1940</v>
      </c>
      <c r="AP200" s="32">
        <f>TABL123[[#This Row],[(A/S TOT) AJD]]-TABL123[[#This Row],[SER_ IN]]</f>
        <v>233</v>
      </c>
    </row>
    <row r="201" spans="1:42" ht="18.75" x14ac:dyDescent="0.3">
      <c r="A201" s="2">
        <v>46222</v>
      </c>
      <c r="B201" s="41">
        <v>49</v>
      </c>
      <c r="C201" s="41">
        <v>190</v>
      </c>
      <c r="D201" s="41">
        <f t="shared" si="8"/>
        <v>49</v>
      </c>
      <c r="E201" s="41">
        <v>0</v>
      </c>
      <c r="F201" s="41">
        <v>90</v>
      </c>
      <c r="G201" s="39">
        <v>599</v>
      </c>
      <c r="H201" s="28">
        <f t="shared" si="9"/>
        <v>13</v>
      </c>
      <c r="I201" s="39">
        <v>465</v>
      </c>
      <c r="J201" s="39">
        <v>460</v>
      </c>
      <c r="K201" s="28">
        <f>TABL123[[#This Row],[خط (T/B  TOT) SAR]]+TABL123[[#This Row],[خط (S/S  TOT) SAR2]]</f>
        <v>925</v>
      </c>
      <c r="L201" s="41">
        <v>390</v>
      </c>
      <c r="M201" s="42">
        <v>29.4</v>
      </c>
      <c r="N201" s="42">
        <v>7.29</v>
      </c>
      <c r="O201" s="39">
        <v>355</v>
      </c>
      <c r="P201" s="12">
        <f>TABL123[[#This Row],[خط (S/S  TOT) SAR2]]-TABL123[[#This Row],[(S/S TOT) AJD]]</f>
        <v>105</v>
      </c>
      <c r="Q201" s="39">
        <v>385</v>
      </c>
      <c r="R201" s="12">
        <f>TABL123[[#This Row],[خط (T/B  TOT) SAR]]-TABL123[[#This Row],[(T/B TOT) AJD]]</f>
        <v>80</v>
      </c>
      <c r="S201" s="12">
        <f>TABL123[[#This Row],[الفرق بين بداية ونهاية خط  T/B]]+TABL123[[#This Row],[الفرق بين بداية ونهاية خط  S/S]]</f>
        <v>185</v>
      </c>
      <c r="T201" s="12">
        <f>TABL123[[#This Row],[(S/S TOT) AJD]]+TABL123[[#This Row],[(T/B TOT) AJD]]</f>
        <v>740</v>
      </c>
      <c r="U201" s="41">
        <v>453</v>
      </c>
      <c r="V201" s="41">
        <v>258</v>
      </c>
      <c r="W201" s="12">
        <f>TABL123[[#This Row],[(A/B TOT) AJD]]+TABL123[[#This Row],[(A/S TOT) AJD]]</f>
        <v>711</v>
      </c>
      <c r="X201" s="12">
        <f>TABL123[[#This Row],[( S/S+T/B) AJD]]-TABL123[[#This Row],[(A/B + A/S) AJD]]</f>
        <v>29</v>
      </c>
      <c r="Y201" s="41">
        <v>92.406999999999996</v>
      </c>
      <c r="Z201" s="43">
        <v>441261</v>
      </c>
      <c r="AA201" s="3">
        <f>TABL123[[#This Row],[(RESV. STORGE) AJD]]/10</f>
        <v>44126.1</v>
      </c>
      <c r="AB201" s="45">
        <f t="shared" si="10"/>
        <v>-10.712999999999999</v>
      </c>
      <c r="AC201" s="43">
        <v>2082</v>
      </c>
      <c r="AD201" s="84">
        <f>TABL123[[#This Row],[( S/S+T/B) AJD]]-(TABL123[[#This Row],[(A/B + A/S) AJD]]+(TABL123[[#This Row],[(STORGE DIFF.) AJD]])+TABL123[[#This Row],[البخر  AJD]]/1000)</f>
        <v>37.630999999999972</v>
      </c>
      <c r="AE201" s="68">
        <v>50</v>
      </c>
      <c r="AF201" s="68">
        <v>58.92</v>
      </c>
      <c r="AG201" s="68">
        <v>1570861</v>
      </c>
      <c r="AH201" s="43">
        <v>3004</v>
      </c>
      <c r="AI201" s="43">
        <v>3004</v>
      </c>
      <c r="AJ201" s="79">
        <f>TABL123[[#This Row],[(A/B TOT) AJD]]-TABL123[[#This Row],[BER_ IN]]</f>
        <v>403</v>
      </c>
      <c r="AK201" s="68">
        <v>21</v>
      </c>
      <c r="AL201" s="88">
        <v>41.534999999999997</v>
      </c>
      <c r="AM201" s="88">
        <v>2322990</v>
      </c>
      <c r="AN201" s="88">
        <f>TABL123[[#This Row],[ (RESV. STORGE) SER]]/10</f>
        <v>232299</v>
      </c>
      <c r="AO201" s="43">
        <v>2070</v>
      </c>
      <c r="AP201" s="32">
        <f>TABL123[[#This Row],[(A/S TOT) AJD]]-TABL123[[#This Row],[SER_ IN]]</f>
        <v>237</v>
      </c>
    </row>
    <row r="202" spans="1:42" ht="18.75" x14ac:dyDescent="0.3">
      <c r="A202" s="2">
        <v>46223</v>
      </c>
      <c r="B202" s="44">
        <v>50</v>
      </c>
      <c r="C202" s="44">
        <v>279</v>
      </c>
      <c r="D202" s="44">
        <f t="shared" si="8"/>
        <v>50</v>
      </c>
      <c r="E202" s="44">
        <v>0</v>
      </c>
      <c r="F202" s="44">
        <v>90</v>
      </c>
      <c r="G202" s="40">
        <v>599</v>
      </c>
      <c r="H202" s="28">
        <f t="shared" si="9"/>
        <v>13</v>
      </c>
      <c r="I202" s="40">
        <v>459</v>
      </c>
      <c r="J202" s="44">
        <v>445</v>
      </c>
      <c r="K202" s="28">
        <f>TABL123[[#This Row],[خط (T/B  TOT) SAR]]+TABL123[[#This Row],[خط (S/S  TOT) SAR2]]</f>
        <v>904</v>
      </c>
      <c r="L202" s="45">
        <v>310</v>
      </c>
      <c r="M202" s="46">
        <v>29.4</v>
      </c>
      <c r="N202" s="46">
        <v>7.29</v>
      </c>
      <c r="O202" s="40">
        <v>329</v>
      </c>
      <c r="P202" s="12">
        <f>TABL123[[#This Row],[خط (S/S  TOT) SAR2]]-TABL123[[#This Row],[(S/S TOT) AJD]]</f>
        <v>116</v>
      </c>
      <c r="Q202" s="40">
        <v>345</v>
      </c>
      <c r="R202" s="12">
        <f>TABL123[[#This Row],[خط (T/B  TOT) SAR]]-TABL123[[#This Row],[(T/B TOT) AJD]]</f>
        <v>114</v>
      </c>
      <c r="S202" s="12">
        <f>TABL123[[#This Row],[الفرق بين بداية ونهاية خط  T/B]]+TABL123[[#This Row],[الفرق بين بداية ونهاية خط  S/S]]</f>
        <v>230</v>
      </c>
      <c r="T202" s="12">
        <f>TABL123[[#This Row],[(S/S TOT) AJD]]+TABL123[[#This Row],[(T/B TOT) AJD]]</f>
        <v>674</v>
      </c>
      <c r="U202" s="44">
        <v>479</v>
      </c>
      <c r="V202" s="44">
        <v>238</v>
      </c>
      <c r="W202" s="12">
        <f>TABL123[[#This Row],[(A/B TOT) AJD]]+TABL123[[#This Row],[(A/S TOT) AJD]]</f>
        <v>717</v>
      </c>
      <c r="X202" s="12">
        <f>TABL123[[#This Row],[( S/S+T/B) AJD]]-TABL123[[#This Row],[(A/B + A/S) AJD]]</f>
        <v>-43</v>
      </c>
      <c r="Y202" s="44">
        <v>92.295000000000002</v>
      </c>
      <c r="Z202" s="45">
        <v>374687</v>
      </c>
      <c r="AA202" s="3">
        <f>TABL123[[#This Row],[(RESV. STORGE) AJD]]/10</f>
        <v>37468.699999999997</v>
      </c>
      <c r="AB202" s="45">
        <f t="shared" si="10"/>
        <v>-66.573999999999998</v>
      </c>
      <c r="AC202" s="45">
        <v>3800</v>
      </c>
      <c r="AD202" s="84">
        <f>TABL123[[#This Row],[( S/S+T/B) AJD]]-(TABL123[[#This Row],[(A/B + A/S) AJD]]+(TABL123[[#This Row],[(STORGE DIFF.) AJD]])+TABL123[[#This Row],[البخر  AJD]]/1000)</f>
        <v>19.774000000000001</v>
      </c>
      <c r="AE202" s="68">
        <v>50</v>
      </c>
      <c r="AF202" s="68">
        <v>58.991999999999997</v>
      </c>
      <c r="AG202" s="68">
        <v>1618368</v>
      </c>
      <c r="AH202" s="45">
        <v>2492</v>
      </c>
      <c r="AI202" s="45">
        <v>2492</v>
      </c>
      <c r="AJ202" s="79">
        <f>TABL123[[#This Row],[(A/B TOT) AJD]]-TABL123[[#This Row],[BER_ IN]]</f>
        <v>429</v>
      </c>
      <c r="AK202" s="68">
        <v>0</v>
      </c>
      <c r="AL202" s="88">
        <v>41.502800000000001</v>
      </c>
      <c r="AM202" s="88">
        <v>2306820</v>
      </c>
      <c r="AN202" s="88">
        <f>TABL123[[#This Row],[ (RESV. STORGE) SER]]/10</f>
        <v>230682</v>
      </c>
      <c r="AO202" s="45">
        <v>1870</v>
      </c>
      <c r="AP202" s="32">
        <f>TABL123[[#This Row],[(A/S TOT) AJD]]-TABL123[[#This Row],[SER_ IN]]</f>
        <v>238</v>
      </c>
    </row>
    <row r="203" spans="1:42" ht="18.75" x14ac:dyDescent="0.3">
      <c r="A203" s="2">
        <v>46224</v>
      </c>
      <c r="B203" s="41">
        <v>51</v>
      </c>
      <c r="C203" s="41">
        <v>411</v>
      </c>
      <c r="D203" s="41">
        <f t="shared" si="8"/>
        <v>51</v>
      </c>
      <c r="E203" s="41">
        <v>0</v>
      </c>
      <c r="F203" s="41">
        <v>91</v>
      </c>
      <c r="G203" s="39">
        <v>605</v>
      </c>
      <c r="H203" s="28">
        <f t="shared" si="9"/>
        <v>12</v>
      </c>
      <c r="I203" s="39">
        <v>451</v>
      </c>
      <c r="J203" s="39">
        <v>438</v>
      </c>
      <c r="K203" s="28">
        <f>TABL123[[#This Row],[خط (T/B  TOT) SAR]]+TABL123[[#This Row],[خط (S/S  TOT) SAR2]]</f>
        <v>889</v>
      </c>
      <c r="L203" s="41">
        <v>271</v>
      </c>
      <c r="M203" s="42">
        <v>20.7</v>
      </c>
      <c r="N203" s="42">
        <v>6.73</v>
      </c>
      <c r="O203" s="39">
        <v>361</v>
      </c>
      <c r="P203" s="12">
        <f>TABL123[[#This Row],[خط (S/S  TOT) SAR2]]-TABL123[[#This Row],[(S/S TOT) AJD]]</f>
        <v>77</v>
      </c>
      <c r="Q203" s="39">
        <v>384</v>
      </c>
      <c r="R203" s="12">
        <f>TABL123[[#This Row],[خط (T/B  TOT) SAR]]-TABL123[[#This Row],[(T/B TOT) AJD]]</f>
        <v>67</v>
      </c>
      <c r="S203" s="12">
        <f>TABL123[[#This Row],[الفرق بين بداية ونهاية خط  T/B]]+TABL123[[#This Row],[الفرق بين بداية ونهاية خط  S/S]]</f>
        <v>144</v>
      </c>
      <c r="T203" s="12">
        <f>TABL123[[#This Row],[(S/S TOT) AJD]]+TABL123[[#This Row],[(T/B TOT) AJD]]</f>
        <v>745</v>
      </c>
      <c r="U203" s="41">
        <v>528</v>
      </c>
      <c r="V203" s="41">
        <v>262</v>
      </c>
      <c r="W203" s="12">
        <f>TABL123[[#This Row],[(A/B TOT) AJD]]+TABL123[[#This Row],[(A/S TOT) AJD]]</f>
        <v>790</v>
      </c>
      <c r="X203" s="12">
        <f>TABL123[[#This Row],[( S/S+T/B) AJD]]-TABL123[[#This Row],[(A/B + A/S) AJD]]</f>
        <v>-45</v>
      </c>
      <c r="Y203" s="41">
        <v>92.185000000000002</v>
      </c>
      <c r="Z203" s="43">
        <v>309393</v>
      </c>
      <c r="AA203" s="3">
        <f>TABL123[[#This Row],[(RESV. STORGE) AJD]]/10</f>
        <v>30939.3</v>
      </c>
      <c r="AB203" s="45">
        <f t="shared" si="10"/>
        <v>-65.293999999999997</v>
      </c>
      <c r="AC203" s="43">
        <v>3205</v>
      </c>
      <c r="AD203" s="84">
        <f>TABL123[[#This Row],[( S/S+T/B) AJD]]-(TABL123[[#This Row],[(A/B + A/S) AJD]]+(TABL123[[#This Row],[(STORGE DIFF.) AJD]])+TABL123[[#This Row],[البخر  AJD]]/1000)</f>
        <v>17.088999999999942</v>
      </c>
      <c r="AE203" s="68">
        <v>53</v>
      </c>
      <c r="AF203" s="68">
        <v>59.069000000000003</v>
      </c>
      <c r="AG203" s="68">
        <v>1669224</v>
      </c>
      <c r="AH203" s="43">
        <v>2144</v>
      </c>
      <c r="AI203" s="43">
        <v>2144</v>
      </c>
      <c r="AJ203" s="79">
        <f>TABL123[[#This Row],[(A/B TOT) AJD]]-TABL123[[#This Row],[BER_ IN]]</f>
        <v>475</v>
      </c>
      <c r="AK203" s="68">
        <v>0</v>
      </c>
      <c r="AL203" s="88">
        <v>41.482100000000003</v>
      </c>
      <c r="AM203" s="88">
        <v>2295170</v>
      </c>
      <c r="AN203" s="88">
        <f>TABL123[[#This Row],[ (RESV. STORGE) SER]]/10</f>
        <v>229517</v>
      </c>
      <c r="AO203" s="43">
        <v>1820</v>
      </c>
      <c r="AP203" s="32">
        <f>TABL123[[#This Row],[(A/S TOT) AJD]]-TABL123[[#This Row],[SER_ IN]]</f>
        <v>262</v>
      </c>
    </row>
    <row r="204" spans="1:42" ht="18.75" x14ac:dyDescent="0.3">
      <c r="A204" s="2">
        <v>46225</v>
      </c>
      <c r="B204" s="44">
        <v>51</v>
      </c>
      <c r="C204" s="44">
        <v>415</v>
      </c>
      <c r="D204" s="44">
        <f t="shared" si="8"/>
        <v>51</v>
      </c>
      <c r="E204" s="44">
        <v>0</v>
      </c>
      <c r="F204" s="44">
        <v>91</v>
      </c>
      <c r="G204" s="40">
        <v>605</v>
      </c>
      <c r="H204" s="28">
        <f t="shared" si="9"/>
        <v>12</v>
      </c>
      <c r="I204" s="40">
        <v>499</v>
      </c>
      <c r="J204" s="44">
        <v>487</v>
      </c>
      <c r="K204" s="28">
        <f>TABL123[[#This Row],[خط (T/B  TOT) SAR]]+TABL123[[#This Row],[خط (S/S  TOT) SAR2]]</f>
        <v>986</v>
      </c>
      <c r="L204" s="45">
        <v>376</v>
      </c>
      <c r="M204" s="46">
        <v>25.7</v>
      </c>
      <c r="N204" s="46">
        <v>7.4</v>
      </c>
      <c r="O204" s="40">
        <v>367</v>
      </c>
      <c r="P204" s="12">
        <f>TABL123[[#This Row],[خط (S/S  TOT) SAR2]]-TABL123[[#This Row],[(S/S TOT) AJD]]</f>
        <v>120</v>
      </c>
      <c r="Q204" s="40">
        <v>395</v>
      </c>
      <c r="R204" s="12">
        <f>TABL123[[#This Row],[خط (T/B  TOT) SAR]]-TABL123[[#This Row],[(T/B TOT) AJD]]</f>
        <v>104</v>
      </c>
      <c r="S204" s="12">
        <f>TABL123[[#This Row],[الفرق بين بداية ونهاية خط  T/B]]+TABL123[[#This Row],[الفرق بين بداية ونهاية خط  S/S]]</f>
        <v>224</v>
      </c>
      <c r="T204" s="12">
        <f>TABL123[[#This Row],[(S/S TOT) AJD]]+TABL123[[#This Row],[(T/B TOT) AJD]]</f>
        <v>762</v>
      </c>
      <c r="U204" s="44">
        <v>552</v>
      </c>
      <c r="V204" s="44">
        <v>259</v>
      </c>
      <c r="W204" s="12">
        <f>TABL123[[#This Row],[(A/B TOT) AJD]]+TABL123[[#This Row],[(A/S TOT) AJD]]</f>
        <v>811</v>
      </c>
      <c r="X204" s="12">
        <f>TABL123[[#This Row],[( S/S+T/B) AJD]]-TABL123[[#This Row],[(A/B + A/S) AJD]]</f>
        <v>-49</v>
      </c>
      <c r="Y204" s="44">
        <v>92.063000000000002</v>
      </c>
      <c r="Z204" s="45">
        <v>237100</v>
      </c>
      <c r="AA204" s="3">
        <f>TABL123[[#This Row],[(RESV. STORGE) AJD]]/10</f>
        <v>23710</v>
      </c>
      <c r="AB204" s="45">
        <f t="shared" si="10"/>
        <v>-72.293000000000006</v>
      </c>
      <c r="AC204" s="45">
        <v>4990</v>
      </c>
      <c r="AD204" s="84">
        <f>TABL123[[#This Row],[( S/S+T/B) AJD]]-(TABL123[[#This Row],[(A/B + A/S) AJD]]+(TABL123[[#This Row],[(STORGE DIFF.) AJD]])+TABL123[[#This Row],[البخر  AJD]]/1000)</f>
        <v>18.302999999999997</v>
      </c>
      <c r="AE204" s="68">
        <v>50</v>
      </c>
      <c r="AF204" s="68">
        <v>59.14</v>
      </c>
      <c r="AG204" s="68">
        <v>1716162</v>
      </c>
      <c r="AH204" s="45">
        <v>3061</v>
      </c>
      <c r="AI204" s="45">
        <v>3061</v>
      </c>
      <c r="AJ204" s="79">
        <f>TABL123[[#This Row],[(A/B TOT) AJD]]-TABL123[[#This Row],[BER_ IN]]</f>
        <v>502</v>
      </c>
      <c r="AK204" s="68">
        <v>0</v>
      </c>
      <c r="AL204" s="88">
        <v>41.4664</v>
      </c>
      <c r="AM204" s="88">
        <v>2287280</v>
      </c>
      <c r="AN204" s="88">
        <f>TABL123[[#This Row],[ (RESV. STORGE) SER]]/10</f>
        <v>228728</v>
      </c>
      <c r="AO204" s="45">
        <v>1890</v>
      </c>
      <c r="AP204" s="32">
        <f>TABL123[[#This Row],[(A/S TOT) AJD]]-TABL123[[#This Row],[SER_ IN]]</f>
        <v>259</v>
      </c>
    </row>
    <row r="205" spans="1:42" ht="18.75" x14ac:dyDescent="0.3">
      <c r="A205" s="2">
        <v>46226</v>
      </c>
      <c r="B205" s="41">
        <v>51</v>
      </c>
      <c r="C205" s="41">
        <v>394</v>
      </c>
      <c r="D205" s="41">
        <f t="shared" si="8"/>
        <v>51</v>
      </c>
      <c r="E205" s="41">
        <v>0</v>
      </c>
      <c r="F205" s="41">
        <v>91</v>
      </c>
      <c r="G205" s="39">
        <v>560</v>
      </c>
      <c r="H205" s="28">
        <f t="shared" si="9"/>
        <v>12</v>
      </c>
      <c r="I205" s="39">
        <v>499</v>
      </c>
      <c r="J205" s="39">
        <v>487</v>
      </c>
      <c r="K205" s="28">
        <f>TABL123[[#This Row],[خط (T/B  TOT) SAR]]+TABL123[[#This Row],[خط (S/S  TOT) SAR2]]</f>
        <v>986</v>
      </c>
      <c r="L205" s="41">
        <v>376</v>
      </c>
      <c r="M205" s="42">
        <v>25.7</v>
      </c>
      <c r="N205" s="42">
        <v>7.4</v>
      </c>
      <c r="O205" s="39">
        <v>409</v>
      </c>
      <c r="P205" s="12">
        <f>TABL123[[#This Row],[خط (S/S  TOT) SAR2]]-TABL123[[#This Row],[(S/S TOT) AJD]]</f>
        <v>78</v>
      </c>
      <c r="Q205" s="39">
        <v>437</v>
      </c>
      <c r="R205" s="12">
        <f>TABL123[[#This Row],[خط (T/B  TOT) SAR]]-TABL123[[#This Row],[(T/B TOT) AJD]]</f>
        <v>62</v>
      </c>
      <c r="S205" s="12">
        <f>TABL123[[#This Row],[الفرق بين بداية ونهاية خط  T/B]]+TABL123[[#This Row],[الفرق بين بداية ونهاية خط  S/S]]</f>
        <v>140</v>
      </c>
      <c r="T205" s="12">
        <f>TABL123[[#This Row],[(S/S TOT) AJD]]+TABL123[[#This Row],[(T/B TOT) AJD]]</f>
        <v>846</v>
      </c>
      <c r="U205" s="41">
        <v>560</v>
      </c>
      <c r="V205" s="41">
        <v>252</v>
      </c>
      <c r="W205" s="12">
        <f>TABL123[[#This Row],[(A/B TOT) AJD]]+TABL123[[#This Row],[(A/S TOT) AJD]]</f>
        <v>812</v>
      </c>
      <c r="X205" s="12">
        <f>TABL123[[#This Row],[( S/S+T/B) AJD]]-TABL123[[#This Row],[(A/B + A/S) AJD]]</f>
        <v>34</v>
      </c>
      <c r="Y205" s="41">
        <v>92.09</v>
      </c>
      <c r="Z205" s="43">
        <v>253084</v>
      </c>
      <c r="AA205" s="3">
        <f>TABL123[[#This Row],[(RESV. STORGE) AJD]]/10</f>
        <v>25308.400000000001</v>
      </c>
      <c r="AB205" s="45">
        <f t="shared" si="10"/>
        <v>15.984</v>
      </c>
      <c r="AC205" s="43">
        <v>3814</v>
      </c>
      <c r="AD205" s="84">
        <f>TABL123[[#This Row],[( S/S+T/B) AJD]]-(TABL123[[#This Row],[(A/B + A/S) AJD]]+(TABL123[[#This Row],[(STORGE DIFF.) AJD]])+TABL123[[#This Row],[البخر  AJD]]/1000)</f>
        <v>14.201999999999998</v>
      </c>
      <c r="AE205" s="68">
        <v>51</v>
      </c>
      <c r="AF205" s="68">
        <v>59.16</v>
      </c>
      <c r="AG205" s="68">
        <v>1729392</v>
      </c>
      <c r="AH205" s="43">
        <v>3209</v>
      </c>
      <c r="AI205" s="43">
        <v>3209</v>
      </c>
      <c r="AJ205" s="79">
        <f>TABL123[[#This Row],[(A/B TOT) AJD]]-TABL123[[#This Row],[BER_ IN]]</f>
        <v>509</v>
      </c>
      <c r="AK205" s="68">
        <v>0</v>
      </c>
      <c r="AL205" s="88">
        <v>41.449399999999997</v>
      </c>
      <c r="AM205" s="88">
        <v>2278040</v>
      </c>
      <c r="AN205" s="88">
        <f>TABL123[[#This Row],[ (RESV. STORGE) SER]]/10</f>
        <v>227804</v>
      </c>
      <c r="AO205" s="43">
        <v>1940</v>
      </c>
      <c r="AP205" s="32">
        <f>TABL123[[#This Row],[(A/S TOT) AJD]]-TABL123[[#This Row],[SER_ IN]]</f>
        <v>252</v>
      </c>
    </row>
    <row r="206" spans="1:42" ht="18.75" x14ac:dyDescent="0.3">
      <c r="A206" s="2">
        <v>46227</v>
      </c>
      <c r="B206" s="44">
        <v>49</v>
      </c>
      <c r="C206" s="44">
        <v>318</v>
      </c>
      <c r="D206" s="44">
        <f t="shared" si="8"/>
        <v>49</v>
      </c>
      <c r="E206" s="44">
        <v>0</v>
      </c>
      <c r="F206" s="44">
        <v>90</v>
      </c>
      <c r="G206" s="40">
        <v>592</v>
      </c>
      <c r="H206" s="28">
        <f t="shared" si="9"/>
        <v>13</v>
      </c>
      <c r="I206" s="40">
        <v>408</v>
      </c>
      <c r="J206" s="44">
        <v>395</v>
      </c>
      <c r="K206" s="28">
        <f>TABL123[[#This Row],[خط (T/B  TOT) SAR]]+TABL123[[#This Row],[خط (S/S  TOT) SAR2]]</f>
        <v>803</v>
      </c>
      <c r="L206" s="45">
        <v>429</v>
      </c>
      <c r="M206" s="46">
        <v>30.9</v>
      </c>
      <c r="N206" s="46">
        <v>6.73</v>
      </c>
      <c r="O206" s="40">
        <v>449</v>
      </c>
      <c r="P206" s="12">
        <f>TABL123[[#This Row],[خط (S/S  TOT) SAR2]]-TABL123[[#This Row],[(S/S TOT) AJD]]</f>
        <v>-54</v>
      </c>
      <c r="Q206" s="45">
        <v>473</v>
      </c>
      <c r="R206" s="12">
        <f>TABL123[[#This Row],[خط (T/B  TOT) SAR]]-TABL123[[#This Row],[(T/B TOT) AJD]]</f>
        <v>-65</v>
      </c>
      <c r="S206" s="12">
        <f>TABL123[[#This Row],[الفرق بين بداية ونهاية خط  T/B]]+TABL123[[#This Row],[الفرق بين بداية ونهاية خط  S/S]]</f>
        <v>-119</v>
      </c>
      <c r="T206" s="12">
        <f>TABL123[[#This Row],[(S/S TOT) AJD]]+TABL123[[#This Row],[(T/B TOT) AJD]]</f>
        <v>922</v>
      </c>
      <c r="U206" s="44">
        <v>497</v>
      </c>
      <c r="V206" s="44">
        <v>224</v>
      </c>
      <c r="W206" s="12">
        <f>TABL123[[#This Row],[(A/B TOT) AJD]]+TABL123[[#This Row],[(A/S TOT) AJD]]</f>
        <v>721</v>
      </c>
      <c r="X206" s="12">
        <f>TABL123[[#This Row],[( S/S+T/B) AJD]]-TABL123[[#This Row],[(A/B + A/S) AJD]]</f>
        <v>201</v>
      </c>
      <c r="Y206" s="44">
        <v>92.376999999999995</v>
      </c>
      <c r="Z206" s="45">
        <v>422229</v>
      </c>
      <c r="AA206" s="3">
        <f>TABL123[[#This Row],[(RESV. STORGE) AJD]]/10</f>
        <v>42222.9</v>
      </c>
      <c r="AB206" s="45">
        <f t="shared" si="10"/>
        <v>169.14500000000001</v>
      </c>
      <c r="AC206" s="45">
        <v>4829</v>
      </c>
      <c r="AD206" s="84">
        <f>TABL123[[#This Row],[( S/S+T/B) AJD]]-(TABL123[[#This Row],[(A/B + A/S) AJD]]+(TABL123[[#This Row],[(STORGE DIFF.) AJD]])+TABL123[[#This Row],[البخر  AJD]]/1000)</f>
        <v>27.026000000000067</v>
      </c>
      <c r="AE206" s="68">
        <v>50</v>
      </c>
      <c r="AF206" s="68">
        <v>59.14</v>
      </c>
      <c r="AG206" s="68">
        <v>1716162</v>
      </c>
      <c r="AH206" s="45">
        <v>3149</v>
      </c>
      <c r="AI206" s="45">
        <v>3149</v>
      </c>
      <c r="AJ206" s="79">
        <f>TABL123[[#This Row],[(A/B TOT) AJD]]-TABL123[[#This Row],[BER_ IN]]</f>
        <v>447</v>
      </c>
      <c r="AK206" s="68">
        <v>0</v>
      </c>
      <c r="AL206" s="88">
        <v>41.427700000000002</v>
      </c>
      <c r="AM206" s="88">
        <v>2267130</v>
      </c>
      <c r="AN206" s="88">
        <f>TABL123[[#This Row],[ (RESV. STORGE) SER]]/10</f>
        <v>226713</v>
      </c>
      <c r="AO206" s="45">
        <v>2010</v>
      </c>
      <c r="AP206" s="32">
        <f>TABL123[[#This Row],[(A/S TOT) AJD]]-TABL123[[#This Row],[SER_ IN]]</f>
        <v>224</v>
      </c>
    </row>
    <row r="207" spans="1:42" ht="18.75" x14ac:dyDescent="0.3">
      <c r="A207" s="2">
        <v>46228</v>
      </c>
      <c r="B207" s="41">
        <v>48</v>
      </c>
      <c r="C207" s="41">
        <v>312</v>
      </c>
      <c r="D207" s="41">
        <f t="shared" si="8"/>
        <v>48</v>
      </c>
      <c r="E207" s="41">
        <v>0</v>
      </c>
      <c r="F207" s="41">
        <v>89</v>
      </c>
      <c r="G207" s="39">
        <v>592</v>
      </c>
      <c r="H207" s="28">
        <f t="shared" si="9"/>
        <v>14</v>
      </c>
      <c r="I207" s="39">
        <v>267</v>
      </c>
      <c r="J207" s="39">
        <v>246</v>
      </c>
      <c r="K207" s="28">
        <f>TABL123[[#This Row],[خط (T/B  TOT) SAR]]+TABL123[[#This Row],[خط (S/S  TOT) SAR2]]</f>
        <v>513</v>
      </c>
      <c r="L207" s="41">
        <v>291</v>
      </c>
      <c r="M207" s="42">
        <v>24.4</v>
      </c>
      <c r="N207" s="42">
        <v>6</v>
      </c>
      <c r="O207" s="39">
        <v>402</v>
      </c>
      <c r="P207" s="12">
        <f>TABL123[[#This Row],[خط (S/S  TOT) SAR2]]-TABL123[[#This Row],[(S/S TOT) AJD]]</f>
        <v>-156</v>
      </c>
      <c r="Q207" s="43">
        <v>432</v>
      </c>
      <c r="R207" s="12">
        <f>TABL123[[#This Row],[خط (T/B  TOT) SAR]]-TABL123[[#This Row],[(T/B TOT) AJD]]</f>
        <v>-165</v>
      </c>
      <c r="S207" s="12">
        <f>TABL123[[#This Row],[الفرق بين بداية ونهاية خط  T/B]]+TABL123[[#This Row],[الفرق بين بداية ونهاية خط  S/S]]</f>
        <v>-321</v>
      </c>
      <c r="T207" s="12">
        <f>TABL123[[#This Row],[(S/S TOT) AJD]]+TABL123[[#This Row],[(T/B TOT) AJD]]</f>
        <v>834</v>
      </c>
      <c r="U207" s="41">
        <v>448</v>
      </c>
      <c r="V207" s="41">
        <v>190</v>
      </c>
      <c r="W207" s="12">
        <f>TABL123[[#This Row],[(A/B TOT) AJD]]+TABL123[[#This Row],[(A/S TOT) AJD]]</f>
        <v>638</v>
      </c>
      <c r="X207" s="12">
        <f>TABL123[[#This Row],[( S/S+T/B) AJD]]-TABL123[[#This Row],[(A/B + A/S) AJD]]</f>
        <v>196</v>
      </c>
      <c r="Y207" s="41">
        <v>92.662000000000006</v>
      </c>
      <c r="Z207" s="43">
        <v>594208</v>
      </c>
      <c r="AA207" s="3">
        <f>TABL123[[#This Row],[(RESV. STORGE) AJD]]/10</f>
        <v>59420.800000000003</v>
      </c>
      <c r="AB207" s="45">
        <f t="shared" si="10"/>
        <v>171.97900000000001</v>
      </c>
      <c r="AC207" s="43">
        <v>5165</v>
      </c>
      <c r="AD207" s="84">
        <f>TABL123[[#This Row],[( S/S+T/B) AJD]]-(TABL123[[#This Row],[(A/B + A/S) AJD]]+(TABL123[[#This Row],[(STORGE DIFF.) AJD]])+TABL123[[#This Row],[البخر  AJD]]/1000)</f>
        <v>18.855999999999995</v>
      </c>
      <c r="AE207" s="68">
        <v>49</v>
      </c>
      <c r="AF207" s="68">
        <v>59.16</v>
      </c>
      <c r="AG207" s="68">
        <v>1729392</v>
      </c>
      <c r="AH207" s="43">
        <v>2999</v>
      </c>
      <c r="AI207" s="43">
        <v>2999</v>
      </c>
      <c r="AJ207" s="79">
        <f>TABL123[[#This Row],[(A/B TOT) AJD]]-TABL123[[#This Row],[BER_ IN]]</f>
        <v>399</v>
      </c>
      <c r="AK207" s="68">
        <v>0</v>
      </c>
      <c r="AL207" s="88">
        <v>41.4176</v>
      </c>
      <c r="AM207" s="88">
        <v>2261480</v>
      </c>
      <c r="AN207" s="88">
        <f>TABL123[[#This Row],[ (RESV. STORGE) SER]]/10</f>
        <v>226148</v>
      </c>
      <c r="AO207" s="43">
        <v>1950</v>
      </c>
      <c r="AP207" s="32">
        <f>TABL123[[#This Row],[(A/S TOT) AJD]]-TABL123[[#This Row],[SER_ IN]]</f>
        <v>190</v>
      </c>
    </row>
    <row r="208" spans="1:42" ht="18.75" x14ac:dyDescent="0.3">
      <c r="A208" s="2">
        <v>46229</v>
      </c>
      <c r="B208" s="44">
        <v>50</v>
      </c>
      <c r="C208" s="44">
        <v>329</v>
      </c>
      <c r="D208" s="44">
        <f t="shared" si="8"/>
        <v>50</v>
      </c>
      <c r="E208" s="44">
        <v>0</v>
      </c>
      <c r="F208" s="44">
        <v>89</v>
      </c>
      <c r="G208" s="40">
        <v>592</v>
      </c>
      <c r="H208" s="28">
        <f t="shared" si="9"/>
        <v>14</v>
      </c>
      <c r="I208" s="40">
        <v>417</v>
      </c>
      <c r="J208" s="44">
        <v>407</v>
      </c>
      <c r="K208" s="28">
        <f>TABL123[[#This Row],[خط (T/B  TOT) SAR]]+TABL123[[#This Row],[خط (S/S  TOT) SAR2]]</f>
        <v>824</v>
      </c>
      <c r="L208" s="45">
        <v>208</v>
      </c>
      <c r="M208" s="46">
        <v>17.2</v>
      </c>
      <c r="N208" s="46">
        <v>6.37</v>
      </c>
      <c r="O208" s="40">
        <v>287</v>
      </c>
      <c r="P208" s="12">
        <f>TABL123[[#This Row],[خط (S/S  TOT) SAR2]]-TABL123[[#This Row],[(S/S TOT) AJD]]</f>
        <v>120</v>
      </c>
      <c r="Q208" s="45">
        <v>311</v>
      </c>
      <c r="R208" s="12">
        <f>TABL123[[#This Row],[خط (T/B  TOT) SAR]]-TABL123[[#This Row],[(T/B TOT) AJD]]</f>
        <v>106</v>
      </c>
      <c r="S208" s="12">
        <f>TABL123[[#This Row],[الفرق بين بداية ونهاية خط  T/B]]+TABL123[[#This Row],[الفرق بين بداية ونهاية خط  S/S]]</f>
        <v>226</v>
      </c>
      <c r="T208" s="12">
        <f>TABL123[[#This Row],[(S/S TOT) AJD]]+TABL123[[#This Row],[(T/B TOT) AJD]]</f>
        <v>598</v>
      </c>
      <c r="U208" s="44">
        <v>463</v>
      </c>
      <c r="V208" s="44">
        <v>174</v>
      </c>
      <c r="W208" s="12">
        <f>TABL123[[#This Row],[(A/B TOT) AJD]]+TABL123[[#This Row],[(A/S TOT) AJD]]</f>
        <v>637</v>
      </c>
      <c r="X208" s="12">
        <f>TABL123[[#This Row],[( S/S+T/B) AJD]]-TABL123[[#This Row],[(A/B + A/S) AJD]]</f>
        <v>-39</v>
      </c>
      <c r="Y208" s="44">
        <v>92.497</v>
      </c>
      <c r="Z208" s="45">
        <v>494624</v>
      </c>
      <c r="AA208" s="3">
        <f>TABL123[[#This Row],[(RESV. STORGE) AJD]]/10</f>
        <v>49462.400000000001</v>
      </c>
      <c r="AB208" s="45">
        <f t="shared" si="10"/>
        <v>-99.584000000000003</v>
      </c>
      <c r="AC208" s="45">
        <v>3469</v>
      </c>
      <c r="AD208" s="84">
        <f>TABL123[[#This Row],[( S/S+T/B) AJD]]-(TABL123[[#This Row],[(A/B + A/S) AJD]]+(TABL123[[#This Row],[(STORGE DIFF.) AJD]])+TABL123[[#This Row],[البخر  AJD]]/1000)</f>
        <v>57.115000000000009</v>
      </c>
      <c r="AE208" s="68">
        <v>50</v>
      </c>
      <c r="AF208" s="68">
        <v>59.14</v>
      </c>
      <c r="AG208" s="68">
        <v>1716162</v>
      </c>
      <c r="AH208" s="45">
        <v>2999</v>
      </c>
      <c r="AI208" s="45">
        <v>2999</v>
      </c>
      <c r="AJ208" s="79">
        <f>TABL123[[#This Row],[(A/B TOT) AJD]]-TABL123[[#This Row],[BER_ IN]]</f>
        <v>413</v>
      </c>
      <c r="AK208" s="68">
        <v>0</v>
      </c>
      <c r="AL208" s="88">
        <v>41.412799999999997</v>
      </c>
      <c r="AM208" s="88">
        <v>2259190</v>
      </c>
      <c r="AN208" s="88">
        <f>TABL123[[#This Row],[ (RESV. STORGE) SER]]/10</f>
        <v>225919</v>
      </c>
      <c r="AO208" s="45">
        <v>2290</v>
      </c>
      <c r="AP208" s="32">
        <f>TABL123[[#This Row],[(A/S TOT) AJD]]-TABL123[[#This Row],[SER_ IN]]</f>
        <v>174</v>
      </c>
    </row>
    <row r="209" spans="1:42" ht="18.75" x14ac:dyDescent="0.3">
      <c r="A209" s="2">
        <v>46230</v>
      </c>
      <c r="B209" s="41">
        <v>50</v>
      </c>
      <c r="C209" s="41">
        <v>402</v>
      </c>
      <c r="D209" s="41">
        <f t="shared" si="8"/>
        <v>50</v>
      </c>
      <c r="E209" s="41">
        <v>0</v>
      </c>
      <c r="F209" s="41">
        <v>91</v>
      </c>
      <c r="G209" s="39">
        <v>605</v>
      </c>
      <c r="H209" s="28">
        <f t="shared" si="9"/>
        <v>12</v>
      </c>
      <c r="I209" s="39">
        <v>432</v>
      </c>
      <c r="J209" s="39">
        <v>419</v>
      </c>
      <c r="K209" s="28">
        <f>TABL123[[#This Row],[خط (T/B  TOT) SAR]]+TABL123[[#This Row],[خط (S/S  TOT) SAR2]]</f>
        <v>851</v>
      </c>
      <c r="L209" s="41">
        <v>222</v>
      </c>
      <c r="M209" s="42">
        <v>18.600000000000001</v>
      </c>
      <c r="N209" s="42">
        <v>7.44</v>
      </c>
      <c r="O209" s="39">
        <v>329</v>
      </c>
      <c r="P209" s="12">
        <f>TABL123[[#This Row],[خط (S/S  TOT) SAR2]]-TABL123[[#This Row],[(S/S TOT) AJD]]</f>
        <v>90</v>
      </c>
      <c r="Q209" s="39">
        <v>372</v>
      </c>
      <c r="R209" s="12">
        <f>TABL123[[#This Row],[خط (T/B  TOT) SAR]]-TABL123[[#This Row],[(T/B TOT) AJD]]</f>
        <v>60</v>
      </c>
      <c r="S209" s="12">
        <f>TABL123[[#This Row],[الفرق بين بداية ونهاية خط  T/B]]+TABL123[[#This Row],[الفرق بين بداية ونهاية خط  S/S]]</f>
        <v>150</v>
      </c>
      <c r="T209" s="12">
        <f>TABL123[[#This Row],[(S/S TOT) AJD]]+TABL123[[#This Row],[(T/B TOT) AJD]]</f>
        <v>701</v>
      </c>
      <c r="U209" s="41">
        <v>498</v>
      </c>
      <c r="V209" s="41">
        <v>173</v>
      </c>
      <c r="W209" s="12">
        <f>TABL123[[#This Row],[(A/B TOT) AJD]]+TABL123[[#This Row],[(A/S TOT) AJD]]</f>
        <v>671</v>
      </c>
      <c r="X209" s="12">
        <f>TABL123[[#This Row],[( S/S+T/B) AJD]]-TABL123[[#This Row],[(A/B + A/S) AJD]]</f>
        <v>30</v>
      </c>
      <c r="Y209" s="41">
        <v>92.46</v>
      </c>
      <c r="Z209" s="43">
        <v>472803</v>
      </c>
      <c r="AA209" s="3">
        <f>TABL123[[#This Row],[(RESV. STORGE) AJD]]/10</f>
        <v>47280.3</v>
      </c>
      <c r="AB209" s="45">
        <f t="shared" si="10"/>
        <v>-21.821000000000002</v>
      </c>
      <c r="AC209" s="43">
        <v>3146</v>
      </c>
      <c r="AD209" s="84">
        <f>TABL123[[#This Row],[( S/S+T/B) AJD]]-(TABL123[[#This Row],[(A/B + A/S) AJD]]+(TABL123[[#This Row],[(STORGE DIFF.) AJD]])+TABL123[[#This Row],[البخر  AJD]]/1000)</f>
        <v>48.675000000000068</v>
      </c>
      <c r="AE209" s="68">
        <v>50</v>
      </c>
      <c r="AF209" s="68">
        <v>59.13</v>
      </c>
      <c r="AG209" s="68">
        <v>1709548</v>
      </c>
      <c r="AH209" s="43">
        <v>2999</v>
      </c>
      <c r="AI209" s="43">
        <v>2999</v>
      </c>
      <c r="AJ209" s="79">
        <f>TABL123[[#This Row],[(A/B TOT) AJD]]-TABL123[[#This Row],[BER_ IN]]</f>
        <v>448</v>
      </c>
      <c r="AK209" s="68">
        <v>0</v>
      </c>
      <c r="AL209" s="88">
        <v>41.380200000000002</v>
      </c>
      <c r="AM209" s="88">
        <v>2241950</v>
      </c>
      <c r="AN209" s="88">
        <f>TABL123[[#This Row],[ (RESV. STORGE) SER]]/10</f>
        <v>224195</v>
      </c>
      <c r="AO209" s="43">
        <v>1940</v>
      </c>
      <c r="AP209" s="32">
        <f>TABL123[[#This Row],[(A/S TOT) AJD]]-TABL123[[#This Row],[SER_ IN]]</f>
        <v>173</v>
      </c>
    </row>
    <row r="210" spans="1:42" ht="18.75" x14ac:dyDescent="0.3">
      <c r="A210" s="2">
        <v>46231</v>
      </c>
      <c r="B210" s="44">
        <v>49</v>
      </c>
      <c r="C210" s="44">
        <v>390</v>
      </c>
      <c r="D210" s="44">
        <f t="shared" si="8"/>
        <v>49</v>
      </c>
      <c r="E210" s="44">
        <v>0</v>
      </c>
      <c r="F210" s="44">
        <v>92</v>
      </c>
      <c r="G210" s="40">
        <v>610</v>
      </c>
      <c r="H210" s="28">
        <f t="shared" si="9"/>
        <v>11</v>
      </c>
      <c r="I210" s="40">
        <v>518</v>
      </c>
      <c r="J210" s="44">
        <v>506</v>
      </c>
      <c r="K210" s="28">
        <f>TABL123[[#This Row],[خط (T/B  TOT) SAR]]+TABL123[[#This Row],[خط (S/S  TOT) SAR2]]</f>
        <v>1024</v>
      </c>
      <c r="L210" s="45">
        <v>389</v>
      </c>
      <c r="M210" s="46">
        <v>27.7</v>
      </c>
      <c r="N210" s="46">
        <v>7.87</v>
      </c>
      <c r="O210" s="40">
        <v>358</v>
      </c>
      <c r="P210" s="12">
        <f>TABL123[[#This Row],[خط (S/S  TOT) SAR2]]-TABL123[[#This Row],[(S/S TOT) AJD]]</f>
        <v>148</v>
      </c>
      <c r="Q210" s="40">
        <v>384</v>
      </c>
      <c r="R210" s="12">
        <f>TABL123[[#This Row],[خط (T/B  TOT) SAR]]-TABL123[[#This Row],[(T/B TOT) AJD]]</f>
        <v>134</v>
      </c>
      <c r="S210" s="12">
        <f>TABL123[[#This Row],[الفرق بين بداية ونهاية خط  T/B]]+TABL123[[#This Row],[الفرق بين بداية ونهاية خط  S/S]]</f>
        <v>282</v>
      </c>
      <c r="T210" s="12">
        <f>TABL123[[#This Row],[(S/S TOT) AJD]]+TABL123[[#This Row],[(T/B TOT) AJD]]</f>
        <v>742</v>
      </c>
      <c r="U210" s="44">
        <v>529</v>
      </c>
      <c r="V210" s="44">
        <v>172</v>
      </c>
      <c r="W210" s="12">
        <f>TABL123[[#This Row],[(A/B TOT) AJD]]+TABL123[[#This Row],[(A/S TOT) AJD]]</f>
        <v>701</v>
      </c>
      <c r="X210" s="12">
        <f>TABL123[[#This Row],[( S/S+T/B) AJD]]-TABL123[[#This Row],[(A/B + A/S) AJD]]</f>
        <v>41</v>
      </c>
      <c r="Y210" s="44">
        <v>92.474999999999994</v>
      </c>
      <c r="Z210" s="45">
        <v>481727</v>
      </c>
      <c r="AA210" s="3">
        <f>TABL123[[#This Row],[(RESV. STORGE) AJD]]/10</f>
        <v>48172.7</v>
      </c>
      <c r="AB210" s="45">
        <f t="shared" si="10"/>
        <v>8.9239999999999995</v>
      </c>
      <c r="AC210" s="45">
        <v>3034</v>
      </c>
      <c r="AD210" s="84">
        <f>TABL123[[#This Row],[( S/S+T/B) AJD]]-(TABL123[[#This Row],[(A/B + A/S) AJD]]+(TABL123[[#This Row],[(STORGE DIFF.) AJD]])+TABL123[[#This Row],[البخر  AJD]]/1000)</f>
        <v>29.04200000000003</v>
      </c>
      <c r="AE210" s="68">
        <v>50</v>
      </c>
      <c r="AF210" s="68">
        <v>59.11</v>
      </c>
      <c r="AG210" s="68">
        <v>1696324</v>
      </c>
      <c r="AH210" s="45">
        <v>2999</v>
      </c>
      <c r="AI210" s="45">
        <v>2999</v>
      </c>
      <c r="AJ210" s="79">
        <f>TABL123[[#This Row],[(A/B TOT) AJD]]-TABL123[[#This Row],[BER_ IN]]</f>
        <v>479</v>
      </c>
      <c r="AK210" s="68">
        <v>0</v>
      </c>
      <c r="AL210" s="88">
        <v>41.343600000000002</v>
      </c>
      <c r="AM210" s="88">
        <v>2222630</v>
      </c>
      <c r="AN210" s="88">
        <f>TABL123[[#This Row],[ (RESV. STORGE) SER]]/10</f>
        <v>222263</v>
      </c>
      <c r="AO210" s="45">
        <v>1920</v>
      </c>
      <c r="AP210" s="32">
        <f>TABL123[[#This Row],[(A/S TOT) AJD]]-TABL123[[#This Row],[SER_ IN]]</f>
        <v>172</v>
      </c>
    </row>
    <row r="211" spans="1:42" ht="18.75" x14ac:dyDescent="0.3">
      <c r="A211" s="2">
        <v>46232</v>
      </c>
      <c r="B211" s="41">
        <v>49</v>
      </c>
      <c r="C211" s="41">
        <v>384</v>
      </c>
      <c r="D211" s="41">
        <f t="shared" si="8"/>
        <v>49</v>
      </c>
      <c r="E211" s="41">
        <v>0</v>
      </c>
      <c r="F211" s="41">
        <v>92</v>
      </c>
      <c r="G211" s="39">
        <v>610</v>
      </c>
      <c r="H211" s="28">
        <f t="shared" si="9"/>
        <v>11</v>
      </c>
      <c r="I211" s="39">
        <v>554</v>
      </c>
      <c r="J211" s="39">
        <v>534</v>
      </c>
      <c r="K211" s="28">
        <f>TABL123[[#This Row],[خط (T/B  TOT) SAR]]+TABL123[[#This Row],[خط (S/S  TOT) SAR2]]</f>
        <v>1088</v>
      </c>
      <c r="L211" s="41">
        <v>448</v>
      </c>
      <c r="M211" s="42">
        <v>30.1</v>
      </c>
      <c r="N211" s="42">
        <v>7.84</v>
      </c>
      <c r="O211" s="39">
        <v>423</v>
      </c>
      <c r="P211" s="12">
        <f>TABL123[[#This Row],[خط (S/S  TOT) SAR2]]-TABL123[[#This Row],[(S/S TOT) AJD]]</f>
        <v>111</v>
      </c>
      <c r="Q211" s="39">
        <v>450</v>
      </c>
      <c r="R211" s="12">
        <f>TABL123[[#This Row],[خط (T/B  TOT) SAR]]-TABL123[[#This Row],[(T/B TOT) AJD]]</f>
        <v>104</v>
      </c>
      <c r="S211" s="12">
        <f>TABL123[[#This Row],[الفرق بين بداية ونهاية خط  T/B]]+TABL123[[#This Row],[الفرق بين بداية ونهاية خط  S/S]]</f>
        <v>215</v>
      </c>
      <c r="T211" s="12">
        <f>TABL123[[#This Row],[(S/S TOT) AJD]]+TABL123[[#This Row],[(T/B TOT) AJD]]</f>
        <v>873</v>
      </c>
      <c r="U211" s="41">
        <v>554</v>
      </c>
      <c r="V211" s="41">
        <v>191</v>
      </c>
      <c r="W211" s="12">
        <f>TABL123[[#This Row],[(A/B TOT) AJD]]+TABL123[[#This Row],[(A/S TOT) AJD]]</f>
        <v>745</v>
      </c>
      <c r="X211" s="12">
        <f>TABL123[[#This Row],[( S/S+T/B) AJD]]-TABL123[[#This Row],[(A/B + A/S) AJD]]</f>
        <v>128</v>
      </c>
      <c r="Y211" s="41">
        <v>92.667000000000002</v>
      </c>
      <c r="Z211" s="43">
        <v>596217</v>
      </c>
      <c r="AA211" s="3">
        <f>TABL123[[#This Row],[(RESV. STORGE) AJD]]/10</f>
        <v>59621.7</v>
      </c>
      <c r="AB211" s="45">
        <f t="shared" si="10"/>
        <v>114.49</v>
      </c>
      <c r="AC211" s="43">
        <v>3009</v>
      </c>
      <c r="AD211" s="84">
        <f>TABL123[[#This Row],[( S/S+T/B) AJD]]-(TABL123[[#This Row],[(A/B + A/S) AJD]]+(TABL123[[#This Row],[(STORGE DIFF.) AJD]])+TABL123[[#This Row],[البخر  AJD]]/1000)</f>
        <v>10.500999999999976</v>
      </c>
      <c r="AE211" s="68">
        <v>49</v>
      </c>
      <c r="AF211" s="68">
        <v>59.11</v>
      </c>
      <c r="AG211" s="68">
        <v>1696324</v>
      </c>
      <c r="AH211" s="43">
        <v>3000</v>
      </c>
      <c r="AI211" s="43">
        <v>3000</v>
      </c>
      <c r="AJ211" s="79">
        <f>TABL123[[#This Row],[(A/B TOT) AJD]]-TABL123[[#This Row],[BER_ IN]]</f>
        <v>505</v>
      </c>
      <c r="AK211" s="68">
        <v>15</v>
      </c>
      <c r="AL211" s="88">
        <v>41.328699999999998</v>
      </c>
      <c r="AM211" s="88">
        <v>2214800</v>
      </c>
      <c r="AN211" s="88">
        <f>TABL123[[#This Row],[ (RESV. STORGE) SER]]/10</f>
        <v>221480</v>
      </c>
      <c r="AO211" s="43">
        <v>1930</v>
      </c>
      <c r="AP211" s="32">
        <f>TABL123[[#This Row],[(A/S TOT) AJD]]-TABL123[[#This Row],[SER_ IN]]</f>
        <v>176</v>
      </c>
    </row>
    <row r="212" spans="1:42" ht="18.75" x14ac:dyDescent="0.3">
      <c r="A212" s="2">
        <v>46233</v>
      </c>
      <c r="B212" s="44">
        <v>48</v>
      </c>
      <c r="C212" s="44">
        <v>312</v>
      </c>
      <c r="D212" s="44">
        <f t="shared" si="8"/>
        <v>48</v>
      </c>
      <c r="E212" s="44">
        <v>0</v>
      </c>
      <c r="F212" s="44">
        <v>89</v>
      </c>
      <c r="G212" s="40">
        <v>591</v>
      </c>
      <c r="H212" s="28">
        <f t="shared" si="9"/>
        <v>14</v>
      </c>
      <c r="I212" s="40">
        <v>482</v>
      </c>
      <c r="J212" s="44">
        <v>471</v>
      </c>
      <c r="K212" s="28">
        <f>TABL123[[#This Row],[خط (T/B  TOT) SAR]]+TABL123[[#This Row],[خط (S/S  TOT) SAR2]]</f>
        <v>953</v>
      </c>
      <c r="L212" s="45">
        <v>335</v>
      </c>
      <c r="M212" s="46">
        <v>23.4</v>
      </c>
      <c r="N212" s="46">
        <v>7.44</v>
      </c>
      <c r="O212" s="40">
        <v>413</v>
      </c>
      <c r="P212" s="12">
        <f>TABL123[[#This Row],[خط (S/S  TOT) SAR2]]-TABL123[[#This Row],[(S/S TOT) AJD]]</f>
        <v>58</v>
      </c>
      <c r="Q212" s="40">
        <v>449</v>
      </c>
      <c r="R212" s="12">
        <f>TABL123[[#This Row],[خط (T/B  TOT) SAR]]-TABL123[[#This Row],[(T/B TOT) AJD]]</f>
        <v>33</v>
      </c>
      <c r="S212" s="12">
        <f>TABL123[[#This Row],[الفرق بين بداية ونهاية خط  T/B]]+TABL123[[#This Row],[الفرق بين بداية ونهاية خط  S/S]]</f>
        <v>91</v>
      </c>
      <c r="T212" s="12">
        <f>TABL123[[#This Row],[(S/S TOT) AJD]]+TABL123[[#This Row],[(T/B TOT) AJD]]</f>
        <v>862</v>
      </c>
      <c r="U212" s="44">
        <v>518</v>
      </c>
      <c r="V212" s="44">
        <v>223</v>
      </c>
      <c r="W212" s="12">
        <f>TABL123[[#This Row],[(A/B TOT) AJD]]+TABL123[[#This Row],[(A/S TOT) AJD]]</f>
        <v>741</v>
      </c>
      <c r="X212" s="12">
        <f>TABL123[[#This Row],[( S/S+T/B) AJD]]-TABL123[[#This Row],[(A/B + A/S) AJD]]</f>
        <v>121</v>
      </c>
      <c r="Y212" s="44">
        <v>92.796999999999997</v>
      </c>
      <c r="Z212" s="45">
        <v>678901</v>
      </c>
      <c r="AA212" s="3">
        <f>TABL123[[#This Row],[(RESV. STORGE) AJD]]/10</f>
        <v>67890.100000000006</v>
      </c>
      <c r="AB212" s="45">
        <f t="shared" si="10"/>
        <v>82.683999999999997</v>
      </c>
      <c r="AC212" s="45">
        <v>4827</v>
      </c>
      <c r="AD212" s="84">
        <f>TABL123[[#This Row],[( S/S+T/B) AJD]]-(TABL123[[#This Row],[(A/B + A/S) AJD]]+(TABL123[[#This Row],[(STORGE DIFF.) AJD]])+TABL123[[#This Row],[البخر  AJD]]/1000)</f>
        <v>33.489000000000033</v>
      </c>
      <c r="AE212" s="68">
        <v>66</v>
      </c>
      <c r="AF212" s="68">
        <v>59.12</v>
      </c>
      <c r="AG212" s="68">
        <v>1702936</v>
      </c>
      <c r="AH212" s="45">
        <v>2814</v>
      </c>
      <c r="AI212" s="45">
        <v>2814</v>
      </c>
      <c r="AJ212" s="79">
        <f>TABL123[[#This Row],[(A/B TOT) AJD]]-TABL123[[#This Row],[BER_ IN]]</f>
        <v>452</v>
      </c>
      <c r="AK212" s="68">
        <v>20</v>
      </c>
      <c r="AL212" s="88">
        <v>41.328600000000002</v>
      </c>
      <c r="AM212" s="88">
        <v>2213500</v>
      </c>
      <c r="AN212" s="88">
        <f>TABL123[[#This Row],[ (RESV. STORGE) SER]]/10</f>
        <v>221350</v>
      </c>
      <c r="AO212" s="45">
        <v>1900</v>
      </c>
      <c r="AP212" s="32">
        <f>TABL123[[#This Row],[(A/S TOT) AJD]]-TABL123[[#This Row],[SER_ IN]]</f>
        <v>203</v>
      </c>
    </row>
    <row r="213" spans="1:42" ht="18.75" x14ac:dyDescent="0.3">
      <c r="A213" s="2">
        <v>46234</v>
      </c>
      <c r="B213" s="41">
        <v>49</v>
      </c>
      <c r="C213" s="41">
        <v>384</v>
      </c>
      <c r="D213" s="41">
        <f t="shared" si="8"/>
        <v>49</v>
      </c>
      <c r="E213" s="41">
        <v>0</v>
      </c>
      <c r="F213" s="41">
        <v>91</v>
      </c>
      <c r="G213" s="39">
        <v>604</v>
      </c>
      <c r="H213" s="28">
        <f t="shared" si="9"/>
        <v>12</v>
      </c>
      <c r="I213" s="39">
        <v>490</v>
      </c>
      <c r="J213" s="39">
        <v>477</v>
      </c>
      <c r="K213" s="28">
        <f>TABL123[[#This Row],[خط (T/B  TOT) SAR]]+TABL123[[#This Row],[خط (S/S  TOT) SAR2]]</f>
        <v>967</v>
      </c>
      <c r="L213" s="41">
        <v>326</v>
      </c>
      <c r="M213" s="42">
        <v>23.4</v>
      </c>
      <c r="N213" s="42">
        <v>7.94</v>
      </c>
      <c r="O213" s="39">
        <v>420</v>
      </c>
      <c r="P213" s="12">
        <f>TABL123[[#This Row],[خط (S/S  TOT) SAR2]]-TABL123[[#This Row],[(S/S TOT) AJD]]</f>
        <v>57</v>
      </c>
      <c r="Q213" s="39">
        <v>389</v>
      </c>
      <c r="R213" s="12">
        <f>TABL123[[#This Row],[خط (T/B  TOT) SAR]]-TABL123[[#This Row],[(T/B TOT) AJD]]</f>
        <v>101</v>
      </c>
      <c r="S213" s="12">
        <f>TABL123[[#This Row],[الفرق بين بداية ونهاية خط  T/B]]+TABL123[[#This Row],[الفرق بين بداية ونهاية خط  S/S]]</f>
        <v>158</v>
      </c>
      <c r="T213" s="12">
        <f>TABL123[[#This Row],[(S/S TOT) AJD]]+TABL123[[#This Row],[(T/B TOT) AJD]]</f>
        <v>809</v>
      </c>
      <c r="U213" s="41">
        <v>562</v>
      </c>
      <c r="V213" s="41">
        <v>192</v>
      </c>
      <c r="W213" s="12">
        <f>TABL123[[#This Row],[(A/B TOT) AJD]]+TABL123[[#This Row],[(A/S TOT) AJD]]</f>
        <v>754</v>
      </c>
      <c r="X213" s="12">
        <f>TABL123[[#This Row],[( S/S+T/B) AJD]]-TABL123[[#This Row],[(A/B + A/S) AJD]]</f>
        <v>55</v>
      </c>
      <c r="Y213" s="41">
        <v>92.703999999999994</v>
      </c>
      <c r="Z213" s="43">
        <v>618315</v>
      </c>
      <c r="AA213" s="3">
        <f>TABL123[[#This Row],[(RESV. STORGE) AJD]]/10</f>
        <v>61831.5</v>
      </c>
      <c r="AB213" s="45">
        <f t="shared" si="10"/>
        <v>-60.585999999999999</v>
      </c>
      <c r="AC213" s="43">
        <v>3065</v>
      </c>
      <c r="AD213" s="84">
        <f>TABL123[[#This Row],[( S/S+T/B) AJD]]-(TABL123[[#This Row],[(A/B + A/S) AJD]]+(TABL123[[#This Row],[(STORGE DIFF.) AJD]])+TABL123[[#This Row],[البخر  AJD]]/1000)</f>
        <v>112.52099999999996</v>
      </c>
      <c r="AE213" s="68">
        <v>68</v>
      </c>
      <c r="AF213" s="68">
        <v>59.14</v>
      </c>
      <c r="AG213" s="68">
        <v>1716162</v>
      </c>
      <c r="AH213" s="43">
        <v>3157</v>
      </c>
      <c r="AI213" s="43">
        <v>3157</v>
      </c>
      <c r="AJ213" s="79">
        <f>TABL123[[#This Row],[(A/B TOT) AJD]]-TABL123[[#This Row],[BER_ IN]]</f>
        <v>494</v>
      </c>
      <c r="AK213" s="68">
        <v>22</v>
      </c>
      <c r="AL213" s="88">
        <v>41.319699999999997</v>
      </c>
      <c r="AM213" s="88">
        <v>2210030</v>
      </c>
      <c r="AN213" s="88">
        <f>TABL123[[#This Row],[ (RESV. STORGE) SER]]/10</f>
        <v>221003</v>
      </c>
      <c r="AO213" s="43">
        <v>1970</v>
      </c>
      <c r="AP213" s="32">
        <f>TABL123[[#This Row],[(A/S TOT) AJD]]-TABL123[[#This Row],[SER_ IN]]</f>
        <v>170</v>
      </c>
    </row>
    <row r="214" spans="1:42" ht="18.75" x14ac:dyDescent="0.3">
      <c r="A214" s="2">
        <v>46235</v>
      </c>
      <c r="B214" s="41">
        <v>49</v>
      </c>
      <c r="C214" s="41">
        <v>324</v>
      </c>
      <c r="D214" s="41">
        <f>B214</f>
        <v>49</v>
      </c>
      <c r="E214" s="28"/>
      <c r="F214" s="41">
        <v>90</v>
      </c>
      <c r="G214" s="39">
        <v>604</v>
      </c>
      <c r="H214" s="28">
        <f t="shared" si="9"/>
        <v>13</v>
      </c>
      <c r="I214" s="39">
        <v>347</v>
      </c>
      <c r="J214" s="39">
        <v>326</v>
      </c>
      <c r="K214" s="28">
        <f>TABL123[[#This Row],[خط (T/B  TOT) SAR]]+TABL123[[#This Row],[خط (S/S  TOT) SAR2]]</f>
        <v>673</v>
      </c>
      <c r="L214" s="41">
        <v>401</v>
      </c>
      <c r="M214" s="42">
        <v>27.1</v>
      </c>
      <c r="N214" s="42">
        <v>8.02</v>
      </c>
      <c r="O214" s="39">
        <v>401</v>
      </c>
      <c r="P214" s="3">
        <f>TABL123[[#This Row],[خط (S/S  TOT) SAR2]]-TABL123[[#This Row],[(S/S TOT) AJD]]</f>
        <v>-75</v>
      </c>
      <c r="Q214" s="39">
        <v>429</v>
      </c>
      <c r="R214" s="3">
        <f>TABL123[[#This Row],[خط (T/B  TOT) SAR]]-TABL123[[#This Row],[(T/B TOT) AJD]]</f>
        <v>-82</v>
      </c>
      <c r="S214" s="3">
        <f>TABL123[[#This Row],[الفرق بين بداية ونهاية خط  T/B]]+TABL123[[#This Row],[الفرق بين بداية ونهاية خط  S/S]]</f>
        <v>-157</v>
      </c>
      <c r="T214" s="3">
        <f>TABL123[[#This Row],[(S/S TOT) AJD]]+TABL123[[#This Row],[(T/B TOT) AJD]]</f>
        <v>830</v>
      </c>
      <c r="U214" s="41">
        <v>494</v>
      </c>
      <c r="V214" s="41">
        <v>224</v>
      </c>
      <c r="W214" s="3">
        <f>TABL123[[#This Row],[(A/B TOT) AJD]]+TABL123[[#This Row],[(A/S TOT) AJD]]</f>
        <v>718</v>
      </c>
      <c r="X214" s="3">
        <f>TABL123[[#This Row],[( S/S+T/B) AJD]]-TABL123[[#This Row],[(A/B + A/S) AJD]]</f>
        <v>112</v>
      </c>
      <c r="Y214" s="41">
        <v>92.846000000000004</v>
      </c>
      <c r="Z214" s="43">
        <v>703222</v>
      </c>
      <c r="AA214" s="3">
        <f>TABL123[[#This Row],[(RESV. STORGE) AJD]]/10</f>
        <v>70322.2</v>
      </c>
      <c r="AB214" s="45">
        <f t="shared" si="10"/>
        <v>84.906999999999996</v>
      </c>
      <c r="AC214" s="43">
        <v>2992</v>
      </c>
      <c r="AD214" s="84">
        <f>TABL123[[#This Row],[( S/S+T/B) AJD]]-(TABL123[[#This Row],[(A/B + A/S) AJD]]+(TABL123[[#This Row],[(STORGE DIFF.) AJD]])+TABL123[[#This Row],[البخر  AJD]]/1000)</f>
        <v>24.100999999999999</v>
      </c>
      <c r="AE214" s="68">
        <v>67</v>
      </c>
      <c r="AF214" s="68">
        <v>59.21</v>
      </c>
      <c r="AG214" s="68">
        <v>1762482</v>
      </c>
      <c r="AH214" s="43">
        <v>3175</v>
      </c>
      <c r="AI214" s="43">
        <v>3175</v>
      </c>
      <c r="AJ214" s="79">
        <f>TABL123[[#This Row],[(A/B TOT) AJD]]-TABL123[[#This Row],[BER_ IN]]</f>
        <v>427</v>
      </c>
      <c r="AK214" s="68">
        <v>23</v>
      </c>
      <c r="AL214" s="88">
        <v>41.328699999999998</v>
      </c>
      <c r="AM214" s="88">
        <v>2214800</v>
      </c>
      <c r="AN214" s="88">
        <f>TABL123[[#This Row],[ (RESV. STORGE) SER]]/10</f>
        <v>221480</v>
      </c>
      <c r="AO214" s="43">
        <v>1960</v>
      </c>
      <c r="AP214" s="32">
        <f>TABL123[[#This Row],[(A/S TOT) AJD]]-TABL123[[#This Row],[SER_ IN]]</f>
        <v>201</v>
      </c>
    </row>
    <row r="215" spans="1:42" ht="18.75" x14ac:dyDescent="0.3">
      <c r="A215" s="2">
        <v>46236</v>
      </c>
      <c r="B215" s="44">
        <v>49</v>
      </c>
      <c r="C215" s="44">
        <v>287</v>
      </c>
      <c r="D215" s="44">
        <f>B215</f>
        <v>49</v>
      </c>
      <c r="E215" s="28"/>
      <c r="F215" s="44">
        <v>91</v>
      </c>
      <c r="G215" s="40">
        <v>604</v>
      </c>
      <c r="H215" s="28">
        <f t="shared" si="9"/>
        <v>12</v>
      </c>
      <c r="I215" s="40">
        <v>445</v>
      </c>
      <c r="J215" s="44">
        <v>429</v>
      </c>
      <c r="K215" s="28">
        <f>TABL123[[#This Row],[خط (T/B  TOT) SAR]]+TABL123[[#This Row],[خط (S/S  TOT) SAR2]]</f>
        <v>874</v>
      </c>
      <c r="L215" s="45">
        <v>250</v>
      </c>
      <c r="M215" s="46">
        <v>18.899999999999999</v>
      </c>
      <c r="N215" s="46">
        <v>7.73</v>
      </c>
      <c r="O215" s="40">
        <v>361</v>
      </c>
      <c r="P215" s="3">
        <f>TABL123[[#This Row],[خط (S/S  TOT) SAR2]]-TABL123[[#This Row],[(S/S TOT) AJD]]</f>
        <v>68</v>
      </c>
      <c r="Q215" s="40">
        <v>397</v>
      </c>
      <c r="R215" s="3">
        <f>TABL123[[#This Row],[خط (T/B  TOT) SAR]]-TABL123[[#This Row],[(T/B TOT) AJD]]</f>
        <v>48</v>
      </c>
      <c r="S215" s="3">
        <f>TABL123[[#This Row],[الفرق بين بداية ونهاية خط  T/B]]+TABL123[[#This Row],[الفرق بين بداية ونهاية خط  S/S]]</f>
        <v>116</v>
      </c>
      <c r="T215" s="3">
        <f>TABL123[[#This Row],[(S/S TOT) AJD]]+TABL123[[#This Row],[(T/B TOT) AJD]]</f>
        <v>758</v>
      </c>
      <c r="U215" s="44">
        <v>526</v>
      </c>
      <c r="V215" s="44">
        <v>189</v>
      </c>
      <c r="W215" s="3">
        <f>TABL123[[#This Row],[(A/B TOT) AJD]]+TABL123[[#This Row],[(A/S TOT) AJD]]</f>
        <v>715</v>
      </c>
      <c r="X215" s="3">
        <f>TABL123[[#This Row],[( S/S+T/B) AJD]]-TABL123[[#This Row],[(A/B + A/S) AJD]]</f>
        <v>43</v>
      </c>
      <c r="Y215" s="44">
        <v>92.847999999999999</v>
      </c>
      <c r="Z215" s="45">
        <v>703214</v>
      </c>
      <c r="AA215" s="3">
        <f>TABL123[[#This Row],[(RESV. STORGE) AJD]]/10</f>
        <v>70321.399999999994</v>
      </c>
      <c r="AB215" s="45">
        <f t="shared" si="10"/>
        <v>-8.0000000000000002E-3</v>
      </c>
      <c r="AC215" s="45">
        <v>3017</v>
      </c>
      <c r="AD215" s="84">
        <f>TABL123[[#This Row],[( S/S+T/B) AJD]]-(TABL123[[#This Row],[(A/B + A/S) AJD]]+(TABL123[[#This Row],[(STORGE DIFF.) AJD]])+TABL123[[#This Row],[البخر  AJD]]/1000)</f>
        <v>39.990999999999985</v>
      </c>
      <c r="AE215" s="68">
        <v>50</v>
      </c>
      <c r="AF215" s="68">
        <v>59.12</v>
      </c>
      <c r="AG215" s="68">
        <v>1702936</v>
      </c>
      <c r="AH215" s="45">
        <v>3422</v>
      </c>
      <c r="AI215" s="45">
        <v>3422</v>
      </c>
      <c r="AJ215" s="79">
        <f>TABL123[[#This Row],[(A/B TOT) AJD]]-TABL123[[#This Row],[BER_ IN]]</f>
        <v>476</v>
      </c>
      <c r="AK215" s="68">
        <v>21</v>
      </c>
      <c r="AL215" s="88">
        <v>41.271799999999999</v>
      </c>
      <c r="AM215" s="88">
        <v>2184700</v>
      </c>
      <c r="AN215" s="88">
        <f>TABL123[[#This Row],[ (RESV. STORGE) SER]]/10</f>
        <v>218470</v>
      </c>
      <c r="AO215" s="45">
        <v>1975</v>
      </c>
      <c r="AP215" s="32">
        <f>TABL123[[#This Row],[(A/S TOT) AJD]]-TABL123[[#This Row],[SER_ IN]]</f>
        <v>168</v>
      </c>
    </row>
    <row r="216" spans="1:42" ht="18.75" x14ac:dyDescent="0.3">
      <c r="A216" s="2">
        <v>46237</v>
      </c>
      <c r="B216" s="41">
        <v>49</v>
      </c>
      <c r="C216" s="41">
        <v>389</v>
      </c>
      <c r="D216" s="41">
        <f t="shared" ref="D216:D244" si="11">B216</f>
        <v>49</v>
      </c>
      <c r="E216" s="28"/>
      <c r="F216" s="41">
        <v>92</v>
      </c>
      <c r="G216" s="39">
        <v>611</v>
      </c>
      <c r="H216" s="28">
        <f t="shared" si="9"/>
        <v>11</v>
      </c>
      <c r="I216" s="39">
        <v>472</v>
      </c>
      <c r="J216" s="39">
        <v>460</v>
      </c>
      <c r="K216" s="28">
        <f>TABL123[[#This Row],[خط (T/B  TOT) SAR]]+TABL123[[#This Row],[خط (S/S  TOT) SAR2]]</f>
        <v>932</v>
      </c>
      <c r="L216" s="41">
        <v>309</v>
      </c>
      <c r="M216" s="42">
        <v>20.100000000000001</v>
      </c>
      <c r="N216" s="42">
        <v>8.58</v>
      </c>
      <c r="O216" s="39">
        <v>361</v>
      </c>
      <c r="P216" s="3">
        <f>TABL123[[#This Row],[خط (S/S  TOT) SAR2]]-TABL123[[#This Row],[(S/S TOT) AJD]]</f>
        <v>99</v>
      </c>
      <c r="Q216" s="39">
        <v>390</v>
      </c>
      <c r="R216" s="3">
        <f>TABL123[[#This Row],[خط (T/B  TOT) SAR]]-TABL123[[#This Row],[(T/B TOT) AJD]]</f>
        <v>82</v>
      </c>
      <c r="S216" s="3">
        <f>TABL123[[#This Row],[الفرق بين بداية ونهاية خط  T/B]]+TABL123[[#This Row],[الفرق بين بداية ونهاية خط  S/S]]</f>
        <v>181</v>
      </c>
      <c r="T216" s="3">
        <f>TABL123[[#This Row],[(S/S TOT) AJD]]+TABL123[[#This Row],[(T/B TOT) AJD]]</f>
        <v>751</v>
      </c>
      <c r="U216" s="41">
        <v>557</v>
      </c>
      <c r="V216" s="41">
        <v>210</v>
      </c>
      <c r="W216" s="3">
        <f>TABL123[[#This Row],[(A/B TOT) AJD]]+TABL123[[#This Row],[(A/S TOT) AJD]]</f>
        <v>767</v>
      </c>
      <c r="X216" s="3">
        <f>TABL123[[#This Row],[( S/S+T/B) AJD]]-TABL123[[#This Row],[(A/B + A/S) AJD]]</f>
        <v>-16</v>
      </c>
      <c r="Y216" s="41">
        <v>92.759</v>
      </c>
      <c r="Z216" s="43">
        <v>651182</v>
      </c>
      <c r="AA216" s="3">
        <f>TABL123[[#This Row],[(RESV. STORGE) AJD]]/10</f>
        <v>65118.2</v>
      </c>
      <c r="AB216" s="45">
        <f t="shared" si="10"/>
        <v>-52.031999999999996</v>
      </c>
      <c r="AC216" s="43">
        <v>2762</v>
      </c>
      <c r="AD216" s="84">
        <f>TABL123[[#This Row],[( S/S+T/B) AJD]]-(TABL123[[#This Row],[(A/B + A/S) AJD]]+(TABL123[[#This Row],[(STORGE DIFF.) AJD]])+TABL123[[#This Row],[البخر  AJD]]/1000)</f>
        <v>33.270000000000095</v>
      </c>
      <c r="AE216" s="68">
        <v>63</v>
      </c>
      <c r="AF216" s="68">
        <v>59.1</v>
      </c>
      <c r="AG216" s="68">
        <v>1689713</v>
      </c>
      <c r="AH216" s="43">
        <v>3161</v>
      </c>
      <c r="AI216" s="43">
        <v>3161</v>
      </c>
      <c r="AJ216" s="79">
        <f>TABL123[[#This Row],[(A/B TOT) AJD]]-TABL123[[#This Row],[BER_ IN]]</f>
        <v>494</v>
      </c>
      <c r="AK216" s="68">
        <v>41</v>
      </c>
      <c r="AL216" s="88">
        <v>41.247999999999998</v>
      </c>
      <c r="AM216" s="88">
        <v>2171750</v>
      </c>
      <c r="AN216" s="88">
        <f>TABL123[[#This Row],[ (RESV. STORGE) SER]]/10</f>
        <v>217175</v>
      </c>
      <c r="AO216" s="43">
        <v>1980</v>
      </c>
      <c r="AP216" s="32">
        <f>TABL123[[#This Row],[(A/S TOT) AJD]]-TABL123[[#This Row],[SER_ IN]]</f>
        <v>169</v>
      </c>
    </row>
    <row r="217" spans="1:42" ht="18.75" x14ac:dyDescent="0.3">
      <c r="A217" s="2">
        <v>46238</v>
      </c>
      <c r="B217" s="44">
        <v>47</v>
      </c>
      <c r="C217" s="44">
        <v>371</v>
      </c>
      <c r="D217" s="44">
        <f t="shared" si="11"/>
        <v>47</v>
      </c>
      <c r="E217" s="28"/>
      <c r="F217" s="44">
        <v>92</v>
      </c>
      <c r="G217" s="40">
        <v>611</v>
      </c>
      <c r="H217" s="28">
        <f t="shared" si="9"/>
        <v>11</v>
      </c>
      <c r="I217" s="40">
        <v>515</v>
      </c>
      <c r="J217" s="44">
        <v>499</v>
      </c>
      <c r="K217" s="28">
        <f>TABL123[[#This Row],[خط (T/B  TOT) SAR]]+TABL123[[#This Row],[خط (S/S  TOT) SAR2]]</f>
        <v>1014</v>
      </c>
      <c r="L217" s="45">
        <v>390</v>
      </c>
      <c r="M217" s="46">
        <v>25.6</v>
      </c>
      <c r="N217" s="46">
        <v>8.7100000000000009</v>
      </c>
      <c r="O217" s="40">
        <v>386</v>
      </c>
      <c r="P217" s="3">
        <f>TABL123[[#This Row],[خط (S/S  TOT) SAR2]]-TABL123[[#This Row],[(S/S TOT) AJD]]</f>
        <v>113</v>
      </c>
      <c r="Q217" s="40">
        <v>414</v>
      </c>
      <c r="R217" s="3">
        <f>TABL123[[#This Row],[خط (T/B  TOT) SAR]]-TABL123[[#This Row],[(T/B TOT) AJD]]</f>
        <v>101</v>
      </c>
      <c r="S217" s="3">
        <f>TABL123[[#This Row],[الفرق بين بداية ونهاية خط  T/B]]+TABL123[[#This Row],[الفرق بين بداية ونهاية خط  S/S]]</f>
        <v>214</v>
      </c>
      <c r="T217" s="3">
        <f>TABL123[[#This Row],[(S/S TOT) AJD]]+TABL123[[#This Row],[(T/B TOT) AJD]]</f>
        <v>800</v>
      </c>
      <c r="U217" s="44">
        <v>572</v>
      </c>
      <c r="V217" s="44">
        <v>221</v>
      </c>
      <c r="W217" s="3">
        <f>TABL123[[#This Row],[(A/B TOT) AJD]]+TABL123[[#This Row],[(A/S TOT) AJD]]</f>
        <v>793</v>
      </c>
      <c r="X217" s="3">
        <f>TABL123[[#This Row],[( S/S+T/B) AJD]]-TABL123[[#This Row],[(A/B + A/S) AJD]]</f>
        <v>7</v>
      </c>
      <c r="Y217" s="44">
        <v>92.713999999999999</v>
      </c>
      <c r="Z217" s="45">
        <v>624286</v>
      </c>
      <c r="AA217" s="3">
        <f>TABL123[[#This Row],[(RESV. STORGE) AJD]]/10</f>
        <v>62428.6</v>
      </c>
      <c r="AB217" s="45">
        <f t="shared" si="10"/>
        <v>-26.896000000000001</v>
      </c>
      <c r="AC217" s="45">
        <v>3513</v>
      </c>
      <c r="AD217" s="84">
        <f>TABL123[[#This Row],[( S/S+T/B) AJD]]-(TABL123[[#This Row],[(A/B + A/S) AJD]]+(TABL123[[#This Row],[(STORGE DIFF.) AJD]])+TABL123[[#This Row],[البخر  AJD]]/1000)</f>
        <v>30.382999999999925</v>
      </c>
      <c r="AE217" s="68">
        <v>70</v>
      </c>
      <c r="AF217" s="68">
        <v>59.09</v>
      </c>
      <c r="AG217" s="68">
        <v>1683102</v>
      </c>
      <c r="AH217" s="45">
        <v>3232</v>
      </c>
      <c r="AI217" s="45">
        <v>3232</v>
      </c>
      <c r="AJ217" s="79">
        <f>TABL123[[#This Row],[(A/B TOT) AJD]]-TABL123[[#This Row],[BER_ IN]]</f>
        <v>502</v>
      </c>
      <c r="AK217" s="68">
        <v>45</v>
      </c>
      <c r="AL217" s="88">
        <v>41.244999999999997</v>
      </c>
      <c r="AM217" s="88">
        <v>2170460</v>
      </c>
      <c r="AN217" s="88">
        <f>TABL123[[#This Row],[ (RESV. STORGE) SER]]/10</f>
        <v>217046</v>
      </c>
      <c r="AO217" s="45">
        <v>1985</v>
      </c>
      <c r="AP217" s="32">
        <f>TABL123[[#This Row],[(A/S TOT) AJD]]-TABL123[[#This Row],[SER_ IN]]</f>
        <v>176</v>
      </c>
    </row>
    <row r="218" spans="1:42" ht="18.75" x14ac:dyDescent="0.3">
      <c r="A218" s="2">
        <v>46239</v>
      </c>
      <c r="B218" s="41">
        <v>47</v>
      </c>
      <c r="C218" s="41">
        <v>360</v>
      </c>
      <c r="D218" s="41">
        <f t="shared" si="11"/>
        <v>47</v>
      </c>
      <c r="E218" s="28"/>
      <c r="F218" s="41">
        <v>92</v>
      </c>
      <c r="G218" s="39">
        <v>611</v>
      </c>
      <c r="H218" s="28">
        <f t="shared" si="9"/>
        <v>11</v>
      </c>
      <c r="I218" s="39">
        <v>525</v>
      </c>
      <c r="J218" s="39">
        <v>510</v>
      </c>
      <c r="K218" s="28">
        <f>TABL123[[#This Row],[خط (T/B  TOT) SAR]]+TABL123[[#This Row],[خط (S/S  TOT) SAR2]]</f>
        <v>1035</v>
      </c>
      <c r="L218" s="41">
        <v>425</v>
      </c>
      <c r="M218" s="42">
        <v>27.5</v>
      </c>
      <c r="N218" s="42">
        <v>8.58</v>
      </c>
      <c r="O218" s="39">
        <v>455</v>
      </c>
      <c r="P218" s="3">
        <f>TABL123[[#This Row],[خط (S/S  TOT) SAR2]]-TABL123[[#This Row],[(S/S TOT) AJD]]</f>
        <v>55</v>
      </c>
      <c r="Q218" s="39">
        <v>426</v>
      </c>
      <c r="R218" s="3">
        <f>TABL123[[#This Row],[خط (T/B  TOT) SAR]]-TABL123[[#This Row],[(T/B TOT) AJD]]</f>
        <v>99</v>
      </c>
      <c r="S218" s="3">
        <f>TABL123[[#This Row],[الفرق بين بداية ونهاية خط  T/B]]+TABL123[[#This Row],[الفرق بين بداية ونهاية خط  S/S]]</f>
        <v>154</v>
      </c>
      <c r="T218" s="3">
        <f>TABL123[[#This Row],[(S/S TOT) AJD]]+TABL123[[#This Row],[(T/B TOT) AJD]]</f>
        <v>881</v>
      </c>
      <c r="U218" s="41">
        <v>570</v>
      </c>
      <c r="V218" s="41">
        <v>231</v>
      </c>
      <c r="W218" s="3">
        <f>TABL123[[#This Row],[(A/B TOT) AJD]]+TABL123[[#This Row],[(A/S TOT) AJD]]</f>
        <v>801</v>
      </c>
      <c r="X218" s="3">
        <f>TABL123[[#This Row],[( S/S+T/B) AJD]]-TABL123[[#This Row],[(A/B + A/S) AJD]]</f>
        <v>80</v>
      </c>
      <c r="Y218" s="41">
        <v>92.781999999999996</v>
      </c>
      <c r="Z218" s="43">
        <v>664931</v>
      </c>
      <c r="AA218" s="3">
        <f>TABL123[[#This Row],[(RESV. STORGE) AJD]]/10</f>
        <v>66493.100000000006</v>
      </c>
      <c r="AB218" s="45">
        <f t="shared" si="10"/>
        <v>40.645000000000003</v>
      </c>
      <c r="AC218" s="43">
        <v>2846</v>
      </c>
      <c r="AD218" s="84">
        <f>TABL123[[#This Row],[( S/S+T/B) AJD]]-(TABL123[[#This Row],[(A/B + A/S) AJD]]+(TABL123[[#This Row],[(STORGE DIFF.) AJD]])+TABL123[[#This Row],[البخر  AJD]]/1000)</f>
        <v>36.509000000000015</v>
      </c>
      <c r="AE218" s="68">
        <v>83</v>
      </c>
      <c r="AF218" s="68">
        <v>59.064999999999998</v>
      </c>
      <c r="AG218" s="68">
        <v>1666581</v>
      </c>
      <c r="AH218" s="43">
        <v>3320</v>
      </c>
      <c r="AI218" s="43">
        <v>3320</v>
      </c>
      <c r="AJ218" s="79">
        <f>TABL123[[#This Row],[(A/B TOT) AJD]]-TABL123[[#This Row],[BER_ IN]]</f>
        <v>487</v>
      </c>
      <c r="AK218" s="68">
        <v>50</v>
      </c>
      <c r="AL218" s="88">
        <v>41.2986</v>
      </c>
      <c r="AM218" s="88">
        <v>2198960</v>
      </c>
      <c r="AN218" s="88">
        <f>TABL123[[#This Row],[ (RESV. STORGE) SER]]/10</f>
        <v>219896</v>
      </c>
      <c r="AO218" s="43">
        <v>1995</v>
      </c>
      <c r="AP218" s="32">
        <f>TABL123[[#This Row],[(A/S TOT) AJD]]-TABL123[[#This Row],[SER_ IN]]</f>
        <v>181</v>
      </c>
    </row>
    <row r="219" spans="1:42" ht="18.75" x14ac:dyDescent="0.3">
      <c r="A219" s="2">
        <v>46240</v>
      </c>
      <c r="B219" s="44">
        <v>47</v>
      </c>
      <c r="C219" s="44">
        <v>374</v>
      </c>
      <c r="D219" s="44">
        <f t="shared" si="11"/>
        <v>47</v>
      </c>
      <c r="E219" s="28"/>
      <c r="F219" s="44">
        <v>92</v>
      </c>
      <c r="G219" s="40">
        <v>611</v>
      </c>
      <c r="H219" s="28">
        <f t="shared" si="9"/>
        <v>11</v>
      </c>
      <c r="I219" s="40">
        <v>530</v>
      </c>
      <c r="J219" s="44">
        <v>515</v>
      </c>
      <c r="K219" s="28">
        <f>TABL123[[#This Row],[خط (T/B  TOT) SAR]]+TABL123[[#This Row],[خط (S/S  TOT) SAR2]]</f>
        <v>1045</v>
      </c>
      <c r="L219" s="45">
        <v>435</v>
      </c>
      <c r="M219" s="46">
        <v>28.4</v>
      </c>
      <c r="N219" s="46">
        <v>8.44</v>
      </c>
      <c r="O219" s="40">
        <v>437</v>
      </c>
      <c r="P219" s="3">
        <f>TABL123[[#This Row],[خط (S/S  TOT) SAR2]]-TABL123[[#This Row],[(S/S TOT) AJD]]</f>
        <v>78</v>
      </c>
      <c r="Q219" s="40">
        <v>467</v>
      </c>
      <c r="R219" s="3">
        <f>TABL123[[#This Row],[خط (T/B  TOT) SAR]]-TABL123[[#This Row],[(T/B TOT) AJD]]</f>
        <v>63</v>
      </c>
      <c r="S219" s="3">
        <f>TABL123[[#This Row],[الفرق بين بداية ونهاية خط  T/B]]+TABL123[[#This Row],[الفرق بين بداية ونهاية خط  S/S]]</f>
        <v>141</v>
      </c>
      <c r="T219" s="3">
        <f>TABL123[[#This Row],[(S/S TOT) AJD]]+TABL123[[#This Row],[(T/B TOT) AJD]]</f>
        <v>904</v>
      </c>
      <c r="U219" s="44">
        <v>558</v>
      </c>
      <c r="V219" s="44">
        <v>249</v>
      </c>
      <c r="W219" s="3">
        <f>TABL123[[#This Row],[(A/B TOT) AJD]]+TABL123[[#This Row],[(A/S TOT) AJD]]</f>
        <v>807</v>
      </c>
      <c r="X219" s="3">
        <f>TABL123[[#This Row],[( S/S+T/B) AJD]]-TABL123[[#This Row],[(A/B + A/S) AJD]]</f>
        <v>97</v>
      </c>
      <c r="Y219" s="44">
        <v>92.888999999999996</v>
      </c>
      <c r="Z219" s="45">
        <v>728953</v>
      </c>
      <c r="AA219" s="3">
        <f>TABL123[[#This Row],[(RESV. STORGE) AJD]]/10</f>
        <v>72895.3</v>
      </c>
      <c r="AB219" s="45">
        <f t="shared" si="10"/>
        <v>64.022000000000006</v>
      </c>
      <c r="AC219" s="45">
        <v>2683</v>
      </c>
      <c r="AD219" s="84">
        <f>TABL123[[#This Row],[( S/S+T/B) AJD]]-(TABL123[[#This Row],[(A/B + A/S) AJD]]+(TABL123[[#This Row],[(STORGE DIFF.) AJD]])+TABL123[[#This Row],[البخر  AJD]]/1000)</f>
        <v>30.294999999999959</v>
      </c>
      <c r="AE219" s="68">
        <v>87</v>
      </c>
      <c r="AF219" s="68">
        <v>59.05</v>
      </c>
      <c r="AG219" s="68">
        <v>1702936</v>
      </c>
      <c r="AH219" s="45">
        <v>3320</v>
      </c>
      <c r="AI219" s="45">
        <v>3320</v>
      </c>
      <c r="AJ219" s="79">
        <f>TABL123[[#This Row],[(A/B TOT) AJD]]-TABL123[[#This Row],[BER_ IN]]</f>
        <v>471</v>
      </c>
      <c r="AK219" s="68">
        <v>58</v>
      </c>
      <c r="AL219" s="88">
        <v>41.331000000000003</v>
      </c>
      <c r="AM219" s="88">
        <v>2215980</v>
      </c>
      <c r="AN219" s="88">
        <f>TABL123[[#This Row],[ (RESV. STORGE) SER]]/10</f>
        <v>221598</v>
      </c>
      <c r="AO219" s="45">
        <v>2035</v>
      </c>
      <c r="AP219" s="32">
        <f>TABL123[[#This Row],[(A/S TOT) AJD]]-TABL123[[#This Row],[SER_ IN]]</f>
        <v>191</v>
      </c>
    </row>
    <row r="220" spans="1:42" ht="18.75" x14ac:dyDescent="0.3">
      <c r="A220" s="2">
        <v>46241</v>
      </c>
      <c r="B220" s="41">
        <v>47</v>
      </c>
      <c r="C220" s="41">
        <v>382</v>
      </c>
      <c r="D220" s="41">
        <f t="shared" si="11"/>
        <v>47</v>
      </c>
      <c r="E220" s="28"/>
      <c r="F220" s="41">
        <v>92</v>
      </c>
      <c r="G220" s="39">
        <v>611</v>
      </c>
      <c r="H220" s="28">
        <f t="shared" si="9"/>
        <v>11</v>
      </c>
      <c r="I220" s="39">
        <v>535</v>
      </c>
      <c r="J220" s="39">
        <v>520</v>
      </c>
      <c r="K220" s="28">
        <f>TABL123[[#This Row],[خط (T/B  TOT) SAR]]+TABL123[[#This Row],[خط (S/S  TOT) SAR2]]</f>
        <v>1055</v>
      </c>
      <c r="L220" s="41">
        <v>442</v>
      </c>
      <c r="M220" s="42">
        <v>29.3</v>
      </c>
      <c r="N220" s="42">
        <v>8.2799999999999994</v>
      </c>
      <c r="O220" s="39">
        <v>438</v>
      </c>
      <c r="P220" s="3">
        <f>TABL123[[#This Row],[خط (S/S  TOT) SAR2]]-TABL123[[#This Row],[(S/S TOT) AJD]]</f>
        <v>82</v>
      </c>
      <c r="Q220" s="39">
        <v>471</v>
      </c>
      <c r="R220" s="3">
        <f>TABL123[[#This Row],[خط (T/B  TOT) SAR]]-TABL123[[#This Row],[(T/B TOT) AJD]]</f>
        <v>64</v>
      </c>
      <c r="S220" s="3">
        <f>TABL123[[#This Row],[الفرق بين بداية ونهاية خط  T/B]]+TABL123[[#This Row],[الفرق بين بداية ونهاية خط  S/S]]</f>
        <v>146</v>
      </c>
      <c r="T220" s="3">
        <f>TABL123[[#This Row],[(S/S TOT) AJD]]+TABL123[[#This Row],[(T/B TOT) AJD]]</f>
        <v>909</v>
      </c>
      <c r="U220" s="41">
        <v>551</v>
      </c>
      <c r="V220" s="41">
        <v>295</v>
      </c>
      <c r="W220" s="3">
        <f>TABL123[[#This Row],[(A/B TOT) AJD]]+TABL123[[#This Row],[(A/S TOT) AJD]]</f>
        <v>846</v>
      </c>
      <c r="X220" s="3">
        <f>TABL123[[#This Row],[( S/S+T/B) AJD]]-TABL123[[#This Row],[(A/B + A/S) AJD]]</f>
        <v>63</v>
      </c>
      <c r="Y220" s="41">
        <v>92.936000000000007</v>
      </c>
      <c r="Z220" s="43">
        <v>757922</v>
      </c>
      <c r="AA220" s="3">
        <f>TABL123[[#This Row],[(RESV. STORGE) AJD]]/10</f>
        <v>75792.2</v>
      </c>
      <c r="AB220" s="45">
        <f t="shared" si="10"/>
        <v>28.969000000000001</v>
      </c>
      <c r="AC220" s="43">
        <v>2727</v>
      </c>
      <c r="AD220" s="84">
        <f>TABL123[[#This Row],[( S/S+T/B) AJD]]-(TABL123[[#This Row],[(A/B + A/S) AJD]]+(TABL123[[#This Row],[(STORGE DIFF.) AJD]])+TABL123[[#This Row],[البخر  AJD]]/1000)</f>
        <v>31.303999999999974</v>
      </c>
      <c r="AE220" s="68">
        <v>96</v>
      </c>
      <c r="AF220" s="68">
        <v>59.12</v>
      </c>
      <c r="AG220" s="68">
        <v>1702936</v>
      </c>
      <c r="AH220" s="43">
        <v>3121</v>
      </c>
      <c r="AI220" s="43">
        <v>3121</v>
      </c>
      <c r="AJ220" s="79">
        <f>TABL123[[#This Row],[(A/B TOT) AJD]]-TABL123[[#This Row],[BER_ IN]]</f>
        <v>455</v>
      </c>
      <c r="AK220" s="68">
        <v>80</v>
      </c>
      <c r="AL220" s="88">
        <v>41.331000000000003</v>
      </c>
      <c r="AM220" s="88">
        <v>2280368</v>
      </c>
      <c r="AN220" s="88">
        <f>TABL123[[#This Row],[ (RESV. STORGE) SER]]/10</f>
        <v>228036.8</v>
      </c>
      <c r="AO220" s="43">
        <v>1910</v>
      </c>
      <c r="AP220" s="32">
        <f>TABL123[[#This Row],[(A/S TOT) AJD]]-TABL123[[#This Row],[SER_ IN]]</f>
        <v>215</v>
      </c>
    </row>
    <row r="221" spans="1:42" ht="18.75" x14ac:dyDescent="0.3">
      <c r="A221" s="2">
        <v>46242</v>
      </c>
      <c r="B221" s="44">
        <v>47</v>
      </c>
      <c r="C221" s="44">
        <v>381</v>
      </c>
      <c r="D221" s="44">
        <f t="shared" si="11"/>
        <v>47</v>
      </c>
      <c r="E221" s="28"/>
      <c r="F221" s="44">
        <v>92</v>
      </c>
      <c r="G221" s="40">
        <v>611</v>
      </c>
      <c r="H221" s="28">
        <f t="shared" si="9"/>
        <v>11</v>
      </c>
      <c r="I221" s="40">
        <v>537</v>
      </c>
      <c r="J221" s="44">
        <v>522</v>
      </c>
      <c r="K221" s="28">
        <f>TABL123[[#This Row],[خط (T/B  TOT) SAR]]+TABL123[[#This Row],[خط (S/S  TOT) SAR2]]</f>
        <v>1059</v>
      </c>
      <c r="L221" s="45">
        <v>442</v>
      </c>
      <c r="M221" s="46">
        <v>29.3</v>
      </c>
      <c r="N221" s="46">
        <v>8.14</v>
      </c>
      <c r="O221" s="40">
        <v>447</v>
      </c>
      <c r="P221" s="3">
        <f>TABL123[[#This Row],[خط (S/S  TOT) SAR2]]-TABL123[[#This Row],[(S/S TOT) AJD]]</f>
        <v>75</v>
      </c>
      <c r="Q221" s="40">
        <v>478</v>
      </c>
      <c r="R221" s="3">
        <f>TABL123[[#This Row],[خط (T/B  TOT) SAR]]-TABL123[[#This Row],[(T/B TOT) AJD]]</f>
        <v>59</v>
      </c>
      <c r="S221" s="3">
        <f>TABL123[[#This Row],[الفرق بين بداية ونهاية خط  T/B]]+TABL123[[#This Row],[الفرق بين بداية ونهاية خط  S/S]]</f>
        <v>134</v>
      </c>
      <c r="T221" s="3">
        <f>TABL123[[#This Row],[(S/S TOT) AJD]]+TABL123[[#This Row],[(T/B TOT) AJD]]</f>
        <v>925</v>
      </c>
      <c r="U221" s="44">
        <v>546</v>
      </c>
      <c r="V221" s="44">
        <v>304</v>
      </c>
      <c r="W221" s="3">
        <f>TABL123[[#This Row],[(A/B TOT) AJD]]+TABL123[[#This Row],[(A/S TOT) AJD]]</f>
        <v>850</v>
      </c>
      <c r="X221" s="3">
        <f>TABL123[[#This Row],[( S/S+T/B) AJD]]-TABL123[[#This Row],[(A/B + A/S) AJD]]</f>
        <v>75</v>
      </c>
      <c r="Y221" s="44">
        <v>92.980999999999995</v>
      </c>
      <c r="Z221" s="45">
        <v>784099</v>
      </c>
      <c r="AA221" s="3">
        <f>TABL123[[#This Row],[(RESV. STORGE) AJD]]/10</f>
        <v>78409.899999999994</v>
      </c>
      <c r="AB221" s="45">
        <f t="shared" si="10"/>
        <v>26.177</v>
      </c>
      <c r="AC221" s="45">
        <v>3652</v>
      </c>
      <c r="AD221" s="84">
        <f>TABL123[[#This Row],[( S/S+T/B) AJD]]-(TABL123[[#This Row],[(A/B + A/S) AJD]]+(TABL123[[#This Row],[(STORGE DIFF.) AJD]])+TABL123[[#This Row],[البخر  AJD]]/1000)</f>
        <v>45.170999999999935</v>
      </c>
      <c r="AE221" s="68">
        <v>116</v>
      </c>
      <c r="AF221" s="68">
        <v>59.2</v>
      </c>
      <c r="AG221" s="68">
        <v>1755863</v>
      </c>
      <c r="AH221" s="45">
        <v>3007</v>
      </c>
      <c r="AI221" s="45">
        <v>3007</v>
      </c>
      <c r="AJ221" s="79">
        <f>TABL123[[#This Row],[(A/B TOT) AJD]]-TABL123[[#This Row],[BER_ IN]]</f>
        <v>430</v>
      </c>
      <c r="AK221" s="68">
        <v>87</v>
      </c>
      <c r="AL221" s="88">
        <v>41.453600000000002</v>
      </c>
      <c r="AM221" s="88">
        <v>2343099</v>
      </c>
      <c r="AN221" s="88">
        <f>TABL123[[#This Row],[ (RESV. STORGE) SER]]/10</f>
        <v>234309.9</v>
      </c>
      <c r="AO221" s="45">
        <v>1985</v>
      </c>
      <c r="AP221" s="32">
        <f>TABL123[[#This Row],[(A/S TOT) AJD]]-TABL123[[#This Row],[SER_ IN]]</f>
        <v>217</v>
      </c>
    </row>
    <row r="222" spans="1:42" ht="18.75" x14ac:dyDescent="0.3">
      <c r="A222" s="2">
        <v>46243</v>
      </c>
      <c r="B222" s="41">
        <v>47</v>
      </c>
      <c r="C222" s="41">
        <v>386</v>
      </c>
      <c r="D222" s="41">
        <f t="shared" si="11"/>
        <v>47</v>
      </c>
      <c r="E222" s="28"/>
      <c r="F222" s="41">
        <v>92</v>
      </c>
      <c r="G222" s="39">
        <v>611</v>
      </c>
      <c r="H222" s="28">
        <f t="shared" si="9"/>
        <v>11</v>
      </c>
      <c r="I222" s="39">
        <v>537</v>
      </c>
      <c r="J222" s="39">
        <v>523</v>
      </c>
      <c r="K222" s="28">
        <f>TABL123[[#This Row],[خط (T/B  TOT) SAR]]+TABL123[[#This Row],[خط (S/S  TOT) SAR2]]</f>
        <v>1060</v>
      </c>
      <c r="L222" s="41">
        <v>440</v>
      </c>
      <c r="M222" s="42">
        <v>29.3</v>
      </c>
      <c r="N222" s="42">
        <v>8.02</v>
      </c>
      <c r="O222" s="39">
        <v>445</v>
      </c>
      <c r="P222" s="3">
        <f>TABL123[[#This Row],[خط (S/S  TOT) SAR2]]-TABL123[[#This Row],[(S/S TOT) AJD]]</f>
        <v>78</v>
      </c>
      <c r="Q222" s="39">
        <v>479</v>
      </c>
      <c r="R222" s="3">
        <f>TABL123[[#This Row],[خط (T/B  TOT) SAR]]-TABL123[[#This Row],[(T/B TOT) AJD]]</f>
        <v>58</v>
      </c>
      <c r="S222" s="3">
        <f>TABL123[[#This Row],[الفرق بين بداية ونهاية خط  T/B]]+TABL123[[#This Row],[الفرق بين بداية ونهاية خط  S/S]]</f>
        <v>136</v>
      </c>
      <c r="T222" s="3">
        <f>TABL123[[#This Row],[(S/S TOT) AJD]]+TABL123[[#This Row],[(T/B TOT) AJD]]</f>
        <v>924</v>
      </c>
      <c r="U222" s="41">
        <v>524</v>
      </c>
      <c r="V222" s="41">
        <v>302</v>
      </c>
      <c r="W222" s="3">
        <f>TABL123[[#This Row],[(A/B TOT) AJD]]+TABL123[[#This Row],[(A/S TOT) AJD]]</f>
        <v>826</v>
      </c>
      <c r="X222" s="3">
        <f>TABL123[[#This Row],[( S/S+T/B) AJD]]-TABL123[[#This Row],[(A/B + A/S) AJD]]</f>
        <v>98</v>
      </c>
      <c r="Y222" s="41">
        <v>93.067999999999998</v>
      </c>
      <c r="Z222" s="43">
        <v>836298</v>
      </c>
      <c r="AA222" s="3">
        <f>TABL123[[#This Row],[(RESV. STORGE) AJD]]/10</f>
        <v>83629.8</v>
      </c>
      <c r="AB222" s="45">
        <f t="shared" si="10"/>
        <v>52.198999999999998</v>
      </c>
      <c r="AC222" s="43">
        <v>3110</v>
      </c>
      <c r="AD222" s="84">
        <f>TABL123[[#This Row],[( S/S+T/B) AJD]]-(TABL123[[#This Row],[(A/B + A/S) AJD]]+(TABL123[[#This Row],[(STORGE DIFF.) AJD]])+TABL123[[#This Row],[البخر  AJD]]/1000)</f>
        <v>42.691000000000031</v>
      </c>
      <c r="AE222" s="68">
        <v>129</v>
      </c>
      <c r="AF222" s="68">
        <v>59.284999999999997</v>
      </c>
      <c r="AG222" s="68">
        <v>1812158</v>
      </c>
      <c r="AH222" s="43">
        <v>2984</v>
      </c>
      <c r="AI222" s="43">
        <v>2984</v>
      </c>
      <c r="AJ222" s="79">
        <f>TABL123[[#This Row],[(A/B TOT) AJD]]-TABL123[[#This Row],[BER_ IN]]</f>
        <v>395</v>
      </c>
      <c r="AK222" s="68">
        <v>93</v>
      </c>
      <c r="AL222" s="88">
        <v>41.688200000000002</v>
      </c>
      <c r="AM222" s="88">
        <v>2404913</v>
      </c>
      <c r="AN222" s="88">
        <f>TABL123[[#This Row],[ (RESV. STORGE) SER]]/10</f>
        <v>240491.3</v>
      </c>
      <c r="AO222" s="43">
        <v>2012</v>
      </c>
      <c r="AP222" s="32">
        <f>TABL123[[#This Row],[(A/S TOT) AJD]]-TABL123[[#This Row],[SER_ IN]]</f>
        <v>209</v>
      </c>
    </row>
    <row r="223" spans="1:42" ht="18.75" x14ac:dyDescent="0.3">
      <c r="A223" s="2">
        <v>46244</v>
      </c>
      <c r="B223" s="44">
        <v>47</v>
      </c>
      <c r="C223" s="44">
        <v>382</v>
      </c>
      <c r="D223" s="44">
        <f t="shared" si="11"/>
        <v>47</v>
      </c>
      <c r="E223" s="28"/>
      <c r="F223" s="44">
        <v>92</v>
      </c>
      <c r="G223" s="40">
        <v>611</v>
      </c>
      <c r="H223" s="28">
        <f t="shared" si="9"/>
        <v>11</v>
      </c>
      <c r="I223" s="40">
        <v>537</v>
      </c>
      <c r="J223" s="44">
        <v>522</v>
      </c>
      <c r="K223" s="28">
        <f>TABL123[[#This Row],[خط (T/B  TOT) SAR]]+TABL123[[#This Row],[خط (S/S  TOT) SAR2]]</f>
        <v>1059</v>
      </c>
      <c r="L223" s="45">
        <v>438</v>
      </c>
      <c r="M223" s="46">
        <v>29.3</v>
      </c>
      <c r="N223" s="46">
        <v>7.92</v>
      </c>
      <c r="O223" s="40">
        <v>442</v>
      </c>
      <c r="P223" s="3">
        <f>TABL123[[#This Row],[خط (S/S  TOT) SAR2]]-TABL123[[#This Row],[(S/S TOT) AJD]]</f>
        <v>80</v>
      </c>
      <c r="Q223" s="40">
        <v>478</v>
      </c>
      <c r="R223" s="3">
        <f>TABL123[[#This Row],[خط (T/B  TOT) SAR]]-TABL123[[#This Row],[(T/B TOT) AJD]]</f>
        <v>59</v>
      </c>
      <c r="S223" s="3">
        <f>TABL123[[#This Row],[الفرق بين بداية ونهاية خط  T/B]]+TABL123[[#This Row],[الفرق بين بداية ونهاية خط  S/S]]</f>
        <v>139</v>
      </c>
      <c r="T223" s="3">
        <f>TABL123[[#This Row],[(S/S TOT) AJD]]+TABL123[[#This Row],[(T/B TOT) AJD]]</f>
        <v>920</v>
      </c>
      <c r="U223" s="44">
        <v>528</v>
      </c>
      <c r="V223" s="44">
        <v>324</v>
      </c>
      <c r="W223" s="3">
        <f>TABL123[[#This Row],[(A/B TOT) AJD]]+TABL123[[#This Row],[(A/S TOT) AJD]]</f>
        <v>852</v>
      </c>
      <c r="X223" s="3">
        <f>TABL123[[#This Row],[( S/S+T/B) AJD]]-TABL123[[#This Row],[(A/B + A/S) AJD]]</f>
        <v>68</v>
      </c>
      <c r="Y223" s="44">
        <v>93.105999999999995</v>
      </c>
      <c r="Z223" s="45">
        <v>859119</v>
      </c>
      <c r="AA223" s="3">
        <f>TABL123[[#This Row],[(RESV. STORGE) AJD]]/10</f>
        <v>85911.9</v>
      </c>
      <c r="AB223" s="45">
        <f t="shared" si="10"/>
        <v>22.821000000000002</v>
      </c>
      <c r="AC223" s="45">
        <v>2853</v>
      </c>
      <c r="AD223" s="84">
        <f>TABL123[[#This Row],[( S/S+T/B) AJD]]-(TABL123[[#This Row],[(A/B + A/S) AJD]]+(TABL123[[#This Row],[(STORGE DIFF.) AJD]])+TABL123[[#This Row],[البخر  AJD]]/1000)</f>
        <v>42.326000000000022</v>
      </c>
      <c r="AE223" s="68">
        <v>145</v>
      </c>
      <c r="AF223" s="68">
        <v>59.363999999999997</v>
      </c>
      <c r="AG223" s="68">
        <v>1864536</v>
      </c>
      <c r="AH223" s="45">
        <v>3039</v>
      </c>
      <c r="AI223" s="45">
        <v>3039</v>
      </c>
      <c r="AJ223" s="79">
        <f>TABL123[[#This Row],[(A/B TOT) AJD]]-TABL123[[#This Row],[BER_ IN]]</f>
        <v>383</v>
      </c>
      <c r="AK223" s="68">
        <v>120</v>
      </c>
      <c r="AL223" s="88">
        <v>41.848799999999997</v>
      </c>
      <c r="AM223" s="88">
        <v>2490499</v>
      </c>
      <c r="AN223" s="88">
        <f>TABL123[[#This Row],[ (RESV. STORGE) SER]]/10</f>
        <v>249049.9</v>
      </c>
      <c r="AO223" s="45">
        <v>2025</v>
      </c>
      <c r="AP223" s="32">
        <f>TABL123[[#This Row],[(A/S TOT) AJD]]-TABL123[[#This Row],[SER_ IN]]</f>
        <v>204</v>
      </c>
    </row>
    <row r="224" spans="1:42" ht="18.75" x14ac:dyDescent="0.3">
      <c r="A224" s="2">
        <v>46245</v>
      </c>
      <c r="B224" s="41">
        <v>47</v>
      </c>
      <c r="C224" s="41">
        <v>382</v>
      </c>
      <c r="D224" s="41">
        <f t="shared" si="11"/>
        <v>47</v>
      </c>
      <c r="E224" s="28"/>
      <c r="F224" s="41">
        <v>92</v>
      </c>
      <c r="G224" s="39">
        <v>611</v>
      </c>
      <c r="H224" s="28">
        <f t="shared" si="9"/>
        <v>11</v>
      </c>
      <c r="I224" s="39">
        <v>537</v>
      </c>
      <c r="J224" s="39">
        <v>522</v>
      </c>
      <c r="K224" s="28">
        <f>TABL123[[#This Row],[خط (T/B  TOT) SAR]]+TABL123[[#This Row],[خط (S/S  TOT) SAR2]]</f>
        <v>1059</v>
      </c>
      <c r="L224" s="41">
        <v>437</v>
      </c>
      <c r="M224" s="42">
        <v>29.3</v>
      </c>
      <c r="N224" s="42">
        <v>7.84</v>
      </c>
      <c r="O224" s="39">
        <v>443</v>
      </c>
      <c r="P224" s="3">
        <f>TABL123[[#This Row],[خط (S/S  TOT) SAR2]]-TABL123[[#This Row],[(S/S TOT) AJD]]</f>
        <v>79</v>
      </c>
      <c r="Q224" s="39">
        <v>479</v>
      </c>
      <c r="R224" s="3">
        <f>TABL123[[#This Row],[خط (T/B  TOT) SAR]]-TABL123[[#This Row],[(T/B TOT) AJD]]</f>
        <v>58</v>
      </c>
      <c r="S224" s="3">
        <f>TABL123[[#This Row],[الفرق بين بداية ونهاية خط  T/B]]+TABL123[[#This Row],[الفرق بين بداية ونهاية خط  S/S]]</f>
        <v>137</v>
      </c>
      <c r="T224" s="3">
        <f>TABL123[[#This Row],[(S/S TOT) AJD]]+TABL123[[#This Row],[(T/B TOT) AJD]]</f>
        <v>922</v>
      </c>
      <c r="U224" s="41">
        <v>558</v>
      </c>
      <c r="V224" s="41">
        <v>348</v>
      </c>
      <c r="W224" s="3">
        <f>TABL123[[#This Row],[(A/B TOT) AJD]]+TABL123[[#This Row],[(A/S TOT) AJD]]</f>
        <v>906</v>
      </c>
      <c r="X224" s="3">
        <f>TABL123[[#This Row],[( S/S+T/B) AJD]]-TABL123[[#This Row],[(A/B + A/S) AJD]]</f>
        <v>16</v>
      </c>
      <c r="Y224" s="41">
        <v>93.043000000000006</v>
      </c>
      <c r="Z224" s="43">
        <v>821291</v>
      </c>
      <c r="AA224" s="3">
        <f>TABL123[[#This Row],[(RESV. STORGE) AJD]]/10</f>
        <v>82129.100000000006</v>
      </c>
      <c r="AB224" s="45">
        <f t="shared" si="10"/>
        <v>-37.828000000000003</v>
      </c>
      <c r="AC224" s="43">
        <v>3033</v>
      </c>
      <c r="AD224" s="84">
        <f>TABL123[[#This Row],[( S/S+T/B) AJD]]-(TABL123[[#This Row],[(A/B + A/S) AJD]]+(TABL123[[#This Row],[(STORGE DIFF.) AJD]])+TABL123[[#This Row],[البخر  AJD]]/1000)</f>
        <v>50.794999999999959</v>
      </c>
      <c r="AE224" s="68">
        <v>149</v>
      </c>
      <c r="AF224" s="68">
        <v>59.475000000000001</v>
      </c>
      <c r="AG224" s="68">
        <v>1938221</v>
      </c>
      <c r="AH224" s="68">
        <v>2902</v>
      </c>
      <c r="AI224" s="68">
        <v>2902</v>
      </c>
      <c r="AJ224" s="79">
        <f>TABL123[[#This Row],[(A/B TOT) AJD]]-TABL123[[#This Row],[BER_ IN]]</f>
        <v>409</v>
      </c>
      <c r="AK224" s="68">
        <v>141</v>
      </c>
      <c r="AL224" s="88">
        <v>42.0854</v>
      </c>
      <c r="AM224" s="88">
        <v>2616840</v>
      </c>
      <c r="AN224" s="88">
        <f>TABL123[[#This Row],[ (RESV. STORGE) SER]]/10</f>
        <v>261684</v>
      </c>
      <c r="AO224" s="43">
        <v>2030</v>
      </c>
      <c r="AP224" s="32">
        <f>TABL123[[#This Row],[(A/S TOT) AJD]]-TABL123[[#This Row],[SER_ IN]]</f>
        <v>207</v>
      </c>
    </row>
    <row r="225" spans="1:42" ht="18.75" x14ac:dyDescent="0.3">
      <c r="A225" s="2">
        <v>46246</v>
      </c>
      <c r="B225" s="44">
        <v>47</v>
      </c>
      <c r="C225" s="44">
        <v>374</v>
      </c>
      <c r="D225" s="44">
        <f t="shared" si="11"/>
        <v>47</v>
      </c>
      <c r="E225" s="28"/>
      <c r="F225" s="44">
        <v>92</v>
      </c>
      <c r="G225" s="40">
        <v>611</v>
      </c>
      <c r="H225" s="28">
        <f t="shared" si="9"/>
        <v>11</v>
      </c>
      <c r="I225" s="40">
        <v>537</v>
      </c>
      <c r="J225" s="44">
        <v>522</v>
      </c>
      <c r="K225" s="28">
        <f>TABL123[[#This Row],[خط (T/B  TOT) SAR]]+TABL123[[#This Row],[خط (S/S  TOT) SAR2]]</f>
        <v>1059</v>
      </c>
      <c r="L225" s="45">
        <v>437</v>
      </c>
      <c r="M225" s="46">
        <v>29.3</v>
      </c>
      <c r="N225" s="46">
        <v>7.75</v>
      </c>
      <c r="O225" s="40">
        <v>444</v>
      </c>
      <c r="P225" s="3">
        <f>TABL123[[#This Row],[خط (S/S  TOT) SAR2]]-TABL123[[#This Row],[(S/S TOT) AJD]]</f>
        <v>78</v>
      </c>
      <c r="Q225" s="40">
        <v>479</v>
      </c>
      <c r="R225" s="3">
        <f>TABL123[[#This Row],[خط (T/B  TOT) SAR]]-TABL123[[#This Row],[(T/B TOT) AJD]]</f>
        <v>58</v>
      </c>
      <c r="S225" s="3">
        <f>TABL123[[#This Row],[الفرق بين بداية ونهاية خط  T/B]]+TABL123[[#This Row],[الفرق بين بداية ونهاية خط  S/S]]</f>
        <v>136</v>
      </c>
      <c r="T225" s="3">
        <f>TABL123[[#This Row],[(S/S TOT) AJD]]+TABL123[[#This Row],[(T/B TOT) AJD]]</f>
        <v>923</v>
      </c>
      <c r="U225" s="44">
        <v>594</v>
      </c>
      <c r="V225" s="44">
        <v>352</v>
      </c>
      <c r="W225" s="3">
        <f>TABL123[[#This Row],[(A/B TOT) AJD]]+TABL123[[#This Row],[(A/S TOT) AJD]]</f>
        <v>946</v>
      </c>
      <c r="X225" s="3">
        <f>TABL123[[#This Row],[( S/S+T/B) AJD]]-TABL123[[#This Row],[(A/B + A/S) AJD]]</f>
        <v>-23</v>
      </c>
      <c r="Y225" s="44">
        <v>92.926000000000002</v>
      </c>
      <c r="Z225" s="45">
        <v>751131</v>
      </c>
      <c r="AA225" s="3">
        <f>TABL123[[#This Row],[(RESV. STORGE) AJD]]/10</f>
        <v>75113.100000000006</v>
      </c>
      <c r="AB225" s="45">
        <f t="shared" si="10"/>
        <v>-70.16</v>
      </c>
      <c r="AC225" s="45">
        <v>2936</v>
      </c>
      <c r="AD225" s="84">
        <f>TABL123[[#This Row],[( S/S+T/B) AJD]]-(TABL123[[#This Row],[(A/B + A/S) AJD]]+(TABL123[[#This Row],[(STORGE DIFF.) AJD]])+TABL123[[#This Row],[البخر  AJD]]/1000)</f>
        <v>44.223999999999933</v>
      </c>
      <c r="AE225" s="68">
        <v>148</v>
      </c>
      <c r="AF225" s="68">
        <v>59.548000000000002</v>
      </c>
      <c r="AG225" s="68">
        <v>1987051</v>
      </c>
      <c r="AH225" s="45">
        <v>3169</v>
      </c>
      <c r="AI225" s="45">
        <v>3169</v>
      </c>
      <c r="AJ225" s="79">
        <f>TABL123[[#This Row],[(A/B TOT) AJD]]-TABL123[[#This Row],[BER_ IN]]</f>
        <v>446</v>
      </c>
      <c r="AK225" s="68">
        <v>153</v>
      </c>
      <c r="AL225" s="88">
        <v>42.323300000000003</v>
      </c>
      <c r="AM225" s="88">
        <v>2743630</v>
      </c>
      <c r="AN225" s="88">
        <f>TABL123[[#This Row],[ (RESV. STORGE) SER]]/10</f>
        <v>274363</v>
      </c>
      <c r="AO225" s="45">
        <v>2035</v>
      </c>
      <c r="AP225" s="32">
        <f>TABL123[[#This Row],[(A/S TOT) AJD]]-TABL123[[#This Row],[SER_ IN]]</f>
        <v>199</v>
      </c>
    </row>
    <row r="226" spans="1:42" ht="18.75" x14ac:dyDescent="0.3">
      <c r="A226" s="2">
        <v>46247</v>
      </c>
      <c r="B226" s="41">
        <v>46</v>
      </c>
      <c r="C226" s="41">
        <v>361</v>
      </c>
      <c r="D226" s="41">
        <f t="shared" si="11"/>
        <v>46</v>
      </c>
      <c r="E226" s="28"/>
      <c r="F226" s="41">
        <v>92</v>
      </c>
      <c r="G226" s="39">
        <v>611</v>
      </c>
      <c r="H226" s="28">
        <f t="shared" si="9"/>
        <v>11</v>
      </c>
      <c r="I226" s="39">
        <v>535</v>
      </c>
      <c r="J226" s="39">
        <v>522</v>
      </c>
      <c r="K226" s="28">
        <f>TABL123[[#This Row],[خط (T/B  TOT) SAR]]+TABL123[[#This Row],[خط (S/S  TOT) SAR2]]</f>
        <v>1057</v>
      </c>
      <c r="L226" s="41">
        <v>437</v>
      </c>
      <c r="M226" s="42">
        <v>29.3</v>
      </c>
      <c r="N226" s="42">
        <v>7.62</v>
      </c>
      <c r="O226" s="39">
        <v>447</v>
      </c>
      <c r="P226" s="3">
        <f>TABL123[[#This Row],[خط (S/S  TOT) SAR2]]-TABL123[[#This Row],[(S/S TOT) AJD]]</f>
        <v>75</v>
      </c>
      <c r="Q226" s="39">
        <v>481</v>
      </c>
      <c r="R226" s="3">
        <f>TABL123[[#This Row],[خط (T/B  TOT) SAR]]-TABL123[[#This Row],[(T/B TOT) AJD]]</f>
        <v>54</v>
      </c>
      <c r="S226" s="3">
        <f>TABL123[[#This Row],[الفرق بين بداية ونهاية خط  T/B]]+TABL123[[#This Row],[الفرق بين بداية ونهاية خط  S/S]]</f>
        <v>129</v>
      </c>
      <c r="T226" s="3">
        <f>TABL123[[#This Row],[(S/S TOT) AJD]]+TABL123[[#This Row],[(T/B TOT) AJD]]</f>
        <v>928</v>
      </c>
      <c r="U226" s="41">
        <v>612</v>
      </c>
      <c r="V226" s="41">
        <v>357</v>
      </c>
      <c r="W226" s="3">
        <f>TABL123[[#This Row],[(A/B TOT) AJD]]+TABL123[[#This Row],[(A/S TOT) AJD]]</f>
        <v>969</v>
      </c>
      <c r="X226" s="3">
        <f>TABL123[[#This Row],[( S/S+T/B) AJD]]-TABL123[[#This Row],[(A/B + A/S) AJD]]</f>
        <v>-41</v>
      </c>
      <c r="Y226" s="41">
        <v>92.789000000000001</v>
      </c>
      <c r="Z226" s="43">
        <v>669119</v>
      </c>
      <c r="AA226" s="3">
        <f>TABL123[[#This Row],[(RESV. STORGE) AJD]]/10</f>
        <v>66911.899999999994</v>
      </c>
      <c r="AB226" s="45">
        <f t="shared" si="10"/>
        <v>-82.012</v>
      </c>
      <c r="AC226" s="43">
        <v>2936</v>
      </c>
      <c r="AD226" s="84">
        <f>TABL123[[#This Row],[( S/S+T/B) AJD]]-(TABL123[[#This Row],[(A/B + A/S) AJD]]+(TABL123[[#This Row],[(STORGE DIFF.) AJD]])+TABL123[[#This Row],[البخر  AJD]]/1000)</f>
        <v>38.075999999999908</v>
      </c>
      <c r="AE226" s="68">
        <v>148</v>
      </c>
      <c r="AF226" s="68">
        <v>59.616</v>
      </c>
      <c r="AG226" s="68">
        <v>2031975</v>
      </c>
      <c r="AH226" s="43">
        <v>3395</v>
      </c>
      <c r="AI226" s="43">
        <v>3395</v>
      </c>
      <c r="AJ226" s="79">
        <f>TABL123[[#This Row],[(A/B TOT) AJD]]-TABL123[[#This Row],[BER_ IN]]</f>
        <v>464</v>
      </c>
      <c r="AK226" s="68">
        <v>151</v>
      </c>
      <c r="AL226" s="88">
        <v>42.583199999999998</v>
      </c>
      <c r="AM226" s="88">
        <v>2883220</v>
      </c>
      <c r="AN226" s="88">
        <f>TABL123[[#This Row],[ (RESV. STORGE) SER]]/10</f>
        <v>288322</v>
      </c>
      <c r="AO226" s="43">
        <v>2045</v>
      </c>
      <c r="AP226" s="32">
        <f>TABL123[[#This Row],[(A/S TOT) AJD]]-TABL123[[#This Row],[SER_ IN]]</f>
        <v>206</v>
      </c>
    </row>
    <row r="227" spans="1:42" ht="18.75" x14ac:dyDescent="0.3">
      <c r="A227" s="2">
        <v>46248</v>
      </c>
      <c r="B227" s="44">
        <v>45</v>
      </c>
      <c r="C227" s="44">
        <v>352</v>
      </c>
      <c r="D227" s="44">
        <f t="shared" si="11"/>
        <v>45</v>
      </c>
      <c r="E227" s="28"/>
      <c r="F227" s="44">
        <v>92</v>
      </c>
      <c r="G227" s="40">
        <v>611</v>
      </c>
      <c r="H227" s="28">
        <f t="shared" si="9"/>
        <v>11</v>
      </c>
      <c r="I227" s="40">
        <v>537</v>
      </c>
      <c r="J227" s="44">
        <v>522</v>
      </c>
      <c r="K227" s="28">
        <f>TABL123[[#This Row],[خط (T/B  TOT) SAR]]+TABL123[[#This Row],[خط (S/S  TOT) SAR2]]</f>
        <v>1059</v>
      </c>
      <c r="L227" s="45">
        <v>435</v>
      </c>
      <c r="M227" s="46">
        <v>29.3</v>
      </c>
      <c r="N227" s="46">
        <v>7.45</v>
      </c>
      <c r="O227" s="40">
        <v>442</v>
      </c>
      <c r="P227" s="3">
        <f>TABL123[[#This Row],[خط (S/S  TOT) SAR2]]-TABL123[[#This Row],[(S/S TOT) AJD]]</f>
        <v>80</v>
      </c>
      <c r="Q227" s="40">
        <v>479</v>
      </c>
      <c r="R227" s="3">
        <f>TABL123[[#This Row],[خط (T/B  TOT) SAR]]-TABL123[[#This Row],[(T/B TOT) AJD]]</f>
        <v>58</v>
      </c>
      <c r="S227" s="3">
        <f>TABL123[[#This Row],[الفرق بين بداية ونهاية خط  T/B]]+TABL123[[#This Row],[الفرق بين بداية ونهاية خط  S/S]]</f>
        <v>138</v>
      </c>
      <c r="T227" s="3">
        <f>TABL123[[#This Row],[(S/S TOT) AJD]]+TABL123[[#This Row],[(T/B TOT) AJD]]</f>
        <v>921</v>
      </c>
      <c r="U227" s="44">
        <v>616</v>
      </c>
      <c r="V227" s="44">
        <v>359</v>
      </c>
      <c r="W227" s="3">
        <f>TABL123[[#This Row],[(A/B TOT) AJD]]+TABL123[[#This Row],[(A/S TOT) AJD]]</f>
        <v>975</v>
      </c>
      <c r="X227" s="3">
        <f>TABL123[[#This Row],[( S/S+T/B) AJD]]-TABL123[[#This Row],[(A/B + A/S) AJD]]</f>
        <v>-54</v>
      </c>
      <c r="Y227" s="44">
        <v>92.638999999999996</v>
      </c>
      <c r="Z227" s="45">
        <v>579503</v>
      </c>
      <c r="AA227" s="3">
        <f>TABL123[[#This Row],[(RESV. STORGE) AJD]]/10</f>
        <v>57950.3</v>
      </c>
      <c r="AB227" s="45">
        <f t="shared" si="10"/>
        <v>-89.616</v>
      </c>
      <c r="AC227" s="45">
        <v>3793</v>
      </c>
      <c r="AD227" s="84">
        <f>TABL123[[#This Row],[( S/S+T/B) AJD]]-(TABL123[[#This Row],[(A/B + A/S) AJD]]+(TABL123[[#This Row],[(STORGE DIFF.) AJD]])+TABL123[[#This Row],[البخر  AJD]]/1000)</f>
        <v>31.822999999999979</v>
      </c>
      <c r="AE227" s="68">
        <v>151</v>
      </c>
      <c r="AF227" s="68">
        <v>59.585000000000001</v>
      </c>
      <c r="AG227" s="68">
        <v>2011348</v>
      </c>
      <c r="AH227" s="45">
        <v>2763</v>
      </c>
      <c r="AI227" s="45">
        <v>2763</v>
      </c>
      <c r="AJ227" s="79">
        <f>TABL123[[#This Row],[(A/B TOT) AJD]]-TABL123[[#This Row],[BER_ IN]]</f>
        <v>465</v>
      </c>
      <c r="AK227" s="68">
        <v>153</v>
      </c>
      <c r="AL227" s="88">
        <v>42.850900000000003</v>
      </c>
      <c r="AM227" s="88">
        <v>3027660</v>
      </c>
      <c r="AN227" s="88">
        <f>TABL123[[#This Row],[ (RESV. STORGE) SER]]/10</f>
        <v>302766</v>
      </c>
      <c r="AO227" s="45">
        <v>2040</v>
      </c>
      <c r="AP227" s="32">
        <f>TABL123[[#This Row],[(A/S TOT) AJD]]-TABL123[[#This Row],[SER_ IN]]</f>
        <v>206</v>
      </c>
    </row>
    <row r="228" spans="1:42" ht="18.75" x14ac:dyDescent="0.3">
      <c r="A228" s="2">
        <v>46249</v>
      </c>
      <c r="B228" s="41">
        <v>45</v>
      </c>
      <c r="C228" s="41">
        <v>346</v>
      </c>
      <c r="D228" s="41">
        <f t="shared" si="11"/>
        <v>45</v>
      </c>
      <c r="E228" s="28"/>
      <c r="F228" s="41">
        <v>92</v>
      </c>
      <c r="G228" s="39">
        <v>611</v>
      </c>
      <c r="H228" s="28">
        <f t="shared" si="9"/>
        <v>11</v>
      </c>
      <c r="I228" s="39">
        <v>535</v>
      </c>
      <c r="J228" s="39">
        <v>522</v>
      </c>
      <c r="K228" s="28">
        <f>TABL123[[#This Row],[خط (T/B  TOT) SAR]]+TABL123[[#This Row],[خط (S/S  TOT) SAR2]]</f>
        <v>1057</v>
      </c>
      <c r="L228" s="41">
        <v>430</v>
      </c>
      <c r="M228" s="42">
        <v>29.3</v>
      </c>
      <c r="N228" s="42">
        <v>7.26</v>
      </c>
      <c r="O228" s="39">
        <v>439</v>
      </c>
      <c r="P228" s="3">
        <f>TABL123[[#This Row],[خط (S/S  TOT) SAR2]]-TABL123[[#This Row],[(S/S TOT) AJD]]</f>
        <v>83</v>
      </c>
      <c r="Q228" s="39">
        <v>477</v>
      </c>
      <c r="R228" s="3">
        <f>TABL123[[#This Row],[خط (T/B  TOT) SAR]]-TABL123[[#This Row],[(T/B TOT) AJD]]</f>
        <v>58</v>
      </c>
      <c r="S228" s="3">
        <f>TABL123[[#This Row],[الفرق بين بداية ونهاية خط  T/B]]+TABL123[[#This Row],[الفرق بين بداية ونهاية خط  S/S]]</f>
        <v>141</v>
      </c>
      <c r="T228" s="3">
        <f>TABL123[[#This Row],[(S/S TOT) AJD]]+TABL123[[#This Row],[(T/B TOT) AJD]]</f>
        <v>916</v>
      </c>
      <c r="U228" s="41">
        <v>616</v>
      </c>
      <c r="V228" s="41">
        <v>328</v>
      </c>
      <c r="W228" s="3">
        <f>TABL123[[#This Row],[(A/B TOT) AJD]]+TABL123[[#This Row],[(A/S TOT) AJD]]</f>
        <v>944</v>
      </c>
      <c r="X228" s="3">
        <f>TABL123[[#This Row],[( S/S+T/B) AJD]]-TABL123[[#This Row],[(A/B + A/S) AJD]]</f>
        <v>-28</v>
      </c>
      <c r="Y228" s="41">
        <v>92.528999999999996</v>
      </c>
      <c r="Z228" s="43">
        <v>513902</v>
      </c>
      <c r="AA228" s="3">
        <f>TABL123[[#This Row],[(RESV. STORGE) AJD]]/10</f>
        <v>51390.2</v>
      </c>
      <c r="AB228" s="45">
        <f t="shared" si="10"/>
        <v>-65.600999999999999</v>
      </c>
      <c r="AC228" s="43">
        <v>3571</v>
      </c>
      <c r="AD228" s="84">
        <f>TABL123[[#This Row],[( S/S+T/B) AJD]]-(TABL123[[#This Row],[(A/B + A/S) AJD]]+(TABL123[[#This Row],[(STORGE DIFF.) AJD]])+TABL123[[#This Row],[البخر  AJD]]/1000)</f>
        <v>34.029999999999973</v>
      </c>
      <c r="AE228" s="68">
        <v>134</v>
      </c>
      <c r="AF228" s="68">
        <v>59.470999999999997</v>
      </c>
      <c r="AG228" s="68">
        <v>1935564</v>
      </c>
      <c r="AH228" s="43">
        <v>2696</v>
      </c>
      <c r="AI228" s="43">
        <v>2696</v>
      </c>
      <c r="AJ228" s="79">
        <f>TABL123[[#This Row],[(A/B TOT) AJD]]-TABL123[[#This Row],[BER_ IN]]</f>
        <v>482</v>
      </c>
      <c r="AK228" s="68">
        <v>132</v>
      </c>
      <c r="AL228" s="88">
        <v>43.091700000000003</v>
      </c>
      <c r="AM228" s="88">
        <v>3157820</v>
      </c>
      <c r="AN228" s="88">
        <f>TABL123[[#This Row],[ (RESV. STORGE) SER]]/10</f>
        <v>315782</v>
      </c>
      <c r="AO228" s="43">
        <v>1840</v>
      </c>
      <c r="AP228" s="32">
        <f>TABL123[[#This Row],[(A/S TOT) AJD]]-TABL123[[#This Row],[SER_ IN]]</f>
        <v>196</v>
      </c>
    </row>
    <row r="229" spans="1:42" ht="18.75" x14ac:dyDescent="0.3">
      <c r="A229" s="2">
        <v>46250</v>
      </c>
      <c r="B229" s="44">
        <v>46</v>
      </c>
      <c r="C229" s="44">
        <v>365</v>
      </c>
      <c r="D229" s="44">
        <f t="shared" si="11"/>
        <v>46</v>
      </c>
      <c r="E229" s="28"/>
      <c r="F229" s="44">
        <v>92</v>
      </c>
      <c r="G229" s="40">
        <v>611</v>
      </c>
      <c r="H229" s="28">
        <f t="shared" si="9"/>
        <v>11</v>
      </c>
      <c r="I229" s="40">
        <v>528</v>
      </c>
      <c r="J229" s="44">
        <v>510</v>
      </c>
      <c r="K229" s="28">
        <f>TABL123[[#This Row],[خط (T/B  TOT) SAR]]+TABL123[[#This Row],[خط (S/S  TOT) SAR2]]</f>
        <v>1038</v>
      </c>
      <c r="L229" s="45">
        <v>405</v>
      </c>
      <c r="M229" s="46">
        <v>28.7</v>
      </c>
      <c r="N229" s="46">
        <v>7.23</v>
      </c>
      <c r="O229" s="40">
        <v>477</v>
      </c>
      <c r="P229" s="3">
        <f>TABL123[[#This Row],[خط (S/S  TOT) SAR2]]-TABL123[[#This Row],[(S/S TOT) AJD]]</f>
        <v>33</v>
      </c>
      <c r="Q229" s="40">
        <v>440</v>
      </c>
      <c r="R229" s="3">
        <f>TABL123[[#This Row],[خط (T/B  TOT) SAR]]-TABL123[[#This Row],[(T/B TOT) AJD]]</f>
        <v>88</v>
      </c>
      <c r="S229" s="3">
        <f>TABL123[[#This Row],[الفرق بين بداية ونهاية خط  T/B]]+TABL123[[#This Row],[الفرق بين بداية ونهاية خط  S/S]]</f>
        <v>121</v>
      </c>
      <c r="T229" s="3">
        <f>TABL123[[#This Row],[(S/S TOT) AJD]]+TABL123[[#This Row],[(T/B TOT) AJD]]</f>
        <v>917</v>
      </c>
      <c r="U229" s="44">
        <v>615</v>
      </c>
      <c r="V229" s="44">
        <v>341</v>
      </c>
      <c r="W229" s="3">
        <f>TABL123[[#This Row],[(A/B TOT) AJD]]+TABL123[[#This Row],[(A/S TOT) AJD]]</f>
        <v>956</v>
      </c>
      <c r="X229" s="3">
        <f>TABL123[[#This Row],[( S/S+T/B) AJD]]-TABL123[[#This Row],[(A/B + A/S) AJD]]</f>
        <v>-39</v>
      </c>
      <c r="Y229" s="44">
        <v>92.402000000000001</v>
      </c>
      <c r="Z229" s="45">
        <v>438288</v>
      </c>
      <c r="AA229" s="3">
        <f>TABL123[[#This Row],[(RESV. STORGE) AJD]]/10</f>
        <v>43828.800000000003</v>
      </c>
      <c r="AB229" s="45">
        <f t="shared" si="10"/>
        <v>-75.614000000000004</v>
      </c>
      <c r="AC229" s="45">
        <v>3481</v>
      </c>
      <c r="AD229" s="84">
        <f>TABL123[[#This Row],[( S/S+T/B) AJD]]-(TABL123[[#This Row],[(A/B + A/S) AJD]]+(TABL123[[#This Row],[(STORGE DIFF.) AJD]])+TABL123[[#This Row],[البخر  AJD]]/1000)</f>
        <v>33.133000000000038</v>
      </c>
      <c r="AE229" s="68">
        <v>140</v>
      </c>
      <c r="AF229" s="68">
        <v>59.368000000000002</v>
      </c>
      <c r="AG229" s="68">
        <v>1867189</v>
      </c>
      <c r="AH229" s="45">
        <v>2670</v>
      </c>
      <c r="AI229" s="45">
        <v>2670</v>
      </c>
      <c r="AJ229" s="79">
        <f>TABL123[[#This Row],[(A/B TOT) AJD]]-TABL123[[#This Row],[BER_ IN]]</f>
        <v>475</v>
      </c>
      <c r="AK229" s="68">
        <v>122</v>
      </c>
      <c r="AL229" s="88">
        <v>43.300600000000003</v>
      </c>
      <c r="AM229" s="88">
        <v>3271450</v>
      </c>
      <c r="AN229" s="88">
        <f>TABL123[[#This Row],[ (RESV. STORGE) SER]]/10</f>
        <v>327145</v>
      </c>
      <c r="AO229" s="45">
        <v>1870</v>
      </c>
      <c r="AP229" s="32">
        <f>TABL123[[#This Row],[(A/S TOT) AJD]]-TABL123[[#This Row],[SER_ IN]]</f>
        <v>219</v>
      </c>
    </row>
    <row r="230" spans="1:42" ht="18.75" x14ac:dyDescent="0.3">
      <c r="A230" s="2">
        <v>46251</v>
      </c>
      <c r="B230" s="41">
        <v>46</v>
      </c>
      <c r="C230" s="41">
        <v>363</v>
      </c>
      <c r="D230" s="41">
        <f t="shared" si="11"/>
        <v>46</v>
      </c>
      <c r="E230" s="28"/>
      <c r="F230" s="41">
        <v>93</v>
      </c>
      <c r="G230" s="39">
        <v>617</v>
      </c>
      <c r="H230" s="28">
        <f t="shared" si="9"/>
        <v>10</v>
      </c>
      <c r="I230" s="39">
        <v>530</v>
      </c>
      <c r="J230" s="39">
        <v>515</v>
      </c>
      <c r="K230" s="28">
        <f>TABL123[[#This Row],[خط (T/B  TOT) SAR]]+TABL123[[#This Row],[خط (S/S  TOT) SAR2]]</f>
        <v>1045</v>
      </c>
      <c r="L230" s="41">
        <v>405</v>
      </c>
      <c r="M230" s="42">
        <v>28.7</v>
      </c>
      <c r="N230" s="42">
        <v>7.21</v>
      </c>
      <c r="O230" s="39">
        <v>430</v>
      </c>
      <c r="P230" s="3">
        <f>TABL123[[#This Row],[خط (S/S  TOT) SAR2]]-TABL123[[#This Row],[(S/S TOT) AJD]]</f>
        <v>85</v>
      </c>
      <c r="Q230" s="39">
        <v>466</v>
      </c>
      <c r="R230" s="3">
        <f>TABL123[[#This Row],[خط (T/B  TOT) SAR]]-TABL123[[#This Row],[(T/B TOT) AJD]]</f>
        <v>64</v>
      </c>
      <c r="S230" s="3">
        <f>TABL123[[#This Row],[الفرق بين بداية ونهاية خط  T/B]]+TABL123[[#This Row],[الفرق بين بداية ونهاية خط  S/S]]</f>
        <v>149</v>
      </c>
      <c r="T230" s="3">
        <f>TABL123[[#This Row],[(S/S TOT) AJD]]+TABL123[[#This Row],[(T/B TOT) AJD]]</f>
        <v>896</v>
      </c>
      <c r="U230" s="41">
        <v>591</v>
      </c>
      <c r="V230" s="41">
        <v>320</v>
      </c>
      <c r="W230" s="3">
        <f>TABL123[[#This Row],[(A/B TOT) AJD]]+TABL123[[#This Row],[(A/S TOT) AJD]]</f>
        <v>911</v>
      </c>
      <c r="X230" s="3">
        <f>TABL123[[#This Row],[( S/S+T/B) AJD]]-TABL123[[#This Row],[(A/B + A/S) AJD]]</f>
        <v>-15</v>
      </c>
      <c r="Y230" s="41">
        <v>92.34</v>
      </c>
      <c r="Z230" s="43">
        <v>401419</v>
      </c>
      <c r="AA230" s="3">
        <f>TABL123[[#This Row],[(RESV. STORGE) AJD]]/10</f>
        <v>40141.9</v>
      </c>
      <c r="AB230" s="45">
        <f t="shared" si="10"/>
        <v>-36.869</v>
      </c>
      <c r="AC230" s="43">
        <v>2180</v>
      </c>
      <c r="AD230" s="84">
        <f>TABL123[[#This Row],[( S/S+T/B) AJD]]-(TABL123[[#This Row],[(A/B + A/S) AJD]]+(TABL123[[#This Row],[(STORGE DIFF.) AJD]])+TABL123[[#This Row],[البخر  AJD]]/1000)</f>
        <v>19.689000000000078</v>
      </c>
      <c r="AE230" s="68">
        <v>111</v>
      </c>
      <c r="AF230" s="68">
        <v>59.258000000000003</v>
      </c>
      <c r="AG230" s="68">
        <v>1794269</v>
      </c>
      <c r="AH230" s="43">
        <v>3283</v>
      </c>
      <c r="AI230" s="43">
        <v>3283</v>
      </c>
      <c r="AJ230" s="79">
        <f>TABL123[[#This Row],[(A/B TOT) AJD]]-TABL123[[#This Row],[BER_ IN]]</f>
        <v>480</v>
      </c>
      <c r="AK230" s="68">
        <v>92</v>
      </c>
      <c r="AL230" s="88">
        <v>43.420900000000003</v>
      </c>
      <c r="AM230" s="88">
        <v>3334980</v>
      </c>
      <c r="AN230" s="88">
        <f>TABL123[[#This Row],[ (RESV. STORGE) SER]]/10</f>
        <v>333498</v>
      </c>
      <c r="AO230" s="43">
        <v>1870</v>
      </c>
      <c r="AP230" s="32">
        <f>TABL123[[#This Row],[(A/S TOT) AJD]]-TABL123[[#This Row],[SER_ IN]]</f>
        <v>228</v>
      </c>
    </row>
    <row r="231" spans="1:42" ht="18.75" x14ac:dyDescent="0.3">
      <c r="A231" s="2">
        <v>46252</v>
      </c>
      <c r="B231" s="44">
        <v>46</v>
      </c>
      <c r="C231" s="44">
        <v>365</v>
      </c>
      <c r="D231" s="44">
        <f t="shared" si="11"/>
        <v>46</v>
      </c>
      <c r="E231" s="28"/>
      <c r="F231" s="44">
        <v>93</v>
      </c>
      <c r="G231" s="40">
        <v>617</v>
      </c>
      <c r="H231" s="28">
        <f t="shared" si="9"/>
        <v>10</v>
      </c>
      <c r="I231" s="40">
        <v>533</v>
      </c>
      <c r="J231" s="44">
        <v>519</v>
      </c>
      <c r="K231" s="28">
        <f>TABL123[[#This Row],[خط (T/B  TOT) SAR]]+TABL123[[#This Row],[خط (S/S  TOT) SAR2]]</f>
        <v>1052</v>
      </c>
      <c r="L231" s="45">
        <v>404</v>
      </c>
      <c r="M231" s="46">
        <v>28.7</v>
      </c>
      <c r="N231" s="46">
        <v>7.22</v>
      </c>
      <c r="O231" s="40">
        <v>436</v>
      </c>
      <c r="P231" s="3">
        <f>TABL123[[#This Row],[خط (S/S  TOT) SAR2]]-TABL123[[#This Row],[(S/S TOT) AJD]]</f>
        <v>83</v>
      </c>
      <c r="Q231" s="40">
        <v>469</v>
      </c>
      <c r="R231" s="3">
        <f>TABL123[[#This Row],[خط (T/B  TOT) SAR]]-TABL123[[#This Row],[(T/B TOT) AJD]]</f>
        <v>64</v>
      </c>
      <c r="S231" s="3">
        <f>TABL123[[#This Row],[الفرق بين بداية ونهاية خط  T/B]]+TABL123[[#This Row],[الفرق بين بداية ونهاية خط  S/S]]</f>
        <v>147</v>
      </c>
      <c r="T231" s="3">
        <f>TABL123[[#This Row],[(S/S TOT) AJD]]+TABL123[[#This Row],[(T/B TOT) AJD]]</f>
        <v>905</v>
      </c>
      <c r="U231" s="44">
        <v>599</v>
      </c>
      <c r="V231" s="44">
        <v>290</v>
      </c>
      <c r="W231" s="3">
        <f>TABL123[[#This Row],[(A/B TOT) AJD]]+TABL123[[#This Row],[(A/S TOT) AJD]]</f>
        <v>889</v>
      </c>
      <c r="X231" s="3">
        <f>TABL123[[#This Row],[( S/S+T/B) AJD]]-TABL123[[#This Row],[(A/B + A/S) AJD]]</f>
        <v>16</v>
      </c>
      <c r="Y231" s="44">
        <v>92.316999999999993</v>
      </c>
      <c r="Z231" s="45">
        <v>387754</v>
      </c>
      <c r="AA231" s="3">
        <f>TABL123[[#This Row],[(RESV. STORGE) AJD]]/10</f>
        <v>38775.4</v>
      </c>
      <c r="AB231" s="45">
        <f t="shared" si="10"/>
        <v>-13.664999999999999</v>
      </c>
      <c r="AC231" s="45">
        <v>2412</v>
      </c>
      <c r="AD231" s="84">
        <f>TABL123[[#This Row],[( S/S+T/B) AJD]]-(TABL123[[#This Row],[(A/B + A/S) AJD]]+(TABL123[[#This Row],[(STORGE DIFF.) AJD]])+TABL123[[#This Row],[البخر  AJD]]/1000)</f>
        <v>27.252999999999929</v>
      </c>
      <c r="AE231" s="68">
        <v>96</v>
      </c>
      <c r="AF231" s="68">
        <v>59.238</v>
      </c>
      <c r="AG231" s="68">
        <v>1781022</v>
      </c>
      <c r="AH231" s="45">
        <v>3534</v>
      </c>
      <c r="AI231" s="45">
        <v>3534</v>
      </c>
      <c r="AJ231" s="79">
        <f>TABL123[[#This Row],[(A/B TOT) AJD]]-TABL123[[#This Row],[BER_ IN]]</f>
        <v>503</v>
      </c>
      <c r="AK231" s="68">
        <v>82</v>
      </c>
      <c r="AL231" s="88">
        <v>43.521999999999998</v>
      </c>
      <c r="AM231" s="88">
        <v>3390043</v>
      </c>
      <c r="AN231" s="88">
        <f>TABL123[[#This Row],[ (RESV. STORGE) SER]]/10</f>
        <v>339004.3</v>
      </c>
      <c r="AO231" s="45">
        <v>1837</v>
      </c>
      <c r="AP231" s="32">
        <f>TABL123[[#This Row],[(A/S TOT) AJD]]-TABL123[[#This Row],[SER_ IN]]</f>
        <v>208</v>
      </c>
    </row>
    <row r="232" spans="1:42" ht="18.75" x14ac:dyDescent="0.3">
      <c r="A232" s="2">
        <v>46253</v>
      </c>
      <c r="B232" s="41">
        <v>46</v>
      </c>
      <c r="C232" s="41">
        <v>352</v>
      </c>
      <c r="D232" s="41">
        <f t="shared" si="11"/>
        <v>46</v>
      </c>
      <c r="E232" s="28"/>
      <c r="F232" s="41">
        <v>93</v>
      </c>
      <c r="G232" s="39">
        <v>617</v>
      </c>
      <c r="H232" s="28">
        <f t="shared" si="9"/>
        <v>10</v>
      </c>
      <c r="I232" s="72">
        <v>530</v>
      </c>
      <c r="J232" s="39">
        <v>516</v>
      </c>
      <c r="K232" s="28">
        <f>TABL123[[#This Row],[خط (T/B  TOT) SAR]]+TABL123[[#This Row],[خط (S/S  TOT) SAR2]]</f>
        <v>1046</v>
      </c>
      <c r="L232" s="41">
        <v>402</v>
      </c>
      <c r="M232" s="42">
        <v>28.7</v>
      </c>
      <c r="N232" s="42">
        <v>7.16</v>
      </c>
      <c r="O232" s="39">
        <v>436</v>
      </c>
      <c r="P232" s="3">
        <f>TABL123[[#This Row],[خط (S/S  TOT) SAR2]]-TABL123[[#This Row],[(S/S TOT) AJD]]</f>
        <v>80</v>
      </c>
      <c r="Q232" s="39">
        <v>469</v>
      </c>
      <c r="R232" s="3">
        <f>TABL123[[#This Row],[خط (T/B  TOT) SAR]]-TABL123[[#This Row],[(T/B TOT) AJD]]</f>
        <v>61</v>
      </c>
      <c r="S232" s="3">
        <f>TABL123[[#This Row],[الفرق بين بداية ونهاية خط  T/B]]+TABL123[[#This Row],[الفرق بين بداية ونهاية خط  S/S]]</f>
        <v>141</v>
      </c>
      <c r="T232" s="3">
        <f>TABL123[[#This Row],[(S/S TOT) AJD]]+TABL123[[#This Row],[(T/B TOT) AJD]]</f>
        <v>905</v>
      </c>
      <c r="U232" s="41">
        <v>598</v>
      </c>
      <c r="V232" s="41">
        <v>238</v>
      </c>
      <c r="W232" s="3">
        <f>TABL123[[#This Row],[(A/B TOT) AJD]]+TABL123[[#This Row],[(A/S TOT) AJD]]</f>
        <v>836</v>
      </c>
      <c r="X232" s="3">
        <f>TABL123[[#This Row],[( S/S+T/B) AJD]]-TABL123[[#This Row],[(A/B + A/S) AJD]]</f>
        <v>69</v>
      </c>
      <c r="Y232" s="41">
        <v>92.393000000000001</v>
      </c>
      <c r="Z232" s="43">
        <v>432933</v>
      </c>
      <c r="AA232" s="3">
        <f>TABL123[[#This Row],[(RESV. STORGE) AJD]]/10</f>
        <v>43293.3</v>
      </c>
      <c r="AB232" s="45">
        <f t="shared" si="10"/>
        <v>45.179000000000002</v>
      </c>
      <c r="AC232" s="43">
        <v>2496</v>
      </c>
      <c r="AD232" s="84">
        <f>TABL123[[#This Row],[( S/S+T/B) AJD]]-(TABL123[[#This Row],[(A/B + A/S) AJD]]+(TABL123[[#This Row],[(STORGE DIFF.) AJD]])+TABL123[[#This Row],[البخر  AJD]]/1000)</f>
        <v>21.325000000000045</v>
      </c>
      <c r="AE232" s="68">
        <v>94</v>
      </c>
      <c r="AF232" s="68">
        <v>59.226999999999997</v>
      </c>
      <c r="AG232" s="68">
        <v>1773738</v>
      </c>
      <c r="AH232" s="43">
        <v>3604</v>
      </c>
      <c r="AI232" s="43">
        <v>3604</v>
      </c>
      <c r="AJ232" s="79">
        <f>TABL123[[#This Row],[(A/B TOT) AJD]]-TABL123[[#This Row],[BER_ IN]]</f>
        <v>504</v>
      </c>
      <c r="AK232" s="68">
        <v>70</v>
      </c>
      <c r="AL232" s="88">
        <v>43.555</v>
      </c>
      <c r="AM232" s="88">
        <v>3408031</v>
      </c>
      <c r="AN232" s="88">
        <f>TABL123[[#This Row],[ (RESV. STORGE) SER]]/10</f>
        <v>340803.1</v>
      </c>
      <c r="AO232" s="43">
        <v>1912</v>
      </c>
      <c r="AP232" s="32">
        <f>TABL123[[#This Row],[(A/S TOT) AJD]]-TABL123[[#This Row],[SER_ IN]]</f>
        <v>168</v>
      </c>
    </row>
    <row r="233" spans="1:42" ht="18.75" x14ac:dyDescent="0.3">
      <c r="A233" s="2">
        <v>46254</v>
      </c>
      <c r="B233" s="44">
        <v>46</v>
      </c>
      <c r="C233" s="44">
        <v>356</v>
      </c>
      <c r="D233" s="44">
        <f t="shared" si="11"/>
        <v>46</v>
      </c>
      <c r="E233" s="28"/>
      <c r="F233" s="44">
        <v>93</v>
      </c>
      <c r="G233" s="40">
        <v>617</v>
      </c>
      <c r="H233" s="28">
        <f t="shared" si="9"/>
        <v>10</v>
      </c>
      <c r="I233" s="40">
        <v>536</v>
      </c>
      <c r="J233" s="44">
        <v>522</v>
      </c>
      <c r="K233" s="28">
        <f>TABL123[[#This Row],[خط (T/B  TOT) SAR]]+TABL123[[#This Row],[خط (S/S  TOT) SAR2]]</f>
        <v>1058</v>
      </c>
      <c r="L233" s="45">
        <v>400</v>
      </c>
      <c r="M233" s="46">
        <v>28.7</v>
      </c>
      <c r="N233" s="46">
        <v>7.09</v>
      </c>
      <c r="O233" s="40">
        <v>436</v>
      </c>
      <c r="P233" s="3">
        <f>TABL123[[#This Row],[خط (S/S  TOT) SAR2]]-TABL123[[#This Row],[(S/S TOT) AJD]]</f>
        <v>86</v>
      </c>
      <c r="Q233" s="40">
        <v>467</v>
      </c>
      <c r="R233" s="3">
        <f>TABL123[[#This Row],[خط (T/B  TOT) SAR]]-TABL123[[#This Row],[(T/B TOT) AJD]]</f>
        <v>69</v>
      </c>
      <c r="S233" s="3">
        <f>TABL123[[#This Row],[الفرق بين بداية ونهاية خط  T/B]]+TABL123[[#This Row],[الفرق بين بداية ونهاية خط  S/S]]</f>
        <v>155</v>
      </c>
      <c r="T233" s="3">
        <f>TABL123[[#This Row],[(S/S TOT) AJD]]+TABL123[[#This Row],[(T/B TOT) AJD]]</f>
        <v>903</v>
      </c>
      <c r="U233" s="44">
        <v>593</v>
      </c>
      <c r="V233" s="44">
        <v>288</v>
      </c>
      <c r="W233" s="3">
        <f>TABL123[[#This Row],[(A/B TOT) AJD]]+TABL123[[#This Row],[(A/S TOT) AJD]]</f>
        <v>881</v>
      </c>
      <c r="X233" s="3">
        <f>TABL123[[#This Row],[( S/S+T/B) AJD]]-TABL123[[#This Row],[(A/B + A/S) AJD]]</f>
        <v>22</v>
      </c>
      <c r="Y233" s="44">
        <v>92.385000000000005</v>
      </c>
      <c r="Z233" s="45">
        <v>428400</v>
      </c>
      <c r="AA233" s="3">
        <f>TABL123[[#This Row],[(RESV. STORGE) AJD]]/10</f>
        <v>42840</v>
      </c>
      <c r="AB233" s="45">
        <f t="shared" si="10"/>
        <v>-4.5330000000000004</v>
      </c>
      <c r="AC233" s="45">
        <v>3551</v>
      </c>
      <c r="AD233" s="84">
        <f>TABL123[[#This Row],[( S/S+T/B) AJD]]-(TABL123[[#This Row],[(A/B + A/S) AJD]]+(TABL123[[#This Row],[(STORGE DIFF.) AJD]])+TABL123[[#This Row],[البخر  AJD]]/1000)</f>
        <v>22.981999999999971</v>
      </c>
      <c r="AE233" s="68">
        <v>96</v>
      </c>
      <c r="AF233" s="68">
        <v>59.218000000000004</v>
      </c>
      <c r="AG233" s="68">
        <v>1768035</v>
      </c>
      <c r="AH233" s="45">
        <v>3023</v>
      </c>
      <c r="AI233" s="45">
        <v>3023</v>
      </c>
      <c r="AJ233" s="79">
        <f>TABL123[[#This Row],[(A/B TOT) AJD]]-TABL123[[#This Row],[BER_ IN]]</f>
        <v>497</v>
      </c>
      <c r="AK233" s="68">
        <v>74</v>
      </c>
      <c r="AL233" s="88">
        <v>43.512</v>
      </c>
      <c r="AM233" s="88">
        <v>3384593</v>
      </c>
      <c r="AN233" s="88">
        <f>TABL123[[#This Row],[ (RESV. STORGE) SER]]/10</f>
        <v>338459.3</v>
      </c>
      <c r="AO233" s="45">
        <v>1938</v>
      </c>
      <c r="AP233" s="32">
        <f>TABL123[[#This Row],[(A/S TOT) AJD]]-TABL123[[#This Row],[SER_ IN]]</f>
        <v>214</v>
      </c>
    </row>
    <row r="234" spans="1:42" ht="18.75" x14ac:dyDescent="0.3">
      <c r="A234" s="2">
        <v>46255</v>
      </c>
      <c r="B234" s="41">
        <v>46</v>
      </c>
      <c r="C234" s="41">
        <v>287</v>
      </c>
      <c r="D234" s="41">
        <f t="shared" si="11"/>
        <v>46</v>
      </c>
      <c r="E234" s="28"/>
      <c r="F234" s="41">
        <v>89</v>
      </c>
      <c r="G234" s="39">
        <v>597</v>
      </c>
      <c r="H234" s="28">
        <f t="shared" si="9"/>
        <v>14</v>
      </c>
      <c r="I234" s="39">
        <v>275</v>
      </c>
      <c r="J234" s="39">
        <v>240</v>
      </c>
      <c r="K234" s="28">
        <f>TABL123[[#This Row],[خط (T/B  TOT) SAR]]+TABL123[[#This Row],[خط (S/S  TOT) SAR2]]</f>
        <v>515</v>
      </c>
      <c r="L234" s="41">
        <v>300</v>
      </c>
      <c r="M234" s="42">
        <v>21.4</v>
      </c>
      <c r="N234" s="42">
        <v>7.42</v>
      </c>
      <c r="O234" s="39">
        <v>438</v>
      </c>
      <c r="P234" s="3">
        <f>TABL123[[#This Row],[خط (S/S  TOT) SAR2]]-TABL123[[#This Row],[(S/S TOT) AJD]]</f>
        <v>-198</v>
      </c>
      <c r="Q234" s="39">
        <v>469</v>
      </c>
      <c r="R234" s="3">
        <f>TABL123[[#This Row],[خط (T/B  TOT) SAR]]-TABL123[[#This Row],[(T/B TOT) AJD]]</f>
        <v>-194</v>
      </c>
      <c r="S234" s="3">
        <f>TABL123[[#This Row],[الفرق بين بداية ونهاية خط  T/B]]+TABL123[[#This Row],[الفرق بين بداية ونهاية خط  S/S]]</f>
        <v>-392</v>
      </c>
      <c r="T234" s="3">
        <f>TABL123[[#This Row],[(S/S TOT) AJD]]+TABL123[[#This Row],[(T/B TOT) AJD]]</f>
        <v>907</v>
      </c>
      <c r="U234" s="41">
        <v>521</v>
      </c>
      <c r="V234" s="41">
        <v>281</v>
      </c>
      <c r="W234" s="3">
        <f>TABL123[[#This Row],[(A/B TOT) AJD]]+TABL123[[#This Row],[(A/S TOT) AJD]]</f>
        <v>802</v>
      </c>
      <c r="X234" s="3">
        <f>TABL123[[#This Row],[( S/S+T/B) AJD]]-TABL123[[#This Row],[(A/B + A/S) AJD]]</f>
        <v>105</v>
      </c>
      <c r="Y234" s="41">
        <v>92.534000000000006</v>
      </c>
      <c r="Z234" s="43">
        <v>516875</v>
      </c>
      <c r="AA234" s="3">
        <f>TABL123[[#This Row],[(RESV. STORGE) AJD]]/10</f>
        <v>51687.5</v>
      </c>
      <c r="AB234" s="45">
        <f t="shared" si="10"/>
        <v>88.474999999999994</v>
      </c>
      <c r="AC234" s="43">
        <v>3971</v>
      </c>
      <c r="AD234" s="84">
        <f>TABL123[[#This Row],[( S/S+T/B) AJD]]-(TABL123[[#This Row],[(A/B + A/S) AJD]]+(TABL123[[#This Row],[(STORGE DIFF.) AJD]])+TABL123[[#This Row],[البخر  AJD]]/1000)</f>
        <v>12.553999999999974</v>
      </c>
      <c r="AE234" s="68">
        <v>82</v>
      </c>
      <c r="AF234" s="68">
        <v>59.207000000000001</v>
      </c>
      <c r="AG234" s="68">
        <v>1760496</v>
      </c>
      <c r="AH234" s="43">
        <v>3138</v>
      </c>
      <c r="AI234" s="43">
        <v>3138</v>
      </c>
      <c r="AJ234" s="79">
        <f>TABL123[[#This Row],[(A/B TOT) AJD]]-TABL123[[#This Row],[BER_ IN]]</f>
        <v>439</v>
      </c>
      <c r="AK234" s="68">
        <v>45</v>
      </c>
      <c r="AL234" s="88">
        <v>43.3795</v>
      </c>
      <c r="AM234" s="88">
        <v>3313880</v>
      </c>
      <c r="AN234" s="88">
        <f>TABL123[[#This Row],[ (RESV. STORGE) SER]]/10</f>
        <v>331388</v>
      </c>
      <c r="AO234" s="43">
        <v>1913</v>
      </c>
      <c r="AP234" s="32">
        <f>TABL123[[#This Row],[(A/S TOT) AJD]]-TABL123[[#This Row],[SER_ IN]]</f>
        <v>236</v>
      </c>
    </row>
    <row r="235" spans="1:42" ht="18.75" x14ac:dyDescent="0.3">
      <c r="A235" s="2">
        <v>46256</v>
      </c>
      <c r="B235" s="44">
        <v>46</v>
      </c>
      <c r="C235" s="44">
        <v>300</v>
      </c>
      <c r="D235" s="44">
        <f t="shared" si="11"/>
        <v>46</v>
      </c>
      <c r="E235" s="28"/>
      <c r="F235" s="44">
        <v>88</v>
      </c>
      <c r="G235" s="40">
        <v>524</v>
      </c>
      <c r="H235" s="28">
        <f t="shared" si="9"/>
        <v>15</v>
      </c>
      <c r="I235" s="40">
        <v>261</v>
      </c>
      <c r="J235" s="44">
        <v>250</v>
      </c>
      <c r="K235" s="28">
        <f>TABL123[[#This Row],[خط (T/B  TOT) SAR]]+TABL123[[#This Row],[خط (S/S  TOT) SAR2]]</f>
        <v>511</v>
      </c>
      <c r="L235" s="45">
        <v>285</v>
      </c>
      <c r="M235" s="46">
        <v>20.399999999999999</v>
      </c>
      <c r="N235" s="46">
        <v>7.47</v>
      </c>
      <c r="O235" s="40">
        <v>330</v>
      </c>
      <c r="P235" s="3">
        <f>TABL123[[#This Row],[خط (S/S  TOT) SAR2]]-TABL123[[#This Row],[(S/S TOT) AJD]]</f>
        <v>-80</v>
      </c>
      <c r="Q235" s="40">
        <v>359</v>
      </c>
      <c r="R235" s="3">
        <f>TABL123[[#This Row],[خط (T/B  TOT) SAR]]-TABL123[[#This Row],[(T/B TOT) AJD]]</f>
        <v>-98</v>
      </c>
      <c r="S235" s="3">
        <f>TABL123[[#This Row],[الفرق بين بداية ونهاية خط  T/B]]+TABL123[[#This Row],[الفرق بين بداية ونهاية خط  S/S]]</f>
        <v>-178</v>
      </c>
      <c r="T235" s="3">
        <f>TABL123[[#This Row],[(S/S TOT) AJD]]+TABL123[[#This Row],[(T/B TOT) AJD]]</f>
        <v>689</v>
      </c>
      <c r="U235" s="44">
        <v>489</v>
      </c>
      <c r="V235" s="44">
        <v>211</v>
      </c>
      <c r="W235" s="3">
        <f>TABL123[[#This Row],[(A/B TOT) AJD]]+TABL123[[#This Row],[(A/S TOT) AJD]]</f>
        <v>700</v>
      </c>
      <c r="X235" s="3">
        <f>TABL123[[#This Row],[( S/S+T/B) AJD]]-TABL123[[#This Row],[(A/B + A/S) AJD]]</f>
        <v>-11</v>
      </c>
      <c r="Y235" s="44">
        <v>92.441999999999993</v>
      </c>
      <c r="Z235" s="45">
        <v>462090</v>
      </c>
      <c r="AA235" s="3">
        <f>TABL123[[#This Row],[(RESV. STORGE) AJD]]/10</f>
        <v>46209</v>
      </c>
      <c r="AB235" s="45">
        <f t="shared" si="10"/>
        <v>-54.784999999999997</v>
      </c>
      <c r="AC235" s="45">
        <v>4016</v>
      </c>
      <c r="AD235" s="84">
        <f>TABL123[[#This Row],[( S/S+T/B) AJD]]-(TABL123[[#This Row],[(A/B + A/S) AJD]]+(TABL123[[#This Row],[(STORGE DIFF.) AJD]])+TABL123[[#This Row],[البخر  AJD]]/1000)</f>
        <v>39.769000000000005</v>
      </c>
      <c r="AE235" s="68">
        <v>45</v>
      </c>
      <c r="AF235" s="68">
        <v>59.137999999999998</v>
      </c>
      <c r="AG235" s="68">
        <v>1714910</v>
      </c>
      <c r="AH235" s="45">
        <v>3356</v>
      </c>
      <c r="AI235" s="45">
        <v>3356</v>
      </c>
      <c r="AJ235" s="79">
        <f>TABL123[[#This Row],[(A/B TOT) AJD]]-TABL123[[#This Row],[BER_ IN]]</f>
        <v>444</v>
      </c>
      <c r="AK235" s="68">
        <v>0</v>
      </c>
      <c r="AL235" s="88">
        <v>43.203299999999999</v>
      </c>
      <c r="AM235" s="88">
        <v>3218240</v>
      </c>
      <c r="AN235" s="88">
        <f>TABL123[[#This Row],[ (RESV. STORGE) SER]]/10</f>
        <v>321824</v>
      </c>
      <c r="AO235" s="45">
        <v>3356</v>
      </c>
      <c r="AP235" s="32">
        <f>TABL123[[#This Row],[(A/S TOT) AJD]]-TABL123[[#This Row],[SER_ IN]]</f>
        <v>211</v>
      </c>
    </row>
    <row r="236" spans="1:42" ht="18.75" x14ac:dyDescent="0.3">
      <c r="A236" s="2">
        <v>46257</v>
      </c>
      <c r="B236" s="41">
        <v>46</v>
      </c>
      <c r="C236" s="41">
        <v>272</v>
      </c>
      <c r="D236" s="41">
        <f t="shared" si="11"/>
        <v>46</v>
      </c>
      <c r="E236" s="28"/>
      <c r="F236" s="41">
        <v>88</v>
      </c>
      <c r="G236" s="39">
        <v>524</v>
      </c>
      <c r="H236" s="28">
        <f t="shared" si="9"/>
        <v>15</v>
      </c>
      <c r="I236" s="39">
        <v>453</v>
      </c>
      <c r="J236" s="39">
        <v>440</v>
      </c>
      <c r="K236" s="28">
        <f>TABL123[[#This Row],[خط (T/B  TOT) SAR]]+TABL123[[#This Row],[خط (S/S  TOT) SAR2]]</f>
        <v>893</v>
      </c>
      <c r="L236" s="41">
        <v>280</v>
      </c>
      <c r="M236" s="42">
        <v>20.399999999999999</v>
      </c>
      <c r="N236" s="42">
        <v>7.28</v>
      </c>
      <c r="O236" s="39">
        <v>299</v>
      </c>
      <c r="P236" s="3">
        <f>TABL123[[#This Row],[خط (S/S  TOT) SAR2]]-TABL123[[#This Row],[(S/S TOT) AJD]]</f>
        <v>141</v>
      </c>
      <c r="Q236" s="39">
        <v>325</v>
      </c>
      <c r="R236" s="3">
        <f>TABL123[[#This Row],[خط (T/B  TOT) SAR]]-TABL123[[#This Row],[(T/B TOT) AJD]]</f>
        <v>128</v>
      </c>
      <c r="S236" s="3">
        <f>TABL123[[#This Row],[الفرق بين بداية ونهاية خط  T/B]]+TABL123[[#This Row],[الفرق بين بداية ونهاية خط  S/S]]</f>
        <v>269</v>
      </c>
      <c r="T236" s="3">
        <f>TABL123[[#This Row],[(S/S TOT) AJD]]+TABL123[[#This Row],[(T/B TOT) AJD]]</f>
        <v>624</v>
      </c>
      <c r="U236" s="41">
        <v>467</v>
      </c>
      <c r="V236" s="41">
        <v>232</v>
      </c>
      <c r="W236" s="3">
        <f>TABL123[[#This Row],[(A/B TOT) AJD]]+TABL123[[#This Row],[(A/S TOT) AJD]]</f>
        <v>699</v>
      </c>
      <c r="X236" s="3">
        <f>TABL123[[#This Row],[( S/S+T/B) AJD]]-TABL123[[#This Row],[(A/B + A/S) AJD]]</f>
        <v>-75</v>
      </c>
      <c r="Y236" s="41">
        <v>92.27</v>
      </c>
      <c r="Z236" s="43">
        <v>359834</v>
      </c>
      <c r="AA236" s="3">
        <f>TABL123[[#This Row],[(RESV. STORGE) AJD]]/10</f>
        <v>35983.4</v>
      </c>
      <c r="AB236" s="45">
        <f t="shared" si="10"/>
        <v>-102.256</v>
      </c>
      <c r="AC236" s="43">
        <v>3480</v>
      </c>
      <c r="AD236" s="84">
        <f>TABL123[[#This Row],[( S/S+T/B) AJD]]-(TABL123[[#This Row],[(A/B + A/S) AJD]]+(TABL123[[#This Row],[(STORGE DIFF.) AJD]])+TABL123[[#This Row],[البخر  AJD]]/1000)</f>
        <v>23.775999999999954</v>
      </c>
      <c r="AE236" s="68">
        <v>48</v>
      </c>
      <c r="AF236" s="68">
        <v>59.09</v>
      </c>
      <c r="AG236" s="68">
        <v>1683102</v>
      </c>
      <c r="AH236" s="43">
        <v>3209</v>
      </c>
      <c r="AI236" s="43">
        <v>3209</v>
      </c>
      <c r="AJ236" s="79">
        <f>TABL123[[#This Row],[(A/B TOT) AJD]]-TABL123[[#This Row],[BER_ IN]]</f>
        <v>419</v>
      </c>
      <c r="AK236" s="68">
        <v>0</v>
      </c>
      <c r="AL236" s="88">
        <v>43.134099999999997</v>
      </c>
      <c r="AM236" s="88">
        <v>3180790</v>
      </c>
      <c r="AN236" s="88">
        <f>TABL123[[#This Row],[ (RESV. STORGE) SER]]/10</f>
        <v>318079</v>
      </c>
      <c r="AO236" s="43">
        <v>1850</v>
      </c>
      <c r="AP236" s="32">
        <f>TABL123[[#This Row],[(A/S TOT) AJD]]-TABL123[[#This Row],[SER_ IN]]</f>
        <v>232</v>
      </c>
    </row>
    <row r="237" spans="1:42" ht="18.75" x14ac:dyDescent="0.3">
      <c r="A237" s="2">
        <v>46258</v>
      </c>
      <c r="B237" s="44">
        <v>46</v>
      </c>
      <c r="C237" s="44">
        <v>378</v>
      </c>
      <c r="D237" s="44">
        <f t="shared" si="11"/>
        <v>46</v>
      </c>
      <c r="E237" s="28"/>
      <c r="F237" s="44">
        <v>93</v>
      </c>
      <c r="G237" s="40">
        <v>617</v>
      </c>
      <c r="H237" s="28">
        <f t="shared" si="9"/>
        <v>10</v>
      </c>
      <c r="I237" s="40">
        <v>497</v>
      </c>
      <c r="J237" s="44">
        <v>485</v>
      </c>
      <c r="K237" s="28">
        <f>TABL123[[#This Row],[خط (T/B  TOT) SAR]]+TABL123[[#This Row],[خط (S/S  TOT) SAR2]]</f>
        <v>982</v>
      </c>
      <c r="L237" s="45">
        <v>348</v>
      </c>
      <c r="M237" s="46">
        <v>24.6</v>
      </c>
      <c r="N237" s="46">
        <v>7.7</v>
      </c>
      <c r="O237" s="40">
        <v>335</v>
      </c>
      <c r="P237" s="3">
        <f>TABL123[[#This Row],[خط (S/S  TOT) SAR2]]-TABL123[[#This Row],[(S/S TOT) AJD]]</f>
        <v>150</v>
      </c>
      <c r="Q237" s="40">
        <v>363</v>
      </c>
      <c r="R237" s="3">
        <f>TABL123[[#This Row],[خط (T/B  TOT) SAR]]-TABL123[[#This Row],[(T/B TOT) AJD]]</f>
        <v>134</v>
      </c>
      <c r="S237" s="3">
        <f>TABL123[[#This Row],[الفرق بين بداية ونهاية خط  T/B]]+TABL123[[#This Row],[الفرق بين بداية ونهاية خط  S/S]]</f>
        <v>284</v>
      </c>
      <c r="T237" s="3">
        <f>TABL123[[#This Row],[(S/S TOT) AJD]]+TABL123[[#This Row],[(T/B TOT) AJD]]</f>
        <v>698</v>
      </c>
      <c r="U237" s="44">
        <v>517</v>
      </c>
      <c r="V237" s="44">
        <v>249</v>
      </c>
      <c r="W237" s="3">
        <f>TABL123[[#This Row],[(A/B TOT) AJD]]+TABL123[[#This Row],[(A/S TOT) AJD]]</f>
        <v>766</v>
      </c>
      <c r="X237" s="3">
        <f>TABL123[[#This Row],[( S/S+T/B) AJD]]-TABL123[[#This Row],[(A/B + A/S) AJD]]</f>
        <v>-68</v>
      </c>
      <c r="Y237" s="44">
        <v>92.113</v>
      </c>
      <c r="Z237" s="45">
        <v>266714</v>
      </c>
      <c r="AA237" s="3">
        <f>TABL123[[#This Row],[(RESV. STORGE) AJD]]/10</f>
        <v>26671.4</v>
      </c>
      <c r="AB237" s="45">
        <f t="shared" si="10"/>
        <v>-93.12</v>
      </c>
      <c r="AC237" s="45">
        <v>2970</v>
      </c>
      <c r="AD237" s="84">
        <f>TABL123[[#This Row],[( S/S+T/B) AJD]]-(TABL123[[#This Row],[(A/B + A/S) AJD]]+(TABL123[[#This Row],[(STORGE DIFF.) AJD]])+TABL123[[#This Row],[البخر  AJD]]/1000)</f>
        <v>22.149999999999977</v>
      </c>
      <c r="AE237" s="68">
        <v>45</v>
      </c>
      <c r="AF237" s="68">
        <v>59.002000000000002</v>
      </c>
      <c r="AG237" s="68">
        <v>1625441</v>
      </c>
      <c r="AH237" s="45">
        <v>2981</v>
      </c>
      <c r="AI237" s="45">
        <v>2981</v>
      </c>
      <c r="AJ237" s="79">
        <f>TABL123[[#This Row],[(A/B TOT) AJD]]-TABL123[[#This Row],[BER_ IN]]</f>
        <v>472</v>
      </c>
      <c r="AK237" s="68">
        <v>0</v>
      </c>
      <c r="AL237" s="88">
        <v>43.095599999999997</v>
      </c>
      <c r="AM237" s="88">
        <v>3160200</v>
      </c>
      <c r="AN237" s="88">
        <f>TABL123[[#This Row],[ (RESV. STORGE) SER]]/10</f>
        <v>316020</v>
      </c>
      <c r="AO237" s="45">
        <v>1890</v>
      </c>
      <c r="AP237" s="32">
        <f>TABL123[[#This Row],[(A/S TOT) AJD]]-TABL123[[#This Row],[SER_ IN]]</f>
        <v>249</v>
      </c>
    </row>
    <row r="238" spans="1:42" ht="18.75" x14ac:dyDescent="0.3">
      <c r="A238" s="2">
        <v>46259</v>
      </c>
      <c r="B238" s="41">
        <v>47</v>
      </c>
      <c r="C238" s="41">
        <v>383</v>
      </c>
      <c r="D238" s="41">
        <f t="shared" si="11"/>
        <v>47</v>
      </c>
      <c r="E238" s="28"/>
      <c r="F238" s="41">
        <v>93</v>
      </c>
      <c r="G238" s="39">
        <v>617</v>
      </c>
      <c r="H238" s="28">
        <f t="shared" si="9"/>
        <v>10</v>
      </c>
      <c r="I238" s="39">
        <v>527</v>
      </c>
      <c r="J238" s="39">
        <v>512</v>
      </c>
      <c r="K238" s="28">
        <f>TABL123[[#This Row],[خط (T/B  TOT) SAR]]+TABL123[[#This Row],[خط (S/S  TOT) SAR2]]</f>
        <v>1039</v>
      </c>
      <c r="L238" s="41">
        <v>395</v>
      </c>
      <c r="M238" s="42">
        <v>27.1</v>
      </c>
      <c r="N238" s="42">
        <v>7.76</v>
      </c>
      <c r="O238" s="39">
        <v>400</v>
      </c>
      <c r="P238" s="3">
        <f>TABL123[[#This Row],[خط (S/S  TOT) SAR2]]-TABL123[[#This Row],[(S/S TOT) AJD]]</f>
        <v>112</v>
      </c>
      <c r="Q238" s="39">
        <v>431</v>
      </c>
      <c r="R238" s="3">
        <f>TABL123[[#This Row],[خط (T/B  TOT) SAR]]-TABL123[[#This Row],[(T/B TOT) AJD]]</f>
        <v>96</v>
      </c>
      <c r="S238" s="3">
        <f>TABL123[[#This Row],[الفرق بين بداية ونهاية خط  T/B]]+TABL123[[#This Row],[الفرق بين بداية ونهاية خط  S/S]]</f>
        <v>208</v>
      </c>
      <c r="T238" s="3">
        <f>TABL123[[#This Row],[(S/S TOT) AJD]]+TABL123[[#This Row],[(T/B TOT) AJD]]</f>
        <v>831</v>
      </c>
      <c r="U238" s="41">
        <v>464</v>
      </c>
      <c r="V238" s="41">
        <v>249</v>
      </c>
      <c r="W238" s="3">
        <f>TABL123[[#This Row],[(A/B TOT) AJD]]+TABL123[[#This Row],[(A/S TOT) AJD]]</f>
        <v>713</v>
      </c>
      <c r="X238" s="3">
        <f>TABL123[[#This Row],[( S/S+T/B) AJD]]-TABL123[[#This Row],[(A/B + A/S) AJD]]</f>
        <v>118</v>
      </c>
      <c r="Y238" s="41">
        <v>92.293000000000006</v>
      </c>
      <c r="Z238" s="43">
        <v>373495</v>
      </c>
      <c r="AA238" s="3">
        <f>TABL123[[#This Row],[(RESV. STORGE) AJD]]/10</f>
        <v>37349.5</v>
      </c>
      <c r="AB238" s="45">
        <f t="shared" si="10"/>
        <v>106.78100000000001</v>
      </c>
      <c r="AC238" s="43">
        <v>3093</v>
      </c>
      <c r="AD238" s="84">
        <f>TABL123[[#This Row],[( S/S+T/B) AJD]]-(TABL123[[#This Row],[(A/B + A/S) AJD]]+(TABL123[[#This Row],[(STORGE DIFF.) AJD]])+TABL123[[#This Row],[البخر  AJD]]/1000)</f>
        <v>8.12600000000009</v>
      </c>
      <c r="AE238" s="68">
        <v>45</v>
      </c>
      <c r="AF238" s="68">
        <v>58.914999999999999</v>
      </c>
      <c r="AG238" s="68">
        <v>1567563</v>
      </c>
      <c r="AH238" s="43">
        <v>3197</v>
      </c>
      <c r="AI238" s="43">
        <v>3197</v>
      </c>
      <c r="AJ238" s="79">
        <f>TABL123[[#This Row],[(A/B TOT) AJD]]-TABL123[[#This Row],[BER_ IN]]</f>
        <v>419</v>
      </c>
      <c r="AK238" s="68">
        <v>0</v>
      </c>
      <c r="AL238" s="88">
        <v>43.050199999999997</v>
      </c>
      <c r="AM238" s="88">
        <v>3134740</v>
      </c>
      <c r="AN238" s="88">
        <f>TABL123[[#This Row],[ (RESV. STORGE) SER]]/10</f>
        <v>313474</v>
      </c>
      <c r="AO238" s="43">
        <v>1860</v>
      </c>
      <c r="AP238" s="32">
        <f>TABL123[[#This Row],[(A/S TOT) AJD]]-TABL123[[#This Row],[SER_ IN]]</f>
        <v>249</v>
      </c>
    </row>
    <row r="239" spans="1:42" ht="18.75" x14ac:dyDescent="0.3">
      <c r="A239" s="2">
        <v>46260</v>
      </c>
      <c r="B239" s="44">
        <v>47</v>
      </c>
      <c r="C239" s="44">
        <v>390</v>
      </c>
      <c r="D239" s="44">
        <f t="shared" si="11"/>
        <v>47</v>
      </c>
      <c r="E239" s="28"/>
      <c r="F239" s="44">
        <v>93</v>
      </c>
      <c r="G239" s="40">
        <v>617</v>
      </c>
      <c r="H239" s="28">
        <f t="shared" si="9"/>
        <v>10</v>
      </c>
      <c r="I239" s="40">
        <v>534</v>
      </c>
      <c r="J239" s="44">
        <v>520</v>
      </c>
      <c r="K239" s="28">
        <f>TABL123[[#This Row],[خط (T/B  TOT) SAR]]+TABL123[[#This Row],[خط (S/S  TOT) SAR2]]</f>
        <v>1054</v>
      </c>
      <c r="L239" s="45">
        <v>413</v>
      </c>
      <c r="M239" s="46">
        <v>28</v>
      </c>
      <c r="N239" s="46">
        <v>7.8</v>
      </c>
      <c r="O239" s="40">
        <v>430</v>
      </c>
      <c r="P239" s="3">
        <f>TABL123[[#This Row],[خط (S/S  TOT) SAR2]]-TABL123[[#This Row],[(S/S TOT) AJD]]</f>
        <v>90</v>
      </c>
      <c r="Q239" s="40">
        <v>463</v>
      </c>
      <c r="R239" s="3">
        <f>TABL123[[#This Row],[خط (T/B  TOT) SAR]]-TABL123[[#This Row],[(T/B TOT) AJD]]</f>
        <v>71</v>
      </c>
      <c r="S239" s="3">
        <f>TABL123[[#This Row],[الفرق بين بداية ونهاية خط  T/B]]+TABL123[[#This Row],[الفرق بين بداية ونهاية خط  S/S]]</f>
        <v>161</v>
      </c>
      <c r="T239" s="3">
        <f>TABL123[[#This Row],[(S/S TOT) AJD]]+TABL123[[#This Row],[(T/B TOT) AJD]]</f>
        <v>893</v>
      </c>
      <c r="U239" s="44">
        <v>514</v>
      </c>
      <c r="V239" s="44">
        <v>248</v>
      </c>
      <c r="W239" s="3">
        <f>TABL123[[#This Row],[(A/B TOT) AJD]]+TABL123[[#This Row],[(A/S TOT) AJD]]</f>
        <v>762</v>
      </c>
      <c r="X239" s="3">
        <f>TABL123[[#This Row],[( S/S+T/B) AJD]]-TABL123[[#This Row],[(A/B + A/S) AJD]]</f>
        <v>131</v>
      </c>
      <c r="Y239" s="44">
        <v>92.451999999999998</v>
      </c>
      <c r="Z239" s="45">
        <v>458044</v>
      </c>
      <c r="AA239" s="3">
        <f>TABL123[[#This Row],[(RESV. STORGE) AJD]]/10</f>
        <v>45804.4</v>
      </c>
      <c r="AB239" s="45">
        <f t="shared" si="10"/>
        <v>84.549000000000007</v>
      </c>
      <c r="AC239" s="45">
        <v>2783</v>
      </c>
      <c r="AD239" s="84">
        <f>TABL123[[#This Row],[( S/S+T/B) AJD]]-(TABL123[[#This Row],[(A/B + A/S) AJD]]+(TABL123[[#This Row],[(STORGE DIFF.) AJD]])+TABL123[[#This Row],[البخر  AJD]]/1000)</f>
        <v>43.668000000000006</v>
      </c>
      <c r="AE239" s="68">
        <v>45</v>
      </c>
      <c r="AF239" s="68">
        <v>58.83</v>
      </c>
      <c r="AG239" s="68">
        <v>1511540</v>
      </c>
      <c r="AH239" s="45">
        <v>3343</v>
      </c>
      <c r="AI239" s="45">
        <v>3343</v>
      </c>
      <c r="AJ239" s="79">
        <f>TABL123[[#This Row],[(A/B TOT) AJD]]-TABL123[[#This Row],[BER_ IN]]</f>
        <v>469</v>
      </c>
      <c r="AK239" s="68">
        <v>0</v>
      </c>
      <c r="AL239" s="88">
        <v>43.0426</v>
      </c>
      <c r="AM239" s="88">
        <v>3131220</v>
      </c>
      <c r="AN239" s="88">
        <f>TABL123[[#This Row],[ (RESV. STORGE) SER]]/10</f>
        <v>313122</v>
      </c>
      <c r="AO239" s="45">
        <v>1820</v>
      </c>
      <c r="AP239" s="32">
        <f>TABL123[[#This Row],[(A/S TOT) AJD]]-TABL123[[#This Row],[SER_ IN]]</f>
        <v>248</v>
      </c>
    </row>
    <row r="240" spans="1:42" ht="18.75" x14ac:dyDescent="0.3">
      <c r="A240" s="2">
        <v>46261</v>
      </c>
      <c r="B240" s="41">
        <v>45</v>
      </c>
      <c r="C240" s="41">
        <v>374</v>
      </c>
      <c r="D240" s="41">
        <f t="shared" si="11"/>
        <v>45</v>
      </c>
      <c r="E240" s="28"/>
      <c r="F240" s="41">
        <v>93</v>
      </c>
      <c r="G240" s="39">
        <v>617</v>
      </c>
      <c r="H240" s="28">
        <f t="shared" si="9"/>
        <v>10</v>
      </c>
      <c r="I240" s="39">
        <v>534</v>
      </c>
      <c r="J240" s="39">
        <v>520</v>
      </c>
      <c r="K240" s="28">
        <f>TABL123[[#This Row],[خط (T/B  TOT) SAR]]+TABL123[[#This Row],[خط (S/S  TOT) SAR2]]</f>
        <v>1054</v>
      </c>
      <c r="L240" s="41">
        <v>416</v>
      </c>
      <c r="M240" s="42">
        <v>28.9</v>
      </c>
      <c r="N240" s="42">
        <v>7.68</v>
      </c>
      <c r="O240" s="39">
        <v>438</v>
      </c>
      <c r="P240" s="3">
        <f>TABL123[[#This Row],[خط (S/S  TOT) SAR2]]-TABL123[[#This Row],[(S/S TOT) AJD]]</f>
        <v>82</v>
      </c>
      <c r="Q240" s="39">
        <v>470</v>
      </c>
      <c r="R240" s="3">
        <f>TABL123[[#This Row],[خط (T/B  TOT) SAR]]-TABL123[[#This Row],[(T/B TOT) AJD]]</f>
        <v>64</v>
      </c>
      <c r="S240" s="3">
        <f>TABL123[[#This Row],[الفرق بين بداية ونهاية خط  T/B]]+TABL123[[#This Row],[الفرق بين بداية ونهاية خط  S/S]]</f>
        <v>146</v>
      </c>
      <c r="T240" s="3">
        <f>TABL123[[#This Row],[(S/S TOT) AJD]]+TABL123[[#This Row],[(T/B TOT) AJD]]</f>
        <v>908</v>
      </c>
      <c r="U240" s="41">
        <v>537</v>
      </c>
      <c r="V240" s="41">
        <v>247</v>
      </c>
      <c r="W240" s="3">
        <f>TABL123[[#This Row],[(A/B TOT) AJD]]+TABL123[[#This Row],[(A/S TOT) AJD]]</f>
        <v>784</v>
      </c>
      <c r="X240" s="3">
        <f>TABL123[[#This Row],[( S/S+T/B) AJD]]-TABL123[[#This Row],[(A/B + A/S) AJD]]</f>
        <v>124</v>
      </c>
      <c r="Y240" s="41">
        <v>92.647000000000006</v>
      </c>
      <c r="Z240" s="43">
        <v>582271</v>
      </c>
      <c r="AA240" s="3">
        <f>TABL123[[#This Row],[(RESV. STORGE) AJD]]/10</f>
        <v>58227.1</v>
      </c>
      <c r="AB240" s="45">
        <f t="shared" si="10"/>
        <v>124.227</v>
      </c>
      <c r="AC240" s="43">
        <v>2933</v>
      </c>
      <c r="AD240" s="84">
        <f>TABL123[[#This Row],[( S/S+T/B) AJD]]-(TABL123[[#This Row],[(A/B + A/S) AJD]]+(TABL123[[#This Row],[(STORGE DIFF.) AJD]])+TABL123[[#This Row],[البخر  AJD]]/1000)</f>
        <v>-3.1599999999999682</v>
      </c>
      <c r="AE240" s="68">
        <v>45</v>
      </c>
      <c r="AF240" s="68">
        <v>58.726999999999997</v>
      </c>
      <c r="AG240" s="68">
        <v>1473348</v>
      </c>
      <c r="AH240" s="43">
        <v>3512</v>
      </c>
      <c r="AI240" s="43">
        <v>3512</v>
      </c>
      <c r="AJ240" s="79">
        <f>TABL123[[#This Row],[(A/B TOT) AJD]]-TABL123[[#This Row],[BER_ IN]]</f>
        <v>492</v>
      </c>
      <c r="AK240" s="68">
        <v>12</v>
      </c>
      <c r="AL240" s="88">
        <v>43.049399999999999</v>
      </c>
      <c r="AM240" s="88">
        <v>3134730</v>
      </c>
      <c r="AN240" s="88">
        <f>TABL123[[#This Row],[ (RESV. STORGE) SER]]/10</f>
        <v>313473</v>
      </c>
      <c r="AO240" s="43">
        <v>1890</v>
      </c>
      <c r="AP240" s="32">
        <f>TABL123[[#This Row],[(A/S TOT) AJD]]-TABL123[[#This Row],[SER_ IN]]</f>
        <v>235</v>
      </c>
    </row>
    <row r="241" spans="1:42" ht="18.75" x14ac:dyDescent="0.3">
      <c r="A241" s="2">
        <v>46262</v>
      </c>
      <c r="B241" s="44">
        <v>45</v>
      </c>
      <c r="C241" s="44">
        <v>367</v>
      </c>
      <c r="D241" s="44">
        <f t="shared" si="11"/>
        <v>45</v>
      </c>
      <c r="E241" s="28"/>
      <c r="F241" s="44">
        <v>93</v>
      </c>
      <c r="G241" s="40">
        <v>617</v>
      </c>
      <c r="H241" s="28">
        <f t="shared" si="9"/>
        <v>10</v>
      </c>
      <c r="I241" s="40">
        <v>535</v>
      </c>
      <c r="J241" s="44">
        <v>523</v>
      </c>
      <c r="K241" s="28">
        <f>TABL123[[#This Row],[خط (T/B  TOT) SAR]]+TABL123[[#This Row],[خط (S/S  TOT) SAR2]]</f>
        <v>1058</v>
      </c>
      <c r="L241" s="45">
        <v>420</v>
      </c>
      <c r="M241" s="46">
        <v>28.9</v>
      </c>
      <c r="N241" s="46">
        <v>7.53</v>
      </c>
      <c r="O241" s="40">
        <v>438</v>
      </c>
      <c r="P241" s="3">
        <f>TABL123[[#This Row],[خط (S/S  TOT) SAR2]]-TABL123[[#This Row],[(S/S TOT) AJD]]</f>
        <v>85</v>
      </c>
      <c r="Q241" s="40">
        <v>473</v>
      </c>
      <c r="R241" s="3">
        <f>TABL123[[#This Row],[خط (T/B  TOT) SAR]]-TABL123[[#This Row],[(T/B TOT) AJD]]</f>
        <v>62</v>
      </c>
      <c r="S241" s="3">
        <f>TABL123[[#This Row],[الفرق بين بداية ونهاية خط  T/B]]+TABL123[[#This Row],[الفرق بين بداية ونهاية خط  S/S]]</f>
        <v>147</v>
      </c>
      <c r="T241" s="3">
        <f>TABL123[[#This Row],[(S/S TOT) AJD]]+TABL123[[#This Row],[(T/B TOT) AJD]]</f>
        <v>911</v>
      </c>
      <c r="U241" s="44">
        <v>542</v>
      </c>
      <c r="V241" s="44">
        <v>272</v>
      </c>
      <c r="W241" s="3">
        <f>TABL123[[#This Row],[(A/B TOT) AJD]]+TABL123[[#This Row],[(A/S TOT) AJD]]</f>
        <v>814</v>
      </c>
      <c r="X241" s="3">
        <f>TABL123[[#This Row],[( S/S+T/B) AJD]]-TABL123[[#This Row],[(A/B + A/S) AJD]]</f>
        <v>97</v>
      </c>
      <c r="Y241" s="44">
        <v>92.716999999999999</v>
      </c>
      <c r="Z241" s="45">
        <v>626082</v>
      </c>
      <c r="AA241" s="3">
        <f>TABL123[[#This Row],[(RESV. STORGE) AJD]]/10</f>
        <v>62608.2</v>
      </c>
      <c r="AB241" s="45">
        <f t="shared" si="10"/>
        <v>43.811</v>
      </c>
      <c r="AC241" s="45">
        <v>4558</v>
      </c>
      <c r="AD241" s="84">
        <f>TABL123[[#This Row],[( S/S+T/B) AJD]]-(TABL123[[#This Row],[(A/B + A/S) AJD]]+(TABL123[[#This Row],[(STORGE DIFF.) AJD]])+TABL123[[#This Row],[البخر  AJD]]/1000)</f>
        <v>48.630999999999972</v>
      </c>
      <c r="AE241" s="68">
        <v>45</v>
      </c>
      <c r="AF241" s="68">
        <v>58.725000000000001</v>
      </c>
      <c r="AG241" s="68">
        <v>1442420</v>
      </c>
      <c r="AH241" s="45">
        <v>35790</v>
      </c>
      <c r="AI241" s="45">
        <v>35790</v>
      </c>
      <c r="AJ241" s="79">
        <f>TABL123[[#This Row],[(A/B TOT) AJD]]-TABL123[[#This Row],[BER_ IN]]</f>
        <v>497</v>
      </c>
      <c r="AK241" s="68">
        <v>0</v>
      </c>
      <c r="AL241" s="88">
        <v>43.0077</v>
      </c>
      <c r="AM241" s="88">
        <v>3112500</v>
      </c>
      <c r="AN241" s="88">
        <f>TABL123[[#This Row],[ (RESV. STORGE) SER]]/10</f>
        <v>311250</v>
      </c>
      <c r="AO241" s="45">
        <v>1930</v>
      </c>
      <c r="AP241" s="32">
        <f>TABL123[[#This Row],[(A/S TOT) AJD]]-TABL123[[#This Row],[SER_ IN]]</f>
        <v>272</v>
      </c>
    </row>
    <row r="242" spans="1:42" ht="18.75" x14ac:dyDescent="0.3">
      <c r="A242" s="2">
        <v>46263</v>
      </c>
      <c r="B242" s="41">
        <v>44</v>
      </c>
      <c r="C242" s="41">
        <v>355</v>
      </c>
      <c r="D242" s="41">
        <f t="shared" si="11"/>
        <v>44</v>
      </c>
      <c r="E242" s="28"/>
      <c r="F242" s="41">
        <v>93</v>
      </c>
      <c r="G242" s="39">
        <v>617</v>
      </c>
      <c r="H242" s="28">
        <f t="shared" si="9"/>
        <v>10</v>
      </c>
      <c r="I242" s="39">
        <v>535</v>
      </c>
      <c r="J242" s="39">
        <v>521</v>
      </c>
      <c r="K242" s="28">
        <f>TABL123[[#This Row],[خط (T/B  TOT) SAR]]+TABL123[[#This Row],[خط (S/S  TOT) SAR2]]</f>
        <v>1056</v>
      </c>
      <c r="L242" s="41">
        <v>417</v>
      </c>
      <c r="M242" s="42">
        <v>28.9</v>
      </c>
      <c r="N242" s="42">
        <v>7.38</v>
      </c>
      <c r="O242" s="39">
        <v>438</v>
      </c>
      <c r="P242" s="3">
        <f>TABL123[[#This Row],[خط (S/S  TOT) SAR2]]-TABL123[[#This Row],[(S/S TOT) AJD]]</f>
        <v>83</v>
      </c>
      <c r="Q242" s="39">
        <v>473</v>
      </c>
      <c r="R242" s="3">
        <f>TABL123[[#This Row],[خط (T/B  TOT) SAR]]-TABL123[[#This Row],[(T/B TOT) AJD]]</f>
        <v>62</v>
      </c>
      <c r="S242" s="3">
        <f>TABL123[[#This Row],[الفرق بين بداية ونهاية خط  T/B]]+TABL123[[#This Row],[الفرق بين بداية ونهاية خط  S/S]]</f>
        <v>145</v>
      </c>
      <c r="T242" s="3">
        <f>TABL123[[#This Row],[(S/S TOT) AJD]]+TABL123[[#This Row],[(T/B TOT) AJD]]</f>
        <v>911</v>
      </c>
      <c r="U242" s="41">
        <v>549</v>
      </c>
      <c r="V242" s="41">
        <v>260</v>
      </c>
      <c r="W242" s="3">
        <f>TABL123[[#This Row],[(A/B TOT) AJD]]+TABL123[[#This Row],[(A/S TOT) AJD]]</f>
        <v>809</v>
      </c>
      <c r="X242" s="3">
        <f>TABL123[[#This Row],[( S/S+T/B) AJD]]-TABL123[[#This Row],[(A/B + A/S) AJD]]</f>
        <v>102</v>
      </c>
      <c r="Y242" s="41">
        <v>92.861000000000004</v>
      </c>
      <c r="Z242" s="43">
        <v>712200</v>
      </c>
      <c r="AA242" s="3">
        <f>TABL123[[#This Row],[(RESV. STORGE) AJD]]/10</f>
        <v>71220</v>
      </c>
      <c r="AB242" s="45">
        <f t="shared" si="10"/>
        <v>86.117999999999995</v>
      </c>
      <c r="AC242" s="43">
        <v>2766</v>
      </c>
      <c r="AD242" s="84">
        <f>TABL123[[#This Row],[( S/S+T/B) AJD]]-(TABL123[[#This Row],[(A/B + A/S) AJD]]+(TABL123[[#This Row],[(STORGE DIFF.) AJD]])+TABL123[[#This Row],[البخر  AJD]]/1000)</f>
        <v>13.116000000000099</v>
      </c>
      <c r="AE242" s="68">
        <v>73</v>
      </c>
      <c r="AF242" s="68">
        <v>58.71</v>
      </c>
      <c r="AG242" s="68">
        <v>1432554</v>
      </c>
      <c r="AH242" s="43">
        <v>1386</v>
      </c>
      <c r="AI242" s="43">
        <v>1386</v>
      </c>
      <c r="AJ242" s="79">
        <f>TABL123[[#This Row],[(A/B TOT) AJD]]-TABL123[[#This Row],[BER_ IN]]</f>
        <v>476</v>
      </c>
      <c r="AK242" s="68">
        <v>0</v>
      </c>
      <c r="AL242" s="88">
        <v>43.002699999999997</v>
      </c>
      <c r="AM242" s="88">
        <v>3108990</v>
      </c>
      <c r="AN242" s="88">
        <f>TABL123[[#This Row],[ (RESV. STORGE) SER]]/10</f>
        <v>310899</v>
      </c>
      <c r="AO242" s="43">
        <v>1810</v>
      </c>
      <c r="AP242" s="32">
        <f>TABL123[[#This Row],[(A/S TOT) AJD]]-TABL123[[#This Row],[SER_ IN]]</f>
        <v>260</v>
      </c>
    </row>
    <row r="243" spans="1:42" ht="18.75" x14ac:dyDescent="0.3">
      <c r="A243" s="2">
        <v>46264</v>
      </c>
      <c r="B243" s="44">
        <v>44</v>
      </c>
      <c r="C243" s="44">
        <v>353</v>
      </c>
      <c r="D243" s="44">
        <f t="shared" si="11"/>
        <v>44</v>
      </c>
      <c r="E243" s="28"/>
      <c r="F243" s="44">
        <v>93</v>
      </c>
      <c r="G243" s="40">
        <v>617</v>
      </c>
      <c r="H243" s="28">
        <f t="shared" si="9"/>
        <v>10</v>
      </c>
      <c r="I243" s="40">
        <v>532</v>
      </c>
      <c r="J243" s="44">
        <v>510</v>
      </c>
      <c r="K243" s="28">
        <f>TABL123[[#This Row],[خط (T/B  TOT) SAR]]+TABL123[[#This Row],[خط (S/S  TOT) SAR2]]</f>
        <v>1042</v>
      </c>
      <c r="L243" s="45">
        <v>412</v>
      </c>
      <c r="M243" s="46">
        <v>28.9</v>
      </c>
      <c r="N243" s="46">
        <v>7.23</v>
      </c>
      <c r="O243" s="40">
        <v>436</v>
      </c>
      <c r="P243" s="3">
        <f>TABL123[[#This Row],[خط (S/S  TOT) SAR2]]-TABL123[[#This Row],[(S/S TOT) AJD]]</f>
        <v>74</v>
      </c>
      <c r="Q243" s="40">
        <v>471</v>
      </c>
      <c r="R243" s="3">
        <f>TABL123[[#This Row],[خط (T/B  TOT) SAR]]-TABL123[[#This Row],[(T/B TOT) AJD]]</f>
        <v>61</v>
      </c>
      <c r="S243" s="3">
        <f>TABL123[[#This Row],[الفرق بين بداية ونهاية خط  T/B]]+TABL123[[#This Row],[الفرق بين بداية ونهاية خط  S/S]]</f>
        <v>135</v>
      </c>
      <c r="T243" s="3">
        <f>TABL123[[#This Row],[(S/S TOT) AJD]]+TABL123[[#This Row],[(T/B TOT) AJD]]</f>
        <v>907</v>
      </c>
      <c r="U243" s="44">
        <v>572</v>
      </c>
      <c r="V243" s="44">
        <v>290</v>
      </c>
      <c r="W243" s="3">
        <f>TABL123[[#This Row],[(A/B TOT) AJD]]+TABL123[[#This Row],[(A/S TOT) AJD]]</f>
        <v>862</v>
      </c>
      <c r="X243" s="3">
        <f>TABL123[[#This Row],[( S/S+T/B) AJD]]-TABL123[[#This Row],[(A/B + A/S) AJD]]</f>
        <v>45</v>
      </c>
      <c r="Y243" s="44">
        <v>92.855999999999995</v>
      </c>
      <c r="Z243" s="45">
        <v>709220</v>
      </c>
      <c r="AA243" s="3">
        <f>TABL123[[#This Row],[(RESV. STORGE) AJD]]/10</f>
        <v>70922</v>
      </c>
      <c r="AB243" s="45">
        <f t="shared" si="10"/>
        <v>-2.98</v>
      </c>
      <c r="AC243" s="45">
        <v>3687</v>
      </c>
      <c r="AD243" s="84">
        <f>TABL123[[#This Row],[( S/S+T/B) AJD]]-(TABL123[[#This Row],[(A/B + A/S) AJD]]+(TABL123[[#This Row],[(STORGE DIFF.) AJD]])+TABL123[[#This Row],[البخر  AJD]]/1000)</f>
        <v>44.293000000000006</v>
      </c>
      <c r="AE243" s="68">
        <v>89</v>
      </c>
      <c r="AF243" s="68">
        <v>58.723999999999997</v>
      </c>
      <c r="AG243" s="68">
        <v>1441762</v>
      </c>
      <c r="AH243" s="45">
        <v>3431</v>
      </c>
      <c r="AI243" s="45">
        <v>3431</v>
      </c>
      <c r="AJ243" s="79">
        <f>TABL123[[#This Row],[(A/B TOT) AJD]]-TABL123[[#This Row],[BER_ IN]]</f>
        <v>483</v>
      </c>
      <c r="AK243" s="68">
        <v>28</v>
      </c>
      <c r="AL243" s="88">
        <v>42.983499999999999</v>
      </c>
      <c r="AM243" s="88">
        <v>3099020</v>
      </c>
      <c r="AN243" s="88">
        <f>TABL123[[#This Row],[ (RESV. STORGE) SER]]/10</f>
        <v>309902</v>
      </c>
      <c r="AO243" s="45">
        <v>1870</v>
      </c>
      <c r="AP243" s="32">
        <f>TABL123[[#This Row],[(A/S TOT) AJD]]-TABL123[[#This Row],[SER_ IN]]</f>
        <v>262</v>
      </c>
    </row>
    <row r="244" spans="1:42" ht="18.75" x14ac:dyDescent="0.3">
      <c r="A244" s="2">
        <v>46265</v>
      </c>
      <c r="B244" s="41">
        <v>43</v>
      </c>
      <c r="C244" s="41">
        <v>308</v>
      </c>
      <c r="D244" s="41">
        <f t="shared" si="11"/>
        <v>43</v>
      </c>
      <c r="E244" s="28"/>
      <c r="F244" s="41">
        <v>93</v>
      </c>
      <c r="G244" s="39">
        <v>617</v>
      </c>
      <c r="H244" s="28">
        <f t="shared" si="9"/>
        <v>10</v>
      </c>
      <c r="I244" s="39">
        <v>520</v>
      </c>
      <c r="J244" s="39">
        <v>506</v>
      </c>
      <c r="K244" s="28">
        <f>TABL123[[#This Row],[خط (T/B  TOT) SAR]]+TABL123[[#This Row],[خط (S/S  TOT) SAR2]]</f>
        <v>1026</v>
      </c>
      <c r="L244" s="41">
        <v>395</v>
      </c>
      <c r="M244" s="42">
        <v>28.2</v>
      </c>
      <c r="N244" s="42">
        <v>7.19</v>
      </c>
      <c r="O244" s="39">
        <v>429</v>
      </c>
      <c r="P244" s="3">
        <f>TABL123[[#This Row],[خط (S/S  TOT) SAR2]]-TABL123[[#This Row],[(S/S TOT) AJD]]</f>
        <v>77</v>
      </c>
      <c r="Q244" s="39">
        <v>468</v>
      </c>
      <c r="R244" s="3">
        <f>TABL123[[#This Row],[خط (T/B  TOT) SAR]]-TABL123[[#This Row],[(T/B TOT) AJD]]</f>
        <v>52</v>
      </c>
      <c r="S244" s="3">
        <f>TABL123[[#This Row],[الفرق بين بداية ونهاية خط  T/B]]+TABL123[[#This Row],[الفرق بين بداية ونهاية خط  S/S]]</f>
        <v>129</v>
      </c>
      <c r="T244" s="3">
        <f>TABL123[[#This Row],[(S/S TOT) AJD]]+TABL123[[#This Row],[(T/B TOT) AJD]]</f>
        <v>897</v>
      </c>
      <c r="U244" s="41">
        <v>581</v>
      </c>
      <c r="V244" s="41">
        <v>335</v>
      </c>
      <c r="W244" s="3">
        <f>TABL123[[#This Row],[(A/B TOT) AJD]]+TABL123[[#This Row],[(A/S TOT) AJD]]</f>
        <v>916</v>
      </c>
      <c r="X244" s="3">
        <f>TABL123[[#This Row],[( S/S+T/B) AJD]]-TABL123[[#This Row],[(A/B + A/S) AJD]]</f>
        <v>-19</v>
      </c>
      <c r="Y244" s="41">
        <v>92.778999999999996</v>
      </c>
      <c r="Z244" s="43">
        <v>663138</v>
      </c>
      <c r="AA244" s="3">
        <f>TABL123[[#This Row],[(RESV. STORGE) AJD]]/10</f>
        <v>66313.8</v>
      </c>
      <c r="AB244" s="45">
        <f t="shared" si="10"/>
        <v>-46.082000000000001</v>
      </c>
      <c r="AC244" s="43">
        <v>4939</v>
      </c>
      <c r="AD244" s="84">
        <f>TABL123[[#This Row],[( S/S+T/B) AJD]]-(TABL123[[#This Row],[(A/B + A/S) AJD]]+(TABL123[[#This Row],[(STORGE DIFF.) AJD]])+TABL123[[#This Row],[البخر  AJD]]/1000)</f>
        <v>22.143000000000029</v>
      </c>
      <c r="AE244" s="68">
        <v>98</v>
      </c>
      <c r="AF244" s="68">
        <v>58.777999999999999</v>
      </c>
      <c r="AG244" s="68">
        <v>1477297</v>
      </c>
      <c r="AH244" s="43">
        <v>3535</v>
      </c>
      <c r="AI244" s="43">
        <v>3535</v>
      </c>
      <c r="AJ244" s="79">
        <f>TABL123[[#This Row],[(A/B TOT) AJD]]-TABL123[[#This Row],[BER_ IN]]</f>
        <v>483</v>
      </c>
      <c r="AK244" s="68">
        <v>43</v>
      </c>
      <c r="AL244" s="88">
        <v>43.018900000000002</v>
      </c>
      <c r="AM244" s="88">
        <v>3118490</v>
      </c>
      <c r="AN244" s="88">
        <f>TABL123[[#This Row],[ (RESV. STORGE) SER]]/10</f>
        <v>311849</v>
      </c>
      <c r="AO244" s="43">
        <v>1930</v>
      </c>
      <c r="AP244" s="32">
        <f>TABL123[[#This Row],[(A/S TOT) AJD]]-TABL123[[#This Row],[SER_ IN]]</f>
        <v>292</v>
      </c>
    </row>
    <row r="245" spans="1:42" ht="18.75" x14ac:dyDescent="0.3">
      <c r="A245" s="2">
        <v>46266</v>
      </c>
      <c r="B245" s="41">
        <v>43</v>
      </c>
      <c r="C245" s="41">
        <v>300</v>
      </c>
      <c r="D245" s="41">
        <f>B245</f>
        <v>43</v>
      </c>
      <c r="E245" s="35"/>
      <c r="F245" s="41">
        <v>93</v>
      </c>
      <c r="G245" s="39">
        <v>617</v>
      </c>
      <c r="H245" s="34">
        <f t="shared" si="9"/>
        <v>10</v>
      </c>
      <c r="I245" s="39">
        <v>471</v>
      </c>
      <c r="J245" s="39">
        <v>459</v>
      </c>
      <c r="K245" s="34">
        <f>TABL123[[#This Row],[خط (T/B  TOT) SAR]]+TABL123[[#This Row],[خط (S/S  TOT) SAR2]]</f>
        <v>930</v>
      </c>
      <c r="L245" s="41">
        <v>303</v>
      </c>
      <c r="M245" s="42">
        <v>22.7</v>
      </c>
      <c r="N245" s="42">
        <v>7.1</v>
      </c>
      <c r="O245" s="39">
        <v>419</v>
      </c>
      <c r="P245" s="14">
        <f>TABL123[[#This Row],[خط (S/S  TOT) SAR2]]-TABL123[[#This Row],[(S/S TOT) AJD]]</f>
        <v>40</v>
      </c>
      <c r="Q245" s="39">
        <v>456</v>
      </c>
      <c r="R245" s="14">
        <f>TABL123[[#This Row],[خط (T/B  TOT) SAR]]-TABL123[[#This Row],[(T/B TOT) AJD]]</f>
        <v>15</v>
      </c>
      <c r="S245" s="14">
        <f>TABL123[[#This Row],[الفرق بين بداية ونهاية خط  T/B]]+TABL123[[#This Row],[الفرق بين بداية ونهاية خط  S/S]]</f>
        <v>55</v>
      </c>
      <c r="T245" s="9">
        <f>TABL123[[#This Row],[(S/S TOT) AJD]]+TABL123[[#This Row],[(T/B TOT) AJD]]</f>
        <v>875</v>
      </c>
      <c r="U245" s="41">
        <v>588</v>
      </c>
      <c r="V245" s="41">
        <v>346</v>
      </c>
      <c r="W245" s="9">
        <f>TABL123[[#This Row],[(A/B TOT) AJD]]+TABL123[[#This Row],[(A/S TOT) AJD]]</f>
        <v>934</v>
      </c>
      <c r="X245" s="9">
        <f>TABL123[[#This Row],[( S/S+T/B) AJD]]-TABL123[[#This Row],[(A/B + A/S) AJD]]</f>
        <v>-59</v>
      </c>
      <c r="Y245" s="41">
        <v>92.632000000000005</v>
      </c>
      <c r="Z245" s="43">
        <v>575333</v>
      </c>
      <c r="AA245" s="3">
        <f>TABL123[[#This Row],[(RESV. STORGE) AJD]]/10</f>
        <v>57533.3</v>
      </c>
      <c r="AB245" s="45">
        <f t="shared" si="10"/>
        <v>-87.805000000000007</v>
      </c>
      <c r="AC245" s="43">
        <v>3425</v>
      </c>
      <c r="AD245" s="84">
        <f>TABL123[[#This Row],[( S/S+T/B) AJD]]-(TABL123[[#This Row],[(A/B + A/S) AJD]]+(TABL123[[#This Row],[(STORGE DIFF.) AJD]])+TABL123[[#This Row],[البخر  AJD]]/1000)</f>
        <v>25.380000000000109</v>
      </c>
      <c r="AE245" s="68">
        <v>97</v>
      </c>
      <c r="AF245" s="68">
        <v>58.811999999999998</v>
      </c>
      <c r="AG245" s="68">
        <v>1499684</v>
      </c>
      <c r="AH245" s="43">
        <v>3233</v>
      </c>
      <c r="AI245" s="43">
        <v>3233</v>
      </c>
      <c r="AJ245" s="79">
        <f>TABL123[[#This Row],[(A/B TOT) AJD]]-TABL123[[#This Row],[BER_ IN]]</f>
        <v>491</v>
      </c>
      <c r="AK245" s="68">
        <v>43</v>
      </c>
      <c r="AL245" s="88">
        <v>43.018900000000002</v>
      </c>
      <c r="AM245" s="88">
        <v>3118490</v>
      </c>
      <c r="AN245" s="88">
        <f>TABL123[[#This Row],[ (RESV. STORGE) SER]]/10</f>
        <v>311849</v>
      </c>
      <c r="AO245" s="43">
        <v>1930</v>
      </c>
      <c r="AP245" s="32">
        <f>TABL123[[#This Row],[(A/S TOT) AJD]]-TABL123[[#This Row],[SER_ IN]]</f>
        <v>303</v>
      </c>
    </row>
    <row r="246" spans="1:42" ht="18.75" x14ac:dyDescent="0.3">
      <c r="A246" s="2">
        <v>46267</v>
      </c>
      <c r="B246" s="44">
        <v>42</v>
      </c>
      <c r="C246" s="44">
        <v>338</v>
      </c>
      <c r="D246" s="44">
        <f>B246</f>
        <v>42</v>
      </c>
      <c r="E246" s="35"/>
      <c r="F246" s="44">
        <v>93</v>
      </c>
      <c r="G246" s="40">
        <v>617</v>
      </c>
      <c r="H246" s="34">
        <f t="shared" si="9"/>
        <v>10</v>
      </c>
      <c r="I246" s="40">
        <v>475</v>
      </c>
      <c r="J246" s="44">
        <v>463</v>
      </c>
      <c r="K246" s="34">
        <f>TABL123[[#This Row],[خط (T/B  TOT) SAR]]+TABL123[[#This Row],[خط (S/S  TOT) SAR2]]</f>
        <v>938</v>
      </c>
      <c r="L246" s="45">
        <v>310</v>
      </c>
      <c r="M246" s="46">
        <v>22.7</v>
      </c>
      <c r="N246" s="46">
        <v>7.47</v>
      </c>
      <c r="O246" s="40">
        <v>390</v>
      </c>
      <c r="P246" s="14">
        <f>TABL123[[#This Row],[خط (S/S  TOT) SAR2]]-TABL123[[#This Row],[(S/S TOT) AJD]]</f>
        <v>73</v>
      </c>
      <c r="Q246" s="40">
        <v>426</v>
      </c>
      <c r="R246" s="14">
        <f>TABL123[[#This Row],[خط (T/B  TOT) SAR]]-TABL123[[#This Row],[(T/B TOT) AJD]]</f>
        <v>49</v>
      </c>
      <c r="S246" s="14">
        <f>TABL123[[#This Row],[الفرق بين بداية ونهاية خط  T/B]]+TABL123[[#This Row],[الفرق بين بداية ونهاية خط  S/S]]</f>
        <v>122</v>
      </c>
      <c r="T246" s="9">
        <f>TABL123[[#This Row],[(S/S TOT) AJD]]+TABL123[[#This Row],[(T/B TOT) AJD]]</f>
        <v>816</v>
      </c>
      <c r="U246" s="44">
        <v>583</v>
      </c>
      <c r="V246" s="44">
        <v>308</v>
      </c>
      <c r="W246" s="9">
        <f>TABL123[[#This Row],[(A/B TOT) AJD]]+TABL123[[#This Row],[(A/S TOT) AJD]]</f>
        <v>891</v>
      </c>
      <c r="X246" s="9">
        <f>TABL123[[#This Row],[( S/S+T/B) AJD]]-TABL123[[#This Row],[(A/B + A/S) AJD]]</f>
        <v>-75</v>
      </c>
      <c r="Y246" s="44">
        <v>92.415000000000006</v>
      </c>
      <c r="Z246" s="45">
        <v>446022</v>
      </c>
      <c r="AA246" s="3">
        <f>TABL123[[#This Row],[(RESV. STORGE) AJD]]/10</f>
        <v>44602.2</v>
      </c>
      <c r="AB246" s="45">
        <f t="shared" si="10"/>
        <v>-129.31100000000001</v>
      </c>
      <c r="AC246" s="45">
        <v>2999</v>
      </c>
      <c r="AD246" s="84">
        <f>TABL123[[#This Row],[( S/S+T/B) AJD]]-(TABL123[[#This Row],[(A/B + A/S) AJD]]+(TABL123[[#This Row],[(STORGE DIFF.) AJD]])+TABL123[[#This Row],[البخر  AJD]]/1000)</f>
        <v>51.312000000000012</v>
      </c>
      <c r="AE246" s="68">
        <v>89</v>
      </c>
      <c r="AF246" s="68">
        <v>58.829000000000001</v>
      </c>
      <c r="AG246" s="68">
        <v>1510881</v>
      </c>
      <c r="AH246" s="45">
        <v>3102</v>
      </c>
      <c r="AI246" s="45">
        <v>3102</v>
      </c>
      <c r="AJ246" s="79">
        <f>TABL123[[#This Row],[(A/B TOT) AJD]]-TABL123[[#This Row],[BER_ IN]]</f>
        <v>494</v>
      </c>
      <c r="AK246" s="68">
        <v>42</v>
      </c>
      <c r="AL246" s="88">
        <v>43.122999999999998</v>
      </c>
      <c r="AM246" s="88">
        <v>3175280</v>
      </c>
      <c r="AN246" s="88">
        <f>TABL123[[#This Row],[ (RESV. STORGE) SER]]/10</f>
        <v>317528</v>
      </c>
      <c r="AO246" s="45">
        <v>2015</v>
      </c>
      <c r="AP246" s="32">
        <f>TABL123[[#This Row],[(A/S TOT) AJD]]-TABL123[[#This Row],[SER_ IN]]</f>
        <v>266</v>
      </c>
    </row>
    <row r="247" spans="1:42" ht="18.75" x14ac:dyDescent="0.3">
      <c r="A247" s="2">
        <v>46268</v>
      </c>
      <c r="B247" s="41">
        <v>43</v>
      </c>
      <c r="C247" s="41">
        <v>340</v>
      </c>
      <c r="D247" s="41">
        <f t="shared" ref="D247:D270" si="12">B247</f>
        <v>43</v>
      </c>
      <c r="E247" s="35"/>
      <c r="F247" s="41">
        <v>93</v>
      </c>
      <c r="G247" s="39">
        <v>617</v>
      </c>
      <c r="H247" s="34">
        <f t="shared" si="9"/>
        <v>10</v>
      </c>
      <c r="I247" s="39">
        <v>475</v>
      </c>
      <c r="J247" s="39">
        <v>460</v>
      </c>
      <c r="K247" s="34">
        <f>TABL123[[#This Row],[خط (T/B  TOT) SAR]]+TABL123[[#This Row],[خط (S/S  TOT) SAR2]]</f>
        <v>935</v>
      </c>
      <c r="L247" s="41">
        <v>310</v>
      </c>
      <c r="M247" s="42">
        <v>22.7</v>
      </c>
      <c r="N247" s="42">
        <v>7.72</v>
      </c>
      <c r="O247" s="39">
        <v>385</v>
      </c>
      <c r="P247" s="14">
        <f>TABL123[[#This Row],[خط (S/S  TOT) SAR2]]-TABL123[[#This Row],[(S/S TOT) AJD]]</f>
        <v>75</v>
      </c>
      <c r="Q247" s="39">
        <v>418</v>
      </c>
      <c r="R247" s="14">
        <f>TABL123[[#This Row],[خط (T/B  TOT) SAR]]-TABL123[[#This Row],[(T/B TOT) AJD]]</f>
        <v>57</v>
      </c>
      <c r="S247" s="14">
        <f>TABL123[[#This Row],[الفرق بين بداية ونهاية خط  T/B]]+TABL123[[#This Row],[الفرق بين بداية ونهاية خط  S/S]]</f>
        <v>132</v>
      </c>
      <c r="T247" s="9">
        <f>TABL123[[#This Row],[(S/S TOT) AJD]]+TABL123[[#This Row],[(T/B TOT) AJD]]</f>
        <v>803</v>
      </c>
      <c r="U247" s="41">
        <v>600</v>
      </c>
      <c r="V247" s="41">
        <v>287</v>
      </c>
      <c r="W247" s="9">
        <f>TABL123[[#This Row],[(A/B TOT) AJD]]+TABL123[[#This Row],[(A/S TOT) AJD]]</f>
        <v>887</v>
      </c>
      <c r="X247" s="9">
        <f>TABL123[[#This Row],[( S/S+T/B) AJD]]-TABL123[[#This Row],[(A/B + A/S) AJD]]</f>
        <v>-84</v>
      </c>
      <c r="Y247" s="41">
        <v>92.227999999999994</v>
      </c>
      <c r="Z247" s="43">
        <v>334903</v>
      </c>
      <c r="AA247" s="3">
        <f>TABL123[[#This Row],[(RESV. STORGE) AJD]]/10</f>
        <v>33490.300000000003</v>
      </c>
      <c r="AB247" s="45">
        <f t="shared" si="10"/>
        <v>-111.119</v>
      </c>
      <c r="AC247" s="43">
        <v>3074</v>
      </c>
      <c r="AD247" s="84">
        <f>TABL123[[#This Row],[( S/S+T/B) AJD]]-(TABL123[[#This Row],[(A/B + A/S) AJD]]+(TABL123[[#This Row],[(STORGE DIFF.) AJD]])+TABL123[[#This Row],[البخر  AJD]]/1000)</f>
        <v>24.045000000000073</v>
      </c>
      <c r="AE247" s="68">
        <v>80</v>
      </c>
      <c r="AF247" s="68">
        <v>58.83</v>
      </c>
      <c r="AG247" s="68">
        <v>1511540</v>
      </c>
      <c r="AH247" s="43">
        <v>2981</v>
      </c>
      <c r="AI247" s="43">
        <v>2981</v>
      </c>
      <c r="AJ247" s="79">
        <f>TABL123[[#This Row],[(A/B TOT) AJD]]-TABL123[[#This Row],[BER_ IN]]</f>
        <v>520</v>
      </c>
      <c r="AK247" s="68">
        <v>16</v>
      </c>
      <c r="AL247" s="88">
        <v>43.104399999999998</v>
      </c>
      <c r="AM247" s="88">
        <v>3166401</v>
      </c>
      <c r="AN247" s="88">
        <f>TABL123[[#This Row],[ (RESV. STORGE) SER]]/10</f>
        <v>316640.09999999998</v>
      </c>
      <c r="AO247" s="43">
        <v>2010</v>
      </c>
      <c r="AP247" s="32">
        <f>TABL123[[#This Row],[(A/S TOT) AJD]]-TABL123[[#This Row],[SER_ IN]]</f>
        <v>271</v>
      </c>
    </row>
    <row r="248" spans="1:42" ht="18.75" x14ac:dyDescent="0.3">
      <c r="A248" s="2">
        <v>46269</v>
      </c>
      <c r="B248" s="44">
        <v>43</v>
      </c>
      <c r="C248" s="44">
        <v>350</v>
      </c>
      <c r="D248" s="44">
        <f t="shared" si="12"/>
        <v>43</v>
      </c>
      <c r="E248" s="35"/>
      <c r="F248" s="44">
        <v>93</v>
      </c>
      <c r="G248" s="40">
        <v>617</v>
      </c>
      <c r="H248" s="34">
        <f t="shared" si="9"/>
        <v>10</v>
      </c>
      <c r="I248" s="40">
        <v>510</v>
      </c>
      <c r="J248" s="44">
        <v>490</v>
      </c>
      <c r="K248" s="34">
        <f>TABL123[[#This Row],[خط (T/B  TOT) SAR]]+TABL123[[#This Row],[خط (S/S  TOT) SAR2]]</f>
        <v>1000</v>
      </c>
      <c r="L248" s="45">
        <v>370</v>
      </c>
      <c r="M248" s="46">
        <v>25.9</v>
      </c>
      <c r="N248" s="46">
        <v>7.82</v>
      </c>
      <c r="O248" s="40">
        <v>388</v>
      </c>
      <c r="P248" s="14">
        <f>TABL123[[#This Row],[خط (S/S  TOT) SAR2]]-TABL123[[#This Row],[(S/S TOT) AJD]]</f>
        <v>102</v>
      </c>
      <c r="Q248" s="40">
        <v>422</v>
      </c>
      <c r="R248" s="14">
        <f>TABL123[[#This Row],[خط (T/B  TOT) SAR]]-TABL123[[#This Row],[(T/B TOT) AJD]]</f>
        <v>88</v>
      </c>
      <c r="S248" s="14">
        <f>TABL123[[#This Row],[الفرق بين بداية ونهاية خط  T/B]]+TABL123[[#This Row],[الفرق بين بداية ونهاية خط  S/S]]</f>
        <v>190</v>
      </c>
      <c r="T248" s="9">
        <f>TABL123[[#This Row],[(S/S TOT) AJD]]+TABL123[[#This Row],[(T/B TOT) AJD]]</f>
        <v>810</v>
      </c>
      <c r="U248" s="44">
        <v>576</v>
      </c>
      <c r="V248" s="44">
        <v>272</v>
      </c>
      <c r="W248" s="9">
        <f>TABL123[[#This Row],[(A/B TOT) AJD]]+TABL123[[#This Row],[(A/S TOT) AJD]]</f>
        <v>848</v>
      </c>
      <c r="X248" s="9">
        <f>TABL123[[#This Row],[( S/S+T/B) AJD]]-TABL123[[#This Row],[(A/B + A/S) AJD]]</f>
        <v>-38</v>
      </c>
      <c r="Y248" s="44">
        <v>92.132999999999996</v>
      </c>
      <c r="Z248" s="45">
        <v>278567</v>
      </c>
      <c r="AA248" s="3">
        <f>TABL123[[#This Row],[(RESV. STORGE) AJD]]/10</f>
        <v>27856.7</v>
      </c>
      <c r="AB248" s="45">
        <f t="shared" si="10"/>
        <v>-56.335999999999999</v>
      </c>
      <c r="AC248" s="45">
        <v>0</v>
      </c>
      <c r="AD248" s="84">
        <f>TABL123[[#This Row],[( S/S+T/B) AJD]]-(TABL123[[#This Row],[(A/B + A/S) AJD]]+(TABL123[[#This Row],[(STORGE DIFF.) AJD]])+TABL123[[#This Row],[البخر  AJD]]/1000)</f>
        <v>18.336000000000013</v>
      </c>
      <c r="AE248" s="68">
        <v>56</v>
      </c>
      <c r="AF248" s="68">
        <v>58.787999999999997</v>
      </c>
      <c r="AG248" s="68">
        <v>1483850</v>
      </c>
      <c r="AH248" s="45">
        <v>2979</v>
      </c>
      <c r="AI248" s="45">
        <v>2979</v>
      </c>
      <c r="AJ248" s="79">
        <f>TABL123[[#This Row],[(A/B TOT) AJD]]-TABL123[[#This Row],[BER_ IN]]</f>
        <v>520</v>
      </c>
      <c r="AK248" s="68">
        <v>0</v>
      </c>
      <c r="AL248" s="88">
        <v>43.0627</v>
      </c>
      <c r="AM248" s="88">
        <v>3142146</v>
      </c>
      <c r="AN248" s="88">
        <f>TABL123[[#This Row],[ (RESV. STORGE) SER]]/10</f>
        <v>314214.59999999998</v>
      </c>
      <c r="AO248" s="45">
        <v>2035</v>
      </c>
      <c r="AP248" s="32">
        <f>TABL123[[#This Row],[(A/S TOT) AJD]]-TABL123[[#This Row],[SER_ IN]]</f>
        <v>272</v>
      </c>
    </row>
    <row r="249" spans="1:42" ht="18.75" x14ac:dyDescent="0.3">
      <c r="A249" s="2">
        <v>46270</v>
      </c>
      <c r="B249" s="41">
        <v>42</v>
      </c>
      <c r="C249" s="41">
        <v>329</v>
      </c>
      <c r="D249" s="41">
        <f t="shared" si="12"/>
        <v>42</v>
      </c>
      <c r="E249" s="35"/>
      <c r="F249" s="41">
        <v>93</v>
      </c>
      <c r="G249" s="39">
        <v>617</v>
      </c>
      <c r="H249" s="34">
        <f t="shared" si="9"/>
        <v>10</v>
      </c>
      <c r="I249" s="39">
        <v>510</v>
      </c>
      <c r="J249" s="39">
        <v>495</v>
      </c>
      <c r="K249" s="34">
        <f>TABL123[[#This Row],[خط (T/B  TOT) SAR]]+TABL123[[#This Row],[خط (S/S  TOT) SAR2]]</f>
        <v>1005</v>
      </c>
      <c r="L249" s="41">
        <v>375</v>
      </c>
      <c r="M249" s="42">
        <v>25.9</v>
      </c>
      <c r="N249" s="42">
        <v>7.7</v>
      </c>
      <c r="O249" s="39">
        <v>403</v>
      </c>
      <c r="P249" s="14">
        <f>TABL123[[#This Row],[خط (S/S  TOT) SAR2]]-TABL123[[#This Row],[(S/S TOT) AJD]]</f>
        <v>92</v>
      </c>
      <c r="Q249" s="39">
        <v>440</v>
      </c>
      <c r="R249" s="14">
        <f>TABL123[[#This Row],[خط (T/B  TOT) SAR]]-TABL123[[#This Row],[(T/B TOT) AJD]]</f>
        <v>70</v>
      </c>
      <c r="S249" s="14">
        <f>TABL123[[#This Row],[الفرق بين بداية ونهاية خط  T/B]]+TABL123[[#This Row],[الفرق بين بداية ونهاية خط  S/S]]</f>
        <v>162</v>
      </c>
      <c r="T249" s="9">
        <f>TABL123[[#This Row],[(S/S TOT) AJD]]+TABL123[[#This Row],[(T/B TOT) AJD]]</f>
        <v>843</v>
      </c>
      <c r="U249" s="41">
        <v>568</v>
      </c>
      <c r="V249" s="41">
        <v>267</v>
      </c>
      <c r="W249" s="9">
        <f>TABL123[[#This Row],[(A/B TOT) AJD]]+TABL123[[#This Row],[(A/S TOT) AJD]]</f>
        <v>835</v>
      </c>
      <c r="X249" s="9">
        <f>TABL123[[#This Row],[( S/S+T/B) AJD]]-TABL123[[#This Row],[(A/B + A/S) AJD]]</f>
        <v>8</v>
      </c>
      <c r="Y249" s="41">
        <v>92.117999999999995</v>
      </c>
      <c r="Z249" s="43">
        <v>268400</v>
      </c>
      <c r="AA249" s="3">
        <f>TABL123[[#This Row],[(RESV. STORGE) AJD]]/10</f>
        <v>26840</v>
      </c>
      <c r="AB249" s="45">
        <f t="shared" si="10"/>
        <v>-10.167</v>
      </c>
      <c r="AC249" s="43">
        <v>1410</v>
      </c>
      <c r="AD249" s="84">
        <f>TABL123[[#This Row],[( S/S+T/B) AJD]]-(TABL123[[#This Row],[(A/B + A/S) AJD]]+(TABL123[[#This Row],[(STORGE DIFF.) AJD]])+TABL123[[#This Row],[البخر  AJD]]/1000)</f>
        <v>16.757000000000062</v>
      </c>
      <c r="AE249" s="68">
        <v>50</v>
      </c>
      <c r="AF249" s="68">
        <v>58.738</v>
      </c>
      <c r="AG249" s="68">
        <v>1450973</v>
      </c>
      <c r="AH249" s="43">
        <v>3227</v>
      </c>
      <c r="AI249" s="43">
        <v>3227</v>
      </c>
      <c r="AJ249" s="79">
        <f>TABL123[[#This Row],[(A/B TOT) AJD]]-TABL123[[#This Row],[BER_ IN]]</f>
        <v>518</v>
      </c>
      <c r="AK249" s="68">
        <v>0</v>
      </c>
      <c r="AL249" s="88">
        <v>43.034500000000001</v>
      </c>
      <c r="AM249" s="88">
        <v>3126610</v>
      </c>
      <c r="AN249" s="88">
        <f>TABL123[[#This Row],[ (RESV. STORGE) SER]]/10</f>
        <v>312661</v>
      </c>
      <c r="AO249" s="43">
        <v>2015</v>
      </c>
      <c r="AP249" s="32">
        <f>TABL123[[#This Row],[(A/S TOT) AJD]]-TABL123[[#This Row],[SER_ IN]]</f>
        <v>267</v>
      </c>
    </row>
    <row r="250" spans="1:42" ht="18.75" x14ac:dyDescent="0.3">
      <c r="A250" s="2">
        <v>46271</v>
      </c>
      <c r="B250" s="44">
        <v>42</v>
      </c>
      <c r="C250" s="44">
        <v>342</v>
      </c>
      <c r="D250" s="44">
        <f t="shared" si="12"/>
        <v>42</v>
      </c>
      <c r="E250" s="35"/>
      <c r="F250" s="44">
        <v>93</v>
      </c>
      <c r="G250" s="40">
        <v>617</v>
      </c>
      <c r="H250" s="28">
        <f t="shared" si="9"/>
        <v>10</v>
      </c>
      <c r="I250" s="40">
        <v>510</v>
      </c>
      <c r="J250" s="44">
        <v>495</v>
      </c>
      <c r="K250" s="28">
        <f>TABL123[[#This Row],[خط (T/B  TOT) SAR]]+TABL123[[#This Row],[خط (S/S  TOT) SAR2]]</f>
        <v>1005</v>
      </c>
      <c r="L250" s="45">
        <v>373</v>
      </c>
      <c r="M250" s="46">
        <v>26</v>
      </c>
      <c r="N250" s="46">
        <v>7.62</v>
      </c>
      <c r="O250" s="40">
        <v>418</v>
      </c>
      <c r="P250" s="9">
        <f>TABL123[[#This Row],[خط (S/S  TOT) SAR2]]-TABL123[[#This Row],[(S/S TOT) AJD]]</f>
        <v>77</v>
      </c>
      <c r="Q250" s="40">
        <v>453</v>
      </c>
      <c r="R250" s="9">
        <f>TABL123[[#This Row],[خط (T/B  TOT) SAR]]-TABL123[[#This Row],[(T/B TOT) AJD]]</f>
        <v>57</v>
      </c>
      <c r="S250" s="9">
        <f>TABL123[[#This Row],[الفرق بين بداية ونهاية خط  T/B]]+TABL123[[#This Row],[الفرق بين بداية ونهاية خط  S/S]]</f>
        <v>134</v>
      </c>
      <c r="T250" s="9">
        <f>TABL123[[#This Row],[(S/S TOT) AJD]]+TABL123[[#This Row],[(T/B TOT) AJD]]</f>
        <v>871</v>
      </c>
      <c r="U250" s="44">
        <v>558</v>
      </c>
      <c r="V250" s="44">
        <v>250</v>
      </c>
      <c r="W250" s="9">
        <f>TABL123[[#This Row],[(A/B TOT) AJD]]+TABL123[[#This Row],[(A/S TOT) AJD]]</f>
        <v>808</v>
      </c>
      <c r="X250" s="9">
        <f>TABL123[[#This Row],[( S/S+T/B) AJD]]-TABL123[[#This Row],[(A/B + A/S) AJD]]</f>
        <v>63</v>
      </c>
      <c r="Y250" s="44">
        <v>92.17</v>
      </c>
      <c r="Z250" s="45">
        <v>300501</v>
      </c>
      <c r="AA250" s="3">
        <f>TABL123[[#This Row],[(RESV. STORGE) AJD]]/10</f>
        <v>30050.1</v>
      </c>
      <c r="AB250" s="45">
        <f t="shared" si="10"/>
        <v>32.100999999999999</v>
      </c>
      <c r="AC250" s="45">
        <v>2034</v>
      </c>
      <c r="AD250" s="84">
        <f>TABL123[[#This Row],[( S/S+T/B) AJD]]-(TABL123[[#This Row],[(A/B + A/S) AJD]]+(TABL123[[#This Row],[(STORGE DIFF.) AJD]])+TABL123[[#This Row],[البخر  AJD]]/1000)</f>
        <v>28.865000000000009</v>
      </c>
      <c r="AE250" s="68">
        <v>50</v>
      </c>
      <c r="AF250" s="68">
        <v>58.723999999999997</v>
      </c>
      <c r="AG250" s="68">
        <v>1441762</v>
      </c>
      <c r="AH250" s="45">
        <v>2770</v>
      </c>
      <c r="AI250" s="45">
        <v>2770</v>
      </c>
      <c r="AJ250" s="79">
        <f>TABL123[[#This Row],[(A/B TOT) AJD]]-TABL123[[#This Row],[BER_ IN]]</f>
        <v>508</v>
      </c>
      <c r="AK250" s="68">
        <v>0</v>
      </c>
      <c r="AL250" s="88">
        <v>42.995699999999999</v>
      </c>
      <c r="AM250" s="88">
        <v>3106040</v>
      </c>
      <c r="AN250" s="88">
        <f>TABL123[[#This Row],[ (RESV. STORGE) SER]]/10</f>
        <v>310604</v>
      </c>
      <c r="AO250" s="45">
        <v>2010</v>
      </c>
      <c r="AP250" s="32">
        <f>TABL123[[#This Row],[(A/S TOT) AJD]]-TABL123[[#This Row],[SER_ IN]]</f>
        <v>250</v>
      </c>
    </row>
    <row r="251" spans="1:42" ht="18.75" x14ac:dyDescent="0.3">
      <c r="A251" s="2">
        <v>46272</v>
      </c>
      <c r="B251" s="41">
        <v>42</v>
      </c>
      <c r="C251" s="41">
        <v>341</v>
      </c>
      <c r="D251" s="41">
        <f t="shared" si="12"/>
        <v>42</v>
      </c>
      <c r="E251" s="35"/>
      <c r="F251" s="41">
        <v>93</v>
      </c>
      <c r="G251" s="39">
        <v>617</v>
      </c>
      <c r="H251" s="28">
        <f t="shared" si="9"/>
        <v>10</v>
      </c>
      <c r="I251" s="39">
        <v>512</v>
      </c>
      <c r="J251" s="39">
        <v>498</v>
      </c>
      <c r="K251" s="28">
        <f>TABL123[[#This Row],[خط (T/B  TOT) SAR]]+TABL123[[#This Row],[خط (S/S  TOT) SAR2]]</f>
        <v>1010</v>
      </c>
      <c r="L251" s="41">
        <v>385</v>
      </c>
      <c r="M251" s="42">
        <v>27</v>
      </c>
      <c r="N251" s="42">
        <v>7.54</v>
      </c>
      <c r="O251" s="39">
        <v>431</v>
      </c>
      <c r="P251" s="9">
        <f>TABL123[[#This Row],[خط (S/S  TOT) SAR2]]-TABL123[[#This Row],[(S/S TOT) AJD]]</f>
        <v>67</v>
      </c>
      <c r="Q251" s="39">
        <v>450</v>
      </c>
      <c r="R251" s="9">
        <f>TABL123[[#This Row],[خط (T/B  TOT) SAR]]-TABL123[[#This Row],[(T/B TOT) AJD]]</f>
        <v>62</v>
      </c>
      <c r="S251" s="9">
        <f>TABL123[[#This Row],[الفرق بين بداية ونهاية خط  T/B]]+TABL123[[#This Row],[الفرق بين بداية ونهاية خط  S/S]]</f>
        <v>129</v>
      </c>
      <c r="T251" s="9">
        <f>TABL123[[#This Row],[(S/S TOT) AJD]]+TABL123[[#This Row],[(T/B TOT) AJD]]</f>
        <v>881</v>
      </c>
      <c r="U251" s="41">
        <v>563</v>
      </c>
      <c r="V251" s="41">
        <v>257</v>
      </c>
      <c r="W251" s="9">
        <f>TABL123[[#This Row],[(A/B TOT) AJD]]+TABL123[[#This Row],[(A/S TOT) AJD]]</f>
        <v>820</v>
      </c>
      <c r="X251" s="9">
        <f>TABL123[[#This Row],[( S/S+T/B) AJD]]-TABL123[[#This Row],[(A/B + A/S) AJD]]</f>
        <v>61</v>
      </c>
      <c r="Y251" s="41">
        <v>92.212999999999994</v>
      </c>
      <c r="Z251" s="43">
        <v>325712</v>
      </c>
      <c r="AA251" s="3">
        <f>TABL123[[#This Row],[(RESV. STORGE) AJD]]/10</f>
        <v>32571.200000000001</v>
      </c>
      <c r="AB251" s="45">
        <f t="shared" si="10"/>
        <v>25.210999999999999</v>
      </c>
      <c r="AC251" s="43">
        <v>2284</v>
      </c>
      <c r="AD251" s="84">
        <f>TABL123[[#This Row],[( S/S+T/B) AJD]]-(TABL123[[#This Row],[(A/B + A/S) AJD]]+(TABL123[[#This Row],[(STORGE DIFF.) AJD]])+TABL123[[#This Row],[البخر  AJD]]/1000)</f>
        <v>33.504999999999995</v>
      </c>
      <c r="AE251" s="68">
        <v>50</v>
      </c>
      <c r="AF251" s="68">
        <v>58.701000000000001</v>
      </c>
      <c r="AG251" s="68">
        <v>1426635</v>
      </c>
      <c r="AH251" s="43">
        <v>2877</v>
      </c>
      <c r="AI251" s="43">
        <v>2877</v>
      </c>
      <c r="AJ251" s="79">
        <f>TABL123[[#This Row],[(A/B TOT) AJD]]-TABL123[[#This Row],[BER_ IN]]</f>
        <v>513</v>
      </c>
      <c r="AK251" s="68">
        <v>0</v>
      </c>
      <c r="AL251" s="88">
        <v>42.906399999999998</v>
      </c>
      <c r="AM251" s="88">
        <v>3057400</v>
      </c>
      <c r="AN251" s="88">
        <f>TABL123[[#This Row],[ (RESV. STORGE) SER]]/10</f>
        <v>305740</v>
      </c>
      <c r="AO251" s="43">
        <v>2015</v>
      </c>
      <c r="AP251" s="32">
        <f>TABL123[[#This Row],[(A/S TOT) AJD]]-TABL123[[#This Row],[SER_ IN]]</f>
        <v>257</v>
      </c>
    </row>
    <row r="252" spans="1:42" ht="18.75" x14ac:dyDescent="0.3">
      <c r="A252" s="2">
        <v>46273</v>
      </c>
      <c r="B252" s="44">
        <v>42</v>
      </c>
      <c r="C252" s="44">
        <v>341</v>
      </c>
      <c r="D252" s="44">
        <f t="shared" si="12"/>
        <v>42</v>
      </c>
      <c r="E252" s="35"/>
      <c r="F252" s="44">
        <v>92</v>
      </c>
      <c r="G252" s="40">
        <v>609</v>
      </c>
      <c r="H252" s="28">
        <f t="shared" si="9"/>
        <v>11</v>
      </c>
      <c r="I252" s="40">
        <v>515</v>
      </c>
      <c r="J252" s="44">
        <v>505</v>
      </c>
      <c r="K252" s="28">
        <f>TABL123[[#This Row],[خط (T/B  TOT) SAR]]+TABL123[[#This Row],[خط (S/S  TOT) SAR2]]</f>
        <v>1020</v>
      </c>
      <c r="L252" s="45">
        <v>380</v>
      </c>
      <c r="M252" s="46">
        <v>27.6</v>
      </c>
      <c r="N252" s="46">
        <v>7.2</v>
      </c>
      <c r="O252" s="40">
        <v>426</v>
      </c>
      <c r="P252" s="9">
        <f>TABL123[[#This Row],[خط (S/S  TOT) SAR2]]-TABL123[[#This Row],[(S/S TOT) AJD]]</f>
        <v>79</v>
      </c>
      <c r="Q252" s="40">
        <v>458</v>
      </c>
      <c r="R252" s="9">
        <f>TABL123[[#This Row],[خط (T/B  TOT) SAR]]-TABL123[[#This Row],[(T/B TOT) AJD]]</f>
        <v>57</v>
      </c>
      <c r="S252" s="9">
        <f>TABL123[[#This Row],[الفرق بين بداية ونهاية خط  T/B]]+TABL123[[#This Row],[الفرق بين بداية ونهاية خط  S/S]]</f>
        <v>136</v>
      </c>
      <c r="T252" s="9">
        <f>TABL123[[#This Row],[(S/S TOT) AJD]]+TABL123[[#This Row],[(T/B TOT) AJD]]</f>
        <v>884</v>
      </c>
      <c r="U252" s="44">
        <v>581</v>
      </c>
      <c r="V252" s="44">
        <v>273</v>
      </c>
      <c r="W252" s="9">
        <f>TABL123[[#This Row],[(A/B TOT) AJD]]+TABL123[[#This Row],[(A/S TOT) AJD]]</f>
        <v>854</v>
      </c>
      <c r="X252" s="9">
        <f>TABL123[[#This Row],[( S/S+T/B) AJD]]-TABL123[[#This Row],[(A/B + A/S) AJD]]</f>
        <v>30</v>
      </c>
      <c r="Y252" s="44">
        <v>92.21</v>
      </c>
      <c r="Z252" s="45">
        <v>324227</v>
      </c>
      <c r="AA252" s="3">
        <f>TABL123[[#This Row],[(RESV. STORGE) AJD]]/10</f>
        <v>32422.7</v>
      </c>
      <c r="AB252" s="45">
        <f t="shared" si="10"/>
        <v>-1.4850000000000001</v>
      </c>
      <c r="AC252" s="45">
        <v>2367</v>
      </c>
      <c r="AD252" s="84">
        <f>TABL123[[#This Row],[( S/S+T/B) AJD]]-(TABL123[[#This Row],[(A/B + A/S) AJD]]+(TABL123[[#This Row],[(STORGE DIFF.) AJD]])+TABL123[[#This Row],[البخر  AJD]]/1000)</f>
        <v>29.118000000000052</v>
      </c>
      <c r="AE252" s="68">
        <v>50</v>
      </c>
      <c r="AF252" s="68">
        <v>58.651000000000003</v>
      </c>
      <c r="AG252" s="68">
        <v>1393764</v>
      </c>
      <c r="AH252" s="45">
        <v>3190</v>
      </c>
      <c r="AI252" s="45">
        <v>3190</v>
      </c>
      <c r="AJ252" s="79">
        <f>TABL123[[#This Row],[(A/B TOT) AJD]]-TABL123[[#This Row],[BER_ IN]]</f>
        <v>531</v>
      </c>
      <c r="AK252" s="68">
        <v>0</v>
      </c>
      <c r="AL252" s="88">
        <v>42.828499999999998</v>
      </c>
      <c r="AM252" s="88">
        <v>3015620</v>
      </c>
      <c r="AN252" s="88">
        <f>TABL123[[#This Row],[ (RESV. STORGE) SER]]/10</f>
        <v>301562</v>
      </c>
      <c r="AO252" s="45">
        <v>2018</v>
      </c>
      <c r="AP252" s="32">
        <f>TABL123[[#This Row],[(A/S TOT) AJD]]-TABL123[[#This Row],[SER_ IN]]</f>
        <v>273</v>
      </c>
    </row>
    <row r="253" spans="1:42" ht="18.75" x14ac:dyDescent="0.3">
      <c r="A253" s="2">
        <v>46274</v>
      </c>
      <c r="B253" s="41">
        <v>41</v>
      </c>
      <c r="C253" s="41">
        <v>321</v>
      </c>
      <c r="D253" s="41">
        <f t="shared" si="12"/>
        <v>41</v>
      </c>
      <c r="E253" s="35"/>
      <c r="F253" s="41">
        <v>92</v>
      </c>
      <c r="G253" s="39">
        <v>609</v>
      </c>
      <c r="H253" s="28">
        <f t="shared" si="9"/>
        <v>11</v>
      </c>
      <c r="I253" s="39">
        <v>515</v>
      </c>
      <c r="J253" s="39">
        <v>505</v>
      </c>
      <c r="K253" s="28">
        <f>TABL123[[#This Row],[خط (T/B  TOT) SAR]]+TABL123[[#This Row],[خط (S/S  TOT) SAR2]]</f>
        <v>1020</v>
      </c>
      <c r="L253" s="41">
        <v>378</v>
      </c>
      <c r="M253" s="42">
        <v>27.6</v>
      </c>
      <c r="N253" s="42">
        <v>7.2</v>
      </c>
      <c r="O253" s="39">
        <v>427</v>
      </c>
      <c r="P253" s="9">
        <f>TABL123[[#This Row],[خط (S/S  TOT) SAR2]]-TABL123[[#This Row],[(S/S TOT) AJD]]</f>
        <v>78</v>
      </c>
      <c r="Q253" s="39">
        <v>458</v>
      </c>
      <c r="R253" s="9">
        <f>TABL123[[#This Row],[خط (T/B  TOT) SAR]]-TABL123[[#This Row],[(T/B TOT) AJD]]</f>
        <v>57</v>
      </c>
      <c r="S253" s="9">
        <f>TABL123[[#This Row],[الفرق بين بداية ونهاية خط  T/B]]+TABL123[[#This Row],[الفرق بين بداية ونهاية خط  S/S]]</f>
        <v>135</v>
      </c>
      <c r="T253" s="9">
        <f>TABL123[[#This Row],[(S/S TOT) AJD]]+TABL123[[#This Row],[(T/B TOT) AJD]]</f>
        <v>885</v>
      </c>
      <c r="U253" s="41">
        <v>558</v>
      </c>
      <c r="V253" s="41">
        <v>260</v>
      </c>
      <c r="W253" s="9">
        <f>TABL123[[#This Row],[(A/B TOT) AJD]]+TABL123[[#This Row],[(A/S TOT) AJD]]</f>
        <v>818</v>
      </c>
      <c r="X253" s="9">
        <f>TABL123[[#This Row],[( S/S+T/B) AJD]]-TABL123[[#This Row],[(A/B + A/S) AJD]]</f>
        <v>67</v>
      </c>
      <c r="Y253" s="41">
        <v>92.281999999999996</v>
      </c>
      <c r="Z253" s="43">
        <v>366961</v>
      </c>
      <c r="AA253" s="3">
        <f>TABL123[[#This Row],[(RESV. STORGE) AJD]]/10</f>
        <v>36696.1</v>
      </c>
      <c r="AB253" s="45">
        <f t="shared" si="10"/>
        <v>42.734000000000002</v>
      </c>
      <c r="AC253" s="43">
        <v>2427</v>
      </c>
      <c r="AD253" s="84">
        <f>TABL123[[#This Row],[( S/S+T/B) AJD]]-(TABL123[[#This Row],[(A/B + A/S) AJD]]+(TABL123[[#This Row],[(STORGE DIFF.) AJD]])+TABL123[[#This Row],[البخر  AJD]]/1000)</f>
        <v>21.838999999999942</v>
      </c>
      <c r="AE253" s="68">
        <v>50</v>
      </c>
      <c r="AF253" s="68">
        <v>58.607999999999997</v>
      </c>
      <c r="AG253" s="68">
        <v>1365513</v>
      </c>
      <c r="AH253" s="43">
        <v>2721</v>
      </c>
      <c r="AI253" s="43">
        <v>2721</v>
      </c>
      <c r="AJ253" s="79">
        <f>TABL123[[#This Row],[(A/B TOT) AJD]]-TABL123[[#This Row],[BER_ IN]]</f>
        <v>508</v>
      </c>
      <c r="AK253" s="68">
        <v>0</v>
      </c>
      <c r="AL253" s="88">
        <v>42.805300000000003</v>
      </c>
      <c r="AM253" s="88">
        <v>3002832</v>
      </c>
      <c r="AN253" s="88">
        <f>TABL123[[#This Row],[ (RESV. STORGE) SER]]/10</f>
        <v>300283.2</v>
      </c>
      <c r="AO253" s="43">
        <v>2000</v>
      </c>
      <c r="AP253" s="32">
        <f>TABL123[[#This Row],[(A/S TOT) AJD]]-TABL123[[#This Row],[SER_ IN]]</f>
        <v>260</v>
      </c>
    </row>
    <row r="254" spans="1:42" ht="18.75" x14ac:dyDescent="0.3">
      <c r="A254" s="2">
        <v>46275</v>
      </c>
      <c r="B254" s="44">
        <v>40</v>
      </c>
      <c r="C254" s="44">
        <v>308</v>
      </c>
      <c r="D254" s="44">
        <f t="shared" si="12"/>
        <v>40</v>
      </c>
      <c r="E254" s="35"/>
      <c r="F254" s="44">
        <v>92</v>
      </c>
      <c r="G254" s="40">
        <v>609</v>
      </c>
      <c r="H254" s="28">
        <f t="shared" si="9"/>
        <v>11</v>
      </c>
      <c r="I254" s="40">
        <v>510</v>
      </c>
      <c r="J254" s="44">
        <v>497</v>
      </c>
      <c r="K254" s="28">
        <f>TABL123[[#This Row],[خط (T/B  TOT) SAR]]+TABL123[[#This Row],[خط (S/S  TOT) SAR2]]</f>
        <v>1007</v>
      </c>
      <c r="L254" s="45">
        <v>368</v>
      </c>
      <c r="M254" s="46">
        <v>27.6</v>
      </c>
      <c r="N254" s="46">
        <v>7.1</v>
      </c>
      <c r="O254" s="40">
        <v>422</v>
      </c>
      <c r="P254" s="9">
        <f>TABL123[[#This Row],[خط (S/S  TOT) SAR2]]-TABL123[[#This Row],[(S/S TOT) AJD]]</f>
        <v>75</v>
      </c>
      <c r="Q254" s="40">
        <v>455</v>
      </c>
      <c r="R254" s="9">
        <f>TABL123[[#This Row],[خط (T/B  TOT) SAR]]-TABL123[[#This Row],[(T/B TOT) AJD]]</f>
        <v>55</v>
      </c>
      <c r="S254" s="9">
        <f>TABL123[[#This Row],[الفرق بين بداية ونهاية خط  T/B]]+TABL123[[#This Row],[الفرق بين بداية ونهاية خط  S/S]]</f>
        <v>130</v>
      </c>
      <c r="T254" s="9">
        <f>TABL123[[#This Row],[(S/S TOT) AJD]]+TABL123[[#This Row],[(T/B TOT) AJD]]</f>
        <v>877</v>
      </c>
      <c r="U254" s="44">
        <v>557</v>
      </c>
      <c r="V254" s="44">
        <v>225</v>
      </c>
      <c r="W254" s="9">
        <f>TABL123[[#This Row],[(A/B TOT) AJD]]+TABL123[[#This Row],[(A/S TOT) AJD]]</f>
        <v>782</v>
      </c>
      <c r="X254" s="9">
        <f>TABL123[[#This Row],[( S/S+T/B) AJD]]-TABL123[[#This Row],[(A/B + A/S) AJD]]</f>
        <v>95</v>
      </c>
      <c r="Y254" s="44">
        <v>92.41</v>
      </c>
      <c r="Z254" s="45">
        <v>441261</v>
      </c>
      <c r="AA254" s="3">
        <f>TABL123[[#This Row],[(RESV. STORGE) AJD]]/10</f>
        <v>44126.1</v>
      </c>
      <c r="AB254" s="45">
        <f t="shared" si="10"/>
        <v>74.3</v>
      </c>
      <c r="AC254" s="45">
        <v>2499</v>
      </c>
      <c r="AD254" s="84">
        <f>TABL123[[#This Row],[( S/S+T/B) AJD]]-(TABL123[[#This Row],[(A/B + A/S) AJD]]+(TABL123[[#This Row],[(STORGE DIFF.) AJD]])+TABL123[[#This Row],[البخر  AJD]]/1000)</f>
        <v>18.201000000000022</v>
      </c>
      <c r="AE254" s="68">
        <v>50</v>
      </c>
      <c r="AF254" s="68">
        <v>58.573999999999998</v>
      </c>
      <c r="AG254" s="68">
        <v>1343186</v>
      </c>
      <c r="AH254" s="45">
        <v>2646</v>
      </c>
      <c r="AI254" s="45">
        <v>2646</v>
      </c>
      <c r="AJ254" s="79">
        <f>TABL123[[#This Row],[(A/B TOT) AJD]]-TABL123[[#This Row],[BER_ IN]]</f>
        <v>507</v>
      </c>
      <c r="AK254" s="68">
        <v>0</v>
      </c>
      <c r="AL254" s="88">
        <v>42.728099999999998</v>
      </c>
      <c r="AM254" s="88">
        <v>2961303</v>
      </c>
      <c r="AN254" s="88">
        <f>TABL123[[#This Row],[ (RESV. STORGE) SER]]/10</f>
        <v>296130.3</v>
      </c>
      <c r="AO254" s="45">
        <v>2010</v>
      </c>
      <c r="AP254" s="32">
        <f>TABL123[[#This Row],[(A/S TOT) AJD]]-TABL123[[#This Row],[SER_ IN]]</f>
        <v>225</v>
      </c>
    </row>
    <row r="255" spans="1:42" ht="18.75" x14ac:dyDescent="0.3">
      <c r="A255" s="2">
        <v>46276</v>
      </c>
      <c r="B255" s="41">
        <v>41</v>
      </c>
      <c r="C255" s="41">
        <v>317</v>
      </c>
      <c r="D255" s="41">
        <f t="shared" si="12"/>
        <v>41</v>
      </c>
      <c r="E255" s="35"/>
      <c r="F255" s="41">
        <v>92</v>
      </c>
      <c r="G255" s="39">
        <v>610</v>
      </c>
      <c r="H255" s="28">
        <f t="shared" si="9"/>
        <v>11</v>
      </c>
      <c r="I255" s="39">
        <v>485</v>
      </c>
      <c r="J255" s="39">
        <v>470</v>
      </c>
      <c r="K255" s="28">
        <f>TABL123[[#This Row],[خط (T/B  TOT) SAR]]+TABL123[[#This Row],[خط (S/S  TOT) SAR2]]</f>
        <v>955</v>
      </c>
      <c r="L255" s="41">
        <v>319</v>
      </c>
      <c r="M255" s="42"/>
      <c r="N255" s="42">
        <v>7.1</v>
      </c>
      <c r="O255" s="39">
        <v>415</v>
      </c>
      <c r="P255" s="9">
        <f>TABL123[[#This Row],[خط (S/S  TOT) SAR2]]-TABL123[[#This Row],[(S/S TOT) AJD]]</f>
        <v>55</v>
      </c>
      <c r="Q255" s="39">
        <v>448</v>
      </c>
      <c r="R255" s="9">
        <f>TABL123[[#This Row],[خط (T/B  TOT) SAR]]-TABL123[[#This Row],[(T/B TOT) AJD]]</f>
        <v>37</v>
      </c>
      <c r="S255" s="9">
        <f>TABL123[[#This Row],[الفرق بين بداية ونهاية خط  T/B]]+TABL123[[#This Row],[الفرق بين بداية ونهاية خط  S/S]]</f>
        <v>92</v>
      </c>
      <c r="T255" s="9">
        <f>TABL123[[#This Row],[(S/S TOT) AJD]]+TABL123[[#This Row],[(T/B TOT) AJD]]</f>
        <v>863</v>
      </c>
      <c r="U255" s="41">
        <v>573</v>
      </c>
      <c r="V255" s="41">
        <v>236</v>
      </c>
      <c r="W255" s="9">
        <f>TABL123[[#This Row],[(A/B TOT) AJD]]+TABL123[[#This Row],[(A/S TOT) AJD]]</f>
        <v>809</v>
      </c>
      <c r="X255" s="9">
        <f>TABL123[[#This Row],[( S/S+T/B) AJD]]-TABL123[[#This Row],[(A/B + A/S) AJD]]</f>
        <v>54</v>
      </c>
      <c r="Y255" s="41">
        <v>92.451999999999998</v>
      </c>
      <c r="Z255" s="43">
        <v>468044</v>
      </c>
      <c r="AA255" s="3">
        <f>TABL123[[#This Row],[(RESV. STORGE) AJD]]/10</f>
        <v>46804.4</v>
      </c>
      <c r="AB255" s="45">
        <f t="shared" si="10"/>
        <v>26.783000000000001</v>
      </c>
      <c r="AC255" s="43">
        <v>2417</v>
      </c>
      <c r="AD255" s="84">
        <f>TABL123[[#This Row],[( S/S+T/B) AJD]]-(TABL123[[#This Row],[(A/B + A/S) AJD]]+(TABL123[[#This Row],[(STORGE DIFF.) AJD]])+TABL123[[#This Row],[البخر  AJD]]/1000)</f>
        <v>24.799999999999955</v>
      </c>
      <c r="AE255" s="68">
        <v>50</v>
      </c>
      <c r="AF255" s="68">
        <v>58.524000000000001</v>
      </c>
      <c r="AG255" s="68">
        <v>1310371</v>
      </c>
      <c r="AH255" s="43">
        <v>3135</v>
      </c>
      <c r="AI255" s="43">
        <v>3135</v>
      </c>
      <c r="AJ255" s="79">
        <f>TABL123[[#This Row],[(A/B TOT) AJD]]-TABL123[[#This Row],[BER_ IN]]</f>
        <v>523</v>
      </c>
      <c r="AK255" s="68">
        <v>0</v>
      </c>
      <c r="AL255" s="88">
        <v>42.695999999999998</v>
      </c>
      <c r="AM255" s="88">
        <v>2945137</v>
      </c>
      <c r="AN255" s="88">
        <f>TABL123[[#This Row],[ (RESV. STORGE) SER]]/10</f>
        <v>294513.7</v>
      </c>
      <c r="AO255" s="43">
        <v>1980</v>
      </c>
      <c r="AP255" s="32">
        <f>TABL123[[#This Row],[(A/S TOT) AJD]]-TABL123[[#This Row],[SER_ IN]]</f>
        <v>236</v>
      </c>
    </row>
    <row r="256" spans="1:42" ht="18.75" x14ac:dyDescent="0.3">
      <c r="A256" s="2">
        <v>46277</v>
      </c>
      <c r="B256" s="44">
        <v>41</v>
      </c>
      <c r="C256" s="44">
        <v>324</v>
      </c>
      <c r="D256" s="44">
        <f t="shared" si="12"/>
        <v>41</v>
      </c>
      <c r="E256" s="35"/>
      <c r="F256" s="44">
        <v>93</v>
      </c>
      <c r="G256" s="40">
        <v>617</v>
      </c>
      <c r="H256" s="28">
        <f t="shared" si="9"/>
        <v>10</v>
      </c>
      <c r="I256" s="40">
        <v>485</v>
      </c>
      <c r="J256" s="44">
        <v>475</v>
      </c>
      <c r="K256" s="28">
        <f>TABL123[[#This Row],[خط (T/B  TOT) SAR]]+TABL123[[#This Row],[خط (S/S  TOT) SAR2]]</f>
        <v>960</v>
      </c>
      <c r="L256" s="45">
        <v>293</v>
      </c>
      <c r="M256" s="46"/>
      <c r="N256" s="46">
        <v>7.2</v>
      </c>
      <c r="O256" s="40">
        <v>390</v>
      </c>
      <c r="P256" s="9">
        <f>TABL123[[#This Row],[خط (S/S  TOT) SAR2]]-TABL123[[#This Row],[(S/S TOT) AJD]]</f>
        <v>85</v>
      </c>
      <c r="Q256" s="40">
        <v>423</v>
      </c>
      <c r="R256" s="9">
        <f>TABL123[[#This Row],[خط (T/B  TOT) SAR]]-TABL123[[#This Row],[(T/B TOT) AJD]]</f>
        <v>62</v>
      </c>
      <c r="S256" s="9">
        <f>TABL123[[#This Row],[الفرق بين بداية ونهاية خط  T/B]]+TABL123[[#This Row],[الفرق بين بداية ونهاية خط  S/S]]</f>
        <v>147</v>
      </c>
      <c r="T256" s="9">
        <f>TABL123[[#This Row],[(S/S TOT) AJD]]+TABL123[[#This Row],[(T/B TOT) AJD]]</f>
        <v>813</v>
      </c>
      <c r="U256" s="44">
        <v>564</v>
      </c>
      <c r="V256" s="44">
        <v>236</v>
      </c>
      <c r="W256" s="9">
        <f>TABL123[[#This Row],[(A/B TOT) AJD]]+TABL123[[#This Row],[(A/S TOT) AJD]]</f>
        <v>800</v>
      </c>
      <c r="X256" s="9">
        <f>TABL123[[#This Row],[( S/S+T/B) AJD]]-TABL123[[#This Row],[(A/B + A/S) AJD]]</f>
        <v>13</v>
      </c>
      <c r="Y256" s="44">
        <v>92.435000000000002</v>
      </c>
      <c r="Z256" s="45">
        <v>457921</v>
      </c>
      <c r="AA256" s="3">
        <f>TABL123[[#This Row],[(RESV. STORGE) AJD]]/10</f>
        <v>45792.1</v>
      </c>
      <c r="AB256" s="45">
        <f t="shared" si="10"/>
        <v>-10.122999999999999</v>
      </c>
      <c r="AC256" s="45">
        <v>2417</v>
      </c>
      <c r="AD256" s="84">
        <f>TABL123[[#This Row],[( S/S+T/B) AJD]]-(TABL123[[#This Row],[(A/B + A/S) AJD]]+(TABL123[[#This Row],[(STORGE DIFF.) AJD]])+TABL123[[#This Row],[البخر  AJD]]/1000)</f>
        <v>20.706000000000017</v>
      </c>
      <c r="AE256" s="68">
        <v>50</v>
      </c>
      <c r="AF256" s="68">
        <v>58.473999999999997</v>
      </c>
      <c r="AG256" s="68">
        <v>1277577</v>
      </c>
      <c r="AH256" s="45">
        <v>3114</v>
      </c>
      <c r="AI256" s="45">
        <v>3114</v>
      </c>
      <c r="AJ256" s="79">
        <f>TABL123[[#This Row],[(A/B TOT) AJD]]-TABL123[[#This Row],[BER_ IN]]</f>
        <v>514</v>
      </c>
      <c r="AK256" s="68">
        <v>0</v>
      </c>
      <c r="AL256" s="88">
        <v>42.651800000000001</v>
      </c>
      <c r="AM256" s="88">
        <v>2920698</v>
      </c>
      <c r="AN256" s="88">
        <f>TABL123[[#This Row],[ (RESV. STORGE) SER]]/10</f>
        <v>292069.8</v>
      </c>
      <c r="AO256" s="45">
        <v>1935</v>
      </c>
      <c r="AP256" s="32">
        <f>TABL123[[#This Row],[(A/S TOT) AJD]]-TABL123[[#This Row],[SER_ IN]]</f>
        <v>236</v>
      </c>
    </row>
    <row r="257" spans="1:42" ht="18.75" x14ac:dyDescent="0.3">
      <c r="A257" s="2">
        <v>46278</v>
      </c>
      <c r="B257" s="41">
        <v>41</v>
      </c>
      <c r="C257" s="41">
        <v>306</v>
      </c>
      <c r="D257" s="41">
        <f t="shared" si="12"/>
        <v>41</v>
      </c>
      <c r="E257" s="35"/>
      <c r="F257" s="41">
        <v>93</v>
      </c>
      <c r="G257" s="39">
        <v>617</v>
      </c>
      <c r="H257" s="28">
        <f t="shared" si="9"/>
        <v>10</v>
      </c>
      <c r="I257" s="39">
        <v>482</v>
      </c>
      <c r="J257" s="39">
        <v>472</v>
      </c>
      <c r="K257" s="28">
        <f>TABL123[[#This Row],[خط (T/B  TOT) SAR]]+TABL123[[#This Row],[خط (S/S  TOT) SAR2]]</f>
        <v>954</v>
      </c>
      <c r="L257" s="41">
        <v>297</v>
      </c>
      <c r="M257" s="42"/>
      <c r="N257" s="42">
        <v>7.5</v>
      </c>
      <c r="O257" s="39">
        <v>420</v>
      </c>
      <c r="P257" s="9">
        <f>TABL123[[#This Row],[خط (S/S  TOT) SAR2]]-TABL123[[#This Row],[(S/S TOT) AJD]]</f>
        <v>52</v>
      </c>
      <c r="Q257" s="39">
        <v>389</v>
      </c>
      <c r="R257" s="9">
        <f>TABL123[[#This Row],[خط (T/B  TOT) SAR]]-TABL123[[#This Row],[(T/B TOT) AJD]]</f>
        <v>93</v>
      </c>
      <c r="S257" s="9">
        <f>TABL123[[#This Row],[الفرق بين بداية ونهاية خط  T/B]]+TABL123[[#This Row],[الفرق بين بداية ونهاية خط  S/S]]</f>
        <v>145</v>
      </c>
      <c r="T257" s="9">
        <f>TABL123[[#This Row],[(S/S TOT) AJD]]+TABL123[[#This Row],[(T/B TOT) AJD]]</f>
        <v>809</v>
      </c>
      <c r="U257" s="41">
        <v>534</v>
      </c>
      <c r="V257" s="41">
        <v>209</v>
      </c>
      <c r="W257" s="9">
        <f>TABL123[[#This Row],[(A/B TOT) AJD]]+TABL123[[#This Row],[(A/S TOT) AJD]]</f>
        <v>743</v>
      </c>
      <c r="X257" s="9">
        <f>TABL123[[#This Row],[( S/S+T/B) AJD]]-TABL123[[#This Row],[(A/B + A/S) AJD]]</f>
        <v>66</v>
      </c>
      <c r="Y257" s="41">
        <v>92.5</v>
      </c>
      <c r="Z257" s="43">
        <v>496624</v>
      </c>
      <c r="AA257" s="3">
        <f>TABL123[[#This Row],[(RESV. STORGE) AJD]]/10</f>
        <v>49662.400000000001</v>
      </c>
      <c r="AB257" s="45">
        <f t="shared" si="10"/>
        <v>38.703000000000003</v>
      </c>
      <c r="AC257" s="43">
        <v>3177</v>
      </c>
      <c r="AD257" s="84">
        <f>TABL123[[#This Row],[( S/S+T/B) AJD]]-(TABL123[[#This Row],[(A/B + A/S) AJD]]+(TABL123[[#This Row],[(STORGE DIFF.) AJD]])+TABL123[[#This Row],[البخر  AJD]]/1000)</f>
        <v>24.120000000000005</v>
      </c>
      <c r="AE257" s="68">
        <v>50</v>
      </c>
      <c r="AF257" s="68">
        <v>58.454999999999998</v>
      </c>
      <c r="AG257" s="68">
        <v>1265121</v>
      </c>
      <c r="AH257" s="43">
        <v>2696</v>
      </c>
      <c r="AI257" s="43">
        <v>2696</v>
      </c>
      <c r="AJ257" s="79">
        <f>TABL123[[#This Row],[(A/B TOT) AJD]]-TABL123[[#This Row],[BER_ IN]]</f>
        <v>484</v>
      </c>
      <c r="AK257" s="68">
        <v>0</v>
      </c>
      <c r="AL257" s="88">
        <v>42.598100000000002</v>
      </c>
      <c r="AM257" s="88">
        <v>2891290</v>
      </c>
      <c r="AN257" s="88">
        <f>TABL123[[#This Row],[ (RESV. STORGE) SER]]/10</f>
        <v>289129</v>
      </c>
      <c r="AO257" s="43">
        <v>1955</v>
      </c>
      <c r="AP257" s="32">
        <f>TABL123[[#This Row],[(A/S TOT) AJD]]-TABL123[[#This Row],[SER_ IN]]</f>
        <v>209</v>
      </c>
    </row>
    <row r="258" spans="1:42" ht="18.75" x14ac:dyDescent="0.3">
      <c r="A258" s="2">
        <v>46279</v>
      </c>
      <c r="B258" s="44">
        <v>41</v>
      </c>
      <c r="C258" s="44">
        <v>309</v>
      </c>
      <c r="D258" s="44">
        <f t="shared" si="12"/>
        <v>41</v>
      </c>
      <c r="E258" s="35"/>
      <c r="F258" s="44">
        <v>93</v>
      </c>
      <c r="G258" s="40">
        <v>617</v>
      </c>
      <c r="H258" s="28">
        <f t="shared" ref="H258:H321" si="13">103-F258</f>
        <v>10</v>
      </c>
      <c r="I258" s="40">
        <v>478</v>
      </c>
      <c r="J258" s="44">
        <v>486</v>
      </c>
      <c r="K258" s="28">
        <f>TABL123[[#This Row],[خط (T/B  TOT) SAR]]+TABL123[[#This Row],[خط (S/S  TOT) SAR2]]</f>
        <v>964</v>
      </c>
      <c r="L258" s="45">
        <v>299</v>
      </c>
      <c r="M258" s="46"/>
      <c r="N258" s="46">
        <v>7.5</v>
      </c>
      <c r="O258" s="40">
        <v>388</v>
      </c>
      <c r="P258" s="9">
        <f>TABL123[[#This Row],[خط (S/S  TOT) SAR2]]-TABL123[[#This Row],[(S/S TOT) AJD]]</f>
        <v>98</v>
      </c>
      <c r="Q258" s="40">
        <v>420</v>
      </c>
      <c r="R258" s="9">
        <f>TABL123[[#This Row],[خط (T/B  TOT) SAR]]-TABL123[[#This Row],[(T/B TOT) AJD]]</f>
        <v>58</v>
      </c>
      <c r="S258" s="9">
        <f>TABL123[[#This Row],[الفرق بين بداية ونهاية خط  T/B]]+TABL123[[#This Row],[الفرق بين بداية ونهاية خط  S/S]]</f>
        <v>156</v>
      </c>
      <c r="T258" s="9">
        <f>TABL123[[#This Row],[(S/S TOT) AJD]]+TABL123[[#This Row],[(T/B TOT) AJD]]</f>
        <v>808</v>
      </c>
      <c r="U258" s="44">
        <v>570</v>
      </c>
      <c r="V258" s="44">
        <v>201</v>
      </c>
      <c r="W258" s="9">
        <f>TABL123[[#This Row],[(A/B TOT) AJD]]+TABL123[[#This Row],[(A/S TOT) AJD]]</f>
        <v>771</v>
      </c>
      <c r="X258" s="9">
        <f>TABL123[[#This Row],[( S/S+T/B) AJD]]-TABL123[[#This Row],[(A/B + A/S) AJD]]</f>
        <v>37</v>
      </c>
      <c r="Y258" s="44">
        <v>92.515000000000001</v>
      </c>
      <c r="Z258" s="45">
        <v>503774</v>
      </c>
      <c r="AA258" s="3">
        <f>TABL123[[#This Row],[(RESV. STORGE) AJD]]/10</f>
        <v>50377.4</v>
      </c>
      <c r="AB258" s="45">
        <f t="shared" si="10"/>
        <v>7.15</v>
      </c>
      <c r="AC258" s="45">
        <v>3328</v>
      </c>
      <c r="AD258" s="84">
        <f>TABL123[[#This Row],[( S/S+T/B) AJD]]-(TABL123[[#This Row],[(A/B + A/S) AJD]]+(TABL123[[#This Row],[(STORGE DIFF.) AJD]])+TABL123[[#This Row],[البخر  AJD]]/1000)</f>
        <v>26.522000000000048</v>
      </c>
      <c r="AE258" s="68">
        <v>50</v>
      </c>
      <c r="AF258" s="68">
        <v>58.405999999999999</v>
      </c>
      <c r="AG258" s="68">
        <v>1233011</v>
      </c>
      <c r="AH258" s="45">
        <v>2429</v>
      </c>
      <c r="AI258" s="45">
        <v>2429</v>
      </c>
      <c r="AJ258" s="79">
        <f>TABL123[[#This Row],[(A/B TOT) AJD]]-TABL123[[#This Row],[BER_ IN]]</f>
        <v>520</v>
      </c>
      <c r="AK258" s="68">
        <v>0</v>
      </c>
      <c r="AL258" s="88">
        <v>42.539400000000001</v>
      </c>
      <c r="AM258" s="88">
        <v>2860540</v>
      </c>
      <c r="AN258" s="88">
        <f>TABL123[[#This Row],[ (RESV. STORGE) SER]]/10</f>
        <v>286054</v>
      </c>
      <c r="AO258" s="45">
        <v>1960</v>
      </c>
      <c r="AP258" s="32">
        <f>TABL123[[#This Row],[(A/S TOT) AJD]]-TABL123[[#This Row],[SER_ IN]]</f>
        <v>201</v>
      </c>
    </row>
    <row r="259" spans="1:42" ht="18.75" x14ac:dyDescent="0.3">
      <c r="A259" s="2">
        <v>46280</v>
      </c>
      <c r="B259" s="41">
        <v>40</v>
      </c>
      <c r="C259" s="41">
        <v>275</v>
      </c>
      <c r="D259" s="41">
        <f t="shared" si="12"/>
        <v>40</v>
      </c>
      <c r="E259" s="35"/>
      <c r="F259" s="41">
        <v>92</v>
      </c>
      <c r="G259" s="39">
        <v>610</v>
      </c>
      <c r="H259" s="28">
        <f t="shared" si="13"/>
        <v>11</v>
      </c>
      <c r="I259" s="39">
        <v>280</v>
      </c>
      <c r="J259" s="39">
        <v>270</v>
      </c>
      <c r="K259" s="28">
        <f>TABL123[[#This Row],[خط (T/B  TOT) SAR]]+TABL123[[#This Row],[خط (S/S  TOT) SAR2]]</f>
        <v>550</v>
      </c>
      <c r="L259" s="41">
        <v>324</v>
      </c>
      <c r="M259" s="42"/>
      <c r="N259" s="42">
        <v>7.4</v>
      </c>
      <c r="O259" s="39">
        <v>388</v>
      </c>
      <c r="P259" s="9">
        <f>TABL123[[#This Row],[خط (S/S  TOT) SAR2]]-TABL123[[#This Row],[(S/S TOT) AJD]]</f>
        <v>-118</v>
      </c>
      <c r="Q259" s="39">
        <v>421</v>
      </c>
      <c r="R259" s="9">
        <f>TABL123[[#This Row],[خط (T/B  TOT) SAR]]-TABL123[[#This Row],[(T/B TOT) AJD]]</f>
        <v>-141</v>
      </c>
      <c r="S259" s="9">
        <f>TABL123[[#This Row],[الفرق بين بداية ونهاية خط  T/B]]+TABL123[[#This Row],[الفرق بين بداية ونهاية خط  S/S]]</f>
        <v>-259</v>
      </c>
      <c r="T259" s="9">
        <f>TABL123[[#This Row],[(S/S TOT) AJD]]+TABL123[[#This Row],[(T/B TOT) AJD]]</f>
        <v>809</v>
      </c>
      <c r="U259" s="41">
        <v>522</v>
      </c>
      <c r="V259" s="41">
        <v>192</v>
      </c>
      <c r="W259" s="9">
        <f>TABL123[[#This Row],[(A/B TOT) AJD]]+TABL123[[#This Row],[(A/S TOT) AJD]]</f>
        <v>714</v>
      </c>
      <c r="X259" s="9">
        <f>TABL123[[#This Row],[( S/S+T/B) AJD]]-TABL123[[#This Row],[(A/B + A/S) AJD]]</f>
        <v>95</v>
      </c>
      <c r="Y259" s="41">
        <v>92.622</v>
      </c>
      <c r="Z259" s="43">
        <v>569359</v>
      </c>
      <c r="AA259" s="3">
        <f>TABL123[[#This Row],[(RESV. STORGE) AJD]]/10</f>
        <v>56935.9</v>
      </c>
      <c r="AB259" s="45">
        <f t="shared" si="10"/>
        <v>65.584999999999994</v>
      </c>
      <c r="AC259" s="43">
        <v>3328</v>
      </c>
      <c r="AD259" s="84">
        <f>TABL123[[#This Row],[( S/S+T/B) AJD]]-(TABL123[[#This Row],[(A/B + A/S) AJD]]+(TABL123[[#This Row],[(STORGE DIFF.) AJD]])+TABL123[[#This Row],[البخر  AJD]]/1000)</f>
        <v>26.086999999999989</v>
      </c>
      <c r="AE259" s="68">
        <v>50</v>
      </c>
      <c r="AF259" s="68">
        <v>58.433</v>
      </c>
      <c r="AG259" s="68">
        <v>1250702</v>
      </c>
      <c r="AH259" s="43">
        <v>2706</v>
      </c>
      <c r="AI259" s="43">
        <v>2706</v>
      </c>
      <c r="AJ259" s="79">
        <f>TABL123[[#This Row],[(A/B TOT) AJD]]-TABL123[[#This Row],[BER_ IN]]</f>
        <v>472</v>
      </c>
      <c r="AK259" s="68">
        <v>0</v>
      </c>
      <c r="AL259" s="88">
        <v>42.4998</v>
      </c>
      <c r="AM259" s="88">
        <v>2838760</v>
      </c>
      <c r="AN259" s="88">
        <f>TABL123[[#This Row],[ (RESV. STORGE) SER]]/10</f>
        <v>283876</v>
      </c>
      <c r="AO259" s="43">
        <v>1900</v>
      </c>
      <c r="AP259" s="32">
        <f>TABL123[[#This Row],[(A/S TOT) AJD]]-TABL123[[#This Row],[SER_ IN]]</f>
        <v>192</v>
      </c>
    </row>
    <row r="260" spans="1:42" ht="18.75" x14ac:dyDescent="0.3">
      <c r="A260" s="2">
        <v>46281</v>
      </c>
      <c r="B260" s="44">
        <v>39</v>
      </c>
      <c r="C260" s="44">
        <v>285</v>
      </c>
      <c r="D260" s="44">
        <f t="shared" si="12"/>
        <v>39</v>
      </c>
      <c r="E260" s="35"/>
      <c r="F260" s="44">
        <v>93</v>
      </c>
      <c r="G260" s="40">
        <v>617</v>
      </c>
      <c r="H260" s="28">
        <f t="shared" si="13"/>
        <v>10</v>
      </c>
      <c r="I260" s="40">
        <v>465</v>
      </c>
      <c r="J260" s="44">
        <v>460</v>
      </c>
      <c r="K260" s="28">
        <f>TABL123[[#This Row],[خط (T/B  TOT) SAR]]+TABL123[[#This Row],[خط (S/S  TOT) SAR2]]</f>
        <v>925</v>
      </c>
      <c r="L260" s="45">
        <v>331</v>
      </c>
      <c r="M260" s="46"/>
      <c r="N260" s="46">
        <v>7</v>
      </c>
      <c r="O260" s="40">
        <v>349</v>
      </c>
      <c r="P260" s="9">
        <f>TABL123[[#This Row],[خط (S/S  TOT) SAR2]]-TABL123[[#This Row],[(S/S TOT) AJD]]</f>
        <v>111</v>
      </c>
      <c r="Q260" s="40">
        <v>382</v>
      </c>
      <c r="R260" s="9">
        <f>TABL123[[#This Row],[خط (T/B  TOT) SAR]]-TABL123[[#This Row],[(T/B TOT) AJD]]</f>
        <v>83</v>
      </c>
      <c r="S260" s="9">
        <f>TABL123[[#This Row],[الفرق بين بداية ونهاية خط  T/B]]+TABL123[[#This Row],[الفرق بين بداية ونهاية خط  S/S]]</f>
        <v>194</v>
      </c>
      <c r="T260" s="9">
        <f>TABL123[[#This Row],[(S/S TOT) AJD]]+TABL123[[#This Row],[(T/B TOT) AJD]]</f>
        <v>731</v>
      </c>
      <c r="U260" s="44">
        <v>536</v>
      </c>
      <c r="V260" s="44">
        <v>237</v>
      </c>
      <c r="W260" s="9">
        <f>TABL123[[#This Row],[(A/B TOT) AJD]]+TABL123[[#This Row],[(A/S TOT) AJD]]</f>
        <v>773</v>
      </c>
      <c r="X260" s="9">
        <f>TABL123[[#This Row],[( S/S+T/B) AJD]]-TABL123[[#This Row],[(A/B + A/S) AJD]]</f>
        <v>-42</v>
      </c>
      <c r="Y260" s="44">
        <v>92.51</v>
      </c>
      <c r="Z260" s="45">
        <v>502589</v>
      </c>
      <c r="AA260" s="3">
        <f>TABL123[[#This Row],[(RESV. STORGE) AJD]]/10</f>
        <v>50258.9</v>
      </c>
      <c r="AB260" s="45">
        <f t="shared" ref="AB260:AB323" si="14">(Z260-Z259)/1000</f>
        <v>-66.77</v>
      </c>
      <c r="AC260" s="45">
        <v>2586</v>
      </c>
      <c r="AD260" s="84">
        <f>TABL123[[#This Row],[( S/S+T/B) AJD]]-(TABL123[[#This Row],[(A/B + A/S) AJD]]+(TABL123[[#This Row],[(STORGE DIFF.) AJD]])+TABL123[[#This Row],[البخر  AJD]]/1000)</f>
        <v>22.183999999999969</v>
      </c>
      <c r="AE260" s="68">
        <v>50</v>
      </c>
      <c r="AF260" s="68">
        <v>58.445999999999998</v>
      </c>
      <c r="AG260" s="68">
        <v>1259222</v>
      </c>
      <c r="AH260" s="45">
        <v>2470</v>
      </c>
      <c r="AI260" s="45">
        <v>2470</v>
      </c>
      <c r="AJ260" s="79">
        <f>TABL123[[#This Row],[(A/B TOT) AJD]]-TABL123[[#This Row],[BER_ IN]]</f>
        <v>486</v>
      </c>
      <c r="AK260" s="68">
        <v>0</v>
      </c>
      <c r="AL260" s="88">
        <v>42.476199999999999</v>
      </c>
      <c r="AM260" s="88">
        <v>2825714</v>
      </c>
      <c r="AN260" s="88">
        <f>TABL123[[#This Row],[ (RESV. STORGE) SER]]/10</f>
        <v>282571.40000000002</v>
      </c>
      <c r="AO260" s="45">
        <v>1870</v>
      </c>
      <c r="AP260" s="32">
        <f>TABL123[[#This Row],[(A/S TOT) AJD]]-TABL123[[#This Row],[SER_ IN]]</f>
        <v>237</v>
      </c>
    </row>
    <row r="261" spans="1:42" ht="18.75" x14ac:dyDescent="0.3">
      <c r="A261" s="2">
        <v>46282</v>
      </c>
      <c r="B261" s="41">
        <v>38</v>
      </c>
      <c r="C261" s="41">
        <v>307</v>
      </c>
      <c r="D261" s="41">
        <f t="shared" si="12"/>
        <v>38</v>
      </c>
      <c r="E261" s="35"/>
      <c r="F261" s="41">
        <v>93</v>
      </c>
      <c r="G261" s="39">
        <v>617</v>
      </c>
      <c r="H261" s="28">
        <f t="shared" si="13"/>
        <v>10</v>
      </c>
      <c r="I261" s="39">
        <v>496</v>
      </c>
      <c r="J261" s="39">
        <v>490</v>
      </c>
      <c r="K261" s="28">
        <f>TABL123[[#This Row],[خط (T/B  TOT) SAR]]+TABL123[[#This Row],[خط (S/S  TOT) SAR2]]</f>
        <v>986</v>
      </c>
      <c r="L261" s="41">
        <v>323</v>
      </c>
      <c r="M261" s="42"/>
      <c r="N261" s="42">
        <v>7</v>
      </c>
      <c r="O261" s="39">
        <v>396</v>
      </c>
      <c r="P261" s="9">
        <f>TABL123[[#This Row],[خط (S/S  TOT) SAR2]]-TABL123[[#This Row],[(S/S TOT) AJD]]</f>
        <v>94</v>
      </c>
      <c r="Q261" s="39">
        <v>425</v>
      </c>
      <c r="R261" s="9">
        <f>TABL123[[#This Row],[خط (T/B  TOT) SAR]]-TABL123[[#This Row],[(T/B TOT) AJD]]</f>
        <v>71</v>
      </c>
      <c r="S261" s="9">
        <f>TABL123[[#This Row],[الفرق بين بداية ونهاية خط  T/B]]+TABL123[[#This Row],[الفرق بين بداية ونهاية خط  S/S]]</f>
        <v>165</v>
      </c>
      <c r="T261" s="9">
        <f>TABL123[[#This Row],[(S/S TOT) AJD]]+TABL123[[#This Row],[(T/B TOT) AJD]]</f>
        <v>821</v>
      </c>
      <c r="U261" s="41">
        <v>570</v>
      </c>
      <c r="V261" s="41">
        <v>259</v>
      </c>
      <c r="W261" s="9">
        <f>TABL123[[#This Row],[(A/B TOT) AJD]]+TABL123[[#This Row],[(A/S TOT) AJD]]</f>
        <v>829</v>
      </c>
      <c r="X261" s="9">
        <f>TABL123[[#This Row],[( S/S+T/B) AJD]]-TABL123[[#This Row],[(A/B + A/S) AJD]]</f>
        <v>-8</v>
      </c>
      <c r="Y261" s="41">
        <v>92.447000000000003</v>
      </c>
      <c r="Z261" s="43">
        <v>465064</v>
      </c>
      <c r="AA261" s="3">
        <f>TABL123[[#This Row],[(RESV. STORGE) AJD]]/10</f>
        <v>46506.400000000001</v>
      </c>
      <c r="AB261" s="45">
        <f t="shared" si="14"/>
        <v>-37.524999999999999</v>
      </c>
      <c r="AC261" s="43">
        <v>2167</v>
      </c>
      <c r="AD261" s="84">
        <f>TABL123[[#This Row],[( S/S+T/B) AJD]]-(TABL123[[#This Row],[(A/B + A/S) AJD]]+(TABL123[[#This Row],[(STORGE DIFF.) AJD]])+TABL123[[#This Row],[البخر  AJD]]/1000)</f>
        <v>27.357999999999947</v>
      </c>
      <c r="AE261" s="68">
        <v>50</v>
      </c>
      <c r="AF261" s="68">
        <v>58.462000000000003</v>
      </c>
      <c r="AG261" s="68">
        <v>1259709</v>
      </c>
      <c r="AH261" s="43">
        <v>2992</v>
      </c>
      <c r="AI261" s="43">
        <v>2992</v>
      </c>
      <c r="AJ261" s="79">
        <f>TABL123[[#This Row],[(A/B TOT) AJD]]-TABL123[[#This Row],[BER_ IN]]</f>
        <v>520</v>
      </c>
      <c r="AK261" s="68">
        <v>8</v>
      </c>
      <c r="AL261" s="88">
        <v>42.4602</v>
      </c>
      <c r="AM261" s="88">
        <v>2817110</v>
      </c>
      <c r="AN261" s="88">
        <f>TABL123[[#This Row],[ (RESV. STORGE) SER]]/10</f>
        <v>281711</v>
      </c>
      <c r="AO261" s="43">
        <v>1804</v>
      </c>
      <c r="AP261" s="32">
        <f>TABL123[[#This Row],[(A/S TOT) AJD]]-TABL123[[#This Row],[SER_ IN]]</f>
        <v>251</v>
      </c>
    </row>
    <row r="262" spans="1:42" ht="18.75" x14ac:dyDescent="0.3">
      <c r="A262" s="2">
        <v>46283</v>
      </c>
      <c r="B262" s="44">
        <v>38</v>
      </c>
      <c r="C262" s="44">
        <v>308</v>
      </c>
      <c r="D262" s="44">
        <f t="shared" si="12"/>
        <v>38</v>
      </c>
      <c r="E262" s="35"/>
      <c r="F262" s="44">
        <v>93</v>
      </c>
      <c r="G262" s="40">
        <v>617</v>
      </c>
      <c r="H262" s="28">
        <f t="shared" si="13"/>
        <v>10</v>
      </c>
      <c r="I262" s="40">
        <v>499</v>
      </c>
      <c r="J262" s="44">
        <v>492</v>
      </c>
      <c r="K262" s="28">
        <f>TABL123[[#This Row],[خط (T/B  TOT) SAR]]+TABL123[[#This Row],[خط (S/S  TOT) SAR2]]</f>
        <v>991</v>
      </c>
      <c r="L262" s="45">
        <v>330</v>
      </c>
      <c r="M262" s="46">
        <v>25.3</v>
      </c>
      <c r="N262" s="46">
        <v>6.97</v>
      </c>
      <c r="O262" s="40">
        <v>410</v>
      </c>
      <c r="P262" s="9">
        <f>TABL123[[#This Row],[خط (S/S  TOT) SAR2]]-TABL123[[#This Row],[(S/S TOT) AJD]]</f>
        <v>82</v>
      </c>
      <c r="Q262" s="40">
        <v>441</v>
      </c>
      <c r="R262" s="9">
        <f>TABL123[[#This Row],[خط (T/B  TOT) SAR]]-TABL123[[#This Row],[(T/B TOT) AJD]]</f>
        <v>58</v>
      </c>
      <c r="S262" s="9">
        <f>TABL123[[#This Row],[الفرق بين بداية ونهاية خط  T/B]]+TABL123[[#This Row],[الفرق بين بداية ونهاية خط  S/S]]</f>
        <v>140</v>
      </c>
      <c r="T262" s="9">
        <f>TABL123[[#This Row],[(S/S TOT) AJD]]+TABL123[[#This Row],[(T/B TOT) AJD]]</f>
        <v>851</v>
      </c>
      <c r="U262" s="44">
        <v>566</v>
      </c>
      <c r="V262" s="44">
        <v>294</v>
      </c>
      <c r="W262" s="9">
        <f>TABL123[[#This Row],[(A/B TOT) AJD]]+TABL123[[#This Row],[(A/S TOT) AJD]]</f>
        <v>860</v>
      </c>
      <c r="X262" s="9">
        <f>TABL123[[#This Row],[( S/S+T/B) AJD]]-TABL123[[#This Row],[(A/B + A/S) AJD]]</f>
        <v>-9</v>
      </c>
      <c r="Y262" s="44">
        <v>92.375</v>
      </c>
      <c r="Z262" s="45">
        <v>422229</v>
      </c>
      <c r="AA262" s="3">
        <f>TABL123[[#This Row],[(RESV. STORGE) AJD]]/10</f>
        <v>42222.9</v>
      </c>
      <c r="AB262" s="45">
        <f t="shared" si="14"/>
        <v>-42.835000000000001</v>
      </c>
      <c r="AC262" s="45">
        <v>2406</v>
      </c>
      <c r="AD262" s="84">
        <f>TABL123[[#This Row],[( S/S+T/B) AJD]]-(TABL123[[#This Row],[(A/B + A/S) AJD]]+(TABL123[[#This Row],[(STORGE DIFF.) AJD]])+TABL123[[#This Row],[البخر  AJD]]/1000)</f>
        <v>31.429000000000087</v>
      </c>
      <c r="AE262" s="68">
        <v>50</v>
      </c>
      <c r="AF262" s="68">
        <v>58474</v>
      </c>
      <c r="AG262" s="68">
        <v>1277577</v>
      </c>
      <c r="AH262" s="45">
        <v>2292</v>
      </c>
      <c r="AI262" s="45">
        <v>2292</v>
      </c>
      <c r="AJ262" s="79">
        <f>TABL123[[#This Row],[(A/B TOT) AJD]]-TABL123[[#This Row],[BER_ IN]]</f>
        <v>516</v>
      </c>
      <c r="AK262" s="68">
        <v>48</v>
      </c>
      <c r="AL262" s="88">
        <v>42.494900000000001</v>
      </c>
      <c r="AM262" s="88">
        <v>2835450</v>
      </c>
      <c r="AN262" s="88">
        <f>TABL123[[#This Row],[ (RESV. STORGE) SER]]/10</f>
        <v>283545</v>
      </c>
      <c r="AO262" s="45">
        <v>1860</v>
      </c>
      <c r="AP262" s="32">
        <f>TABL123[[#This Row],[(A/S TOT) AJD]]-TABL123[[#This Row],[SER_ IN]]</f>
        <v>246</v>
      </c>
    </row>
    <row r="263" spans="1:42" ht="18.75" x14ac:dyDescent="0.3">
      <c r="A263" s="2">
        <v>46284</v>
      </c>
      <c r="B263" s="41">
        <v>38</v>
      </c>
      <c r="C263" s="41">
        <v>304</v>
      </c>
      <c r="D263" s="41">
        <f t="shared" si="12"/>
        <v>38</v>
      </c>
      <c r="E263" s="35"/>
      <c r="F263" s="41">
        <v>93</v>
      </c>
      <c r="G263" s="39">
        <v>617</v>
      </c>
      <c r="H263" s="28">
        <f t="shared" si="13"/>
        <v>10</v>
      </c>
      <c r="I263" s="39">
        <v>492</v>
      </c>
      <c r="J263" s="39">
        <v>487</v>
      </c>
      <c r="K263" s="28">
        <f>TABL123[[#This Row],[خط (T/B  TOT) SAR]]+TABL123[[#This Row],[خط (S/S  TOT) SAR2]]</f>
        <v>979</v>
      </c>
      <c r="L263" s="41">
        <v>329</v>
      </c>
      <c r="M263" s="42">
        <v>24.7</v>
      </c>
      <c r="N263" s="42">
        <v>6.99</v>
      </c>
      <c r="O263" s="39">
        <v>408</v>
      </c>
      <c r="P263" s="9">
        <f>TABL123[[#This Row],[خط (S/S  TOT) SAR2]]-TABL123[[#This Row],[(S/S TOT) AJD]]</f>
        <v>79</v>
      </c>
      <c r="Q263" s="39">
        <v>442</v>
      </c>
      <c r="R263" s="9">
        <f>TABL123[[#This Row],[خط (T/B  TOT) SAR]]-TABL123[[#This Row],[(T/B TOT) AJD]]</f>
        <v>50</v>
      </c>
      <c r="S263" s="9">
        <f>TABL123[[#This Row],[الفرق بين بداية ونهاية خط  T/B]]+TABL123[[#This Row],[الفرق بين بداية ونهاية خط  S/S]]</f>
        <v>129</v>
      </c>
      <c r="T263" s="9">
        <f>TABL123[[#This Row],[(S/S TOT) AJD]]+TABL123[[#This Row],[(T/B TOT) AJD]]</f>
        <v>850</v>
      </c>
      <c r="U263" s="41">
        <v>571</v>
      </c>
      <c r="V263" s="41">
        <v>257</v>
      </c>
      <c r="W263" s="9">
        <f>TABL123[[#This Row],[(A/B TOT) AJD]]+TABL123[[#This Row],[(A/S TOT) AJD]]</f>
        <v>828</v>
      </c>
      <c r="X263" s="9">
        <f>TABL123[[#This Row],[( S/S+T/B) AJD]]-TABL123[[#This Row],[(A/B + A/S) AJD]]</f>
        <v>22</v>
      </c>
      <c r="Y263" s="41">
        <v>92.367000000000004</v>
      </c>
      <c r="Z263" s="43">
        <v>417476</v>
      </c>
      <c r="AA263" s="3">
        <f>TABL123[[#This Row],[(RESV. STORGE) AJD]]/10</f>
        <v>41747.599999999999</v>
      </c>
      <c r="AB263" s="45">
        <f t="shared" si="14"/>
        <v>-4.7530000000000001</v>
      </c>
      <c r="AC263" s="43">
        <v>2938</v>
      </c>
      <c r="AD263" s="84">
        <f>TABL123[[#This Row],[( S/S+T/B) AJD]]-(TABL123[[#This Row],[(A/B + A/S) AJD]]+(TABL123[[#This Row],[(STORGE DIFF.) AJD]])+TABL123[[#This Row],[البخر  AJD]]/1000)</f>
        <v>23.815000000000055</v>
      </c>
      <c r="AE263" s="68">
        <v>50</v>
      </c>
      <c r="AF263" s="68">
        <v>58.484999999999999</v>
      </c>
      <c r="AG263" s="68">
        <v>1284790</v>
      </c>
      <c r="AH263" s="43">
        <v>2947</v>
      </c>
      <c r="AI263" s="43">
        <v>2947</v>
      </c>
      <c r="AJ263" s="79">
        <f>TABL123[[#This Row],[(A/B TOT) AJD]]-TABL123[[#This Row],[BER_ IN]]</f>
        <v>521</v>
      </c>
      <c r="AK263" s="68">
        <v>27</v>
      </c>
      <c r="AL263" s="88">
        <v>42.5002</v>
      </c>
      <c r="AM263" s="88">
        <v>2839080</v>
      </c>
      <c r="AN263" s="88">
        <f>TABL123[[#This Row],[ (RESV. STORGE) SER]]/10</f>
        <v>283908</v>
      </c>
      <c r="AO263" s="43">
        <v>1870</v>
      </c>
      <c r="AP263" s="32">
        <f>TABL123[[#This Row],[(A/S TOT) AJD]]-TABL123[[#This Row],[SER_ IN]]</f>
        <v>230</v>
      </c>
    </row>
    <row r="264" spans="1:42" ht="18.75" x14ac:dyDescent="0.3">
      <c r="A264" s="2">
        <v>46285</v>
      </c>
      <c r="B264" s="44">
        <v>38</v>
      </c>
      <c r="C264" s="44">
        <v>306</v>
      </c>
      <c r="D264" s="44">
        <f t="shared" si="12"/>
        <v>38</v>
      </c>
      <c r="E264" s="35"/>
      <c r="F264" s="44">
        <v>93</v>
      </c>
      <c r="G264" s="40">
        <v>617</v>
      </c>
      <c r="H264" s="28">
        <f t="shared" si="13"/>
        <v>10</v>
      </c>
      <c r="I264" s="40">
        <v>491</v>
      </c>
      <c r="J264" s="44">
        <v>484</v>
      </c>
      <c r="K264" s="28">
        <f>TABL123[[#This Row],[خط (T/B  TOT) SAR]]+TABL123[[#This Row],[خط (S/S  TOT) SAR2]]</f>
        <v>975</v>
      </c>
      <c r="L264" s="45">
        <v>333</v>
      </c>
      <c r="M264" s="46">
        <v>24.7</v>
      </c>
      <c r="N264" s="46">
        <v>7.02</v>
      </c>
      <c r="O264" s="40">
        <v>398</v>
      </c>
      <c r="P264" s="9">
        <f>TABL123[[#This Row],[خط (S/S  TOT) SAR2]]-TABL123[[#This Row],[(S/S TOT) AJD]]</f>
        <v>86</v>
      </c>
      <c r="Q264" s="40">
        <v>433</v>
      </c>
      <c r="R264" s="9">
        <f>TABL123[[#This Row],[خط (T/B  TOT) SAR]]-TABL123[[#This Row],[(T/B TOT) AJD]]</f>
        <v>58</v>
      </c>
      <c r="S264" s="9">
        <f>TABL123[[#This Row],[الفرق بين بداية ونهاية خط  T/B]]+TABL123[[#This Row],[الفرق بين بداية ونهاية خط  S/S]]</f>
        <v>144</v>
      </c>
      <c r="T264" s="9">
        <f>TABL123[[#This Row],[(S/S TOT) AJD]]+TABL123[[#This Row],[(T/B TOT) AJD]]</f>
        <v>831</v>
      </c>
      <c r="U264" s="44">
        <v>568</v>
      </c>
      <c r="V264" s="44">
        <v>233</v>
      </c>
      <c r="W264" s="9">
        <f>TABL123[[#This Row],[(A/B TOT) AJD]]+TABL123[[#This Row],[(A/S TOT) AJD]]</f>
        <v>801</v>
      </c>
      <c r="X264" s="9">
        <f>TABL123[[#This Row],[( S/S+T/B) AJD]]-TABL123[[#This Row],[(A/B + A/S) AJD]]</f>
        <v>30</v>
      </c>
      <c r="Y264" s="44">
        <v>92.38</v>
      </c>
      <c r="Z264" s="45">
        <v>425201</v>
      </c>
      <c r="AA264" s="3">
        <f>TABL123[[#This Row],[(RESV. STORGE) AJD]]/10</f>
        <v>42520.1</v>
      </c>
      <c r="AB264" s="45">
        <f t="shared" si="14"/>
        <v>7.7249999999999996</v>
      </c>
      <c r="AC264" s="45">
        <v>3314</v>
      </c>
      <c r="AD264" s="84">
        <f>TABL123[[#This Row],[( S/S+T/B) AJD]]-(TABL123[[#This Row],[(A/B + A/S) AJD]]+(TABL123[[#This Row],[(STORGE DIFF.) AJD]])+TABL123[[#This Row],[البخر  AJD]]/1000)</f>
        <v>18.961000000000013</v>
      </c>
      <c r="AE264" s="68">
        <v>50</v>
      </c>
      <c r="AF264" s="68">
        <v>58.494999999999997</v>
      </c>
      <c r="AG264" s="68">
        <v>1291348</v>
      </c>
      <c r="AH264" s="45">
        <v>3601</v>
      </c>
      <c r="AI264" s="45">
        <v>3601</v>
      </c>
      <c r="AJ264" s="79">
        <f>TABL123[[#This Row],[(A/B TOT) AJD]]-TABL123[[#This Row],[BER_ IN]]</f>
        <v>518</v>
      </c>
      <c r="AK264" s="68">
        <v>0</v>
      </c>
      <c r="AL264" s="88">
        <v>42.4604</v>
      </c>
      <c r="AM264" s="88">
        <v>2817120</v>
      </c>
      <c r="AN264" s="88">
        <f>TABL123[[#This Row],[ (RESV. STORGE) SER]]/10</f>
        <v>281712</v>
      </c>
      <c r="AO264" s="45">
        <v>1860</v>
      </c>
      <c r="AP264" s="32">
        <f>TABL123[[#This Row],[(A/S TOT) AJD]]-TABL123[[#This Row],[SER_ IN]]</f>
        <v>233</v>
      </c>
    </row>
    <row r="265" spans="1:42" ht="18.75" x14ac:dyDescent="0.3">
      <c r="A265" s="2">
        <v>46286</v>
      </c>
      <c r="B265" s="41">
        <v>38</v>
      </c>
      <c r="C265" s="41">
        <v>290</v>
      </c>
      <c r="D265" s="41">
        <f t="shared" si="12"/>
        <v>38</v>
      </c>
      <c r="E265" s="35"/>
      <c r="F265" s="41">
        <v>93</v>
      </c>
      <c r="G265" s="39">
        <v>617</v>
      </c>
      <c r="H265" s="28">
        <f t="shared" si="13"/>
        <v>10</v>
      </c>
      <c r="I265" s="39">
        <v>489</v>
      </c>
      <c r="J265" s="39">
        <v>480</v>
      </c>
      <c r="K265" s="28">
        <f>TABL123[[#This Row],[خط (T/B  TOT) SAR]]+TABL123[[#This Row],[خط (S/S  TOT) SAR2]]</f>
        <v>969</v>
      </c>
      <c r="L265" s="41">
        <v>332</v>
      </c>
      <c r="M265" s="42">
        <v>24.7</v>
      </c>
      <c r="N265" s="42">
        <v>6.98</v>
      </c>
      <c r="O265" s="39">
        <v>398</v>
      </c>
      <c r="P265" s="9">
        <f>TABL123[[#This Row],[خط (S/S  TOT) SAR2]]-TABL123[[#This Row],[(S/S TOT) AJD]]</f>
        <v>82</v>
      </c>
      <c r="Q265" s="39">
        <v>430</v>
      </c>
      <c r="R265" s="9">
        <f>TABL123[[#This Row],[خط (T/B  TOT) SAR]]-TABL123[[#This Row],[(T/B TOT) AJD]]</f>
        <v>59</v>
      </c>
      <c r="S265" s="9">
        <f>TABL123[[#This Row],[الفرق بين بداية ونهاية خط  T/B]]+TABL123[[#This Row],[الفرق بين بداية ونهاية خط  S/S]]</f>
        <v>141</v>
      </c>
      <c r="T265" s="9">
        <f>TABL123[[#This Row],[(S/S TOT) AJD]]+TABL123[[#This Row],[(T/B TOT) AJD]]</f>
        <v>828</v>
      </c>
      <c r="U265" s="41">
        <v>568</v>
      </c>
      <c r="V265" s="41">
        <v>210</v>
      </c>
      <c r="W265" s="9">
        <f>TABL123[[#This Row],[(A/B TOT) AJD]]+TABL123[[#This Row],[(A/S TOT) AJD]]</f>
        <v>778</v>
      </c>
      <c r="X265" s="9">
        <f>TABL123[[#This Row],[( S/S+T/B) AJD]]-TABL123[[#This Row],[(A/B + A/S) AJD]]</f>
        <v>50</v>
      </c>
      <c r="Y265" s="41">
        <v>92.43</v>
      </c>
      <c r="Z265" s="43">
        <v>454947</v>
      </c>
      <c r="AA265" s="3">
        <f>TABL123[[#This Row],[(RESV. STORGE) AJD]]/10</f>
        <v>45494.7</v>
      </c>
      <c r="AB265" s="45">
        <f t="shared" si="14"/>
        <v>29.745999999999999</v>
      </c>
      <c r="AC265" s="43">
        <v>2666</v>
      </c>
      <c r="AD265" s="84">
        <f>TABL123[[#This Row],[( S/S+T/B) AJD]]-(TABL123[[#This Row],[(A/B + A/S) AJD]]+(TABL123[[#This Row],[(STORGE DIFF.) AJD]])+TABL123[[#This Row],[البخر  AJD]]/1000)</f>
        <v>17.587999999999965</v>
      </c>
      <c r="AE265" s="68">
        <v>50</v>
      </c>
      <c r="AF265" s="68">
        <v>58.514000000000003</v>
      </c>
      <c r="AG265" s="68">
        <v>1303810</v>
      </c>
      <c r="AH265" s="43">
        <v>3092</v>
      </c>
      <c r="AI265" s="43">
        <v>3092</v>
      </c>
      <c r="AJ265" s="79">
        <f>TABL123[[#This Row],[(A/B TOT) AJD]]-TABL123[[#This Row],[BER_ IN]]</f>
        <v>518</v>
      </c>
      <c r="AK265" s="68">
        <v>0</v>
      </c>
      <c r="AL265" s="88">
        <v>42.416400000000003</v>
      </c>
      <c r="AM265" s="88">
        <v>2793280</v>
      </c>
      <c r="AN265" s="88">
        <f>TABL123[[#This Row],[ (RESV. STORGE) SER]]/10</f>
        <v>279328</v>
      </c>
      <c r="AO265" s="43">
        <v>1840</v>
      </c>
      <c r="AP265" s="32">
        <f>TABL123[[#This Row],[(A/S TOT) AJD]]-TABL123[[#This Row],[SER_ IN]]</f>
        <v>210</v>
      </c>
    </row>
    <row r="266" spans="1:42" ht="18.75" x14ac:dyDescent="0.3">
      <c r="A266" s="2">
        <v>46287</v>
      </c>
      <c r="B266" s="44">
        <v>38</v>
      </c>
      <c r="C266" s="44">
        <v>297</v>
      </c>
      <c r="D266" s="44">
        <f t="shared" si="12"/>
        <v>38</v>
      </c>
      <c r="E266" s="35"/>
      <c r="F266" s="44">
        <v>92</v>
      </c>
      <c r="G266" s="40">
        <v>609</v>
      </c>
      <c r="H266" s="28">
        <f t="shared" si="13"/>
        <v>11</v>
      </c>
      <c r="I266" s="40">
        <v>494</v>
      </c>
      <c r="J266" s="44">
        <v>484</v>
      </c>
      <c r="K266" s="28">
        <f>TABL123[[#This Row],[خط (T/B  TOT) SAR]]+TABL123[[#This Row],[خط (S/S  TOT) SAR2]]</f>
        <v>978</v>
      </c>
      <c r="L266" s="45">
        <v>333</v>
      </c>
      <c r="M266" s="46">
        <v>24.7</v>
      </c>
      <c r="N266" s="46">
        <v>6.96</v>
      </c>
      <c r="O266" s="40">
        <v>402</v>
      </c>
      <c r="P266" s="9">
        <f>TABL123[[#This Row],[خط (S/S  TOT) SAR2]]-TABL123[[#This Row],[(S/S TOT) AJD]]</f>
        <v>82</v>
      </c>
      <c r="Q266" s="40">
        <v>431</v>
      </c>
      <c r="R266" s="9">
        <f>TABL123[[#This Row],[خط (T/B  TOT) SAR]]-TABL123[[#This Row],[(T/B TOT) AJD]]</f>
        <v>63</v>
      </c>
      <c r="S266" s="9">
        <f>TABL123[[#This Row],[الفرق بين بداية ونهاية خط  T/B]]+TABL123[[#This Row],[الفرق بين بداية ونهاية خط  S/S]]</f>
        <v>145</v>
      </c>
      <c r="T266" s="9">
        <f>TABL123[[#This Row],[(S/S TOT) AJD]]+TABL123[[#This Row],[(T/B TOT) AJD]]</f>
        <v>833</v>
      </c>
      <c r="U266" s="44">
        <v>565</v>
      </c>
      <c r="V266" s="44">
        <v>201</v>
      </c>
      <c r="W266" s="9">
        <f>TABL123[[#This Row],[(A/B TOT) AJD]]+TABL123[[#This Row],[(A/S TOT) AJD]]</f>
        <v>766</v>
      </c>
      <c r="X266" s="9">
        <f>TABL123[[#This Row],[( S/S+T/B) AJD]]-TABL123[[#This Row],[(A/B + A/S) AJD]]</f>
        <v>67</v>
      </c>
      <c r="Y266" s="44">
        <v>92.5</v>
      </c>
      <c r="Z266" s="45">
        <v>496624</v>
      </c>
      <c r="AA266" s="3">
        <f>TABL123[[#This Row],[(RESV. STORGE) AJD]]/10</f>
        <v>49662.400000000001</v>
      </c>
      <c r="AB266" s="45">
        <f t="shared" si="14"/>
        <v>41.677</v>
      </c>
      <c r="AC266" s="45">
        <v>2669</v>
      </c>
      <c r="AD266" s="84">
        <f>TABL123[[#This Row],[( S/S+T/B) AJD]]-(TABL123[[#This Row],[(A/B + A/S) AJD]]+(TABL123[[#This Row],[(STORGE DIFF.) AJD]])+TABL123[[#This Row],[البخر  AJD]]/1000)</f>
        <v>22.653999999999996</v>
      </c>
      <c r="AE266" s="68">
        <v>52</v>
      </c>
      <c r="AF266" s="68">
        <v>58.526000000000003</v>
      </c>
      <c r="AG266" s="68">
        <v>1311683</v>
      </c>
      <c r="AH266" s="45">
        <v>3287</v>
      </c>
      <c r="AI266" s="45">
        <v>3287</v>
      </c>
      <c r="AJ266" s="79">
        <f>TABL123[[#This Row],[(A/B TOT) AJD]]-TABL123[[#This Row],[BER_ IN]]</f>
        <v>513</v>
      </c>
      <c r="AK266" s="68">
        <v>0</v>
      </c>
      <c r="AL266" s="88">
        <v>42.380800000000001</v>
      </c>
      <c r="AM266" s="88">
        <v>2774470</v>
      </c>
      <c r="AN266" s="88">
        <f>TABL123[[#This Row],[ (RESV. STORGE) SER]]/10</f>
        <v>277447</v>
      </c>
      <c r="AO266" s="45">
        <v>1810</v>
      </c>
      <c r="AP266" s="32">
        <f>TABL123[[#This Row],[(A/S TOT) AJD]]-TABL123[[#This Row],[SER_ IN]]</f>
        <v>201</v>
      </c>
    </row>
    <row r="267" spans="1:42" ht="18.75" x14ac:dyDescent="0.3">
      <c r="A267" s="2">
        <v>46288</v>
      </c>
      <c r="B267" s="41">
        <v>38</v>
      </c>
      <c r="C267" s="41">
        <v>293</v>
      </c>
      <c r="D267" s="41">
        <f t="shared" si="12"/>
        <v>38</v>
      </c>
      <c r="E267" s="35"/>
      <c r="F267" s="41">
        <v>93</v>
      </c>
      <c r="G267" s="39">
        <v>617</v>
      </c>
      <c r="H267" s="28">
        <f t="shared" si="13"/>
        <v>10</v>
      </c>
      <c r="I267" s="39">
        <v>498</v>
      </c>
      <c r="J267" s="39">
        <v>488</v>
      </c>
      <c r="K267" s="28">
        <f>TABL123[[#This Row],[خط (T/B  TOT) SAR]]+TABL123[[#This Row],[خط (S/S  TOT) SAR2]]</f>
        <v>986</v>
      </c>
      <c r="L267" s="41">
        <v>334</v>
      </c>
      <c r="M267" s="42">
        <v>24.7</v>
      </c>
      <c r="N267" s="42">
        <v>6.9</v>
      </c>
      <c r="O267" s="39">
        <v>405</v>
      </c>
      <c r="P267" s="9">
        <f>TABL123[[#This Row],[خط (S/S  TOT) SAR2]]-TABL123[[#This Row],[(S/S TOT) AJD]]</f>
        <v>83</v>
      </c>
      <c r="Q267" s="39">
        <v>435</v>
      </c>
      <c r="R267" s="9">
        <f>TABL123[[#This Row],[خط (T/B  TOT) SAR]]-TABL123[[#This Row],[(T/B TOT) AJD]]</f>
        <v>63</v>
      </c>
      <c r="S267" s="9">
        <f>TABL123[[#This Row],[الفرق بين بداية ونهاية خط  T/B]]+TABL123[[#This Row],[الفرق بين بداية ونهاية خط  S/S]]</f>
        <v>146</v>
      </c>
      <c r="T267" s="9">
        <f>TABL123[[#This Row],[(S/S TOT) AJD]]+TABL123[[#This Row],[(T/B TOT) AJD]]</f>
        <v>840</v>
      </c>
      <c r="U267" s="41">
        <v>565</v>
      </c>
      <c r="V267" s="41">
        <v>205</v>
      </c>
      <c r="W267" s="9">
        <f>TABL123[[#This Row],[(A/B TOT) AJD]]+TABL123[[#This Row],[(A/S TOT) AJD]]</f>
        <v>770</v>
      </c>
      <c r="X267" s="9">
        <f>TABL123[[#This Row],[( S/S+T/B) AJD]]-TABL123[[#This Row],[(A/B + A/S) AJD]]</f>
        <v>70</v>
      </c>
      <c r="Y267" s="41">
        <v>92.573999999999998</v>
      </c>
      <c r="Z267" s="43">
        <v>540725</v>
      </c>
      <c r="AA267" s="3">
        <f>TABL123[[#This Row],[(RESV. STORGE) AJD]]/10</f>
        <v>54072.5</v>
      </c>
      <c r="AB267" s="45">
        <f t="shared" si="14"/>
        <v>44.100999999999999</v>
      </c>
      <c r="AC267" s="43">
        <v>2930</v>
      </c>
      <c r="AD267" s="84">
        <f>TABL123[[#This Row],[( S/S+T/B) AJD]]-(TABL123[[#This Row],[(A/B + A/S) AJD]]+(TABL123[[#This Row],[(STORGE DIFF.) AJD]])+TABL123[[#This Row],[البخر  AJD]]/1000)</f>
        <v>22.969000000000051</v>
      </c>
      <c r="AE267" s="68">
        <v>51</v>
      </c>
      <c r="AF267" s="68">
        <v>58.558999999999997</v>
      </c>
      <c r="AG267" s="68">
        <v>1333339</v>
      </c>
      <c r="AH267" s="43">
        <v>2389</v>
      </c>
      <c r="AI267" s="43">
        <v>2389</v>
      </c>
      <c r="AJ267" s="79">
        <f>TABL123[[#This Row],[(A/B TOT) AJD]]-TABL123[[#This Row],[BER_ IN]]</f>
        <v>514</v>
      </c>
      <c r="AK267" s="68">
        <v>0</v>
      </c>
      <c r="AL267" s="88">
        <v>42.315600000000003</v>
      </c>
      <c r="AM267" s="88">
        <v>2739880</v>
      </c>
      <c r="AN267" s="88">
        <f>TABL123[[#This Row],[ (RESV. STORGE) SER]]/10</f>
        <v>273988</v>
      </c>
      <c r="AO267" s="43">
        <v>1890</v>
      </c>
      <c r="AP267" s="32">
        <f>TABL123[[#This Row],[(A/S TOT) AJD]]-TABL123[[#This Row],[SER_ IN]]</f>
        <v>205</v>
      </c>
    </row>
    <row r="268" spans="1:42" ht="19.5" thickBot="1" x14ac:dyDescent="0.35">
      <c r="A268" s="2">
        <v>46289</v>
      </c>
      <c r="B268" s="44"/>
      <c r="C268" s="44"/>
      <c r="D268" s="44">
        <f t="shared" si="12"/>
        <v>0</v>
      </c>
      <c r="E268" s="35"/>
      <c r="F268" s="44">
        <v>93</v>
      </c>
      <c r="G268" s="40">
        <v>617</v>
      </c>
      <c r="H268" s="28">
        <f t="shared" si="13"/>
        <v>10</v>
      </c>
      <c r="I268" s="40">
        <v>485</v>
      </c>
      <c r="J268" s="44">
        <v>476</v>
      </c>
      <c r="K268" s="28">
        <f>TABL123[[#This Row],[خط (T/B  TOT) SAR]]+TABL123[[#This Row],[خط (S/S  TOT) SAR2]]</f>
        <v>961</v>
      </c>
      <c r="L268" s="45">
        <v>312</v>
      </c>
      <c r="M268" s="46">
        <v>23.5</v>
      </c>
      <c r="N268" s="46">
        <v>6.9</v>
      </c>
      <c r="O268" s="14">
        <v>405</v>
      </c>
      <c r="P268" s="9">
        <f>TABL123[[#This Row],[خط (S/S  TOT) SAR2]]-TABL123[[#This Row],[(S/S TOT) AJD]]</f>
        <v>71</v>
      </c>
      <c r="Q268" s="40">
        <v>436</v>
      </c>
      <c r="R268" s="9">
        <f>TABL123[[#This Row],[خط (T/B  TOT) SAR]]-TABL123[[#This Row],[(T/B TOT) AJD]]</f>
        <v>49</v>
      </c>
      <c r="S268" s="9">
        <f>TABL123[[#This Row],[الفرق بين بداية ونهاية خط  T/B]]+TABL123[[#This Row],[الفرق بين بداية ونهاية خط  S/S]]</f>
        <v>120</v>
      </c>
      <c r="T268" s="9">
        <f>TABL123[[#This Row],[(S/S TOT) AJD]]+TABL123[[#This Row],[(T/B TOT) AJD]]</f>
        <v>841</v>
      </c>
      <c r="U268" s="44">
        <v>572</v>
      </c>
      <c r="V268" s="44">
        <v>254</v>
      </c>
      <c r="W268" s="9">
        <f>TABL123[[#This Row],[(A/B TOT) AJD]]+TABL123[[#This Row],[(A/S TOT) AJD]]</f>
        <v>826</v>
      </c>
      <c r="X268" s="9">
        <f>TABL123[[#This Row],[( S/S+T/B) AJD]]-TABL123[[#This Row],[(A/B + A/S) AJD]]</f>
        <v>15</v>
      </c>
      <c r="Y268" s="44">
        <v>92.545000000000002</v>
      </c>
      <c r="Z268" s="45">
        <v>522841</v>
      </c>
      <c r="AA268" s="3">
        <f>TABL123[[#This Row],[(RESV. STORGE) AJD]]/10</f>
        <v>52284.1</v>
      </c>
      <c r="AB268" s="45">
        <f t="shared" si="14"/>
        <v>-17.884</v>
      </c>
      <c r="AC268" s="45">
        <v>3655</v>
      </c>
      <c r="AD268" s="84">
        <f>TABL123[[#This Row],[( S/S+T/B) AJD]]-(TABL123[[#This Row],[(A/B + A/S) AJD]]+(TABL123[[#This Row],[(STORGE DIFF.) AJD]])+TABL123[[#This Row],[البخر  AJD]]/1000)</f>
        <v>29.229000000000042</v>
      </c>
      <c r="AE268" s="68">
        <v>51</v>
      </c>
      <c r="AF268" s="68">
        <v>58.558999999999997</v>
      </c>
      <c r="AG268" s="68">
        <v>1333339</v>
      </c>
      <c r="AH268" s="45">
        <v>2389</v>
      </c>
      <c r="AI268" s="45">
        <v>2389</v>
      </c>
      <c r="AJ268" s="79">
        <f>TABL123[[#This Row],[(A/B TOT) AJD]]-TABL123[[#This Row],[BER_ IN]]</f>
        <v>521</v>
      </c>
      <c r="AK268" s="68">
        <v>0</v>
      </c>
      <c r="AL268" s="88">
        <v>42.254800000000003</v>
      </c>
      <c r="AM268" s="88">
        <v>2707210</v>
      </c>
      <c r="AN268" s="88">
        <f>TABL123[[#This Row],[ (RESV. STORGE) SER]]/10</f>
        <v>270721</v>
      </c>
      <c r="AO268" s="45">
        <v>1870</v>
      </c>
      <c r="AP268" s="32">
        <f>TABL123[[#This Row],[(A/S TOT) AJD]]-TABL123[[#This Row],[SER_ IN]]</f>
        <v>254</v>
      </c>
    </row>
    <row r="269" spans="1:42" ht="19.5" thickBot="1" x14ac:dyDescent="0.35">
      <c r="A269" s="2">
        <v>46290</v>
      </c>
      <c r="B269" s="41"/>
      <c r="C269" s="41"/>
      <c r="D269" s="41">
        <f t="shared" si="12"/>
        <v>0</v>
      </c>
      <c r="E269" s="35"/>
      <c r="F269" s="41"/>
      <c r="G269" s="39"/>
      <c r="H269" s="28">
        <f t="shared" si="13"/>
        <v>103</v>
      </c>
      <c r="I269" s="39"/>
      <c r="J269" s="39"/>
      <c r="K269" s="28">
        <f>TABL123[[#This Row],[خط (T/B  TOT) SAR]]+TABL123[[#This Row],[خط (S/S  TOT) SAR2]]</f>
        <v>0</v>
      </c>
      <c r="L269" s="41"/>
      <c r="M269" s="42"/>
      <c r="N269" s="42"/>
      <c r="O269" s="14">
        <v>395</v>
      </c>
      <c r="P269" s="9">
        <f>TABL123[[#This Row],[خط (S/S  TOT) SAR2]]-TABL123[[#This Row],[(S/S TOT) AJD]]</f>
        <v>-395</v>
      </c>
      <c r="Q269" s="14">
        <v>425</v>
      </c>
      <c r="R269" s="9">
        <f>TABL123[[#This Row],[خط (T/B  TOT) SAR]]-TABL123[[#This Row],[(T/B TOT) AJD]]</f>
        <v>-425</v>
      </c>
      <c r="S269" s="9">
        <f>TABL123[[#This Row],[الفرق بين بداية ونهاية خط  T/B]]+TABL123[[#This Row],[الفرق بين بداية ونهاية خط  S/S]]</f>
        <v>-820</v>
      </c>
      <c r="T269" s="9">
        <f>TABL123[[#This Row],[(S/S TOT) AJD]]+TABL123[[#This Row],[(T/B TOT) AJD]]</f>
        <v>820</v>
      </c>
      <c r="U269" s="14">
        <v>570</v>
      </c>
      <c r="V269" s="14">
        <v>245</v>
      </c>
      <c r="W269" s="9">
        <f>TABL123[[#This Row],[(A/B TOT) AJD]]+TABL123[[#This Row],[(A/S TOT) AJD]]</f>
        <v>815</v>
      </c>
      <c r="X269" s="9">
        <f>TABL123[[#This Row],[( S/S+T/B) AJD]]-TABL123[[#This Row],[(A/B + A/S) AJD]]</f>
        <v>5</v>
      </c>
      <c r="Y269" s="15">
        <v>92.501999999999995</v>
      </c>
      <c r="Z269" s="16">
        <v>497815</v>
      </c>
      <c r="AA269" s="3">
        <f>TABL123[[#This Row],[(RESV. STORGE) AJD]]/10</f>
        <v>49781.5</v>
      </c>
      <c r="AB269" s="45">
        <f t="shared" si="14"/>
        <v>-25.026</v>
      </c>
      <c r="AC269" s="43"/>
      <c r="AD269" s="84">
        <f>TABL123[[#This Row],[( S/S+T/B) AJD]]-(TABL123[[#This Row],[(A/B + A/S) AJD]]+(TABL123[[#This Row],[(STORGE DIFF.) AJD]])+TABL123[[#This Row],[البخر  AJD]]/1000)</f>
        <v>30.025999999999954</v>
      </c>
      <c r="AE269" s="68"/>
      <c r="AF269" s="68"/>
      <c r="AG269" s="68"/>
      <c r="AH269" s="43"/>
      <c r="AI269" s="79"/>
      <c r="AJ269" s="79">
        <f>TABL123[[#This Row],[(A/B TOT) AJD]]-TABL123[[#This Row],[BER_ IN]]</f>
        <v>570</v>
      </c>
      <c r="AK269" s="79"/>
      <c r="AL269" s="68"/>
      <c r="AM269" s="88"/>
      <c r="AN269" s="88">
        <f>TABL123[[#This Row],[ (RESV. STORGE) SER]]/10</f>
        <v>0</v>
      </c>
      <c r="AO269" s="43"/>
      <c r="AP269" s="32">
        <f>TABL123[[#This Row],[(A/S TOT) AJD]]-TABL123[[#This Row],[SER_ IN]]</f>
        <v>245</v>
      </c>
    </row>
    <row r="270" spans="1:42" ht="19.5" thickBot="1" x14ac:dyDescent="0.35">
      <c r="A270" s="2">
        <v>46291</v>
      </c>
      <c r="B270" s="44"/>
      <c r="C270" s="44"/>
      <c r="D270" s="44">
        <f t="shared" si="12"/>
        <v>0</v>
      </c>
      <c r="E270" s="35"/>
      <c r="F270" s="44"/>
      <c r="G270" s="40"/>
      <c r="H270" s="28">
        <f t="shared" si="13"/>
        <v>103</v>
      </c>
      <c r="I270" s="40"/>
      <c r="J270" s="44"/>
      <c r="K270" s="28">
        <f>TABL123[[#This Row],[خط (T/B  TOT) SAR]]+TABL123[[#This Row],[خط (S/S  TOT) SAR2]]</f>
        <v>0</v>
      </c>
      <c r="L270" s="45"/>
      <c r="M270" s="46"/>
      <c r="N270" s="46"/>
      <c r="O270" s="14">
        <v>389</v>
      </c>
      <c r="P270" s="9">
        <f>TABL123[[#This Row],[خط (S/S  TOT) SAR2]]-TABL123[[#This Row],[(S/S TOT) AJD]]</f>
        <v>-389</v>
      </c>
      <c r="Q270" s="14">
        <v>420</v>
      </c>
      <c r="R270" s="9">
        <f>TABL123[[#This Row],[خط (T/B  TOT) SAR]]-TABL123[[#This Row],[(T/B TOT) AJD]]</f>
        <v>-420</v>
      </c>
      <c r="S270" s="9">
        <f>TABL123[[#This Row],[الفرق بين بداية ونهاية خط  T/B]]+TABL123[[#This Row],[الفرق بين بداية ونهاية خط  S/S]]</f>
        <v>-809</v>
      </c>
      <c r="T270" s="9">
        <f>TABL123[[#This Row],[(S/S TOT) AJD]]+TABL123[[#This Row],[(T/B TOT) AJD]]</f>
        <v>809</v>
      </c>
      <c r="U270" s="14">
        <v>549</v>
      </c>
      <c r="V270" s="14">
        <v>244</v>
      </c>
      <c r="W270" s="9">
        <f>TABL123[[#This Row],[(A/B TOT) AJD]]+TABL123[[#This Row],[(A/S TOT) AJD]]</f>
        <v>793</v>
      </c>
      <c r="X270" s="9">
        <f>TABL123[[#This Row],[( S/S+T/B) AJD]]-TABL123[[#This Row],[(A/B + A/S) AJD]]</f>
        <v>16</v>
      </c>
      <c r="Y270" s="15">
        <v>92.486999999999995</v>
      </c>
      <c r="Z270" s="16">
        <v>488881</v>
      </c>
      <c r="AA270" s="3">
        <f>TABL123[[#This Row],[(RESV. STORGE) AJD]]/10</f>
        <v>48888.1</v>
      </c>
      <c r="AB270" s="45">
        <f t="shared" si="14"/>
        <v>-8.9339999999999993</v>
      </c>
      <c r="AC270" s="45"/>
      <c r="AD270" s="84">
        <f>TABL123[[#This Row],[( S/S+T/B) AJD]]-(TABL123[[#This Row],[(A/B + A/S) AJD]]+(TABL123[[#This Row],[(STORGE DIFF.) AJD]])+TABL123[[#This Row],[البخر  AJD]]/1000)</f>
        <v>24.933999999999969</v>
      </c>
      <c r="AE270" s="68"/>
      <c r="AF270" s="68"/>
      <c r="AG270" s="68"/>
      <c r="AH270" s="45"/>
      <c r="AI270" s="79"/>
      <c r="AJ270" s="79">
        <f>TABL123[[#This Row],[(A/B TOT) AJD]]-TABL123[[#This Row],[BER_ IN]]</f>
        <v>549</v>
      </c>
      <c r="AK270" s="79"/>
      <c r="AL270" s="68"/>
      <c r="AM270" s="88"/>
      <c r="AN270" s="88">
        <f>TABL123[[#This Row],[ (RESV. STORGE) SER]]/10</f>
        <v>0</v>
      </c>
      <c r="AO270" s="45"/>
      <c r="AP270" s="32">
        <f>TABL123[[#This Row],[(A/S TOT) AJD]]-TABL123[[#This Row],[SER_ IN]]</f>
        <v>244</v>
      </c>
    </row>
    <row r="271" spans="1:42" ht="19.5" thickBot="1" x14ac:dyDescent="0.35">
      <c r="A271" s="2">
        <v>46292</v>
      </c>
      <c r="B271" s="28"/>
      <c r="C271" s="28"/>
      <c r="D271" s="28"/>
      <c r="E271" s="35"/>
      <c r="F271" s="41"/>
      <c r="G271" s="39"/>
      <c r="H271" s="28">
        <f t="shared" si="13"/>
        <v>103</v>
      </c>
      <c r="I271" s="28"/>
      <c r="J271" s="28"/>
      <c r="K271" s="28">
        <f>TABL123[[#This Row],[خط (T/B  TOT) SAR]]+TABL123[[#This Row],[خط (S/S  TOT) SAR2]]</f>
        <v>0</v>
      </c>
      <c r="L271" s="41"/>
      <c r="M271" s="42"/>
      <c r="N271" s="42"/>
      <c r="O271" s="14">
        <v>376</v>
      </c>
      <c r="P271" s="9">
        <f>TABL123[[#This Row],[خط (S/S  TOT) SAR2]]-TABL123[[#This Row],[(S/S TOT) AJD]]</f>
        <v>-376</v>
      </c>
      <c r="Q271" s="14">
        <v>409</v>
      </c>
      <c r="R271" s="9">
        <f>TABL123[[#This Row],[خط (T/B  TOT) SAR]]-TABL123[[#This Row],[(T/B TOT) AJD]]</f>
        <v>-409</v>
      </c>
      <c r="S271" s="9">
        <f>TABL123[[#This Row],[الفرق بين بداية ونهاية خط  T/B]]+TABL123[[#This Row],[الفرق بين بداية ونهاية خط  S/S]]</f>
        <v>-785</v>
      </c>
      <c r="T271" s="9">
        <f>TABL123[[#This Row],[(S/S TOT) AJD]]+TABL123[[#This Row],[(T/B TOT) AJD]]</f>
        <v>785</v>
      </c>
      <c r="U271" s="14">
        <v>543</v>
      </c>
      <c r="V271" s="14">
        <v>236</v>
      </c>
      <c r="W271" s="9">
        <f>TABL123[[#This Row],[(A/B TOT) AJD]]+TABL123[[#This Row],[(A/S TOT) AJD]]</f>
        <v>779</v>
      </c>
      <c r="X271" s="9">
        <f>TABL123[[#This Row],[( S/S+T/B) AJD]]-TABL123[[#This Row],[(A/B + A/S) AJD]]</f>
        <v>6</v>
      </c>
      <c r="Y271" s="15">
        <v>92.46</v>
      </c>
      <c r="Z271" s="16">
        <v>472803</v>
      </c>
      <c r="AA271" s="3">
        <f>TABL123[[#This Row],[(RESV. STORGE) AJD]]/10</f>
        <v>47280.3</v>
      </c>
      <c r="AB271" s="45">
        <f t="shared" si="14"/>
        <v>-16.077999999999999</v>
      </c>
      <c r="AC271" s="43"/>
      <c r="AD271" s="84">
        <f>TABL123[[#This Row],[( S/S+T/B) AJD]]-(TABL123[[#This Row],[(A/B + A/S) AJD]]+(TABL123[[#This Row],[(STORGE DIFF.) AJD]])+TABL123[[#This Row],[البخر  AJD]]/1000)</f>
        <v>22.077999999999975</v>
      </c>
      <c r="AE271" s="68"/>
      <c r="AF271" s="68"/>
      <c r="AG271" s="68"/>
      <c r="AH271" s="43"/>
      <c r="AI271" s="79"/>
      <c r="AJ271" s="79">
        <f>TABL123[[#This Row],[(A/B TOT) AJD]]-TABL123[[#This Row],[BER_ IN]]</f>
        <v>543</v>
      </c>
      <c r="AK271" s="79"/>
      <c r="AL271" s="68"/>
      <c r="AM271" s="88"/>
      <c r="AN271" s="88">
        <f>TABL123[[#This Row],[ (RESV. STORGE) SER]]/10</f>
        <v>0</v>
      </c>
      <c r="AO271" s="43"/>
      <c r="AP271" s="32">
        <f>TABL123[[#This Row],[(A/S TOT) AJD]]-TABL123[[#This Row],[SER_ IN]]</f>
        <v>236</v>
      </c>
    </row>
    <row r="272" spans="1:42" ht="19.5" thickBot="1" x14ac:dyDescent="0.35">
      <c r="A272" s="2">
        <v>46293</v>
      </c>
      <c r="B272" s="28"/>
      <c r="C272" s="28"/>
      <c r="D272" s="28"/>
      <c r="E272" s="35"/>
      <c r="F272" s="44"/>
      <c r="G272" s="40"/>
      <c r="H272" s="28">
        <f t="shared" si="13"/>
        <v>103</v>
      </c>
      <c r="I272" s="28"/>
      <c r="J272" s="28"/>
      <c r="K272" s="28">
        <f>TABL123[[#This Row],[خط (T/B  TOT) SAR]]+TABL123[[#This Row],[خط (S/S  TOT) SAR2]]</f>
        <v>0</v>
      </c>
      <c r="L272" s="45"/>
      <c r="M272" s="46"/>
      <c r="N272" s="46"/>
      <c r="O272" s="14">
        <v>383</v>
      </c>
      <c r="P272" s="9">
        <f>TABL123[[#This Row],[خط (S/S  TOT) SAR2]]-TABL123[[#This Row],[(S/S TOT) AJD]]</f>
        <v>-383</v>
      </c>
      <c r="Q272" s="14">
        <v>414</v>
      </c>
      <c r="R272" s="9">
        <f>TABL123[[#This Row],[خط (T/B  TOT) SAR]]-TABL123[[#This Row],[(T/B TOT) AJD]]</f>
        <v>-414</v>
      </c>
      <c r="S272" s="9">
        <f>TABL123[[#This Row],[الفرق بين بداية ونهاية خط  T/B]]+TABL123[[#This Row],[الفرق بين بداية ونهاية خط  S/S]]</f>
        <v>-797</v>
      </c>
      <c r="T272" s="9">
        <f>TABL123[[#This Row],[(S/S TOT) AJD]]+TABL123[[#This Row],[(T/B TOT) AJD]]</f>
        <v>797</v>
      </c>
      <c r="U272" s="14">
        <v>545</v>
      </c>
      <c r="V272" s="14">
        <v>216</v>
      </c>
      <c r="W272" s="9">
        <f>TABL123[[#This Row],[(A/B TOT) AJD]]+TABL123[[#This Row],[(A/S TOT) AJD]]</f>
        <v>761</v>
      </c>
      <c r="X272" s="9">
        <f>TABL123[[#This Row],[( S/S+T/B) AJD]]-TABL123[[#This Row],[(A/B + A/S) AJD]]</f>
        <v>36</v>
      </c>
      <c r="Y272" s="15">
        <v>92.47</v>
      </c>
      <c r="Z272" s="16">
        <v>478759</v>
      </c>
      <c r="AA272" s="3">
        <f>TABL123[[#This Row],[(RESV. STORGE) AJD]]/10</f>
        <v>47875.9</v>
      </c>
      <c r="AB272" s="45">
        <f t="shared" si="14"/>
        <v>5.9560000000000004</v>
      </c>
      <c r="AC272" s="45"/>
      <c r="AD272" s="84">
        <f>TABL123[[#This Row],[( S/S+T/B) AJD]]-(TABL123[[#This Row],[(A/B + A/S) AJD]]+(TABL123[[#This Row],[(STORGE DIFF.) AJD]])+TABL123[[#This Row],[البخر  AJD]]/1000)</f>
        <v>30.043999999999983</v>
      </c>
      <c r="AE272" s="68"/>
      <c r="AF272" s="68"/>
      <c r="AG272" s="68"/>
      <c r="AH272" s="45"/>
      <c r="AI272" s="79"/>
      <c r="AJ272" s="79">
        <f>TABL123[[#This Row],[(A/B TOT) AJD]]-TABL123[[#This Row],[BER_ IN]]</f>
        <v>545</v>
      </c>
      <c r="AK272" s="79"/>
      <c r="AL272" s="68"/>
      <c r="AM272" s="88"/>
      <c r="AN272" s="88">
        <f>TABL123[[#This Row],[ (RESV. STORGE) SER]]/10</f>
        <v>0</v>
      </c>
      <c r="AO272" s="6"/>
      <c r="AP272" s="32">
        <f>TABL123[[#This Row],[(A/S TOT) AJD]]-TABL123[[#This Row],[SER_ IN]]</f>
        <v>216</v>
      </c>
    </row>
    <row r="273" spans="1:42" ht="19.5" thickBot="1" x14ac:dyDescent="0.35">
      <c r="A273" s="2">
        <v>46294</v>
      </c>
      <c r="B273" s="28"/>
      <c r="C273" s="28"/>
      <c r="D273" s="28"/>
      <c r="E273" s="35"/>
      <c r="F273" s="28"/>
      <c r="G273" s="28"/>
      <c r="H273" s="28">
        <f t="shared" si="13"/>
        <v>103</v>
      </c>
      <c r="I273" s="28"/>
      <c r="J273" s="28"/>
      <c r="K273" s="28">
        <f>TABL123[[#This Row],[خط (T/B  TOT) SAR]]+TABL123[[#This Row],[خط (S/S  TOT) SAR2]]</f>
        <v>0</v>
      </c>
      <c r="L273" s="28"/>
      <c r="M273" s="29"/>
      <c r="N273" s="30"/>
      <c r="O273" s="14">
        <v>393</v>
      </c>
      <c r="P273" s="9">
        <f>TABL123[[#This Row],[خط (S/S  TOT) SAR2]]-TABL123[[#This Row],[(S/S TOT) AJD]]</f>
        <v>-393</v>
      </c>
      <c r="Q273" s="14">
        <v>423</v>
      </c>
      <c r="R273" s="9">
        <f>TABL123[[#This Row],[خط (T/B  TOT) SAR]]-TABL123[[#This Row],[(T/B TOT) AJD]]</f>
        <v>-423</v>
      </c>
      <c r="S273" s="9">
        <f>TABL123[[#This Row],[الفرق بين بداية ونهاية خط  T/B]]+TABL123[[#This Row],[الفرق بين بداية ونهاية خط  S/S]]</f>
        <v>-816</v>
      </c>
      <c r="T273" s="9">
        <f>TABL123[[#This Row],[(S/S TOT) AJD]]+TABL123[[#This Row],[(T/B TOT) AJD]]</f>
        <v>816</v>
      </c>
      <c r="U273" s="14">
        <v>538</v>
      </c>
      <c r="V273" s="14">
        <v>213</v>
      </c>
      <c r="W273" s="9">
        <f>TABL123[[#This Row],[(A/B TOT) AJD]]+TABL123[[#This Row],[(A/S TOT) AJD]]</f>
        <v>751</v>
      </c>
      <c r="X273" s="9">
        <f>TABL123[[#This Row],[( S/S+T/B) AJD]]-TABL123[[#This Row],[(A/B + A/S) AJD]]</f>
        <v>65</v>
      </c>
      <c r="Y273" s="15">
        <v>92.542000000000002</v>
      </c>
      <c r="Z273" s="16">
        <v>521650</v>
      </c>
      <c r="AA273" s="3">
        <f>TABL123[[#This Row],[(RESV. STORGE) AJD]]/10</f>
        <v>52165</v>
      </c>
      <c r="AB273" s="45">
        <f t="shared" si="14"/>
        <v>42.890999999999998</v>
      </c>
      <c r="AC273" s="43"/>
      <c r="AD273" s="84">
        <f>TABL123[[#This Row],[( S/S+T/B) AJD]]-(TABL123[[#This Row],[(A/B + A/S) AJD]]+(TABL123[[#This Row],[(STORGE DIFF.) AJD]])+TABL123[[#This Row],[البخر  AJD]]/1000)</f>
        <v>22.109000000000037</v>
      </c>
      <c r="AE273" s="68"/>
      <c r="AF273" s="68"/>
      <c r="AG273" s="68"/>
      <c r="AH273" s="43"/>
      <c r="AI273" s="79"/>
      <c r="AJ273" s="79">
        <f>TABL123[[#This Row],[(A/B TOT) AJD]]-TABL123[[#This Row],[BER_ IN]]</f>
        <v>538</v>
      </c>
      <c r="AK273" s="79"/>
      <c r="AL273" s="68"/>
      <c r="AM273" s="88"/>
      <c r="AN273" s="88">
        <f>TABL123[[#This Row],[ (RESV. STORGE) SER]]/10</f>
        <v>0</v>
      </c>
      <c r="AO273" s="6"/>
      <c r="AP273" s="32">
        <f>TABL123[[#This Row],[(A/S TOT) AJD]]-TABL123[[#This Row],[SER_ IN]]</f>
        <v>213</v>
      </c>
    </row>
    <row r="274" spans="1:42" ht="19.5" thickBot="1" x14ac:dyDescent="0.35">
      <c r="A274" s="2">
        <v>46295</v>
      </c>
      <c r="B274" s="28"/>
      <c r="C274" s="28"/>
      <c r="D274" s="28"/>
      <c r="E274" s="35"/>
      <c r="F274" s="28"/>
      <c r="G274" s="28"/>
      <c r="H274" s="28">
        <f t="shared" si="13"/>
        <v>103</v>
      </c>
      <c r="I274" s="28"/>
      <c r="J274" s="28"/>
      <c r="K274" s="28">
        <f>TABL123[[#This Row],[خط (T/B  TOT) SAR]]+TABL123[[#This Row],[خط (S/S  TOT) SAR2]]</f>
        <v>0</v>
      </c>
      <c r="L274" s="28"/>
      <c r="M274" s="29"/>
      <c r="N274" s="30"/>
      <c r="O274" s="78">
        <v>395</v>
      </c>
      <c r="P274" s="9">
        <f>TABL123[[#This Row],[خط (S/S  TOT) SAR2]]-TABL123[[#This Row],[(S/S TOT) AJD]]</f>
        <v>-395</v>
      </c>
      <c r="Q274" s="78">
        <v>428</v>
      </c>
      <c r="R274" s="9">
        <f>TABL123[[#This Row],[خط (T/B  TOT) SAR]]-TABL123[[#This Row],[(T/B TOT) AJD]]</f>
        <v>-428</v>
      </c>
      <c r="S274" s="9">
        <f>TABL123[[#This Row],[الفرق بين بداية ونهاية خط  T/B]]+TABL123[[#This Row],[الفرق بين بداية ونهاية خط  S/S]]</f>
        <v>-823</v>
      </c>
      <c r="T274" s="9">
        <f>TABL123[[#This Row],[(S/S TOT) AJD]]+TABL123[[#This Row],[(T/B TOT) AJD]]</f>
        <v>823</v>
      </c>
      <c r="U274" s="78">
        <v>536</v>
      </c>
      <c r="V274" s="78">
        <v>212</v>
      </c>
      <c r="W274" s="9">
        <f>TABL123[[#This Row],[(A/B TOT) AJD]]+TABL123[[#This Row],[(A/S TOT) AJD]]</f>
        <v>748</v>
      </c>
      <c r="X274" s="9">
        <f>TABL123[[#This Row],[( S/S+T/B) AJD]]-TABL123[[#This Row],[(A/B + A/S) AJD]]</f>
        <v>75</v>
      </c>
      <c r="Y274" s="86">
        <v>92.617000000000004</v>
      </c>
      <c r="Z274" s="87">
        <v>566373</v>
      </c>
      <c r="AA274" s="3">
        <f>TABL123[[#This Row],[(RESV. STORGE) AJD]]/10</f>
        <v>56637.3</v>
      </c>
      <c r="AB274" s="45">
        <f t="shared" si="14"/>
        <v>44.722999999999999</v>
      </c>
      <c r="AC274" s="45"/>
      <c r="AD274" s="84">
        <f>TABL123[[#This Row],[( S/S+T/B) AJD]]-(TABL123[[#This Row],[(A/B + A/S) AJD]]+(TABL123[[#This Row],[(STORGE DIFF.) AJD]])+TABL123[[#This Row],[البخر  AJD]]/1000)</f>
        <v>30.277000000000044</v>
      </c>
      <c r="AE274" s="68"/>
      <c r="AF274" s="68"/>
      <c r="AG274" s="68"/>
      <c r="AH274" s="6"/>
      <c r="AI274" s="79"/>
      <c r="AJ274" s="79">
        <f>TABL123[[#This Row],[(A/B TOT) AJD]]-TABL123[[#This Row],[BER_ IN]]</f>
        <v>536</v>
      </c>
      <c r="AK274" s="79"/>
      <c r="AL274" s="68"/>
      <c r="AM274" s="88"/>
      <c r="AN274" s="88">
        <f>TABL123[[#This Row],[ (RESV. STORGE) SER]]/10</f>
        <v>0</v>
      </c>
      <c r="AO274" s="6"/>
      <c r="AP274" s="32">
        <f>TABL123[[#This Row],[(A/S TOT) AJD]]-TABL123[[#This Row],[SER_ IN]]</f>
        <v>212</v>
      </c>
    </row>
    <row r="275" spans="1:42" ht="19.5" thickBot="1" x14ac:dyDescent="0.35">
      <c r="A275" s="2">
        <v>46296</v>
      </c>
      <c r="B275" s="28"/>
      <c r="C275" s="28"/>
      <c r="D275" s="28"/>
      <c r="E275" s="28"/>
      <c r="F275" s="28"/>
      <c r="G275" s="28"/>
      <c r="H275" s="28">
        <f t="shared" si="13"/>
        <v>103</v>
      </c>
      <c r="I275" s="28"/>
      <c r="J275" s="28"/>
      <c r="K275" s="28">
        <f>TABL123[[#This Row],[خط (T/B  TOT) SAR]]+TABL123[[#This Row],[خط (S/S  TOT) SAR2]]</f>
        <v>0</v>
      </c>
      <c r="L275" s="28"/>
      <c r="M275" s="29"/>
      <c r="N275" s="30"/>
      <c r="O275" s="14">
        <v>395</v>
      </c>
      <c r="P275" s="9">
        <f>TABL123[[#This Row],[خط (S/S  TOT) SAR2]]-TABL123[[#This Row],[(S/S TOT) AJD]]</f>
        <v>-395</v>
      </c>
      <c r="Q275" s="14">
        <v>427</v>
      </c>
      <c r="R275" s="9">
        <f>TABL123[[#This Row],[خط (T/B  TOT) SAR]]-TABL123[[#This Row],[(T/B TOT) AJD]]</f>
        <v>-427</v>
      </c>
      <c r="S275" s="9">
        <f>TABL123[[#This Row],[الفرق بين بداية ونهاية خط  T/B]]+TABL123[[#This Row],[الفرق بين بداية ونهاية خط  S/S]]</f>
        <v>-822</v>
      </c>
      <c r="T275" s="9">
        <f>TABL123[[#This Row],[(S/S TOT) AJD]]+TABL123[[#This Row],[(T/B TOT) AJD]]</f>
        <v>822</v>
      </c>
      <c r="U275" s="14">
        <v>538</v>
      </c>
      <c r="V275" s="14">
        <v>222</v>
      </c>
      <c r="W275" s="9">
        <f>TABL123[[#This Row],[(A/B TOT) AJD]]+TABL123[[#This Row],[(A/S TOT) AJD]]</f>
        <v>760</v>
      </c>
      <c r="X275" s="9">
        <f>TABL123[[#This Row],[( S/S+T/B) AJD]]-TABL123[[#This Row],[(A/B + A/S) AJD]]</f>
        <v>62</v>
      </c>
      <c r="Y275" s="15">
        <v>92.674000000000007</v>
      </c>
      <c r="Z275" s="16">
        <v>600399</v>
      </c>
      <c r="AA275" s="3">
        <f>TABL123[[#This Row],[(RESV. STORGE) AJD]]/10</f>
        <v>60039.9</v>
      </c>
      <c r="AB275" s="45">
        <f t="shared" si="14"/>
        <v>34.026000000000003</v>
      </c>
      <c r="AC275" s="5"/>
      <c r="AD275" s="84">
        <f>TABL123[[#This Row],[( S/S+T/B) AJD]]-(TABL123[[#This Row],[(A/B + A/S) AJD]]+(TABL123[[#This Row],[(STORGE DIFF.) AJD]])+TABL123[[#This Row],[البخر  AJD]]/1000)</f>
        <v>27.974000000000046</v>
      </c>
      <c r="AE275" s="68"/>
      <c r="AF275" s="68"/>
      <c r="AG275" s="68"/>
      <c r="AH275" s="6"/>
      <c r="AI275" s="79"/>
      <c r="AJ275" s="79">
        <f>TABL123[[#This Row],[(A/B TOT) AJD]]-TABL123[[#This Row],[BER_ IN]]</f>
        <v>538</v>
      </c>
      <c r="AK275" s="79"/>
      <c r="AL275" s="68"/>
      <c r="AM275" s="88"/>
      <c r="AN275" s="88">
        <f>TABL123[[#This Row],[ (RESV. STORGE) SER]]/10</f>
        <v>0</v>
      </c>
      <c r="AO275" s="6"/>
      <c r="AP275" s="32">
        <f>TABL123[[#This Row],[(A/S TOT) AJD]]-TABL123[[#This Row],[SER_ IN]]</f>
        <v>222</v>
      </c>
    </row>
    <row r="276" spans="1:42" ht="19.5" thickBot="1" x14ac:dyDescent="0.35">
      <c r="A276" s="2">
        <v>46297</v>
      </c>
      <c r="B276" s="28"/>
      <c r="C276" s="28"/>
      <c r="D276" s="28"/>
      <c r="E276" s="28"/>
      <c r="F276" s="28"/>
      <c r="G276" s="28"/>
      <c r="H276" s="28">
        <f t="shared" si="13"/>
        <v>103</v>
      </c>
      <c r="I276" s="28"/>
      <c r="J276" s="28"/>
      <c r="K276" s="28">
        <f>TABL123[[#This Row],[خط (T/B  TOT) SAR]]+TABL123[[#This Row],[خط (S/S  TOT) SAR2]]</f>
        <v>0</v>
      </c>
      <c r="L276" s="28"/>
      <c r="M276" s="29"/>
      <c r="N276" s="30"/>
      <c r="O276" s="14">
        <v>396</v>
      </c>
      <c r="P276" s="9">
        <f>TABL123[[#This Row],[خط (S/S  TOT) SAR2]]-TABL123[[#This Row],[(S/S TOT) AJD]]</f>
        <v>-396</v>
      </c>
      <c r="Q276" s="14">
        <v>427</v>
      </c>
      <c r="R276" s="9">
        <f>TABL123[[#This Row],[خط (T/B  TOT) SAR]]-TABL123[[#This Row],[(T/B TOT) AJD]]</f>
        <v>-427</v>
      </c>
      <c r="S276" s="9">
        <f>TABL123[[#This Row],[الفرق بين بداية ونهاية خط  T/B]]+TABL123[[#This Row],[الفرق بين بداية ونهاية خط  S/S]]</f>
        <v>-823</v>
      </c>
      <c r="T276" s="9">
        <f>TABL123[[#This Row],[(S/S TOT) AJD]]+TABL123[[#This Row],[(T/B TOT) AJD]]</f>
        <v>823</v>
      </c>
      <c r="U276" s="14">
        <v>529</v>
      </c>
      <c r="V276" s="14">
        <v>260</v>
      </c>
      <c r="W276" s="9">
        <f>TABL123[[#This Row],[(A/B TOT) AJD]]+TABL123[[#This Row],[(A/S TOT) AJD]]</f>
        <v>789</v>
      </c>
      <c r="X276" s="9">
        <f>TABL123[[#This Row],[( S/S+T/B) AJD]]-TABL123[[#This Row],[(A/B + A/S) AJD]]</f>
        <v>34</v>
      </c>
      <c r="Y276" s="15">
        <v>92.697000000000003</v>
      </c>
      <c r="Z276" s="16">
        <v>614131</v>
      </c>
      <c r="AA276" s="3">
        <f>TABL123[[#This Row],[(RESV. STORGE) AJD]]/10</f>
        <v>61413.1</v>
      </c>
      <c r="AB276" s="45">
        <f t="shared" si="14"/>
        <v>13.731999999999999</v>
      </c>
      <c r="AC276" s="5"/>
      <c r="AD276" s="84">
        <f>TABL123[[#This Row],[( S/S+T/B) AJD]]-(TABL123[[#This Row],[(A/B + A/S) AJD]]+(TABL123[[#This Row],[(STORGE DIFF.) AJD]])+TABL123[[#This Row],[البخر  AJD]]/1000)</f>
        <v>20.268000000000029</v>
      </c>
      <c r="AE276" s="68"/>
      <c r="AF276" s="68"/>
      <c r="AG276" s="68"/>
      <c r="AH276" s="6"/>
      <c r="AI276" s="79"/>
      <c r="AJ276" s="79">
        <f>TABL123[[#This Row],[(A/B TOT) AJD]]-TABL123[[#This Row],[BER_ IN]]</f>
        <v>529</v>
      </c>
      <c r="AK276" s="79"/>
      <c r="AL276" s="68"/>
      <c r="AM276" s="88"/>
      <c r="AN276" s="88">
        <f>TABL123[[#This Row],[ (RESV. STORGE) SER]]/10</f>
        <v>0</v>
      </c>
      <c r="AO276" s="6"/>
      <c r="AP276" s="32">
        <f>TABL123[[#This Row],[(A/S TOT) AJD]]-TABL123[[#This Row],[SER_ IN]]</f>
        <v>260</v>
      </c>
    </row>
    <row r="277" spans="1:42" ht="19.5" thickBot="1" x14ac:dyDescent="0.35">
      <c r="A277" s="2">
        <v>46298</v>
      </c>
      <c r="B277" s="28"/>
      <c r="C277" s="28"/>
      <c r="D277" s="35"/>
      <c r="E277" s="28"/>
      <c r="F277" s="28"/>
      <c r="G277" s="28"/>
      <c r="H277" s="28">
        <f t="shared" si="13"/>
        <v>103</v>
      </c>
      <c r="I277" s="28"/>
      <c r="J277" s="28"/>
      <c r="K277" s="28">
        <f>TABL123[[#This Row],[خط (T/B  TOT) SAR]]+TABL123[[#This Row],[خط (S/S  TOT) SAR2]]</f>
        <v>0</v>
      </c>
      <c r="L277" s="28"/>
      <c r="M277" s="29"/>
      <c r="N277" s="30"/>
      <c r="O277" s="14">
        <v>397</v>
      </c>
      <c r="P277" s="9">
        <f>TABL123[[#This Row],[خط (S/S  TOT) SAR2]]-TABL123[[#This Row],[(S/S TOT) AJD]]</f>
        <v>-397</v>
      </c>
      <c r="Q277" s="14">
        <v>431</v>
      </c>
      <c r="R277" s="9">
        <f>TABL123[[#This Row],[خط (T/B  TOT) SAR]]-TABL123[[#This Row],[(T/B TOT) AJD]]</f>
        <v>-431</v>
      </c>
      <c r="S277" s="9">
        <f>TABL123[[#This Row],[الفرق بين بداية ونهاية خط  T/B]]+TABL123[[#This Row],[الفرق بين بداية ونهاية خط  S/S]]</f>
        <v>-828</v>
      </c>
      <c r="T277" s="9">
        <f>TABL123[[#This Row],[(S/S TOT) AJD]]+TABL123[[#This Row],[(T/B TOT) AJD]]</f>
        <v>828</v>
      </c>
      <c r="U277" s="14">
        <v>538</v>
      </c>
      <c r="V277" s="14">
        <v>261</v>
      </c>
      <c r="W277" s="9">
        <f>TABL123[[#This Row],[(A/B TOT) AJD]]+TABL123[[#This Row],[(A/S TOT) AJD]]</f>
        <v>799</v>
      </c>
      <c r="X277" s="9">
        <f>TABL123[[#This Row],[( S/S+T/B) AJD]]-TABL123[[#This Row],[(A/B + A/S) AJD]]</f>
        <v>29</v>
      </c>
      <c r="Y277" s="15">
        <v>92.691999999999993</v>
      </c>
      <c r="Z277" s="16">
        <v>611137</v>
      </c>
      <c r="AA277" s="3">
        <f>TABL123[[#This Row],[(RESV. STORGE) AJD]]/10</f>
        <v>61113.7</v>
      </c>
      <c r="AB277" s="45">
        <f t="shared" si="14"/>
        <v>-2.9940000000000002</v>
      </c>
      <c r="AC277" s="5"/>
      <c r="AD277" s="84">
        <f>TABL123[[#This Row],[( S/S+T/B) AJD]]-(TABL123[[#This Row],[(A/B + A/S) AJD]]+(TABL123[[#This Row],[(STORGE DIFF.) AJD]])+TABL123[[#This Row],[البخر  AJD]]/1000)</f>
        <v>31.994000000000028</v>
      </c>
      <c r="AE277" s="68"/>
      <c r="AF277" s="68"/>
      <c r="AG277" s="68"/>
      <c r="AH277" s="6"/>
      <c r="AI277" s="79"/>
      <c r="AJ277" s="79">
        <f>TABL123[[#This Row],[(A/B TOT) AJD]]-TABL123[[#This Row],[BER_ IN]]</f>
        <v>538</v>
      </c>
      <c r="AK277" s="79"/>
      <c r="AL277" s="68"/>
      <c r="AM277" s="88"/>
      <c r="AN277" s="88">
        <f>TABL123[[#This Row],[ (RESV. STORGE) SER]]/10</f>
        <v>0</v>
      </c>
      <c r="AO277" s="6"/>
      <c r="AP277" s="32">
        <f>TABL123[[#This Row],[(A/S TOT) AJD]]-TABL123[[#This Row],[SER_ IN]]</f>
        <v>261</v>
      </c>
    </row>
    <row r="278" spans="1:42" ht="19.5" thickBot="1" x14ac:dyDescent="0.35">
      <c r="A278" s="2">
        <v>46299</v>
      </c>
      <c r="B278" s="28"/>
      <c r="C278" s="28"/>
      <c r="D278" s="35"/>
      <c r="E278" s="28"/>
      <c r="F278" s="28"/>
      <c r="G278" s="28"/>
      <c r="H278" s="28">
        <f t="shared" si="13"/>
        <v>103</v>
      </c>
      <c r="I278" s="28"/>
      <c r="J278" s="28"/>
      <c r="K278" s="28">
        <f>TABL123[[#This Row],[خط (T/B  TOT) SAR]]+TABL123[[#This Row],[خط (S/S  TOT) SAR2]]</f>
        <v>0</v>
      </c>
      <c r="L278" s="28"/>
      <c r="M278" s="29"/>
      <c r="N278" s="30"/>
      <c r="O278" s="14">
        <v>402</v>
      </c>
      <c r="P278" s="9">
        <f>TABL123[[#This Row],[خط (S/S  TOT) SAR2]]-TABL123[[#This Row],[(S/S TOT) AJD]]</f>
        <v>-402</v>
      </c>
      <c r="Q278" s="14">
        <v>436</v>
      </c>
      <c r="R278" s="9">
        <f>TABL123[[#This Row],[خط (T/B  TOT) SAR]]-TABL123[[#This Row],[(T/B TOT) AJD]]</f>
        <v>-436</v>
      </c>
      <c r="S278" s="9">
        <f>TABL123[[#This Row],[الفرق بين بداية ونهاية خط  T/B]]+TABL123[[#This Row],[الفرق بين بداية ونهاية خط  S/S]]</f>
        <v>-838</v>
      </c>
      <c r="T278" s="9">
        <f>TABL123[[#This Row],[(S/S TOT) AJD]]+TABL123[[#This Row],[(T/B TOT) AJD]]</f>
        <v>838</v>
      </c>
      <c r="U278" s="14">
        <v>539</v>
      </c>
      <c r="V278" s="14">
        <v>263</v>
      </c>
      <c r="W278" s="9">
        <f>TABL123[[#This Row],[(A/B TOT) AJD]]+TABL123[[#This Row],[(A/S TOT) AJD]]</f>
        <v>802</v>
      </c>
      <c r="X278" s="9">
        <f>TABL123[[#This Row],[( S/S+T/B) AJD]]-TABL123[[#This Row],[(A/B + A/S) AJD]]</f>
        <v>36</v>
      </c>
      <c r="Y278" s="15">
        <v>92.697000000000003</v>
      </c>
      <c r="Z278" s="16">
        <v>614131</v>
      </c>
      <c r="AA278" s="3">
        <f>TABL123[[#This Row],[(RESV. STORGE) AJD]]/10</f>
        <v>61413.1</v>
      </c>
      <c r="AB278" s="45">
        <f t="shared" si="14"/>
        <v>2.9940000000000002</v>
      </c>
      <c r="AC278" s="5"/>
      <c r="AD278" s="84">
        <f>TABL123[[#This Row],[( S/S+T/B) AJD]]-(TABL123[[#This Row],[(A/B + A/S) AJD]]+(TABL123[[#This Row],[(STORGE DIFF.) AJD]])+TABL123[[#This Row],[البخر  AJD]]/1000)</f>
        <v>33.005999999999972</v>
      </c>
      <c r="AE278" s="68"/>
      <c r="AF278" s="68"/>
      <c r="AG278" s="68"/>
      <c r="AH278" s="6"/>
      <c r="AI278" s="79"/>
      <c r="AJ278" s="79">
        <f>TABL123[[#This Row],[(A/B TOT) AJD]]-TABL123[[#This Row],[BER_ IN]]</f>
        <v>539</v>
      </c>
      <c r="AK278" s="79"/>
      <c r="AL278" s="68"/>
      <c r="AM278" s="88"/>
      <c r="AN278" s="88">
        <f>TABL123[[#This Row],[ (RESV. STORGE) SER]]/10</f>
        <v>0</v>
      </c>
      <c r="AO278" s="6"/>
      <c r="AP278" s="32">
        <f>TABL123[[#This Row],[(A/S TOT) AJD]]-TABL123[[#This Row],[SER_ IN]]</f>
        <v>263</v>
      </c>
    </row>
    <row r="279" spans="1:42" ht="19.5" thickBot="1" x14ac:dyDescent="0.35">
      <c r="A279" s="2">
        <v>46300</v>
      </c>
      <c r="B279" s="28"/>
      <c r="C279" s="28"/>
      <c r="D279" s="35"/>
      <c r="E279" s="28"/>
      <c r="F279" s="28"/>
      <c r="G279" s="28"/>
      <c r="H279" s="28">
        <f t="shared" si="13"/>
        <v>103</v>
      </c>
      <c r="I279" s="28"/>
      <c r="J279" s="28"/>
      <c r="K279" s="28">
        <f>TABL123[[#This Row],[خط (T/B  TOT) SAR]]+TABL123[[#This Row],[خط (S/S  TOT) SAR2]]</f>
        <v>0</v>
      </c>
      <c r="L279" s="28"/>
      <c r="M279" s="29"/>
      <c r="N279" s="30"/>
      <c r="O279" s="14">
        <v>406</v>
      </c>
      <c r="P279" s="9">
        <f>TABL123[[#This Row],[خط (S/S  TOT) SAR2]]-TABL123[[#This Row],[(S/S TOT) AJD]]</f>
        <v>-406</v>
      </c>
      <c r="Q279" s="14">
        <v>440</v>
      </c>
      <c r="R279" s="9">
        <f>TABL123[[#This Row],[خط (T/B  TOT) SAR]]-TABL123[[#This Row],[(T/B TOT) AJD]]</f>
        <v>-440</v>
      </c>
      <c r="S279" s="9">
        <f>TABL123[[#This Row],[الفرق بين بداية ونهاية خط  T/B]]+TABL123[[#This Row],[الفرق بين بداية ونهاية خط  S/S]]</f>
        <v>-846</v>
      </c>
      <c r="T279" s="9">
        <f>TABL123[[#This Row],[(S/S TOT) AJD]]+TABL123[[#This Row],[(T/B TOT) AJD]]</f>
        <v>846</v>
      </c>
      <c r="U279" s="14">
        <v>542</v>
      </c>
      <c r="V279" s="14">
        <v>262</v>
      </c>
      <c r="W279" s="9">
        <f>TABL123[[#This Row],[(A/B TOT) AJD]]+TABL123[[#This Row],[(A/S TOT) AJD]]</f>
        <v>804</v>
      </c>
      <c r="X279" s="9">
        <f>TABL123[[#This Row],[( S/S+T/B) AJD]]-TABL123[[#This Row],[(A/B + A/S) AJD]]</f>
        <v>42</v>
      </c>
      <c r="Y279" s="15">
        <v>92.712000000000003</v>
      </c>
      <c r="Z279" s="16">
        <v>623091</v>
      </c>
      <c r="AA279" s="3">
        <f>TABL123[[#This Row],[(RESV. STORGE) AJD]]/10</f>
        <v>62309.1</v>
      </c>
      <c r="AB279" s="45">
        <f t="shared" si="14"/>
        <v>8.9600000000000009</v>
      </c>
      <c r="AC279" s="5"/>
      <c r="AD279" s="84">
        <f>TABL123[[#This Row],[( S/S+T/B) AJD]]-(TABL123[[#This Row],[(A/B + A/S) AJD]]+(TABL123[[#This Row],[(STORGE DIFF.) AJD]])+TABL123[[#This Row],[البخر  AJD]]/1000)</f>
        <v>33.039999999999964</v>
      </c>
      <c r="AE279" s="68"/>
      <c r="AF279" s="68"/>
      <c r="AG279" s="68"/>
      <c r="AH279" s="6"/>
      <c r="AI279" s="79"/>
      <c r="AJ279" s="79">
        <f>TABL123[[#This Row],[(A/B TOT) AJD]]-TABL123[[#This Row],[BER_ IN]]</f>
        <v>542</v>
      </c>
      <c r="AK279" s="79"/>
      <c r="AL279" s="68"/>
      <c r="AM279" s="88"/>
      <c r="AN279" s="88">
        <f>TABL123[[#This Row],[ (RESV. STORGE) SER]]/10</f>
        <v>0</v>
      </c>
      <c r="AO279" s="6"/>
      <c r="AP279" s="32">
        <f>TABL123[[#This Row],[(A/S TOT) AJD]]-TABL123[[#This Row],[SER_ IN]]</f>
        <v>262</v>
      </c>
    </row>
    <row r="280" spans="1:42" ht="19.5" thickBot="1" x14ac:dyDescent="0.35">
      <c r="A280" s="2">
        <v>46301</v>
      </c>
      <c r="B280" s="28"/>
      <c r="C280" s="28"/>
      <c r="D280" s="35"/>
      <c r="E280" s="28"/>
      <c r="F280" s="28"/>
      <c r="G280" s="28"/>
      <c r="H280" s="28">
        <f t="shared" si="13"/>
        <v>103</v>
      </c>
      <c r="I280" s="28"/>
      <c r="J280" s="28"/>
      <c r="K280" s="28">
        <f>TABL123[[#This Row],[خط (T/B  TOT) SAR]]+TABL123[[#This Row],[خط (S/S  TOT) SAR2]]</f>
        <v>0</v>
      </c>
      <c r="L280" s="28"/>
      <c r="M280" s="29"/>
      <c r="N280" s="30"/>
      <c r="O280" s="14">
        <v>404</v>
      </c>
      <c r="P280" s="9">
        <f>TABL123[[#This Row],[خط (S/S  TOT) SAR2]]-TABL123[[#This Row],[(S/S TOT) AJD]]</f>
        <v>-404</v>
      </c>
      <c r="Q280" s="14">
        <v>437</v>
      </c>
      <c r="R280" s="9">
        <f>TABL123[[#This Row],[خط (T/B  TOT) SAR]]-TABL123[[#This Row],[(T/B TOT) AJD]]</f>
        <v>-437</v>
      </c>
      <c r="S280" s="9">
        <f>TABL123[[#This Row],[الفرق بين بداية ونهاية خط  T/B]]+TABL123[[#This Row],[الفرق بين بداية ونهاية خط  S/S]]</f>
        <v>-841</v>
      </c>
      <c r="T280" s="9">
        <f>TABL123[[#This Row],[(S/S TOT) AJD]]+TABL123[[#This Row],[(T/B TOT) AJD]]</f>
        <v>841</v>
      </c>
      <c r="U280" s="14">
        <v>551</v>
      </c>
      <c r="V280" s="14">
        <v>263</v>
      </c>
      <c r="W280" s="9">
        <f>TABL123[[#This Row],[(A/B TOT) AJD]]+TABL123[[#This Row],[(A/S TOT) AJD]]</f>
        <v>814</v>
      </c>
      <c r="X280" s="9">
        <f>TABL123[[#This Row],[( S/S+T/B) AJD]]-TABL123[[#This Row],[(A/B + A/S) AJD]]</f>
        <v>27</v>
      </c>
      <c r="Y280" s="15">
        <v>92.718999999999994</v>
      </c>
      <c r="Z280" s="16">
        <v>627276</v>
      </c>
      <c r="AA280" s="3">
        <f>TABL123[[#This Row],[(RESV. STORGE) AJD]]/10</f>
        <v>62727.6</v>
      </c>
      <c r="AB280" s="45">
        <f t="shared" si="14"/>
        <v>4.1849999999999996</v>
      </c>
      <c r="AC280" s="5"/>
      <c r="AD280" s="84">
        <f>TABL123[[#This Row],[( S/S+T/B) AJD]]-(TABL123[[#This Row],[(A/B + A/S) AJD]]+(TABL123[[#This Row],[(STORGE DIFF.) AJD]])+TABL123[[#This Row],[البخر  AJD]]/1000)</f>
        <v>22.815000000000055</v>
      </c>
      <c r="AE280" s="68"/>
      <c r="AF280" s="68"/>
      <c r="AG280" s="68"/>
      <c r="AH280" s="6"/>
      <c r="AI280" s="79"/>
      <c r="AJ280" s="79">
        <f>TABL123[[#This Row],[(A/B TOT) AJD]]-TABL123[[#This Row],[BER_ IN]]</f>
        <v>551</v>
      </c>
      <c r="AK280" s="79"/>
      <c r="AL280" s="68"/>
      <c r="AM280" s="88"/>
      <c r="AN280" s="88">
        <f>TABL123[[#This Row],[ (RESV. STORGE) SER]]/10</f>
        <v>0</v>
      </c>
      <c r="AO280" s="6"/>
      <c r="AP280" s="32">
        <f>TABL123[[#This Row],[(A/S TOT) AJD]]-TABL123[[#This Row],[SER_ IN]]</f>
        <v>263</v>
      </c>
    </row>
    <row r="281" spans="1:42" ht="19.5" thickBot="1" x14ac:dyDescent="0.35">
      <c r="A281" s="2">
        <v>46302</v>
      </c>
      <c r="B281" s="28"/>
      <c r="C281" s="28"/>
      <c r="D281" s="35"/>
      <c r="E281" s="28"/>
      <c r="F281" s="28"/>
      <c r="G281" s="28"/>
      <c r="H281" s="28">
        <f t="shared" si="13"/>
        <v>103</v>
      </c>
      <c r="I281" s="28"/>
      <c r="J281" s="28"/>
      <c r="K281" s="28">
        <f>TABL123[[#This Row],[خط (T/B  TOT) SAR]]+TABL123[[#This Row],[خط (S/S  TOT) SAR2]]</f>
        <v>0</v>
      </c>
      <c r="L281" s="28"/>
      <c r="M281" s="29"/>
      <c r="N281" s="30"/>
      <c r="O281" s="14">
        <v>402</v>
      </c>
      <c r="P281" s="9">
        <f>TABL123[[#This Row],[خط (S/S  TOT) SAR2]]-TABL123[[#This Row],[(S/S TOT) AJD]]</f>
        <v>-402</v>
      </c>
      <c r="Q281" s="14">
        <v>435</v>
      </c>
      <c r="R281" s="9">
        <f>TABL123[[#This Row],[خط (T/B  TOT) SAR]]-TABL123[[#This Row],[(T/B TOT) AJD]]</f>
        <v>-435</v>
      </c>
      <c r="S281" s="9">
        <f>TABL123[[#This Row],[الفرق بين بداية ونهاية خط  T/B]]+TABL123[[#This Row],[الفرق بين بداية ونهاية خط  S/S]]</f>
        <v>-837</v>
      </c>
      <c r="T281" s="9">
        <f>TABL123[[#This Row],[(S/S TOT) AJD]]+TABL123[[#This Row],[(T/B TOT) AJD]]</f>
        <v>837</v>
      </c>
      <c r="U281" s="14">
        <v>545</v>
      </c>
      <c r="V281" s="14">
        <v>257</v>
      </c>
      <c r="W281" s="9">
        <f>TABL123[[#This Row],[(A/B TOT) AJD]]+TABL123[[#This Row],[(A/S TOT) AJD]]</f>
        <v>802</v>
      </c>
      <c r="X281" s="9">
        <f>TABL123[[#This Row],[( S/S+T/B) AJD]]-TABL123[[#This Row],[(A/B + A/S) AJD]]</f>
        <v>35</v>
      </c>
      <c r="Y281" s="15">
        <v>92.718999999999994</v>
      </c>
      <c r="Z281" s="16">
        <v>627276</v>
      </c>
      <c r="AA281" s="3">
        <f>TABL123[[#This Row],[(RESV. STORGE) AJD]]/10</f>
        <v>62727.6</v>
      </c>
      <c r="AB281" s="45">
        <f t="shared" si="14"/>
        <v>0</v>
      </c>
      <c r="AC281" s="5"/>
      <c r="AD281" s="84">
        <f>TABL123[[#This Row],[( S/S+T/B) AJD]]-(TABL123[[#This Row],[(A/B + A/S) AJD]]+(TABL123[[#This Row],[(STORGE DIFF.) AJD]])+TABL123[[#This Row],[البخر  AJD]]/1000)</f>
        <v>35</v>
      </c>
      <c r="AE281" s="68"/>
      <c r="AF281" s="68"/>
      <c r="AG281" s="68"/>
      <c r="AH281" s="6"/>
      <c r="AI281" s="79"/>
      <c r="AJ281" s="79">
        <f>TABL123[[#This Row],[(A/B TOT) AJD]]-TABL123[[#This Row],[BER_ IN]]</f>
        <v>545</v>
      </c>
      <c r="AK281" s="79"/>
      <c r="AL281" s="68"/>
      <c r="AM281" s="88"/>
      <c r="AN281" s="88">
        <f>TABL123[[#This Row],[ (RESV. STORGE) SER]]/10</f>
        <v>0</v>
      </c>
      <c r="AO281" s="6"/>
      <c r="AP281" s="32">
        <f>TABL123[[#This Row],[(A/S TOT) AJD]]-TABL123[[#This Row],[SER_ IN]]</f>
        <v>257</v>
      </c>
    </row>
    <row r="282" spans="1:42" ht="19.5" thickBot="1" x14ac:dyDescent="0.35">
      <c r="A282" s="2">
        <v>46303</v>
      </c>
      <c r="B282" s="28"/>
      <c r="C282" s="28"/>
      <c r="D282" s="35"/>
      <c r="E282" s="28"/>
      <c r="F282" s="28"/>
      <c r="G282" s="28"/>
      <c r="H282" s="28">
        <f t="shared" si="13"/>
        <v>103</v>
      </c>
      <c r="I282" s="28"/>
      <c r="J282" s="28"/>
      <c r="K282" s="28">
        <f>TABL123[[#This Row],[خط (T/B  TOT) SAR]]+TABL123[[#This Row],[خط (S/S  TOT) SAR2]]</f>
        <v>0</v>
      </c>
      <c r="L282" s="28"/>
      <c r="M282" s="29"/>
      <c r="N282" s="30"/>
      <c r="O282" s="14">
        <v>402</v>
      </c>
      <c r="P282" s="9">
        <f>TABL123[[#This Row],[خط (S/S  TOT) SAR2]]-TABL123[[#This Row],[(S/S TOT) AJD]]</f>
        <v>-402</v>
      </c>
      <c r="Q282" s="14">
        <v>433</v>
      </c>
      <c r="R282" s="9">
        <f>TABL123[[#This Row],[خط (T/B  TOT) SAR]]-TABL123[[#This Row],[(T/B TOT) AJD]]</f>
        <v>-433</v>
      </c>
      <c r="S282" s="9">
        <f>TABL123[[#This Row],[الفرق بين بداية ونهاية خط  T/B]]+TABL123[[#This Row],[الفرق بين بداية ونهاية خط  S/S]]</f>
        <v>-835</v>
      </c>
      <c r="T282" s="9">
        <f>TABL123[[#This Row],[(S/S TOT) AJD]]+TABL123[[#This Row],[(T/B TOT) AJD]]</f>
        <v>835</v>
      </c>
      <c r="U282" s="14">
        <v>543</v>
      </c>
      <c r="V282" s="14">
        <v>254</v>
      </c>
      <c r="W282" s="9">
        <f>TABL123[[#This Row],[(A/B TOT) AJD]]+TABL123[[#This Row],[(A/S TOT) AJD]]</f>
        <v>797</v>
      </c>
      <c r="X282" s="9">
        <f>TABL123[[#This Row],[( S/S+T/B) AJD]]-TABL123[[#This Row],[(A/B + A/S) AJD]]</f>
        <v>38</v>
      </c>
      <c r="Y282" s="15">
        <v>92.716999999999999</v>
      </c>
      <c r="Z282" s="16">
        <v>626082</v>
      </c>
      <c r="AA282" s="3">
        <f>TABL123[[#This Row],[(RESV. STORGE) AJD]]/10</f>
        <v>62608.2</v>
      </c>
      <c r="AB282" s="45">
        <f t="shared" si="14"/>
        <v>-1.194</v>
      </c>
      <c r="AC282" s="5"/>
      <c r="AD282" s="84">
        <f>TABL123[[#This Row],[( S/S+T/B) AJD]]-(TABL123[[#This Row],[(A/B + A/S) AJD]]+(TABL123[[#This Row],[(STORGE DIFF.) AJD]])+TABL123[[#This Row],[البخر  AJD]]/1000)</f>
        <v>39.19399999999996</v>
      </c>
      <c r="AE282" s="68"/>
      <c r="AF282" s="68"/>
      <c r="AG282" s="68"/>
      <c r="AH282" s="6"/>
      <c r="AI282" s="79"/>
      <c r="AJ282" s="79">
        <f>TABL123[[#This Row],[(A/B TOT) AJD]]-TABL123[[#This Row],[BER_ IN]]</f>
        <v>543</v>
      </c>
      <c r="AK282" s="79"/>
      <c r="AL282" s="68"/>
      <c r="AM282" s="88"/>
      <c r="AN282" s="88">
        <f>TABL123[[#This Row],[ (RESV. STORGE) SER]]/10</f>
        <v>0</v>
      </c>
      <c r="AO282" s="6"/>
      <c r="AP282" s="32">
        <f>TABL123[[#This Row],[(A/S TOT) AJD]]-TABL123[[#This Row],[SER_ IN]]</f>
        <v>254</v>
      </c>
    </row>
    <row r="283" spans="1:42" ht="19.5" thickBot="1" x14ac:dyDescent="0.35">
      <c r="A283" s="2">
        <v>46304</v>
      </c>
      <c r="B283" s="28"/>
      <c r="C283" s="28"/>
      <c r="D283" s="35"/>
      <c r="E283" s="28"/>
      <c r="F283" s="28"/>
      <c r="G283" s="28"/>
      <c r="H283" s="28">
        <f t="shared" si="13"/>
        <v>103</v>
      </c>
      <c r="I283" s="28"/>
      <c r="J283" s="28"/>
      <c r="K283" s="28">
        <f>TABL123[[#This Row],[خط (T/B  TOT) SAR]]+TABL123[[#This Row],[خط (S/S  TOT) SAR2]]</f>
        <v>0</v>
      </c>
      <c r="L283" s="28"/>
      <c r="M283" s="29"/>
      <c r="N283" s="30"/>
      <c r="O283" s="14">
        <v>401</v>
      </c>
      <c r="P283" s="9">
        <f>TABL123[[#This Row],[خط (S/S  TOT) SAR2]]-TABL123[[#This Row],[(S/S TOT) AJD]]</f>
        <v>-401</v>
      </c>
      <c r="Q283" s="14">
        <v>432</v>
      </c>
      <c r="R283" s="9">
        <f>TABL123[[#This Row],[خط (T/B  TOT) SAR]]-TABL123[[#This Row],[(T/B TOT) AJD]]</f>
        <v>-432</v>
      </c>
      <c r="S283" s="9">
        <f>TABL123[[#This Row],[الفرق بين بداية ونهاية خط  T/B]]+TABL123[[#This Row],[الفرق بين بداية ونهاية خط  S/S]]</f>
        <v>-833</v>
      </c>
      <c r="T283" s="9">
        <f>TABL123[[#This Row],[(S/S TOT) AJD]]+TABL123[[#This Row],[(T/B TOT) AJD]]</f>
        <v>833</v>
      </c>
      <c r="U283" s="14">
        <v>552</v>
      </c>
      <c r="V283" s="14">
        <v>248</v>
      </c>
      <c r="W283" s="9">
        <f>TABL123[[#This Row],[(A/B TOT) AJD]]+TABL123[[#This Row],[(A/S TOT) AJD]]</f>
        <v>800</v>
      </c>
      <c r="X283" s="9">
        <f>TABL123[[#This Row],[( S/S+T/B) AJD]]-TABL123[[#This Row],[(A/B + A/S) AJD]]</f>
        <v>33</v>
      </c>
      <c r="Y283" s="15">
        <v>92.731999999999999</v>
      </c>
      <c r="Z283" s="16">
        <v>635044</v>
      </c>
      <c r="AA283" s="3">
        <f>TABL123[[#This Row],[(RESV. STORGE) AJD]]/10</f>
        <v>63504.4</v>
      </c>
      <c r="AB283" s="45">
        <f t="shared" si="14"/>
        <v>8.9619999999999997</v>
      </c>
      <c r="AC283" s="5"/>
      <c r="AD283" s="84">
        <f>TABL123[[#This Row],[( S/S+T/B) AJD]]-(TABL123[[#This Row],[(A/B + A/S) AJD]]+(TABL123[[#This Row],[(STORGE DIFF.) AJD]])+TABL123[[#This Row],[البخر  AJD]]/1000)</f>
        <v>24.038000000000011</v>
      </c>
      <c r="AE283" s="68"/>
      <c r="AF283" s="68"/>
      <c r="AG283" s="68"/>
      <c r="AH283" s="6"/>
      <c r="AI283" s="79"/>
      <c r="AJ283" s="79">
        <f>TABL123[[#This Row],[(A/B TOT) AJD]]-TABL123[[#This Row],[BER_ IN]]</f>
        <v>552</v>
      </c>
      <c r="AK283" s="79"/>
      <c r="AL283" s="68"/>
      <c r="AM283" s="88"/>
      <c r="AN283" s="88">
        <f>TABL123[[#This Row],[ (RESV. STORGE) SER]]/10</f>
        <v>0</v>
      </c>
      <c r="AO283" s="6"/>
      <c r="AP283" s="32">
        <f>TABL123[[#This Row],[(A/S TOT) AJD]]-TABL123[[#This Row],[SER_ IN]]</f>
        <v>248</v>
      </c>
    </row>
    <row r="284" spans="1:42" ht="19.5" thickBot="1" x14ac:dyDescent="0.35">
      <c r="A284" s="2">
        <v>46305</v>
      </c>
      <c r="B284" s="28"/>
      <c r="C284" s="28"/>
      <c r="D284" s="35"/>
      <c r="E284" s="28"/>
      <c r="F284" s="28"/>
      <c r="G284" s="28"/>
      <c r="H284" s="28">
        <f t="shared" si="13"/>
        <v>103</v>
      </c>
      <c r="I284" s="28"/>
      <c r="J284" s="28"/>
      <c r="K284" s="28">
        <f>TABL123[[#This Row],[خط (T/B  TOT) SAR]]+TABL123[[#This Row],[خط (S/S  TOT) SAR2]]</f>
        <v>0</v>
      </c>
      <c r="L284" s="28"/>
      <c r="M284" s="29"/>
      <c r="N284" s="30"/>
      <c r="O284" s="14">
        <v>399</v>
      </c>
      <c r="P284" s="9">
        <f>TABL123[[#This Row],[خط (S/S  TOT) SAR2]]-TABL123[[#This Row],[(S/S TOT) AJD]]</f>
        <v>-399</v>
      </c>
      <c r="Q284" s="14">
        <v>432</v>
      </c>
      <c r="R284" s="9">
        <f>TABL123[[#This Row],[خط (T/B  TOT) SAR]]-TABL123[[#This Row],[(T/B TOT) AJD]]</f>
        <v>-432</v>
      </c>
      <c r="S284" s="9">
        <f>TABL123[[#This Row],[الفرق بين بداية ونهاية خط  T/B]]+TABL123[[#This Row],[الفرق بين بداية ونهاية خط  S/S]]</f>
        <v>-831</v>
      </c>
      <c r="T284" s="9">
        <f>TABL123[[#This Row],[(S/S TOT) AJD]]+TABL123[[#This Row],[(T/B TOT) AJD]]</f>
        <v>831</v>
      </c>
      <c r="U284" s="14">
        <v>549</v>
      </c>
      <c r="V284" s="14">
        <v>241</v>
      </c>
      <c r="W284" s="9">
        <f>TABL123[[#This Row],[(A/B TOT) AJD]]+TABL123[[#This Row],[(A/S TOT) AJD]]</f>
        <v>790</v>
      </c>
      <c r="X284" s="9">
        <f>TABL123[[#This Row],[( S/S+T/B) AJD]]-TABL123[[#This Row],[(A/B + A/S) AJD]]</f>
        <v>41</v>
      </c>
      <c r="Y284" s="15">
        <v>92.744</v>
      </c>
      <c r="Z284" s="16">
        <v>642216</v>
      </c>
      <c r="AA284" s="3">
        <f>TABL123[[#This Row],[(RESV. STORGE) AJD]]/10</f>
        <v>64221.599999999999</v>
      </c>
      <c r="AB284" s="45">
        <f t="shared" si="14"/>
        <v>7.1719999999999997</v>
      </c>
      <c r="AC284" s="5"/>
      <c r="AD284" s="84">
        <f>TABL123[[#This Row],[( S/S+T/B) AJD]]-(TABL123[[#This Row],[(A/B + A/S) AJD]]+(TABL123[[#This Row],[(STORGE DIFF.) AJD]])+TABL123[[#This Row],[البخر  AJD]]/1000)</f>
        <v>33.827999999999975</v>
      </c>
      <c r="AE284" s="68"/>
      <c r="AF284" s="68"/>
      <c r="AG284" s="68"/>
      <c r="AH284" s="6"/>
      <c r="AI284" s="79"/>
      <c r="AJ284" s="79">
        <f>TABL123[[#This Row],[(A/B TOT) AJD]]-TABL123[[#This Row],[BER_ IN]]</f>
        <v>549</v>
      </c>
      <c r="AK284" s="79"/>
      <c r="AL284" s="68"/>
      <c r="AM284" s="88"/>
      <c r="AN284" s="88">
        <f>TABL123[[#This Row],[ (RESV. STORGE) SER]]/10</f>
        <v>0</v>
      </c>
      <c r="AO284" s="6"/>
      <c r="AP284" s="32">
        <f>TABL123[[#This Row],[(A/S TOT) AJD]]-TABL123[[#This Row],[SER_ IN]]</f>
        <v>241</v>
      </c>
    </row>
    <row r="285" spans="1:42" ht="19.5" thickBot="1" x14ac:dyDescent="0.35">
      <c r="A285" s="2">
        <v>46306</v>
      </c>
      <c r="B285" s="28"/>
      <c r="C285" s="28"/>
      <c r="D285" s="35"/>
      <c r="E285" s="28"/>
      <c r="F285" s="28"/>
      <c r="G285" s="28"/>
      <c r="H285" s="28">
        <f t="shared" si="13"/>
        <v>103</v>
      </c>
      <c r="I285" s="28"/>
      <c r="J285" s="28"/>
      <c r="K285" s="28">
        <f>TABL123[[#This Row],[خط (T/B  TOT) SAR]]+TABL123[[#This Row],[خط (S/S  TOT) SAR2]]</f>
        <v>0</v>
      </c>
      <c r="L285" s="28"/>
      <c r="M285" s="29"/>
      <c r="N285" s="30"/>
      <c r="O285" s="14">
        <v>395</v>
      </c>
      <c r="P285" s="9">
        <f>TABL123[[#This Row],[خط (S/S  TOT) SAR2]]-TABL123[[#This Row],[(S/S TOT) AJD]]</f>
        <v>-395</v>
      </c>
      <c r="Q285" s="14">
        <v>429</v>
      </c>
      <c r="R285" s="9">
        <f>TABL123[[#This Row],[خط (T/B  TOT) SAR]]-TABL123[[#This Row],[(T/B TOT) AJD]]</f>
        <v>-429</v>
      </c>
      <c r="S285" s="9">
        <f>TABL123[[#This Row],[الفرق بين بداية ونهاية خط  T/B]]+TABL123[[#This Row],[الفرق بين بداية ونهاية خط  S/S]]</f>
        <v>-824</v>
      </c>
      <c r="T285" s="9">
        <f>TABL123[[#This Row],[(S/S TOT) AJD]]+TABL123[[#This Row],[(T/B TOT) AJD]]</f>
        <v>824</v>
      </c>
      <c r="U285" s="14">
        <v>548</v>
      </c>
      <c r="V285" s="14">
        <v>237</v>
      </c>
      <c r="W285" s="9">
        <f>TABL123[[#This Row],[(A/B TOT) AJD]]+TABL123[[#This Row],[(A/S TOT) AJD]]</f>
        <v>785</v>
      </c>
      <c r="X285" s="9">
        <f>TABL123[[#This Row],[( S/S+T/B) AJD]]-TABL123[[#This Row],[(A/B + A/S) AJD]]</f>
        <v>39</v>
      </c>
      <c r="Y285" s="15">
        <v>92.766999999999996</v>
      </c>
      <c r="Z285" s="16">
        <v>655962</v>
      </c>
      <c r="AA285" s="3">
        <f>TABL123[[#This Row],[(RESV. STORGE) AJD]]/10</f>
        <v>65596.2</v>
      </c>
      <c r="AB285" s="45">
        <f t="shared" si="14"/>
        <v>13.746</v>
      </c>
      <c r="AC285" s="5"/>
      <c r="AD285" s="84">
        <f>TABL123[[#This Row],[( S/S+T/B) AJD]]-(TABL123[[#This Row],[(A/B + A/S) AJD]]+(TABL123[[#This Row],[(STORGE DIFF.) AJD]])+TABL123[[#This Row],[البخر  AJD]]/1000)</f>
        <v>25.254000000000019</v>
      </c>
      <c r="AE285" s="68"/>
      <c r="AF285" s="68"/>
      <c r="AG285" s="68"/>
      <c r="AH285" s="6"/>
      <c r="AI285" s="79"/>
      <c r="AJ285" s="79">
        <f>TABL123[[#This Row],[(A/B TOT) AJD]]-TABL123[[#This Row],[BER_ IN]]</f>
        <v>548</v>
      </c>
      <c r="AK285" s="79"/>
      <c r="AL285" s="68"/>
      <c r="AM285" s="88"/>
      <c r="AN285" s="88">
        <f>TABL123[[#This Row],[ (RESV. STORGE) SER]]/10</f>
        <v>0</v>
      </c>
      <c r="AO285" s="6"/>
      <c r="AP285" s="32">
        <f>TABL123[[#This Row],[(A/S TOT) AJD]]-TABL123[[#This Row],[SER_ IN]]</f>
        <v>237</v>
      </c>
    </row>
    <row r="286" spans="1:42" ht="19.5" thickBot="1" x14ac:dyDescent="0.35">
      <c r="A286" s="2">
        <v>46307</v>
      </c>
      <c r="B286" s="28"/>
      <c r="C286" s="28"/>
      <c r="D286" s="35"/>
      <c r="E286" s="28"/>
      <c r="F286" s="28"/>
      <c r="G286" s="28"/>
      <c r="H286" s="28">
        <f t="shared" si="13"/>
        <v>103</v>
      </c>
      <c r="I286" s="28"/>
      <c r="J286" s="28"/>
      <c r="K286" s="28">
        <f>TABL123[[#This Row],[خط (T/B  TOT) SAR]]+TABL123[[#This Row],[خط (S/S  TOT) SAR2]]</f>
        <v>0</v>
      </c>
      <c r="L286" s="28"/>
      <c r="M286" s="29"/>
      <c r="N286" s="30"/>
      <c r="O286" s="14">
        <v>395</v>
      </c>
      <c r="P286" s="9">
        <f>TABL123[[#This Row],[خط (S/S  TOT) SAR2]]-TABL123[[#This Row],[(S/S TOT) AJD]]</f>
        <v>-395</v>
      </c>
      <c r="Q286" s="14">
        <v>428</v>
      </c>
      <c r="R286" s="9">
        <f>TABL123[[#This Row],[خط (T/B  TOT) SAR]]-TABL123[[#This Row],[(T/B TOT) AJD]]</f>
        <v>-428</v>
      </c>
      <c r="S286" s="9">
        <f>TABL123[[#This Row],[الفرق بين بداية ونهاية خط  T/B]]+TABL123[[#This Row],[الفرق بين بداية ونهاية خط  S/S]]</f>
        <v>-823</v>
      </c>
      <c r="T286" s="9">
        <f>TABL123[[#This Row],[(S/S TOT) AJD]]+TABL123[[#This Row],[(T/B TOT) AJD]]</f>
        <v>823</v>
      </c>
      <c r="U286" s="14">
        <v>548</v>
      </c>
      <c r="V286" s="14">
        <v>244</v>
      </c>
      <c r="W286" s="9">
        <f>TABL123[[#This Row],[(A/B TOT) AJD]]+TABL123[[#This Row],[(A/S TOT) AJD]]</f>
        <v>792</v>
      </c>
      <c r="X286" s="9">
        <f>TABL123[[#This Row],[( S/S+T/B) AJD]]-TABL123[[#This Row],[(A/B + A/S) AJD]]</f>
        <v>31</v>
      </c>
      <c r="Y286" s="15">
        <v>92.777000000000001</v>
      </c>
      <c r="Z286" s="16">
        <v>661943</v>
      </c>
      <c r="AA286" s="3">
        <f>TABL123[[#This Row],[(RESV. STORGE) AJD]]/10</f>
        <v>66194.3</v>
      </c>
      <c r="AB286" s="45">
        <f t="shared" si="14"/>
        <v>5.9809999999999999</v>
      </c>
      <c r="AC286" s="5"/>
      <c r="AD286" s="84">
        <f>TABL123[[#This Row],[( S/S+T/B) AJD]]-(TABL123[[#This Row],[(A/B + A/S) AJD]]+(TABL123[[#This Row],[(STORGE DIFF.) AJD]])+TABL123[[#This Row],[البخر  AJD]]/1000)</f>
        <v>25.019000000000005</v>
      </c>
      <c r="AE286" s="68"/>
      <c r="AF286" s="68"/>
      <c r="AG286" s="68"/>
      <c r="AH286" s="6"/>
      <c r="AI286" s="79"/>
      <c r="AJ286" s="79">
        <f>TABL123[[#This Row],[(A/B TOT) AJD]]-TABL123[[#This Row],[BER_ IN]]</f>
        <v>548</v>
      </c>
      <c r="AK286" s="79"/>
      <c r="AL286" s="68"/>
      <c r="AM286" s="88"/>
      <c r="AN286" s="88">
        <f>TABL123[[#This Row],[ (RESV. STORGE) SER]]/10</f>
        <v>0</v>
      </c>
      <c r="AO286" s="6"/>
      <c r="AP286" s="32">
        <f>TABL123[[#This Row],[(A/S TOT) AJD]]-TABL123[[#This Row],[SER_ IN]]</f>
        <v>244</v>
      </c>
    </row>
    <row r="287" spans="1:42" ht="19.5" thickBot="1" x14ac:dyDescent="0.35">
      <c r="A287" s="2">
        <v>46308</v>
      </c>
      <c r="B287" s="28"/>
      <c r="C287" s="28"/>
      <c r="D287" s="35"/>
      <c r="E287" s="28"/>
      <c r="F287" s="28"/>
      <c r="G287" s="28"/>
      <c r="H287" s="28">
        <f t="shared" si="13"/>
        <v>103</v>
      </c>
      <c r="I287" s="28"/>
      <c r="J287" s="28"/>
      <c r="K287" s="28">
        <f>TABL123[[#This Row],[خط (T/B  TOT) SAR]]+TABL123[[#This Row],[خط (S/S  TOT) SAR2]]</f>
        <v>0</v>
      </c>
      <c r="L287" s="28"/>
      <c r="M287" s="29"/>
      <c r="N287" s="30"/>
      <c r="O287" s="14">
        <v>397</v>
      </c>
      <c r="P287" s="9">
        <f>TABL123[[#This Row],[خط (S/S  TOT) SAR2]]-TABL123[[#This Row],[(S/S TOT) AJD]]</f>
        <v>-397</v>
      </c>
      <c r="Q287" s="14">
        <v>428</v>
      </c>
      <c r="R287" s="9">
        <f>TABL123[[#This Row],[خط (T/B  TOT) SAR]]-TABL123[[#This Row],[(T/B TOT) AJD]]</f>
        <v>-428</v>
      </c>
      <c r="S287" s="9">
        <f>TABL123[[#This Row],[الفرق بين بداية ونهاية خط  T/B]]+TABL123[[#This Row],[الفرق بين بداية ونهاية خط  S/S]]</f>
        <v>-825</v>
      </c>
      <c r="T287" s="9">
        <f>TABL123[[#This Row],[(S/S TOT) AJD]]+TABL123[[#This Row],[(T/B TOT) AJD]]</f>
        <v>825</v>
      </c>
      <c r="U287" s="14">
        <v>561</v>
      </c>
      <c r="V287" s="14">
        <v>261</v>
      </c>
      <c r="W287" s="9">
        <f>TABL123[[#This Row],[(A/B TOT) AJD]]+TABL123[[#This Row],[(A/S TOT) AJD]]</f>
        <v>822</v>
      </c>
      <c r="X287" s="9">
        <f>TABL123[[#This Row],[( S/S+T/B) AJD]]-TABL123[[#This Row],[(A/B + A/S) AJD]]</f>
        <v>3</v>
      </c>
      <c r="Y287" s="15">
        <v>92.724000000000004</v>
      </c>
      <c r="Z287" s="16">
        <v>630252</v>
      </c>
      <c r="AA287" s="3">
        <f>TABL123[[#This Row],[(RESV. STORGE) AJD]]/10</f>
        <v>63025.2</v>
      </c>
      <c r="AB287" s="45">
        <f t="shared" si="14"/>
        <v>-31.690999999999999</v>
      </c>
      <c r="AC287" s="5"/>
      <c r="AD287" s="84">
        <f>TABL123[[#This Row],[( S/S+T/B) AJD]]-(TABL123[[#This Row],[(A/B + A/S) AJD]]+(TABL123[[#This Row],[(STORGE DIFF.) AJD]])+TABL123[[#This Row],[البخر  AJD]]/1000)</f>
        <v>34.691000000000031</v>
      </c>
      <c r="AE287" s="68"/>
      <c r="AF287" s="68"/>
      <c r="AG287" s="68"/>
      <c r="AH287" s="6"/>
      <c r="AI287" s="79"/>
      <c r="AJ287" s="79">
        <f>TABL123[[#This Row],[(A/B TOT) AJD]]-TABL123[[#This Row],[BER_ IN]]</f>
        <v>561</v>
      </c>
      <c r="AK287" s="79"/>
      <c r="AL287" s="68"/>
      <c r="AM287" s="88"/>
      <c r="AN287" s="88">
        <f>TABL123[[#This Row],[ (RESV. STORGE) SER]]/10</f>
        <v>0</v>
      </c>
      <c r="AO287" s="6"/>
      <c r="AP287" s="32">
        <f>TABL123[[#This Row],[(A/S TOT) AJD]]-TABL123[[#This Row],[SER_ IN]]</f>
        <v>261</v>
      </c>
    </row>
    <row r="288" spans="1:42" ht="19.5" thickBot="1" x14ac:dyDescent="0.35">
      <c r="A288" s="2">
        <v>46309</v>
      </c>
      <c r="B288" s="28"/>
      <c r="C288" s="28"/>
      <c r="D288" s="35"/>
      <c r="E288" s="28"/>
      <c r="F288" s="28"/>
      <c r="G288" s="28"/>
      <c r="H288" s="28">
        <f t="shared" si="13"/>
        <v>103</v>
      </c>
      <c r="I288" s="28"/>
      <c r="J288" s="28"/>
      <c r="K288" s="28">
        <f>TABL123[[#This Row],[خط (T/B  TOT) SAR]]+TABL123[[#This Row],[خط (S/S  TOT) SAR2]]</f>
        <v>0</v>
      </c>
      <c r="L288" s="28"/>
      <c r="M288" s="29"/>
      <c r="N288" s="30"/>
      <c r="O288" s="14">
        <v>398</v>
      </c>
      <c r="P288" s="9">
        <f>TABL123[[#This Row],[خط (S/S  TOT) SAR2]]-TABL123[[#This Row],[(S/S TOT) AJD]]</f>
        <v>-398</v>
      </c>
      <c r="Q288" s="14">
        <v>428</v>
      </c>
      <c r="R288" s="9">
        <f>TABL123[[#This Row],[خط (T/B  TOT) SAR]]-TABL123[[#This Row],[(T/B TOT) AJD]]</f>
        <v>-428</v>
      </c>
      <c r="S288" s="9">
        <f>TABL123[[#This Row],[الفرق بين بداية ونهاية خط  T/B]]+TABL123[[#This Row],[الفرق بين بداية ونهاية خط  S/S]]</f>
        <v>-826</v>
      </c>
      <c r="T288" s="9">
        <f>TABL123[[#This Row],[(S/S TOT) AJD]]+TABL123[[#This Row],[(T/B TOT) AJD]]</f>
        <v>826</v>
      </c>
      <c r="U288" s="14">
        <v>561</v>
      </c>
      <c r="V288" s="14">
        <v>266</v>
      </c>
      <c r="W288" s="9">
        <f>TABL123[[#This Row],[(A/B TOT) AJD]]+TABL123[[#This Row],[(A/S TOT) AJD]]</f>
        <v>827</v>
      </c>
      <c r="X288" s="9">
        <f>TABL123[[#This Row],[( S/S+T/B) AJD]]-TABL123[[#This Row],[(A/B + A/S) AJD]]</f>
        <v>-1</v>
      </c>
      <c r="Y288" s="15">
        <v>92.697000000000003</v>
      </c>
      <c r="Z288" s="16">
        <v>614122</v>
      </c>
      <c r="AA288" s="3">
        <f>TABL123[[#This Row],[(RESV. STORGE) AJD]]/10</f>
        <v>61412.2</v>
      </c>
      <c r="AB288" s="45">
        <f t="shared" si="14"/>
        <v>-16.13</v>
      </c>
      <c r="AC288" s="5"/>
      <c r="AD288" s="84">
        <f>TABL123[[#This Row],[( S/S+T/B) AJD]]-(TABL123[[#This Row],[(A/B + A/S) AJD]]+(TABL123[[#This Row],[(STORGE DIFF.) AJD]])+TABL123[[#This Row],[البخر  AJD]]/1000)</f>
        <v>15.129999999999995</v>
      </c>
      <c r="AE288" s="68"/>
      <c r="AF288" s="68"/>
      <c r="AG288" s="68"/>
      <c r="AH288" s="6"/>
      <c r="AI288" s="79"/>
      <c r="AJ288" s="79">
        <f>TABL123[[#This Row],[(A/B TOT) AJD]]-TABL123[[#This Row],[BER_ IN]]</f>
        <v>561</v>
      </c>
      <c r="AK288" s="79"/>
      <c r="AL288" s="68"/>
      <c r="AM288" s="88"/>
      <c r="AN288" s="88">
        <f>TABL123[[#This Row],[ (RESV. STORGE) SER]]/10</f>
        <v>0</v>
      </c>
      <c r="AO288" s="6"/>
      <c r="AP288" s="32">
        <f>TABL123[[#This Row],[(A/S TOT) AJD]]-TABL123[[#This Row],[SER_ IN]]</f>
        <v>266</v>
      </c>
    </row>
    <row r="289" spans="1:42" ht="19.5" thickBot="1" x14ac:dyDescent="0.35">
      <c r="A289" s="2">
        <v>46310</v>
      </c>
      <c r="B289" s="28"/>
      <c r="C289" s="28"/>
      <c r="D289" s="35"/>
      <c r="E289" s="28"/>
      <c r="F289" s="28"/>
      <c r="G289" s="28"/>
      <c r="H289" s="28">
        <f t="shared" si="13"/>
        <v>103</v>
      </c>
      <c r="I289" s="28"/>
      <c r="J289" s="28"/>
      <c r="K289" s="28">
        <f>TABL123[[#This Row],[خط (T/B  TOT) SAR]]+TABL123[[#This Row],[خط (S/S  TOT) SAR2]]</f>
        <v>0</v>
      </c>
      <c r="L289" s="28"/>
      <c r="M289" s="29"/>
      <c r="N289" s="30"/>
      <c r="O289" s="14">
        <v>402</v>
      </c>
      <c r="P289" s="9">
        <f>TABL123[[#This Row],[خط (S/S  TOT) SAR2]]-TABL123[[#This Row],[(S/S TOT) AJD]]</f>
        <v>-402</v>
      </c>
      <c r="Q289" s="14">
        <v>430</v>
      </c>
      <c r="R289" s="9">
        <f>TABL123[[#This Row],[خط (T/B  TOT) SAR]]-TABL123[[#This Row],[(T/B TOT) AJD]]</f>
        <v>-430</v>
      </c>
      <c r="S289" s="9">
        <f>TABL123[[#This Row],[الفرق بين بداية ونهاية خط  T/B]]+TABL123[[#This Row],[الفرق بين بداية ونهاية خط  S/S]]</f>
        <v>-832</v>
      </c>
      <c r="T289" s="9">
        <f>TABL123[[#This Row],[(S/S TOT) AJD]]+TABL123[[#This Row],[(T/B TOT) AJD]]</f>
        <v>832</v>
      </c>
      <c r="U289" s="14">
        <v>563</v>
      </c>
      <c r="V289" s="14">
        <v>278</v>
      </c>
      <c r="W289" s="9">
        <f>TABL123[[#This Row],[(A/B TOT) AJD]]+TABL123[[#This Row],[(A/S TOT) AJD]]</f>
        <v>841</v>
      </c>
      <c r="X289" s="9">
        <f>TABL123[[#This Row],[( S/S+T/B) AJD]]-TABL123[[#This Row],[(A/B + A/S) AJD]]</f>
        <v>-9</v>
      </c>
      <c r="Y289" s="15">
        <v>92.617000000000004</v>
      </c>
      <c r="Z289" s="16">
        <v>566373</v>
      </c>
      <c r="AA289" s="3">
        <f>TABL123[[#This Row],[(RESV. STORGE) AJD]]/10</f>
        <v>56637.3</v>
      </c>
      <c r="AB289" s="45">
        <f t="shared" si="14"/>
        <v>-47.749000000000002</v>
      </c>
      <c r="AC289" s="5"/>
      <c r="AD289" s="84">
        <f>TABL123[[#This Row],[( S/S+T/B) AJD]]-(TABL123[[#This Row],[(A/B + A/S) AJD]]+(TABL123[[#This Row],[(STORGE DIFF.) AJD]])+TABL123[[#This Row],[البخر  AJD]]/1000)</f>
        <v>38.749000000000024</v>
      </c>
      <c r="AE289" s="68"/>
      <c r="AF289" s="68"/>
      <c r="AG289" s="68"/>
      <c r="AH289" s="6"/>
      <c r="AI289" s="79"/>
      <c r="AJ289" s="79">
        <f>TABL123[[#This Row],[(A/B TOT) AJD]]-TABL123[[#This Row],[BER_ IN]]</f>
        <v>563</v>
      </c>
      <c r="AK289" s="79"/>
      <c r="AL289" s="68"/>
      <c r="AM289" s="88"/>
      <c r="AN289" s="88">
        <f>TABL123[[#This Row],[ (RESV. STORGE) SER]]/10</f>
        <v>0</v>
      </c>
      <c r="AO289" s="6"/>
      <c r="AP289" s="32">
        <f>TABL123[[#This Row],[(A/S TOT) AJD]]-TABL123[[#This Row],[SER_ IN]]</f>
        <v>278</v>
      </c>
    </row>
    <row r="290" spans="1:42" ht="19.5" thickBot="1" x14ac:dyDescent="0.35">
      <c r="A290" s="2">
        <v>46311</v>
      </c>
      <c r="B290" s="28"/>
      <c r="C290" s="28"/>
      <c r="D290" s="35"/>
      <c r="E290" s="28"/>
      <c r="F290" s="28"/>
      <c r="G290" s="28"/>
      <c r="H290" s="28">
        <f t="shared" si="13"/>
        <v>103</v>
      </c>
      <c r="I290" s="28"/>
      <c r="J290" s="28"/>
      <c r="K290" s="28">
        <f>TABL123[[#This Row],[خط (T/B  TOT) SAR]]+TABL123[[#This Row],[خط (S/S  TOT) SAR2]]</f>
        <v>0</v>
      </c>
      <c r="L290" s="28"/>
      <c r="M290" s="29"/>
      <c r="N290" s="30"/>
      <c r="O290" s="14">
        <v>398</v>
      </c>
      <c r="P290" s="9">
        <f>TABL123[[#This Row],[خط (S/S  TOT) SAR2]]-TABL123[[#This Row],[(S/S TOT) AJD]]</f>
        <v>-398</v>
      </c>
      <c r="Q290" s="14">
        <v>429</v>
      </c>
      <c r="R290" s="9">
        <f>TABL123[[#This Row],[خط (T/B  TOT) SAR]]-TABL123[[#This Row],[(T/B TOT) AJD]]</f>
        <v>-429</v>
      </c>
      <c r="S290" s="9">
        <f>TABL123[[#This Row],[الفرق بين بداية ونهاية خط  T/B]]+TABL123[[#This Row],[الفرق بين بداية ونهاية خط  S/S]]</f>
        <v>-827</v>
      </c>
      <c r="T290" s="9">
        <f>TABL123[[#This Row],[(S/S TOT) AJD]]+TABL123[[#This Row],[(T/B TOT) AJD]]</f>
        <v>827</v>
      </c>
      <c r="U290" s="14">
        <v>558</v>
      </c>
      <c r="V290" s="14">
        <v>253</v>
      </c>
      <c r="W290" s="9">
        <f>TABL123[[#This Row],[(A/B TOT) AJD]]+TABL123[[#This Row],[(A/S TOT) AJD]]</f>
        <v>811</v>
      </c>
      <c r="X290" s="9">
        <f>TABL123[[#This Row],[( S/S+T/B) AJD]]-TABL123[[#This Row],[(A/B + A/S) AJD]]</f>
        <v>16</v>
      </c>
      <c r="Y290" s="15">
        <v>92.606999999999999</v>
      </c>
      <c r="Z290" s="16">
        <v>560410</v>
      </c>
      <c r="AA290" s="3">
        <f>TABL123[[#This Row],[(RESV. STORGE) AJD]]/10</f>
        <v>56041</v>
      </c>
      <c r="AB290" s="45">
        <f t="shared" si="14"/>
        <v>-5.9630000000000001</v>
      </c>
      <c r="AC290" s="5"/>
      <c r="AD290" s="84">
        <f>TABL123[[#This Row],[( S/S+T/B) AJD]]-(TABL123[[#This Row],[(A/B + A/S) AJD]]+(TABL123[[#This Row],[(STORGE DIFF.) AJD]])+TABL123[[#This Row],[البخر  AJD]]/1000)</f>
        <v>21.962999999999965</v>
      </c>
      <c r="AE290" s="68"/>
      <c r="AF290" s="68"/>
      <c r="AG290" s="68"/>
      <c r="AH290" s="6"/>
      <c r="AI290" s="79"/>
      <c r="AJ290" s="79">
        <f>TABL123[[#This Row],[(A/B TOT) AJD]]-TABL123[[#This Row],[BER_ IN]]</f>
        <v>558</v>
      </c>
      <c r="AK290" s="79"/>
      <c r="AL290" s="68"/>
      <c r="AM290" s="88"/>
      <c r="AN290" s="88">
        <f>TABL123[[#This Row],[ (RESV. STORGE) SER]]/10</f>
        <v>0</v>
      </c>
      <c r="AO290" s="6"/>
      <c r="AP290" s="32">
        <f>TABL123[[#This Row],[(A/S TOT) AJD]]-TABL123[[#This Row],[SER_ IN]]</f>
        <v>253</v>
      </c>
    </row>
    <row r="291" spans="1:42" ht="19.5" thickBot="1" x14ac:dyDescent="0.35">
      <c r="A291" s="2">
        <v>46312</v>
      </c>
      <c r="B291" s="28"/>
      <c r="C291" s="28"/>
      <c r="D291" s="28"/>
      <c r="E291" s="28"/>
      <c r="F291" s="28"/>
      <c r="G291" s="28"/>
      <c r="H291" s="28">
        <f t="shared" si="13"/>
        <v>103</v>
      </c>
      <c r="I291" s="28"/>
      <c r="J291" s="28"/>
      <c r="K291" s="28">
        <f>TABL123[[#This Row],[خط (T/B  TOT) SAR]]+TABL123[[#This Row],[خط (S/S  TOT) SAR2]]</f>
        <v>0</v>
      </c>
      <c r="L291" s="28"/>
      <c r="M291" s="29"/>
      <c r="N291" s="30"/>
      <c r="O291" s="14">
        <v>397</v>
      </c>
      <c r="P291" s="9">
        <f>TABL123[[#This Row],[خط (S/S  TOT) SAR2]]-TABL123[[#This Row],[(S/S TOT) AJD]]</f>
        <v>-397</v>
      </c>
      <c r="Q291" s="14">
        <v>428</v>
      </c>
      <c r="R291" s="9">
        <f>TABL123[[#This Row],[خط (T/B  TOT) SAR]]-TABL123[[#This Row],[(T/B TOT) AJD]]</f>
        <v>-428</v>
      </c>
      <c r="S291" s="9">
        <f>TABL123[[#This Row],[الفرق بين بداية ونهاية خط  T/B]]+TABL123[[#This Row],[الفرق بين بداية ونهاية خط  S/S]]</f>
        <v>-825</v>
      </c>
      <c r="T291" s="9">
        <f>TABL123[[#This Row],[(S/S TOT) AJD]]+TABL123[[#This Row],[(T/B TOT) AJD]]</f>
        <v>825</v>
      </c>
      <c r="U291" s="14">
        <v>558</v>
      </c>
      <c r="V291" s="14">
        <v>224</v>
      </c>
      <c r="W291" s="9">
        <f>TABL123[[#This Row],[(A/B TOT) AJD]]+TABL123[[#This Row],[(A/S TOT) AJD]]</f>
        <v>782</v>
      </c>
      <c r="X291" s="9">
        <f>TABL123[[#This Row],[( S/S+T/B) AJD]]-TABL123[[#This Row],[(A/B + A/S) AJD]]</f>
        <v>43</v>
      </c>
      <c r="Y291" s="15">
        <v>92.623999999999995</v>
      </c>
      <c r="Z291" s="16">
        <v>570552</v>
      </c>
      <c r="AA291" s="3">
        <f>TABL123[[#This Row],[(RESV. STORGE) AJD]]/10</f>
        <v>57055.199999999997</v>
      </c>
      <c r="AB291" s="45">
        <f t="shared" si="14"/>
        <v>10.141999999999999</v>
      </c>
      <c r="AC291" s="5"/>
      <c r="AD291" s="84">
        <f>TABL123[[#This Row],[( S/S+T/B) AJD]]-(TABL123[[#This Row],[(A/B + A/S) AJD]]+(TABL123[[#This Row],[(STORGE DIFF.) AJD]])+TABL123[[#This Row],[البخر  AJD]]/1000)</f>
        <v>32.857999999999947</v>
      </c>
      <c r="AE291" s="68"/>
      <c r="AF291" s="68"/>
      <c r="AG291" s="68"/>
      <c r="AH291" s="6"/>
      <c r="AI291" s="79"/>
      <c r="AJ291" s="79">
        <f>TABL123[[#This Row],[(A/B TOT) AJD]]-TABL123[[#This Row],[BER_ IN]]</f>
        <v>558</v>
      </c>
      <c r="AK291" s="79"/>
      <c r="AL291" s="68"/>
      <c r="AM291" s="88"/>
      <c r="AN291" s="88">
        <f>TABL123[[#This Row],[ (RESV. STORGE) SER]]/10</f>
        <v>0</v>
      </c>
      <c r="AO291" s="6"/>
      <c r="AP291" s="32">
        <f>TABL123[[#This Row],[(A/S TOT) AJD]]-TABL123[[#This Row],[SER_ IN]]</f>
        <v>224</v>
      </c>
    </row>
    <row r="292" spans="1:42" ht="19.5" thickBot="1" x14ac:dyDescent="0.35">
      <c r="A292" s="2">
        <v>46313</v>
      </c>
      <c r="B292" s="28"/>
      <c r="C292" s="28"/>
      <c r="D292" s="28"/>
      <c r="E292" s="28"/>
      <c r="F292" s="28"/>
      <c r="G292" s="28"/>
      <c r="H292" s="28">
        <f t="shared" si="13"/>
        <v>103</v>
      </c>
      <c r="I292" s="28"/>
      <c r="J292" s="28"/>
      <c r="K292" s="28">
        <f>TABL123[[#This Row],[خط (T/B  TOT) SAR]]+TABL123[[#This Row],[خط (S/S  TOT) SAR2]]</f>
        <v>0</v>
      </c>
      <c r="L292" s="28"/>
      <c r="M292" s="29"/>
      <c r="N292" s="30"/>
      <c r="O292" s="14">
        <v>393</v>
      </c>
      <c r="P292" s="9">
        <f>TABL123[[#This Row],[خط (S/S  TOT) SAR2]]-TABL123[[#This Row],[(S/S TOT) AJD]]</f>
        <v>-393</v>
      </c>
      <c r="Q292" s="14">
        <v>426</v>
      </c>
      <c r="R292" s="9">
        <f>TABL123[[#This Row],[خط (T/B  TOT) SAR]]-TABL123[[#This Row],[(T/B TOT) AJD]]</f>
        <v>-426</v>
      </c>
      <c r="S292" s="9">
        <f>TABL123[[#This Row],[الفرق بين بداية ونهاية خط  T/B]]+TABL123[[#This Row],[الفرق بين بداية ونهاية خط  S/S]]</f>
        <v>-819</v>
      </c>
      <c r="T292" s="9">
        <f>TABL123[[#This Row],[(S/S TOT) AJD]]+TABL123[[#This Row],[(T/B TOT) AJD]]</f>
        <v>819</v>
      </c>
      <c r="U292" s="14">
        <v>565</v>
      </c>
      <c r="V292" s="14">
        <v>217</v>
      </c>
      <c r="W292" s="9">
        <f>TABL123[[#This Row],[(A/B TOT) AJD]]+TABL123[[#This Row],[(A/S TOT) AJD]]</f>
        <v>782</v>
      </c>
      <c r="X292" s="9">
        <f>TABL123[[#This Row],[( S/S+T/B) AJD]]-TABL123[[#This Row],[(A/B + A/S) AJD]]</f>
        <v>37</v>
      </c>
      <c r="Y292" s="15">
        <v>92.652000000000001</v>
      </c>
      <c r="Z292" s="16">
        <v>587262</v>
      </c>
      <c r="AA292" s="3">
        <f>TABL123[[#This Row],[(RESV. STORGE) AJD]]/10</f>
        <v>58726.2</v>
      </c>
      <c r="AB292" s="45">
        <f t="shared" si="14"/>
        <v>16.71</v>
      </c>
      <c r="AC292" s="5"/>
      <c r="AD292" s="84">
        <f>TABL123[[#This Row],[( S/S+T/B) AJD]]-(TABL123[[#This Row],[(A/B + A/S) AJD]]+(TABL123[[#This Row],[(STORGE DIFF.) AJD]])+TABL123[[#This Row],[البخر  AJD]]/1000)</f>
        <v>20.289999999999964</v>
      </c>
      <c r="AE292" s="68"/>
      <c r="AF292" s="68"/>
      <c r="AG292" s="68"/>
      <c r="AH292" s="6"/>
      <c r="AI292" s="79"/>
      <c r="AJ292" s="79">
        <f>TABL123[[#This Row],[(A/B TOT) AJD]]-TABL123[[#This Row],[BER_ IN]]</f>
        <v>565</v>
      </c>
      <c r="AK292" s="79"/>
      <c r="AL292" s="68"/>
      <c r="AM292" s="88"/>
      <c r="AN292" s="88">
        <f>TABL123[[#This Row],[ (RESV. STORGE) SER]]/10</f>
        <v>0</v>
      </c>
      <c r="AO292" s="6"/>
      <c r="AP292" s="32">
        <f>TABL123[[#This Row],[(A/S TOT) AJD]]-TABL123[[#This Row],[SER_ IN]]</f>
        <v>217</v>
      </c>
    </row>
    <row r="293" spans="1:42" ht="19.5" thickBot="1" x14ac:dyDescent="0.35">
      <c r="A293" s="2">
        <v>46314</v>
      </c>
      <c r="B293" s="28"/>
      <c r="C293" s="28"/>
      <c r="D293" s="28"/>
      <c r="E293" s="28"/>
      <c r="F293" s="28"/>
      <c r="G293" s="28"/>
      <c r="H293" s="28">
        <f t="shared" si="13"/>
        <v>103</v>
      </c>
      <c r="I293" s="28"/>
      <c r="J293" s="28"/>
      <c r="K293" s="28">
        <f>TABL123[[#This Row],[خط (T/B  TOT) SAR]]+TABL123[[#This Row],[خط (S/S  TOT) SAR2]]</f>
        <v>0</v>
      </c>
      <c r="L293" s="28"/>
      <c r="M293" s="29"/>
      <c r="N293" s="30"/>
      <c r="O293" s="14">
        <v>387</v>
      </c>
      <c r="P293" s="9">
        <f>TABL123[[#This Row],[خط (S/S  TOT) SAR2]]-TABL123[[#This Row],[(S/S TOT) AJD]]</f>
        <v>-387</v>
      </c>
      <c r="Q293" s="14">
        <v>417</v>
      </c>
      <c r="R293" s="9">
        <f>TABL123[[#This Row],[خط (T/B  TOT) SAR]]-TABL123[[#This Row],[(T/B TOT) AJD]]</f>
        <v>-417</v>
      </c>
      <c r="S293" s="9">
        <f>TABL123[[#This Row],[الفرق بين بداية ونهاية خط  T/B]]+TABL123[[#This Row],[الفرق بين بداية ونهاية خط  S/S]]</f>
        <v>-804</v>
      </c>
      <c r="T293" s="9">
        <f>TABL123[[#This Row],[(S/S TOT) AJD]]+TABL123[[#This Row],[(T/B TOT) AJD]]</f>
        <v>804</v>
      </c>
      <c r="U293" s="14">
        <v>568</v>
      </c>
      <c r="V293" s="14">
        <v>216</v>
      </c>
      <c r="W293" s="9">
        <f>TABL123[[#This Row],[(A/B TOT) AJD]]+TABL123[[#This Row],[(A/S TOT) AJD]]</f>
        <v>784</v>
      </c>
      <c r="X293" s="9">
        <f>TABL123[[#This Row],[( S/S+T/B) AJD]]-TABL123[[#This Row],[(A/B + A/S) AJD]]</f>
        <v>20</v>
      </c>
      <c r="Y293" s="15">
        <v>92.634</v>
      </c>
      <c r="Z293" s="16">
        <v>576521</v>
      </c>
      <c r="AA293" s="3">
        <f>TABL123[[#This Row],[(RESV. STORGE) AJD]]/10</f>
        <v>57652.1</v>
      </c>
      <c r="AB293" s="45">
        <f t="shared" si="14"/>
        <v>-10.741</v>
      </c>
      <c r="AC293" s="5"/>
      <c r="AD293" s="84">
        <f>TABL123[[#This Row],[( S/S+T/B) AJD]]-(TABL123[[#This Row],[(A/B + A/S) AJD]]+(TABL123[[#This Row],[(STORGE DIFF.) AJD]])+TABL123[[#This Row],[البخر  AJD]]/1000)</f>
        <v>30.740999999999985</v>
      </c>
      <c r="AE293" s="68"/>
      <c r="AF293" s="68"/>
      <c r="AG293" s="68"/>
      <c r="AH293" s="6"/>
      <c r="AI293" s="79"/>
      <c r="AJ293" s="79">
        <f>TABL123[[#This Row],[(A/B TOT) AJD]]-TABL123[[#This Row],[BER_ IN]]</f>
        <v>568</v>
      </c>
      <c r="AK293" s="79"/>
      <c r="AL293" s="68"/>
      <c r="AM293" s="88"/>
      <c r="AN293" s="88">
        <f>TABL123[[#This Row],[ (RESV. STORGE) SER]]/10</f>
        <v>0</v>
      </c>
      <c r="AO293" s="6"/>
      <c r="AP293" s="32">
        <f>TABL123[[#This Row],[(A/S TOT) AJD]]-TABL123[[#This Row],[SER_ IN]]</f>
        <v>216</v>
      </c>
    </row>
    <row r="294" spans="1:42" ht="19.5" thickBot="1" x14ac:dyDescent="0.35">
      <c r="A294" s="2">
        <v>46315</v>
      </c>
      <c r="B294" s="28"/>
      <c r="C294" s="28"/>
      <c r="D294" s="28"/>
      <c r="E294" s="28"/>
      <c r="F294" s="28"/>
      <c r="G294" s="28"/>
      <c r="H294" s="28">
        <f t="shared" si="13"/>
        <v>103</v>
      </c>
      <c r="I294" s="28"/>
      <c r="J294" s="28"/>
      <c r="K294" s="28">
        <f>TABL123[[#This Row],[خط (T/B  TOT) SAR]]+TABL123[[#This Row],[خط (S/S  TOT) SAR2]]</f>
        <v>0</v>
      </c>
      <c r="L294" s="28"/>
      <c r="M294" s="29"/>
      <c r="N294" s="30"/>
      <c r="O294" s="14">
        <v>379</v>
      </c>
      <c r="P294" s="9">
        <f>TABL123[[#This Row],[خط (S/S  TOT) SAR2]]-TABL123[[#This Row],[(S/S TOT) AJD]]</f>
        <v>-379</v>
      </c>
      <c r="Q294" s="14">
        <v>409</v>
      </c>
      <c r="R294" s="9">
        <f>TABL123[[#This Row],[خط (T/B  TOT) SAR]]-TABL123[[#This Row],[(T/B TOT) AJD]]</f>
        <v>-409</v>
      </c>
      <c r="S294" s="9">
        <f>TABL123[[#This Row],[الفرق بين بداية ونهاية خط  T/B]]+TABL123[[#This Row],[الفرق بين بداية ونهاية خط  S/S]]</f>
        <v>-788</v>
      </c>
      <c r="T294" s="9">
        <f>TABL123[[#This Row],[(S/S TOT) AJD]]+TABL123[[#This Row],[(T/B TOT) AJD]]</f>
        <v>788</v>
      </c>
      <c r="U294" s="14">
        <v>564</v>
      </c>
      <c r="V294" s="14">
        <v>227</v>
      </c>
      <c r="W294" s="9">
        <f>TABL123[[#This Row],[(A/B TOT) AJD]]+TABL123[[#This Row],[(A/S TOT) AJD]]</f>
        <v>791</v>
      </c>
      <c r="X294" s="9">
        <f>TABL123[[#This Row],[( S/S+T/B) AJD]]-TABL123[[#This Row],[(A/B + A/S) AJD]]</f>
        <v>-3</v>
      </c>
      <c r="Y294" s="15">
        <v>92.578999999999994</v>
      </c>
      <c r="Z294" s="16">
        <v>543710</v>
      </c>
      <c r="AA294" s="3">
        <f>TABL123[[#This Row],[(RESV. STORGE) AJD]]/10</f>
        <v>54371</v>
      </c>
      <c r="AB294" s="45">
        <f t="shared" si="14"/>
        <v>-32.811</v>
      </c>
      <c r="AC294" s="5"/>
      <c r="AD294" s="84">
        <f>TABL123[[#This Row],[( S/S+T/B) AJD]]-(TABL123[[#This Row],[(A/B + A/S) AJD]]+(TABL123[[#This Row],[(STORGE DIFF.) AJD]])+TABL123[[#This Row],[البخر  AJD]]/1000)</f>
        <v>29.811000000000035</v>
      </c>
      <c r="AE294" s="68"/>
      <c r="AF294" s="68"/>
      <c r="AG294" s="68"/>
      <c r="AH294" s="6"/>
      <c r="AI294" s="79"/>
      <c r="AJ294" s="79">
        <f>TABL123[[#This Row],[(A/B TOT) AJD]]-TABL123[[#This Row],[BER_ IN]]</f>
        <v>564</v>
      </c>
      <c r="AK294" s="79"/>
      <c r="AL294" s="68"/>
      <c r="AM294" s="88"/>
      <c r="AN294" s="88">
        <f>TABL123[[#This Row],[ (RESV. STORGE) SER]]/10</f>
        <v>0</v>
      </c>
      <c r="AO294" s="6"/>
      <c r="AP294" s="32">
        <f>TABL123[[#This Row],[(A/S TOT) AJD]]-TABL123[[#This Row],[SER_ IN]]</f>
        <v>227</v>
      </c>
    </row>
    <row r="295" spans="1:42" ht="19.5" thickBot="1" x14ac:dyDescent="0.35">
      <c r="A295" s="2">
        <v>46316</v>
      </c>
      <c r="B295" s="28"/>
      <c r="C295" s="28"/>
      <c r="D295" s="28"/>
      <c r="E295" s="28"/>
      <c r="F295" s="28"/>
      <c r="G295" s="28"/>
      <c r="H295" s="28">
        <f t="shared" si="13"/>
        <v>103</v>
      </c>
      <c r="I295" s="28"/>
      <c r="J295" s="28"/>
      <c r="K295" s="28">
        <f>TABL123[[#This Row],[خط (T/B  TOT) SAR]]+TABL123[[#This Row],[خط (S/S  TOT) SAR2]]</f>
        <v>0</v>
      </c>
      <c r="L295" s="28"/>
      <c r="M295" s="29"/>
      <c r="N295" s="30"/>
      <c r="O295" s="14">
        <v>381</v>
      </c>
      <c r="P295" s="9">
        <f>TABL123[[#This Row],[خط (S/S  TOT) SAR2]]-TABL123[[#This Row],[(S/S TOT) AJD]]</f>
        <v>-381</v>
      </c>
      <c r="Q295" s="14">
        <v>412</v>
      </c>
      <c r="R295" s="9">
        <f>TABL123[[#This Row],[خط (T/B  TOT) SAR]]-TABL123[[#This Row],[(T/B TOT) AJD]]</f>
        <v>-412</v>
      </c>
      <c r="S295" s="9">
        <f>TABL123[[#This Row],[الفرق بين بداية ونهاية خط  T/B]]+TABL123[[#This Row],[الفرق بين بداية ونهاية خط  S/S]]</f>
        <v>-793</v>
      </c>
      <c r="T295" s="9">
        <f>TABL123[[#This Row],[(S/S TOT) AJD]]+TABL123[[#This Row],[(T/B TOT) AJD]]</f>
        <v>793</v>
      </c>
      <c r="U295" s="14">
        <v>565</v>
      </c>
      <c r="V295" s="14">
        <v>225</v>
      </c>
      <c r="W295" s="9">
        <f>TABL123[[#This Row],[(A/B TOT) AJD]]+TABL123[[#This Row],[(A/S TOT) AJD]]</f>
        <v>790</v>
      </c>
      <c r="X295" s="9">
        <f>TABL123[[#This Row],[( S/S+T/B) AJD]]-TABL123[[#This Row],[(A/B + A/S) AJD]]</f>
        <v>3</v>
      </c>
      <c r="Y295" s="15">
        <v>92.527000000000001</v>
      </c>
      <c r="Z295" s="16">
        <v>512711</v>
      </c>
      <c r="AA295" s="3">
        <f>TABL123[[#This Row],[(RESV. STORGE) AJD]]/10</f>
        <v>51271.1</v>
      </c>
      <c r="AB295" s="45">
        <f t="shared" si="14"/>
        <v>-30.998999999999999</v>
      </c>
      <c r="AC295" s="5"/>
      <c r="AD295" s="84">
        <f>TABL123[[#This Row],[( S/S+T/B) AJD]]-(TABL123[[#This Row],[(A/B + A/S) AJD]]+(TABL123[[#This Row],[(STORGE DIFF.) AJD]])+TABL123[[#This Row],[البخر  AJD]]/1000)</f>
        <v>33.999000000000024</v>
      </c>
      <c r="AE295" s="68"/>
      <c r="AF295" s="68"/>
      <c r="AG295" s="68"/>
      <c r="AH295" s="6"/>
      <c r="AI295" s="79"/>
      <c r="AJ295" s="79">
        <f>TABL123[[#This Row],[(A/B TOT) AJD]]-TABL123[[#This Row],[BER_ IN]]</f>
        <v>565</v>
      </c>
      <c r="AK295" s="79"/>
      <c r="AL295" s="68"/>
      <c r="AM295" s="88"/>
      <c r="AN295" s="88">
        <f>TABL123[[#This Row],[ (RESV. STORGE) SER]]/10</f>
        <v>0</v>
      </c>
      <c r="AO295" s="6"/>
      <c r="AP295" s="32">
        <f>TABL123[[#This Row],[(A/S TOT) AJD]]-TABL123[[#This Row],[SER_ IN]]</f>
        <v>225</v>
      </c>
    </row>
    <row r="296" spans="1:42" ht="19.5" thickBot="1" x14ac:dyDescent="0.35">
      <c r="A296" s="2">
        <v>46317</v>
      </c>
      <c r="B296" s="28"/>
      <c r="C296" s="28"/>
      <c r="D296" s="28"/>
      <c r="E296" s="28"/>
      <c r="F296" s="28"/>
      <c r="G296" s="28"/>
      <c r="H296" s="28">
        <f t="shared" si="13"/>
        <v>103</v>
      </c>
      <c r="I296" s="28"/>
      <c r="J296" s="28"/>
      <c r="K296" s="28">
        <f>TABL123[[#This Row],[خط (T/B  TOT) SAR]]+TABL123[[#This Row],[خط (S/S  TOT) SAR2]]</f>
        <v>0</v>
      </c>
      <c r="L296" s="28"/>
      <c r="M296" s="29"/>
      <c r="N296" s="30"/>
      <c r="O296" s="14">
        <v>382</v>
      </c>
      <c r="P296" s="9">
        <f>TABL123[[#This Row],[خط (S/S  TOT) SAR2]]-TABL123[[#This Row],[(S/S TOT) AJD]]</f>
        <v>-382</v>
      </c>
      <c r="Q296" s="14">
        <v>412</v>
      </c>
      <c r="R296" s="9">
        <f>TABL123[[#This Row],[خط (T/B  TOT) SAR]]-TABL123[[#This Row],[(T/B TOT) AJD]]</f>
        <v>-412</v>
      </c>
      <c r="S296" s="9">
        <f>TABL123[[#This Row],[الفرق بين بداية ونهاية خط  T/B]]+TABL123[[#This Row],[الفرق بين بداية ونهاية خط  S/S]]</f>
        <v>-794</v>
      </c>
      <c r="T296" s="9">
        <f>TABL123[[#This Row],[(S/S TOT) AJD]]+TABL123[[#This Row],[(T/B TOT) AJD]]</f>
        <v>794</v>
      </c>
      <c r="U296" s="14">
        <v>558</v>
      </c>
      <c r="V296" s="14">
        <v>263</v>
      </c>
      <c r="W296" s="9">
        <f>TABL123[[#This Row],[(A/B TOT) AJD]]+TABL123[[#This Row],[(A/S TOT) AJD]]</f>
        <v>821</v>
      </c>
      <c r="X296" s="9">
        <f>TABL123[[#This Row],[( S/S+T/B) AJD]]-TABL123[[#This Row],[(A/B + A/S) AJD]]</f>
        <v>-27</v>
      </c>
      <c r="Y296" s="15">
        <v>92.447000000000003</v>
      </c>
      <c r="Z296" s="16">
        <v>465064</v>
      </c>
      <c r="AA296" s="3">
        <f>TABL123[[#This Row],[(RESV. STORGE) AJD]]/10</f>
        <v>46506.400000000001</v>
      </c>
      <c r="AB296" s="45">
        <f t="shared" si="14"/>
        <v>-47.646999999999998</v>
      </c>
      <c r="AC296" s="5"/>
      <c r="AD296" s="84">
        <f>TABL123[[#This Row],[( S/S+T/B) AJD]]-(TABL123[[#This Row],[(A/B + A/S) AJD]]+(TABL123[[#This Row],[(STORGE DIFF.) AJD]])+TABL123[[#This Row],[البخر  AJD]]/1000)</f>
        <v>20.647000000000048</v>
      </c>
      <c r="AE296" s="68"/>
      <c r="AF296" s="68"/>
      <c r="AG296" s="68"/>
      <c r="AH296" s="6"/>
      <c r="AI296" s="79"/>
      <c r="AJ296" s="79">
        <f>TABL123[[#This Row],[(A/B TOT) AJD]]-TABL123[[#This Row],[BER_ IN]]</f>
        <v>558</v>
      </c>
      <c r="AK296" s="79"/>
      <c r="AL296" s="68"/>
      <c r="AM296" s="88"/>
      <c r="AN296" s="88">
        <f>TABL123[[#This Row],[ (RESV. STORGE) SER]]/10</f>
        <v>0</v>
      </c>
      <c r="AO296" s="6"/>
      <c r="AP296" s="32">
        <f>TABL123[[#This Row],[(A/S TOT) AJD]]-TABL123[[#This Row],[SER_ IN]]</f>
        <v>263</v>
      </c>
    </row>
    <row r="297" spans="1:42" ht="19.5" thickBot="1" x14ac:dyDescent="0.35">
      <c r="A297" s="2">
        <v>46318</v>
      </c>
      <c r="B297" s="28"/>
      <c r="C297" s="28"/>
      <c r="D297" s="28"/>
      <c r="E297" s="28"/>
      <c r="F297" s="28"/>
      <c r="G297" s="28"/>
      <c r="H297" s="28">
        <f t="shared" si="13"/>
        <v>103</v>
      </c>
      <c r="I297" s="28"/>
      <c r="J297" s="28"/>
      <c r="K297" s="28">
        <f>TABL123[[#This Row],[خط (T/B  TOT) SAR]]+TABL123[[#This Row],[خط (S/S  TOT) SAR2]]</f>
        <v>0</v>
      </c>
      <c r="L297" s="28"/>
      <c r="M297" s="29"/>
      <c r="N297" s="30"/>
      <c r="O297" s="14">
        <v>383</v>
      </c>
      <c r="P297" s="9">
        <f>TABL123[[#This Row],[خط (S/S  TOT) SAR2]]-TABL123[[#This Row],[(S/S TOT) AJD]]</f>
        <v>-383</v>
      </c>
      <c r="Q297" s="14">
        <v>411</v>
      </c>
      <c r="R297" s="9">
        <f>TABL123[[#This Row],[خط (T/B  TOT) SAR]]-TABL123[[#This Row],[(T/B TOT) AJD]]</f>
        <v>-411</v>
      </c>
      <c r="S297" s="9">
        <f>TABL123[[#This Row],[الفرق بين بداية ونهاية خط  T/B]]+TABL123[[#This Row],[الفرق بين بداية ونهاية خط  S/S]]</f>
        <v>-794</v>
      </c>
      <c r="T297" s="9">
        <f>TABL123[[#This Row],[(S/S TOT) AJD]]+TABL123[[#This Row],[(T/B TOT) AJD]]</f>
        <v>794</v>
      </c>
      <c r="U297" s="14">
        <v>551</v>
      </c>
      <c r="V297" s="14">
        <v>260</v>
      </c>
      <c r="W297" s="9">
        <f>TABL123[[#This Row],[(A/B TOT) AJD]]+TABL123[[#This Row],[(A/S TOT) AJD]]</f>
        <v>811</v>
      </c>
      <c r="X297" s="9">
        <f>TABL123[[#This Row],[( S/S+T/B) AJD]]-TABL123[[#This Row],[(A/B + A/S) AJD]]</f>
        <v>-17</v>
      </c>
      <c r="Y297" s="15">
        <v>92.37</v>
      </c>
      <c r="Z297" s="16">
        <v>422.22899999999998</v>
      </c>
      <c r="AA297" s="3">
        <f>TABL123[[#This Row],[(RESV. STORGE) AJD]]/10</f>
        <v>42.222899999999996</v>
      </c>
      <c r="AB297" s="45">
        <f t="shared" si="14"/>
        <v>-464.64177100000001</v>
      </c>
      <c r="AC297" s="5"/>
      <c r="AD297" s="84">
        <f>TABL123[[#This Row],[( S/S+T/B) AJD]]-(TABL123[[#This Row],[(A/B + A/S) AJD]]+(TABL123[[#This Row],[(STORGE DIFF.) AJD]])+TABL123[[#This Row],[البخر  AJD]]/1000)</f>
        <v>447.64177100000001</v>
      </c>
      <c r="AE297" s="68"/>
      <c r="AF297" s="68"/>
      <c r="AG297" s="68"/>
      <c r="AH297" s="6"/>
      <c r="AI297" s="79"/>
      <c r="AJ297" s="79">
        <f>TABL123[[#This Row],[(A/B TOT) AJD]]-TABL123[[#This Row],[BER_ IN]]</f>
        <v>551</v>
      </c>
      <c r="AK297" s="79"/>
      <c r="AL297" s="68"/>
      <c r="AM297" s="88"/>
      <c r="AN297" s="88">
        <f>TABL123[[#This Row],[ (RESV. STORGE) SER]]/10</f>
        <v>0</v>
      </c>
      <c r="AO297" s="6"/>
      <c r="AP297" s="32">
        <f>TABL123[[#This Row],[(A/S TOT) AJD]]-TABL123[[#This Row],[SER_ IN]]</f>
        <v>260</v>
      </c>
    </row>
    <row r="298" spans="1:42" ht="18.75" x14ac:dyDescent="0.3">
      <c r="A298" s="2">
        <v>46319</v>
      </c>
      <c r="B298" s="28"/>
      <c r="C298" s="28"/>
      <c r="D298" s="28"/>
      <c r="E298" s="28"/>
      <c r="F298" s="28"/>
      <c r="G298" s="28"/>
      <c r="H298" s="28">
        <f t="shared" si="13"/>
        <v>103</v>
      </c>
      <c r="I298" s="28"/>
      <c r="J298" s="28"/>
      <c r="K298" s="28">
        <f>TABL123[[#This Row],[خط (T/B  TOT) SAR]]+TABL123[[#This Row],[خط (S/S  TOT) SAR2]]</f>
        <v>0</v>
      </c>
      <c r="L298" s="28"/>
      <c r="M298" s="29"/>
      <c r="N298" s="30"/>
      <c r="O298" s="9"/>
      <c r="P298" s="9">
        <f>TABL123[[#This Row],[خط (S/S  TOT) SAR2]]-TABL123[[#This Row],[(S/S TOT) AJD]]</f>
        <v>0</v>
      </c>
      <c r="Q298" s="9"/>
      <c r="R298" s="9">
        <f>TABL123[[#This Row],[خط (T/B  TOT) SAR]]-TABL123[[#This Row],[(T/B TOT) AJD]]</f>
        <v>0</v>
      </c>
      <c r="S298" s="9">
        <f>TABL123[[#This Row],[الفرق بين بداية ونهاية خط  T/B]]+TABL123[[#This Row],[الفرق بين بداية ونهاية خط  S/S]]</f>
        <v>0</v>
      </c>
      <c r="T298" s="9">
        <f>TABL123[[#This Row],[(S/S TOT) AJD]]+TABL123[[#This Row],[(T/B TOT) AJD]]</f>
        <v>0</v>
      </c>
      <c r="U298" s="9"/>
      <c r="V298" s="9"/>
      <c r="W298" s="9">
        <f>TABL123[[#This Row],[(A/B TOT) AJD]]+TABL123[[#This Row],[(A/S TOT) AJD]]</f>
        <v>0</v>
      </c>
      <c r="X298" s="9">
        <f>TABL123[[#This Row],[( S/S+T/B) AJD]]-TABL123[[#This Row],[(A/B + A/S) AJD]]</f>
        <v>0</v>
      </c>
      <c r="Y298" s="18"/>
      <c r="Z298" s="9"/>
      <c r="AA298" s="3">
        <f>TABL123[[#This Row],[(RESV. STORGE) AJD]]/10</f>
        <v>0</v>
      </c>
      <c r="AB298" s="45">
        <f t="shared" si="14"/>
        <v>-0.42222899999999997</v>
      </c>
      <c r="AC298" s="5"/>
      <c r="AD298" s="84">
        <f>TABL123[[#This Row],[( S/S+T/B) AJD]]-(TABL123[[#This Row],[(A/B + A/S) AJD]]+(TABL123[[#This Row],[(STORGE DIFF.) AJD]])+TABL123[[#This Row],[البخر  AJD]]/1000)</f>
        <v>0.42222899999999997</v>
      </c>
      <c r="AE298" s="68"/>
      <c r="AF298" s="68"/>
      <c r="AG298" s="68"/>
      <c r="AH298" s="6"/>
      <c r="AI298" s="79"/>
      <c r="AJ298" s="79">
        <f>TABL123[[#This Row],[(A/B TOT) AJD]]-TABL123[[#This Row],[BER_ IN]]</f>
        <v>0</v>
      </c>
      <c r="AK298" s="79"/>
      <c r="AL298" s="68"/>
      <c r="AM298" s="88"/>
      <c r="AN298" s="88">
        <f>TABL123[[#This Row],[ (RESV. STORGE) SER]]/10</f>
        <v>0</v>
      </c>
      <c r="AO298" s="6"/>
      <c r="AP298" s="32">
        <f>TABL123[[#This Row],[(A/S TOT) AJD]]-TABL123[[#This Row],[SER_ IN]]</f>
        <v>0</v>
      </c>
    </row>
    <row r="299" spans="1:42" ht="18.75" x14ac:dyDescent="0.3">
      <c r="A299" s="2">
        <v>46320</v>
      </c>
      <c r="B299" s="28"/>
      <c r="C299" s="28"/>
      <c r="D299" s="28"/>
      <c r="E299" s="28"/>
      <c r="F299" s="28"/>
      <c r="G299" s="28"/>
      <c r="H299" s="28">
        <f t="shared" si="13"/>
        <v>103</v>
      </c>
      <c r="I299" s="28"/>
      <c r="J299" s="28"/>
      <c r="K299" s="28">
        <f>TABL123[[#This Row],[خط (T/B  TOT) SAR]]+TABL123[[#This Row],[خط (S/S  TOT) SAR2]]</f>
        <v>0</v>
      </c>
      <c r="L299" s="28"/>
      <c r="M299" s="29"/>
      <c r="N299" s="30"/>
      <c r="O299" s="9"/>
      <c r="P299" s="9">
        <f>TABL123[[#This Row],[خط (S/S  TOT) SAR2]]-TABL123[[#This Row],[(S/S TOT) AJD]]</f>
        <v>0</v>
      </c>
      <c r="Q299" s="9"/>
      <c r="R299" s="9">
        <f>TABL123[[#This Row],[خط (T/B  TOT) SAR]]-TABL123[[#This Row],[(T/B TOT) AJD]]</f>
        <v>0</v>
      </c>
      <c r="S299" s="9">
        <f>TABL123[[#This Row],[الفرق بين بداية ونهاية خط  T/B]]+TABL123[[#This Row],[الفرق بين بداية ونهاية خط  S/S]]</f>
        <v>0</v>
      </c>
      <c r="T299" s="9">
        <f>TABL123[[#This Row],[(S/S TOT) AJD]]+TABL123[[#This Row],[(T/B TOT) AJD]]</f>
        <v>0</v>
      </c>
      <c r="U299" s="9"/>
      <c r="V299" s="9"/>
      <c r="W299" s="9">
        <f>TABL123[[#This Row],[(A/B TOT) AJD]]+TABL123[[#This Row],[(A/S TOT) AJD]]</f>
        <v>0</v>
      </c>
      <c r="X299" s="9">
        <f>TABL123[[#This Row],[( S/S+T/B) AJD]]-TABL123[[#This Row],[(A/B + A/S) AJD]]</f>
        <v>0</v>
      </c>
      <c r="Y299" s="18"/>
      <c r="Z299" s="9"/>
      <c r="AA299" s="3">
        <f>TABL123[[#This Row],[(RESV. STORGE) AJD]]/10</f>
        <v>0</v>
      </c>
      <c r="AB299" s="45">
        <f t="shared" si="14"/>
        <v>0</v>
      </c>
      <c r="AC299" s="5"/>
      <c r="AD299" s="84">
        <f>TABL123[[#This Row],[( S/S+T/B) AJD]]-(TABL123[[#This Row],[(A/B + A/S) AJD]]+(TABL123[[#This Row],[(STORGE DIFF.) AJD]])+TABL123[[#This Row],[البخر  AJD]]/1000)</f>
        <v>0</v>
      </c>
      <c r="AE299" s="68"/>
      <c r="AF299" s="68"/>
      <c r="AG299" s="68"/>
      <c r="AH299" s="6"/>
      <c r="AI299" s="79"/>
      <c r="AJ299" s="79">
        <f>TABL123[[#This Row],[(A/B TOT) AJD]]-TABL123[[#This Row],[BER_ IN]]</f>
        <v>0</v>
      </c>
      <c r="AK299" s="79"/>
      <c r="AL299" s="68"/>
      <c r="AM299" s="88"/>
      <c r="AN299" s="88">
        <f>TABL123[[#This Row],[ (RESV. STORGE) SER]]/10</f>
        <v>0</v>
      </c>
      <c r="AO299" s="6"/>
      <c r="AP299" s="32">
        <f>TABL123[[#This Row],[(A/S TOT) AJD]]-TABL123[[#This Row],[SER_ IN]]</f>
        <v>0</v>
      </c>
    </row>
    <row r="300" spans="1:42" ht="18.75" x14ac:dyDescent="0.3">
      <c r="A300" s="2">
        <v>46321</v>
      </c>
      <c r="B300" s="28"/>
      <c r="C300" s="28"/>
      <c r="D300" s="28"/>
      <c r="E300" s="28"/>
      <c r="F300" s="28"/>
      <c r="G300" s="28"/>
      <c r="H300" s="28">
        <f t="shared" si="13"/>
        <v>103</v>
      </c>
      <c r="I300" s="28"/>
      <c r="J300" s="28"/>
      <c r="K300" s="28">
        <f>TABL123[[#This Row],[خط (T/B  TOT) SAR]]+TABL123[[#This Row],[خط (S/S  TOT) SAR2]]</f>
        <v>0</v>
      </c>
      <c r="L300" s="28"/>
      <c r="M300" s="29"/>
      <c r="N300" s="30"/>
      <c r="O300" s="9"/>
      <c r="P300" s="9">
        <f>TABL123[[#This Row],[خط (S/S  TOT) SAR2]]-TABL123[[#This Row],[(S/S TOT) AJD]]</f>
        <v>0</v>
      </c>
      <c r="Q300" s="9"/>
      <c r="R300" s="9">
        <f>TABL123[[#This Row],[خط (T/B  TOT) SAR]]-TABL123[[#This Row],[(T/B TOT) AJD]]</f>
        <v>0</v>
      </c>
      <c r="S300" s="9">
        <f>TABL123[[#This Row],[الفرق بين بداية ونهاية خط  T/B]]+TABL123[[#This Row],[الفرق بين بداية ونهاية خط  S/S]]</f>
        <v>0</v>
      </c>
      <c r="T300" s="9">
        <f>TABL123[[#This Row],[(S/S TOT) AJD]]+TABL123[[#This Row],[(T/B TOT) AJD]]</f>
        <v>0</v>
      </c>
      <c r="U300" s="9"/>
      <c r="V300" s="9"/>
      <c r="W300" s="9">
        <f>TABL123[[#This Row],[(A/B TOT) AJD]]+TABL123[[#This Row],[(A/S TOT) AJD]]</f>
        <v>0</v>
      </c>
      <c r="X300" s="9">
        <f>TABL123[[#This Row],[( S/S+T/B) AJD]]-TABL123[[#This Row],[(A/B + A/S) AJD]]</f>
        <v>0</v>
      </c>
      <c r="Y300" s="18"/>
      <c r="Z300" s="9"/>
      <c r="AA300" s="3">
        <f>TABL123[[#This Row],[(RESV. STORGE) AJD]]/10</f>
        <v>0</v>
      </c>
      <c r="AB300" s="45">
        <f t="shared" si="14"/>
        <v>0</v>
      </c>
      <c r="AC300" s="5"/>
      <c r="AD300" s="84">
        <f>TABL123[[#This Row],[( S/S+T/B) AJD]]-(TABL123[[#This Row],[(A/B + A/S) AJD]]+(TABL123[[#This Row],[(STORGE DIFF.) AJD]])+TABL123[[#This Row],[البخر  AJD]]/1000)</f>
        <v>0</v>
      </c>
      <c r="AE300" s="68"/>
      <c r="AF300" s="68"/>
      <c r="AG300" s="68"/>
      <c r="AH300" s="6"/>
      <c r="AI300" s="79"/>
      <c r="AJ300" s="79">
        <f>TABL123[[#This Row],[(A/B TOT) AJD]]-TABL123[[#This Row],[BER_ IN]]</f>
        <v>0</v>
      </c>
      <c r="AK300" s="79"/>
      <c r="AL300" s="68"/>
      <c r="AM300" s="88"/>
      <c r="AN300" s="88">
        <f>TABL123[[#This Row],[ (RESV. STORGE) SER]]/10</f>
        <v>0</v>
      </c>
      <c r="AO300" s="6"/>
      <c r="AP300" s="32">
        <f>TABL123[[#This Row],[(A/S TOT) AJD]]-TABL123[[#This Row],[SER_ IN]]</f>
        <v>0</v>
      </c>
    </row>
    <row r="301" spans="1:42" ht="18.75" x14ac:dyDescent="0.3">
      <c r="A301" s="2">
        <v>46322</v>
      </c>
      <c r="B301" s="28"/>
      <c r="C301" s="28"/>
      <c r="D301" s="28"/>
      <c r="E301" s="28"/>
      <c r="F301" s="28"/>
      <c r="G301" s="28"/>
      <c r="H301" s="28">
        <f t="shared" si="13"/>
        <v>103</v>
      </c>
      <c r="I301" s="28"/>
      <c r="J301" s="28"/>
      <c r="K301" s="28">
        <f>TABL123[[#This Row],[خط (T/B  TOT) SAR]]+TABL123[[#This Row],[خط (S/S  TOT) SAR2]]</f>
        <v>0</v>
      </c>
      <c r="L301" s="28"/>
      <c r="M301" s="29"/>
      <c r="N301" s="30"/>
      <c r="O301" s="9"/>
      <c r="P301" s="9">
        <f>TABL123[[#This Row],[خط (S/S  TOT) SAR2]]-TABL123[[#This Row],[(S/S TOT) AJD]]</f>
        <v>0</v>
      </c>
      <c r="Q301" s="9"/>
      <c r="R301" s="9">
        <f>TABL123[[#This Row],[خط (T/B  TOT) SAR]]-TABL123[[#This Row],[(T/B TOT) AJD]]</f>
        <v>0</v>
      </c>
      <c r="S301" s="9">
        <f>TABL123[[#This Row],[الفرق بين بداية ونهاية خط  T/B]]+TABL123[[#This Row],[الفرق بين بداية ونهاية خط  S/S]]</f>
        <v>0</v>
      </c>
      <c r="T301" s="9">
        <f>TABL123[[#This Row],[(S/S TOT) AJD]]+TABL123[[#This Row],[(T/B TOT) AJD]]</f>
        <v>0</v>
      </c>
      <c r="U301" s="9"/>
      <c r="V301" s="9"/>
      <c r="W301" s="9">
        <f>TABL123[[#This Row],[(A/B TOT) AJD]]+TABL123[[#This Row],[(A/S TOT) AJD]]</f>
        <v>0</v>
      </c>
      <c r="X301" s="9">
        <f>TABL123[[#This Row],[( S/S+T/B) AJD]]-TABL123[[#This Row],[(A/B + A/S) AJD]]</f>
        <v>0</v>
      </c>
      <c r="Y301" s="18"/>
      <c r="Z301" s="9"/>
      <c r="AA301" s="3">
        <f>TABL123[[#This Row],[(RESV. STORGE) AJD]]/10</f>
        <v>0</v>
      </c>
      <c r="AB301" s="45">
        <f t="shared" si="14"/>
        <v>0</v>
      </c>
      <c r="AC301" s="5"/>
      <c r="AD301" s="84">
        <f>TABL123[[#This Row],[( S/S+T/B) AJD]]-(TABL123[[#This Row],[(A/B + A/S) AJD]]+(TABL123[[#This Row],[(STORGE DIFF.) AJD]])+TABL123[[#This Row],[البخر  AJD]]/1000)</f>
        <v>0</v>
      </c>
      <c r="AE301" s="68"/>
      <c r="AF301" s="68"/>
      <c r="AG301" s="68"/>
      <c r="AH301" s="6"/>
      <c r="AI301" s="79"/>
      <c r="AJ301" s="79">
        <f>TABL123[[#This Row],[(A/B TOT) AJD]]-TABL123[[#This Row],[BER_ IN]]</f>
        <v>0</v>
      </c>
      <c r="AK301" s="79"/>
      <c r="AL301" s="68"/>
      <c r="AM301" s="88"/>
      <c r="AN301" s="88">
        <f>TABL123[[#This Row],[ (RESV. STORGE) SER]]/10</f>
        <v>0</v>
      </c>
      <c r="AO301" s="6"/>
      <c r="AP301" s="32">
        <f>TABL123[[#This Row],[(A/S TOT) AJD]]-TABL123[[#This Row],[SER_ IN]]</f>
        <v>0</v>
      </c>
    </row>
    <row r="302" spans="1:42" ht="18.75" x14ac:dyDescent="0.3">
      <c r="A302" s="2">
        <v>46323</v>
      </c>
      <c r="B302" s="28"/>
      <c r="C302" s="28"/>
      <c r="D302" s="28"/>
      <c r="E302" s="28"/>
      <c r="F302" s="28"/>
      <c r="G302" s="28"/>
      <c r="H302" s="28">
        <f t="shared" si="13"/>
        <v>103</v>
      </c>
      <c r="I302" s="28"/>
      <c r="J302" s="28"/>
      <c r="K302" s="28">
        <f>TABL123[[#This Row],[خط (T/B  TOT) SAR]]+TABL123[[#This Row],[خط (S/S  TOT) SAR2]]</f>
        <v>0</v>
      </c>
      <c r="L302" s="28"/>
      <c r="M302" s="29"/>
      <c r="N302" s="30"/>
      <c r="O302" s="9"/>
      <c r="P302" s="9">
        <f>TABL123[[#This Row],[خط (S/S  TOT) SAR2]]-TABL123[[#This Row],[(S/S TOT) AJD]]</f>
        <v>0</v>
      </c>
      <c r="Q302" s="9"/>
      <c r="R302" s="9">
        <f>TABL123[[#This Row],[خط (T/B  TOT) SAR]]-TABL123[[#This Row],[(T/B TOT) AJD]]</f>
        <v>0</v>
      </c>
      <c r="S302" s="9">
        <f>TABL123[[#This Row],[الفرق بين بداية ونهاية خط  T/B]]+TABL123[[#This Row],[الفرق بين بداية ونهاية خط  S/S]]</f>
        <v>0</v>
      </c>
      <c r="T302" s="9">
        <f>TABL123[[#This Row],[(S/S TOT) AJD]]+TABL123[[#This Row],[(T/B TOT) AJD]]</f>
        <v>0</v>
      </c>
      <c r="U302" s="9"/>
      <c r="V302" s="9"/>
      <c r="W302" s="9">
        <f>TABL123[[#This Row],[(A/B TOT) AJD]]+TABL123[[#This Row],[(A/S TOT) AJD]]</f>
        <v>0</v>
      </c>
      <c r="X302" s="9">
        <f>TABL123[[#This Row],[( S/S+T/B) AJD]]-TABL123[[#This Row],[(A/B + A/S) AJD]]</f>
        <v>0</v>
      </c>
      <c r="Y302" s="18"/>
      <c r="Z302" s="9"/>
      <c r="AA302" s="3">
        <f>TABL123[[#This Row],[(RESV. STORGE) AJD]]/10</f>
        <v>0</v>
      </c>
      <c r="AB302" s="45">
        <f t="shared" si="14"/>
        <v>0</v>
      </c>
      <c r="AC302" s="5"/>
      <c r="AD302" s="84">
        <f>TABL123[[#This Row],[( S/S+T/B) AJD]]-(TABL123[[#This Row],[(A/B + A/S) AJD]]+(TABL123[[#This Row],[(STORGE DIFF.) AJD]])+TABL123[[#This Row],[البخر  AJD]]/1000)</f>
        <v>0</v>
      </c>
      <c r="AE302" s="68"/>
      <c r="AF302" s="68"/>
      <c r="AG302" s="68"/>
      <c r="AH302" s="6"/>
      <c r="AI302" s="79"/>
      <c r="AJ302" s="79">
        <f>TABL123[[#This Row],[(A/B TOT) AJD]]-TABL123[[#This Row],[BER_ IN]]</f>
        <v>0</v>
      </c>
      <c r="AK302" s="79"/>
      <c r="AL302" s="68"/>
      <c r="AM302" s="88"/>
      <c r="AN302" s="88">
        <f>TABL123[[#This Row],[ (RESV. STORGE) SER]]/10</f>
        <v>0</v>
      </c>
      <c r="AO302" s="6"/>
      <c r="AP302" s="32">
        <f>TABL123[[#This Row],[(A/S TOT) AJD]]-TABL123[[#This Row],[SER_ IN]]</f>
        <v>0</v>
      </c>
    </row>
    <row r="303" spans="1:42" ht="18.75" x14ac:dyDescent="0.3">
      <c r="A303" s="2">
        <v>46324</v>
      </c>
      <c r="B303" s="28"/>
      <c r="C303" s="28"/>
      <c r="D303" s="28"/>
      <c r="E303" s="28"/>
      <c r="F303" s="28"/>
      <c r="G303" s="28"/>
      <c r="H303" s="28">
        <f t="shared" si="13"/>
        <v>103</v>
      </c>
      <c r="I303" s="28"/>
      <c r="J303" s="28"/>
      <c r="K303" s="28">
        <f>TABL123[[#This Row],[خط (T/B  TOT) SAR]]+TABL123[[#This Row],[خط (S/S  TOT) SAR2]]</f>
        <v>0</v>
      </c>
      <c r="L303" s="28"/>
      <c r="M303" s="29"/>
      <c r="N303" s="30"/>
      <c r="O303" s="9"/>
      <c r="P303" s="9">
        <f>TABL123[[#This Row],[خط (S/S  TOT) SAR2]]-TABL123[[#This Row],[(S/S TOT) AJD]]</f>
        <v>0</v>
      </c>
      <c r="Q303" s="9"/>
      <c r="R303" s="9">
        <f>TABL123[[#This Row],[خط (T/B  TOT) SAR]]-TABL123[[#This Row],[(T/B TOT) AJD]]</f>
        <v>0</v>
      </c>
      <c r="S303" s="9">
        <f>TABL123[[#This Row],[الفرق بين بداية ونهاية خط  T/B]]+TABL123[[#This Row],[الفرق بين بداية ونهاية خط  S/S]]</f>
        <v>0</v>
      </c>
      <c r="T303" s="9">
        <f>TABL123[[#This Row],[(S/S TOT) AJD]]+TABL123[[#This Row],[(T/B TOT) AJD]]</f>
        <v>0</v>
      </c>
      <c r="U303" s="9"/>
      <c r="V303" s="9"/>
      <c r="W303" s="9">
        <f>TABL123[[#This Row],[(A/B TOT) AJD]]+TABL123[[#This Row],[(A/S TOT) AJD]]</f>
        <v>0</v>
      </c>
      <c r="X303" s="9">
        <f>TABL123[[#This Row],[( S/S+T/B) AJD]]-TABL123[[#This Row],[(A/B + A/S) AJD]]</f>
        <v>0</v>
      </c>
      <c r="Y303" s="18"/>
      <c r="Z303" s="9"/>
      <c r="AA303" s="3">
        <f>TABL123[[#This Row],[(RESV. STORGE) AJD]]/10</f>
        <v>0</v>
      </c>
      <c r="AB303" s="45">
        <f t="shared" si="14"/>
        <v>0</v>
      </c>
      <c r="AC303" s="5"/>
      <c r="AD303" s="84">
        <f>TABL123[[#This Row],[( S/S+T/B) AJD]]-(TABL123[[#This Row],[(A/B + A/S) AJD]]+(TABL123[[#This Row],[(STORGE DIFF.) AJD]])+TABL123[[#This Row],[البخر  AJD]]/1000)</f>
        <v>0</v>
      </c>
      <c r="AE303" s="68"/>
      <c r="AF303" s="68"/>
      <c r="AG303" s="68"/>
      <c r="AH303" s="6"/>
      <c r="AI303" s="79"/>
      <c r="AJ303" s="79">
        <f>TABL123[[#This Row],[(A/B TOT) AJD]]-TABL123[[#This Row],[BER_ IN]]</f>
        <v>0</v>
      </c>
      <c r="AK303" s="79"/>
      <c r="AL303" s="68"/>
      <c r="AM303" s="88"/>
      <c r="AN303" s="88">
        <f>TABL123[[#This Row],[ (RESV. STORGE) SER]]/10</f>
        <v>0</v>
      </c>
      <c r="AO303" s="6"/>
      <c r="AP303" s="32">
        <f>TABL123[[#This Row],[(A/S TOT) AJD]]-TABL123[[#This Row],[SER_ IN]]</f>
        <v>0</v>
      </c>
    </row>
    <row r="304" spans="1:42" ht="18.75" x14ac:dyDescent="0.3">
      <c r="A304" s="2">
        <v>46325</v>
      </c>
      <c r="B304" s="28"/>
      <c r="C304" s="28"/>
      <c r="D304" s="28"/>
      <c r="E304" s="28"/>
      <c r="F304" s="28"/>
      <c r="G304" s="28"/>
      <c r="H304" s="28">
        <f t="shared" si="13"/>
        <v>103</v>
      </c>
      <c r="I304" s="28"/>
      <c r="J304" s="28"/>
      <c r="K304" s="28">
        <f>TABL123[[#This Row],[خط (T/B  TOT) SAR]]+TABL123[[#This Row],[خط (S/S  TOT) SAR2]]</f>
        <v>0</v>
      </c>
      <c r="L304" s="28"/>
      <c r="M304" s="29"/>
      <c r="N304" s="30"/>
      <c r="O304" s="9"/>
      <c r="P304" s="9">
        <f>TABL123[[#This Row],[خط (S/S  TOT) SAR2]]-TABL123[[#This Row],[(S/S TOT) AJD]]</f>
        <v>0</v>
      </c>
      <c r="Q304" s="9"/>
      <c r="R304" s="9">
        <f>TABL123[[#This Row],[خط (T/B  TOT) SAR]]-TABL123[[#This Row],[(T/B TOT) AJD]]</f>
        <v>0</v>
      </c>
      <c r="S304" s="9">
        <f>TABL123[[#This Row],[الفرق بين بداية ونهاية خط  T/B]]+TABL123[[#This Row],[الفرق بين بداية ونهاية خط  S/S]]</f>
        <v>0</v>
      </c>
      <c r="T304" s="9">
        <f>TABL123[[#This Row],[(S/S TOT) AJD]]+TABL123[[#This Row],[(T/B TOT) AJD]]</f>
        <v>0</v>
      </c>
      <c r="U304" s="9"/>
      <c r="V304" s="9"/>
      <c r="W304" s="9">
        <f>TABL123[[#This Row],[(A/B TOT) AJD]]+TABL123[[#This Row],[(A/S TOT) AJD]]</f>
        <v>0</v>
      </c>
      <c r="X304" s="9">
        <f>TABL123[[#This Row],[( S/S+T/B) AJD]]-TABL123[[#This Row],[(A/B + A/S) AJD]]</f>
        <v>0</v>
      </c>
      <c r="Y304" s="18"/>
      <c r="Z304" s="9"/>
      <c r="AA304" s="3">
        <f>TABL123[[#This Row],[(RESV. STORGE) AJD]]/10</f>
        <v>0</v>
      </c>
      <c r="AB304" s="45">
        <f t="shared" si="14"/>
        <v>0</v>
      </c>
      <c r="AC304" s="5"/>
      <c r="AD304" s="84">
        <f>TABL123[[#This Row],[( S/S+T/B) AJD]]-(TABL123[[#This Row],[(A/B + A/S) AJD]]+(TABL123[[#This Row],[(STORGE DIFF.) AJD]])+TABL123[[#This Row],[البخر  AJD]]/1000)</f>
        <v>0</v>
      </c>
      <c r="AE304" s="68"/>
      <c r="AF304" s="68"/>
      <c r="AG304" s="68"/>
      <c r="AH304" s="6"/>
      <c r="AI304" s="79"/>
      <c r="AJ304" s="79">
        <f>TABL123[[#This Row],[(A/B TOT) AJD]]-TABL123[[#This Row],[BER_ IN]]</f>
        <v>0</v>
      </c>
      <c r="AK304" s="79"/>
      <c r="AL304" s="68"/>
      <c r="AM304" s="88"/>
      <c r="AN304" s="88">
        <f>TABL123[[#This Row],[ (RESV. STORGE) SER]]/10</f>
        <v>0</v>
      </c>
      <c r="AO304" s="6"/>
      <c r="AP304" s="32">
        <f>TABL123[[#This Row],[(A/S TOT) AJD]]-TABL123[[#This Row],[SER_ IN]]</f>
        <v>0</v>
      </c>
    </row>
    <row r="305" spans="1:42" ht="18.75" x14ac:dyDescent="0.3">
      <c r="A305" s="2">
        <v>46326</v>
      </c>
      <c r="B305" s="28"/>
      <c r="C305" s="28"/>
      <c r="D305" s="28"/>
      <c r="E305" s="28"/>
      <c r="F305" s="28"/>
      <c r="G305" s="28"/>
      <c r="H305" s="28">
        <f t="shared" si="13"/>
        <v>103</v>
      </c>
      <c r="I305" s="28"/>
      <c r="J305" s="28"/>
      <c r="K305" s="28">
        <f>TABL123[[#This Row],[خط (T/B  TOT) SAR]]+TABL123[[#This Row],[خط (S/S  TOT) SAR2]]</f>
        <v>0</v>
      </c>
      <c r="L305" s="28"/>
      <c r="M305" s="29"/>
      <c r="N305" s="30"/>
      <c r="O305" s="9"/>
      <c r="P305" s="9">
        <f>TABL123[[#This Row],[خط (S/S  TOT) SAR2]]-TABL123[[#This Row],[(S/S TOT) AJD]]</f>
        <v>0</v>
      </c>
      <c r="Q305" s="9"/>
      <c r="R305" s="9">
        <f>TABL123[[#This Row],[خط (T/B  TOT) SAR]]-TABL123[[#This Row],[(T/B TOT) AJD]]</f>
        <v>0</v>
      </c>
      <c r="S305" s="9">
        <f>TABL123[[#This Row],[الفرق بين بداية ونهاية خط  T/B]]+TABL123[[#This Row],[الفرق بين بداية ونهاية خط  S/S]]</f>
        <v>0</v>
      </c>
      <c r="T305" s="9">
        <f>TABL123[[#This Row],[(S/S TOT) AJD]]+TABL123[[#This Row],[(T/B TOT) AJD]]</f>
        <v>0</v>
      </c>
      <c r="U305" s="9"/>
      <c r="V305" s="9"/>
      <c r="W305" s="9">
        <f>TABL123[[#This Row],[(A/B TOT) AJD]]+TABL123[[#This Row],[(A/S TOT) AJD]]</f>
        <v>0</v>
      </c>
      <c r="X305" s="9">
        <f>TABL123[[#This Row],[( S/S+T/B) AJD]]-TABL123[[#This Row],[(A/B + A/S) AJD]]</f>
        <v>0</v>
      </c>
      <c r="Y305" s="18"/>
      <c r="Z305" s="9"/>
      <c r="AA305" s="3">
        <f>TABL123[[#This Row],[(RESV. STORGE) AJD]]/10</f>
        <v>0</v>
      </c>
      <c r="AB305" s="45">
        <f t="shared" si="14"/>
        <v>0</v>
      </c>
      <c r="AC305" s="5"/>
      <c r="AD305" s="84">
        <f>TABL123[[#This Row],[( S/S+T/B) AJD]]-(TABL123[[#This Row],[(A/B + A/S) AJD]]+(TABL123[[#This Row],[(STORGE DIFF.) AJD]])+TABL123[[#This Row],[البخر  AJD]]/1000)</f>
        <v>0</v>
      </c>
      <c r="AE305" s="68"/>
      <c r="AF305" s="68"/>
      <c r="AG305" s="68"/>
      <c r="AH305" s="6"/>
      <c r="AI305" s="79"/>
      <c r="AJ305" s="79">
        <f>TABL123[[#This Row],[(A/B TOT) AJD]]-TABL123[[#This Row],[BER_ IN]]</f>
        <v>0</v>
      </c>
      <c r="AK305" s="79"/>
      <c r="AL305" s="68"/>
      <c r="AM305" s="88"/>
      <c r="AN305" s="88">
        <f>TABL123[[#This Row],[ (RESV. STORGE) SER]]/10</f>
        <v>0</v>
      </c>
      <c r="AO305" s="6"/>
      <c r="AP305" s="32">
        <f>TABL123[[#This Row],[(A/S TOT) AJD]]-TABL123[[#This Row],[SER_ IN]]</f>
        <v>0</v>
      </c>
    </row>
    <row r="306" spans="1:42" ht="18.75" x14ac:dyDescent="0.3">
      <c r="A306" s="2">
        <v>46327</v>
      </c>
      <c r="B306" s="28"/>
      <c r="C306" s="28"/>
      <c r="D306" s="28"/>
      <c r="E306" s="28"/>
      <c r="F306" s="28"/>
      <c r="G306" s="28"/>
      <c r="H306" s="28">
        <f t="shared" si="13"/>
        <v>103</v>
      </c>
      <c r="I306" s="28"/>
      <c r="J306" s="28"/>
      <c r="K306" s="28">
        <f>TABL123[[#This Row],[خط (T/B  TOT) SAR]]+TABL123[[#This Row],[خط (S/S  TOT) SAR2]]</f>
        <v>0</v>
      </c>
      <c r="L306" s="28"/>
      <c r="M306" s="29"/>
      <c r="N306" s="30"/>
      <c r="O306" s="39"/>
      <c r="P306" s="9">
        <f>TABL123[[#This Row],[خط (S/S  TOT) SAR2]]-TABL123[[#This Row],[(S/S TOT) AJD]]</f>
        <v>0</v>
      </c>
      <c r="Q306" s="9"/>
      <c r="R306" s="9">
        <f>TABL123[[#This Row],[خط (T/B  TOT) SAR]]-TABL123[[#This Row],[(T/B TOT) AJD]]</f>
        <v>0</v>
      </c>
      <c r="S306" s="9">
        <f>TABL123[[#This Row],[الفرق بين بداية ونهاية خط  T/B]]+TABL123[[#This Row],[الفرق بين بداية ونهاية خط  S/S]]</f>
        <v>0</v>
      </c>
      <c r="T306" s="9">
        <f>TABL123[[#This Row],[(S/S TOT) AJD]]+TABL123[[#This Row],[(T/B TOT) AJD]]</f>
        <v>0</v>
      </c>
      <c r="U306" s="9"/>
      <c r="V306" s="9"/>
      <c r="W306" s="9">
        <f>TABL123[[#This Row],[(A/B TOT) AJD]]+TABL123[[#This Row],[(A/S TOT) AJD]]</f>
        <v>0</v>
      </c>
      <c r="X306" s="9">
        <f>TABL123[[#This Row],[( S/S+T/B) AJD]]-TABL123[[#This Row],[(A/B + A/S) AJD]]</f>
        <v>0</v>
      </c>
      <c r="Y306" s="18"/>
      <c r="Z306" s="9"/>
      <c r="AA306" s="3">
        <f>TABL123[[#This Row],[(RESV. STORGE) AJD]]/10</f>
        <v>0</v>
      </c>
      <c r="AB306" s="45">
        <f t="shared" si="14"/>
        <v>0</v>
      </c>
      <c r="AC306" s="5"/>
      <c r="AD306" s="84">
        <f>TABL123[[#This Row],[( S/S+T/B) AJD]]-(TABL123[[#This Row],[(A/B + A/S) AJD]]+(TABL123[[#This Row],[(STORGE DIFF.) AJD]])+TABL123[[#This Row],[البخر  AJD]]/1000)</f>
        <v>0</v>
      </c>
      <c r="AE306" s="68"/>
      <c r="AF306" s="68"/>
      <c r="AG306" s="68"/>
      <c r="AH306" s="6"/>
      <c r="AI306" s="79"/>
      <c r="AJ306" s="79">
        <f>TABL123[[#This Row],[(A/B TOT) AJD]]-TABL123[[#This Row],[BER_ IN]]</f>
        <v>0</v>
      </c>
      <c r="AK306" s="79"/>
      <c r="AL306" s="68"/>
      <c r="AM306" s="88"/>
      <c r="AN306" s="88">
        <f>TABL123[[#This Row],[ (RESV. STORGE) SER]]/10</f>
        <v>0</v>
      </c>
      <c r="AO306" s="6"/>
      <c r="AP306" s="32">
        <f>TABL123[[#This Row],[(A/S TOT) AJD]]-TABL123[[#This Row],[SER_ IN]]</f>
        <v>0</v>
      </c>
    </row>
    <row r="307" spans="1:42" ht="18.75" x14ac:dyDescent="0.3">
      <c r="A307" s="2">
        <v>46328</v>
      </c>
      <c r="B307" s="28"/>
      <c r="C307" s="28"/>
      <c r="D307" s="28"/>
      <c r="E307" s="28"/>
      <c r="F307" s="28"/>
      <c r="G307" s="28"/>
      <c r="H307" s="28">
        <f t="shared" si="13"/>
        <v>103</v>
      </c>
      <c r="I307" s="28"/>
      <c r="J307" s="28"/>
      <c r="K307" s="28">
        <f>TABL123[[#This Row],[خط (T/B  TOT) SAR]]+TABL123[[#This Row],[خط (S/S  TOT) SAR2]]</f>
        <v>0</v>
      </c>
      <c r="L307" s="28"/>
      <c r="M307" s="29"/>
      <c r="N307" s="30"/>
      <c r="O307" s="40"/>
      <c r="P307" s="9">
        <f>TABL123[[#This Row],[خط (S/S  TOT) SAR2]]-TABL123[[#This Row],[(S/S TOT) AJD]]</f>
        <v>0</v>
      </c>
      <c r="Q307" s="9"/>
      <c r="R307" s="9">
        <f>TABL123[[#This Row],[خط (T/B  TOT) SAR]]-TABL123[[#This Row],[(T/B TOT) AJD]]</f>
        <v>0</v>
      </c>
      <c r="S307" s="9">
        <f>TABL123[[#This Row],[الفرق بين بداية ونهاية خط  T/B]]+TABL123[[#This Row],[الفرق بين بداية ونهاية خط  S/S]]</f>
        <v>0</v>
      </c>
      <c r="T307" s="9">
        <f>TABL123[[#This Row],[(S/S TOT) AJD]]+TABL123[[#This Row],[(T/B TOT) AJD]]</f>
        <v>0</v>
      </c>
      <c r="U307" s="9"/>
      <c r="V307" s="9"/>
      <c r="W307" s="9">
        <f>TABL123[[#This Row],[(A/B TOT) AJD]]+TABL123[[#This Row],[(A/S TOT) AJD]]</f>
        <v>0</v>
      </c>
      <c r="X307" s="9">
        <f>TABL123[[#This Row],[( S/S+T/B) AJD]]-TABL123[[#This Row],[(A/B + A/S) AJD]]</f>
        <v>0</v>
      </c>
      <c r="Y307" s="18"/>
      <c r="Z307" s="9"/>
      <c r="AA307" s="3">
        <f>TABL123[[#This Row],[(RESV. STORGE) AJD]]/10</f>
        <v>0</v>
      </c>
      <c r="AB307" s="45">
        <f t="shared" si="14"/>
        <v>0</v>
      </c>
      <c r="AC307" s="5"/>
      <c r="AD307" s="84">
        <f>TABL123[[#This Row],[( S/S+T/B) AJD]]-(TABL123[[#This Row],[(A/B + A/S) AJD]]+(TABL123[[#This Row],[(STORGE DIFF.) AJD]])+TABL123[[#This Row],[البخر  AJD]]/1000)</f>
        <v>0</v>
      </c>
      <c r="AE307" s="68"/>
      <c r="AF307" s="68"/>
      <c r="AG307" s="68"/>
      <c r="AH307" s="6"/>
      <c r="AI307" s="79"/>
      <c r="AJ307" s="79">
        <f>TABL123[[#This Row],[(A/B TOT) AJD]]-TABL123[[#This Row],[BER_ IN]]</f>
        <v>0</v>
      </c>
      <c r="AK307" s="79"/>
      <c r="AL307" s="68"/>
      <c r="AM307" s="88"/>
      <c r="AN307" s="88">
        <f>TABL123[[#This Row],[ (RESV. STORGE) SER]]/10</f>
        <v>0</v>
      </c>
      <c r="AO307" s="6"/>
      <c r="AP307" s="32">
        <f>TABL123[[#This Row],[(A/S TOT) AJD]]-TABL123[[#This Row],[SER_ IN]]</f>
        <v>0</v>
      </c>
    </row>
    <row r="308" spans="1:42" ht="18.75" x14ac:dyDescent="0.3">
      <c r="A308" s="2">
        <v>46329</v>
      </c>
      <c r="B308" s="28"/>
      <c r="C308" s="28"/>
      <c r="D308" s="28"/>
      <c r="E308" s="28"/>
      <c r="F308" s="28"/>
      <c r="G308" s="28"/>
      <c r="H308" s="28">
        <f t="shared" si="13"/>
        <v>103</v>
      </c>
      <c r="I308" s="28"/>
      <c r="J308" s="28"/>
      <c r="K308" s="28">
        <f>TABL123[[#This Row],[خط (T/B  TOT) SAR]]+TABL123[[#This Row],[خط (S/S  TOT) SAR2]]</f>
        <v>0</v>
      </c>
      <c r="L308" s="28"/>
      <c r="M308" s="29"/>
      <c r="N308" s="30"/>
      <c r="O308" s="39"/>
      <c r="P308" s="9">
        <f>TABL123[[#This Row],[خط (S/S  TOT) SAR2]]-TABL123[[#This Row],[(S/S TOT) AJD]]</f>
        <v>0</v>
      </c>
      <c r="Q308" s="9"/>
      <c r="R308" s="9">
        <f>TABL123[[#This Row],[خط (T/B  TOT) SAR]]-TABL123[[#This Row],[(T/B TOT) AJD]]</f>
        <v>0</v>
      </c>
      <c r="S308" s="9">
        <f>TABL123[[#This Row],[الفرق بين بداية ونهاية خط  T/B]]+TABL123[[#This Row],[الفرق بين بداية ونهاية خط  S/S]]</f>
        <v>0</v>
      </c>
      <c r="T308" s="9">
        <f>TABL123[[#This Row],[(S/S TOT) AJD]]+TABL123[[#This Row],[(T/B TOT) AJD]]</f>
        <v>0</v>
      </c>
      <c r="U308" s="9"/>
      <c r="V308" s="9"/>
      <c r="W308" s="9">
        <f>TABL123[[#This Row],[(A/B TOT) AJD]]+TABL123[[#This Row],[(A/S TOT) AJD]]</f>
        <v>0</v>
      </c>
      <c r="X308" s="9">
        <f>TABL123[[#This Row],[( S/S+T/B) AJD]]-TABL123[[#This Row],[(A/B + A/S) AJD]]</f>
        <v>0</v>
      </c>
      <c r="Y308" s="18"/>
      <c r="Z308" s="9"/>
      <c r="AA308" s="3">
        <f>TABL123[[#This Row],[(RESV. STORGE) AJD]]/10</f>
        <v>0</v>
      </c>
      <c r="AB308" s="45">
        <f t="shared" si="14"/>
        <v>0</v>
      </c>
      <c r="AC308" s="5"/>
      <c r="AD308" s="84">
        <f>TABL123[[#This Row],[( S/S+T/B) AJD]]-(TABL123[[#This Row],[(A/B + A/S) AJD]]+(TABL123[[#This Row],[(STORGE DIFF.) AJD]])+TABL123[[#This Row],[البخر  AJD]]/1000)</f>
        <v>0</v>
      </c>
      <c r="AE308" s="68"/>
      <c r="AF308" s="68"/>
      <c r="AG308" s="68"/>
      <c r="AH308" s="6"/>
      <c r="AI308" s="79"/>
      <c r="AJ308" s="79">
        <f>TABL123[[#This Row],[(A/B TOT) AJD]]-TABL123[[#This Row],[BER_ IN]]</f>
        <v>0</v>
      </c>
      <c r="AK308" s="79"/>
      <c r="AL308" s="68"/>
      <c r="AM308" s="88"/>
      <c r="AN308" s="88">
        <f>TABL123[[#This Row],[ (RESV. STORGE) SER]]/10</f>
        <v>0</v>
      </c>
      <c r="AO308" s="6"/>
      <c r="AP308" s="32">
        <f>TABL123[[#This Row],[(A/S TOT) AJD]]-TABL123[[#This Row],[SER_ IN]]</f>
        <v>0</v>
      </c>
    </row>
    <row r="309" spans="1:42" ht="18.75" x14ac:dyDescent="0.3">
      <c r="A309" s="2">
        <v>46330</v>
      </c>
      <c r="B309" s="28"/>
      <c r="C309" s="28"/>
      <c r="D309" s="28"/>
      <c r="E309" s="28"/>
      <c r="F309" s="28"/>
      <c r="G309" s="28"/>
      <c r="H309" s="28">
        <f t="shared" si="13"/>
        <v>103</v>
      </c>
      <c r="I309" s="28"/>
      <c r="J309" s="28"/>
      <c r="K309" s="28">
        <f>TABL123[[#This Row],[خط (T/B  TOT) SAR]]+TABL123[[#This Row],[خط (S/S  TOT) SAR2]]</f>
        <v>0</v>
      </c>
      <c r="L309" s="28"/>
      <c r="M309" s="29"/>
      <c r="N309" s="30"/>
      <c r="O309" s="40"/>
      <c r="P309" s="9">
        <f>TABL123[[#This Row],[خط (S/S  TOT) SAR2]]-TABL123[[#This Row],[(S/S TOT) AJD]]</f>
        <v>0</v>
      </c>
      <c r="Q309" s="9"/>
      <c r="R309" s="9">
        <f>TABL123[[#This Row],[خط (T/B  TOT) SAR]]-TABL123[[#This Row],[(T/B TOT) AJD]]</f>
        <v>0</v>
      </c>
      <c r="S309" s="9">
        <f>TABL123[[#This Row],[الفرق بين بداية ونهاية خط  T/B]]+TABL123[[#This Row],[الفرق بين بداية ونهاية خط  S/S]]</f>
        <v>0</v>
      </c>
      <c r="T309" s="9">
        <f>TABL123[[#This Row],[(S/S TOT) AJD]]+TABL123[[#This Row],[(T/B TOT) AJD]]</f>
        <v>0</v>
      </c>
      <c r="U309" s="9"/>
      <c r="V309" s="9"/>
      <c r="W309" s="9">
        <f>TABL123[[#This Row],[(A/B TOT) AJD]]+TABL123[[#This Row],[(A/S TOT) AJD]]</f>
        <v>0</v>
      </c>
      <c r="X309" s="9">
        <f>TABL123[[#This Row],[( S/S+T/B) AJD]]-TABL123[[#This Row],[(A/B + A/S) AJD]]</f>
        <v>0</v>
      </c>
      <c r="Y309" s="18"/>
      <c r="Z309" s="9"/>
      <c r="AA309" s="3">
        <f>TABL123[[#This Row],[(RESV. STORGE) AJD]]/10</f>
        <v>0</v>
      </c>
      <c r="AB309" s="45">
        <f t="shared" si="14"/>
        <v>0</v>
      </c>
      <c r="AC309" s="5"/>
      <c r="AD309" s="84">
        <f>TABL123[[#This Row],[( S/S+T/B) AJD]]-(TABL123[[#This Row],[(A/B + A/S) AJD]]+(TABL123[[#This Row],[(STORGE DIFF.) AJD]])+TABL123[[#This Row],[البخر  AJD]]/1000)</f>
        <v>0</v>
      </c>
      <c r="AE309" s="68"/>
      <c r="AF309" s="68"/>
      <c r="AG309" s="68"/>
      <c r="AH309" s="6"/>
      <c r="AI309" s="79"/>
      <c r="AJ309" s="79">
        <f>TABL123[[#This Row],[(A/B TOT) AJD]]-TABL123[[#This Row],[BER_ IN]]</f>
        <v>0</v>
      </c>
      <c r="AK309" s="79"/>
      <c r="AL309" s="68"/>
      <c r="AM309" s="88"/>
      <c r="AN309" s="88">
        <f>TABL123[[#This Row],[ (RESV. STORGE) SER]]/10</f>
        <v>0</v>
      </c>
      <c r="AO309" s="6"/>
      <c r="AP309" s="32">
        <f>TABL123[[#This Row],[(A/S TOT) AJD]]-TABL123[[#This Row],[SER_ IN]]</f>
        <v>0</v>
      </c>
    </row>
    <row r="310" spans="1:42" ht="18.75" x14ac:dyDescent="0.3">
      <c r="A310" s="2">
        <v>46331</v>
      </c>
      <c r="B310" s="28"/>
      <c r="C310" s="28"/>
      <c r="D310" s="28"/>
      <c r="E310" s="28"/>
      <c r="F310" s="28"/>
      <c r="G310" s="28"/>
      <c r="H310" s="28">
        <f t="shared" si="13"/>
        <v>103</v>
      </c>
      <c r="I310" s="28"/>
      <c r="J310" s="28"/>
      <c r="K310" s="28">
        <f>TABL123[[#This Row],[خط (T/B  TOT) SAR]]+TABL123[[#This Row],[خط (S/S  TOT) SAR2]]</f>
        <v>0</v>
      </c>
      <c r="L310" s="28"/>
      <c r="M310" s="29"/>
      <c r="N310" s="30"/>
      <c r="O310" s="39"/>
      <c r="P310" s="9">
        <f>TABL123[[#This Row],[خط (S/S  TOT) SAR2]]-TABL123[[#This Row],[(S/S TOT) AJD]]</f>
        <v>0</v>
      </c>
      <c r="Q310" s="9"/>
      <c r="R310" s="9">
        <f>TABL123[[#This Row],[خط (T/B  TOT) SAR]]-TABL123[[#This Row],[(T/B TOT) AJD]]</f>
        <v>0</v>
      </c>
      <c r="S310" s="9">
        <f>TABL123[[#This Row],[الفرق بين بداية ونهاية خط  T/B]]+TABL123[[#This Row],[الفرق بين بداية ونهاية خط  S/S]]</f>
        <v>0</v>
      </c>
      <c r="T310" s="9">
        <f>TABL123[[#This Row],[(S/S TOT) AJD]]+TABL123[[#This Row],[(T/B TOT) AJD]]</f>
        <v>0</v>
      </c>
      <c r="U310" s="9"/>
      <c r="V310" s="9"/>
      <c r="W310" s="9">
        <f>TABL123[[#This Row],[(A/B TOT) AJD]]+TABL123[[#This Row],[(A/S TOT) AJD]]</f>
        <v>0</v>
      </c>
      <c r="X310" s="9">
        <f>TABL123[[#This Row],[( S/S+T/B) AJD]]-TABL123[[#This Row],[(A/B + A/S) AJD]]</f>
        <v>0</v>
      </c>
      <c r="Y310" s="18"/>
      <c r="Z310" s="9"/>
      <c r="AA310" s="3">
        <f>TABL123[[#This Row],[(RESV. STORGE) AJD]]/10</f>
        <v>0</v>
      </c>
      <c r="AB310" s="45">
        <f t="shared" si="14"/>
        <v>0</v>
      </c>
      <c r="AC310" s="5"/>
      <c r="AD310" s="84">
        <f>TABL123[[#This Row],[( S/S+T/B) AJD]]-(TABL123[[#This Row],[(A/B + A/S) AJD]]+(TABL123[[#This Row],[(STORGE DIFF.) AJD]])+TABL123[[#This Row],[البخر  AJD]]/1000)</f>
        <v>0</v>
      </c>
      <c r="AE310" s="68"/>
      <c r="AF310" s="68"/>
      <c r="AG310" s="68"/>
      <c r="AH310" s="6"/>
      <c r="AI310" s="79"/>
      <c r="AJ310" s="79">
        <f>TABL123[[#This Row],[(A/B TOT) AJD]]-TABL123[[#This Row],[BER_ IN]]</f>
        <v>0</v>
      </c>
      <c r="AK310" s="79"/>
      <c r="AL310" s="68"/>
      <c r="AM310" s="88"/>
      <c r="AN310" s="88">
        <f>TABL123[[#This Row],[ (RESV. STORGE) SER]]/10</f>
        <v>0</v>
      </c>
      <c r="AO310" s="6"/>
      <c r="AP310" s="32">
        <f>TABL123[[#This Row],[(A/S TOT) AJD]]-TABL123[[#This Row],[SER_ IN]]</f>
        <v>0</v>
      </c>
    </row>
    <row r="311" spans="1:42" ht="18.75" x14ac:dyDescent="0.3">
      <c r="A311" s="2">
        <v>46332</v>
      </c>
      <c r="B311" s="28"/>
      <c r="C311" s="28"/>
      <c r="D311" s="28"/>
      <c r="E311" s="28"/>
      <c r="F311" s="28"/>
      <c r="G311" s="28"/>
      <c r="H311" s="28">
        <f t="shared" si="13"/>
        <v>103</v>
      </c>
      <c r="I311" s="28"/>
      <c r="J311" s="28"/>
      <c r="K311" s="28">
        <f>TABL123[[#This Row],[خط (T/B  TOT) SAR]]+TABL123[[#This Row],[خط (S/S  TOT) SAR2]]</f>
        <v>0</v>
      </c>
      <c r="L311" s="28"/>
      <c r="M311" s="29"/>
      <c r="N311" s="30"/>
      <c r="O311" s="40"/>
      <c r="P311" s="9">
        <f>TABL123[[#This Row],[خط (S/S  TOT) SAR2]]-TABL123[[#This Row],[(S/S TOT) AJD]]</f>
        <v>0</v>
      </c>
      <c r="Q311" s="9"/>
      <c r="R311" s="9">
        <f>TABL123[[#This Row],[خط (T/B  TOT) SAR]]-TABL123[[#This Row],[(T/B TOT) AJD]]</f>
        <v>0</v>
      </c>
      <c r="S311" s="9">
        <f>TABL123[[#This Row],[الفرق بين بداية ونهاية خط  T/B]]+TABL123[[#This Row],[الفرق بين بداية ونهاية خط  S/S]]</f>
        <v>0</v>
      </c>
      <c r="T311" s="9">
        <f>TABL123[[#This Row],[(S/S TOT) AJD]]+TABL123[[#This Row],[(T/B TOT) AJD]]</f>
        <v>0</v>
      </c>
      <c r="U311" s="9"/>
      <c r="V311" s="9"/>
      <c r="W311" s="9">
        <f>TABL123[[#This Row],[(A/B TOT) AJD]]+TABL123[[#This Row],[(A/S TOT) AJD]]</f>
        <v>0</v>
      </c>
      <c r="X311" s="9">
        <f>TABL123[[#This Row],[( S/S+T/B) AJD]]-TABL123[[#This Row],[(A/B + A/S) AJD]]</f>
        <v>0</v>
      </c>
      <c r="Y311" s="18"/>
      <c r="Z311" s="9"/>
      <c r="AA311" s="3">
        <f>TABL123[[#This Row],[(RESV. STORGE) AJD]]/10</f>
        <v>0</v>
      </c>
      <c r="AB311" s="45">
        <f t="shared" si="14"/>
        <v>0</v>
      </c>
      <c r="AC311" s="5"/>
      <c r="AD311" s="84">
        <f>TABL123[[#This Row],[( S/S+T/B) AJD]]-(TABL123[[#This Row],[(A/B + A/S) AJD]]+(TABL123[[#This Row],[(STORGE DIFF.) AJD]])+TABL123[[#This Row],[البخر  AJD]]/1000)</f>
        <v>0</v>
      </c>
      <c r="AE311" s="68"/>
      <c r="AF311" s="68"/>
      <c r="AG311" s="68"/>
      <c r="AH311" s="6"/>
      <c r="AI311" s="79"/>
      <c r="AJ311" s="79">
        <f>TABL123[[#This Row],[(A/B TOT) AJD]]-TABL123[[#This Row],[BER_ IN]]</f>
        <v>0</v>
      </c>
      <c r="AK311" s="79"/>
      <c r="AL311" s="68"/>
      <c r="AM311" s="88"/>
      <c r="AN311" s="88">
        <f>TABL123[[#This Row],[ (RESV. STORGE) SER]]/10</f>
        <v>0</v>
      </c>
      <c r="AO311" s="6"/>
      <c r="AP311" s="32">
        <f>TABL123[[#This Row],[(A/S TOT) AJD]]-TABL123[[#This Row],[SER_ IN]]</f>
        <v>0</v>
      </c>
    </row>
    <row r="312" spans="1:42" ht="18.75" x14ac:dyDescent="0.3">
      <c r="A312" s="2">
        <v>46333</v>
      </c>
      <c r="B312" s="28"/>
      <c r="C312" s="28"/>
      <c r="D312" s="28"/>
      <c r="E312" s="28"/>
      <c r="F312" s="28"/>
      <c r="G312" s="28"/>
      <c r="H312" s="28">
        <f t="shared" si="13"/>
        <v>103</v>
      </c>
      <c r="I312" s="28"/>
      <c r="J312" s="28"/>
      <c r="K312" s="28">
        <f>TABL123[[#This Row],[خط (T/B  TOT) SAR]]+TABL123[[#This Row],[خط (S/S  TOT) SAR2]]</f>
        <v>0</v>
      </c>
      <c r="L312" s="28"/>
      <c r="M312" s="29"/>
      <c r="N312" s="30"/>
      <c r="O312" s="39"/>
      <c r="P312" s="9">
        <f>TABL123[[#This Row],[خط (S/S  TOT) SAR2]]-TABL123[[#This Row],[(S/S TOT) AJD]]</f>
        <v>0</v>
      </c>
      <c r="Q312" s="9"/>
      <c r="R312" s="9">
        <f>TABL123[[#This Row],[خط (T/B  TOT) SAR]]-TABL123[[#This Row],[(T/B TOT) AJD]]</f>
        <v>0</v>
      </c>
      <c r="S312" s="9">
        <f>TABL123[[#This Row],[الفرق بين بداية ونهاية خط  T/B]]+TABL123[[#This Row],[الفرق بين بداية ونهاية خط  S/S]]</f>
        <v>0</v>
      </c>
      <c r="T312" s="9">
        <f>TABL123[[#This Row],[(S/S TOT) AJD]]+TABL123[[#This Row],[(T/B TOT) AJD]]</f>
        <v>0</v>
      </c>
      <c r="U312" s="9"/>
      <c r="V312" s="9"/>
      <c r="W312" s="9">
        <f>TABL123[[#This Row],[(A/B TOT) AJD]]+TABL123[[#This Row],[(A/S TOT) AJD]]</f>
        <v>0</v>
      </c>
      <c r="X312" s="9">
        <f>TABL123[[#This Row],[( S/S+T/B) AJD]]-TABL123[[#This Row],[(A/B + A/S) AJD]]</f>
        <v>0</v>
      </c>
      <c r="Y312" s="18"/>
      <c r="Z312" s="9"/>
      <c r="AA312" s="3">
        <f>TABL123[[#This Row],[(RESV. STORGE) AJD]]/10</f>
        <v>0</v>
      </c>
      <c r="AB312" s="45">
        <f t="shared" si="14"/>
        <v>0</v>
      </c>
      <c r="AC312" s="5"/>
      <c r="AD312" s="84">
        <f>TABL123[[#This Row],[( S/S+T/B) AJD]]-(TABL123[[#This Row],[(A/B + A/S) AJD]]+(TABL123[[#This Row],[(STORGE DIFF.) AJD]])+TABL123[[#This Row],[البخر  AJD]]/1000)</f>
        <v>0</v>
      </c>
      <c r="AE312" s="68"/>
      <c r="AF312" s="68"/>
      <c r="AG312" s="68"/>
      <c r="AH312" s="6"/>
      <c r="AI312" s="79"/>
      <c r="AJ312" s="79">
        <f>TABL123[[#This Row],[(A/B TOT) AJD]]-TABL123[[#This Row],[BER_ IN]]</f>
        <v>0</v>
      </c>
      <c r="AK312" s="79"/>
      <c r="AL312" s="68"/>
      <c r="AM312" s="88"/>
      <c r="AN312" s="88">
        <f>TABL123[[#This Row],[ (RESV. STORGE) SER]]/10</f>
        <v>0</v>
      </c>
      <c r="AO312" s="6"/>
      <c r="AP312" s="32">
        <f>TABL123[[#This Row],[(A/S TOT) AJD]]-TABL123[[#This Row],[SER_ IN]]</f>
        <v>0</v>
      </c>
    </row>
    <row r="313" spans="1:42" ht="18.75" x14ac:dyDescent="0.3">
      <c r="A313" s="2">
        <v>46334</v>
      </c>
      <c r="B313" s="28"/>
      <c r="C313" s="28"/>
      <c r="D313" s="28"/>
      <c r="E313" s="28"/>
      <c r="F313" s="28"/>
      <c r="G313" s="28"/>
      <c r="H313" s="28">
        <f t="shared" si="13"/>
        <v>103</v>
      </c>
      <c r="I313" s="28"/>
      <c r="J313" s="28"/>
      <c r="K313" s="28">
        <f>TABL123[[#This Row],[خط (T/B  TOT) SAR]]+TABL123[[#This Row],[خط (S/S  TOT) SAR2]]</f>
        <v>0</v>
      </c>
      <c r="L313" s="28"/>
      <c r="M313" s="29"/>
      <c r="N313" s="30"/>
      <c r="O313" s="40"/>
      <c r="P313" s="9">
        <f>TABL123[[#This Row],[خط (S/S  TOT) SAR2]]-TABL123[[#This Row],[(S/S TOT) AJD]]</f>
        <v>0</v>
      </c>
      <c r="Q313" s="9"/>
      <c r="R313" s="9">
        <f>TABL123[[#This Row],[خط (T/B  TOT) SAR]]-TABL123[[#This Row],[(T/B TOT) AJD]]</f>
        <v>0</v>
      </c>
      <c r="S313" s="9">
        <f>TABL123[[#This Row],[الفرق بين بداية ونهاية خط  T/B]]+TABL123[[#This Row],[الفرق بين بداية ونهاية خط  S/S]]</f>
        <v>0</v>
      </c>
      <c r="T313" s="9">
        <f>TABL123[[#This Row],[(S/S TOT) AJD]]+TABL123[[#This Row],[(T/B TOT) AJD]]</f>
        <v>0</v>
      </c>
      <c r="U313" s="9"/>
      <c r="V313" s="9"/>
      <c r="W313" s="9">
        <f>TABL123[[#This Row],[(A/B TOT) AJD]]+TABL123[[#This Row],[(A/S TOT) AJD]]</f>
        <v>0</v>
      </c>
      <c r="X313" s="9">
        <f>TABL123[[#This Row],[( S/S+T/B) AJD]]-TABL123[[#This Row],[(A/B + A/S) AJD]]</f>
        <v>0</v>
      </c>
      <c r="Y313" s="18"/>
      <c r="Z313" s="9"/>
      <c r="AA313" s="3">
        <f>TABL123[[#This Row],[(RESV. STORGE) AJD]]/10</f>
        <v>0</v>
      </c>
      <c r="AB313" s="45">
        <f t="shared" si="14"/>
        <v>0</v>
      </c>
      <c r="AC313" s="5"/>
      <c r="AD313" s="84">
        <f>TABL123[[#This Row],[( S/S+T/B) AJD]]-(TABL123[[#This Row],[(A/B + A/S) AJD]]+(TABL123[[#This Row],[(STORGE DIFF.) AJD]])+TABL123[[#This Row],[البخر  AJD]]/1000)</f>
        <v>0</v>
      </c>
      <c r="AE313" s="68"/>
      <c r="AF313" s="68"/>
      <c r="AG313" s="68"/>
      <c r="AH313" s="6"/>
      <c r="AI313" s="79"/>
      <c r="AJ313" s="79">
        <f>TABL123[[#This Row],[(A/B TOT) AJD]]-TABL123[[#This Row],[BER_ IN]]</f>
        <v>0</v>
      </c>
      <c r="AK313" s="79"/>
      <c r="AL313" s="68"/>
      <c r="AM313" s="88"/>
      <c r="AN313" s="88">
        <f>TABL123[[#This Row],[ (RESV. STORGE) SER]]/10</f>
        <v>0</v>
      </c>
      <c r="AO313" s="6"/>
      <c r="AP313" s="32">
        <f>TABL123[[#This Row],[(A/S TOT) AJD]]-TABL123[[#This Row],[SER_ IN]]</f>
        <v>0</v>
      </c>
    </row>
    <row r="314" spans="1:42" ht="18.75" x14ac:dyDescent="0.3">
      <c r="A314" s="2">
        <v>46335</v>
      </c>
      <c r="B314" s="28"/>
      <c r="C314" s="28"/>
      <c r="D314" s="28"/>
      <c r="E314" s="28"/>
      <c r="F314" s="28"/>
      <c r="G314" s="28"/>
      <c r="H314" s="28">
        <f t="shared" si="13"/>
        <v>103</v>
      </c>
      <c r="I314" s="28"/>
      <c r="J314" s="28"/>
      <c r="K314" s="28">
        <f>TABL123[[#This Row],[خط (T/B  TOT) SAR]]+TABL123[[#This Row],[خط (S/S  TOT) SAR2]]</f>
        <v>0</v>
      </c>
      <c r="L314" s="28"/>
      <c r="M314" s="29"/>
      <c r="N314" s="30"/>
      <c r="O314" s="39"/>
      <c r="P314" s="9">
        <f>TABL123[[#This Row],[خط (S/S  TOT) SAR2]]-TABL123[[#This Row],[(S/S TOT) AJD]]</f>
        <v>0</v>
      </c>
      <c r="Q314" s="9"/>
      <c r="R314" s="9">
        <f>TABL123[[#This Row],[خط (T/B  TOT) SAR]]-TABL123[[#This Row],[(T/B TOT) AJD]]</f>
        <v>0</v>
      </c>
      <c r="S314" s="9">
        <f>TABL123[[#This Row],[الفرق بين بداية ونهاية خط  T/B]]+TABL123[[#This Row],[الفرق بين بداية ونهاية خط  S/S]]</f>
        <v>0</v>
      </c>
      <c r="T314" s="9">
        <f>TABL123[[#This Row],[(S/S TOT) AJD]]+TABL123[[#This Row],[(T/B TOT) AJD]]</f>
        <v>0</v>
      </c>
      <c r="U314" s="9"/>
      <c r="V314" s="9"/>
      <c r="W314" s="9">
        <f>TABL123[[#This Row],[(A/B TOT) AJD]]+TABL123[[#This Row],[(A/S TOT) AJD]]</f>
        <v>0</v>
      </c>
      <c r="X314" s="9">
        <f>TABL123[[#This Row],[( S/S+T/B) AJD]]-TABL123[[#This Row],[(A/B + A/S) AJD]]</f>
        <v>0</v>
      </c>
      <c r="Y314" s="18"/>
      <c r="Z314" s="9"/>
      <c r="AA314" s="3">
        <f>TABL123[[#This Row],[(RESV. STORGE) AJD]]/10</f>
        <v>0</v>
      </c>
      <c r="AB314" s="45">
        <f t="shared" si="14"/>
        <v>0</v>
      </c>
      <c r="AC314" s="5"/>
      <c r="AD314" s="84">
        <f>TABL123[[#This Row],[( S/S+T/B) AJD]]-(TABL123[[#This Row],[(A/B + A/S) AJD]]+(TABL123[[#This Row],[(STORGE DIFF.) AJD]])+TABL123[[#This Row],[البخر  AJD]]/1000)</f>
        <v>0</v>
      </c>
      <c r="AE314" s="68"/>
      <c r="AF314" s="68"/>
      <c r="AG314" s="68"/>
      <c r="AH314" s="6"/>
      <c r="AI314" s="79"/>
      <c r="AJ314" s="79">
        <f>TABL123[[#This Row],[(A/B TOT) AJD]]-TABL123[[#This Row],[BER_ IN]]</f>
        <v>0</v>
      </c>
      <c r="AK314" s="79"/>
      <c r="AL314" s="68"/>
      <c r="AM314" s="88"/>
      <c r="AN314" s="88">
        <f>TABL123[[#This Row],[ (RESV. STORGE) SER]]/10</f>
        <v>0</v>
      </c>
      <c r="AO314" s="6"/>
      <c r="AP314" s="32">
        <f>TABL123[[#This Row],[(A/S TOT) AJD]]-TABL123[[#This Row],[SER_ IN]]</f>
        <v>0</v>
      </c>
    </row>
    <row r="315" spans="1:42" ht="18.75" x14ac:dyDescent="0.3">
      <c r="A315" s="2">
        <v>46336</v>
      </c>
      <c r="B315" s="28"/>
      <c r="C315" s="28"/>
      <c r="D315" s="28"/>
      <c r="E315" s="28"/>
      <c r="F315" s="28"/>
      <c r="G315" s="28"/>
      <c r="H315" s="28">
        <f t="shared" si="13"/>
        <v>103</v>
      </c>
      <c r="I315" s="28"/>
      <c r="J315" s="28"/>
      <c r="K315" s="28">
        <f>TABL123[[#This Row],[خط (T/B  TOT) SAR]]+TABL123[[#This Row],[خط (S/S  TOT) SAR2]]</f>
        <v>0</v>
      </c>
      <c r="L315" s="28"/>
      <c r="M315" s="29"/>
      <c r="N315" s="30"/>
      <c r="O315" s="40"/>
      <c r="P315" s="9">
        <f>TABL123[[#This Row],[خط (S/S  TOT) SAR2]]-TABL123[[#This Row],[(S/S TOT) AJD]]</f>
        <v>0</v>
      </c>
      <c r="Q315" s="9"/>
      <c r="R315" s="9">
        <f>TABL123[[#This Row],[خط (T/B  TOT) SAR]]-TABL123[[#This Row],[(T/B TOT) AJD]]</f>
        <v>0</v>
      </c>
      <c r="S315" s="9">
        <f>TABL123[[#This Row],[الفرق بين بداية ونهاية خط  T/B]]+TABL123[[#This Row],[الفرق بين بداية ونهاية خط  S/S]]</f>
        <v>0</v>
      </c>
      <c r="T315" s="9">
        <f>TABL123[[#This Row],[(S/S TOT) AJD]]+TABL123[[#This Row],[(T/B TOT) AJD]]</f>
        <v>0</v>
      </c>
      <c r="U315" s="9"/>
      <c r="V315" s="9"/>
      <c r="W315" s="9">
        <f>TABL123[[#This Row],[(A/B TOT) AJD]]+TABL123[[#This Row],[(A/S TOT) AJD]]</f>
        <v>0</v>
      </c>
      <c r="X315" s="9">
        <f>TABL123[[#This Row],[( S/S+T/B) AJD]]-TABL123[[#This Row],[(A/B + A/S) AJD]]</f>
        <v>0</v>
      </c>
      <c r="Y315" s="18"/>
      <c r="Z315" s="9"/>
      <c r="AA315" s="3">
        <f>TABL123[[#This Row],[(RESV. STORGE) AJD]]/10</f>
        <v>0</v>
      </c>
      <c r="AB315" s="45">
        <f t="shared" si="14"/>
        <v>0</v>
      </c>
      <c r="AC315" s="5"/>
      <c r="AD315" s="84">
        <f>TABL123[[#This Row],[( S/S+T/B) AJD]]-(TABL123[[#This Row],[(A/B + A/S) AJD]]+(TABL123[[#This Row],[(STORGE DIFF.) AJD]])+TABL123[[#This Row],[البخر  AJD]]/1000)</f>
        <v>0</v>
      </c>
      <c r="AE315" s="68"/>
      <c r="AF315" s="68"/>
      <c r="AG315" s="68"/>
      <c r="AH315" s="6"/>
      <c r="AI315" s="79"/>
      <c r="AJ315" s="79">
        <f>TABL123[[#This Row],[(A/B TOT) AJD]]-TABL123[[#This Row],[BER_ IN]]</f>
        <v>0</v>
      </c>
      <c r="AK315" s="79"/>
      <c r="AL315" s="68"/>
      <c r="AM315" s="88"/>
      <c r="AN315" s="88">
        <f>TABL123[[#This Row],[ (RESV. STORGE) SER]]/10</f>
        <v>0</v>
      </c>
      <c r="AO315" s="6"/>
      <c r="AP315" s="32">
        <f>TABL123[[#This Row],[(A/S TOT) AJD]]-TABL123[[#This Row],[SER_ IN]]</f>
        <v>0</v>
      </c>
    </row>
    <row r="316" spans="1:42" ht="18.75" x14ac:dyDescent="0.3">
      <c r="A316" s="2">
        <v>46337</v>
      </c>
      <c r="B316" s="28"/>
      <c r="C316" s="28"/>
      <c r="D316" s="28"/>
      <c r="E316" s="28"/>
      <c r="F316" s="28"/>
      <c r="G316" s="28"/>
      <c r="H316" s="28">
        <f t="shared" si="13"/>
        <v>103</v>
      </c>
      <c r="I316" s="28"/>
      <c r="J316" s="28"/>
      <c r="K316" s="28">
        <f>TABL123[[#This Row],[خط (T/B  TOT) SAR]]+TABL123[[#This Row],[خط (S/S  TOT) SAR2]]</f>
        <v>0</v>
      </c>
      <c r="L316" s="28"/>
      <c r="M316" s="29"/>
      <c r="N316" s="30"/>
      <c r="O316" s="39"/>
      <c r="P316" s="9">
        <f>TABL123[[#This Row],[خط (S/S  TOT) SAR2]]-TABL123[[#This Row],[(S/S TOT) AJD]]</f>
        <v>0</v>
      </c>
      <c r="Q316" s="9"/>
      <c r="R316" s="9">
        <f>TABL123[[#This Row],[خط (T/B  TOT) SAR]]-TABL123[[#This Row],[(T/B TOT) AJD]]</f>
        <v>0</v>
      </c>
      <c r="S316" s="9">
        <f>TABL123[[#This Row],[الفرق بين بداية ونهاية خط  T/B]]+TABL123[[#This Row],[الفرق بين بداية ونهاية خط  S/S]]</f>
        <v>0</v>
      </c>
      <c r="T316" s="9">
        <f>TABL123[[#This Row],[(S/S TOT) AJD]]+TABL123[[#This Row],[(T/B TOT) AJD]]</f>
        <v>0</v>
      </c>
      <c r="U316" s="9"/>
      <c r="V316" s="9"/>
      <c r="W316" s="9">
        <f>TABL123[[#This Row],[(A/B TOT) AJD]]+TABL123[[#This Row],[(A/S TOT) AJD]]</f>
        <v>0</v>
      </c>
      <c r="X316" s="9">
        <f>TABL123[[#This Row],[( S/S+T/B) AJD]]-TABL123[[#This Row],[(A/B + A/S) AJD]]</f>
        <v>0</v>
      </c>
      <c r="Y316" s="18"/>
      <c r="Z316" s="9"/>
      <c r="AA316" s="3">
        <f>TABL123[[#This Row],[(RESV. STORGE) AJD]]/10</f>
        <v>0</v>
      </c>
      <c r="AB316" s="45">
        <f t="shared" si="14"/>
        <v>0</v>
      </c>
      <c r="AC316" s="5"/>
      <c r="AD316" s="84">
        <f>TABL123[[#This Row],[( S/S+T/B) AJD]]-(TABL123[[#This Row],[(A/B + A/S) AJD]]+(TABL123[[#This Row],[(STORGE DIFF.) AJD]])+TABL123[[#This Row],[البخر  AJD]]/1000)</f>
        <v>0</v>
      </c>
      <c r="AE316" s="68"/>
      <c r="AF316" s="68"/>
      <c r="AG316" s="68"/>
      <c r="AH316" s="6"/>
      <c r="AI316" s="79"/>
      <c r="AJ316" s="79">
        <f>TABL123[[#This Row],[(A/B TOT) AJD]]-TABL123[[#This Row],[BER_ IN]]</f>
        <v>0</v>
      </c>
      <c r="AK316" s="79"/>
      <c r="AL316" s="68"/>
      <c r="AM316" s="88"/>
      <c r="AN316" s="88">
        <f>TABL123[[#This Row],[ (RESV. STORGE) SER]]/10</f>
        <v>0</v>
      </c>
      <c r="AO316" s="6"/>
      <c r="AP316" s="32">
        <f>TABL123[[#This Row],[(A/S TOT) AJD]]-TABL123[[#This Row],[SER_ IN]]</f>
        <v>0</v>
      </c>
    </row>
    <row r="317" spans="1:42" ht="18.75" x14ac:dyDescent="0.3">
      <c r="A317" s="2">
        <v>46338</v>
      </c>
      <c r="B317" s="28"/>
      <c r="C317" s="28"/>
      <c r="D317" s="28"/>
      <c r="E317" s="28"/>
      <c r="F317" s="28"/>
      <c r="G317" s="28"/>
      <c r="H317" s="28">
        <f t="shared" si="13"/>
        <v>103</v>
      </c>
      <c r="I317" s="28"/>
      <c r="J317" s="28"/>
      <c r="K317" s="28">
        <f>TABL123[[#This Row],[خط (T/B  TOT) SAR]]+TABL123[[#This Row],[خط (S/S  TOT) SAR2]]</f>
        <v>0</v>
      </c>
      <c r="L317" s="28"/>
      <c r="M317" s="29"/>
      <c r="N317" s="30"/>
      <c r="O317" s="40"/>
      <c r="P317" s="9">
        <f>TABL123[[#This Row],[خط (S/S  TOT) SAR2]]-TABL123[[#This Row],[(S/S TOT) AJD]]</f>
        <v>0</v>
      </c>
      <c r="Q317" s="9"/>
      <c r="R317" s="9">
        <f>TABL123[[#This Row],[خط (T/B  TOT) SAR]]-TABL123[[#This Row],[(T/B TOT) AJD]]</f>
        <v>0</v>
      </c>
      <c r="S317" s="9">
        <f>TABL123[[#This Row],[الفرق بين بداية ونهاية خط  T/B]]+TABL123[[#This Row],[الفرق بين بداية ونهاية خط  S/S]]</f>
        <v>0</v>
      </c>
      <c r="T317" s="9">
        <f>TABL123[[#This Row],[(S/S TOT) AJD]]+TABL123[[#This Row],[(T/B TOT) AJD]]</f>
        <v>0</v>
      </c>
      <c r="U317" s="9"/>
      <c r="V317" s="9"/>
      <c r="W317" s="9">
        <f>TABL123[[#This Row],[(A/B TOT) AJD]]+TABL123[[#This Row],[(A/S TOT) AJD]]</f>
        <v>0</v>
      </c>
      <c r="X317" s="9">
        <f>TABL123[[#This Row],[( S/S+T/B) AJD]]-TABL123[[#This Row],[(A/B + A/S) AJD]]</f>
        <v>0</v>
      </c>
      <c r="Y317" s="18"/>
      <c r="Z317" s="9"/>
      <c r="AA317" s="3">
        <f>TABL123[[#This Row],[(RESV. STORGE) AJD]]/10</f>
        <v>0</v>
      </c>
      <c r="AB317" s="45">
        <f t="shared" si="14"/>
        <v>0</v>
      </c>
      <c r="AC317" s="5"/>
      <c r="AD317" s="84">
        <f>TABL123[[#This Row],[( S/S+T/B) AJD]]-(TABL123[[#This Row],[(A/B + A/S) AJD]]+(TABL123[[#This Row],[(STORGE DIFF.) AJD]])+TABL123[[#This Row],[البخر  AJD]]/1000)</f>
        <v>0</v>
      </c>
      <c r="AE317" s="68"/>
      <c r="AF317" s="68"/>
      <c r="AG317" s="68"/>
      <c r="AH317" s="6"/>
      <c r="AI317" s="79"/>
      <c r="AJ317" s="79">
        <f>TABL123[[#This Row],[(A/B TOT) AJD]]-TABL123[[#This Row],[BER_ IN]]</f>
        <v>0</v>
      </c>
      <c r="AK317" s="79"/>
      <c r="AL317" s="68"/>
      <c r="AM317" s="88"/>
      <c r="AN317" s="88">
        <f>TABL123[[#This Row],[ (RESV. STORGE) SER]]/10</f>
        <v>0</v>
      </c>
      <c r="AO317" s="6"/>
      <c r="AP317" s="32">
        <f>TABL123[[#This Row],[(A/S TOT) AJD]]-TABL123[[#This Row],[SER_ IN]]</f>
        <v>0</v>
      </c>
    </row>
    <row r="318" spans="1:42" ht="18.75" x14ac:dyDescent="0.3">
      <c r="A318" s="2">
        <v>46339</v>
      </c>
      <c r="B318" s="28"/>
      <c r="C318" s="28"/>
      <c r="D318" s="28"/>
      <c r="E318" s="28"/>
      <c r="F318" s="28"/>
      <c r="G318" s="28"/>
      <c r="H318" s="28">
        <f t="shared" si="13"/>
        <v>103</v>
      </c>
      <c r="I318" s="28"/>
      <c r="J318" s="28"/>
      <c r="K318" s="28">
        <f>TABL123[[#This Row],[خط (T/B  TOT) SAR]]+TABL123[[#This Row],[خط (S/S  TOT) SAR2]]</f>
        <v>0</v>
      </c>
      <c r="L318" s="28"/>
      <c r="M318" s="29"/>
      <c r="N318" s="30"/>
      <c r="O318" s="39"/>
      <c r="P318" s="9">
        <f>TABL123[[#This Row],[خط (S/S  TOT) SAR2]]-TABL123[[#This Row],[(S/S TOT) AJD]]</f>
        <v>0</v>
      </c>
      <c r="Q318" s="9"/>
      <c r="R318" s="9">
        <f>TABL123[[#This Row],[خط (T/B  TOT) SAR]]-TABL123[[#This Row],[(T/B TOT) AJD]]</f>
        <v>0</v>
      </c>
      <c r="S318" s="9">
        <f>TABL123[[#This Row],[الفرق بين بداية ونهاية خط  T/B]]+TABL123[[#This Row],[الفرق بين بداية ونهاية خط  S/S]]</f>
        <v>0</v>
      </c>
      <c r="T318" s="9">
        <f>TABL123[[#This Row],[(S/S TOT) AJD]]+TABL123[[#This Row],[(T/B TOT) AJD]]</f>
        <v>0</v>
      </c>
      <c r="U318" s="9"/>
      <c r="V318" s="9"/>
      <c r="W318" s="9">
        <f>TABL123[[#This Row],[(A/B TOT) AJD]]+TABL123[[#This Row],[(A/S TOT) AJD]]</f>
        <v>0</v>
      </c>
      <c r="X318" s="9">
        <f>TABL123[[#This Row],[( S/S+T/B) AJD]]-TABL123[[#This Row],[(A/B + A/S) AJD]]</f>
        <v>0</v>
      </c>
      <c r="Y318" s="18"/>
      <c r="Z318" s="9"/>
      <c r="AA318" s="3">
        <f>TABL123[[#This Row],[(RESV. STORGE) AJD]]/10</f>
        <v>0</v>
      </c>
      <c r="AB318" s="45">
        <f t="shared" si="14"/>
        <v>0</v>
      </c>
      <c r="AC318" s="5"/>
      <c r="AD318" s="84">
        <f>TABL123[[#This Row],[( S/S+T/B) AJD]]-(TABL123[[#This Row],[(A/B + A/S) AJD]]+(TABL123[[#This Row],[(STORGE DIFF.) AJD]])+TABL123[[#This Row],[البخر  AJD]]/1000)</f>
        <v>0</v>
      </c>
      <c r="AE318" s="68"/>
      <c r="AF318" s="68"/>
      <c r="AG318" s="68"/>
      <c r="AH318" s="6"/>
      <c r="AI318" s="79"/>
      <c r="AJ318" s="79">
        <f>TABL123[[#This Row],[(A/B TOT) AJD]]-TABL123[[#This Row],[BER_ IN]]</f>
        <v>0</v>
      </c>
      <c r="AK318" s="79"/>
      <c r="AL318" s="68"/>
      <c r="AM318" s="88"/>
      <c r="AN318" s="88">
        <f>TABL123[[#This Row],[ (RESV. STORGE) SER]]/10</f>
        <v>0</v>
      </c>
      <c r="AO318" s="6"/>
      <c r="AP318" s="32">
        <f>TABL123[[#This Row],[(A/S TOT) AJD]]-TABL123[[#This Row],[SER_ IN]]</f>
        <v>0</v>
      </c>
    </row>
    <row r="319" spans="1:42" ht="18.75" x14ac:dyDescent="0.3">
      <c r="A319" s="2">
        <v>46340</v>
      </c>
      <c r="B319" s="28"/>
      <c r="C319" s="28"/>
      <c r="D319" s="28"/>
      <c r="E319" s="28"/>
      <c r="F319" s="28"/>
      <c r="G319" s="28"/>
      <c r="H319" s="28">
        <f t="shared" si="13"/>
        <v>103</v>
      </c>
      <c r="I319" s="28"/>
      <c r="J319" s="28"/>
      <c r="K319" s="28">
        <f>TABL123[[#This Row],[خط (T/B  TOT) SAR]]+TABL123[[#This Row],[خط (S/S  TOT) SAR2]]</f>
        <v>0</v>
      </c>
      <c r="L319" s="28"/>
      <c r="M319" s="29"/>
      <c r="N319" s="30"/>
      <c r="O319" s="40"/>
      <c r="P319" s="9">
        <f>TABL123[[#This Row],[خط (S/S  TOT) SAR2]]-TABL123[[#This Row],[(S/S TOT) AJD]]</f>
        <v>0</v>
      </c>
      <c r="Q319" s="9"/>
      <c r="R319" s="9">
        <f>TABL123[[#This Row],[خط (T/B  TOT) SAR]]-TABL123[[#This Row],[(T/B TOT) AJD]]</f>
        <v>0</v>
      </c>
      <c r="S319" s="9">
        <f>TABL123[[#This Row],[الفرق بين بداية ونهاية خط  T/B]]+TABL123[[#This Row],[الفرق بين بداية ونهاية خط  S/S]]</f>
        <v>0</v>
      </c>
      <c r="T319" s="9">
        <f>TABL123[[#This Row],[(S/S TOT) AJD]]+TABL123[[#This Row],[(T/B TOT) AJD]]</f>
        <v>0</v>
      </c>
      <c r="U319" s="9"/>
      <c r="V319" s="9"/>
      <c r="W319" s="9">
        <f>TABL123[[#This Row],[(A/B TOT) AJD]]+TABL123[[#This Row],[(A/S TOT) AJD]]</f>
        <v>0</v>
      </c>
      <c r="X319" s="9">
        <f>TABL123[[#This Row],[( S/S+T/B) AJD]]-TABL123[[#This Row],[(A/B + A/S) AJD]]</f>
        <v>0</v>
      </c>
      <c r="Y319" s="18"/>
      <c r="Z319" s="9"/>
      <c r="AA319" s="3">
        <f>TABL123[[#This Row],[(RESV. STORGE) AJD]]/10</f>
        <v>0</v>
      </c>
      <c r="AB319" s="45">
        <f t="shared" si="14"/>
        <v>0</v>
      </c>
      <c r="AC319" s="5"/>
      <c r="AD319" s="84">
        <f>TABL123[[#This Row],[( S/S+T/B) AJD]]-(TABL123[[#This Row],[(A/B + A/S) AJD]]+(TABL123[[#This Row],[(STORGE DIFF.) AJD]])+TABL123[[#This Row],[البخر  AJD]]/1000)</f>
        <v>0</v>
      </c>
      <c r="AE319" s="68"/>
      <c r="AF319" s="68"/>
      <c r="AG319" s="68"/>
      <c r="AH319" s="6"/>
      <c r="AI319" s="79"/>
      <c r="AJ319" s="79">
        <f>TABL123[[#This Row],[(A/B TOT) AJD]]-TABL123[[#This Row],[BER_ IN]]</f>
        <v>0</v>
      </c>
      <c r="AK319" s="79"/>
      <c r="AL319" s="68"/>
      <c r="AM319" s="88"/>
      <c r="AN319" s="88">
        <f>TABL123[[#This Row],[ (RESV. STORGE) SER]]/10</f>
        <v>0</v>
      </c>
      <c r="AO319" s="6"/>
      <c r="AP319" s="32">
        <f>TABL123[[#This Row],[(A/S TOT) AJD]]-TABL123[[#This Row],[SER_ IN]]</f>
        <v>0</v>
      </c>
    </row>
    <row r="320" spans="1:42" ht="18.75" x14ac:dyDescent="0.3">
      <c r="A320" s="2">
        <v>46341</v>
      </c>
      <c r="B320" s="28"/>
      <c r="C320" s="28"/>
      <c r="D320" s="28"/>
      <c r="E320" s="28"/>
      <c r="F320" s="28"/>
      <c r="G320" s="28"/>
      <c r="H320" s="28">
        <f t="shared" si="13"/>
        <v>103</v>
      </c>
      <c r="I320" s="28"/>
      <c r="J320" s="28"/>
      <c r="K320" s="28">
        <f>TABL123[[#This Row],[خط (T/B  TOT) SAR]]+TABL123[[#This Row],[خط (S/S  TOT) SAR2]]</f>
        <v>0</v>
      </c>
      <c r="L320" s="28"/>
      <c r="M320" s="29"/>
      <c r="N320" s="30"/>
      <c r="O320" s="39"/>
      <c r="P320" s="9">
        <f>TABL123[[#This Row],[خط (S/S  TOT) SAR2]]-TABL123[[#This Row],[(S/S TOT) AJD]]</f>
        <v>0</v>
      </c>
      <c r="Q320" s="9"/>
      <c r="R320" s="9">
        <f>TABL123[[#This Row],[خط (T/B  TOT) SAR]]-TABL123[[#This Row],[(T/B TOT) AJD]]</f>
        <v>0</v>
      </c>
      <c r="S320" s="9">
        <f>TABL123[[#This Row],[الفرق بين بداية ونهاية خط  T/B]]+TABL123[[#This Row],[الفرق بين بداية ونهاية خط  S/S]]</f>
        <v>0</v>
      </c>
      <c r="T320" s="9">
        <f>TABL123[[#This Row],[(S/S TOT) AJD]]+TABL123[[#This Row],[(T/B TOT) AJD]]</f>
        <v>0</v>
      </c>
      <c r="U320" s="9"/>
      <c r="V320" s="9"/>
      <c r="W320" s="9">
        <f>TABL123[[#This Row],[(A/B TOT) AJD]]+TABL123[[#This Row],[(A/S TOT) AJD]]</f>
        <v>0</v>
      </c>
      <c r="X320" s="9">
        <f>TABL123[[#This Row],[( S/S+T/B) AJD]]-TABL123[[#This Row],[(A/B + A/S) AJD]]</f>
        <v>0</v>
      </c>
      <c r="Y320" s="18"/>
      <c r="Z320" s="9"/>
      <c r="AA320" s="3">
        <f>TABL123[[#This Row],[(RESV. STORGE) AJD]]/10</f>
        <v>0</v>
      </c>
      <c r="AB320" s="45">
        <f t="shared" si="14"/>
        <v>0</v>
      </c>
      <c r="AC320" s="5"/>
      <c r="AD320" s="84">
        <f>TABL123[[#This Row],[( S/S+T/B) AJD]]-(TABL123[[#This Row],[(A/B + A/S) AJD]]+(TABL123[[#This Row],[(STORGE DIFF.) AJD]])+TABL123[[#This Row],[البخر  AJD]]/1000)</f>
        <v>0</v>
      </c>
      <c r="AE320" s="68"/>
      <c r="AF320" s="68"/>
      <c r="AG320" s="68"/>
      <c r="AH320" s="6"/>
      <c r="AI320" s="79"/>
      <c r="AJ320" s="79">
        <f>TABL123[[#This Row],[(A/B TOT) AJD]]-TABL123[[#This Row],[BER_ IN]]</f>
        <v>0</v>
      </c>
      <c r="AK320" s="79"/>
      <c r="AL320" s="68"/>
      <c r="AM320" s="88"/>
      <c r="AN320" s="88">
        <f>TABL123[[#This Row],[ (RESV. STORGE) SER]]/10</f>
        <v>0</v>
      </c>
      <c r="AO320" s="6"/>
      <c r="AP320" s="32">
        <f>TABL123[[#This Row],[(A/S TOT) AJD]]-TABL123[[#This Row],[SER_ IN]]</f>
        <v>0</v>
      </c>
    </row>
    <row r="321" spans="1:42" ht="18.75" x14ac:dyDescent="0.3">
      <c r="A321" s="2">
        <v>46342</v>
      </c>
      <c r="B321" s="28"/>
      <c r="C321" s="28"/>
      <c r="D321" s="28"/>
      <c r="E321" s="28"/>
      <c r="F321" s="28"/>
      <c r="G321" s="28"/>
      <c r="H321" s="28">
        <f t="shared" si="13"/>
        <v>103</v>
      </c>
      <c r="I321" s="28"/>
      <c r="J321" s="28"/>
      <c r="K321" s="28">
        <f>TABL123[[#This Row],[خط (T/B  TOT) SAR]]+TABL123[[#This Row],[خط (S/S  TOT) SAR2]]</f>
        <v>0</v>
      </c>
      <c r="L321" s="28"/>
      <c r="M321" s="29"/>
      <c r="N321" s="30"/>
      <c r="O321" s="40"/>
      <c r="P321" s="9">
        <f>TABL123[[#This Row],[خط (S/S  TOT) SAR2]]-TABL123[[#This Row],[(S/S TOT) AJD]]</f>
        <v>0</v>
      </c>
      <c r="Q321" s="9"/>
      <c r="R321" s="9">
        <f>TABL123[[#This Row],[خط (T/B  TOT) SAR]]-TABL123[[#This Row],[(T/B TOT) AJD]]</f>
        <v>0</v>
      </c>
      <c r="S321" s="9">
        <f>TABL123[[#This Row],[الفرق بين بداية ونهاية خط  T/B]]+TABL123[[#This Row],[الفرق بين بداية ونهاية خط  S/S]]</f>
        <v>0</v>
      </c>
      <c r="T321" s="9">
        <f>TABL123[[#This Row],[(S/S TOT) AJD]]+TABL123[[#This Row],[(T/B TOT) AJD]]</f>
        <v>0</v>
      </c>
      <c r="U321" s="9"/>
      <c r="V321" s="9"/>
      <c r="W321" s="9">
        <f>TABL123[[#This Row],[(A/B TOT) AJD]]+TABL123[[#This Row],[(A/S TOT) AJD]]</f>
        <v>0</v>
      </c>
      <c r="X321" s="9">
        <f>TABL123[[#This Row],[( S/S+T/B) AJD]]-TABL123[[#This Row],[(A/B + A/S) AJD]]</f>
        <v>0</v>
      </c>
      <c r="Y321" s="18"/>
      <c r="Z321" s="9"/>
      <c r="AA321" s="3">
        <f>TABL123[[#This Row],[(RESV. STORGE) AJD]]/10</f>
        <v>0</v>
      </c>
      <c r="AB321" s="45">
        <f t="shared" si="14"/>
        <v>0</v>
      </c>
      <c r="AC321" s="5"/>
      <c r="AD321" s="84">
        <f>TABL123[[#This Row],[( S/S+T/B) AJD]]-(TABL123[[#This Row],[(A/B + A/S) AJD]]+(TABL123[[#This Row],[(STORGE DIFF.) AJD]])+TABL123[[#This Row],[البخر  AJD]]/1000)</f>
        <v>0</v>
      </c>
      <c r="AE321" s="68"/>
      <c r="AF321" s="68"/>
      <c r="AG321" s="68"/>
      <c r="AH321" s="6"/>
      <c r="AI321" s="79"/>
      <c r="AJ321" s="79">
        <f>TABL123[[#This Row],[(A/B TOT) AJD]]-TABL123[[#This Row],[BER_ IN]]</f>
        <v>0</v>
      </c>
      <c r="AK321" s="79"/>
      <c r="AL321" s="68"/>
      <c r="AM321" s="88"/>
      <c r="AN321" s="88">
        <f>TABL123[[#This Row],[ (RESV. STORGE) SER]]/10</f>
        <v>0</v>
      </c>
      <c r="AO321" s="6"/>
      <c r="AP321" s="32">
        <f>TABL123[[#This Row],[(A/S TOT) AJD]]-TABL123[[#This Row],[SER_ IN]]</f>
        <v>0</v>
      </c>
    </row>
    <row r="322" spans="1:42" ht="18.75" x14ac:dyDescent="0.3">
      <c r="A322" s="2">
        <v>46343</v>
      </c>
      <c r="B322" s="28"/>
      <c r="C322" s="28"/>
      <c r="D322" s="28"/>
      <c r="E322" s="28"/>
      <c r="F322" s="28"/>
      <c r="G322" s="28"/>
      <c r="H322" s="28">
        <f t="shared" ref="H322:H366" si="15">103-F322</f>
        <v>103</v>
      </c>
      <c r="I322" s="28"/>
      <c r="J322" s="28"/>
      <c r="K322" s="28">
        <f>TABL123[[#This Row],[خط (T/B  TOT) SAR]]+TABL123[[#This Row],[خط (S/S  TOT) SAR2]]</f>
        <v>0</v>
      </c>
      <c r="L322" s="28"/>
      <c r="M322" s="29"/>
      <c r="N322" s="30"/>
      <c r="O322" s="39"/>
      <c r="P322" s="9">
        <f>TABL123[[#This Row],[خط (S/S  TOT) SAR2]]-TABL123[[#This Row],[(S/S TOT) AJD]]</f>
        <v>0</v>
      </c>
      <c r="Q322" s="9"/>
      <c r="R322" s="9">
        <f>TABL123[[#This Row],[خط (T/B  TOT) SAR]]-TABL123[[#This Row],[(T/B TOT) AJD]]</f>
        <v>0</v>
      </c>
      <c r="S322" s="9">
        <f>TABL123[[#This Row],[الفرق بين بداية ونهاية خط  T/B]]+TABL123[[#This Row],[الفرق بين بداية ونهاية خط  S/S]]</f>
        <v>0</v>
      </c>
      <c r="T322" s="9">
        <f>TABL123[[#This Row],[(S/S TOT) AJD]]+TABL123[[#This Row],[(T/B TOT) AJD]]</f>
        <v>0</v>
      </c>
      <c r="U322" s="9"/>
      <c r="V322" s="9"/>
      <c r="W322" s="9">
        <f>TABL123[[#This Row],[(A/B TOT) AJD]]+TABL123[[#This Row],[(A/S TOT) AJD]]</f>
        <v>0</v>
      </c>
      <c r="X322" s="9">
        <f>TABL123[[#This Row],[( S/S+T/B) AJD]]-TABL123[[#This Row],[(A/B + A/S) AJD]]</f>
        <v>0</v>
      </c>
      <c r="Y322" s="18"/>
      <c r="Z322" s="9"/>
      <c r="AA322" s="3">
        <f>TABL123[[#This Row],[(RESV. STORGE) AJD]]/10</f>
        <v>0</v>
      </c>
      <c r="AB322" s="45">
        <f t="shared" si="14"/>
        <v>0</v>
      </c>
      <c r="AC322" s="5"/>
      <c r="AD322" s="84">
        <f>TABL123[[#This Row],[( S/S+T/B) AJD]]-(TABL123[[#This Row],[(A/B + A/S) AJD]]+(TABL123[[#This Row],[(STORGE DIFF.) AJD]])+TABL123[[#This Row],[البخر  AJD]]/1000)</f>
        <v>0</v>
      </c>
      <c r="AE322" s="68"/>
      <c r="AF322" s="68"/>
      <c r="AG322" s="68"/>
      <c r="AH322" s="6"/>
      <c r="AI322" s="79"/>
      <c r="AJ322" s="79">
        <f>TABL123[[#This Row],[(A/B TOT) AJD]]-TABL123[[#This Row],[BER_ IN]]</f>
        <v>0</v>
      </c>
      <c r="AK322" s="79"/>
      <c r="AL322" s="68"/>
      <c r="AM322" s="88"/>
      <c r="AN322" s="88">
        <f>TABL123[[#This Row],[ (RESV. STORGE) SER]]/10</f>
        <v>0</v>
      </c>
      <c r="AO322" s="6"/>
      <c r="AP322" s="32">
        <f>TABL123[[#This Row],[(A/S TOT) AJD]]-TABL123[[#This Row],[SER_ IN]]</f>
        <v>0</v>
      </c>
    </row>
    <row r="323" spans="1:42" ht="18.75" x14ac:dyDescent="0.3">
      <c r="A323" s="2">
        <v>46344</v>
      </c>
      <c r="B323" s="28"/>
      <c r="C323" s="28"/>
      <c r="D323" s="28"/>
      <c r="E323" s="28"/>
      <c r="F323" s="28"/>
      <c r="G323" s="28"/>
      <c r="H323" s="28">
        <f t="shared" si="15"/>
        <v>103</v>
      </c>
      <c r="I323" s="28"/>
      <c r="J323" s="28"/>
      <c r="K323" s="28">
        <f>TABL123[[#This Row],[خط (T/B  TOT) SAR]]+TABL123[[#This Row],[خط (S/S  TOT) SAR2]]</f>
        <v>0</v>
      </c>
      <c r="L323" s="28"/>
      <c r="M323" s="29"/>
      <c r="N323" s="30"/>
      <c r="O323" s="40"/>
      <c r="P323" s="9">
        <f>TABL123[[#This Row],[خط (S/S  TOT) SAR2]]-TABL123[[#This Row],[(S/S TOT) AJD]]</f>
        <v>0</v>
      </c>
      <c r="Q323" s="9"/>
      <c r="R323" s="9">
        <f>TABL123[[#This Row],[خط (T/B  TOT) SAR]]-TABL123[[#This Row],[(T/B TOT) AJD]]</f>
        <v>0</v>
      </c>
      <c r="S323" s="9">
        <f>TABL123[[#This Row],[الفرق بين بداية ونهاية خط  T/B]]+TABL123[[#This Row],[الفرق بين بداية ونهاية خط  S/S]]</f>
        <v>0</v>
      </c>
      <c r="T323" s="9">
        <f>TABL123[[#This Row],[(S/S TOT) AJD]]+TABL123[[#This Row],[(T/B TOT) AJD]]</f>
        <v>0</v>
      </c>
      <c r="U323" s="9"/>
      <c r="V323" s="9"/>
      <c r="W323" s="9">
        <f>TABL123[[#This Row],[(A/B TOT) AJD]]+TABL123[[#This Row],[(A/S TOT) AJD]]</f>
        <v>0</v>
      </c>
      <c r="X323" s="9">
        <f>TABL123[[#This Row],[( S/S+T/B) AJD]]-TABL123[[#This Row],[(A/B + A/S) AJD]]</f>
        <v>0</v>
      </c>
      <c r="Y323" s="18"/>
      <c r="Z323" s="9"/>
      <c r="AA323" s="3">
        <f>TABL123[[#This Row],[(RESV. STORGE) AJD]]/10</f>
        <v>0</v>
      </c>
      <c r="AB323" s="45">
        <f t="shared" si="14"/>
        <v>0</v>
      </c>
      <c r="AC323" s="5"/>
      <c r="AD323" s="84">
        <f>TABL123[[#This Row],[( S/S+T/B) AJD]]-(TABL123[[#This Row],[(A/B + A/S) AJD]]+(TABL123[[#This Row],[(STORGE DIFF.) AJD]])+TABL123[[#This Row],[البخر  AJD]]/1000)</f>
        <v>0</v>
      </c>
      <c r="AE323" s="68"/>
      <c r="AF323" s="68"/>
      <c r="AG323" s="68"/>
      <c r="AH323" s="6"/>
      <c r="AI323" s="79"/>
      <c r="AJ323" s="79">
        <f>TABL123[[#This Row],[(A/B TOT) AJD]]-TABL123[[#This Row],[BER_ IN]]</f>
        <v>0</v>
      </c>
      <c r="AK323" s="79"/>
      <c r="AL323" s="68"/>
      <c r="AM323" s="88"/>
      <c r="AN323" s="88">
        <f>TABL123[[#This Row],[ (RESV. STORGE) SER]]/10</f>
        <v>0</v>
      </c>
      <c r="AO323" s="6"/>
      <c r="AP323" s="32">
        <f>TABL123[[#This Row],[(A/S TOT) AJD]]-TABL123[[#This Row],[SER_ IN]]</f>
        <v>0</v>
      </c>
    </row>
    <row r="324" spans="1:42" ht="18.75" x14ac:dyDescent="0.3">
      <c r="A324" s="2">
        <v>46345</v>
      </c>
      <c r="B324" s="28"/>
      <c r="C324" s="28"/>
      <c r="D324" s="28"/>
      <c r="E324" s="28"/>
      <c r="F324" s="28"/>
      <c r="G324" s="28"/>
      <c r="H324" s="28">
        <f t="shared" si="15"/>
        <v>103</v>
      </c>
      <c r="I324" s="28"/>
      <c r="J324" s="28"/>
      <c r="K324" s="28">
        <f>TABL123[[#This Row],[خط (T/B  TOT) SAR]]+TABL123[[#This Row],[خط (S/S  TOT) SAR2]]</f>
        <v>0</v>
      </c>
      <c r="L324" s="28"/>
      <c r="M324" s="29"/>
      <c r="N324" s="30"/>
      <c r="O324" s="39"/>
      <c r="P324" s="9">
        <f>TABL123[[#This Row],[خط (S/S  TOT) SAR2]]-TABL123[[#This Row],[(S/S TOT) AJD]]</f>
        <v>0</v>
      </c>
      <c r="Q324" s="9"/>
      <c r="R324" s="9">
        <f>TABL123[[#This Row],[خط (T/B  TOT) SAR]]-TABL123[[#This Row],[(T/B TOT) AJD]]</f>
        <v>0</v>
      </c>
      <c r="S324" s="9">
        <f>TABL123[[#This Row],[الفرق بين بداية ونهاية خط  T/B]]+TABL123[[#This Row],[الفرق بين بداية ونهاية خط  S/S]]</f>
        <v>0</v>
      </c>
      <c r="T324" s="9">
        <f>TABL123[[#This Row],[(S/S TOT) AJD]]+TABL123[[#This Row],[(T/B TOT) AJD]]</f>
        <v>0</v>
      </c>
      <c r="U324" s="9"/>
      <c r="V324" s="9"/>
      <c r="W324" s="9">
        <f>TABL123[[#This Row],[(A/B TOT) AJD]]+TABL123[[#This Row],[(A/S TOT) AJD]]</f>
        <v>0</v>
      </c>
      <c r="X324" s="9">
        <f>TABL123[[#This Row],[( S/S+T/B) AJD]]-TABL123[[#This Row],[(A/B + A/S) AJD]]</f>
        <v>0</v>
      </c>
      <c r="Y324" s="18"/>
      <c r="Z324" s="9"/>
      <c r="AA324" s="3">
        <f>TABL123[[#This Row],[(RESV. STORGE) AJD]]/10</f>
        <v>0</v>
      </c>
      <c r="AB324" s="45">
        <f t="shared" ref="AB324:AB366" si="16">(Z324-Z323)/1000</f>
        <v>0</v>
      </c>
      <c r="AC324" s="5"/>
      <c r="AD324" s="84">
        <f>TABL123[[#This Row],[( S/S+T/B) AJD]]-(TABL123[[#This Row],[(A/B + A/S) AJD]]+(TABL123[[#This Row],[(STORGE DIFF.) AJD]])+TABL123[[#This Row],[البخر  AJD]]/1000)</f>
        <v>0</v>
      </c>
      <c r="AE324" s="68"/>
      <c r="AF324" s="68"/>
      <c r="AG324" s="68"/>
      <c r="AH324" s="6"/>
      <c r="AI324" s="79"/>
      <c r="AJ324" s="79">
        <f>TABL123[[#This Row],[(A/B TOT) AJD]]-TABL123[[#This Row],[BER_ IN]]</f>
        <v>0</v>
      </c>
      <c r="AK324" s="79"/>
      <c r="AL324" s="68"/>
      <c r="AM324" s="88"/>
      <c r="AN324" s="88">
        <f>TABL123[[#This Row],[ (RESV. STORGE) SER]]/10</f>
        <v>0</v>
      </c>
      <c r="AO324" s="6"/>
      <c r="AP324" s="32">
        <f>TABL123[[#This Row],[(A/S TOT) AJD]]-TABL123[[#This Row],[SER_ IN]]</f>
        <v>0</v>
      </c>
    </row>
    <row r="325" spans="1:42" ht="18.75" x14ac:dyDescent="0.3">
      <c r="A325" s="2">
        <v>46346</v>
      </c>
      <c r="B325" s="28"/>
      <c r="C325" s="28"/>
      <c r="D325" s="28"/>
      <c r="E325" s="28"/>
      <c r="F325" s="28"/>
      <c r="G325" s="28"/>
      <c r="H325" s="28">
        <f t="shared" si="15"/>
        <v>103</v>
      </c>
      <c r="I325" s="28"/>
      <c r="J325" s="28"/>
      <c r="K325" s="28">
        <f>TABL123[[#This Row],[خط (T/B  TOT) SAR]]+TABL123[[#This Row],[خط (S/S  TOT) SAR2]]</f>
        <v>0</v>
      </c>
      <c r="L325" s="28"/>
      <c r="M325" s="29"/>
      <c r="N325" s="30"/>
      <c r="O325" s="40"/>
      <c r="P325" s="9">
        <f>TABL123[[#This Row],[خط (S/S  TOT) SAR2]]-TABL123[[#This Row],[(S/S TOT) AJD]]</f>
        <v>0</v>
      </c>
      <c r="Q325" s="9"/>
      <c r="R325" s="9">
        <f>TABL123[[#This Row],[خط (T/B  TOT) SAR]]-TABL123[[#This Row],[(T/B TOT) AJD]]</f>
        <v>0</v>
      </c>
      <c r="S325" s="9">
        <f>TABL123[[#This Row],[الفرق بين بداية ونهاية خط  T/B]]+TABL123[[#This Row],[الفرق بين بداية ونهاية خط  S/S]]</f>
        <v>0</v>
      </c>
      <c r="T325" s="9">
        <f>TABL123[[#This Row],[(S/S TOT) AJD]]+TABL123[[#This Row],[(T/B TOT) AJD]]</f>
        <v>0</v>
      </c>
      <c r="U325" s="9"/>
      <c r="V325" s="9"/>
      <c r="W325" s="9">
        <f>TABL123[[#This Row],[(A/B TOT) AJD]]+TABL123[[#This Row],[(A/S TOT) AJD]]</f>
        <v>0</v>
      </c>
      <c r="X325" s="9">
        <f>TABL123[[#This Row],[( S/S+T/B) AJD]]-TABL123[[#This Row],[(A/B + A/S) AJD]]</f>
        <v>0</v>
      </c>
      <c r="Y325" s="18"/>
      <c r="Z325" s="9"/>
      <c r="AA325" s="3">
        <f>TABL123[[#This Row],[(RESV. STORGE) AJD]]/10</f>
        <v>0</v>
      </c>
      <c r="AB325" s="45">
        <f t="shared" si="16"/>
        <v>0</v>
      </c>
      <c r="AC325" s="5"/>
      <c r="AD325" s="84">
        <f>TABL123[[#This Row],[( S/S+T/B) AJD]]-(TABL123[[#This Row],[(A/B + A/S) AJD]]+(TABL123[[#This Row],[(STORGE DIFF.) AJD]])+TABL123[[#This Row],[البخر  AJD]]/1000)</f>
        <v>0</v>
      </c>
      <c r="AE325" s="68"/>
      <c r="AF325" s="68"/>
      <c r="AG325" s="68"/>
      <c r="AH325" s="6"/>
      <c r="AI325" s="79"/>
      <c r="AJ325" s="79">
        <f>TABL123[[#This Row],[(A/B TOT) AJD]]-TABL123[[#This Row],[BER_ IN]]</f>
        <v>0</v>
      </c>
      <c r="AK325" s="79"/>
      <c r="AL325" s="68"/>
      <c r="AM325" s="88"/>
      <c r="AN325" s="88">
        <f>TABL123[[#This Row],[ (RESV. STORGE) SER]]/10</f>
        <v>0</v>
      </c>
      <c r="AO325" s="6"/>
      <c r="AP325" s="32">
        <f>TABL123[[#This Row],[(A/S TOT) AJD]]-TABL123[[#This Row],[SER_ IN]]</f>
        <v>0</v>
      </c>
    </row>
    <row r="326" spans="1:42" ht="18.75" x14ac:dyDescent="0.3">
      <c r="A326" s="2">
        <v>46347</v>
      </c>
      <c r="B326" s="28"/>
      <c r="C326" s="28"/>
      <c r="D326" s="28"/>
      <c r="E326" s="28"/>
      <c r="F326" s="28"/>
      <c r="G326" s="28"/>
      <c r="H326" s="28">
        <f t="shared" si="15"/>
        <v>103</v>
      </c>
      <c r="I326" s="28"/>
      <c r="J326" s="28"/>
      <c r="K326" s="28">
        <f>TABL123[[#This Row],[خط (T/B  TOT) SAR]]+TABL123[[#This Row],[خط (S/S  TOT) SAR2]]</f>
        <v>0</v>
      </c>
      <c r="L326" s="28"/>
      <c r="M326" s="29"/>
      <c r="N326" s="30"/>
      <c r="O326" s="39"/>
      <c r="P326" s="9">
        <f>TABL123[[#This Row],[خط (S/S  TOT) SAR2]]-TABL123[[#This Row],[(S/S TOT) AJD]]</f>
        <v>0</v>
      </c>
      <c r="Q326" s="9"/>
      <c r="R326" s="9">
        <f>TABL123[[#This Row],[خط (T/B  TOT) SAR]]-TABL123[[#This Row],[(T/B TOT) AJD]]</f>
        <v>0</v>
      </c>
      <c r="S326" s="9">
        <f>TABL123[[#This Row],[الفرق بين بداية ونهاية خط  T/B]]+TABL123[[#This Row],[الفرق بين بداية ونهاية خط  S/S]]</f>
        <v>0</v>
      </c>
      <c r="T326" s="9">
        <f>TABL123[[#This Row],[(S/S TOT) AJD]]+TABL123[[#This Row],[(T/B TOT) AJD]]</f>
        <v>0</v>
      </c>
      <c r="U326" s="9"/>
      <c r="V326" s="9"/>
      <c r="W326" s="9">
        <f>TABL123[[#This Row],[(A/B TOT) AJD]]+TABL123[[#This Row],[(A/S TOT) AJD]]</f>
        <v>0</v>
      </c>
      <c r="X326" s="9">
        <f>TABL123[[#This Row],[( S/S+T/B) AJD]]-TABL123[[#This Row],[(A/B + A/S) AJD]]</f>
        <v>0</v>
      </c>
      <c r="Y326" s="18"/>
      <c r="Z326" s="9"/>
      <c r="AA326" s="3">
        <f>TABL123[[#This Row],[(RESV. STORGE) AJD]]/10</f>
        <v>0</v>
      </c>
      <c r="AB326" s="45">
        <f t="shared" si="16"/>
        <v>0</v>
      </c>
      <c r="AC326" s="5"/>
      <c r="AD326" s="84">
        <f>TABL123[[#This Row],[( S/S+T/B) AJD]]-(TABL123[[#This Row],[(A/B + A/S) AJD]]+(TABL123[[#This Row],[(STORGE DIFF.) AJD]])+TABL123[[#This Row],[البخر  AJD]]/1000)</f>
        <v>0</v>
      </c>
      <c r="AE326" s="68"/>
      <c r="AF326" s="68"/>
      <c r="AG326" s="68"/>
      <c r="AH326" s="6"/>
      <c r="AI326" s="79"/>
      <c r="AJ326" s="79">
        <f>TABL123[[#This Row],[(A/B TOT) AJD]]-TABL123[[#This Row],[BER_ IN]]</f>
        <v>0</v>
      </c>
      <c r="AK326" s="79"/>
      <c r="AL326" s="68"/>
      <c r="AM326" s="88"/>
      <c r="AN326" s="88">
        <f>TABL123[[#This Row],[ (RESV. STORGE) SER]]/10</f>
        <v>0</v>
      </c>
      <c r="AO326" s="6"/>
      <c r="AP326" s="32">
        <f>TABL123[[#This Row],[(A/S TOT) AJD]]-TABL123[[#This Row],[SER_ IN]]</f>
        <v>0</v>
      </c>
    </row>
    <row r="327" spans="1:42" ht="18.75" x14ac:dyDescent="0.3">
      <c r="A327" s="2">
        <v>46348</v>
      </c>
      <c r="B327" s="28"/>
      <c r="C327" s="28"/>
      <c r="D327" s="28"/>
      <c r="E327" s="28"/>
      <c r="F327" s="28"/>
      <c r="G327" s="28"/>
      <c r="H327" s="28">
        <f t="shared" si="15"/>
        <v>103</v>
      </c>
      <c r="I327" s="28"/>
      <c r="J327" s="28"/>
      <c r="K327" s="28">
        <f>TABL123[[#This Row],[خط (T/B  TOT) SAR]]+TABL123[[#This Row],[خط (S/S  TOT) SAR2]]</f>
        <v>0</v>
      </c>
      <c r="L327" s="28"/>
      <c r="M327" s="29"/>
      <c r="N327" s="30"/>
      <c r="O327" s="40"/>
      <c r="P327" s="9">
        <f>TABL123[[#This Row],[خط (S/S  TOT) SAR2]]-TABL123[[#This Row],[(S/S TOT) AJD]]</f>
        <v>0</v>
      </c>
      <c r="Q327" s="9"/>
      <c r="R327" s="9">
        <f>TABL123[[#This Row],[خط (T/B  TOT) SAR]]-TABL123[[#This Row],[(T/B TOT) AJD]]</f>
        <v>0</v>
      </c>
      <c r="S327" s="9">
        <f>TABL123[[#This Row],[الفرق بين بداية ونهاية خط  T/B]]+TABL123[[#This Row],[الفرق بين بداية ونهاية خط  S/S]]</f>
        <v>0</v>
      </c>
      <c r="T327" s="9">
        <f>TABL123[[#This Row],[(S/S TOT) AJD]]+TABL123[[#This Row],[(T/B TOT) AJD]]</f>
        <v>0</v>
      </c>
      <c r="U327" s="9"/>
      <c r="V327" s="9"/>
      <c r="W327" s="9">
        <f>TABL123[[#This Row],[(A/B TOT) AJD]]+TABL123[[#This Row],[(A/S TOT) AJD]]</f>
        <v>0</v>
      </c>
      <c r="X327" s="9">
        <f>TABL123[[#This Row],[( S/S+T/B) AJD]]-TABL123[[#This Row],[(A/B + A/S) AJD]]</f>
        <v>0</v>
      </c>
      <c r="Y327" s="18"/>
      <c r="Z327" s="9"/>
      <c r="AA327" s="3">
        <f>TABL123[[#This Row],[(RESV. STORGE) AJD]]/10</f>
        <v>0</v>
      </c>
      <c r="AB327" s="45">
        <f t="shared" si="16"/>
        <v>0</v>
      </c>
      <c r="AC327" s="5"/>
      <c r="AD327" s="84">
        <f>TABL123[[#This Row],[( S/S+T/B) AJD]]-(TABL123[[#This Row],[(A/B + A/S) AJD]]+(TABL123[[#This Row],[(STORGE DIFF.) AJD]])+TABL123[[#This Row],[البخر  AJD]]/1000)</f>
        <v>0</v>
      </c>
      <c r="AE327" s="68"/>
      <c r="AF327" s="68"/>
      <c r="AG327" s="68"/>
      <c r="AH327" s="6"/>
      <c r="AI327" s="79"/>
      <c r="AJ327" s="79">
        <f>TABL123[[#This Row],[(A/B TOT) AJD]]-TABL123[[#This Row],[BER_ IN]]</f>
        <v>0</v>
      </c>
      <c r="AK327" s="79"/>
      <c r="AL327" s="68"/>
      <c r="AM327" s="88"/>
      <c r="AN327" s="88">
        <f>TABL123[[#This Row],[ (RESV. STORGE) SER]]/10</f>
        <v>0</v>
      </c>
      <c r="AO327" s="6"/>
      <c r="AP327" s="32">
        <f>TABL123[[#This Row],[(A/S TOT) AJD]]-TABL123[[#This Row],[SER_ IN]]</f>
        <v>0</v>
      </c>
    </row>
    <row r="328" spans="1:42" ht="18.75" x14ac:dyDescent="0.3">
      <c r="A328" s="2">
        <v>46349</v>
      </c>
      <c r="B328" s="28"/>
      <c r="C328" s="28"/>
      <c r="D328" s="28"/>
      <c r="E328" s="28"/>
      <c r="F328" s="28"/>
      <c r="G328" s="28"/>
      <c r="H328" s="28">
        <f t="shared" si="15"/>
        <v>103</v>
      </c>
      <c r="I328" s="28"/>
      <c r="J328" s="28"/>
      <c r="K328" s="28">
        <f>TABL123[[#This Row],[خط (T/B  TOT) SAR]]+TABL123[[#This Row],[خط (S/S  TOT) SAR2]]</f>
        <v>0</v>
      </c>
      <c r="L328" s="28"/>
      <c r="M328" s="29"/>
      <c r="N328" s="30"/>
      <c r="O328" s="39"/>
      <c r="P328" s="9">
        <f>TABL123[[#This Row],[خط (S/S  TOT) SAR2]]-TABL123[[#This Row],[(S/S TOT) AJD]]</f>
        <v>0</v>
      </c>
      <c r="Q328" s="9"/>
      <c r="R328" s="9">
        <f>TABL123[[#This Row],[خط (T/B  TOT) SAR]]-TABL123[[#This Row],[(T/B TOT) AJD]]</f>
        <v>0</v>
      </c>
      <c r="S328" s="9">
        <f>TABL123[[#This Row],[الفرق بين بداية ونهاية خط  T/B]]+TABL123[[#This Row],[الفرق بين بداية ونهاية خط  S/S]]</f>
        <v>0</v>
      </c>
      <c r="T328" s="9">
        <f>TABL123[[#This Row],[(S/S TOT) AJD]]+TABL123[[#This Row],[(T/B TOT) AJD]]</f>
        <v>0</v>
      </c>
      <c r="U328" s="9"/>
      <c r="V328" s="9"/>
      <c r="W328" s="9">
        <f>TABL123[[#This Row],[(A/B TOT) AJD]]+TABL123[[#This Row],[(A/S TOT) AJD]]</f>
        <v>0</v>
      </c>
      <c r="X328" s="9">
        <f>TABL123[[#This Row],[( S/S+T/B) AJD]]-TABL123[[#This Row],[(A/B + A/S) AJD]]</f>
        <v>0</v>
      </c>
      <c r="Y328" s="18"/>
      <c r="Z328" s="9"/>
      <c r="AA328" s="3">
        <f>TABL123[[#This Row],[(RESV. STORGE) AJD]]/10</f>
        <v>0</v>
      </c>
      <c r="AB328" s="45">
        <f t="shared" si="16"/>
        <v>0</v>
      </c>
      <c r="AC328" s="5"/>
      <c r="AD328" s="84">
        <f>TABL123[[#This Row],[( S/S+T/B) AJD]]-(TABL123[[#This Row],[(A/B + A/S) AJD]]+(TABL123[[#This Row],[(STORGE DIFF.) AJD]])+TABL123[[#This Row],[البخر  AJD]]/1000)</f>
        <v>0</v>
      </c>
      <c r="AE328" s="68"/>
      <c r="AF328" s="68"/>
      <c r="AG328" s="68"/>
      <c r="AH328" s="6"/>
      <c r="AI328" s="79"/>
      <c r="AJ328" s="79">
        <f>TABL123[[#This Row],[(A/B TOT) AJD]]-TABL123[[#This Row],[BER_ IN]]</f>
        <v>0</v>
      </c>
      <c r="AK328" s="79"/>
      <c r="AL328" s="68"/>
      <c r="AM328" s="88"/>
      <c r="AN328" s="88">
        <f>TABL123[[#This Row],[ (RESV. STORGE) SER]]/10</f>
        <v>0</v>
      </c>
      <c r="AO328" s="6"/>
      <c r="AP328" s="32">
        <f>TABL123[[#This Row],[(A/S TOT) AJD]]-TABL123[[#This Row],[SER_ IN]]</f>
        <v>0</v>
      </c>
    </row>
    <row r="329" spans="1:42" ht="18.75" x14ac:dyDescent="0.3">
      <c r="A329" s="2">
        <v>46350</v>
      </c>
      <c r="B329" s="28"/>
      <c r="C329" s="28"/>
      <c r="D329" s="28"/>
      <c r="E329" s="28"/>
      <c r="F329" s="28"/>
      <c r="G329" s="28"/>
      <c r="H329" s="28">
        <f t="shared" si="15"/>
        <v>103</v>
      </c>
      <c r="I329" s="28"/>
      <c r="J329" s="28"/>
      <c r="K329" s="28">
        <f>TABL123[[#This Row],[خط (T/B  TOT) SAR]]+TABL123[[#This Row],[خط (S/S  TOT) SAR2]]</f>
        <v>0</v>
      </c>
      <c r="L329" s="28"/>
      <c r="M329" s="29"/>
      <c r="N329" s="30"/>
      <c r="O329" s="40"/>
      <c r="P329" s="9">
        <f>TABL123[[#This Row],[خط (S/S  TOT) SAR2]]-TABL123[[#This Row],[(S/S TOT) AJD]]</f>
        <v>0</v>
      </c>
      <c r="Q329" s="9"/>
      <c r="R329" s="9">
        <f>TABL123[[#This Row],[خط (T/B  TOT) SAR]]-TABL123[[#This Row],[(T/B TOT) AJD]]</f>
        <v>0</v>
      </c>
      <c r="S329" s="9">
        <f>TABL123[[#This Row],[الفرق بين بداية ونهاية خط  T/B]]+TABL123[[#This Row],[الفرق بين بداية ونهاية خط  S/S]]</f>
        <v>0</v>
      </c>
      <c r="T329" s="9">
        <f>TABL123[[#This Row],[(S/S TOT) AJD]]+TABL123[[#This Row],[(T/B TOT) AJD]]</f>
        <v>0</v>
      </c>
      <c r="U329" s="9"/>
      <c r="V329" s="9"/>
      <c r="W329" s="9">
        <f>TABL123[[#This Row],[(A/B TOT) AJD]]+TABL123[[#This Row],[(A/S TOT) AJD]]</f>
        <v>0</v>
      </c>
      <c r="X329" s="9">
        <f>TABL123[[#This Row],[( S/S+T/B) AJD]]-TABL123[[#This Row],[(A/B + A/S) AJD]]</f>
        <v>0</v>
      </c>
      <c r="Y329" s="18"/>
      <c r="Z329" s="9"/>
      <c r="AA329" s="3">
        <f>TABL123[[#This Row],[(RESV. STORGE) AJD]]/10</f>
        <v>0</v>
      </c>
      <c r="AB329" s="45">
        <f t="shared" si="16"/>
        <v>0</v>
      </c>
      <c r="AC329" s="5"/>
      <c r="AD329" s="84">
        <f>TABL123[[#This Row],[( S/S+T/B) AJD]]-(TABL123[[#This Row],[(A/B + A/S) AJD]]+(TABL123[[#This Row],[(STORGE DIFF.) AJD]])+TABL123[[#This Row],[البخر  AJD]]/1000)</f>
        <v>0</v>
      </c>
      <c r="AE329" s="68"/>
      <c r="AF329" s="68"/>
      <c r="AG329" s="68"/>
      <c r="AH329" s="6"/>
      <c r="AI329" s="79"/>
      <c r="AJ329" s="79">
        <f>TABL123[[#This Row],[(A/B TOT) AJD]]-TABL123[[#This Row],[BER_ IN]]</f>
        <v>0</v>
      </c>
      <c r="AK329" s="79"/>
      <c r="AL329" s="68"/>
      <c r="AM329" s="88"/>
      <c r="AN329" s="88">
        <f>TABL123[[#This Row],[ (RESV. STORGE) SER]]/10</f>
        <v>0</v>
      </c>
      <c r="AO329" s="6"/>
      <c r="AP329" s="32">
        <f>TABL123[[#This Row],[(A/S TOT) AJD]]-TABL123[[#This Row],[SER_ IN]]</f>
        <v>0</v>
      </c>
    </row>
    <row r="330" spans="1:42" ht="18.75" x14ac:dyDescent="0.3">
      <c r="A330" s="2">
        <v>46351</v>
      </c>
      <c r="B330" s="28"/>
      <c r="C330" s="28"/>
      <c r="D330" s="28"/>
      <c r="E330" s="28"/>
      <c r="F330" s="28"/>
      <c r="G330" s="28"/>
      <c r="H330" s="28">
        <f t="shared" si="15"/>
        <v>103</v>
      </c>
      <c r="I330" s="28"/>
      <c r="J330" s="28"/>
      <c r="K330" s="28">
        <f>TABL123[[#This Row],[خط (T/B  TOT) SAR]]+TABL123[[#This Row],[خط (S/S  TOT) SAR2]]</f>
        <v>0</v>
      </c>
      <c r="L330" s="28"/>
      <c r="M330" s="29"/>
      <c r="N330" s="30"/>
      <c r="O330" s="39"/>
      <c r="P330" s="9">
        <f>TABL123[[#This Row],[خط (S/S  TOT) SAR2]]-TABL123[[#This Row],[(S/S TOT) AJD]]</f>
        <v>0</v>
      </c>
      <c r="Q330" s="9"/>
      <c r="R330" s="9">
        <f>TABL123[[#This Row],[خط (T/B  TOT) SAR]]-TABL123[[#This Row],[(T/B TOT) AJD]]</f>
        <v>0</v>
      </c>
      <c r="S330" s="9">
        <f>TABL123[[#This Row],[الفرق بين بداية ونهاية خط  T/B]]+TABL123[[#This Row],[الفرق بين بداية ونهاية خط  S/S]]</f>
        <v>0</v>
      </c>
      <c r="T330" s="9">
        <f>TABL123[[#This Row],[(S/S TOT) AJD]]+TABL123[[#This Row],[(T/B TOT) AJD]]</f>
        <v>0</v>
      </c>
      <c r="U330" s="9"/>
      <c r="V330" s="9"/>
      <c r="W330" s="9">
        <f>TABL123[[#This Row],[(A/B TOT) AJD]]+TABL123[[#This Row],[(A/S TOT) AJD]]</f>
        <v>0</v>
      </c>
      <c r="X330" s="9">
        <f>TABL123[[#This Row],[( S/S+T/B) AJD]]-TABL123[[#This Row],[(A/B + A/S) AJD]]</f>
        <v>0</v>
      </c>
      <c r="Y330" s="18"/>
      <c r="Z330" s="9"/>
      <c r="AA330" s="3">
        <f>TABL123[[#This Row],[(RESV. STORGE) AJD]]/10</f>
        <v>0</v>
      </c>
      <c r="AB330" s="45">
        <f t="shared" si="16"/>
        <v>0</v>
      </c>
      <c r="AC330" s="5"/>
      <c r="AD330" s="84">
        <f>TABL123[[#This Row],[( S/S+T/B) AJD]]-(TABL123[[#This Row],[(A/B + A/S) AJD]]+(TABL123[[#This Row],[(STORGE DIFF.) AJD]])+TABL123[[#This Row],[البخر  AJD]]/1000)</f>
        <v>0</v>
      </c>
      <c r="AE330" s="68"/>
      <c r="AF330" s="68"/>
      <c r="AG330" s="68"/>
      <c r="AH330" s="6"/>
      <c r="AI330" s="79"/>
      <c r="AJ330" s="79">
        <f>TABL123[[#This Row],[(A/B TOT) AJD]]-TABL123[[#This Row],[BER_ IN]]</f>
        <v>0</v>
      </c>
      <c r="AK330" s="79"/>
      <c r="AL330" s="68"/>
      <c r="AM330" s="88"/>
      <c r="AN330" s="88">
        <f>TABL123[[#This Row],[ (RESV. STORGE) SER]]/10</f>
        <v>0</v>
      </c>
      <c r="AO330" s="6"/>
      <c r="AP330" s="32">
        <f>TABL123[[#This Row],[(A/S TOT) AJD]]-TABL123[[#This Row],[SER_ IN]]</f>
        <v>0</v>
      </c>
    </row>
    <row r="331" spans="1:42" ht="18.75" x14ac:dyDescent="0.3">
      <c r="A331" s="2">
        <v>46352</v>
      </c>
      <c r="B331" s="28"/>
      <c r="C331" s="28"/>
      <c r="D331" s="28"/>
      <c r="E331" s="28"/>
      <c r="F331" s="28"/>
      <c r="G331" s="28"/>
      <c r="H331" s="28">
        <f t="shared" si="15"/>
        <v>103</v>
      </c>
      <c r="I331" s="28"/>
      <c r="J331" s="28"/>
      <c r="K331" s="28">
        <f>TABL123[[#This Row],[خط (T/B  TOT) SAR]]+TABL123[[#This Row],[خط (S/S  TOT) SAR2]]</f>
        <v>0</v>
      </c>
      <c r="L331" s="28"/>
      <c r="M331" s="29"/>
      <c r="N331" s="30"/>
      <c r="O331" s="40"/>
      <c r="P331" s="9">
        <f>TABL123[[#This Row],[خط (S/S  TOT) SAR2]]-TABL123[[#This Row],[(S/S TOT) AJD]]</f>
        <v>0</v>
      </c>
      <c r="Q331" s="9"/>
      <c r="R331" s="9">
        <f>TABL123[[#This Row],[خط (T/B  TOT) SAR]]-TABL123[[#This Row],[(T/B TOT) AJD]]</f>
        <v>0</v>
      </c>
      <c r="S331" s="9">
        <f>TABL123[[#This Row],[الفرق بين بداية ونهاية خط  T/B]]+TABL123[[#This Row],[الفرق بين بداية ونهاية خط  S/S]]</f>
        <v>0</v>
      </c>
      <c r="T331" s="9">
        <f>TABL123[[#This Row],[(S/S TOT) AJD]]+TABL123[[#This Row],[(T/B TOT) AJD]]</f>
        <v>0</v>
      </c>
      <c r="U331" s="9"/>
      <c r="V331" s="9"/>
      <c r="W331" s="9">
        <f>TABL123[[#This Row],[(A/B TOT) AJD]]+TABL123[[#This Row],[(A/S TOT) AJD]]</f>
        <v>0</v>
      </c>
      <c r="X331" s="9">
        <f>TABL123[[#This Row],[( S/S+T/B) AJD]]-TABL123[[#This Row],[(A/B + A/S) AJD]]</f>
        <v>0</v>
      </c>
      <c r="Y331" s="18"/>
      <c r="Z331" s="9"/>
      <c r="AA331" s="3">
        <f>TABL123[[#This Row],[(RESV. STORGE) AJD]]/10</f>
        <v>0</v>
      </c>
      <c r="AB331" s="45">
        <f t="shared" si="16"/>
        <v>0</v>
      </c>
      <c r="AC331" s="5"/>
      <c r="AD331" s="84">
        <f>TABL123[[#This Row],[( S/S+T/B) AJD]]-(TABL123[[#This Row],[(A/B + A/S) AJD]]+(TABL123[[#This Row],[(STORGE DIFF.) AJD]])+TABL123[[#This Row],[البخر  AJD]]/1000)</f>
        <v>0</v>
      </c>
      <c r="AE331" s="68"/>
      <c r="AF331" s="68"/>
      <c r="AG331" s="68"/>
      <c r="AH331" s="6"/>
      <c r="AI331" s="79"/>
      <c r="AJ331" s="79">
        <f>TABL123[[#This Row],[(A/B TOT) AJD]]-TABL123[[#This Row],[BER_ IN]]</f>
        <v>0</v>
      </c>
      <c r="AK331" s="79"/>
      <c r="AL331" s="68"/>
      <c r="AM331" s="88"/>
      <c r="AN331" s="88">
        <f>TABL123[[#This Row],[ (RESV. STORGE) SER]]/10</f>
        <v>0</v>
      </c>
      <c r="AO331" s="6"/>
      <c r="AP331" s="32">
        <f>TABL123[[#This Row],[(A/S TOT) AJD]]-TABL123[[#This Row],[SER_ IN]]</f>
        <v>0</v>
      </c>
    </row>
    <row r="332" spans="1:42" ht="18.75" x14ac:dyDescent="0.3">
      <c r="A332" s="2">
        <v>46353</v>
      </c>
      <c r="B332" s="28"/>
      <c r="C332" s="28"/>
      <c r="D332" s="28"/>
      <c r="E332" s="28"/>
      <c r="F332" s="28"/>
      <c r="G332" s="28"/>
      <c r="H332" s="28">
        <f t="shared" si="15"/>
        <v>103</v>
      </c>
      <c r="I332" s="28"/>
      <c r="J332" s="28"/>
      <c r="K332" s="28">
        <f>TABL123[[#This Row],[خط (T/B  TOT) SAR]]+TABL123[[#This Row],[خط (S/S  TOT) SAR2]]</f>
        <v>0</v>
      </c>
      <c r="L332" s="28"/>
      <c r="M332" s="29"/>
      <c r="N332" s="30"/>
      <c r="O332" s="39"/>
      <c r="P332" s="9">
        <f>TABL123[[#This Row],[خط (S/S  TOT) SAR2]]-TABL123[[#This Row],[(S/S TOT) AJD]]</f>
        <v>0</v>
      </c>
      <c r="Q332" s="9"/>
      <c r="R332" s="9">
        <f>TABL123[[#This Row],[خط (T/B  TOT) SAR]]-TABL123[[#This Row],[(T/B TOT) AJD]]</f>
        <v>0</v>
      </c>
      <c r="S332" s="9">
        <f>TABL123[[#This Row],[الفرق بين بداية ونهاية خط  T/B]]+TABL123[[#This Row],[الفرق بين بداية ونهاية خط  S/S]]</f>
        <v>0</v>
      </c>
      <c r="T332" s="9">
        <f>TABL123[[#This Row],[(S/S TOT) AJD]]+TABL123[[#This Row],[(T/B TOT) AJD]]</f>
        <v>0</v>
      </c>
      <c r="U332" s="9"/>
      <c r="V332" s="9"/>
      <c r="W332" s="9">
        <f>TABL123[[#This Row],[(A/B TOT) AJD]]+TABL123[[#This Row],[(A/S TOT) AJD]]</f>
        <v>0</v>
      </c>
      <c r="X332" s="9">
        <f>TABL123[[#This Row],[( S/S+T/B) AJD]]-TABL123[[#This Row],[(A/B + A/S) AJD]]</f>
        <v>0</v>
      </c>
      <c r="Y332" s="18"/>
      <c r="Z332" s="9"/>
      <c r="AA332" s="3">
        <f>TABL123[[#This Row],[(RESV. STORGE) AJD]]/10</f>
        <v>0</v>
      </c>
      <c r="AB332" s="45">
        <f t="shared" si="16"/>
        <v>0</v>
      </c>
      <c r="AC332" s="5"/>
      <c r="AD332" s="84">
        <f>TABL123[[#This Row],[( S/S+T/B) AJD]]-(TABL123[[#This Row],[(A/B + A/S) AJD]]+(TABL123[[#This Row],[(STORGE DIFF.) AJD]])+TABL123[[#This Row],[البخر  AJD]]/1000)</f>
        <v>0</v>
      </c>
      <c r="AE332" s="68"/>
      <c r="AF332" s="68"/>
      <c r="AG332" s="68"/>
      <c r="AH332" s="6"/>
      <c r="AI332" s="79"/>
      <c r="AJ332" s="79">
        <f>TABL123[[#This Row],[(A/B TOT) AJD]]-TABL123[[#This Row],[BER_ IN]]</f>
        <v>0</v>
      </c>
      <c r="AK332" s="79"/>
      <c r="AL332" s="68"/>
      <c r="AM332" s="88"/>
      <c r="AN332" s="88">
        <f>TABL123[[#This Row],[ (RESV. STORGE) SER]]/10</f>
        <v>0</v>
      </c>
      <c r="AO332" s="6"/>
      <c r="AP332" s="32">
        <f>TABL123[[#This Row],[(A/S TOT) AJD]]-TABL123[[#This Row],[SER_ IN]]</f>
        <v>0</v>
      </c>
    </row>
    <row r="333" spans="1:42" ht="18.75" x14ac:dyDescent="0.3">
      <c r="A333" s="2">
        <v>46354</v>
      </c>
      <c r="B333" s="28"/>
      <c r="C333" s="28"/>
      <c r="D333" s="28"/>
      <c r="E333" s="28"/>
      <c r="F333" s="28"/>
      <c r="G333" s="28"/>
      <c r="H333" s="28">
        <f t="shared" si="15"/>
        <v>103</v>
      </c>
      <c r="I333" s="28"/>
      <c r="J333" s="28"/>
      <c r="K333" s="28">
        <f>TABL123[[#This Row],[خط (T/B  TOT) SAR]]+TABL123[[#This Row],[خط (S/S  TOT) SAR2]]</f>
        <v>0</v>
      </c>
      <c r="L333" s="28"/>
      <c r="M333" s="29"/>
      <c r="N333" s="30"/>
      <c r="O333" s="40"/>
      <c r="P333" s="9">
        <f>TABL123[[#This Row],[خط (S/S  TOT) SAR2]]-TABL123[[#This Row],[(S/S TOT) AJD]]</f>
        <v>0</v>
      </c>
      <c r="Q333" s="9"/>
      <c r="R333" s="9">
        <f>TABL123[[#This Row],[خط (T/B  TOT) SAR]]-TABL123[[#This Row],[(T/B TOT) AJD]]</f>
        <v>0</v>
      </c>
      <c r="S333" s="9">
        <f>TABL123[[#This Row],[الفرق بين بداية ونهاية خط  T/B]]+TABL123[[#This Row],[الفرق بين بداية ونهاية خط  S/S]]</f>
        <v>0</v>
      </c>
      <c r="T333" s="9">
        <f>TABL123[[#This Row],[(S/S TOT) AJD]]+TABL123[[#This Row],[(T/B TOT) AJD]]</f>
        <v>0</v>
      </c>
      <c r="U333" s="9"/>
      <c r="V333" s="9"/>
      <c r="W333" s="9">
        <f>TABL123[[#This Row],[(A/B TOT) AJD]]+TABL123[[#This Row],[(A/S TOT) AJD]]</f>
        <v>0</v>
      </c>
      <c r="X333" s="9">
        <f>TABL123[[#This Row],[( S/S+T/B) AJD]]-TABL123[[#This Row],[(A/B + A/S) AJD]]</f>
        <v>0</v>
      </c>
      <c r="Y333" s="18"/>
      <c r="Z333" s="9"/>
      <c r="AA333" s="3">
        <f>TABL123[[#This Row],[(RESV. STORGE) AJD]]/10</f>
        <v>0</v>
      </c>
      <c r="AB333" s="45">
        <f t="shared" si="16"/>
        <v>0</v>
      </c>
      <c r="AC333" s="5"/>
      <c r="AD333" s="84">
        <f>TABL123[[#This Row],[( S/S+T/B) AJD]]-(TABL123[[#This Row],[(A/B + A/S) AJD]]+(TABL123[[#This Row],[(STORGE DIFF.) AJD]])+TABL123[[#This Row],[البخر  AJD]]/1000)</f>
        <v>0</v>
      </c>
      <c r="AE333" s="68"/>
      <c r="AF333" s="68"/>
      <c r="AG333" s="68"/>
      <c r="AH333" s="6"/>
      <c r="AI333" s="79"/>
      <c r="AJ333" s="79">
        <f>TABL123[[#This Row],[(A/B TOT) AJD]]-TABL123[[#This Row],[BER_ IN]]</f>
        <v>0</v>
      </c>
      <c r="AK333" s="79"/>
      <c r="AL333" s="68"/>
      <c r="AM333" s="88"/>
      <c r="AN333" s="88">
        <f>TABL123[[#This Row],[ (RESV. STORGE) SER]]/10</f>
        <v>0</v>
      </c>
      <c r="AO333" s="6"/>
      <c r="AP333" s="32">
        <f>TABL123[[#This Row],[(A/S TOT) AJD]]-TABL123[[#This Row],[SER_ IN]]</f>
        <v>0</v>
      </c>
    </row>
    <row r="334" spans="1:42" ht="18.75" x14ac:dyDescent="0.3">
      <c r="A334" s="2">
        <v>46355</v>
      </c>
      <c r="B334" s="28"/>
      <c r="C334" s="28"/>
      <c r="D334" s="28"/>
      <c r="E334" s="28"/>
      <c r="F334" s="28"/>
      <c r="G334" s="28"/>
      <c r="H334" s="28">
        <f t="shared" si="15"/>
        <v>103</v>
      </c>
      <c r="I334" s="28"/>
      <c r="J334" s="28"/>
      <c r="K334" s="28">
        <f>TABL123[[#This Row],[خط (T/B  TOT) SAR]]+TABL123[[#This Row],[خط (S/S  TOT) SAR2]]</f>
        <v>0</v>
      </c>
      <c r="L334" s="28"/>
      <c r="M334" s="29"/>
      <c r="N334" s="30"/>
      <c r="O334" s="39"/>
      <c r="P334" s="9">
        <f>TABL123[[#This Row],[خط (S/S  TOT) SAR2]]-TABL123[[#This Row],[(S/S TOT) AJD]]</f>
        <v>0</v>
      </c>
      <c r="Q334" s="9"/>
      <c r="R334" s="9">
        <f>TABL123[[#This Row],[خط (T/B  TOT) SAR]]-TABL123[[#This Row],[(T/B TOT) AJD]]</f>
        <v>0</v>
      </c>
      <c r="S334" s="9">
        <f>TABL123[[#This Row],[الفرق بين بداية ونهاية خط  T/B]]+TABL123[[#This Row],[الفرق بين بداية ونهاية خط  S/S]]</f>
        <v>0</v>
      </c>
      <c r="T334" s="9">
        <f>TABL123[[#This Row],[(S/S TOT) AJD]]+TABL123[[#This Row],[(T/B TOT) AJD]]</f>
        <v>0</v>
      </c>
      <c r="U334" s="9"/>
      <c r="V334" s="9"/>
      <c r="W334" s="9">
        <f>TABL123[[#This Row],[(A/B TOT) AJD]]+TABL123[[#This Row],[(A/S TOT) AJD]]</f>
        <v>0</v>
      </c>
      <c r="X334" s="9">
        <f>TABL123[[#This Row],[( S/S+T/B) AJD]]-TABL123[[#This Row],[(A/B + A/S) AJD]]</f>
        <v>0</v>
      </c>
      <c r="Y334" s="18"/>
      <c r="Z334" s="9"/>
      <c r="AA334" s="3">
        <f>TABL123[[#This Row],[(RESV. STORGE) AJD]]/10</f>
        <v>0</v>
      </c>
      <c r="AB334" s="45">
        <f t="shared" si="16"/>
        <v>0</v>
      </c>
      <c r="AC334" s="5"/>
      <c r="AD334" s="84">
        <f>TABL123[[#This Row],[( S/S+T/B) AJD]]-(TABL123[[#This Row],[(A/B + A/S) AJD]]+(TABL123[[#This Row],[(STORGE DIFF.) AJD]])+TABL123[[#This Row],[البخر  AJD]]/1000)</f>
        <v>0</v>
      </c>
      <c r="AE334" s="68"/>
      <c r="AF334" s="68"/>
      <c r="AG334" s="68"/>
      <c r="AH334" s="6"/>
      <c r="AI334" s="79"/>
      <c r="AJ334" s="79">
        <f>TABL123[[#This Row],[(A/B TOT) AJD]]-TABL123[[#This Row],[BER_ IN]]</f>
        <v>0</v>
      </c>
      <c r="AK334" s="79"/>
      <c r="AL334" s="68"/>
      <c r="AM334" s="88"/>
      <c r="AN334" s="88">
        <f>TABL123[[#This Row],[ (RESV. STORGE) SER]]/10</f>
        <v>0</v>
      </c>
      <c r="AO334" s="6"/>
      <c r="AP334" s="32">
        <f>TABL123[[#This Row],[(A/S TOT) AJD]]-TABL123[[#This Row],[SER_ IN]]</f>
        <v>0</v>
      </c>
    </row>
    <row r="335" spans="1:42" ht="18.75" x14ac:dyDescent="0.3">
      <c r="A335" s="2">
        <v>46356</v>
      </c>
      <c r="B335" s="28"/>
      <c r="C335" s="28"/>
      <c r="D335" s="28"/>
      <c r="E335" s="28"/>
      <c r="F335" s="28"/>
      <c r="G335" s="28"/>
      <c r="H335" s="28">
        <f t="shared" si="15"/>
        <v>103</v>
      </c>
      <c r="I335" s="28"/>
      <c r="J335" s="28"/>
      <c r="K335" s="28">
        <f>TABL123[[#This Row],[خط (T/B  TOT) SAR]]+TABL123[[#This Row],[خط (S/S  TOT) SAR2]]</f>
        <v>0</v>
      </c>
      <c r="L335" s="28"/>
      <c r="M335" s="29"/>
      <c r="N335" s="30"/>
      <c r="O335" s="40"/>
      <c r="P335" s="9">
        <f>TABL123[[#This Row],[خط (S/S  TOT) SAR2]]-TABL123[[#This Row],[(S/S TOT) AJD]]</f>
        <v>0</v>
      </c>
      <c r="Q335" s="9"/>
      <c r="R335" s="9">
        <f>TABL123[[#This Row],[خط (T/B  TOT) SAR]]-TABL123[[#This Row],[(T/B TOT) AJD]]</f>
        <v>0</v>
      </c>
      <c r="S335" s="9">
        <f>TABL123[[#This Row],[الفرق بين بداية ونهاية خط  T/B]]+TABL123[[#This Row],[الفرق بين بداية ونهاية خط  S/S]]</f>
        <v>0</v>
      </c>
      <c r="T335" s="9">
        <f>TABL123[[#This Row],[(S/S TOT) AJD]]+TABL123[[#This Row],[(T/B TOT) AJD]]</f>
        <v>0</v>
      </c>
      <c r="U335" s="9"/>
      <c r="V335" s="9"/>
      <c r="W335" s="9">
        <f>TABL123[[#This Row],[(A/B TOT) AJD]]+TABL123[[#This Row],[(A/S TOT) AJD]]</f>
        <v>0</v>
      </c>
      <c r="X335" s="9">
        <f>TABL123[[#This Row],[( S/S+T/B) AJD]]-TABL123[[#This Row],[(A/B + A/S) AJD]]</f>
        <v>0</v>
      </c>
      <c r="Y335" s="18"/>
      <c r="Z335" s="9"/>
      <c r="AA335" s="3">
        <f>TABL123[[#This Row],[(RESV. STORGE) AJD]]/10</f>
        <v>0</v>
      </c>
      <c r="AB335" s="45">
        <f t="shared" si="16"/>
        <v>0</v>
      </c>
      <c r="AC335" s="5"/>
      <c r="AD335" s="84">
        <f>TABL123[[#This Row],[( S/S+T/B) AJD]]-(TABL123[[#This Row],[(A/B + A/S) AJD]]+(TABL123[[#This Row],[(STORGE DIFF.) AJD]])+TABL123[[#This Row],[البخر  AJD]]/1000)</f>
        <v>0</v>
      </c>
      <c r="AE335" s="68"/>
      <c r="AF335" s="68"/>
      <c r="AG335" s="68"/>
      <c r="AH335" s="6"/>
      <c r="AI335" s="79"/>
      <c r="AJ335" s="79">
        <f>TABL123[[#This Row],[(A/B TOT) AJD]]-TABL123[[#This Row],[BER_ IN]]</f>
        <v>0</v>
      </c>
      <c r="AK335" s="79"/>
      <c r="AL335" s="68"/>
      <c r="AM335" s="88"/>
      <c r="AN335" s="88">
        <f>TABL123[[#This Row],[ (RESV. STORGE) SER]]/10</f>
        <v>0</v>
      </c>
      <c r="AO335" s="6"/>
      <c r="AP335" s="32">
        <f>TABL123[[#This Row],[(A/S TOT) AJD]]-TABL123[[#This Row],[SER_ IN]]</f>
        <v>0</v>
      </c>
    </row>
    <row r="336" spans="1:42" ht="18.75" x14ac:dyDescent="0.3">
      <c r="A336" s="2">
        <v>46357</v>
      </c>
      <c r="B336" s="41"/>
      <c r="C336" s="41"/>
      <c r="D336" s="41"/>
      <c r="E336" s="41"/>
      <c r="F336" s="41"/>
      <c r="G336" s="39"/>
      <c r="H336" s="41">
        <f t="shared" si="15"/>
        <v>103</v>
      </c>
      <c r="I336" s="39"/>
      <c r="J336" s="39"/>
      <c r="K336" s="28">
        <f>TABL123[[#This Row],[خط (T/B  TOT) SAR]]+TABL123[[#This Row],[خط (S/S  TOT) SAR2]]</f>
        <v>0</v>
      </c>
      <c r="L336" s="41"/>
      <c r="M336" s="42"/>
      <c r="N336" s="42"/>
      <c r="O336" s="39"/>
      <c r="P336" s="9">
        <f>TABL123[[#This Row],[خط (S/S  TOT) SAR2]]-TABL123[[#This Row],[(S/S TOT) AJD]]</f>
        <v>0</v>
      </c>
      <c r="Q336" s="39"/>
      <c r="R336" s="9">
        <f>TABL123[[#This Row],[خط (T/B  TOT) SAR]]-TABL123[[#This Row],[(T/B TOT) AJD]]</f>
        <v>0</v>
      </c>
      <c r="S336" s="9">
        <f>TABL123[[#This Row],[الفرق بين بداية ونهاية خط  T/B]]+TABL123[[#This Row],[الفرق بين بداية ونهاية خط  S/S]]</f>
        <v>0</v>
      </c>
      <c r="T336" s="9">
        <f>TABL123[[#This Row],[(S/S TOT) AJD]]+TABL123[[#This Row],[(T/B TOT) AJD]]</f>
        <v>0</v>
      </c>
      <c r="U336" s="41"/>
      <c r="V336" s="41"/>
      <c r="W336" s="9">
        <f>TABL123[[#This Row],[(A/B TOT) AJD]]+TABL123[[#This Row],[(A/S TOT) AJD]]</f>
        <v>0</v>
      </c>
      <c r="X336" s="9">
        <f>TABL123[[#This Row],[( S/S+T/B) AJD]]-TABL123[[#This Row],[(A/B + A/S) AJD]]</f>
        <v>0</v>
      </c>
      <c r="Y336" s="41"/>
      <c r="Z336" s="43"/>
      <c r="AA336" s="3">
        <f>TABL123[[#This Row],[(RESV. STORGE) AJD]]/10</f>
        <v>0</v>
      </c>
      <c r="AB336" s="45">
        <f t="shared" si="16"/>
        <v>0</v>
      </c>
      <c r="AC336" s="5"/>
      <c r="AD336" s="84">
        <f>TABL123[[#This Row],[( S/S+T/B) AJD]]-(TABL123[[#This Row],[(A/B + A/S) AJD]]+(TABL123[[#This Row],[(STORGE DIFF.) AJD]])+TABL123[[#This Row],[البخر  AJD]]/1000)</f>
        <v>0</v>
      </c>
      <c r="AE336" s="68"/>
      <c r="AF336" s="68"/>
      <c r="AG336" s="68"/>
      <c r="AH336" s="43"/>
      <c r="AI336" s="79"/>
      <c r="AJ336" s="79">
        <f>TABL123[[#This Row],[(A/B TOT) AJD]]-TABL123[[#This Row],[BER_ IN]]</f>
        <v>0</v>
      </c>
      <c r="AK336" s="79"/>
      <c r="AL336" s="68"/>
      <c r="AM336" s="88"/>
      <c r="AN336" s="88">
        <f>TABL123[[#This Row],[ (RESV. STORGE) SER]]/10</f>
        <v>0</v>
      </c>
      <c r="AO336" s="43"/>
      <c r="AP336" s="32">
        <f>TABL123[[#This Row],[(A/S TOT) AJD]]-TABL123[[#This Row],[SER_ IN]]</f>
        <v>0</v>
      </c>
    </row>
    <row r="337" spans="1:42" ht="18.75" x14ac:dyDescent="0.3">
      <c r="A337" s="2">
        <v>46358</v>
      </c>
      <c r="B337" s="44"/>
      <c r="C337" s="44"/>
      <c r="D337" s="44"/>
      <c r="E337" s="44"/>
      <c r="F337" s="44"/>
      <c r="G337" s="40"/>
      <c r="H337" s="44">
        <f t="shared" si="15"/>
        <v>103</v>
      </c>
      <c r="I337" s="40"/>
      <c r="J337" s="44"/>
      <c r="K337" s="28">
        <f>TABL123[[#This Row],[خط (T/B  TOT) SAR]]+TABL123[[#This Row],[خط (S/S  TOT) SAR2]]</f>
        <v>0</v>
      </c>
      <c r="L337" s="45"/>
      <c r="M337" s="46"/>
      <c r="N337" s="46"/>
      <c r="O337" s="40"/>
      <c r="P337" s="9">
        <f>TABL123[[#This Row],[خط (S/S  TOT) SAR2]]-TABL123[[#This Row],[(S/S TOT) AJD]]</f>
        <v>0</v>
      </c>
      <c r="Q337" s="40"/>
      <c r="R337" s="9">
        <f>TABL123[[#This Row],[خط (T/B  TOT) SAR]]-TABL123[[#This Row],[(T/B TOT) AJD]]</f>
        <v>0</v>
      </c>
      <c r="S337" s="9">
        <f>TABL123[[#This Row],[الفرق بين بداية ونهاية خط  T/B]]+TABL123[[#This Row],[الفرق بين بداية ونهاية خط  S/S]]</f>
        <v>0</v>
      </c>
      <c r="T337" s="9">
        <f>TABL123[[#This Row],[(S/S TOT) AJD]]+TABL123[[#This Row],[(T/B TOT) AJD]]</f>
        <v>0</v>
      </c>
      <c r="U337" s="44"/>
      <c r="V337" s="44"/>
      <c r="W337" s="9">
        <f>TABL123[[#This Row],[(A/B TOT) AJD]]+TABL123[[#This Row],[(A/S TOT) AJD]]</f>
        <v>0</v>
      </c>
      <c r="X337" s="9">
        <f>TABL123[[#This Row],[( S/S+T/B) AJD]]-TABL123[[#This Row],[(A/B + A/S) AJD]]</f>
        <v>0</v>
      </c>
      <c r="Y337" s="44"/>
      <c r="Z337" s="45"/>
      <c r="AA337" s="3">
        <f>TABL123[[#This Row],[(RESV. STORGE) AJD]]/10</f>
        <v>0</v>
      </c>
      <c r="AB337" s="45">
        <f t="shared" si="16"/>
        <v>0</v>
      </c>
      <c r="AC337" s="5"/>
      <c r="AD337" s="84">
        <f>TABL123[[#This Row],[( S/S+T/B) AJD]]-(TABL123[[#This Row],[(A/B + A/S) AJD]]+(TABL123[[#This Row],[(STORGE DIFF.) AJD]])+TABL123[[#This Row],[البخر  AJD]]/1000)</f>
        <v>0</v>
      </c>
      <c r="AE337" s="68"/>
      <c r="AF337" s="68"/>
      <c r="AG337" s="68"/>
      <c r="AH337" s="45"/>
      <c r="AI337" s="79"/>
      <c r="AJ337" s="79">
        <f>TABL123[[#This Row],[(A/B TOT) AJD]]-TABL123[[#This Row],[BER_ IN]]</f>
        <v>0</v>
      </c>
      <c r="AK337" s="79"/>
      <c r="AL337" s="68"/>
      <c r="AM337" s="88"/>
      <c r="AN337" s="88">
        <f>TABL123[[#This Row],[ (RESV. STORGE) SER]]/10</f>
        <v>0</v>
      </c>
      <c r="AO337" s="45"/>
      <c r="AP337" s="32">
        <f>TABL123[[#This Row],[(A/S TOT) AJD]]-TABL123[[#This Row],[SER_ IN]]</f>
        <v>0</v>
      </c>
    </row>
    <row r="338" spans="1:42" ht="18.75" x14ac:dyDescent="0.3">
      <c r="A338" s="2">
        <v>46359</v>
      </c>
      <c r="B338" s="41"/>
      <c r="C338" s="41"/>
      <c r="D338" s="41"/>
      <c r="E338" s="41"/>
      <c r="F338" s="41"/>
      <c r="G338" s="39"/>
      <c r="H338" s="41">
        <f t="shared" si="15"/>
        <v>103</v>
      </c>
      <c r="I338" s="39"/>
      <c r="J338" s="39"/>
      <c r="K338" s="28">
        <f>TABL123[[#This Row],[خط (T/B  TOT) SAR]]+TABL123[[#This Row],[خط (S/S  TOT) SAR2]]</f>
        <v>0</v>
      </c>
      <c r="L338" s="41"/>
      <c r="M338" s="42"/>
      <c r="N338" s="42"/>
      <c r="O338" s="39"/>
      <c r="P338" s="9">
        <f>TABL123[[#This Row],[خط (S/S  TOT) SAR2]]-TABL123[[#This Row],[(S/S TOT) AJD]]</f>
        <v>0</v>
      </c>
      <c r="Q338" s="39"/>
      <c r="R338" s="9">
        <f>TABL123[[#This Row],[خط (T/B  TOT) SAR]]-TABL123[[#This Row],[(T/B TOT) AJD]]</f>
        <v>0</v>
      </c>
      <c r="S338" s="9">
        <f>TABL123[[#This Row],[الفرق بين بداية ونهاية خط  T/B]]+TABL123[[#This Row],[الفرق بين بداية ونهاية خط  S/S]]</f>
        <v>0</v>
      </c>
      <c r="T338" s="9">
        <f>TABL123[[#This Row],[(S/S TOT) AJD]]+TABL123[[#This Row],[(T/B TOT) AJD]]</f>
        <v>0</v>
      </c>
      <c r="U338" s="41"/>
      <c r="V338" s="41"/>
      <c r="W338" s="9">
        <f>TABL123[[#This Row],[(A/B TOT) AJD]]+TABL123[[#This Row],[(A/S TOT) AJD]]</f>
        <v>0</v>
      </c>
      <c r="X338" s="9">
        <f>TABL123[[#This Row],[( S/S+T/B) AJD]]-TABL123[[#This Row],[(A/B + A/S) AJD]]</f>
        <v>0</v>
      </c>
      <c r="Y338" s="41"/>
      <c r="Z338" s="43"/>
      <c r="AA338" s="3">
        <f>TABL123[[#This Row],[(RESV. STORGE) AJD]]/10</f>
        <v>0</v>
      </c>
      <c r="AB338" s="45">
        <f t="shared" si="16"/>
        <v>0</v>
      </c>
      <c r="AC338" s="5"/>
      <c r="AD338" s="84">
        <f>TABL123[[#This Row],[( S/S+T/B) AJD]]-(TABL123[[#This Row],[(A/B + A/S) AJD]]+(TABL123[[#This Row],[(STORGE DIFF.) AJD]])+TABL123[[#This Row],[البخر  AJD]]/1000)</f>
        <v>0</v>
      </c>
      <c r="AE338" s="68"/>
      <c r="AF338" s="68"/>
      <c r="AG338" s="68"/>
      <c r="AH338" s="43"/>
      <c r="AI338" s="79"/>
      <c r="AJ338" s="79">
        <f>TABL123[[#This Row],[(A/B TOT) AJD]]-TABL123[[#This Row],[BER_ IN]]</f>
        <v>0</v>
      </c>
      <c r="AK338" s="79"/>
      <c r="AL338" s="68"/>
      <c r="AM338" s="88"/>
      <c r="AN338" s="88">
        <f>TABL123[[#This Row],[ (RESV. STORGE) SER]]/10</f>
        <v>0</v>
      </c>
      <c r="AO338" s="43"/>
      <c r="AP338" s="32">
        <f>TABL123[[#This Row],[(A/S TOT) AJD]]-TABL123[[#This Row],[SER_ IN]]</f>
        <v>0</v>
      </c>
    </row>
    <row r="339" spans="1:42" ht="18.75" x14ac:dyDescent="0.3">
      <c r="A339" s="2">
        <v>46360</v>
      </c>
      <c r="B339" s="44"/>
      <c r="C339" s="44"/>
      <c r="D339" s="44"/>
      <c r="E339" s="44"/>
      <c r="F339" s="44"/>
      <c r="G339" s="40"/>
      <c r="H339" s="44">
        <f t="shared" si="15"/>
        <v>103</v>
      </c>
      <c r="I339" s="40"/>
      <c r="J339" s="44"/>
      <c r="K339" s="28">
        <f>TABL123[[#This Row],[خط (T/B  TOT) SAR]]+TABL123[[#This Row],[خط (S/S  TOT) SAR2]]</f>
        <v>0</v>
      </c>
      <c r="L339" s="45"/>
      <c r="M339" s="46"/>
      <c r="N339" s="46"/>
      <c r="O339" s="40"/>
      <c r="P339" s="9">
        <f>TABL123[[#This Row],[خط (S/S  TOT) SAR2]]-TABL123[[#This Row],[(S/S TOT) AJD]]</f>
        <v>0</v>
      </c>
      <c r="Q339" s="40"/>
      <c r="R339" s="9">
        <f>TABL123[[#This Row],[خط (T/B  TOT) SAR]]-TABL123[[#This Row],[(T/B TOT) AJD]]</f>
        <v>0</v>
      </c>
      <c r="S339" s="9">
        <f>TABL123[[#This Row],[الفرق بين بداية ونهاية خط  T/B]]+TABL123[[#This Row],[الفرق بين بداية ونهاية خط  S/S]]</f>
        <v>0</v>
      </c>
      <c r="T339" s="9">
        <f>TABL123[[#This Row],[(S/S TOT) AJD]]+TABL123[[#This Row],[(T/B TOT) AJD]]</f>
        <v>0</v>
      </c>
      <c r="U339" s="44"/>
      <c r="V339" s="47"/>
      <c r="W339" s="9">
        <f>TABL123[[#This Row],[(A/B TOT) AJD]]+TABL123[[#This Row],[(A/S TOT) AJD]]</f>
        <v>0</v>
      </c>
      <c r="X339" s="9">
        <f>TABL123[[#This Row],[( S/S+T/B) AJD]]-TABL123[[#This Row],[(A/B + A/S) AJD]]</f>
        <v>0</v>
      </c>
      <c r="Y339" s="44"/>
      <c r="Z339" s="45"/>
      <c r="AA339" s="3">
        <f>TABL123[[#This Row],[(RESV. STORGE) AJD]]/10</f>
        <v>0</v>
      </c>
      <c r="AB339" s="45">
        <f t="shared" si="16"/>
        <v>0</v>
      </c>
      <c r="AC339" s="5"/>
      <c r="AD339" s="84">
        <f>TABL123[[#This Row],[( S/S+T/B) AJD]]-(TABL123[[#This Row],[(A/B + A/S) AJD]]+(TABL123[[#This Row],[(STORGE DIFF.) AJD]])+TABL123[[#This Row],[البخر  AJD]]/1000)</f>
        <v>0</v>
      </c>
      <c r="AE339" s="68"/>
      <c r="AF339" s="68"/>
      <c r="AG339" s="68"/>
      <c r="AH339" s="45"/>
      <c r="AI339" s="79"/>
      <c r="AJ339" s="79">
        <f>TABL123[[#This Row],[(A/B TOT) AJD]]-TABL123[[#This Row],[BER_ IN]]</f>
        <v>0</v>
      </c>
      <c r="AK339" s="79"/>
      <c r="AL339" s="68"/>
      <c r="AM339" s="88"/>
      <c r="AN339" s="88">
        <f>TABL123[[#This Row],[ (RESV. STORGE) SER]]/10</f>
        <v>0</v>
      </c>
      <c r="AO339" s="45"/>
      <c r="AP339" s="32">
        <f>TABL123[[#This Row],[(A/S TOT) AJD]]-TABL123[[#This Row],[SER_ IN]]</f>
        <v>0</v>
      </c>
    </row>
    <row r="340" spans="1:42" ht="18.75" x14ac:dyDescent="0.3">
      <c r="A340" s="2">
        <v>46361</v>
      </c>
      <c r="B340" s="41"/>
      <c r="C340" s="41"/>
      <c r="D340" s="41"/>
      <c r="E340" s="41"/>
      <c r="F340" s="41"/>
      <c r="G340" s="39"/>
      <c r="H340" s="41">
        <f t="shared" si="15"/>
        <v>103</v>
      </c>
      <c r="I340" s="39"/>
      <c r="J340" s="39"/>
      <c r="K340" s="28">
        <f>TABL123[[#This Row],[خط (T/B  TOT) SAR]]+TABL123[[#This Row],[خط (S/S  TOT) SAR2]]</f>
        <v>0</v>
      </c>
      <c r="L340" s="41"/>
      <c r="M340" s="42"/>
      <c r="N340" s="42"/>
      <c r="O340" s="39"/>
      <c r="P340" s="9">
        <f>TABL123[[#This Row],[خط (S/S  TOT) SAR2]]-TABL123[[#This Row],[(S/S TOT) AJD]]</f>
        <v>0</v>
      </c>
      <c r="Q340" s="39"/>
      <c r="R340" s="9">
        <f>TABL123[[#This Row],[خط (T/B  TOT) SAR]]-TABL123[[#This Row],[(T/B TOT) AJD]]</f>
        <v>0</v>
      </c>
      <c r="S340" s="9">
        <f>TABL123[[#This Row],[الفرق بين بداية ونهاية خط  T/B]]+TABL123[[#This Row],[الفرق بين بداية ونهاية خط  S/S]]</f>
        <v>0</v>
      </c>
      <c r="T340" s="9">
        <f>TABL123[[#This Row],[(S/S TOT) AJD]]+TABL123[[#This Row],[(T/B TOT) AJD]]</f>
        <v>0</v>
      </c>
      <c r="U340" s="41"/>
      <c r="V340" s="41"/>
      <c r="W340" s="9">
        <f>TABL123[[#This Row],[(A/B TOT) AJD]]+TABL123[[#This Row],[(A/S TOT) AJD]]</f>
        <v>0</v>
      </c>
      <c r="X340" s="9">
        <f>TABL123[[#This Row],[( S/S+T/B) AJD]]-TABL123[[#This Row],[(A/B + A/S) AJD]]</f>
        <v>0</v>
      </c>
      <c r="Y340" s="41"/>
      <c r="Z340" s="43"/>
      <c r="AA340" s="3">
        <f>TABL123[[#This Row],[(RESV. STORGE) AJD]]/10</f>
        <v>0</v>
      </c>
      <c r="AB340" s="45">
        <f t="shared" si="16"/>
        <v>0</v>
      </c>
      <c r="AC340" s="5"/>
      <c r="AD340" s="84">
        <f>TABL123[[#This Row],[( S/S+T/B) AJD]]-(TABL123[[#This Row],[(A/B + A/S) AJD]]+(TABL123[[#This Row],[(STORGE DIFF.) AJD]])+TABL123[[#This Row],[البخر  AJD]]/1000)</f>
        <v>0</v>
      </c>
      <c r="AE340" s="68"/>
      <c r="AF340" s="68"/>
      <c r="AG340" s="68"/>
      <c r="AH340" s="43"/>
      <c r="AI340" s="79"/>
      <c r="AJ340" s="79">
        <f>TABL123[[#This Row],[(A/B TOT) AJD]]-TABL123[[#This Row],[BER_ IN]]</f>
        <v>0</v>
      </c>
      <c r="AK340" s="79"/>
      <c r="AL340" s="68"/>
      <c r="AM340" s="88"/>
      <c r="AN340" s="88">
        <f>TABL123[[#This Row],[ (RESV. STORGE) SER]]/10</f>
        <v>0</v>
      </c>
      <c r="AO340" s="43"/>
      <c r="AP340" s="32">
        <f>TABL123[[#This Row],[(A/S TOT) AJD]]-TABL123[[#This Row],[SER_ IN]]</f>
        <v>0</v>
      </c>
    </row>
    <row r="341" spans="1:42" ht="18.75" x14ac:dyDescent="0.3">
      <c r="A341" s="2">
        <v>46362</v>
      </c>
      <c r="B341" s="44"/>
      <c r="C341" s="44"/>
      <c r="D341" s="44"/>
      <c r="E341" s="44"/>
      <c r="F341" s="44"/>
      <c r="G341" s="40"/>
      <c r="H341" s="44">
        <f t="shared" si="15"/>
        <v>103</v>
      </c>
      <c r="I341" s="40"/>
      <c r="J341" s="44"/>
      <c r="K341" s="28">
        <f>TABL123[[#This Row],[خط (T/B  TOT) SAR]]+TABL123[[#This Row],[خط (S/S  TOT) SAR2]]</f>
        <v>0</v>
      </c>
      <c r="L341" s="45"/>
      <c r="M341" s="46"/>
      <c r="N341" s="46"/>
      <c r="O341" s="40"/>
      <c r="P341" s="9">
        <f>TABL123[[#This Row],[خط (S/S  TOT) SAR2]]-TABL123[[#This Row],[(S/S TOT) AJD]]</f>
        <v>0</v>
      </c>
      <c r="Q341" s="40"/>
      <c r="R341" s="9">
        <f>TABL123[[#This Row],[خط (T/B  TOT) SAR]]-TABL123[[#This Row],[(T/B TOT) AJD]]</f>
        <v>0</v>
      </c>
      <c r="S341" s="9">
        <f>TABL123[[#This Row],[الفرق بين بداية ونهاية خط  T/B]]+TABL123[[#This Row],[الفرق بين بداية ونهاية خط  S/S]]</f>
        <v>0</v>
      </c>
      <c r="T341" s="9">
        <f>TABL123[[#This Row],[(S/S TOT) AJD]]+TABL123[[#This Row],[(T/B TOT) AJD]]</f>
        <v>0</v>
      </c>
      <c r="U341" s="44"/>
      <c r="V341" s="44"/>
      <c r="W341" s="9">
        <f>TABL123[[#This Row],[(A/B TOT) AJD]]+TABL123[[#This Row],[(A/S TOT) AJD]]</f>
        <v>0</v>
      </c>
      <c r="X341" s="9">
        <f>TABL123[[#This Row],[( S/S+T/B) AJD]]-TABL123[[#This Row],[(A/B + A/S) AJD]]</f>
        <v>0</v>
      </c>
      <c r="Y341" s="44"/>
      <c r="Z341" s="45"/>
      <c r="AA341" s="3">
        <f>TABL123[[#This Row],[(RESV. STORGE) AJD]]/10</f>
        <v>0</v>
      </c>
      <c r="AB341" s="45">
        <f t="shared" si="16"/>
        <v>0</v>
      </c>
      <c r="AC341" s="5"/>
      <c r="AD341" s="84">
        <f>TABL123[[#This Row],[( S/S+T/B) AJD]]-(TABL123[[#This Row],[(A/B + A/S) AJD]]+(TABL123[[#This Row],[(STORGE DIFF.) AJD]])+TABL123[[#This Row],[البخر  AJD]]/1000)</f>
        <v>0</v>
      </c>
      <c r="AE341" s="68"/>
      <c r="AF341" s="68"/>
      <c r="AG341" s="68"/>
      <c r="AH341" s="45"/>
      <c r="AI341" s="79"/>
      <c r="AJ341" s="79">
        <f>TABL123[[#This Row],[(A/B TOT) AJD]]-TABL123[[#This Row],[BER_ IN]]</f>
        <v>0</v>
      </c>
      <c r="AK341" s="79"/>
      <c r="AL341" s="68"/>
      <c r="AM341" s="88"/>
      <c r="AN341" s="88">
        <f>TABL123[[#This Row],[ (RESV. STORGE) SER]]/10</f>
        <v>0</v>
      </c>
      <c r="AO341" s="45"/>
      <c r="AP341" s="32">
        <f>TABL123[[#This Row],[(A/S TOT) AJD]]-TABL123[[#This Row],[SER_ IN]]</f>
        <v>0</v>
      </c>
    </row>
    <row r="342" spans="1:42" ht="18.75" x14ac:dyDescent="0.3">
      <c r="A342" s="2">
        <v>46363</v>
      </c>
      <c r="B342" s="41"/>
      <c r="C342" s="41"/>
      <c r="D342" s="41"/>
      <c r="E342" s="41"/>
      <c r="F342" s="41"/>
      <c r="G342" s="39"/>
      <c r="H342" s="41">
        <f t="shared" si="15"/>
        <v>103</v>
      </c>
      <c r="I342" s="39"/>
      <c r="J342" s="39"/>
      <c r="K342" s="28">
        <f>TABL123[[#This Row],[خط (T/B  TOT) SAR]]+TABL123[[#This Row],[خط (S/S  TOT) SAR2]]</f>
        <v>0</v>
      </c>
      <c r="L342" s="41"/>
      <c r="M342" s="42"/>
      <c r="N342" s="42"/>
      <c r="O342" s="39"/>
      <c r="P342" s="9">
        <f>TABL123[[#This Row],[خط (S/S  TOT) SAR2]]-TABL123[[#This Row],[(S/S TOT) AJD]]</f>
        <v>0</v>
      </c>
      <c r="Q342" s="39"/>
      <c r="R342" s="9">
        <f>TABL123[[#This Row],[خط (T/B  TOT) SAR]]-TABL123[[#This Row],[(T/B TOT) AJD]]</f>
        <v>0</v>
      </c>
      <c r="S342" s="9">
        <f>TABL123[[#This Row],[الفرق بين بداية ونهاية خط  T/B]]+TABL123[[#This Row],[الفرق بين بداية ونهاية خط  S/S]]</f>
        <v>0</v>
      </c>
      <c r="T342" s="9">
        <f>TABL123[[#This Row],[(S/S TOT) AJD]]+TABL123[[#This Row],[(T/B TOT) AJD]]</f>
        <v>0</v>
      </c>
      <c r="U342" s="41"/>
      <c r="V342" s="41"/>
      <c r="W342" s="9">
        <f>TABL123[[#This Row],[(A/B TOT) AJD]]+TABL123[[#This Row],[(A/S TOT) AJD]]</f>
        <v>0</v>
      </c>
      <c r="X342" s="9">
        <f>TABL123[[#This Row],[( S/S+T/B) AJD]]-TABL123[[#This Row],[(A/B + A/S) AJD]]</f>
        <v>0</v>
      </c>
      <c r="Y342" s="41"/>
      <c r="Z342" s="43"/>
      <c r="AA342" s="3">
        <f>TABL123[[#This Row],[(RESV. STORGE) AJD]]/10</f>
        <v>0</v>
      </c>
      <c r="AB342" s="45">
        <f t="shared" si="16"/>
        <v>0</v>
      </c>
      <c r="AC342" s="5"/>
      <c r="AD342" s="84">
        <f>TABL123[[#This Row],[( S/S+T/B) AJD]]-(TABL123[[#This Row],[(A/B + A/S) AJD]]+(TABL123[[#This Row],[(STORGE DIFF.) AJD]])+TABL123[[#This Row],[البخر  AJD]]/1000)</f>
        <v>0</v>
      </c>
      <c r="AE342" s="68"/>
      <c r="AF342" s="68"/>
      <c r="AG342" s="68"/>
      <c r="AH342" s="43"/>
      <c r="AI342" s="79"/>
      <c r="AJ342" s="79">
        <f>TABL123[[#This Row],[(A/B TOT) AJD]]-TABL123[[#This Row],[BER_ IN]]</f>
        <v>0</v>
      </c>
      <c r="AK342" s="79"/>
      <c r="AL342" s="68"/>
      <c r="AM342" s="88"/>
      <c r="AN342" s="88">
        <f>TABL123[[#This Row],[ (RESV. STORGE) SER]]/10</f>
        <v>0</v>
      </c>
      <c r="AO342" s="43"/>
      <c r="AP342" s="32">
        <f>TABL123[[#This Row],[(A/S TOT) AJD]]-TABL123[[#This Row],[SER_ IN]]</f>
        <v>0</v>
      </c>
    </row>
    <row r="343" spans="1:42" ht="18.75" x14ac:dyDescent="0.3">
      <c r="A343" s="2">
        <v>46364</v>
      </c>
      <c r="B343" s="44"/>
      <c r="C343" s="44"/>
      <c r="D343" s="44"/>
      <c r="E343" s="44"/>
      <c r="F343" s="44"/>
      <c r="G343" s="40"/>
      <c r="H343" s="44">
        <f t="shared" si="15"/>
        <v>103</v>
      </c>
      <c r="I343" s="40"/>
      <c r="J343" s="44"/>
      <c r="K343" s="28">
        <f>TABL123[[#This Row],[خط (T/B  TOT) SAR]]+TABL123[[#This Row],[خط (S/S  TOT) SAR2]]</f>
        <v>0</v>
      </c>
      <c r="L343" s="45"/>
      <c r="M343" s="46"/>
      <c r="N343" s="46"/>
      <c r="O343" s="40"/>
      <c r="P343" s="9">
        <f>TABL123[[#This Row],[خط (S/S  TOT) SAR2]]-TABL123[[#This Row],[(S/S TOT) AJD]]</f>
        <v>0</v>
      </c>
      <c r="Q343" s="40"/>
      <c r="R343" s="9">
        <f>TABL123[[#This Row],[خط (T/B  TOT) SAR]]-TABL123[[#This Row],[(T/B TOT) AJD]]</f>
        <v>0</v>
      </c>
      <c r="S343" s="9">
        <f>TABL123[[#This Row],[الفرق بين بداية ونهاية خط  T/B]]+TABL123[[#This Row],[الفرق بين بداية ونهاية خط  S/S]]</f>
        <v>0</v>
      </c>
      <c r="T343" s="9">
        <f>TABL123[[#This Row],[(S/S TOT) AJD]]+TABL123[[#This Row],[(T/B TOT) AJD]]</f>
        <v>0</v>
      </c>
      <c r="U343" s="44"/>
      <c r="V343" s="44"/>
      <c r="W343" s="9">
        <f>TABL123[[#This Row],[(A/B TOT) AJD]]+TABL123[[#This Row],[(A/S TOT) AJD]]</f>
        <v>0</v>
      </c>
      <c r="X343" s="9">
        <f>TABL123[[#This Row],[( S/S+T/B) AJD]]-TABL123[[#This Row],[(A/B + A/S) AJD]]</f>
        <v>0</v>
      </c>
      <c r="Y343" s="44"/>
      <c r="Z343" s="45"/>
      <c r="AA343" s="3">
        <f>TABL123[[#This Row],[(RESV. STORGE) AJD]]/10</f>
        <v>0</v>
      </c>
      <c r="AB343" s="45">
        <f t="shared" si="16"/>
        <v>0</v>
      </c>
      <c r="AC343" s="5"/>
      <c r="AD343" s="84">
        <f>TABL123[[#This Row],[( S/S+T/B) AJD]]-(TABL123[[#This Row],[(A/B + A/S) AJD]]+(TABL123[[#This Row],[(STORGE DIFF.) AJD]])+TABL123[[#This Row],[البخر  AJD]]/1000)</f>
        <v>0</v>
      </c>
      <c r="AE343" s="68"/>
      <c r="AF343" s="68"/>
      <c r="AG343" s="68"/>
      <c r="AH343" s="45"/>
      <c r="AI343" s="79"/>
      <c r="AJ343" s="79">
        <f>TABL123[[#This Row],[(A/B TOT) AJD]]-TABL123[[#This Row],[BER_ IN]]</f>
        <v>0</v>
      </c>
      <c r="AK343" s="79"/>
      <c r="AL343" s="68"/>
      <c r="AM343" s="88"/>
      <c r="AN343" s="88">
        <f>TABL123[[#This Row],[ (RESV. STORGE) SER]]/10</f>
        <v>0</v>
      </c>
      <c r="AO343" s="45"/>
      <c r="AP343" s="32">
        <f>TABL123[[#This Row],[(A/S TOT) AJD]]-TABL123[[#This Row],[SER_ IN]]</f>
        <v>0</v>
      </c>
    </row>
    <row r="344" spans="1:42" ht="18.75" x14ac:dyDescent="0.3">
      <c r="A344" s="2">
        <v>46365</v>
      </c>
      <c r="B344" s="41"/>
      <c r="C344" s="41"/>
      <c r="D344" s="41"/>
      <c r="E344" s="41"/>
      <c r="F344" s="41"/>
      <c r="G344" s="39"/>
      <c r="H344" s="41">
        <f t="shared" si="15"/>
        <v>103</v>
      </c>
      <c r="I344" s="39"/>
      <c r="J344" s="39"/>
      <c r="K344" s="28">
        <f>TABL123[[#This Row],[خط (T/B  TOT) SAR]]+TABL123[[#This Row],[خط (S/S  TOT) SAR2]]</f>
        <v>0</v>
      </c>
      <c r="L344" s="41"/>
      <c r="M344" s="42"/>
      <c r="N344" s="42"/>
      <c r="O344" s="39"/>
      <c r="P344" s="9">
        <f>TABL123[[#This Row],[خط (S/S  TOT) SAR2]]-TABL123[[#This Row],[(S/S TOT) AJD]]</f>
        <v>0</v>
      </c>
      <c r="Q344" s="39"/>
      <c r="R344" s="9">
        <f>TABL123[[#This Row],[خط (T/B  TOT) SAR]]-TABL123[[#This Row],[(T/B TOT) AJD]]</f>
        <v>0</v>
      </c>
      <c r="S344" s="9">
        <f>TABL123[[#This Row],[الفرق بين بداية ونهاية خط  T/B]]+TABL123[[#This Row],[الفرق بين بداية ونهاية خط  S/S]]</f>
        <v>0</v>
      </c>
      <c r="T344" s="9">
        <f>TABL123[[#This Row],[(S/S TOT) AJD]]+TABL123[[#This Row],[(T/B TOT) AJD]]</f>
        <v>0</v>
      </c>
      <c r="U344" s="41"/>
      <c r="V344" s="41"/>
      <c r="W344" s="9">
        <f>TABL123[[#This Row],[(A/B TOT) AJD]]+TABL123[[#This Row],[(A/S TOT) AJD]]</f>
        <v>0</v>
      </c>
      <c r="X344" s="9">
        <f>TABL123[[#This Row],[( S/S+T/B) AJD]]-TABL123[[#This Row],[(A/B + A/S) AJD]]</f>
        <v>0</v>
      </c>
      <c r="Y344" s="41"/>
      <c r="Z344" s="43"/>
      <c r="AA344" s="3">
        <f>TABL123[[#This Row],[(RESV. STORGE) AJD]]/10</f>
        <v>0</v>
      </c>
      <c r="AB344" s="45">
        <f t="shared" si="16"/>
        <v>0</v>
      </c>
      <c r="AC344" s="5"/>
      <c r="AD344" s="84">
        <f>TABL123[[#This Row],[( S/S+T/B) AJD]]-(TABL123[[#This Row],[(A/B + A/S) AJD]]+(TABL123[[#This Row],[(STORGE DIFF.) AJD]])+TABL123[[#This Row],[البخر  AJD]]/1000)</f>
        <v>0</v>
      </c>
      <c r="AE344" s="68"/>
      <c r="AF344" s="68"/>
      <c r="AG344" s="68"/>
      <c r="AH344" s="43"/>
      <c r="AI344" s="79"/>
      <c r="AJ344" s="79">
        <f>TABL123[[#This Row],[(A/B TOT) AJD]]-TABL123[[#This Row],[BER_ IN]]</f>
        <v>0</v>
      </c>
      <c r="AK344" s="79"/>
      <c r="AL344" s="68"/>
      <c r="AM344" s="88"/>
      <c r="AN344" s="88">
        <f>TABL123[[#This Row],[ (RESV. STORGE) SER]]/10</f>
        <v>0</v>
      </c>
      <c r="AO344" s="43"/>
      <c r="AP344" s="32">
        <f>TABL123[[#This Row],[(A/S TOT) AJD]]-TABL123[[#This Row],[SER_ IN]]</f>
        <v>0</v>
      </c>
    </row>
    <row r="345" spans="1:42" ht="18.75" x14ac:dyDescent="0.3">
      <c r="A345" s="2">
        <v>46366</v>
      </c>
      <c r="B345" s="44"/>
      <c r="C345" s="44"/>
      <c r="D345" s="44"/>
      <c r="E345" s="44"/>
      <c r="F345" s="44"/>
      <c r="G345" s="40"/>
      <c r="H345" s="44">
        <f t="shared" si="15"/>
        <v>103</v>
      </c>
      <c r="I345" s="40"/>
      <c r="J345" s="44"/>
      <c r="K345" s="28">
        <f>TABL123[[#This Row],[خط (T/B  TOT) SAR]]+TABL123[[#This Row],[خط (S/S  TOT) SAR2]]</f>
        <v>0</v>
      </c>
      <c r="L345" s="45"/>
      <c r="M345" s="46"/>
      <c r="N345" s="46"/>
      <c r="O345" s="40"/>
      <c r="P345" s="9">
        <f>TABL123[[#This Row],[خط (S/S  TOT) SAR2]]-TABL123[[#This Row],[(S/S TOT) AJD]]</f>
        <v>0</v>
      </c>
      <c r="Q345" s="40"/>
      <c r="R345" s="9">
        <f>TABL123[[#This Row],[خط (T/B  TOT) SAR]]-TABL123[[#This Row],[(T/B TOT) AJD]]</f>
        <v>0</v>
      </c>
      <c r="S345" s="9">
        <f>TABL123[[#This Row],[الفرق بين بداية ونهاية خط  T/B]]+TABL123[[#This Row],[الفرق بين بداية ونهاية خط  S/S]]</f>
        <v>0</v>
      </c>
      <c r="T345" s="9">
        <f>TABL123[[#This Row],[(S/S TOT) AJD]]+TABL123[[#This Row],[(T/B TOT) AJD]]</f>
        <v>0</v>
      </c>
      <c r="U345" s="44"/>
      <c r="V345" s="44"/>
      <c r="W345" s="9">
        <f>TABL123[[#This Row],[(A/B TOT) AJD]]+TABL123[[#This Row],[(A/S TOT) AJD]]</f>
        <v>0</v>
      </c>
      <c r="X345" s="9">
        <f>TABL123[[#This Row],[( S/S+T/B) AJD]]-TABL123[[#This Row],[(A/B + A/S) AJD]]</f>
        <v>0</v>
      </c>
      <c r="Y345" s="44"/>
      <c r="Z345" s="45"/>
      <c r="AA345" s="3">
        <f>TABL123[[#This Row],[(RESV. STORGE) AJD]]/10</f>
        <v>0</v>
      </c>
      <c r="AB345" s="45">
        <f t="shared" si="16"/>
        <v>0</v>
      </c>
      <c r="AC345" s="5"/>
      <c r="AD345" s="84">
        <f>TABL123[[#This Row],[( S/S+T/B) AJD]]-(TABL123[[#This Row],[(A/B + A/S) AJD]]+(TABL123[[#This Row],[(STORGE DIFF.) AJD]])+TABL123[[#This Row],[البخر  AJD]]/1000)</f>
        <v>0</v>
      </c>
      <c r="AE345" s="68"/>
      <c r="AF345" s="68"/>
      <c r="AG345" s="68"/>
      <c r="AH345" s="45"/>
      <c r="AI345" s="79"/>
      <c r="AJ345" s="79">
        <f>TABL123[[#This Row],[(A/B TOT) AJD]]-TABL123[[#This Row],[BER_ IN]]</f>
        <v>0</v>
      </c>
      <c r="AK345" s="79"/>
      <c r="AL345" s="68"/>
      <c r="AM345" s="88"/>
      <c r="AN345" s="88">
        <f>TABL123[[#This Row],[ (RESV. STORGE) SER]]/10</f>
        <v>0</v>
      </c>
      <c r="AO345" s="45"/>
      <c r="AP345" s="32">
        <f>TABL123[[#This Row],[(A/S TOT) AJD]]-TABL123[[#This Row],[SER_ IN]]</f>
        <v>0</v>
      </c>
    </row>
    <row r="346" spans="1:42" ht="18.75" x14ac:dyDescent="0.3">
      <c r="A346" s="2">
        <v>46367</v>
      </c>
      <c r="B346" s="41"/>
      <c r="C346" s="41"/>
      <c r="D346" s="41"/>
      <c r="E346" s="41"/>
      <c r="F346" s="41"/>
      <c r="G346" s="39"/>
      <c r="H346" s="41">
        <f t="shared" si="15"/>
        <v>103</v>
      </c>
      <c r="I346" s="39"/>
      <c r="J346" s="39"/>
      <c r="K346" s="28">
        <f>TABL123[[#This Row],[خط (T/B  TOT) SAR]]+TABL123[[#This Row],[خط (S/S  TOT) SAR2]]</f>
        <v>0</v>
      </c>
      <c r="L346" s="41"/>
      <c r="M346" s="42"/>
      <c r="N346" s="42"/>
      <c r="O346" s="39"/>
      <c r="P346" s="9">
        <f>TABL123[[#This Row],[خط (S/S  TOT) SAR2]]-TABL123[[#This Row],[(S/S TOT) AJD]]</f>
        <v>0</v>
      </c>
      <c r="Q346" s="39"/>
      <c r="R346" s="9">
        <f>TABL123[[#This Row],[خط (T/B  TOT) SAR]]-TABL123[[#This Row],[(T/B TOT) AJD]]</f>
        <v>0</v>
      </c>
      <c r="S346" s="9">
        <f>TABL123[[#This Row],[الفرق بين بداية ونهاية خط  T/B]]+TABL123[[#This Row],[الفرق بين بداية ونهاية خط  S/S]]</f>
        <v>0</v>
      </c>
      <c r="T346" s="9">
        <f>TABL123[[#This Row],[(S/S TOT) AJD]]+TABL123[[#This Row],[(T/B TOT) AJD]]</f>
        <v>0</v>
      </c>
      <c r="U346" s="41"/>
      <c r="V346" s="41"/>
      <c r="W346" s="9">
        <f>TABL123[[#This Row],[(A/B TOT) AJD]]+TABL123[[#This Row],[(A/S TOT) AJD]]</f>
        <v>0</v>
      </c>
      <c r="X346" s="9">
        <f>TABL123[[#This Row],[( S/S+T/B) AJD]]-TABL123[[#This Row],[(A/B + A/S) AJD]]</f>
        <v>0</v>
      </c>
      <c r="Y346" s="41"/>
      <c r="Z346" s="43"/>
      <c r="AA346" s="3">
        <f>TABL123[[#This Row],[(RESV. STORGE) AJD]]/10</f>
        <v>0</v>
      </c>
      <c r="AB346" s="45">
        <f t="shared" si="16"/>
        <v>0</v>
      </c>
      <c r="AC346" s="5"/>
      <c r="AD346" s="84">
        <f>TABL123[[#This Row],[( S/S+T/B) AJD]]-(TABL123[[#This Row],[(A/B + A/S) AJD]]+(TABL123[[#This Row],[(STORGE DIFF.) AJD]])+TABL123[[#This Row],[البخر  AJD]]/1000)</f>
        <v>0</v>
      </c>
      <c r="AE346" s="68"/>
      <c r="AF346" s="68"/>
      <c r="AG346" s="68"/>
      <c r="AH346" s="48"/>
      <c r="AI346" s="79"/>
      <c r="AJ346" s="79">
        <f>TABL123[[#This Row],[(A/B TOT) AJD]]-TABL123[[#This Row],[BER_ IN]]</f>
        <v>0</v>
      </c>
      <c r="AK346" s="79"/>
      <c r="AL346" s="68"/>
      <c r="AM346" s="88"/>
      <c r="AN346" s="88">
        <f>TABL123[[#This Row],[ (RESV. STORGE) SER]]/10</f>
        <v>0</v>
      </c>
      <c r="AO346" s="43"/>
      <c r="AP346" s="32">
        <f>TABL123[[#This Row],[(A/S TOT) AJD]]-TABL123[[#This Row],[SER_ IN]]</f>
        <v>0</v>
      </c>
    </row>
    <row r="347" spans="1:42" ht="18.75" x14ac:dyDescent="0.3">
      <c r="A347" s="2">
        <v>46368</v>
      </c>
      <c r="B347" s="44"/>
      <c r="C347" s="44"/>
      <c r="D347" s="44"/>
      <c r="E347" s="44"/>
      <c r="F347" s="44"/>
      <c r="G347" s="40"/>
      <c r="H347" s="44">
        <f t="shared" si="15"/>
        <v>103</v>
      </c>
      <c r="I347" s="40"/>
      <c r="J347" s="44"/>
      <c r="K347" s="28">
        <f>TABL123[[#This Row],[خط (T/B  TOT) SAR]]+TABL123[[#This Row],[خط (S/S  TOT) SAR2]]</f>
        <v>0</v>
      </c>
      <c r="L347" s="45"/>
      <c r="M347" s="46"/>
      <c r="N347" s="46"/>
      <c r="O347" s="40"/>
      <c r="P347" s="9">
        <f>TABL123[[#This Row],[خط (S/S  TOT) SAR2]]-TABL123[[#This Row],[(S/S TOT) AJD]]</f>
        <v>0</v>
      </c>
      <c r="Q347" s="40"/>
      <c r="R347" s="9">
        <f>TABL123[[#This Row],[خط (T/B  TOT) SAR]]-TABL123[[#This Row],[(T/B TOT) AJD]]</f>
        <v>0</v>
      </c>
      <c r="S347" s="9">
        <f>TABL123[[#This Row],[الفرق بين بداية ونهاية خط  T/B]]+TABL123[[#This Row],[الفرق بين بداية ونهاية خط  S/S]]</f>
        <v>0</v>
      </c>
      <c r="T347" s="9">
        <f>TABL123[[#This Row],[(S/S TOT) AJD]]+TABL123[[#This Row],[(T/B TOT) AJD]]</f>
        <v>0</v>
      </c>
      <c r="U347" s="44"/>
      <c r="V347" s="44"/>
      <c r="W347" s="9">
        <f>TABL123[[#This Row],[(A/B TOT) AJD]]+TABL123[[#This Row],[(A/S TOT) AJD]]</f>
        <v>0</v>
      </c>
      <c r="X347" s="9">
        <f>TABL123[[#This Row],[( S/S+T/B) AJD]]-TABL123[[#This Row],[(A/B + A/S) AJD]]</f>
        <v>0</v>
      </c>
      <c r="Y347" s="44"/>
      <c r="Z347" s="45"/>
      <c r="AA347" s="3">
        <f>TABL123[[#This Row],[(RESV. STORGE) AJD]]/10</f>
        <v>0</v>
      </c>
      <c r="AB347" s="45">
        <f t="shared" si="16"/>
        <v>0</v>
      </c>
      <c r="AC347" s="5"/>
      <c r="AD347" s="84">
        <f>TABL123[[#This Row],[( S/S+T/B) AJD]]-(TABL123[[#This Row],[(A/B + A/S) AJD]]+(TABL123[[#This Row],[(STORGE DIFF.) AJD]])+TABL123[[#This Row],[البخر  AJD]]/1000)</f>
        <v>0</v>
      </c>
      <c r="AE347" s="68"/>
      <c r="AF347" s="68"/>
      <c r="AG347" s="68"/>
      <c r="AH347" s="45"/>
      <c r="AI347" s="79"/>
      <c r="AJ347" s="79">
        <f>TABL123[[#This Row],[(A/B TOT) AJD]]-TABL123[[#This Row],[BER_ IN]]</f>
        <v>0</v>
      </c>
      <c r="AK347" s="79"/>
      <c r="AL347" s="68"/>
      <c r="AM347" s="88"/>
      <c r="AN347" s="88">
        <f>TABL123[[#This Row],[ (RESV. STORGE) SER]]/10</f>
        <v>0</v>
      </c>
      <c r="AO347" s="45"/>
      <c r="AP347" s="32">
        <f>TABL123[[#This Row],[(A/S TOT) AJD]]-TABL123[[#This Row],[SER_ IN]]</f>
        <v>0</v>
      </c>
    </row>
    <row r="348" spans="1:42" ht="18.75" x14ac:dyDescent="0.3">
      <c r="A348" s="2">
        <v>46369</v>
      </c>
      <c r="B348" s="41"/>
      <c r="C348" s="41"/>
      <c r="D348" s="41"/>
      <c r="E348" s="41"/>
      <c r="F348" s="41"/>
      <c r="G348" s="39"/>
      <c r="H348" s="41">
        <f t="shared" si="15"/>
        <v>103</v>
      </c>
      <c r="I348" s="39"/>
      <c r="J348" s="39"/>
      <c r="K348" s="28">
        <f>TABL123[[#This Row],[خط (T/B  TOT) SAR]]+TABL123[[#This Row],[خط (S/S  TOT) SAR2]]</f>
        <v>0</v>
      </c>
      <c r="L348" s="41"/>
      <c r="M348" s="42"/>
      <c r="N348" s="42"/>
      <c r="O348" s="39"/>
      <c r="P348" s="9">
        <f>TABL123[[#This Row],[خط (S/S  TOT) SAR2]]-TABL123[[#This Row],[(S/S TOT) AJD]]</f>
        <v>0</v>
      </c>
      <c r="Q348" s="39"/>
      <c r="R348" s="9">
        <f>TABL123[[#This Row],[خط (T/B  TOT) SAR]]-TABL123[[#This Row],[(T/B TOT) AJD]]</f>
        <v>0</v>
      </c>
      <c r="S348" s="9">
        <f>TABL123[[#This Row],[الفرق بين بداية ونهاية خط  T/B]]+TABL123[[#This Row],[الفرق بين بداية ونهاية خط  S/S]]</f>
        <v>0</v>
      </c>
      <c r="T348" s="9">
        <f>TABL123[[#This Row],[(S/S TOT) AJD]]+TABL123[[#This Row],[(T/B TOT) AJD]]</f>
        <v>0</v>
      </c>
      <c r="U348" s="41"/>
      <c r="V348" s="41"/>
      <c r="W348" s="9">
        <f>TABL123[[#This Row],[(A/B TOT) AJD]]+TABL123[[#This Row],[(A/S TOT) AJD]]</f>
        <v>0</v>
      </c>
      <c r="X348" s="9">
        <f>TABL123[[#This Row],[( S/S+T/B) AJD]]-TABL123[[#This Row],[(A/B + A/S) AJD]]</f>
        <v>0</v>
      </c>
      <c r="Y348" s="41"/>
      <c r="Z348" s="43"/>
      <c r="AA348" s="3">
        <f>TABL123[[#This Row],[(RESV. STORGE) AJD]]/10</f>
        <v>0</v>
      </c>
      <c r="AB348" s="45">
        <f t="shared" si="16"/>
        <v>0</v>
      </c>
      <c r="AC348" s="5"/>
      <c r="AD348" s="84">
        <f>TABL123[[#This Row],[( S/S+T/B) AJD]]-(TABL123[[#This Row],[(A/B + A/S) AJD]]+(TABL123[[#This Row],[(STORGE DIFF.) AJD]])+TABL123[[#This Row],[البخر  AJD]]/1000)</f>
        <v>0</v>
      </c>
      <c r="AE348" s="68"/>
      <c r="AF348" s="68"/>
      <c r="AG348" s="68"/>
      <c r="AH348" s="43"/>
      <c r="AI348" s="79"/>
      <c r="AJ348" s="79">
        <f>TABL123[[#This Row],[(A/B TOT) AJD]]-TABL123[[#This Row],[BER_ IN]]</f>
        <v>0</v>
      </c>
      <c r="AK348" s="79"/>
      <c r="AL348" s="68"/>
      <c r="AM348" s="88"/>
      <c r="AN348" s="88">
        <f>TABL123[[#This Row],[ (RESV. STORGE) SER]]/10</f>
        <v>0</v>
      </c>
      <c r="AO348" s="43"/>
      <c r="AP348" s="32">
        <f>TABL123[[#This Row],[(A/S TOT) AJD]]-TABL123[[#This Row],[SER_ IN]]</f>
        <v>0</v>
      </c>
    </row>
    <row r="349" spans="1:42" ht="18.75" x14ac:dyDescent="0.3">
      <c r="A349" s="2">
        <v>46370</v>
      </c>
      <c r="B349" s="44"/>
      <c r="C349" s="44"/>
      <c r="D349" s="44"/>
      <c r="E349" s="44"/>
      <c r="F349" s="44"/>
      <c r="G349" s="40"/>
      <c r="H349" s="44">
        <f t="shared" si="15"/>
        <v>103</v>
      </c>
      <c r="I349" s="40"/>
      <c r="J349" s="44"/>
      <c r="K349" s="28">
        <f>TABL123[[#This Row],[خط (T/B  TOT) SAR]]+TABL123[[#This Row],[خط (S/S  TOT) SAR2]]</f>
        <v>0</v>
      </c>
      <c r="L349" s="45"/>
      <c r="M349" s="46"/>
      <c r="N349" s="46"/>
      <c r="O349" s="40"/>
      <c r="P349" s="9">
        <f>TABL123[[#This Row],[خط (S/S  TOT) SAR2]]-TABL123[[#This Row],[(S/S TOT) AJD]]</f>
        <v>0</v>
      </c>
      <c r="Q349" s="40"/>
      <c r="R349" s="9">
        <f>TABL123[[#This Row],[خط (T/B  TOT) SAR]]-TABL123[[#This Row],[(T/B TOT) AJD]]</f>
        <v>0</v>
      </c>
      <c r="S349" s="9">
        <f>TABL123[[#This Row],[الفرق بين بداية ونهاية خط  T/B]]+TABL123[[#This Row],[الفرق بين بداية ونهاية خط  S/S]]</f>
        <v>0</v>
      </c>
      <c r="T349" s="9">
        <f>TABL123[[#This Row],[(S/S TOT) AJD]]+TABL123[[#This Row],[(T/B TOT) AJD]]</f>
        <v>0</v>
      </c>
      <c r="U349" s="44"/>
      <c r="V349" s="44"/>
      <c r="W349" s="9">
        <f>TABL123[[#This Row],[(A/B TOT) AJD]]+TABL123[[#This Row],[(A/S TOT) AJD]]</f>
        <v>0</v>
      </c>
      <c r="X349" s="9">
        <f>TABL123[[#This Row],[( S/S+T/B) AJD]]-TABL123[[#This Row],[(A/B + A/S) AJD]]</f>
        <v>0</v>
      </c>
      <c r="Y349" s="44"/>
      <c r="Z349" s="45"/>
      <c r="AA349" s="3">
        <f>TABL123[[#This Row],[(RESV. STORGE) AJD]]/10</f>
        <v>0</v>
      </c>
      <c r="AB349" s="45">
        <f t="shared" si="16"/>
        <v>0</v>
      </c>
      <c r="AC349" s="5"/>
      <c r="AD349" s="84">
        <f>TABL123[[#This Row],[( S/S+T/B) AJD]]-(TABL123[[#This Row],[(A/B + A/S) AJD]]+(TABL123[[#This Row],[(STORGE DIFF.) AJD]])+TABL123[[#This Row],[البخر  AJD]]/1000)</f>
        <v>0</v>
      </c>
      <c r="AE349" s="68"/>
      <c r="AF349" s="68"/>
      <c r="AG349" s="68"/>
      <c r="AH349" s="45"/>
      <c r="AI349" s="79"/>
      <c r="AJ349" s="79">
        <f>TABL123[[#This Row],[(A/B TOT) AJD]]-TABL123[[#This Row],[BER_ IN]]</f>
        <v>0</v>
      </c>
      <c r="AK349" s="79"/>
      <c r="AL349" s="68"/>
      <c r="AM349" s="88"/>
      <c r="AN349" s="88">
        <f>TABL123[[#This Row],[ (RESV. STORGE) SER]]/10</f>
        <v>0</v>
      </c>
      <c r="AO349" s="45"/>
      <c r="AP349" s="32">
        <f>TABL123[[#This Row],[(A/S TOT) AJD]]-TABL123[[#This Row],[SER_ IN]]</f>
        <v>0</v>
      </c>
    </row>
    <row r="350" spans="1:42" ht="18.75" x14ac:dyDescent="0.3">
      <c r="A350" s="2">
        <v>46371</v>
      </c>
      <c r="B350" s="41"/>
      <c r="C350" s="41"/>
      <c r="D350" s="41"/>
      <c r="E350" s="41"/>
      <c r="F350" s="41"/>
      <c r="G350" s="39"/>
      <c r="H350" s="41">
        <f t="shared" si="15"/>
        <v>103</v>
      </c>
      <c r="I350" s="39"/>
      <c r="J350" s="39"/>
      <c r="K350" s="28">
        <f>TABL123[[#This Row],[خط (T/B  TOT) SAR]]+TABL123[[#This Row],[خط (S/S  TOT) SAR2]]</f>
        <v>0</v>
      </c>
      <c r="L350" s="41"/>
      <c r="M350" s="42"/>
      <c r="N350" s="42"/>
      <c r="O350" s="39"/>
      <c r="P350" s="9">
        <f>TABL123[[#This Row],[خط (S/S  TOT) SAR2]]-TABL123[[#This Row],[(S/S TOT) AJD]]</f>
        <v>0</v>
      </c>
      <c r="Q350" s="39"/>
      <c r="R350" s="9">
        <f>TABL123[[#This Row],[خط (T/B  TOT) SAR]]-TABL123[[#This Row],[(T/B TOT) AJD]]</f>
        <v>0</v>
      </c>
      <c r="S350" s="9">
        <f>TABL123[[#This Row],[الفرق بين بداية ونهاية خط  T/B]]+TABL123[[#This Row],[الفرق بين بداية ونهاية خط  S/S]]</f>
        <v>0</v>
      </c>
      <c r="T350" s="9">
        <f>TABL123[[#This Row],[(S/S TOT) AJD]]+TABL123[[#This Row],[(T/B TOT) AJD]]</f>
        <v>0</v>
      </c>
      <c r="U350" s="41"/>
      <c r="V350" s="41"/>
      <c r="W350" s="9">
        <f>TABL123[[#This Row],[(A/B TOT) AJD]]+TABL123[[#This Row],[(A/S TOT) AJD]]</f>
        <v>0</v>
      </c>
      <c r="X350" s="9">
        <f>TABL123[[#This Row],[( S/S+T/B) AJD]]-TABL123[[#This Row],[(A/B + A/S) AJD]]</f>
        <v>0</v>
      </c>
      <c r="Y350" s="41"/>
      <c r="Z350" s="43"/>
      <c r="AA350" s="3">
        <f>TABL123[[#This Row],[(RESV. STORGE) AJD]]/10</f>
        <v>0</v>
      </c>
      <c r="AB350" s="45">
        <f t="shared" si="16"/>
        <v>0</v>
      </c>
      <c r="AC350" s="5"/>
      <c r="AD350" s="84">
        <f>TABL123[[#This Row],[( S/S+T/B) AJD]]-(TABL123[[#This Row],[(A/B + A/S) AJD]]+(TABL123[[#This Row],[(STORGE DIFF.) AJD]])+TABL123[[#This Row],[البخر  AJD]]/1000)</f>
        <v>0</v>
      </c>
      <c r="AE350" s="68"/>
      <c r="AF350" s="68"/>
      <c r="AG350" s="68"/>
      <c r="AH350" s="43"/>
      <c r="AI350" s="79"/>
      <c r="AJ350" s="79">
        <f>TABL123[[#This Row],[(A/B TOT) AJD]]-TABL123[[#This Row],[BER_ IN]]</f>
        <v>0</v>
      </c>
      <c r="AK350" s="79"/>
      <c r="AL350" s="68"/>
      <c r="AM350" s="88"/>
      <c r="AN350" s="88">
        <f>TABL123[[#This Row],[ (RESV. STORGE) SER]]/10</f>
        <v>0</v>
      </c>
      <c r="AO350" s="43"/>
      <c r="AP350" s="32">
        <f>TABL123[[#This Row],[(A/S TOT) AJD]]-TABL123[[#This Row],[SER_ IN]]</f>
        <v>0</v>
      </c>
    </row>
    <row r="351" spans="1:42" ht="18.75" x14ac:dyDescent="0.3">
      <c r="A351" s="2">
        <v>46372</v>
      </c>
      <c r="B351" s="44"/>
      <c r="C351" s="44"/>
      <c r="D351" s="44"/>
      <c r="E351" s="44"/>
      <c r="F351" s="44"/>
      <c r="G351" s="40"/>
      <c r="H351" s="44">
        <f t="shared" si="15"/>
        <v>103</v>
      </c>
      <c r="I351" s="40"/>
      <c r="J351" s="44"/>
      <c r="K351" s="28">
        <f>TABL123[[#This Row],[خط (T/B  TOT) SAR]]+TABL123[[#This Row],[خط (S/S  TOT) SAR2]]</f>
        <v>0</v>
      </c>
      <c r="L351" s="45"/>
      <c r="M351" s="46"/>
      <c r="N351" s="46"/>
      <c r="O351" s="40"/>
      <c r="P351" s="9">
        <f>TABL123[[#This Row],[خط (S/S  TOT) SAR2]]-TABL123[[#This Row],[(S/S TOT) AJD]]</f>
        <v>0</v>
      </c>
      <c r="Q351" s="40"/>
      <c r="R351" s="9">
        <f>TABL123[[#This Row],[خط (T/B  TOT) SAR]]-TABL123[[#This Row],[(T/B TOT) AJD]]</f>
        <v>0</v>
      </c>
      <c r="S351" s="9">
        <f>TABL123[[#This Row],[الفرق بين بداية ونهاية خط  T/B]]+TABL123[[#This Row],[الفرق بين بداية ونهاية خط  S/S]]</f>
        <v>0</v>
      </c>
      <c r="T351" s="9">
        <f>TABL123[[#This Row],[(S/S TOT) AJD]]+TABL123[[#This Row],[(T/B TOT) AJD]]</f>
        <v>0</v>
      </c>
      <c r="U351" s="44"/>
      <c r="V351" s="44"/>
      <c r="W351" s="9">
        <f>TABL123[[#This Row],[(A/B TOT) AJD]]+TABL123[[#This Row],[(A/S TOT) AJD]]</f>
        <v>0</v>
      </c>
      <c r="X351" s="9">
        <f>TABL123[[#This Row],[( S/S+T/B) AJD]]-TABL123[[#This Row],[(A/B + A/S) AJD]]</f>
        <v>0</v>
      </c>
      <c r="Y351" s="44"/>
      <c r="Z351" s="45"/>
      <c r="AA351" s="3">
        <f>TABL123[[#This Row],[(RESV. STORGE) AJD]]/10</f>
        <v>0</v>
      </c>
      <c r="AB351" s="45">
        <f t="shared" si="16"/>
        <v>0</v>
      </c>
      <c r="AC351" s="5"/>
      <c r="AD351" s="84">
        <f>TABL123[[#This Row],[( S/S+T/B) AJD]]-(TABL123[[#This Row],[(A/B + A/S) AJD]]+(TABL123[[#This Row],[(STORGE DIFF.) AJD]])+TABL123[[#This Row],[البخر  AJD]]/1000)</f>
        <v>0</v>
      </c>
      <c r="AE351" s="68"/>
      <c r="AF351" s="68"/>
      <c r="AG351" s="68"/>
      <c r="AH351" s="45"/>
      <c r="AI351" s="79"/>
      <c r="AJ351" s="79">
        <f>TABL123[[#This Row],[(A/B TOT) AJD]]-TABL123[[#This Row],[BER_ IN]]</f>
        <v>0</v>
      </c>
      <c r="AK351" s="79"/>
      <c r="AL351" s="68"/>
      <c r="AM351" s="88"/>
      <c r="AN351" s="88">
        <f>TABL123[[#This Row],[ (RESV. STORGE) SER]]/10</f>
        <v>0</v>
      </c>
      <c r="AO351" s="45"/>
      <c r="AP351" s="32">
        <f>TABL123[[#This Row],[(A/S TOT) AJD]]-TABL123[[#This Row],[SER_ IN]]</f>
        <v>0</v>
      </c>
    </row>
    <row r="352" spans="1:42" ht="18.75" x14ac:dyDescent="0.3">
      <c r="A352" s="2">
        <v>46373</v>
      </c>
      <c r="B352" s="41"/>
      <c r="C352" s="41"/>
      <c r="D352" s="41"/>
      <c r="E352" s="41"/>
      <c r="F352" s="41"/>
      <c r="G352" s="39"/>
      <c r="H352" s="41">
        <f t="shared" si="15"/>
        <v>103</v>
      </c>
      <c r="I352" s="39"/>
      <c r="J352" s="39"/>
      <c r="K352" s="28">
        <f>TABL123[[#This Row],[خط (T/B  TOT) SAR]]+TABL123[[#This Row],[خط (S/S  TOT) SAR2]]</f>
        <v>0</v>
      </c>
      <c r="L352" s="41"/>
      <c r="M352" s="42"/>
      <c r="N352" s="42"/>
      <c r="O352" s="39"/>
      <c r="P352" s="9">
        <f>TABL123[[#This Row],[خط (S/S  TOT) SAR2]]-TABL123[[#This Row],[(S/S TOT) AJD]]</f>
        <v>0</v>
      </c>
      <c r="Q352" s="39"/>
      <c r="R352" s="9">
        <f>TABL123[[#This Row],[خط (T/B  TOT) SAR]]-TABL123[[#This Row],[(T/B TOT) AJD]]</f>
        <v>0</v>
      </c>
      <c r="S352" s="9">
        <f>TABL123[[#This Row],[الفرق بين بداية ونهاية خط  T/B]]+TABL123[[#This Row],[الفرق بين بداية ونهاية خط  S/S]]</f>
        <v>0</v>
      </c>
      <c r="T352" s="9">
        <f>TABL123[[#This Row],[(S/S TOT) AJD]]+TABL123[[#This Row],[(T/B TOT) AJD]]</f>
        <v>0</v>
      </c>
      <c r="U352" s="41"/>
      <c r="V352" s="41"/>
      <c r="W352" s="9">
        <f>TABL123[[#This Row],[(A/B TOT) AJD]]+TABL123[[#This Row],[(A/S TOT) AJD]]</f>
        <v>0</v>
      </c>
      <c r="X352" s="9">
        <f>TABL123[[#This Row],[( S/S+T/B) AJD]]-TABL123[[#This Row],[(A/B + A/S) AJD]]</f>
        <v>0</v>
      </c>
      <c r="Y352" s="41"/>
      <c r="Z352" s="43"/>
      <c r="AA352" s="3">
        <f>TABL123[[#This Row],[(RESV. STORGE) AJD]]/10</f>
        <v>0</v>
      </c>
      <c r="AB352" s="45">
        <f t="shared" si="16"/>
        <v>0</v>
      </c>
      <c r="AC352" s="5"/>
      <c r="AD352" s="84">
        <f>TABL123[[#This Row],[( S/S+T/B) AJD]]-(TABL123[[#This Row],[(A/B + A/S) AJD]]+(TABL123[[#This Row],[(STORGE DIFF.) AJD]])+TABL123[[#This Row],[البخر  AJD]]/1000)</f>
        <v>0</v>
      </c>
      <c r="AE352" s="68"/>
      <c r="AF352" s="68"/>
      <c r="AG352" s="68"/>
      <c r="AH352" s="43"/>
      <c r="AI352" s="79"/>
      <c r="AJ352" s="79">
        <f>TABL123[[#This Row],[(A/B TOT) AJD]]-TABL123[[#This Row],[BER_ IN]]</f>
        <v>0</v>
      </c>
      <c r="AK352" s="79"/>
      <c r="AL352" s="68"/>
      <c r="AM352" s="88"/>
      <c r="AN352" s="88">
        <f>TABL123[[#This Row],[ (RESV. STORGE) SER]]/10</f>
        <v>0</v>
      </c>
      <c r="AO352" s="43"/>
      <c r="AP352" s="32">
        <f>TABL123[[#This Row],[(A/S TOT) AJD]]-TABL123[[#This Row],[SER_ IN]]</f>
        <v>0</v>
      </c>
    </row>
    <row r="353" spans="1:42" ht="18.75" x14ac:dyDescent="0.3">
      <c r="A353" s="2">
        <v>46374</v>
      </c>
      <c r="B353" s="44"/>
      <c r="C353" s="44"/>
      <c r="D353" s="44"/>
      <c r="E353" s="44"/>
      <c r="F353" s="44"/>
      <c r="G353" s="40"/>
      <c r="H353" s="44">
        <f t="shared" si="15"/>
        <v>103</v>
      </c>
      <c r="I353" s="40"/>
      <c r="J353" s="44"/>
      <c r="K353" s="28">
        <f>TABL123[[#This Row],[خط (T/B  TOT) SAR]]+TABL123[[#This Row],[خط (S/S  TOT) SAR2]]</f>
        <v>0</v>
      </c>
      <c r="L353" s="45"/>
      <c r="M353" s="46"/>
      <c r="N353" s="46"/>
      <c r="O353" s="40"/>
      <c r="P353" s="9">
        <f>TABL123[[#This Row],[خط (S/S  TOT) SAR2]]-TABL123[[#This Row],[(S/S TOT) AJD]]</f>
        <v>0</v>
      </c>
      <c r="Q353" s="40"/>
      <c r="R353" s="9">
        <f>TABL123[[#This Row],[خط (T/B  TOT) SAR]]-TABL123[[#This Row],[(T/B TOT) AJD]]</f>
        <v>0</v>
      </c>
      <c r="S353" s="9">
        <f>TABL123[[#This Row],[الفرق بين بداية ونهاية خط  T/B]]+TABL123[[#This Row],[الفرق بين بداية ونهاية خط  S/S]]</f>
        <v>0</v>
      </c>
      <c r="T353" s="9">
        <f>TABL123[[#This Row],[(S/S TOT) AJD]]+TABL123[[#This Row],[(T/B TOT) AJD]]</f>
        <v>0</v>
      </c>
      <c r="U353" s="44"/>
      <c r="V353" s="44"/>
      <c r="W353" s="9">
        <f>TABL123[[#This Row],[(A/B TOT) AJD]]+TABL123[[#This Row],[(A/S TOT) AJD]]</f>
        <v>0</v>
      </c>
      <c r="X353" s="9">
        <f>TABL123[[#This Row],[( S/S+T/B) AJD]]-TABL123[[#This Row],[(A/B + A/S) AJD]]</f>
        <v>0</v>
      </c>
      <c r="Y353" s="44"/>
      <c r="Z353" s="45"/>
      <c r="AA353" s="3">
        <f>TABL123[[#This Row],[(RESV. STORGE) AJD]]/10</f>
        <v>0</v>
      </c>
      <c r="AB353" s="45">
        <f t="shared" si="16"/>
        <v>0</v>
      </c>
      <c r="AC353" s="5"/>
      <c r="AD353" s="84">
        <f>TABL123[[#This Row],[( S/S+T/B) AJD]]-(TABL123[[#This Row],[(A/B + A/S) AJD]]+(TABL123[[#This Row],[(STORGE DIFF.) AJD]])+TABL123[[#This Row],[البخر  AJD]]/1000)</f>
        <v>0</v>
      </c>
      <c r="AE353" s="68"/>
      <c r="AF353" s="68"/>
      <c r="AG353" s="68"/>
      <c r="AH353" s="45"/>
      <c r="AI353" s="79"/>
      <c r="AJ353" s="79">
        <f>TABL123[[#This Row],[(A/B TOT) AJD]]-TABL123[[#This Row],[BER_ IN]]</f>
        <v>0</v>
      </c>
      <c r="AK353" s="79"/>
      <c r="AL353" s="68"/>
      <c r="AM353" s="88"/>
      <c r="AN353" s="88">
        <f>TABL123[[#This Row],[ (RESV. STORGE) SER]]/10</f>
        <v>0</v>
      </c>
      <c r="AO353" s="45"/>
      <c r="AP353" s="32">
        <f>TABL123[[#This Row],[(A/S TOT) AJD]]-TABL123[[#This Row],[SER_ IN]]</f>
        <v>0</v>
      </c>
    </row>
    <row r="354" spans="1:42" ht="18.75" x14ac:dyDescent="0.3">
      <c r="A354" s="2">
        <v>46375</v>
      </c>
      <c r="B354" s="41"/>
      <c r="C354" s="41"/>
      <c r="D354" s="41"/>
      <c r="E354" s="41"/>
      <c r="F354" s="41"/>
      <c r="G354" s="39"/>
      <c r="H354" s="41">
        <f t="shared" si="15"/>
        <v>103</v>
      </c>
      <c r="I354" s="39"/>
      <c r="J354" s="39"/>
      <c r="K354" s="28">
        <f>TABL123[[#This Row],[خط (T/B  TOT) SAR]]+TABL123[[#This Row],[خط (S/S  TOT) SAR2]]</f>
        <v>0</v>
      </c>
      <c r="L354" s="41"/>
      <c r="M354" s="42"/>
      <c r="N354" s="42"/>
      <c r="O354" s="39"/>
      <c r="P354" s="9">
        <f>TABL123[[#This Row],[خط (S/S  TOT) SAR2]]-TABL123[[#This Row],[(S/S TOT) AJD]]</f>
        <v>0</v>
      </c>
      <c r="Q354" s="39"/>
      <c r="R354" s="9">
        <f>TABL123[[#This Row],[خط (T/B  TOT) SAR]]-TABL123[[#This Row],[(T/B TOT) AJD]]</f>
        <v>0</v>
      </c>
      <c r="S354" s="9">
        <f>TABL123[[#This Row],[الفرق بين بداية ونهاية خط  T/B]]+TABL123[[#This Row],[الفرق بين بداية ونهاية خط  S/S]]</f>
        <v>0</v>
      </c>
      <c r="T354" s="9">
        <f>TABL123[[#This Row],[(S/S TOT) AJD]]+TABL123[[#This Row],[(T/B TOT) AJD]]</f>
        <v>0</v>
      </c>
      <c r="U354" s="41"/>
      <c r="V354" s="41"/>
      <c r="W354" s="9">
        <f>TABL123[[#This Row],[(A/B TOT) AJD]]+TABL123[[#This Row],[(A/S TOT) AJD]]</f>
        <v>0</v>
      </c>
      <c r="X354" s="9">
        <f>TABL123[[#This Row],[( S/S+T/B) AJD]]-TABL123[[#This Row],[(A/B + A/S) AJD]]</f>
        <v>0</v>
      </c>
      <c r="Y354" s="41"/>
      <c r="Z354" s="43"/>
      <c r="AA354" s="3">
        <f>TABL123[[#This Row],[(RESV. STORGE) AJD]]/10</f>
        <v>0</v>
      </c>
      <c r="AB354" s="45">
        <f t="shared" si="16"/>
        <v>0</v>
      </c>
      <c r="AC354" s="5"/>
      <c r="AD354" s="84">
        <f>TABL123[[#This Row],[( S/S+T/B) AJD]]-(TABL123[[#This Row],[(A/B + A/S) AJD]]+(TABL123[[#This Row],[(STORGE DIFF.) AJD]])+TABL123[[#This Row],[البخر  AJD]]/1000)</f>
        <v>0</v>
      </c>
      <c r="AE354" s="68"/>
      <c r="AF354" s="68"/>
      <c r="AG354" s="68"/>
      <c r="AH354" s="43"/>
      <c r="AI354" s="79"/>
      <c r="AJ354" s="79">
        <f>TABL123[[#This Row],[(A/B TOT) AJD]]-TABL123[[#This Row],[BER_ IN]]</f>
        <v>0</v>
      </c>
      <c r="AK354" s="79"/>
      <c r="AL354" s="68"/>
      <c r="AM354" s="88"/>
      <c r="AN354" s="88">
        <f>TABL123[[#This Row],[ (RESV. STORGE) SER]]/10</f>
        <v>0</v>
      </c>
      <c r="AO354" s="43"/>
      <c r="AP354" s="32">
        <f>TABL123[[#This Row],[(A/S TOT) AJD]]-TABL123[[#This Row],[SER_ IN]]</f>
        <v>0</v>
      </c>
    </row>
    <row r="355" spans="1:42" ht="18.75" x14ac:dyDescent="0.3">
      <c r="A355" s="2">
        <v>46376</v>
      </c>
      <c r="B355" s="44"/>
      <c r="C355" s="44"/>
      <c r="D355" s="44"/>
      <c r="E355" s="44"/>
      <c r="F355" s="44"/>
      <c r="G355" s="40"/>
      <c r="H355" s="44">
        <f t="shared" si="15"/>
        <v>103</v>
      </c>
      <c r="I355" s="40"/>
      <c r="J355" s="44"/>
      <c r="K355" s="28">
        <f>TABL123[[#This Row],[خط (T/B  TOT) SAR]]+TABL123[[#This Row],[خط (S/S  TOT) SAR2]]</f>
        <v>0</v>
      </c>
      <c r="L355" s="45"/>
      <c r="M355" s="46"/>
      <c r="N355" s="46"/>
      <c r="O355" s="40"/>
      <c r="P355" s="9">
        <f>TABL123[[#This Row],[خط (S/S  TOT) SAR2]]-TABL123[[#This Row],[(S/S TOT) AJD]]</f>
        <v>0</v>
      </c>
      <c r="Q355" s="40"/>
      <c r="R355" s="9">
        <f>TABL123[[#This Row],[خط (T/B  TOT) SAR]]-TABL123[[#This Row],[(T/B TOT) AJD]]</f>
        <v>0</v>
      </c>
      <c r="S355" s="9">
        <f>TABL123[[#This Row],[الفرق بين بداية ونهاية خط  T/B]]+TABL123[[#This Row],[الفرق بين بداية ونهاية خط  S/S]]</f>
        <v>0</v>
      </c>
      <c r="T355" s="9">
        <f>TABL123[[#This Row],[(S/S TOT) AJD]]+TABL123[[#This Row],[(T/B TOT) AJD]]</f>
        <v>0</v>
      </c>
      <c r="U355" s="44"/>
      <c r="V355" s="44"/>
      <c r="W355" s="9">
        <f>TABL123[[#This Row],[(A/B TOT) AJD]]+TABL123[[#This Row],[(A/S TOT) AJD]]</f>
        <v>0</v>
      </c>
      <c r="X355" s="9">
        <f>TABL123[[#This Row],[( S/S+T/B) AJD]]-TABL123[[#This Row],[(A/B + A/S) AJD]]</f>
        <v>0</v>
      </c>
      <c r="Y355" s="44"/>
      <c r="Z355" s="45"/>
      <c r="AA355" s="3">
        <f>TABL123[[#This Row],[(RESV. STORGE) AJD]]/10</f>
        <v>0</v>
      </c>
      <c r="AB355" s="45">
        <f t="shared" si="16"/>
        <v>0</v>
      </c>
      <c r="AC355" s="5"/>
      <c r="AD355" s="84">
        <f>TABL123[[#This Row],[( S/S+T/B) AJD]]-(TABL123[[#This Row],[(A/B + A/S) AJD]]+(TABL123[[#This Row],[(STORGE DIFF.) AJD]])+TABL123[[#This Row],[البخر  AJD]]/1000)</f>
        <v>0</v>
      </c>
      <c r="AE355" s="68"/>
      <c r="AF355" s="68"/>
      <c r="AG355" s="68"/>
      <c r="AH355" s="45"/>
      <c r="AI355" s="79"/>
      <c r="AJ355" s="79">
        <f>TABL123[[#This Row],[(A/B TOT) AJD]]-TABL123[[#This Row],[BER_ IN]]</f>
        <v>0</v>
      </c>
      <c r="AK355" s="79"/>
      <c r="AL355" s="68"/>
      <c r="AM355" s="88"/>
      <c r="AN355" s="88">
        <f>TABL123[[#This Row],[ (RESV. STORGE) SER]]/10</f>
        <v>0</v>
      </c>
      <c r="AO355" s="45"/>
      <c r="AP355" s="32">
        <f>TABL123[[#This Row],[(A/S TOT) AJD]]-TABL123[[#This Row],[SER_ IN]]</f>
        <v>0</v>
      </c>
    </row>
    <row r="356" spans="1:42" ht="18.75" x14ac:dyDescent="0.3">
      <c r="A356" s="2">
        <v>46377</v>
      </c>
      <c r="B356" s="41"/>
      <c r="C356" s="41"/>
      <c r="D356" s="41"/>
      <c r="E356" s="41"/>
      <c r="F356" s="41"/>
      <c r="G356" s="39"/>
      <c r="H356" s="41">
        <f t="shared" si="15"/>
        <v>103</v>
      </c>
      <c r="I356" s="39"/>
      <c r="J356" s="39"/>
      <c r="K356" s="28">
        <f>TABL123[[#This Row],[خط (T/B  TOT) SAR]]+TABL123[[#This Row],[خط (S/S  TOT) SAR2]]</f>
        <v>0</v>
      </c>
      <c r="L356" s="41"/>
      <c r="M356" s="42"/>
      <c r="N356" s="42"/>
      <c r="O356" s="39"/>
      <c r="P356" s="9">
        <f>TABL123[[#This Row],[خط (S/S  TOT) SAR2]]-TABL123[[#This Row],[(S/S TOT) AJD]]</f>
        <v>0</v>
      </c>
      <c r="Q356" s="39"/>
      <c r="R356" s="9">
        <f>TABL123[[#This Row],[خط (T/B  TOT) SAR]]-TABL123[[#This Row],[(T/B TOT) AJD]]</f>
        <v>0</v>
      </c>
      <c r="S356" s="9">
        <f>TABL123[[#This Row],[الفرق بين بداية ونهاية خط  T/B]]+TABL123[[#This Row],[الفرق بين بداية ونهاية خط  S/S]]</f>
        <v>0</v>
      </c>
      <c r="T356" s="9">
        <f>TABL123[[#This Row],[(S/S TOT) AJD]]+TABL123[[#This Row],[(T/B TOT) AJD]]</f>
        <v>0</v>
      </c>
      <c r="U356" s="41"/>
      <c r="V356" s="41"/>
      <c r="W356" s="9">
        <f>TABL123[[#This Row],[(A/B TOT) AJD]]+TABL123[[#This Row],[(A/S TOT) AJD]]</f>
        <v>0</v>
      </c>
      <c r="X356" s="9">
        <f>TABL123[[#This Row],[( S/S+T/B) AJD]]-TABL123[[#This Row],[(A/B + A/S) AJD]]</f>
        <v>0</v>
      </c>
      <c r="Y356" s="41"/>
      <c r="Z356" s="43"/>
      <c r="AA356" s="3">
        <f>TABL123[[#This Row],[(RESV. STORGE) AJD]]/10</f>
        <v>0</v>
      </c>
      <c r="AB356" s="45">
        <f t="shared" si="16"/>
        <v>0</v>
      </c>
      <c r="AC356" s="5"/>
      <c r="AD356" s="84">
        <f>TABL123[[#This Row],[( S/S+T/B) AJD]]-(TABL123[[#This Row],[(A/B + A/S) AJD]]+(TABL123[[#This Row],[(STORGE DIFF.) AJD]])+TABL123[[#This Row],[البخر  AJD]]/1000)</f>
        <v>0</v>
      </c>
      <c r="AE356" s="68"/>
      <c r="AF356" s="68"/>
      <c r="AG356" s="68"/>
      <c r="AH356" s="43"/>
      <c r="AI356" s="79"/>
      <c r="AJ356" s="79">
        <f>TABL123[[#This Row],[(A/B TOT) AJD]]-TABL123[[#This Row],[BER_ IN]]</f>
        <v>0</v>
      </c>
      <c r="AK356" s="79"/>
      <c r="AL356" s="68"/>
      <c r="AM356" s="88"/>
      <c r="AN356" s="88">
        <f>TABL123[[#This Row],[ (RESV. STORGE) SER]]/10</f>
        <v>0</v>
      </c>
      <c r="AO356" s="43"/>
      <c r="AP356" s="32">
        <f>TABL123[[#This Row],[(A/S TOT) AJD]]-TABL123[[#This Row],[SER_ IN]]</f>
        <v>0</v>
      </c>
    </row>
    <row r="357" spans="1:42" ht="18.75" x14ac:dyDescent="0.3">
      <c r="A357" s="2">
        <v>46378</v>
      </c>
      <c r="B357" s="44"/>
      <c r="C357" s="44"/>
      <c r="D357" s="44"/>
      <c r="E357" s="44"/>
      <c r="F357" s="44"/>
      <c r="G357" s="40"/>
      <c r="H357" s="44">
        <f t="shared" si="15"/>
        <v>103</v>
      </c>
      <c r="I357" s="40"/>
      <c r="J357" s="44"/>
      <c r="K357" s="28">
        <f>TABL123[[#This Row],[خط (T/B  TOT) SAR]]+TABL123[[#This Row],[خط (S/S  TOT) SAR2]]</f>
        <v>0</v>
      </c>
      <c r="L357" s="45"/>
      <c r="M357" s="46"/>
      <c r="N357" s="46"/>
      <c r="O357" s="40"/>
      <c r="P357" s="9">
        <f>TABL123[[#This Row],[خط (S/S  TOT) SAR2]]-TABL123[[#This Row],[(S/S TOT) AJD]]</f>
        <v>0</v>
      </c>
      <c r="Q357" s="40"/>
      <c r="R357" s="9">
        <f>TABL123[[#This Row],[خط (T/B  TOT) SAR]]-TABL123[[#This Row],[(T/B TOT) AJD]]</f>
        <v>0</v>
      </c>
      <c r="S357" s="9">
        <f>TABL123[[#This Row],[الفرق بين بداية ونهاية خط  T/B]]+TABL123[[#This Row],[الفرق بين بداية ونهاية خط  S/S]]</f>
        <v>0</v>
      </c>
      <c r="T357" s="9">
        <f>TABL123[[#This Row],[(S/S TOT) AJD]]+TABL123[[#This Row],[(T/B TOT) AJD]]</f>
        <v>0</v>
      </c>
      <c r="U357" s="44"/>
      <c r="V357" s="44"/>
      <c r="W357" s="9">
        <f>TABL123[[#This Row],[(A/B TOT) AJD]]+TABL123[[#This Row],[(A/S TOT) AJD]]</f>
        <v>0</v>
      </c>
      <c r="X357" s="9">
        <f>TABL123[[#This Row],[( S/S+T/B) AJD]]-TABL123[[#This Row],[(A/B + A/S) AJD]]</f>
        <v>0</v>
      </c>
      <c r="Y357" s="44"/>
      <c r="Z357" s="45"/>
      <c r="AA357" s="3">
        <f>TABL123[[#This Row],[(RESV. STORGE) AJD]]/10</f>
        <v>0</v>
      </c>
      <c r="AB357" s="45">
        <f t="shared" si="16"/>
        <v>0</v>
      </c>
      <c r="AC357" s="5"/>
      <c r="AD357" s="84">
        <f>TABL123[[#This Row],[( S/S+T/B) AJD]]-(TABL123[[#This Row],[(A/B + A/S) AJD]]+(TABL123[[#This Row],[(STORGE DIFF.) AJD]])+TABL123[[#This Row],[البخر  AJD]]/1000)</f>
        <v>0</v>
      </c>
      <c r="AE357" s="68"/>
      <c r="AF357" s="68"/>
      <c r="AG357" s="68"/>
      <c r="AH357" s="45"/>
      <c r="AI357" s="79"/>
      <c r="AJ357" s="79">
        <f>TABL123[[#This Row],[(A/B TOT) AJD]]-TABL123[[#This Row],[BER_ IN]]</f>
        <v>0</v>
      </c>
      <c r="AK357" s="79"/>
      <c r="AL357" s="68"/>
      <c r="AM357" s="88"/>
      <c r="AN357" s="88">
        <f>TABL123[[#This Row],[ (RESV. STORGE) SER]]/10</f>
        <v>0</v>
      </c>
      <c r="AO357" s="45"/>
      <c r="AP357" s="32">
        <f>TABL123[[#This Row],[(A/S TOT) AJD]]-TABL123[[#This Row],[SER_ IN]]</f>
        <v>0</v>
      </c>
    </row>
    <row r="358" spans="1:42" ht="18.75" x14ac:dyDescent="0.3">
      <c r="A358" s="2">
        <v>46379</v>
      </c>
      <c r="B358" s="41"/>
      <c r="C358" s="41"/>
      <c r="D358" s="41"/>
      <c r="E358" s="41"/>
      <c r="F358" s="41"/>
      <c r="G358" s="39"/>
      <c r="H358" s="41">
        <f t="shared" si="15"/>
        <v>103</v>
      </c>
      <c r="I358" s="39"/>
      <c r="J358" s="39"/>
      <c r="K358" s="28">
        <f>TABL123[[#This Row],[خط (T/B  TOT) SAR]]+TABL123[[#This Row],[خط (S/S  TOT) SAR2]]</f>
        <v>0</v>
      </c>
      <c r="L358" s="41"/>
      <c r="M358" s="42"/>
      <c r="N358" s="42"/>
      <c r="O358" s="39"/>
      <c r="P358" s="9">
        <f>TABL123[[#This Row],[خط (S/S  TOT) SAR2]]-TABL123[[#This Row],[(S/S TOT) AJD]]</f>
        <v>0</v>
      </c>
      <c r="Q358" s="39"/>
      <c r="R358" s="9">
        <f>TABL123[[#This Row],[خط (T/B  TOT) SAR]]-TABL123[[#This Row],[(T/B TOT) AJD]]</f>
        <v>0</v>
      </c>
      <c r="S358" s="9">
        <f>TABL123[[#This Row],[الفرق بين بداية ونهاية خط  T/B]]+TABL123[[#This Row],[الفرق بين بداية ونهاية خط  S/S]]</f>
        <v>0</v>
      </c>
      <c r="T358" s="9">
        <f>TABL123[[#This Row],[(S/S TOT) AJD]]+TABL123[[#This Row],[(T/B TOT) AJD]]</f>
        <v>0</v>
      </c>
      <c r="U358" s="41"/>
      <c r="V358" s="41"/>
      <c r="W358" s="9">
        <f>TABL123[[#This Row],[(A/B TOT) AJD]]+TABL123[[#This Row],[(A/S TOT) AJD]]</f>
        <v>0</v>
      </c>
      <c r="X358" s="9">
        <f>TABL123[[#This Row],[( S/S+T/B) AJD]]-TABL123[[#This Row],[(A/B + A/S) AJD]]</f>
        <v>0</v>
      </c>
      <c r="Y358" s="41"/>
      <c r="Z358" s="43"/>
      <c r="AA358" s="3">
        <f>TABL123[[#This Row],[(RESV. STORGE) AJD]]/10</f>
        <v>0</v>
      </c>
      <c r="AB358" s="45">
        <f t="shared" si="16"/>
        <v>0</v>
      </c>
      <c r="AC358" s="5"/>
      <c r="AD358" s="84">
        <f>TABL123[[#This Row],[( S/S+T/B) AJD]]-(TABL123[[#This Row],[(A/B + A/S) AJD]]+(TABL123[[#This Row],[(STORGE DIFF.) AJD]])+TABL123[[#This Row],[البخر  AJD]]/1000)</f>
        <v>0</v>
      </c>
      <c r="AE358" s="68"/>
      <c r="AF358" s="68"/>
      <c r="AG358" s="68"/>
      <c r="AH358" s="43"/>
      <c r="AI358" s="79"/>
      <c r="AJ358" s="79">
        <f>TABL123[[#This Row],[(A/B TOT) AJD]]-TABL123[[#This Row],[BER_ IN]]</f>
        <v>0</v>
      </c>
      <c r="AK358" s="79"/>
      <c r="AL358" s="68"/>
      <c r="AM358" s="88"/>
      <c r="AN358" s="88">
        <f>TABL123[[#This Row],[ (RESV. STORGE) SER]]/10</f>
        <v>0</v>
      </c>
      <c r="AO358" s="43"/>
      <c r="AP358" s="32">
        <f>TABL123[[#This Row],[(A/S TOT) AJD]]-TABL123[[#This Row],[SER_ IN]]</f>
        <v>0</v>
      </c>
    </row>
    <row r="359" spans="1:42" ht="18.75" x14ac:dyDescent="0.3">
      <c r="A359" s="2">
        <v>46380</v>
      </c>
      <c r="B359" s="44"/>
      <c r="C359" s="44"/>
      <c r="D359" s="44"/>
      <c r="E359" s="44"/>
      <c r="F359" s="44"/>
      <c r="G359" s="40"/>
      <c r="H359" s="44">
        <f t="shared" si="15"/>
        <v>103</v>
      </c>
      <c r="I359" s="40"/>
      <c r="J359" s="44"/>
      <c r="K359" s="28">
        <f>TABL123[[#This Row],[خط (T/B  TOT) SAR]]+TABL123[[#This Row],[خط (S/S  TOT) SAR2]]</f>
        <v>0</v>
      </c>
      <c r="L359" s="45"/>
      <c r="M359" s="46"/>
      <c r="N359" s="46"/>
      <c r="O359" s="40"/>
      <c r="P359" s="9">
        <f>TABL123[[#This Row],[خط (S/S  TOT) SAR2]]-TABL123[[#This Row],[(S/S TOT) AJD]]</f>
        <v>0</v>
      </c>
      <c r="Q359" s="40"/>
      <c r="R359" s="9">
        <f>TABL123[[#This Row],[خط (T/B  TOT) SAR]]-TABL123[[#This Row],[(T/B TOT) AJD]]</f>
        <v>0</v>
      </c>
      <c r="S359" s="9">
        <f>TABL123[[#This Row],[الفرق بين بداية ونهاية خط  T/B]]+TABL123[[#This Row],[الفرق بين بداية ونهاية خط  S/S]]</f>
        <v>0</v>
      </c>
      <c r="T359" s="9">
        <f>TABL123[[#This Row],[(S/S TOT) AJD]]+TABL123[[#This Row],[(T/B TOT) AJD]]</f>
        <v>0</v>
      </c>
      <c r="U359" s="44"/>
      <c r="V359" s="44"/>
      <c r="W359" s="9">
        <f>TABL123[[#This Row],[(A/B TOT) AJD]]+TABL123[[#This Row],[(A/S TOT) AJD]]</f>
        <v>0</v>
      </c>
      <c r="X359" s="9">
        <f>TABL123[[#This Row],[( S/S+T/B) AJD]]-TABL123[[#This Row],[(A/B + A/S) AJD]]</f>
        <v>0</v>
      </c>
      <c r="Y359" s="44"/>
      <c r="Z359" s="45"/>
      <c r="AA359" s="3">
        <f>TABL123[[#This Row],[(RESV. STORGE) AJD]]/10</f>
        <v>0</v>
      </c>
      <c r="AB359" s="45">
        <f t="shared" si="16"/>
        <v>0</v>
      </c>
      <c r="AC359" s="5"/>
      <c r="AD359" s="84">
        <f>TABL123[[#This Row],[( S/S+T/B) AJD]]-(TABL123[[#This Row],[(A/B + A/S) AJD]]+(TABL123[[#This Row],[(STORGE DIFF.) AJD]])+TABL123[[#This Row],[البخر  AJD]]/1000)</f>
        <v>0</v>
      </c>
      <c r="AE359" s="68"/>
      <c r="AF359" s="68"/>
      <c r="AG359" s="68"/>
      <c r="AH359" s="45"/>
      <c r="AI359" s="79"/>
      <c r="AJ359" s="79">
        <f>TABL123[[#This Row],[(A/B TOT) AJD]]-TABL123[[#This Row],[BER_ IN]]</f>
        <v>0</v>
      </c>
      <c r="AK359" s="79"/>
      <c r="AL359" s="68"/>
      <c r="AM359" s="88"/>
      <c r="AN359" s="88">
        <f>TABL123[[#This Row],[ (RESV. STORGE) SER]]/10</f>
        <v>0</v>
      </c>
      <c r="AO359" s="45"/>
      <c r="AP359" s="32">
        <f>TABL123[[#This Row],[(A/S TOT) AJD]]-TABL123[[#This Row],[SER_ IN]]</f>
        <v>0</v>
      </c>
    </row>
    <row r="360" spans="1:42" ht="18.75" x14ac:dyDescent="0.3">
      <c r="A360" s="2">
        <v>46381</v>
      </c>
      <c r="B360" s="41"/>
      <c r="C360" s="41"/>
      <c r="D360" s="41"/>
      <c r="E360" s="41"/>
      <c r="F360" s="41"/>
      <c r="G360" s="39"/>
      <c r="H360" s="41">
        <f t="shared" si="15"/>
        <v>103</v>
      </c>
      <c r="I360" s="39"/>
      <c r="J360" s="39"/>
      <c r="K360" s="28">
        <f>TABL123[[#This Row],[خط (T/B  TOT) SAR]]+TABL123[[#This Row],[خط (S/S  TOT) SAR2]]</f>
        <v>0</v>
      </c>
      <c r="L360" s="41"/>
      <c r="M360" s="42"/>
      <c r="N360" s="42"/>
      <c r="O360" s="39"/>
      <c r="P360" s="9">
        <f>TABL123[[#This Row],[خط (S/S  TOT) SAR2]]-TABL123[[#This Row],[(S/S TOT) AJD]]</f>
        <v>0</v>
      </c>
      <c r="Q360" s="39"/>
      <c r="R360" s="9">
        <f>TABL123[[#This Row],[خط (T/B  TOT) SAR]]-TABL123[[#This Row],[(T/B TOT) AJD]]</f>
        <v>0</v>
      </c>
      <c r="S360" s="9">
        <f>TABL123[[#This Row],[الفرق بين بداية ونهاية خط  T/B]]+TABL123[[#This Row],[الفرق بين بداية ونهاية خط  S/S]]</f>
        <v>0</v>
      </c>
      <c r="T360" s="9">
        <f>TABL123[[#This Row],[(S/S TOT) AJD]]+TABL123[[#This Row],[(T/B TOT) AJD]]</f>
        <v>0</v>
      </c>
      <c r="U360" s="41"/>
      <c r="V360" s="41"/>
      <c r="W360" s="9">
        <f>TABL123[[#This Row],[(A/B TOT) AJD]]+TABL123[[#This Row],[(A/S TOT) AJD]]</f>
        <v>0</v>
      </c>
      <c r="X360" s="9">
        <f>TABL123[[#This Row],[( S/S+T/B) AJD]]-TABL123[[#This Row],[(A/B + A/S) AJD]]</f>
        <v>0</v>
      </c>
      <c r="Y360" s="41"/>
      <c r="Z360" s="43"/>
      <c r="AA360" s="3">
        <f>TABL123[[#This Row],[(RESV. STORGE) AJD]]/10</f>
        <v>0</v>
      </c>
      <c r="AB360" s="45">
        <f t="shared" si="16"/>
        <v>0</v>
      </c>
      <c r="AC360" s="5"/>
      <c r="AD360" s="84">
        <f>TABL123[[#This Row],[( S/S+T/B) AJD]]-(TABL123[[#This Row],[(A/B + A/S) AJD]]+(TABL123[[#This Row],[(STORGE DIFF.) AJD]])+TABL123[[#This Row],[البخر  AJD]]/1000)</f>
        <v>0</v>
      </c>
      <c r="AE360" s="68"/>
      <c r="AF360" s="68"/>
      <c r="AG360" s="68"/>
      <c r="AH360" s="43"/>
      <c r="AI360" s="79"/>
      <c r="AJ360" s="79">
        <f>TABL123[[#This Row],[(A/B TOT) AJD]]-TABL123[[#This Row],[BER_ IN]]</f>
        <v>0</v>
      </c>
      <c r="AK360" s="79"/>
      <c r="AL360" s="68"/>
      <c r="AM360" s="88"/>
      <c r="AN360" s="88">
        <f>TABL123[[#This Row],[ (RESV. STORGE) SER]]/10</f>
        <v>0</v>
      </c>
      <c r="AO360" s="43"/>
      <c r="AP360" s="32">
        <f>TABL123[[#This Row],[(A/S TOT) AJD]]-TABL123[[#This Row],[SER_ IN]]</f>
        <v>0</v>
      </c>
    </row>
    <row r="361" spans="1:42" ht="18.75" x14ac:dyDescent="0.3">
      <c r="A361" s="2">
        <v>46382</v>
      </c>
      <c r="B361" s="44"/>
      <c r="C361" s="44"/>
      <c r="D361" s="44"/>
      <c r="E361" s="44"/>
      <c r="F361" s="44"/>
      <c r="G361" s="40"/>
      <c r="H361" s="44">
        <f t="shared" si="15"/>
        <v>103</v>
      </c>
      <c r="I361" s="40"/>
      <c r="J361" s="44"/>
      <c r="K361" s="28">
        <f>TABL123[[#This Row],[خط (T/B  TOT) SAR]]+TABL123[[#This Row],[خط (S/S  TOT) SAR2]]</f>
        <v>0</v>
      </c>
      <c r="L361" s="45"/>
      <c r="M361" s="46"/>
      <c r="N361" s="46"/>
      <c r="O361" s="40"/>
      <c r="P361" s="9">
        <f>TABL123[[#This Row],[خط (S/S  TOT) SAR2]]-TABL123[[#This Row],[(S/S TOT) AJD]]</f>
        <v>0</v>
      </c>
      <c r="Q361" s="40"/>
      <c r="R361" s="9">
        <f>TABL123[[#This Row],[خط (T/B  TOT) SAR]]-TABL123[[#This Row],[(T/B TOT) AJD]]</f>
        <v>0</v>
      </c>
      <c r="S361" s="9">
        <f>TABL123[[#This Row],[الفرق بين بداية ونهاية خط  T/B]]+TABL123[[#This Row],[الفرق بين بداية ونهاية خط  S/S]]</f>
        <v>0</v>
      </c>
      <c r="T361" s="9">
        <f>TABL123[[#This Row],[(S/S TOT) AJD]]+TABL123[[#This Row],[(T/B TOT) AJD]]</f>
        <v>0</v>
      </c>
      <c r="U361" s="44"/>
      <c r="V361" s="44"/>
      <c r="W361" s="9">
        <f>TABL123[[#This Row],[(A/B TOT) AJD]]+TABL123[[#This Row],[(A/S TOT) AJD]]</f>
        <v>0</v>
      </c>
      <c r="X361" s="9">
        <f>TABL123[[#This Row],[( S/S+T/B) AJD]]-TABL123[[#This Row],[(A/B + A/S) AJD]]</f>
        <v>0</v>
      </c>
      <c r="Y361" s="44"/>
      <c r="Z361" s="45"/>
      <c r="AA361" s="3">
        <f>TABL123[[#This Row],[(RESV. STORGE) AJD]]/10</f>
        <v>0</v>
      </c>
      <c r="AB361" s="45">
        <f t="shared" si="16"/>
        <v>0</v>
      </c>
      <c r="AC361" s="5"/>
      <c r="AD361" s="84">
        <f>TABL123[[#This Row],[( S/S+T/B) AJD]]-(TABL123[[#This Row],[(A/B + A/S) AJD]]+(TABL123[[#This Row],[(STORGE DIFF.) AJD]])+TABL123[[#This Row],[البخر  AJD]]/1000)</f>
        <v>0</v>
      </c>
      <c r="AE361" s="68"/>
      <c r="AF361" s="68"/>
      <c r="AG361" s="68"/>
      <c r="AH361" s="45"/>
      <c r="AI361" s="79"/>
      <c r="AJ361" s="79">
        <f>TABL123[[#This Row],[(A/B TOT) AJD]]-TABL123[[#This Row],[BER_ IN]]</f>
        <v>0</v>
      </c>
      <c r="AK361" s="79"/>
      <c r="AL361" s="68"/>
      <c r="AM361" s="88"/>
      <c r="AN361" s="88">
        <f>TABL123[[#This Row],[ (RESV. STORGE) SER]]/10</f>
        <v>0</v>
      </c>
      <c r="AO361" s="45"/>
      <c r="AP361" s="32">
        <f>TABL123[[#This Row],[(A/S TOT) AJD]]-TABL123[[#This Row],[SER_ IN]]</f>
        <v>0</v>
      </c>
    </row>
    <row r="362" spans="1:42" ht="18.75" x14ac:dyDescent="0.3">
      <c r="A362" s="2">
        <v>46383</v>
      </c>
      <c r="B362" s="41"/>
      <c r="C362" s="41"/>
      <c r="D362" s="41"/>
      <c r="E362" s="41"/>
      <c r="F362" s="41"/>
      <c r="G362" s="39"/>
      <c r="H362" s="41">
        <f t="shared" si="15"/>
        <v>103</v>
      </c>
      <c r="I362" s="39"/>
      <c r="J362" s="39"/>
      <c r="K362" s="28">
        <f>TABL123[[#This Row],[خط (T/B  TOT) SAR]]+TABL123[[#This Row],[خط (S/S  TOT) SAR2]]</f>
        <v>0</v>
      </c>
      <c r="L362" s="41"/>
      <c r="M362" s="42"/>
      <c r="N362" s="42"/>
      <c r="O362" s="39"/>
      <c r="P362" s="9">
        <f>TABL123[[#This Row],[خط (S/S  TOT) SAR2]]-TABL123[[#This Row],[(S/S TOT) AJD]]</f>
        <v>0</v>
      </c>
      <c r="Q362" s="39"/>
      <c r="R362" s="9">
        <f>TABL123[[#This Row],[خط (T/B  TOT) SAR]]-TABL123[[#This Row],[(T/B TOT) AJD]]</f>
        <v>0</v>
      </c>
      <c r="S362" s="9">
        <f>TABL123[[#This Row],[الفرق بين بداية ونهاية خط  T/B]]+TABL123[[#This Row],[الفرق بين بداية ونهاية خط  S/S]]</f>
        <v>0</v>
      </c>
      <c r="T362" s="9">
        <f>TABL123[[#This Row],[(S/S TOT) AJD]]+TABL123[[#This Row],[(T/B TOT) AJD]]</f>
        <v>0</v>
      </c>
      <c r="U362" s="41"/>
      <c r="V362" s="41"/>
      <c r="W362" s="9">
        <f>TABL123[[#This Row],[(A/B TOT) AJD]]+TABL123[[#This Row],[(A/S TOT) AJD]]</f>
        <v>0</v>
      </c>
      <c r="X362" s="9">
        <f>TABL123[[#This Row],[( S/S+T/B) AJD]]-TABL123[[#This Row],[(A/B + A/S) AJD]]</f>
        <v>0</v>
      </c>
      <c r="Y362" s="41"/>
      <c r="Z362" s="43"/>
      <c r="AA362" s="3">
        <f>TABL123[[#This Row],[(RESV. STORGE) AJD]]/10</f>
        <v>0</v>
      </c>
      <c r="AB362" s="45">
        <f t="shared" si="16"/>
        <v>0</v>
      </c>
      <c r="AC362" s="5"/>
      <c r="AD362" s="84">
        <f>TABL123[[#This Row],[( S/S+T/B) AJD]]-(TABL123[[#This Row],[(A/B + A/S) AJD]]+(TABL123[[#This Row],[(STORGE DIFF.) AJD]])+TABL123[[#This Row],[البخر  AJD]]/1000)</f>
        <v>0</v>
      </c>
      <c r="AE362" s="68"/>
      <c r="AF362" s="68"/>
      <c r="AG362" s="68"/>
      <c r="AH362" s="43"/>
      <c r="AI362" s="79"/>
      <c r="AJ362" s="79">
        <f>TABL123[[#This Row],[(A/B TOT) AJD]]-TABL123[[#This Row],[BER_ IN]]</f>
        <v>0</v>
      </c>
      <c r="AK362" s="79"/>
      <c r="AL362" s="68"/>
      <c r="AM362" s="88"/>
      <c r="AN362" s="88">
        <f>TABL123[[#This Row],[ (RESV. STORGE) SER]]/10</f>
        <v>0</v>
      </c>
      <c r="AO362" s="43"/>
      <c r="AP362" s="32">
        <f>TABL123[[#This Row],[(A/S TOT) AJD]]-TABL123[[#This Row],[SER_ IN]]</f>
        <v>0</v>
      </c>
    </row>
    <row r="363" spans="1:42" ht="18.75" x14ac:dyDescent="0.3">
      <c r="A363" s="2">
        <v>46384</v>
      </c>
      <c r="B363" s="44"/>
      <c r="C363" s="44"/>
      <c r="D363" s="44"/>
      <c r="E363" s="44"/>
      <c r="F363" s="44"/>
      <c r="G363" s="40"/>
      <c r="H363" s="44">
        <f t="shared" si="15"/>
        <v>103</v>
      </c>
      <c r="I363" s="40"/>
      <c r="J363" s="44"/>
      <c r="K363" s="28">
        <f>TABL123[[#This Row],[خط (T/B  TOT) SAR]]+TABL123[[#This Row],[خط (S/S  TOT) SAR2]]</f>
        <v>0</v>
      </c>
      <c r="L363" s="45"/>
      <c r="M363" s="46"/>
      <c r="N363" s="46"/>
      <c r="O363" s="40"/>
      <c r="P363" s="9">
        <f>TABL123[[#This Row],[خط (S/S  TOT) SAR2]]-TABL123[[#This Row],[(S/S TOT) AJD]]</f>
        <v>0</v>
      </c>
      <c r="Q363" s="40"/>
      <c r="R363" s="9">
        <f>TABL123[[#This Row],[خط (T/B  TOT) SAR]]-TABL123[[#This Row],[(T/B TOT) AJD]]</f>
        <v>0</v>
      </c>
      <c r="S363" s="9">
        <f>TABL123[[#This Row],[الفرق بين بداية ونهاية خط  T/B]]+TABL123[[#This Row],[الفرق بين بداية ونهاية خط  S/S]]</f>
        <v>0</v>
      </c>
      <c r="T363" s="9">
        <f>TABL123[[#This Row],[(S/S TOT) AJD]]+TABL123[[#This Row],[(T/B TOT) AJD]]</f>
        <v>0</v>
      </c>
      <c r="U363" s="44"/>
      <c r="V363" s="44"/>
      <c r="W363" s="9">
        <f>TABL123[[#This Row],[(A/B TOT) AJD]]+TABL123[[#This Row],[(A/S TOT) AJD]]</f>
        <v>0</v>
      </c>
      <c r="X363" s="9">
        <f>TABL123[[#This Row],[( S/S+T/B) AJD]]-TABL123[[#This Row],[(A/B + A/S) AJD]]</f>
        <v>0</v>
      </c>
      <c r="Y363" s="44"/>
      <c r="Z363" s="45"/>
      <c r="AA363" s="3">
        <f>TABL123[[#This Row],[(RESV. STORGE) AJD]]/10</f>
        <v>0</v>
      </c>
      <c r="AB363" s="45">
        <f t="shared" si="16"/>
        <v>0</v>
      </c>
      <c r="AC363" s="5"/>
      <c r="AD363" s="84">
        <f>TABL123[[#This Row],[( S/S+T/B) AJD]]-(TABL123[[#This Row],[(A/B + A/S) AJD]]+(TABL123[[#This Row],[(STORGE DIFF.) AJD]])+TABL123[[#This Row],[البخر  AJD]]/1000)</f>
        <v>0</v>
      </c>
      <c r="AE363" s="68"/>
      <c r="AF363" s="68"/>
      <c r="AG363" s="68"/>
      <c r="AH363" s="45"/>
      <c r="AI363" s="79"/>
      <c r="AJ363" s="79">
        <f>TABL123[[#This Row],[(A/B TOT) AJD]]-TABL123[[#This Row],[BER_ IN]]</f>
        <v>0</v>
      </c>
      <c r="AK363" s="79"/>
      <c r="AL363" s="68"/>
      <c r="AM363" s="88"/>
      <c r="AN363" s="88">
        <f>TABL123[[#This Row],[ (RESV. STORGE) SER]]/10</f>
        <v>0</v>
      </c>
      <c r="AO363" s="45"/>
      <c r="AP363" s="32">
        <f>TABL123[[#This Row],[(A/S TOT) AJD]]-TABL123[[#This Row],[SER_ IN]]</f>
        <v>0</v>
      </c>
    </row>
    <row r="364" spans="1:42" ht="18.75" x14ac:dyDescent="0.3">
      <c r="A364" s="2">
        <v>46385</v>
      </c>
      <c r="B364" s="41"/>
      <c r="C364" s="41"/>
      <c r="D364" s="41"/>
      <c r="E364" s="41"/>
      <c r="F364" s="41"/>
      <c r="G364" s="39"/>
      <c r="H364" s="41">
        <f t="shared" si="15"/>
        <v>103</v>
      </c>
      <c r="I364" s="39"/>
      <c r="J364" s="39"/>
      <c r="K364" s="28">
        <f>TABL123[[#This Row],[خط (T/B  TOT) SAR]]+TABL123[[#This Row],[خط (S/S  TOT) SAR2]]</f>
        <v>0</v>
      </c>
      <c r="L364" s="41"/>
      <c r="M364" s="42"/>
      <c r="N364" s="42"/>
      <c r="O364" s="39"/>
      <c r="P364" s="9">
        <f>TABL123[[#This Row],[خط (S/S  TOT) SAR2]]-TABL123[[#This Row],[(S/S TOT) AJD]]</f>
        <v>0</v>
      </c>
      <c r="Q364" s="39"/>
      <c r="R364" s="9">
        <f>TABL123[[#This Row],[خط (T/B  TOT) SAR]]-TABL123[[#This Row],[(T/B TOT) AJD]]</f>
        <v>0</v>
      </c>
      <c r="S364" s="9">
        <f>TABL123[[#This Row],[الفرق بين بداية ونهاية خط  T/B]]+TABL123[[#This Row],[الفرق بين بداية ونهاية خط  S/S]]</f>
        <v>0</v>
      </c>
      <c r="T364" s="9">
        <f>TABL123[[#This Row],[(S/S TOT) AJD]]+TABL123[[#This Row],[(T/B TOT) AJD]]</f>
        <v>0</v>
      </c>
      <c r="U364" s="41"/>
      <c r="V364" s="41"/>
      <c r="W364" s="9">
        <f>TABL123[[#This Row],[(A/B TOT) AJD]]+TABL123[[#This Row],[(A/S TOT) AJD]]</f>
        <v>0</v>
      </c>
      <c r="X364" s="9">
        <f>TABL123[[#This Row],[( S/S+T/B) AJD]]-TABL123[[#This Row],[(A/B + A/S) AJD]]</f>
        <v>0</v>
      </c>
      <c r="Y364" s="41"/>
      <c r="Z364" s="43"/>
      <c r="AA364" s="3">
        <f>TABL123[[#This Row],[(RESV. STORGE) AJD]]/10</f>
        <v>0</v>
      </c>
      <c r="AB364" s="45">
        <f t="shared" si="16"/>
        <v>0</v>
      </c>
      <c r="AC364" s="5"/>
      <c r="AD364" s="84">
        <f>TABL123[[#This Row],[( S/S+T/B) AJD]]-(TABL123[[#This Row],[(A/B + A/S) AJD]]+(TABL123[[#This Row],[(STORGE DIFF.) AJD]])+TABL123[[#This Row],[البخر  AJD]]/1000)</f>
        <v>0</v>
      </c>
      <c r="AE364" s="68"/>
      <c r="AF364" s="68"/>
      <c r="AG364" s="68"/>
      <c r="AH364" s="43"/>
      <c r="AI364" s="79"/>
      <c r="AJ364" s="79">
        <f>TABL123[[#This Row],[(A/B TOT) AJD]]-TABL123[[#This Row],[BER_ IN]]</f>
        <v>0</v>
      </c>
      <c r="AK364" s="79"/>
      <c r="AL364" s="68"/>
      <c r="AM364" s="88"/>
      <c r="AN364" s="88">
        <f>TABL123[[#This Row],[ (RESV. STORGE) SER]]/10</f>
        <v>0</v>
      </c>
      <c r="AO364" s="43"/>
      <c r="AP364" s="32">
        <f>TABL123[[#This Row],[(A/S TOT) AJD]]-TABL123[[#This Row],[SER_ IN]]</f>
        <v>0</v>
      </c>
    </row>
    <row r="365" spans="1:42" ht="18.75" x14ac:dyDescent="0.3">
      <c r="A365" s="2">
        <v>46386</v>
      </c>
      <c r="B365" s="44"/>
      <c r="C365" s="44"/>
      <c r="D365" s="44"/>
      <c r="E365" s="44"/>
      <c r="F365" s="44"/>
      <c r="G365" s="40"/>
      <c r="H365" s="44">
        <f t="shared" si="15"/>
        <v>103</v>
      </c>
      <c r="I365" s="40"/>
      <c r="J365" s="44"/>
      <c r="K365" s="28">
        <f>TABL123[[#This Row],[خط (T/B  TOT) SAR]]+TABL123[[#This Row],[خط (S/S  TOT) SAR2]]</f>
        <v>0</v>
      </c>
      <c r="L365" s="45"/>
      <c r="M365" s="46"/>
      <c r="N365" s="46"/>
      <c r="O365" s="40"/>
      <c r="P365" s="9">
        <f>TABL123[[#This Row],[خط (S/S  TOT) SAR2]]-TABL123[[#This Row],[(S/S TOT) AJD]]</f>
        <v>0</v>
      </c>
      <c r="Q365" s="40"/>
      <c r="R365" s="9">
        <f>TABL123[[#This Row],[خط (T/B  TOT) SAR]]-TABL123[[#This Row],[(T/B TOT) AJD]]</f>
        <v>0</v>
      </c>
      <c r="S365" s="9">
        <f>TABL123[[#This Row],[الفرق بين بداية ونهاية خط  T/B]]+TABL123[[#This Row],[الفرق بين بداية ونهاية خط  S/S]]</f>
        <v>0</v>
      </c>
      <c r="T365" s="9">
        <f>TABL123[[#This Row],[(S/S TOT) AJD]]+TABL123[[#This Row],[(T/B TOT) AJD]]</f>
        <v>0</v>
      </c>
      <c r="U365" s="44"/>
      <c r="V365" s="44"/>
      <c r="W365" s="9">
        <f>TABL123[[#This Row],[(A/B TOT) AJD]]+TABL123[[#This Row],[(A/S TOT) AJD]]</f>
        <v>0</v>
      </c>
      <c r="X365" s="9">
        <f>TABL123[[#This Row],[( S/S+T/B) AJD]]-TABL123[[#This Row],[(A/B + A/S) AJD]]</f>
        <v>0</v>
      </c>
      <c r="Y365" s="44"/>
      <c r="Z365" s="45"/>
      <c r="AA365" s="3">
        <f>TABL123[[#This Row],[(RESV. STORGE) AJD]]/10</f>
        <v>0</v>
      </c>
      <c r="AB365" s="45">
        <f t="shared" si="16"/>
        <v>0</v>
      </c>
      <c r="AC365" s="5"/>
      <c r="AD365" s="84">
        <f>TABL123[[#This Row],[( S/S+T/B) AJD]]-(TABL123[[#This Row],[(A/B + A/S) AJD]]+(TABL123[[#This Row],[(STORGE DIFF.) AJD]])+TABL123[[#This Row],[البخر  AJD]]/1000)</f>
        <v>0</v>
      </c>
      <c r="AE365" s="68"/>
      <c r="AF365" s="68"/>
      <c r="AG365" s="68"/>
      <c r="AH365" s="45"/>
      <c r="AI365" s="79"/>
      <c r="AJ365" s="79">
        <f>TABL123[[#This Row],[(A/B TOT) AJD]]-TABL123[[#This Row],[BER_ IN]]</f>
        <v>0</v>
      </c>
      <c r="AK365" s="79"/>
      <c r="AL365" s="68"/>
      <c r="AM365" s="88"/>
      <c r="AN365" s="88">
        <f>TABL123[[#This Row],[ (RESV. STORGE) SER]]/10</f>
        <v>0</v>
      </c>
      <c r="AO365" s="45"/>
      <c r="AP365" s="32">
        <f>TABL123[[#This Row],[(A/S TOT) AJD]]-TABL123[[#This Row],[SER_ IN]]</f>
        <v>0</v>
      </c>
    </row>
    <row r="366" spans="1:42" ht="18.75" x14ac:dyDescent="0.3">
      <c r="A366" s="2">
        <v>46387</v>
      </c>
      <c r="B366" s="41"/>
      <c r="C366" s="41"/>
      <c r="D366" s="41"/>
      <c r="E366" s="41"/>
      <c r="F366" s="41"/>
      <c r="G366" s="39"/>
      <c r="H366" s="41">
        <f t="shared" si="15"/>
        <v>103</v>
      </c>
      <c r="I366" s="39"/>
      <c r="J366" s="39"/>
      <c r="K366" s="51">
        <f>TABL123[[#This Row],[خط (T/B  TOT) SAR]]+TABL123[[#This Row],[خط (S/S  TOT) SAR2]]</f>
        <v>0</v>
      </c>
      <c r="L366" s="41"/>
      <c r="M366" s="42"/>
      <c r="N366" s="42"/>
      <c r="O366" s="39"/>
      <c r="P366" s="19">
        <f>TABL123[[#This Row],[خط (S/S  TOT) SAR2]]-TABL123[[#This Row],[(S/S TOT) AJD]]</f>
        <v>0</v>
      </c>
      <c r="Q366" s="39"/>
      <c r="R366" s="19">
        <f>TABL123[[#This Row],[خط (T/B  TOT) SAR]]-TABL123[[#This Row],[(T/B TOT) AJD]]</f>
        <v>0</v>
      </c>
      <c r="S366" s="19">
        <f>TABL123[[#This Row],[الفرق بين بداية ونهاية خط  T/B]]+TABL123[[#This Row],[الفرق بين بداية ونهاية خط  S/S]]</f>
        <v>0</v>
      </c>
      <c r="T366" s="19">
        <f>TABL123[[#This Row],[(S/S TOT) AJD]]+TABL123[[#This Row],[(T/B TOT) AJD]]</f>
        <v>0</v>
      </c>
      <c r="U366" s="41"/>
      <c r="V366" s="41"/>
      <c r="W366" s="19">
        <f>TABL123[[#This Row],[(A/B TOT) AJD]]+TABL123[[#This Row],[(A/S TOT) AJD]]</f>
        <v>0</v>
      </c>
      <c r="X366" s="19">
        <f>TABL123[[#This Row],[( S/S+T/B) AJD]]-TABL123[[#This Row],[(A/B + A/S) AJD]]</f>
        <v>0</v>
      </c>
      <c r="Y366" s="41"/>
      <c r="Z366" s="43"/>
      <c r="AA366" s="3">
        <f>TABL123[[#This Row],[(RESV. STORGE) AJD]]/10</f>
        <v>0</v>
      </c>
      <c r="AB366" s="45">
        <f t="shared" si="16"/>
        <v>0</v>
      </c>
      <c r="AC366" s="5"/>
      <c r="AD366" s="54">
        <f>TABL123[[#This Row],[( S/S+T/B) AJD]]-(TABL123[[#This Row],[(A/B + A/S) AJD]]+(TABL123[[#This Row],[(STORGE DIFF.) AJD]])+TABL123[[#This Row],[البخر  AJD]]/1000)</f>
        <v>0</v>
      </c>
      <c r="AE366" s="83"/>
      <c r="AF366" s="83"/>
      <c r="AG366" s="83"/>
      <c r="AH366" s="43"/>
      <c r="AI366" s="81"/>
      <c r="AJ366" s="81">
        <f>TABL123[[#This Row],[(A/B TOT) AJD]]-TABL123[[#This Row],[BER_ IN]]</f>
        <v>0</v>
      </c>
      <c r="AK366" s="81"/>
      <c r="AL366" s="83"/>
      <c r="AM366" s="90"/>
      <c r="AN366" s="90">
        <f>TABL123[[#This Row],[ (RESV. STORGE) SER]]/10</f>
        <v>0</v>
      </c>
      <c r="AO366" s="43"/>
      <c r="AP366" s="32">
        <f>TABL123[[#This Row],[(A/S TOT) AJD]]-TABL123[[#This Row],[SER_ IN]]</f>
        <v>0</v>
      </c>
    </row>
    <row r="367" spans="1:42" x14ac:dyDescent="0.25">
      <c r="A367" s="59"/>
      <c r="B367" s="60"/>
      <c r="C367" s="61"/>
      <c r="D367" s="61"/>
      <c r="E367" s="61"/>
      <c r="F367" s="61"/>
      <c r="G367" s="61"/>
      <c r="H367" s="61"/>
      <c r="I367" s="62"/>
      <c r="J367" s="61"/>
      <c r="K367" s="62"/>
      <c r="L367" s="61"/>
      <c r="M367" s="63"/>
      <c r="N367" s="64"/>
      <c r="O367" s="52"/>
      <c r="P367" s="19"/>
      <c r="Q367" s="52"/>
      <c r="R367" s="19"/>
      <c r="S367" s="19"/>
      <c r="T367" s="19"/>
      <c r="U367" s="52"/>
      <c r="V367" s="52"/>
      <c r="W367" s="19"/>
      <c r="X367" s="19"/>
      <c r="Y367" s="53"/>
      <c r="Z367" s="52"/>
      <c r="AA367" s="19"/>
      <c r="AB367" s="19"/>
      <c r="AC367" s="65"/>
      <c r="AD367" s="54"/>
      <c r="AE367" s="52"/>
      <c r="AF367" s="20"/>
      <c r="AG367" s="19"/>
      <c r="AH367" s="19"/>
      <c r="AI367" s="19"/>
      <c r="AJ367" s="21"/>
      <c r="AK367" s="55"/>
      <c r="AL367" s="19"/>
      <c r="AM367" s="54"/>
      <c r="AN367" s="6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7B0A-A56E-4FDA-8A05-2C7342379DE0}">
  <dimension ref="A1:AP367"/>
  <sheetViews>
    <sheetView rightToLeft="1" topLeftCell="AC1" workbookViewId="0">
      <selection activeCell="AF12" sqref="AF12"/>
    </sheetView>
  </sheetViews>
  <sheetFormatPr defaultRowHeight="15" x14ac:dyDescent="0.25"/>
  <cols>
    <col min="1" max="1" width="12.5" customWidth="1"/>
    <col min="2" max="2" width="7.875" style="56" customWidth="1"/>
    <col min="3" max="3" width="8.125" style="56" customWidth="1"/>
    <col min="4" max="4" width="7.75" style="56" customWidth="1"/>
    <col min="5" max="5" width="8.25" style="56" customWidth="1"/>
    <col min="6" max="6" width="8.125" style="56" customWidth="1"/>
    <col min="7" max="7" width="8" style="56" customWidth="1"/>
    <col min="8" max="8" width="7.25" style="56" customWidth="1"/>
    <col min="9" max="9" width="9.375" style="56" customWidth="1"/>
    <col min="10" max="11" width="10.625" style="56" customWidth="1"/>
    <col min="12" max="12" width="11.375" style="56" customWidth="1"/>
    <col min="13" max="13" width="10.625" style="57" customWidth="1"/>
    <col min="14" max="14" width="8.25" style="58" customWidth="1"/>
    <col min="15" max="15" width="10.375" style="7" customWidth="1"/>
    <col min="16" max="16" width="7.875" style="7" customWidth="1"/>
    <col min="17" max="17" width="8.875" style="7" customWidth="1"/>
    <col min="18" max="19" width="10.5" style="7" customWidth="1"/>
    <col min="20" max="20" width="9.75" style="7" customWidth="1"/>
    <col min="21" max="21" width="7" style="7" customWidth="1"/>
    <col min="22" max="22" width="6.875" style="7" customWidth="1"/>
    <col min="23" max="23" width="8.5" style="7" customWidth="1"/>
    <col min="24" max="24" width="11.125" style="7" customWidth="1"/>
    <col min="25" max="25" width="10.875" style="7" customWidth="1"/>
    <col min="26" max="27" width="9.125" style="7" customWidth="1"/>
    <col min="28" max="29" width="9.625" style="7" customWidth="1"/>
    <col min="30" max="30" width="15.75" style="7" customWidth="1"/>
    <col min="31" max="32" width="9.625" style="7" customWidth="1"/>
    <col min="33" max="33" width="11.25" style="7" customWidth="1"/>
    <col min="34" max="34" width="9.625" style="7" customWidth="1"/>
    <col min="35" max="35" width="14.25" style="7" customWidth="1"/>
    <col min="36" max="37" width="9.625" style="7" customWidth="1"/>
    <col min="38" max="38" width="14.5" style="7" customWidth="1"/>
    <col min="39" max="39" width="9.625" style="7" customWidth="1"/>
    <col min="40" max="40" width="11.625" style="7" customWidth="1"/>
  </cols>
  <sheetData>
    <row r="1" spans="1:42" s="27" customFormat="1" ht="55.5" customHeight="1" x14ac:dyDescent="0.2">
      <c r="A1" s="22" t="s">
        <v>0</v>
      </c>
      <c r="B1" s="23" t="s">
        <v>14</v>
      </c>
      <c r="C1" s="23" t="s">
        <v>15</v>
      </c>
      <c r="D1" s="23" t="s">
        <v>16</v>
      </c>
      <c r="E1" s="23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23</v>
      </c>
      <c r="L1" s="25" t="s">
        <v>24</v>
      </c>
      <c r="M1" s="25" t="s">
        <v>25</v>
      </c>
      <c r="N1" s="25" t="s">
        <v>26</v>
      </c>
      <c r="O1" s="26" t="s">
        <v>8</v>
      </c>
      <c r="P1" s="26" t="s">
        <v>9</v>
      </c>
      <c r="Q1" s="26" t="s">
        <v>10</v>
      </c>
      <c r="R1" s="26" t="s">
        <v>11</v>
      </c>
      <c r="S1" s="26" t="s">
        <v>27</v>
      </c>
      <c r="T1" s="26" t="s">
        <v>12</v>
      </c>
      <c r="U1" s="26" t="s">
        <v>1</v>
      </c>
      <c r="V1" s="26" t="s">
        <v>2</v>
      </c>
      <c r="W1" s="26" t="s">
        <v>3</v>
      </c>
      <c r="X1" s="26" t="s">
        <v>13</v>
      </c>
      <c r="Y1" s="26" t="s">
        <v>4</v>
      </c>
      <c r="Z1" s="26" t="s">
        <v>5</v>
      </c>
      <c r="AA1" s="26" t="s">
        <v>39</v>
      </c>
      <c r="AB1" s="26" t="s">
        <v>6</v>
      </c>
      <c r="AC1" s="26" t="s">
        <v>7</v>
      </c>
      <c r="AD1" s="26" t="s">
        <v>28</v>
      </c>
      <c r="AE1" s="1" t="s">
        <v>29</v>
      </c>
      <c r="AF1" s="1" t="s">
        <v>30</v>
      </c>
      <c r="AG1" s="1" t="s">
        <v>31</v>
      </c>
      <c r="AH1" s="1" t="s">
        <v>40</v>
      </c>
      <c r="AI1" s="1" t="s">
        <v>32</v>
      </c>
      <c r="AJ1" s="1" t="s">
        <v>33</v>
      </c>
      <c r="AK1" s="26" t="s">
        <v>34</v>
      </c>
      <c r="AL1" s="26" t="s">
        <v>35</v>
      </c>
      <c r="AM1" s="26" t="s">
        <v>36</v>
      </c>
      <c r="AN1" s="26" t="s">
        <v>41</v>
      </c>
      <c r="AO1" s="26" t="s">
        <v>37</v>
      </c>
      <c r="AP1" s="26" t="s">
        <v>38</v>
      </c>
    </row>
    <row r="2" spans="1:42" ht="18.75" x14ac:dyDescent="0.3">
      <c r="A2" s="2">
        <v>46388</v>
      </c>
      <c r="B2" s="41"/>
      <c r="C2" s="41"/>
      <c r="D2" s="41"/>
      <c r="E2" s="41"/>
      <c r="F2" s="41"/>
      <c r="G2" s="39"/>
      <c r="H2" s="41">
        <f t="shared" ref="H2:H65" si="0">103-F2</f>
        <v>103</v>
      </c>
      <c r="I2" s="39"/>
      <c r="J2" s="39"/>
      <c r="K2" s="28">
        <f>TABL1234[[#This Row],[خط (T/B  TOT) SAR]]+TABL1234[[#This Row],[خط (S/S  TOT) SAR2]]</f>
        <v>0</v>
      </c>
      <c r="L2" s="41"/>
      <c r="M2" s="42"/>
      <c r="N2" s="42"/>
      <c r="O2" s="39"/>
      <c r="P2" s="3">
        <f>TABL1234[[#This Row],[خط (S/S  TOT) SAR2]]-TABL1234[[#This Row],[(S/S TOT) AJD]]</f>
        <v>0</v>
      </c>
      <c r="Q2" s="39"/>
      <c r="R2" s="3">
        <f>TABL1234[[#This Row],[خط (T/B  TOT) SAR]]-TABL1234[[#This Row],[(T/B TOT) AJD]]</f>
        <v>0</v>
      </c>
      <c r="S2" s="3">
        <f>TABL1234[[#This Row],[الفرق بين بداية ونهاية خط  T/B]]+TABL1234[[#This Row],[الفرق بين بداية ونهاية خط  S/S]]</f>
        <v>0</v>
      </c>
      <c r="T2" s="3">
        <f>TABL1234[[#This Row],[(S/S TOT) AJD]]+TABL1234[[#This Row],[(T/B TOT) AJD]]</f>
        <v>0</v>
      </c>
      <c r="U2" s="41"/>
      <c r="V2" s="41"/>
      <c r="W2" s="3">
        <f>TABL1234[[#This Row],[(A/B TOT) AJD]]+TABL1234[[#This Row],[(A/S TOT) AJD]]</f>
        <v>0</v>
      </c>
      <c r="X2" s="3">
        <f>TABL1234[[#This Row],[( S/S+T/B) AJD]]-TABL1234[[#This Row],[(A/B + A/S) AJD]]</f>
        <v>0</v>
      </c>
      <c r="Y2" s="41"/>
      <c r="Z2" s="43"/>
      <c r="AA2" s="3">
        <f>TABL1234[[#This Row],[(RESV. STORGE) AJD]]/10</f>
        <v>0</v>
      </c>
      <c r="AB2" s="43">
        <f>(TABL1234[[#This Row],[(RESV. STORGE) AJD]]-500797)/1000</f>
        <v>-500.79700000000003</v>
      </c>
      <c r="AC2" s="43"/>
      <c r="AD2" s="85">
        <f>TABL1234[[#This Row],[( S/S+T/B) AJD]]-(TABL1234[[#This Row],[(A/B + A/S) AJD]]+(TABL1234[[#This Row],[(STORGE DIFF.) AJD]]*1000)+TABL1234[[#This Row],[البخر  AJD]])</f>
        <v>500797</v>
      </c>
      <c r="AE2" s="82"/>
      <c r="AF2" s="82"/>
      <c r="AG2" s="82"/>
      <c r="AH2" s="43"/>
      <c r="AI2" s="43"/>
      <c r="AJ2" s="80">
        <f>TABL1234[[#This Row],[(A/B TOT) AJD]]-TABL1234[[#This Row],[BER_ IN]]</f>
        <v>0</v>
      </c>
      <c r="AK2" s="82"/>
      <c r="AL2" s="89"/>
      <c r="AM2" s="89"/>
      <c r="AN2" s="89">
        <f>TABL1234[[#This Row],[ (RESV. STORGE) SER]]/10</f>
        <v>0</v>
      </c>
      <c r="AO2" s="43"/>
      <c r="AP2" s="32">
        <f>TABL1234[[#This Row],[(A/S TOT) AJD]]-TABL1234[[#This Row],[SER_ IN]]</f>
        <v>0</v>
      </c>
    </row>
    <row r="3" spans="1:42" ht="18.75" x14ac:dyDescent="0.25">
      <c r="A3" s="2">
        <v>46389</v>
      </c>
      <c r="B3" s="28"/>
      <c r="C3" s="28"/>
      <c r="D3" s="28"/>
      <c r="E3" s="28"/>
      <c r="F3" s="28"/>
      <c r="G3" s="28"/>
      <c r="H3" s="28">
        <f t="shared" si="0"/>
        <v>103</v>
      </c>
      <c r="I3" s="28"/>
      <c r="J3" s="28"/>
      <c r="K3" s="28">
        <f>TABL1234[[#This Row],[خط (T/B  TOT) SAR]]+TABL1234[[#This Row],[خط (S/S  TOT) SAR2]]</f>
        <v>0</v>
      </c>
      <c r="L3" s="28"/>
      <c r="M3" s="29"/>
      <c r="N3" s="30"/>
      <c r="O3" s="3"/>
      <c r="P3" s="3">
        <f>TABL1234[[#This Row],[خط (S/S  TOT) SAR2]]-TABL1234[[#This Row],[(S/S TOT) AJD]]</f>
        <v>0</v>
      </c>
      <c r="Q3" s="3"/>
      <c r="R3" s="3">
        <f>TABL1234[[#This Row],[خط (T/B  TOT) SAR]]-TABL1234[[#This Row],[(T/B TOT) AJD]]</f>
        <v>0</v>
      </c>
      <c r="S3" s="3">
        <f>TABL1234[[#This Row],[الفرق بين بداية ونهاية خط  T/B]]+TABL1234[[#This Row],[الفرق بين بداية ونهاية خط  S/S]]</f>
        <v>0</v>
      </c>
      <c r="T3" s="3">
        <f>TABL1234[[#This Row],[(S/S TOT) AJD]]+TABL1234[[#This Row],[(T/B TOT) AJD]]</f>
        <v>0</v>
      </c>
      <c r="U3" s="3"/>
      <c r="V3" s="3"/>
      <c r="W3" s="3">
        <f>TABL1234[[#This Row],[(A/B TOT) AJD]]+TABL1234[[#This Row],[(A/S TOT) AJD]]</f>
        <v>0</v>
      </c>
      <c r="X3" s="3">
        <f>TABL1234[[#This Row],[( S/S+T/B) AJD]]-TABL1234[[#This Row],[(A/B + A/S) AJD]]</f>
        <v>0</v>
      </c>
      <c r="Y3" s="4"/>
      <c r="Z3" s="3"/>
      <c r="AA3" s="3">
        <f>TABL1234[[#This Row],[(RESV. STORGE) AJD]]/10</f>
        <v>0</v>
      </c>
      <c r="AB3" s="3">
        <f>(Z3-Z2)/1000</f>
        <v>0</v>
      </c>
      <c r="AC3" s="6"/>
      <c r="AD3" s="5">
        <f>TABL1234[[#This Row],[( S/S+T/B) AJD]]-(TABL1234[[#This Row],[(A/B + A/S) AJD]]+(TABL1234[[#This Row],[(STORGE DIFF.) AJD]]*1000)+TABL1234[[#This Row],[البخر  AJD]])</f>
        <v>0</v>
      </c>
      <c r="AE3" s="6"/>
      <c r="AF3" s="33"/>
      <c r="AG3" s="6"/>
      <c r="AH3" s="6"/>
      <c r="AI3" s="6"/>
      <c r="AJ3" s="6">
        <f>TABL1234[[#This Row],[(A/B TOT) AJD]]-TABL1234[[#This Row],[BER_ IN]]</f>
        <v>0</v>
      </c>
      <c r="AK3" s="33"/>
      <c r="AL3" s="6"/>
      <c r="AM3" s="6"/>
      <c r="AN3" s="32">
        <f>TABL1234[[#This Row],[ (RESV. STORGE) SER]]/10</f>
        <v>0</v>
      </c>
      <c r="AO3" s="68"/>
      <c r="AP3" s="68">
        <f>TABL1234[[#This Row],[(A/S TOT) AJD]]-TABL1234[[#This Row],[SER_ IN]]</f>
        <v>0</v>
      </c>
    </row>
    <row r="4" spans="1:42" ht="18.75" x14ac:dyDescent="0.25">
      <c r="A4" s="2">
        <v>46390</v>
      </c>
      <c r="B4" s="28"/>
      <c r="C4" s="28"/>
      <c r="D4" s="28"/>
      <c r="E4" s="28"/>
      <c r="F4" s="28"/>
      <c r="G4" s="28"/>
      <c r="H4" s="28">
        <f t="shared" si="0"/>
        <v>103</v>
      </c>
      <c r="I4" s="28"/>
      <c r="J4" s="28"/>
      <c r="K4" s="28">
        <f>TABL1234[[#This Row],[خط (T/B  TOT) SAR]]+TABL1234[[#This Row],[خط (S/S  TOT) SAR2]]</f>
        <v>0</v>
      </c>
      <c r="L4" s="28"/>
      <c r="M4" s="29"/>
      <c r="N4" s="30"/>
      <c r="O4" s="3"/>
      <c r="P4" s="3">
        <f>TABL1234[[#This Row],[خط (S/S  TOT) SAR2]]-TABL1234[[#This Row],[(S/S TOT) AJD]]</f>
        <v>0</v>
      </c>
      <c r="Q4" s="3"/>
      <c r="R4" s="3">
        <f>TABL1234[[#This Row],[خط (T/B  TOT) SAR]]-TABL1234[[#This Row],[(T/B TOT) AJD]]</f>
        <v>0</v>
      </c>
      <c r="S4" s="3">
        <f>TABL1234[[#This Row],[الفرق بين بداية ونهاية خط  T/B]]+TABL1234[[#This Row],[الفرق بين بداية ونهاية خط  S/S]]</f>
        <v>0</v>
      </c>
      <c r="T4" s="3">
        <f>TABL1234[[#This Row],[(S/S TOT) AJD]]+TABL1234[[#This Row],[(T/B TOT) AJD]]</f>
        <v>0</v>
      </c>
      <c r="U4" s="3"/>
      <c r="V4" s="3"/>
      <c r="W4" s="3">
        <f>TABL1234[[#This Row],[(A/B TOT) AJD]]+TABL1234[[#This Row],[(A/S TOT) AJD]]</f>
        <v>0</v>
      </c>
      <c r="X4" s="3">
        <f>TABL1234[[#This Row],[( S/S+T/B) AJD]]-TABL1234[[#This Row],[(A/B + A/S) AJD]]</f>
        <v>0</v>
      </c>
      <c r="Y4" s="4"/>
      <c r="Z4" s="3"/>
      <c r="AA4" s="3">
        <f>TABL1234[[#This Row],[(RESV. STORGE) AJD]]/10</f>
        <v>0</v>
      </c>
      <c r="AB4" s="3">
        <f t="shared" ref="AB4:AB67" si="1">(Z4-Z3)/1000</f>
        <v>0</v>
      </c>
      <c r="AC4" s="6"/>
      <c r="AD4" s="5">
        <f>TABL1234[[#This Row],[( S/S+T/B) AJD]]-(TABL1234[[#This Row],[(A/B + A/S) AJD]]+(TABL1234[[#This Row],[(STORGE DIFF.) AJD]]*1000)+TABL1234[[#This Row],[البخر  AJD]])</f>
        <v>0</v>
      </c>
      <c r="AE4" s="6"/>
      <c r="AF4" s="33"/>
      <c r="AG4" s="6"/>
      <c r="AH4" s="6"/>
      <c r="AI4" s="6"/>
      <c r="AJ4" s="6">
        <f>TABL1234[[#This Row],[(A/B TOT) AJD]]-TABL1234[[#This Row],[BER_ IN]]</f>
        <v>0</v>
      </c>
      <c r="AK4" s="33"/>
      <c r="AL4" s="6"/>
      <c r="AM4" s="6"/>
      <c r="AN4" s="32">
        <f>TABL1234[[#This Row],[ (RESV. STORGE) SER]]/10</f>
        <v>0</v>
      </c>
      <c r="AO4" s="68"/>
      <c r="AP4" s="68">
        <f>TABL1234[[#This Row],[(A/S TOT) AJD]]-TABL1234[[#This Row],[SER_ IN]]</f>
        <v>0</v>
      </c>
    </row>
    <row r="5" spans="1:42" ht="18.75" x14ac:dyDescent="0.25">
      <c r="A5" s="2">
        <v>46391</v>
      </c>
      <c r="B5" s="28"/>
      <c r="C5" s="28"/>
      <c r="D5" s="28"/>
      <c r="E5" s="28"/>
      <c r="F5" s="28"/>
      <c r="G5" s="28"/>
      <c r="H5" s="28">
        <f t="shared" si="0"/>
        <v>103</v>
      </c>
      <c r="I5" s="28"/>
      <c r="J5" s="28"/>
      <c r="K5" s="28">
        <f>TABL1234[[#This Row],[خط (T/B  TOT) SAR]]+TABL1234[[#This Row],[خط (S/S  TOT) SAR2]]</f>
        <v>0</v>
      </c>
      <c r="L5" s="28"/>
      <c r="M5" s="29"/>
      <c r="N5" s="30"/>
      <c r="O5" s="3"/>
      <c r="P5" s="3">
        <f>TABL1234[[#This Row],[خط (S/S  TOT) SAR2]]-TABL1234[[#This Row],[(S/S TOT) AJD]]</f>
        <v>0</v>
      </c>
      <c r="Q5" s="3"/>
      <c r="R5" s="3">
        <f>TABL1234[[#This Row],[خط (T/B  TOT) SAR]]-TABL1234[[#This Row],[(T/B TOT) AJD]]</f>
        <v>0</v>
      </c>
      <c r="S5" s="3">
        <f>TABL1234[[#This Row],[الفرق بين بداية ونهاية خط  T/B]]+TABL1234[[#This Row],[الفرق بين بداية ونهاية خط  S/S]]</f>
        <v>0</v>
      </c>
      <c r="T5" s="3">
        <f>TABL1234[[#This Row],[(S/S TOT) AJD]]+TABL1234[[#This Row],[(T/B TOT) AJD]]</f>
        <v>0</v>
      </c>
      <c r="U5" s="3"/>
      <c r="V5" s="3"/>
      <c r="W5" s="3">
        <f>TABL1234[[#This Row],[(A/B TOT) AJD]]+TABL1234[[#This Row],[(A/S TOT) AJD]]</f>
        <v>0</v>
      </c>
      <c r="X5" s="3">
        <f>TABL1234[[#This Row],[( S/S+T/B) AJD]]-TABL1234[[#This Row],[(A/B + A/S) AJD]]</f>
        <v>0</v>
      </c>
      <c r="Y5" s="4"/>
      <c r="Z5" s="3"/>
      <c r="AA5" s="3">
        <f>TABL1234[[#This Row],[(RESV. STORGE) AJD]]/10</f>
        <v>0</v>
      </c>
      <c r="AB5" s="3">
        <f t="shared" si="1"/>
        <v>0</v>
      </c>
      <c r="AC5" s="6"/>
      <c r="AD5" s="5">
        <f>TABL1234[[#This Row],[( S/S+T/B) AJD]]-(TABL1234[[#This Row],[(A/B + A/S) AJD]]+(TABL1234[[#This Row],[(STORGE DIFF.) AJD]]*1000)+TABL1234[[#This Row],[البخر  AJD]])</f>
        <v>0</v>
      </c>
      <c r="AE5" s="6"/>
      <c r="AF5" s="33"/>
      <c r="AG5" s="6"/>
      <c r="AH5" s="6"/>
      <c r="AI5" s="6"/>
      <c r="AJ5" s="6">
        <f>TABL1234[[#This Row],[(A/B TOT) AJD]]-TABL1234[[#This Row],[BER_ IN]]</f>
        <v>0</v>
      </c>
      <c r="AK5" s="33"/>
      <c r="AL5" s="6"/>
      <c r="AM5" s="6"/>
      <c r="AN5" s="32">
        <f>TABL1234[[#This Row],[ (RESV. STORGE) SER]]/10</f>
        <v>0</v>
      </c>
      <c r="AO5" s="68"/>
      <c r="AP5" s="68">
        <f>TABL1234[[#This Row],[(A/S TOT) AJD]]-TABL1234[[#This Row],[SER_ IN]]</f>
        <v>0</v>
      </c>
    </row>
    <row r="6" spans="1:42" ht="18.75" x14ac:dyDescent="0.25">
      <c r="A6" s="2">
        <v>46392</v>
      </c>
      <c r="B6" s="28"/>
      <c r="C6" s="28"/>
      <c r="D6" s="28"/>
      <c r="E6" s="28"/>
      <c r="F6" s="28"/>
      <c r="G6" s="28"/>
      <c r="H6" s="28">
        <f t="shared" si="0"/>
        <v>103</v>
      </c>
      <c r="I6" s="28"/>
      <c r="J6" s="28"/>
      <c r="K6" s="28">
        <f>TABL1234[[#This Row],[خط (T/B  TOT) SAR]]+TABL1234[[#This Row],[خط (S/S  TOT) SAR2]]</f>
        <v>0</v>
      </c>
      <c r="L6" s="28"/>
      <c r="M6" s="29"/>
      <c r="N6" s="30"/>
      <c r="O6" s="3"/>
      <c r="P6" s="3">
        <f>TABL1234[[#This Row],[خط (S/S  TOT) SAR2]]-TABL1234[[#This Row],[(S/S TOT) AJD]]</f>
        <v>0</v>
      </c>
      <c r="Q6" s="3"/>
      <c r="R6" s="3">
        <f>TABL1234[[#This Row],[خط (T/B  TOT) SAR]]-TABL1234[[#This Row],[(T/B TOT) AJD]]</f>
        <v>0</v>
      </c>
      <c r="S6" s="3">
        <f>TABL1234[[#This Row],[الفرق بين بداية ونهاية خط  T/B]]+TABL1234[[#This Row],[الفرق بين بداية ونهاية خط  S/S]]</f>
        <v>0</v>
      </c>
      <c r="T6" s="3">
        <f>TABL1234[[#This Row],[(S/S TOT) AJD]]+TABL1234[[#This Row],[(T/B TOT) AJD]]</f>
        <v>0</v>
      </c>
      <c r="U6" s="3"/>
      <c r="V6" s="3"/>
      <c r="W6" s="3">
        <f>TABL1234[[#This Row],[(A/B TOT) AJD]]+TABL1234[[#This Row],[(A/S TOT) AJD]]</f>
        <v>0</v>
      </c>
      <c r="X6" s="3">
        <f>TABL1234[[#This Row],[( S/S+T/B) AJD]]-TABL1234[[#This Row],[(A/B + A/S) AJD]]</f>
        <v>0</v>
      </c>
      <c r="Y6" s="4"/>
      <c r="Z6" s="3"/>
      <c r="AA6" s="3">
        <f>TABL1234[[#This Row],[(RESV. STORGE) AJD]]/10</f>
        <v>0</v>
      </c>
      <c r="AB6" s="3">
        <f t="shared" si="1"/>
        <v>0</v>
      </c>
      <c r="AC6" s="6"/>
      <c r="AD6" s="5">
        <f>TABL1234[[#This Row],[( S/S+T/B) AJD]]-(TABL1234[[#This Row],[(A/B + A/S) AJD]]+(TABL1234[[#This Row],[(STORGE DIFF.) AJD]]*1000)+TABL1234[[#This Row],[البخر  AJD]])</f>
        <v>0</v>
      </c>
      <c r="AE6" s="6"/>
      <c r="AF6" s="33"/>
      <c r="AG6" s="6"/>
      <c r="AH6" s="6"/>
      <c r="AI6" s="6"/>
      <c r="AJ6" s="6">
        <f>TABL1234[[#This Row],[(A/B TOT) AJD]]-TABL1234[[#This Row],[BER_ IN]]</f>
        <v>0</v>
      </c>
      <c r="AK6" s="33"/>
      <c r="AL6" s="6"/>
      <c r="AM6" s="6"/>
      <c r="AN6" s="32">
        <f>TABL1234[[#This Row],[ (RESV. STORGE) SER]]/10</f>
        <v>0</v>
      </c>
      <c r="AO6" s="68"/>
      <c r="AP6" s="68">
        <f>TABL1234[[#This Row],[(A/S TOT) AJD]]-TABL1234[[#This Row],[SER_ IN]]</f>
        <v>0</v>
      </c>
    </row>
    <row r="7" spans="1:42" ht="18.75" x14ac:dyDescent="0.25">
      <c r="A7" s="2">
        <v>46393</v>
      </c>
      <c r="B7" s="28"/>
      <c r="C7" s="28"/>
      <c r="D7" s="28"/>
      <c r="E7" s="28"/>
      <c r="F7" s="28"/>
      <c r="G7" s="28"/>
      <c r="H7" s="28">
        <f t="shared" si="0"/>
        <v>103</v>
      </c>
      <c r="I7" s="28"/>
      <c r="J7" s="28"/>
      <c r="K7" s="28">
        <f>TABL1234[[#This Row],[خط (T/B  TOT) SAR]]+TABL1234[[#This Row],[خط (S/S  TOT) SAR2]]</f>
        <v>0</v>
      </c>
      <c r="L7" s="28"/>
      <c r="M7" s="29"/>
      <c r="N7" s="30"/>
      <c r="O7" s="3"/>
      <c r="P7" s="3">
        <f>TABL1234[[#This Row],[خط (S/S  TOT) SAR2]]-TABL1234[[#This Row],[(S/S TOT) AJD]]</f>
        <v>0</v>
      </c>
      <c r="Q7" s="3"/>
      <c r="R7" s="3">
        <f>TABL1234[[#This Row],[خط (T/B  TOT) SAR]]-TABL1234[[#This Row],[(T/B TOT) AJD]]</f>
        <v>0</v>
      </c>
      <c r="S7" s="3">
        <f>TABL1234[[#This Row],[الفرق بين بداية ونهاية خط  T/B]]+TABL1234[[#This Row],[الفرق بين بداية ونهاية خط  S/S]]</f>
        <v>0</v>
      </c>
      <c r="T7" s="3">
        <f>TABL1234[[#This Row],[(S/S TOT) AJD]]+TABL1234[[#This Row],[(T/B TOT) AJD]]</f>
        <v>0</v>
      </c>
      <c r="U7" s="3"/>
      <c r="V7" s="3"/>
      <c r="W7" s="3">
        <f>TABL1234[[#This Row],[(A/B TOT) AJD]]+TABL1234[[#This Row],[(A/S TOT) AJD]]</f>
        <v>0</v>
      </c>
      <c r="X7" s="3">
        <f>TABL1234[[#This Row],[( S/S+T/B) AJD]]-TABL1234[[#This Row],[(A/B + A/S) AJD]]</f>
        <v>0</v>
      </c>
      <c r="Y7" s="4"/>
      <c r="Z7" s="3"/>
      <c r="AA7" s="3">
        <f>TABL1234[[#This Row],[(RESV. STORGE) AJD]]/10</f>
        <v>0</v>
      </c>
      <c r="AB7" s="3">
        <f t="shared" si="1"/>
        <v>0</v>
      </c>
      <c r="AC7" s="6"/>
      <c r="AD7" s="5">
        <f>TABL1234[[#This Row],[( S/S+T/B) AJD]]-(TABL1234[[#This Row],[(A/B + A/S) AJD]]+(TABL1234[[#This Row],[(STORGE DIFF.) AJD]]*1000)+TABL1234[[#This Row],[البخر  AJD]])</f>
        <v>0</v>
      </c>
      <c r="AE7" s="6"/>
      <c r="AF7" s="33"/>
      <c r="AG7" s="6"/>
      <c r="AH7" s="6"/>
      <c r="AI7" s="6"/>
      <c r="AJ7" s="6">
        <f>TABL1234[[#This Row],[(A/B TOT) AJD]]-TABL1234[[#This Row],[BER_ IN]]</f>
        <v>0</v>
      </c>
      <c r="AK7" s="33"/>
      <c r="AL7" s="6"/>
      <c r="AM7" s="6"/>
      <c r="AN7" s="32">
        <f>TABL1234[[#This Row],[ (RESV. STORGE) SER]]/10</f>
        <v>0</v>
      </c>
      <c r="AO7" s="68"/>
      <c r="AP7" s="68">
        <f>TABL1234[[#This Row],[(A/S TOT) AJD]]-TABL1234[[#This Row],[SER_ IN]]</f>
        <v>0</v>
      </c>
    </row>
    <row r="8" spans="1:42" ht="18.75" x14ac:dyDescent="0.25">
      <c r="A8" s="2">
        <v>46394</v>
      </c>
      <c r="B8" s="28"/>
      <c r="C8" s="28"/>
      <c r="D8" s="28"/>
      <c r="E8" s="28"/>
      <c r="F8" s="28"/>
      <c r="G8" s="28"/>
      <c r="H8" s="28">
        <f t="shared" si="0"/>
        <v>103</v>
      </c>
      <c r="I8" s="28"/>
      <c r="J8" s="28"/>
      <c r="K8" s="28">
        <f>TABL1234[[#This Row],[خط (T/B  TOT) SAR]]+TABL1234[[#This Row],[خط (S/S  TOT) SAR2]]</f>
        <v>0</v>
      </c>
      <c r="L8" s="28"/>
      <c r="M8" s="29"/>
      <c r="N8" s="30"/>
      <c r="O8" s="3"/>
      <c r="P8" s="3">
        <f>TABL1234[[#This Row],[خط (S/S  TOT) SAR2]]-TABL1234[[#This Row],[(S/S TOT) AJD]]</f>
        <v>0</v>
      </c>
      <c r="Q8" s="3"/>
      <c r="R8" s="3">
        <f>TABL1234[[#This Row],[خط (T/B  TOT) SAR]]-TABL1234[[#This Row],[(T/B TOT) AJD]]</f>
        <v>0</v>
      </c>
      <c r="S8" s="3">
        <f>TABL1234[[#This Row],[الفرق بين بداية ونهاية خط  T/B]]+TABL1234[[#This Row],[الفرق بين بداية ونهاية خط  S/S]]</f>
        <v>0</v>
      </c>
      <c r="T8" s="3">
        <f>TABL1234[[#This Row],[(S/S TOT) AJD]]+TABL1234[[#This Row],[(T/B TOT) AJD]]</f>
        <v>0</v>
      </c>
      <c r="U8" s="3"/>
      <c r="V8" s="3"/>
      <c r="W8" s="3">
        <f>TABL1234[[#This Row],[(A/B TOT) AJD]]+TABL1234[[#This Row],[(A/S TOT) AJD]]</f>
        <v>0</v>
      </c>
      <c r="X8" s="3">
        <f>TABL1234[[#This Row],[( S/S+T/B) AJD]]-TABL1234[[#This Row],[(A/B + A/S) AJD]]</f>
        <v>0</v>
      </c>
      <c r="Y8" s="4"/>
      <c r="Z8" s="3"/>
      <c r="AA8" s="3">
        <f>TABL1234[[#This Row],[(RESV. STORGE) AJD]]/10</f>
        <v>0</v>
      </c>
      <c r="AB8" s="3">
        <f t="shared" si="1"/>
        <v>0</v>
      </c>
      <c r="AC8" s="6"/>
      <c r="AD8" s="5">
        <f>TABL1234[[#This Row],[( S/S+T/B) AJD]]-(TABL1234[[#This Row],[(A/B + A/S) AJD]]+(TABL1234[[#This Row],[(STORGE DIFF.) AJD]]*1000)+TABL1234[[#This Row],[البخر  AJD]])</f>
        <v>0</v>
      </c>
      <c r="AE8" s="6"/>
      <c r="AF8" s="33"/>
      <c r="AG8" s="6"/>
      <c r="AH8" s="6"/>
      <c r="AI8" s="6"/>
      <c r="AJ8" s="6">
        <f>TABL1234[[#This Row],[(A/B TOT) AJD]]-TABL1234[[#This Row],[BER_ IN]]</f>
        <v>0</v>
      </c>
      <c r="AK8" s="33"/>
      <c r="AL8" s="6"/>
      <c r="AM8" s="6"/>
      <c r="AN8" s="32">
        <f>TABL1234[[#This Row],[ (RESV. STORGE) SER]]/10</f>
        <v>0</v>
      </c>
      <c r="AO8" s="68"/>
      <c r="AP8" s="68">
        <f>TABL1234[[#This Row],[(A/S TOT) AJD]]-TABL1234[[#This Row],[SER_ IN]]</f>
        <v>0</v>
      </c>
    </row>
    <row r="9" spans="1:42" ht="18.75" x14ac:dyDescent="0.25">
      <c r="A9" s="2">
        <v>46395</v>
      </c>
      <c r="B9" s="28"/>
      <c r="C9" s="28"/>
      <c r="D9" s="28"/>
      <c r="E9" s="28"/>
      <c r="F9" s="28"/>
      <c r="G9" s="28"/>
      <c r="H9" s="28">
        <f t="shared" si="0"/>
        <v>103</v>
      </c>
      <c r="I9" s="28"/>
      <c r="J9" s="28"/>
      <c r="K9" s="28">
        <f>TABL1234[[#This Row],[خط (T/B  TOT) SAR]]+TABL1234[[#This Row],[خط (S/S  TOT) SAR2]]</f>
        <v>0</v>
      </c>
      <c r="L9" s="28"/>
      <c r="M9" s="29"/>
      <c r="N9" s="30"/>
      <c r="O9" s="3"/>
      <c r="P9" s="3">
        <f>TABL1234[[#This Row],[خط (S/S  TOT) SAR2]]-TABL1234[[#This Row],[(S/S TOT) AJD]]</f>
        <v>0</v>
      </c>
      <c r="Q9" s="3"/>
      <c r="R9" s="3">
        <f>TABL1234[[#This Row],[خط (T/B  TOT) SAR]]-TABL1234[[#This Row],[(T/B TOT) AJD]]</f>
        <v>0</v>
      </c>
      <c r="S9" s="3">
        <f>TABL1234[[#This Row],[الفرق بين بداية ونهاية خط  T/B]]+TABL1234[[#This Row],[الفرق بين بداية ونهاية خط  S/S]]</f>
        <v>0</v>
      </c>
      <c r="T9" s="3">
        <f>TABL1234[[#This Row],[(S/S TOT) AJD]]+TABL1234[[#This Row],[(T/B TOT) AJD]]</f>
        <v>0</v>
      </c>
      <c r="U9" s="3"/>
      <c r="V9" s="3"/>
      <c r="W9" s="3">
        <f>TABL1234[[#This Row],[(A/B TOT) AJD]]+TABL1234[[#This Row],[(A/S TOT) AJD]]</f>
        <v>0</v>
      </c>
      <c r="X9" s="3">
        <f>TABL1234[[#This Row],[( S/S+T/B) AJD]]-TABL1234[[#This Row],[(A/B + A/S) AJD]]</f>
        <v>0</v>
      </c>
      <c r="Y9" s="4"/>
      <c r="Z9" s="3"/>
      <c r="AA9" s="3">
        <f>TABL1234[[#This Row],[(RESV. STORGE) AJD]]/10</f>
        <v>0</v>
      </c>
      <c r="AB9" s="3">
        <f t="shared" si="1"/>
        <v>0</v>
      </c>
      <c r="AC9" s="6"/>
      <c r="AD9" s="5">
        <f>TABL1234[[#This Row],[( S/S+T/B) AJD]]-(TABL1234[[#This Row],[(A/B + A/S) AJD]]+(TABL1234[[#This Row],[(STORGE DIFF.) AJD]]*1000)+TABL1234[[#This Row],[البخر  AJD]])</f>
        <v>0</v>
      </c>
      <c r="AE9" s="6"/>
      <c r="AF9" s="33"/>
      <c r="AG9" s="6"/>
      <c r="AH9" s="6"/>
      <c r="AI9" s="6"/>
      <c r="AJ9" s="6">
        <f>TABL1234[[#This Row],[(A/B TOT) AJD]]-TABL1234[[#This Row],[BER_ IN]]</f>
        <v>0</v>
      </c>
      <c r="AK9" s="33"/>
      <c r="AL9" s="6"/>
      <c r="AM9" s="6"/>
      <c r="AN9" s="32">
        <f>TABL1234[[#This Row],[ (RESV. STORGE) SER]]/10</f>
        <v>0</v>
      </c>
      <c r="AO9" s="68"/>
      <c r="AP9" s="68">
        <f>TABL1234[[#This Row],[(A/S TOT) AJD]]-TABL1234[[#This Row],[SER_ IN]]</f>
        <v>0</v>
      </c>
    </row>
    <row r="10" spans="1:42" ht="18.75" x14ac:dyDescent="0.25">
      <c r="A10" s="2">
        <v>46396</v>
      </c>
      <c r="B10" s="28"/>
      <c r="C10" s="28"/>
      <c r="D10" s="28"/>
      <c r="E10" s="28"/>
      <c r="F10" s="28"/>
      <c r="G10" s="28"/>
      <c r="H10" s="28">
        <f t="shared" si="0"/>
        <v>103</v>
      </c>
      <c r="I10" s="28"/>
      <c r="J10" s="28"/>
      <c r="K10" s="28">
        <f>TABL1234[[#This Row],[خط (T/B  TOT) SAR]]+TABL1234[[#This Row],[خط (S/S  TOT) SAR2]]</f>
        <v>0</v>
      </c>
      <c r="L10" s="28"/>
      <c r="M10" s="29"/>
      <c r="N10" s="30"/>
      <c r="O10" s="3"/>
      <c r="P10" s="3">
        <f>TABL1234[[#This Row],[خط (S/S  TOT) SAR2]]-TABL1234[[#This Row],[(S/S TOT) AJD]]</f>
        <v>0</v>
      </c>
      <c r="Q10" s="3"/>
      <c r="R10" s="3">
        <f>TABL1234[[#This Row],[خط (T/B  TOT) SAR]]-TABL1234[[#This Row],[(T/B TOT) AJD]]</f>
        <v>0</v>
      </c>
      <c r="S10" s="3">
        <f>TABL1234[[#This Row],[الفرق بين بداية ونهاية خط  T/B]]+TABL1234[[#This Row],[الفرق بين بداية ونهاية خط  S/S]]</f>
        <v>0</v>
      </c>
      <c r="T10" s="3">
        <f>TABL1234[[#This Row],[(S/S TOT) AJD]]+TABL1234[[#This Row],[(T/B TOT) AJD]]</f>
        <v>0</v>
      </c>
      <c r="U10" s="3"/>
      <c r="V10" s="3"/>
      <c r="W10" s="3">
        <f>TABL1234[[#This Row],[(A/B TOT) AJD]]+TABL1234[[#This Row],[(A/S TOT) AJD]]</f>
        <v>0</v>
      </c>
      <c r="X10" s="3">
        <f>TABL1234[[#This Row],[( S/S+T/B) AJD]]-TABL1234[[#This Row],[(A/B + A/S) AJD]]</f>
        <v>0</v>
      </c>
      <c r="Y10" s="4"/>
      <c r="Z10" s="3"/>
      <c r="AA10" s="3">
        <f>TABL1234[[#This Row],[(RESV. STORGE) AJD]]/10</f>
        <v>0</v>
      </c>
      <c r="AB10" s="3">
        <f t="shared" si="1"/>
        <v>0</v>
      </c>
      <c r="AC10" s="6"/>
      <c r="AD10" s="5">
        <f>TABL1234[[#This Row],[( S/S+T/B) AJD]]-(TABL1234[[#This Row],[(A/B + A/S) AJD]]+(TABL1234[[#This Row],[(STORGE DIFF.) AJD]]*1000)+TABL1234[[#This Row],[البخر  AJD]])</f>
        <v>0</v>
      </c>
      <c r="AE10" s="6"/>
      <c r="AF10" s="33"/>
      <c r="AG10" s="6"/>
      <c r="AH10" s="6"/>
      <c r="AI10" s="6"/>
      <c r="AJ10" s="6">
        <f>TABL1234[[#This Row],[(A/B TOT) AJD]]-TABL1234[[#This Row],[BER_ IN]]</f>
        <v>0</v>
      </c>
      <c r="AK10" s="33"/>
      <c r="AL10" s="6"/>
      <c r="AM10" s="6"/>
      <c r="AN10" s="32">
        <f>TABL1234[[#This Row],[ (RESV. STORGE) SER]]/10</f>
        <v>0</v>
      </c>
      <c r="AO10" s="68"/>
      <c r="AP10" s="68">
        <f>TABL1234[[#This Row],[(A/S TOT) AJD]]-TABL1234[[#This Row],[SER_ IN]]</f>
        <v>0</v>
      </c>
    </row>
    <row r="11" spans="1:42" ht="18.75" x14ac:dyDescent="0.25">
      <c r="A11" s="2">
        <v>46397</v>
      </c>
      <c r="B11" s="28"/>
      <c r="C11" s="28"/>
      <c r="D11" s="28"/>
      <c r="E11" s="28"/>
      <c r="F11" s="28"/>
      <c r="G11" s="28"/>
      <c r="H11" s="28">
        <f t="shared" si="0"/>
        <v>103</v>
      </c>
      <c r="I11" s="28"/>
      <c r="J11" s="28"/>
      <c r="K11" s="28">
        <f>TABL1234[[#This Row],[خط (T/B  TOT) SAR]]+TABL1234[[#This Row],[خط (S/S  TOT) SAR2]]</f>
        <v>0</v>
      </c>
      <c r="L11" s="28"/>
      <c r="M11" s="29"/>
      <c r="N11" s="30"/>
      <c r="O11" s="3"/>
      <c r="P11" s="3">
        <f>TABL1234[[#This Row],[خط (S/S  TOT) SAR2]]-TABL1234[[#This Row],[(S/S TOT) AJD]]</f>
        <v>0</v>
      </c>
      <c r="Q11" s="3"/>
      <c r="R11" s="3">
        <f>TABL1234[[#This Row],[خط (T/B  TOT) SAR]]-TABL1234[[#This Row],[(T/B TOT) AJD]]</f>
        <v>0</v>
      </c>
      <c r="S11" s="3">
        <f>TABL1234[[#This Row],[الفرق بين بداية ونهاية خط  T/B]]+TABL1234[[#This Row],[الفرق بين بداية ونهاية خط  S/S]]</f>
        <v>0</v>
      </c>
      <c r="T11" s="3">
        <f>TABL1234[[#This Row],[(S/S TOT) AJD]]+TABL1234[[#This Row],[(T/B TOT) AJD]]</f>
        <v>0</v>
      </c>
      <c r="U11" s="3"/>
      <c r="V11" s="3"/>
      <c r="W11" s="3">
        <f>TABL1234[[#This Row],[(A/B TOT) AJD]]+TABL1234[[#This Row],[(A/S TOT) AJD]]</f>
        <v>0</v>
      </c>
      <c r="X11" s="3">
        <f>TABL1234[[#This Row],[( S/S+T/B) AJD]]-TABL1234[[#This Row],[(A/B + A/S) AJD]]</f>
        <v>0</v>
      </c>
      <c r="Y11" s="4"/>
      <c r="Z11" s="3"/>
      <c r="AA11" s="3">
        <f>TABL1234[[#This Row],[(RESV. STORGE) AJD]]/10</f>
        <v>0</v>
      </c>
      <c r="AB11" s="3">
        <f t="shared" si="1"/>
        <v>0</v>
      </c>
      <c r="AC11" s="6"/>
      <c r="AD11" s="5">
        <f>TABL1234[[#This Row],[( S/S+T/B) AJD]]-(TABL1234[[#This Row],[(A/B + A/S) AJD]]+(TABL1234[[#This Row],[(STORGE DIFF.) AJD]]*1000)+TABL1234[[#This Row],[البخر  AJD]])</f>
        <v>0</v>
      </c>
      <c r="AE11" s="6"/>
      <c r="AF11" s="33"/>
      <c r="AG11" s="6"/>
      <c r="AH11" s="6"/>
      <c r="AI11" s="6"/>
      <c r="AJ11" s="6">
        <f>TABL1234[[#This Row],[(A/B TOT) AJD]]-TABL1234[[#This Row],[BER_ IN]]</f>
        <v>0</v>
      </c>
      <c r="AK11" s="33"/>
      <c r="AL11" s="6"/>
      <c r="AM11" s="6"/>
      <c r="AN11" s="32">
        <f>TABL1234[[#This Row],[ (RESV. STORGE) SER]]/10</f>
        <v>0</v>
      </c>
      <c r="AO11" s="68"/>
      <c r="AP11" s="68">
        <f>TABL1234[[#This Row],[(A/S TOT) AJD]]-TABL1234[[#This Row],[SER_ IN]]</f>
        <v>0</v>
      </c>
    </row>
    <row r="12" spans="1:42" ht="18.75" x14ac:dyDescent="0.25">
      <c r="A12" s="2">
        <v>46398</v>
      </c>
      <c r="B12" s="28"/>
      <c r="C12" s="28"/>
      <c r="D12" s="28"/>
      <c r="E12" s="28"/>
      <c r="F12" s="28"/>
      <c r="G12" s="28"/>
      <c r="H12" s="28">
        <f t="shared" si="0"/>
        <v>103</v>
      </c>
      <c r="I12" s="28"/>
      <c r="J12" s="28"/>
      <c r="K12" s="28">
        <f>TABL1234[[#This Row],[خط (T/B  TOT) SAR]]+TABL1234[[#This Row],[خط (S/S  TOT) SAR2]]</f>
        <v>0</v>
      </c>
      <c r="L12" s="28"/>
      <c r="M12" s="29"/>
      <c r="N12" s="30"/>
      <c r="O12" s="3"/>
      <c r="P12" s="3">
        <f>TABL1234[[#This Row],[خط (S/S  TOT) SAR2]]-TABL1234[[#This Row],[(S/S TOT) AJD]]</f>
        <v>0</v>
      </c>
      <c r="Q12" s="3"/>
      <c r="R12" s="3">
        <f>TABL1234[[#This Row],[خط (T/B  TOT) SAR]]-TABL1234[[#This Row],[(T/B TOT) AJD]]</f>
        <v>0</v>
      </c>
      <c r="S12" s="3">
        <f>TABL1234[[#This Row],[الفرق بين بداية ونهاية خط  T/B]]+TABL1234[[#This Row],[الفرق بين بداية ونهاية خط  S/S]]</f>
        <v>0</v>
      </c>
      <c r="T12" s="3">
        <f>TABL1234[[#This Row],[(S/S TOT) AJD]]+TABL1234[[#This Row],[(T/B TOT) AJD]]</f>
        <v>0</v>
      </c>
      <c r="U12" s="3"/>
      <c r="V12" s="3"/>
      <c r="W12" s="3">
        <f>TABL1234[[#This Row],[(A/B TOT) AJD]]+TABL1234[[#This Row],[(A/S TOT) AJD]]</f>
        <v>0</v>
      </c>
      <c r="X12" s="3">
        <f>TABL1234[[#This Row],[( S/S+T/B) AJD]]-TABL1234[[#This Row],[(A/B + A/S) AJD]]</f>
        <v>0</v>
      </c>
      <c r="Y12" s="4"/>
      <c r="Z12" s="3"/>
      <c r="AA12" s="3">
        <f>TABL1234[[#This Row],[(RESV. STORGE) AJD]]/10</f>
        <v>0</v>
      </c>
      <c r="AB12" s="3">
        <f t="shared" si="1"/>
        <v>0</v>
      </c>
      <c r="AC12" s="6"/>
      <c r="AD12" s="5">
        <f>TABL1234[[#This Row],[( S/S+T/B) AJD]]-(TABL1234[[#This Row],[(A/B + A/S) AJD]]+(TABL1234[[#This Row],[(STORGE DIFF.) AJD]]*1000)+TABL1234[[#This Row],[البخر  AJD]])</f>
        <v>0</v>
      </c>
      <c r="AE12" s="6"/>
      <c r="AF12" s="33"/>
      <c r="AG12" s="6"/>
      <c r="AH12" s="6"/>
      <c r="AI12" s="6"/>
      <c r="AJ12" s="6">
        <f>TABL1234[[#This Row],[(A/B TOT) AJD]]-TABL1234[[#This Row],[BER_ IN]]</f>
        <v>0</v>
      </c>
      <c r="AK12" s="33"/>
      <c r="AL12" s="6"/>
      <c r="AM12" s="6"/>
      <c r="AN12" s="32">
        <f>TABL1234[[#This Row],[ (RESV. STORGE) SER]]/10</f>
        <v>0</v>
      </c>
      <c r="AO12" s="68"/>
      <c r="AP12" s="68">
        <f>TABL1234[[#This Row],[(A/S TOT) AJD]]-TABL1234[[#This Row],[SER_ IN]]</f>
        <v>0</v>
      </c>
    </row>
    <row r="13" spans="1:42" ht="18.75" x14ac:dyDescent="0.25">
      <c r="A13" s="2">
        <v>46399</v>
      </c>
      <c r="B13" s="28"/>
      <c r="C13" s="28"/>
      <c r="D13" s="28"/>
      <c r="E13" s="28"/>
      <c r="F13" s="28"/>
      <c r="G13" s="28"/>
      <c r="H13" s="28">
        <f t="shared" si="0"/>
        <v>103</v>
      </c>
      <c r="I13" s="28"/>
      <c r="J13" s="28"/>
      <c r="K13" s="28">
        <f>TABL1234[[#This Row],[خط (T/B  TOT) SAR]]+TABL1234[[#This Row],[خط (S/S  TOT) SAR2]]</f>
        <v>0</v>
      </c>
      <c r="L13" s="28"/>
      <c r="M13" s="29"/>
      <c r="N13" s="30"/>
      <c r="O13" s="3"/>
      <c r="P13" s="3">
        <f>TABL1234[[#This Row],[خط (S/S  TOT) SAR2]]-TABL1234[[#This Row],[(S/S TOT) AJD]]</f>
        <v>0</v>
      </c>
      <c r="Q13" s="3"/>
      <c r="R13" s="3">
        <f>TABL1234[[#This Row],[خط (T/B  TOT) SAR]]-TABL1234[[#This Row],[(T/B TOT) AJD]]</f>
        <v>0</v>
      </c>
      <c r="S13" s="3">
        <f>TABL1234[[#This Row],[الفرق بين بداية ونهاية خط  T/B]]+TABL1234[[#This Row],[الفرق بين بداية ونهاية خط  S/S]]</f>
        <v>0</v>
      </c>
      <c r="T13" s="3">
        <f>TABL1234[[#This Row],[(S/S TOT) AJD]]+TABL1234[[#This Row],[(T/B TOT) AJD]]</f>
        <v>0</v>
      </c>
      <c r="U13" s="3"/>
      <c r="V13" s="3"/>
      <c r="W13" s="3">
        <f>TABL1234[[#This Row],[(A/B TOT) AJD]]+TABL1234[[#This Row],[(A/S TOT) AJD]]</f>
        <v>0</v>
      </c>
      <c r="X13" s="3">
        <f>TABL1234[[#This Row],[( S/S+T/B) AJD]]-TABL1234[[#This Row],[(A/B + A/S) AJD]]</f>
        <v>0</v>
      </c>
      <c r="Y13" s="4"/>
      <c r="Z13" s="3"/>
      <c r="AA13" s="3">
        <f>TABL1234[[#This Row],[(RESV. STORGE) AJD]]/10</f>
        <v>0</v>
      </c>
      <c r="AB13" s="3">
        <f t="shared" si="1"/>
        <v>0</v>
      </c>
      <c r="AC13" s="6"/>
      <c r="AD13" s="5">
        <f>TABL1234[[#This Row],[( S/S+T/B) AJD]]-(TABL1234[[#This Row],[(A/B + A/S) AJD]]+(TABL1234[[#This Row],[(STORGE DIFF.) AJD]]*1000)+TABL1234[[#This Row],[البخر  AJD]])</f>
        <v>0</v>
      </c>
      <c r="AE13" s="6"/>
      <c r="AF13" s="33"/>
      <c r="AG13" s="6"/>
      <c r="AH13" s="6"/>
      <c r="AI13" s="6"/>
      <c r="AJ13" s="6">
        <f>TABL1234[[#This Row],[(A/B TOT) AJD]]-TABL1234[[#This Row],[BER_ IN]]</f>
        <v>0</v>
      </c>
      <c r="AK13" s="33"/>
      <c r="AL13" s="6"/>
      <c r="AM13" s="6"/>
      <c r="AN13" s="32">
        <f>TABL1234[[#This Row],[ (RESV. STORGE) SER]]/10</f>
        <v>0</v>
      </c>
      <c r="AO13" s="68"/>
      <c r="AP13" s="68">
        <f>TABL1234[[#This Row],[(A/S TOT) AJD]]-TABL1234[[#This Row],[SER_ IN]]</f>
        <v>0</v>
      </c>
    </row>
    <row r="14" spans="1:42" ht="18.75" x14ac:dyDescent="0.25">
      <c r="A14" s="2">
        <v>46400</v>
      </c>
      <c r="B14" s="28"/>
      <c r="C14" s="28"/>
      <c r="D14" s="28"/>
      <c r="E14" s="28"/>
      <c r="F14" s="28"/>
      <c r="G14" s="28"/>
      <c r="H14" s="28">
        <f t="shared" si="0"/>
        <v>103</v>
      </c>
      <c r="I14" s="28"/>
      <c r="J14" s="28"/>
      <c r="K14" s="28">
        <f>TABL1234[[#This Row],[خط (T/B  TOT) SAR]]+TABL1234[[#This Row],[خط (S/S  TOT) SAR2]]</f>
        <v>0</v>
      </c>
      <c r="L14" s="28"/>
      <c r="M14" s="29"/>
      <c r="N14" s="30"/>
      <c r="O14" s="3"/>
      <c r="P14" s="3">
        <f>TABL1234[[#This Row],[خط (S/S  TOT) SAR2]]-TABL1234[[#This Row],[(S/S TOT) AJD]]</f>
        <v>0</v>
      </c>
      <c r="Q14" s="3"/>
      <c r="R14" s="3">
        <f>TABL1234[[#This Row],[خط (T/B  TOT) SAR]]-TABL1234[[#This Row],[(T/B TOT) AJD]]</f>
        <v>0</v>
      </c>
      <c r="S14" s="3">
        <f>TABL1234[[#This Row],[الفرق بين بداية ونهاية خط  T/B]]+TABL1234[[#This Row],[الفرق بين بداية ونهاية خط  S/S]]</f>
        <v>0</v>
      </c>
      <c r="T14" s="3">
        <f>TABL1234[[#This Row],[(S/S TOT) AJD]]+TABL1234[[#This Row],[(T/B TOT) AJD]]</f>
        <v>0</v>
      </c>
      <c r="U14" s="3"/>
      <c r="V14" s="3"/>
      <c r="W14" s="3">
        <f>TABL1234[[#This Row],[(A/B TOT) AJD]]+TABL1234[[#This Row],[(A/S TOT) AJD]]</f>
        <v>0</v>
      </c>
      <c r="X14" s="3">
        <f>TABL1234[[#This Row],[( S/S+T/B) AJD]]-TABL1234[[#This Row],[(A/B + A/S) AJD]]</f>
        <v>0</v>
      </c>
      <c r="Y14" s="4"/>
      <c r="Z14" s="3"/>
      <c r="AA14" s="3">
        <f>TABL1234[[#This Row],[(RESV. STORGE) AJD]]/10</f>
        <v>0</v>
      </c>
      <c r="AB14" s="3">
        <f t="shared" si="1"/>
        <v>0</v>
      </c>
      <c r="AC14" s="6"/>
      <c r="AD14" s="5">
        <f>TABL1234[[#This Row],[( S/S+T/B) AJD]]-(TABL1234[[#This Row],[(A/B + A/S) AJD]]+(TABL1234[[#This Row],[(STORGE DIFF.) AJD]]*1000)+TABL1234[[#This Row],[البخر  AJD]])</f>
        <v>0</v>
      </c>
      <c r="AE14" s="6"/>
      <c r="AF14" s="33"/>
      <c r="AG14" s="6"/>
      <c r="AH14" s="6"/>
      <c r="AI14" s="6"/>
      <c r="AJ14" s="6">
        <f>TABL1234[[#This Row],[(A/B TOT) AJD]]-TABL1234[[#This Row],[BER_ IN]]</f>
        <v>0</v>
      </c>
      <c r="AK14" s="33"/>
      <c r="AL14" s="6"/>
      <c r="AM14" s="6"/>
      <c r="AN14" s="32">
        <f>TABL1234[[#This Row],[ (RESV. STORGE) SER]]/10</f>
        <v>0</v>
      </c>
      <c r="AO14" s="68"/>
      <c r="AP14" s="68">
        <f>TABL1234[[#This Row],[(A/S TOT) AJD]]-TABL1234[[#This Row],[SER_ IN]]</f>
        <v>0</v>
      </c>
    </row>
    <row r="15" spans="1:42" ht="18.75" x14ac:dyDescent="0.25">
      <c r="A15" s="2">
        <v>46401</v>
      </c>
      <c r="B15" s="28"/>
      <c r="C15" s="28"/>
      <c r="D15" s="28"/>
      <c r="E15" s="28"/>
      <c r="F15" s="28"/>
      <c r="G15" s="28"/>
      <c r="H15" s="28">
        <f t="shared" si="0"/>
        <v>103</v>
      </c>
      <c r="I15" s="28"/>
      <c r="J15" s="28"/>
      <c r="K15" s="28">
        <f>TABL1234[[#This Row],[خط (T/B  TOT) SAR]]+TABL1234[[#This Row],[خط (S/S  TOT) SAR2]]</f>
        <v>0</v>
      </c>
      <c r="L15" s="28"/>
      <c r="M15" s="29"/>
      <c r="N15" s="30"/>
      <c r="O15" s="3"/>
      <c r="P15" s="3">
        <f>TABL1234[[#This Row],[خط (S/S  TOT) SAR2]]-TABL1234[[#This Row],[(S/S TOT) AJD]]</f>
        <v>0</v>
      </c>
      <c r="Q15" s="3"/>
      <c r="R15" s="3">
        <f>TABL1234[[#This Row],[خط (T/B  TOT) SAR]]-TABL1234[[#This Row],[(T/B TOT) AJD]]</f>
        <v>0</v>
      </c>
      <c r="S15" s="3">
        <f>TABL1234[[#This Row],[الفرق بين بداية ونهاية خط  T/B]]+TABL1234[[#This Row],[الفرق بين بداية ونهاية خط  S/S]]</f>
        <v>0</v>
      </c>
      <c r="T15" s="3">
        <f>TABL1234[[#This Row],[(S/S TOT) AJD]]+TABL1234[[#This Row],[(T/B TOT) AJD]]</f>
        <v>0</v>
      </c>
      <c r="U15" s="3"/>
      <c r="V15" s="3"/>
      <c r="W15" s="3">
        <f>TABL1234[[#This Row],[(A/B TOT) AJD]]+TABL1234[[#This Row],[(A/S TOT) AJD]]</f>
        <v>0</v>
      </c>
      <c r="X15" s="3">
        <f>TABL1234[[#This Row],[( S/S+T/B) AJD]]-TABL1234[[#This Row],[(A/B + A/S) AJD]]</f>
        <v>0</v>
      </c>
      <c r="Y15" s="4"/>
      <c r="Z15" s="3"/>
      <c r="AA15" s="3">
        <f>TABL1234[[#This Row],[(RESV. STORGE) AJD]]/10</f>
        <v>0</v>
      </c>
      <c r="AB15" s="3">
        <f t="shared" si="1"/>
        <v>0</v>
      </c>
      <c r="AC15" s="6"/>
      <c r="AD15" s="5">
        <f>TABL1234[[#This Row],[( S/S+T/B) AJD]]-(TABL1234[[#This Row],[(A/B + A/S) AJD]]+(TABL1234[[#This Row],[(STORGE DIFF.) AJD]]*1000)+TABL1234[[#This Row],[البخر  AJD]])</f>
        <v>0</v>
      </c>
      <c r="AE15" s="6"/>
      <c r="AF15" s="33"/>
      <c r="AG15" s="6"/>
      <c r="AH15" s="6"/>
      <c r="AI15" s="6"/>
      <c r="AJ15" s="6">
        <f>TABL1234[[#This Row],[(A/B TOT) AJD]]-TABL1234[[#This Row],[BER_ IN]]</f>
        <v>0</v>
      </c>
      <c r="AK15" s="33"/>
      <c r="AL15" s="6"/>
      <c r="AM15" s="6"/>
      <c r="AN15" s="32">
        <f>TABL1234[[#This Row],[ (RESV. STORGE) SER]]/10</f>
        <v>0</v>
      </c>
      <c r="AO15" s="68"/>
      <c r="AP15" s="68">
        <f>TABL1234[[#This Row],[(A/S TOT) AJD]]-TABL1234[[#This Row],[SER_ IN]]</f>
        <v>0</v>
      </c>
    </row>
    <row r="16" spans="1:42" ht="18.75" x14ac:dyDescent="0.25">
      <c r="A16" s="2">
        <v>46402</v>
      </c>
      <c r="B16" s="28"/>
      <c r="C16" s="28"/>
      <c r="D16" s="28"/>
      <c r="E16" s="28"/>
      <c r="F16" s="28"/>
      <c r="G16" s="28"/>
      <c r="H16" s="28">
        <f t="shared" si="0"/>
        <v>103</v>
      </c>
      <c r="I16" s="28"/>
      <c r="J16" s="28"/>
      <c r="K16" s="28">
        <f>TABL1234[[#This Row],[خط (T/B  TOT) SAR]]+TABL1234[[#This Row],[خط (S/S  TOT) SAR2]]</f>
        <v>0</v>
      </c>
      <c r="L16" s="28"/>
      <c r="M16" s="29"/>
      <c r="N16" s="30"/>
      <c r="O16" s="3"/>
      <c r="P16" s="3">
        <f>TABL1234[[#This Row],[خط (S/S  TOT) SAR2]]-TABL1234[[#This Row],[(S/S TOT) AJD]]</f>
        <v>0</v>
      </c>
      <c r="Q16" s="3"/>
      <c r="R16" s="3">
        <f>TABL1234[[#This Row],[خط (T/B  TOT) SAR]]-TABL1234[[#This Row],[(T/B TOT) AJD]]</f>
        <v>0</v>
      </c>
      <c r="S16" s="3">
        <f>TABL1234[[#This Row],[الفرق بين بداية ونهاية خط  T/B]]+TABL1234[[#This Row],[الفرق بين بداية ونهاية خط  S/S]]</f>
        <v>0</v>
      </c>
      <c r="T16" s="3">
        <f>TABL1234[[#This Row],[(S/S TOT) AJD]]+TABL1234[[#This Row],[(T/B TOT) AJD]]</f>
        <v>0</v>
      </c>
      <c r="U16" s="3"/>
      <c r="V16" s="3"/>
      <c r="W16" s="3">
        <f>TABL1234[[#This Row],[(A/B TOT) AJD]]+TABL1234[[#This Row],[(A/S TOT) AJD]]</f>
        <v>0</v>
      </c>
      <c r="X16" s="3">
        <f>TABL1234[[#This Row],[( S/S+T/B) AJD]]-TABL1234[[#This Row],[(A/B + A/S) AJD]]</f>
        <v>0</v>
      </c>
      <c r="Y16" s="4"/>
      <c r="Z16" s="3"/>
      <c r="AA16" s="3">
        <f>TABL1234[[#This Row],[(RESV. STORGE) AJD]]/10</f>
        <v>0</v>
      </c>
      <c r="AB16" s="3">
        <f t="shared" si="1"/>
        <v>0</v>
      </c>
      <c r="AC16" s="6"/>
      <c r="AD16" s="5">
        <f>TABL1234[[#This Row],[( S/S+T/B) AJD]]-(TABL1234[[#This Row],[(A/B + A/S) AJD]]+(TABL1234[[#This Row],[(STORGE DIFF.) AJD]]*1000)+TABL1234[[#This Row],[البخر  AJD]])</f>
        <v>0</v>
      </c>
      <c r="AE16" s="6"/>
      <c r="AF16" s="33"/>
      <c r="AG16" s="6"/>
      <c r="AH16" s="6"/>
      <c r="AI16" s="6"/>
      <c r="AJ16" s="6">
        <f>TABL1234[[#This Row],[(A/B TOT) AJD]]-TABL1234[[#This Row],[BER_ IN]]</f>
        <v>0</v>
      </c>
      <c r="AK16" s="33"/>
      <c r="AL16" s="6"/>
      <c r="AM16" s="6"/>
      <c r="AN16" s="32">
        <f>TABL1234[[#This Row],[ (RESV. STORGE) SER]]/10</f>
        <v>0</v>
      </c>
      <c r="AO16" s="68"/>
      <c r="AP16" s="68">
        <f>TABL1234[[#This Row],[(A/S TOT) AJD]]-TABL1234[[#This Row],[SER_ IN]]</f>
        <v>0</v>
      </c>
    </row>
    <row r="17" spans="1:42" ht="18.75" x14ac:dyDescent="0.25">
      <c r="A17" s="2">
        <v>46403</v>
      </c>
      <c r="B17" s="28"/>
      <c r="C17" s="28"/>
      <c r="D17" s="28"/>
      <c r="E17" s="28"/>
      <c r="F17" s="28"/>
      <c r="G17" s="28"/>
      <c r="H17" s="28">
        <f t="shared" si="0"/>
        <v>103</v>
      </c>
      <c r="I17" s="28"/>
      <c r="J17" s="28"/>
      <c r="K17" s="28">
        <f>TABL1234[[#This Row],[خط (T/B  TOT) SAR]]+TABL1234[[#This Row],[خط (S/S  TOT) SAR2]]</f>
        <v>0</v>
      </c>
      <c r="L17" s="28"/>
      <c r="M17" s="29"/>
      <c r="N17" s="30"/>
      <c r="O17" s="3"/>
      <c r="P17" s="3">
        <f>TABL1234[[#This Row],[خط (S/S  TOT) SAR2]]-TABL1234[[#This Row],[(S/S TOT) AJD]]</f>
        <v>0</v>
      </c>
      <c r="Q17" s="3"/>
      <c r="R17" s="3">
        <f>TABL1234[[#This Row],[خط (T/B  TOT) SAR]]-TABL1234[[#This Row],[(T/B TOT) AJD]]</f>
        <v>0</v>
      </c>
      <c r="S17" s="3">
        <f>TABL1234[[#This Row],[الفرق بين بداية ونهاية خط  T/B]]+TABL1234[[#This Row],[الفرق بين بداية ونهاية خط  S/S]]</f>
        <v>0</v>
      </c>
      <c r="T17" s="3">
        <f>TABL1234[[#This Row],[(S/S TOT) AJD]]+TABL1234[[#This Row],[(T/B TOT) AJD]]</f>
        <v>0</v>
      </c>
      <c r="U17" s="3"/>
      <c r="V17" s="3"/>
      <c r="W17" s="3">
        <f>TABL1234[[#This Row],[(A/B TOT) AJD]]+TABL1234[[#This Row],[(A/S TOT) AJD]]</f>
        <v>0</v>
      </c>
      <c r="X17" s="3">
        <f>TABL1234[[#This Row],[( S/S+T/B) AJD]]-TABL1234[[#This Row],[(A/B + A/S) AJD]]</f>
        <v>0</v>
      </c>
      <c r="Y17" s="4"/>
      <c r="Z17" s="3"/>
      <c r="AA17" s="3">
        <f>TABL1234[[#This Row],[(RESV. STORGE) AJD]]/10</f>
        <v>0</v>
      </c>
      <c r="AB17" s="3">
        <f t="shared" si="1"/>
        <v>0</v>
      </c>
      <c r="AC17" s="6"/>
      <c r="AD17" s="5">
        <f>TABL1234[[#This Row],[( S/S+T/B) AJD]]-(TABL1234[[#This Row],[(A/B + A/S) AJD]]+(TABL1234[[#This Row],[(STORGE DIFF.) AJD]]*1000)+TABL1234[[#This Row],[البخر  AJD]])</f>
        <v>0</v>
      </c>
      <c r="AE17" s="6"/>
      <c r="AF17" s="33"/>
      <c r="AG17" s="6"/>
      <c r="AH17" s="6"/>
      <c r="AI17" s="6"/>
      <c r="AJ17" s="6">
        <f>TABL1234[[#This Row],[(A/B TOT) AJD]]-TABL1234[[#This Row],[BER_ IN]]</f>
        <v>0</v>
      </c>
      <c r="AK17" s="33"/>
      <c r="AL17" s="6"/>
      <c r="AM17" s="6"/>
      <c r="AN17" s="32">
        <f>TABL1234[[#This Row],[ (RESV. STORGE) SER]]/10</f>
        <v>0</v>
      </c>
      <c r="AO17" s="68"/>
      <c r="AP17" s="68">
        <f>TABL1234[[#This Row],[(A/S TOT) AJD]]-TABL1234[[#This Row],[SER_ IN]]</f>
        <v>0</v>
      </c>
    </row>
    <row r="18" spans="1:42" ht="18.75" x14ac:dyDescent="0.25">
      <c r="A18" s="2">
        <v>46404</v>
      </c>
      <c r="B18" s="28"/>
      <c r="C18" s="28"/>
      <c r="D18" s="28"/>
      <c r="E18" s="28"/>
      <c r="F18" s="28"/>
      <c r="G18" s="28"/>
      <c r="H18" s="28">
        <f t="shared" si="0"/>
        <v>103</v>
      </c>
      <c r="I18" s="28"/>
      <c r="J18" s="28"/>
      <c r="K18" s="28">
        <f>TABL1234[[#This Row],[خط (T/B  TOT) SAR]]+TABL1234[[#This Row],[خط (S/S  TOT) SAR2]]</f>
        <v>0</v>
      </c>
      <c r="L18" s="28"/>
      <c r="M18" s="29"/>
      <c r="N18" s="30"/>
      <c r="O18" s="3"/>
      <c r="P18" s="3">
        <f>TABL1234[[#This Row],[خط (S/S  TOT) SAR2]]-TABL1234[[#This Row],[(S/S TOT) AJD]]</f>
        <v>0</v>
      </c>
      <c r="Q18" s="3"/>
      <c r="R18" s="3">
        <f>TABL1234[[#This Row],[خط (T/B  TOT) SAR]]-TABL1234[[#This Row],[(T/B TOT) AJD]]</f>
        <v>0</v>
      </c>
      <c r="S18" s="3">
        <f>TABL1234[[#This Row],[الفرق بين بداية ونهاية خط  T/B]]+TABL1234[[#This Row],[الفرق بين بداية ونهاية خط  S/S]]</f>
        <v>0</v>
      </c>
      <c r="T18" s="3">
        <f>TABL1234[[#This Row],[(S/S TOT) AJD]]+TABL1234[[#This Row],[(T/B TOT) AJD]]</f>
        <v>0</v>
      </c>
      <c r="U18" s="3"/>
      <c r="V18" s="3"/>
      <c r="W18" s="3">
        <f>TABL1234[[#This Row],[(A/B TOT) AJD]]+TABL1234[[#This Row],[(A/S TOT) AJD]]</f>
        <v>0</v>
      </c>
      <c r="X18" s="3">
        <f>TABL1234[[#This Row],[( S/S+T/B) AJD]]-TABL1234[[#This Row],[(A/B + A/S) AJD]]</f>
        <v>0</v>
      </c>
      <c r="Y18" s="4"/>
      <c r="Z18" s="3"/>
      <c r="AA18" s="3">
        <f>TABL1234[[#This Row],[(RESV. STORGE) AJD]]/10</f>
        <v>0</v>
      </c>
      <c r="AB18" s="3">
        <f t="shared" si="1"/>
        <v>0</v>
      </c>
      <c r="AC18" s="6"/>
      <c r="AD18" s="5">
        <f>TABL1234[[#This Row],[( S/S+T/B) AJD]]-(TABL1234[[#This Row],[(A/B + A/S) AJD]]+(TABL1234[[#This Row],[(STORGE DIFF.) AJD]]*1000)+TABL1234[[#This Row],[البخر  AJD]])</f>
        <v>0</v>
      </c>
      <c r="AE18" s="6"/>
      <c r="AF18" s="33"/>
      <c r="AG18" s="6"/>
      <c r="AH18" s="6"/>
      <c r="AI18" s="6"/>
      <c r="AJ18" s="6">
        <f>TABL1234[[#This Row],[(A/B TOT) AJD]]-TABL1234[[#This Row],[BER_ IN]]</f>
        <v>0</v>
      </c>
      <c r="AK18" s="33"/>
      <c r="AL18" s="6"/>
      <c r="AM18" s="6"/>
      <c r="AN18" s="32">
        <f>TABL1234[[#This Row],[ (RESV. STORGE) SER]]/10</f>
        <v>0</v>
      </c>
      <c r="AO18" s="68"/>
      <c r="AP18" s="68">
        <f>TABL1234[[#This Row],[(A/S TOT) AJD]]-TABL1234[[#This Row],[SER_ IN]]</f>
        <v>0</v>
      </c>
    </row>
    <row r="19" spans="1:42" ht="18.75" x14ac:dyDescent="0.25">
      <c r="A19" s="2">
        <v>46405</v>
      </c>
      <c r="B19" s="28"/>
      <c r="C19" s="28"/>
      <c r="D19" s="28"/>
      <c r="E19" s="28"/>
      <c r="F19" s="28"/>
      <c r="G19" s="28"/>
      <c r="H19" s="28">
        <f t="shared" si="0"/>
        <v>103</v>
      </c>
      <c r="I19" s="28"/>
      <c r="J19" s="28"/>
      <c r="K19" s="28">
        <f>TABL1234[[#This Row],[خط (T/B  TOT) SAR]]+TABL1234[[#This Row],[خط (S/S  TOT) SAR2]]</f>
        <v>0</v>
      </c>
      <c r="L19" s="28"/>
      <c r="M19" s="29"/>
      <c r="N19" s="30"/>
      <c r="O19" s="3"/>
      <c r="P19" s="3">
        <f>TABL1234[[#This Row],[خط (S/S  TOT) SAR2]]-TABL1234[[#This Row],[(S/S TOT) AJD]]</f>
        <v>0</v>
      </c>
      <c r="Q19" s="3"/>
      <c r="R19" s="3">
        <f>TABL1234[[#This Row],[خط (T/B  TOT) SAR]]-TABL1234[[#This Row],[(T/B TOT) AJD]]</f>
        <v>0</v>
      </c>
      <c r="S19" s="3">
        <f>TABL1234[[#This Row],[الفرق بين بداية ونهاية خط  T/B]]+TABL1234[[#This Row],[الفرق بين بداية ونهاية خط  S/S]]</f>
        <v>0</v>
      </c>
      <c r="T19" s="3">
        <f>TABL1234[[#This Row],[(S/S TOT) AJD]]+TABL1234[[#This Row],[(T/B TOT) AJD]]</f>
        <v>0</v>
      </c>
      <c r="U19" s="3"/>
      <c r="V19" s="3"/>
      <c r="W19" s="3">
        <f>TABL1234[[#This Row],[(A/B TOT) AJD]]+TABL1234[[#This Row],[(A/S TOT) AJD]]</f>
        <v>0</v>
      </c>
      <c r="X19" s="3">
        <f>TABL1234[[#This Row],[( S/S+T/B) AJD]]-TABL1234[[#This Row],[(A/B + A/S) AJD]]</f>
        <v>0</v>
      </c>
      <c r="Y19" s="4"/>
      <c r="Z19" s="3"/>
      <c r="AA19" s="3">
        <f>TABL1234[[#This Row],[(RESV. STORGE) AJD]]/10</f>
        <v>0</v>
      </c>
      <c r="AB19" s="3">
        <f t="shared" si="1"/>
        <v>0</v>
      </c>
      <c r="AC19" s="6"/>
      <c r="AD19" s="5">
        <f>TABL1234[[#This Row],[( S/S+T/B) AJD]]-(TABL1234[[#This Row],[(A/B + A/S) AJD]]+(TABL1234[[#This Row],[(STORGE DIFF.) AJD]]*1000)+TABL1234[[#This Row],[البخر  AJD]])</f>
        <v>0</v>
      </c>
      <c r="AE19" s="6"/>
      <c r="AF19" s="33"/>
      <c r="AG19" s="6"/>
      <c r="AH19" s="6"/>
      <c r="AI19" s="6"/>
      <c r="AJ19" s="6">
        <f>TABL1234[[#This Row],[(A/B TOT) AJD]]-TABL1234[[#This Row],[BER_ IN]]</f>
        <v>0</v>
      </c>
      <c r="AK19" s="33"/>
      <c r="AL19" s="6"/>
      <c r="AM19" s="6"/>
      <c r="AN19" s="32">
        <f>TABL1234[[#This Row],[ (RESV. STORGE) SER]]/10</f>
        <v>0</v>
      </c>
      <c r="AO19" s="68"/>
      <c r="AP19" s="68">
        <f>TABL1234[[#This Row],[(A/S TOT) AJD]]-TABL1234[[#This Row],[SER_ IN]]</f>
        <v>0</v>
      </c>
    </row>
    <row r="20" spans="1:42" ht="18.75" x14ac:dyDescent="0.25">
      <c r="A20" s="2">
        <v>46406</v>
      </c>
      <c r="B20" s="28"/>
      <c r="C20" s="28"/>
      <c r="D20" s="28"/>
      <c r="E20" s="28"/>
      <c r="F20" s="28"/>
      <c r="G20" s="28"/>
      <c r="H20" s="28">
        <f t="shared" si="0"/>
        <v>103</v>
      </c>
      <c r="I20" s="28"/>
      <c r="J20" s="28"/>
      <c r="K20" s="28">
        <f>TABL1234[[#This Row],[خط (T/B  TOT) SAR]]+TABL1234[[#This Row],[خط (S/S  TOT) SAR2]]</f>
        <v>0</v>
      </c>
      <c r="L20" s="28"/>
      <c r="M20" s="29"/>
      <c r="N20" s="30"/>
      <c r="O20" s="3"/>
      <c r="P20" s="3">
        <f>TABL1234[[#This Row],[خط (S/S  TOT) SAR2]]-TABL1234[[#This Row],[(S/S TOT) AJD]]</f>
        <v>0</v>
      </c>
      <c r="Q20" s="3"/>
      <c r="R20" s="3">
        <f>TABL1234[[#This Row],[خط (T/B  TOT) SAR]]-TABL1234[[#This Row],[(T/B TOT) AJD]]</f>
        <v>0</v>
      </c>
      <c r="S20" s="3">
        <f>TABL1234[[#This Row],[الفرق بين بداية ونهاية خط  T/B]]+TABL1234[[#This Row],[الفرق بين بداية ونهاية خط  S/S]]</f>
        <v>0</v>
      </c>
      <c r="T20" s="3">
        <f>TABL1234[[#This Row],[(S/S TOT) AJD]]+TABL1234[[#This Row],[(T/B TOT) AJD]]</f>
        <v>0</v>
      </c>
      <c r="U20" s="3"/>
      <c r="V20" s="3"/>
      <c r="W20" s="3">
        <f>TABL1234[[#This Row],[(A/B TOT) AJD]]+TABL1234[[#This Row],[(A/S TOT) AJD]]</f>
        <v>0</v>
      </c>
      <c r="X20" s="3">
        <f>TABL1234[[#This Row],[( S/S+T/B) AJD]]-TABL1234[[#This Row],[(A/B + A/S) AJD]]</f>
        <v>0</v>
      </c>
      <c r="Y20" s="4"/>
      <c r="Z20" s="3"/>
      <c r="AA20" s="3">
        <f>TABL1234[[#This Row],[(RESV. STORGE) AJD]]/10</f>
        <v>0</v>
      </c>
      <c r="AB20" s="3">
        <f t="shared" si="1"/>
        <v>0</v>
      </c>
      <c r="AC20" s="6"/>
      <c r="AD20" s="5">
        <f>TABL1234[[#This Row],[( S/S+T/B) AJD]]-(TABL1234[[#This Row],[(A/B + A/S) AJD]]+(TABL1234[[#This Row],[(STORGE DIFF.) AJD]]*1000)+TABL1234[[#This Row],[البخر  AJD]])</f>
        <v>0</v>
      </c>
      <c r="AE20" s="6"/>
      <c r="AF20" s="33"/>
      <c r="AG20" s="6"/>
      <c r="AH20" s="6"/>
      <c r="AI20" s="6"/>
      <c r="AJ20" s="6">
        <f>TABL1234[[#This Row],[(A/B TOT) AJD]]-TABL1234[[#This Row],[BER_ IN]]</f>
        <v>0</v>
      </c>
      <c r="AK20" s="33"/>
      <c r="AL20" s="6"/>
      <c r="AM20" s="6"/>
      <c r="AN20" s="32">
        <f>TABL1234[[#This Row],[ (RESV. STORGE) SER]]/10</f>
        <v>0</v>
      </c>
      <c r="AO20" s="68"/>
      <c r="AP20" s="68">
        <f>TABL1234[[#This Row],[(A/S TOT) AJD]]-TABL1234[[#This Row],[SER_ IN]]</f>
        <v>0</v>
      </c>
    </row>
    <row r="21" spans="1:42" ht="18.75" x14ac:dyDescent="0.25">
      <c r="A21" s="2">
        <v>46407</v>
      </c>
      <c r="B21" s="28"/>
      <c r="C21" s="28"/>
      <c r="D21" s="28"/>
      <c r="E21" s="28"/>
      <c r="F21" s="28"/>
      <c r="G21" s="28"/>
      <c r="H21" s="28">
        <f t="shared" si="0"/>
        <v>103</v>
      </c>
      <c r="I21" s="28"/>
      <c r="J21" s="28"/>
      <c r="K21" s="28">
        <f>TABL1234[[#This Row],[خط (T/B  TOT) SAR]]+TABL1234[[#This Row],[خط (S/S  TOT) SAR2]]</f>
        <v>0</v>
      </c>
      <c r="L21" s="28"/>
      <c r="M21" s="29"/>
      <c r="N21" s="30"/>
      <c r="O21" s="3"/>
      <c r="P21" s="3">
        <f>TABL1234[[#This Row],[خط (S/S  TOT) SAR2]]-TABL1234[[#This Row],[(S/S TOT) AJD]]</f>
        <v>0</v>
      </c>
      <c r="Q21" s="3"/>
      <c r="R21" s="3">
        <f>TABL1234[[#This Row],[خط (T/B  TOT) SAR]]-TABL1234[[#This Row],[(T/B TOT) AJD]]</f>
        <v>0</v>
      </c>
      <c r="S21" s="3">
        <f>TABL1234[[#This Row],[الفرق بين بداية ونهاية خط  T/B]]+TABL1234[[#This Row],[الفرق بين بداية ونهاية خط  S/S]]</f>
        <v>0</v>
      </c>
      <c r="T21" s="3">
        <f>TABL1234[[#This Row],[(S/S TOT) AJD]]+TABL1234[[#This Row],[(T/B TOT) AJD]]</f>
        <v>0</v>
      </c>
      <c r="U21" s="3"/>
      <c r="V21" s="3"/>
      <c r="W21" s="3">
        <f>TABL1234[[#This Row],[(A/B TOT) AJD]]+TABL1234[[#This Row],[(A/S TOT) AJD]]</f>
        <v>0</v>
      </c>
      <c r="X21" s="3">
        <f>TABL1234[[#This Row],[( S/S+T/B) AJD]]-TABL1234[[#This Row],[(A/B + A/S) AJD]]</f>
        <v>0</v>
      </c>
      <c r="Y21" s="4"/>
      <c r="Z21" s="3"/>
      <c r="AA21" s="3">
        <f>TABL1234[[#This Row],[(RESV. STORGE) AJD]]/10</f>
        <v>0</v>
      </c>
      <c r="AB21" s="3">
        <f t="shared" si="1"/>
        <v>0</v>
      </c>
      <c r="AC21" s="6"/>
      <c r="AD21" s="5">
        <f>TABL1234[[#This Row],[( S/S+T/B) AJD]]-(TABL1234[[#This Row],[(A/B + A/S) AJD]]+(TABL1234[[#This Row],[(STORGE DIFF.) AJD]]*1000)+TABL1234[[#This Row],[البخر  AJD]])</f>
        <v>0</v>
      </c>
      <c r="AE21" s="6"/>
      <c r="AF21" s="33"/>
      <c r="AG21" s="6"/>
      <c r="AH21" s="6"/>
      <c r="AI21" s="6"/>
      <c r="AJ21" s="6">
        <f>TABL1234[[#This Row],[(A/B TOT) AJD]]-TABL1234[[#This Row],[BER_ IN]]</f>
        <v>0</v>
      </c>
      <c r="AK21" s="33"/>
      <c r="AL21" s="6"/>
      <c r="AM21" s="6"/>
      <c r="AN21" s="32">
        <f>TABL1234[[#This Row],[ (RESV. STORGE) SER]]/10</f>
        <v>0</v>
      </c>
      <c r="AO21" s="68"/>
      <c r="AP21" s="68">
        <f>TABL1234[[#This Row],[(A/S TOT) AJD]]-TABL1234[[#This Row],[SER_ IN]]</f>
        <v>0</v>
      </c>
    </row>
    <row r="22" spans="1:42" ht="18.75" x14ac:dyDescent="0.25">
      <c r="A22" s="2">
        <v>46408</v>
      </c>
      <c r="B22" s="28"/>
      <c r="C22" s="28"/>
      <c r="D22" s="28"/>
      <c r="E22" s="28"/>
      <c r="F22" s="28"/>
      <c r="G22" s="28"/>
      <c r="H22" s="28">
        <f t="shared" si="0"/>
        <v>103</v>
      </c>
      <c r="I22" s="28"/>
      <c r="J22" s="28"/>
      <c r="K22" s="28">
        <f>TABL1234[[#This Row],[خط (T/B  TOT) SAR]]+TABL1234[[#This Row],[خط (S/S  TOT) SAR2]]</f>
        <v>0</v>
      </c>
      <c r="L22" s="28"/>
      <c r="M22" s="29"/>
      <c r="N22" s="30"/>
      <c r="O22" s="3"/>
      <c r="P22" s="3">
        <f>TABL1234[[#This Row],[خط (S/S  TOT) SAR2]]-TABL1234[[#This Row],[(S/S TOT) AJD]]</f>
        <v>0</v>
      </c>
      <c r="Q22" s="3"/>
      <c r="R22" s="3">
        <f>TABL1234[[#This Row],[خط (T/B  TOT) SAR]]-TABL1234[[#This Row],[(T/B TOT) AJD]]</f>
        <v>0</v>
      </c>
      <c r="S22" s="3">
        <f>TABL1234[[#This Row],[الفرق بين بداية ونهاية خط  T/B]]+TABL1234[[#This Row],[الفرق بين بداية ونهاية خط  S/S]]</f>
        <v>0</v>
      </c>
      <c r="T22" s="3">
        <f>TABL1234[[#This Row],[(S/S TOT) AJD]]+TABL1234[[#This Row],[(T/B TOT) AJD]]</f>
        <v>0</v>
      </c>
      <c r="U22" s="3"/>
      <c r="V22" s="3"/>
      <c r="W22" s="3">
        <f>TABL1234[[#This Row],[(A/B TOT) AJD]]+TABL1234[[#This Row],[(A/S TOT) AJD]]</f>
        <v>0</v>
      </c>
      <c r="X22" s="3">
        <f>TABL1234[[#This Row],[( S/S+T/B) AJD]]-TABL1234[[#This Row],[(A/B + A/S) AJD]]</f>
        <v>0</v>
      </c>
      <c r="Y22" s="4"/>
      <c r="Z22" s="3"/>
      <c r="AA22" s="3">
        <f>TABL1234[[#This Row],[(RESV. STORGE) AJD]]/10</f>
        <v>0</v>
      </c>
      <c r="AB22" s="3">
        <f t="shared" si="1"/>
        <v>0</v>
      </c>
      <c r="AC22" s="6"/>
      <c r="AD22" s="5">
        <f>TABL1234[[#This Row],[( S/S+T/B) AJD]]-(TABL1234[[#This Row],[(A/B + A/S) AJD]]+(TABL1234[[#This Row],[(STORGE DIFF.) AJD]]*1000)+TABL1234[[#This Row],[البخر  AJD]])</f>
        <v>0</v>
      </c>
      <c r="AE22" s="6"/>
      <c r="AF22" s="33"/>
      <c r="AG22" s="6"/>
      <c r="AH22" s="6"/>
      <c r="AI22" s="6"/>
      <c r="AJ22" s="6">
        <f>TABL1234[[#This Row],[(A/B TOT) AJD]]-TABL1234[[#This Row],[BER_ IN]]</f>
        <v>0</v>
      </c>
      <c r="AK22" s="33"/>
      <c r="AL22" s="6"/>
      <c r="AM22" s="6"/>
      <c r="AN22" s="32">
        <f>TABL1234[[#This Row],[ (RESV. STORGE) SER]]/10</f>
        <v>0</v>
      </c>
      <c r="AO22" s="68"/>
      <c r="AP22" s="68">
        <f>TABL1234[[#This Row],[(A/S TOT) AJD]]-TABL1234[[#This Row],[SER_ IN]]</f>
        <v>0</v>
      </c>
    </row>
    <row r="23" spans="1:42" ht="18.75" x14ac:dyDescent="0.25">
      <c r="A23" s="2">
        <v>46409</v>
      </c>
      <c r="B23" s="28"/>
      <c r="C23" s="28"/>
      <c r="D23" s="28"/>
      <c r="E23" s="28"/>
      <c r="F23" s="28"/>
      <c r="G23" s="28"/>
      <c r="H23" s="28">
        <f t="shared" si="0"/>
        <v>103</v>
      </c>
      <c r="I23" s="28"/>
      <c r="J23" s="28"/>
      <c r="K23" s="28">
        <f>TABL1234[[#This Row],[خط (T/B  TOT) SAR]]+TABL1234[[#This Row],[خط (S/S  TOT) SAR2]]</f>
        <v>0</v>
      </c>
      <c r="L23" s="28"/>
      <c r="M23" s="29"/>
      <c r="N23" s="30"/>
      <c r="O23" s="3"/>
      <c r="P23" s="3">
        <f>TABL1234[[#This Row],[خط (S/S  TOT) SAR2]]-TABL1234[[#This Row],[(S/S TOT) AJD]]</f>
        <v>0</v>
      </c>
      <c r="Q23" s="3"/>
      <c r="R23" s="3">
        <f>TABL1234[[#This Row],[خط (T/B  TOT) SAR]]-TABL1234[[#This Row],[(T/B TOT) AJD]]</f>
        <v>0</v>
      </c>
      <c r="S23" s="3">
        <f>TABL1234[[#This Row],[الفرق بين بداية ونهاية خط  T/B]]+TABL1234[[#This Row],[الفرق بين بداية ونهاية خط  S/S]]</f>
        <v>0</v>
      </c>
      <c r="T23" s="3">
        <f>TABL1234[[#This Row],[(S/S TOT) AJD]]+TABL1234[[#This Row],[(T/B TOT) AJD]]</f>
        <v>0</v>
      </c>
      <c r="U23" s="3"/>
      <c r="V23" s="3"/>
      <c r="W23" s="3">
        <f>TABL1234[[#This Row],[(A/B TOT) AJD]]+TABL1234[[#This Row],[(A/S TOT) AJD]]</f>
        <v>0</v>
      </c>
      <c r="X23" s="3">
        <f>TABL1234[[#This Row],[( S/S+T/B) AJD]]-TABL1234[[#This Row],[(A/B + A/S) AJD]]</f>
        <v>0</v>
      </c>
      <c r="Y23" s="4"/>
      <c r="Z23" s="3"/>
      <c r="AA23" s="3">
        <f>TABL1234[[#This Row],[(RESV. STORGE) AJD]]/10</f>
        <v>0</v>
      </c>
      <c r="AB23" s="3">
        <f t="shared" si="1"/>
        <v>0</v>
      </c>
      <c r="AC23" s="6"/>
      <c r="AD23" s="5">
        <f>TABL1234[[#This Row],[( S/S+T/B) AJD]]-(TABL1234[[#This Row],[(A/B + A/S) AJD]]+(TABL1234[[#This Row],[(STORGE DIFF.) AJD]]*1000)+TABL1234[[#This Row],[البخر  AJD]])</f>
        <v>0</v>
      </c>
      <c r="AE23" s="6"/>
      <c r="AF23" s="33"/>
      <c r="AG23" s="6"/>
      <c r="AH23" s="6"/>
      <c r="AI23" s="6"/>
      <c r="AJ23" s="6">
        <f>TABL1234[[#This Row],[(A/B TOT) AJD]]-TABL1234[[#This Row],[BER_ IN]]</f>
        <v>0</v>
      </c>
      <c r="AK23" s="33"/>
      <c r="AL23" s="6"/>
      <c r="AM23" s="6"/>
      <c r="AN23" s="32">
        <f>TABL1234[[#This Row],[ (RESV. STORGE) SER]]/10</f>
        <v>0</v>
      </c>
      <c r="AO23" s="68"/>
      <c r="AP23" s="68">
        <f>TABL1234[[#This Row],[(A/S TOT) AJD]]-TABL1234[[#This Row],[SER_ IN]]</f>
        <v>0</v>
      </c>
    </row>
    <row r="24" spans="1:42" ht="18.75" x14ac:dyDescent="0.25">
      <c r="A24" s="2">
        <v>46410</v>
      </c>
      <c r="B24" s="28"/>
      <c r="C24" s="28"/>
      <c r="D24" s="28"/>
      <c r="E24" s="28"/>
      <c r="F24" s="28"/>
      <c r="G24" s="28"/>
      <c r="H24" s="28">
        <f t="shared" si="0"/>
        <v>103</v>
      </c>
      <c r="I24" s="28"/>
      <c r="J24" s="28"/>
      <c r="K24" s="28">
        <f>TABL1234[[#This Row],[خط (T/B  TOT) SAR]]+TABL1234[[#This Row],[خط (S/S  TOT) SAR2]]</f>
        <v>0</v>
      </c>
      <c r="L24" s="28"/>
      <c r="M24" s="29"/>
      <c r="N24" s="30"/>
      <c r="O24" s="3"/>
      <c r="P24" s="3">
        <f>TABL1234[[#This Row],[خط (S/S  TOT) SAR2]]-TABL1234[[#This Row],[(S/S TOT) AJD]]</f>
        <v>0</v>
      </c>
      <c r="Q24" s="3"/>
      <c r="R24" s="3">
        <f>TABL1234[[#This Row],[خط (T/B  TOT) SAR]]-TABL1234[[#This Row],[(T/B TOT) AJD]]</f>
        <v>0</v>
      </c>
      <c r="S24" s="3">
        <f>TABL1234[[#This Row],[الفرق بين بداية ونهاية خط  T/B]]+TABL1234[[#This Row],[الفرق بين بداية ونهاية خط  S/S]]</f>
        <v>0</v>
      </c>
      <c r="T24" s="3">
        <f>TABL1234[[#This Row],[(S/S TOT) AJD]]+TABL1234[[#This Row],[(T/B TOT) AJD]]</f>
        <v>0</v>
      </c>
      <c r="U24" s="3"/>
      <c r="V24" s="3"/>
      <c r="W24" s="3">
        <f>TABL1234[[#This Row],[(A/B TOT) AJD]]+TABL1234[[#This Row],[(A/S TOT) AJD]]</f>
        <v>0</v>
      </c>
      <c r="X24" s="3">
        <f>TABL1234[[#This Row],[( S/S+T/B) AJD]]-TABL1234[[#This Row],[(A/B + A/S) AJD]]</f>
        <v>0</v>
      </c>
      <c r="Y24" s="4"/>
      <c r="Z24" s="3"/>
      <c r="AA24" s="3">
        <f>TABL1234[[#This Row],[(RESV. STORGE) AJD]]/10</f>
        <v>0</v>
      </c>
      <c r="AB24" s="3">
        <f t="shared" si="1"/>
        <v>0</v>
      </c>
      <c r="AC24" s="6"/>
      <c r="AD24" s="5">
        <f>TABL1234[[#This Row],[( S/S+T/B) AJD]]-(TABL1234[[#This Row],[(A/B + A/S) AJD]]+(TABL1234[[#This Row],[(STORGE DIFF.) AJD]]*1000)+TABL1234[[#This Row],[البخر  AJD]])</f>
        <v>0</v>
      </c>
      <c r="AE24" s="6"/>
      <c r="AF24" s="33"/>
      <c r="AG24" s="6"/>
      <c r="AH24" s="6"/>
      <c r="AI24" s="6"/>
      <c r="AJ24" s="6">
        <f>TABL1234[[#This Row],[(A/B TOT) AJD]]-TABL1234[[#This Row],[BER_ IN]]</f>
        <v>0</v>
      </c>
      <c r="AK24" s="33"/>
      <c r="AL24" s="6"/>
      <c r="AM24" s="6"/>
      <c r="AN24" s="32">
        <f>TABL1234[[#This Row],[ (RESV. STORGE) SER]]/10</f>
        <v>0</v>
      </c>
      <c r="AO24" s="68"/>
      <c r="AP24" s="68">
        <f>TABL1234[[#This Row],[(A/S TOT) AJD]]-TABL1234[[#This Row],[SER_ IN]]</f>
        <v>0</v>
      </c>
    </row>
    <row r="25" spans="1:42" ht="18.75" x14ac:dyDescent="0.25">
      <c r="A25" s="2">
        <v>46411</v>
      </c>
      <c r="B25" s="28"/>
      <c r="C25" s="28"/>
      <c r="D25" s="28"/>
      <c r="E25" s="28"/>
      <c r="F25" s="28"/>
      <c r="G25" s="28"/>
      <c r="H25" s="28">
        <f t="shared" si="0"/>
        <v>103</v>
      </c>
      <c r="I25" s="28"/>
      <c r="J25" s="28"/>
      <c r="K25" s="28">
        <f>TABL1234[[#This Row],[خط (T/B  TOT) SAR]]+TABL1234[[#This Row],[خط (S/S  TOT) SAR2]]</f>
        <v>0</v>
      </c>
      <c r="L25" s="28"/>
      <c r="M25" s="29"/>
      <c r="N25" s="30"/>
      <c r="O25" s="3"/>
      <c r="P25" s="3">
        <f>TABL1234[[#This Row],[خط (S/S  TOT) SAR2]]-TABL1234[[#This Row],[(S/S TOT) AJD]]</f>
        <v>0</v>
      </c>
      <c r="Q25" s="3"/>
      <c r="R25" s="3">
        <f>TABL1234[[#This Row],[خط (T/B  TOT) SAR]]-TABL1234[[#This Row],[(T/B TOT) AJD]]</f>
        <v>0</v>
      </c>
      <c r="S25" s="3">
        <f>TABL1234[[#This Row],[الفرق بين بداية ونهاية خط  T/B]]+TABL1234[[#This Row],[الفرق بين بداية ونهاية خط  S/S]]</f>
        <v>0</v>
      </c>
      <c r="T25" s="3">
        <f>TABL1234[[#This Row],[(S/S TOT) AJD]]+TABL1234[[#This Row],[(T/B TOT) AJD]]</f>
        <v>0</v>
      </c>
      <c r="U25" s="3"/>
      <c r="V25" s="3"/>
      <c r="W25" s="3">
        <f>TABL1234[[#This Row],[(A/B TOT) AJD]]+TABL1234[[#This Row],[(A/S TOT) AJD]]</f>
        <v>0</v>
      </c>
      <c r="X25" s="3">
        <f>TABL1234[[#This Row],[( S/S+T/B) AJD]]-TABL1234[[#This Row],[(A/B + A/S) AJD]]</f>
        <v>0</v>
      </c>
      <c r="Y25" s="4"/>
      <c r="Z25" s="3"/>
      <c r="AA25" s="3">
        <f>TABL1234[[#This Row],[(RESV. STORGE) AJD]]/10</f>
        <v>0</v>
      </c>
      <c r="AB25" s="3">
        <f t="shared" si="1"/>
        <v>0</v>
      </c>
      <c r="AC25" s="6"/>
      <c r="AD25" s="5">
        <f>TABL1234[[#This Row],[( S/S+T/B) AJD]]-(TABL1234[[#This Row],[(A/B + A/S) AJD]]+(TABL1234[[#This Row],[(STORGE DIFF.) AJD]]*1000)+TABL1234[[#This Row],[البخر  AJD]])</f>
        <v>0</v>
      </c>
      <c r="AE25" s="6"/>
      <c r="AF25" s="33"/>
      <c r="AG25" s="6"/>
      <c r="AH25" s="6"/>
      <c r="AI25" s="6"/>
      <c r="AJ25" s="6">
        <f>TABL1234[[#This Row],[(A/B TOT) AJD]]-TABL1234[[#This Row],[BER_ IN]]</f>
        <v>0</v>
      </c>
      <c r="AK25" s="33"/>
      <c r="AL25" s="6"/>
      <c r="AM25" s="6"/>
      <c r="AN25" s="32">
        <f>TABL1234[[#This Row],[ (RESV. STORGE) SER]]/10</f>
        <v>0</v>
      </c>
      <c r="AO25" s="68"/>
      <c r="AP25" s="68">
        <f>TABL1234[[#This Row],[(A/S TOT) AJD]]-TABL1234[[#This Row],[SER_ IN]]</f>
        <v>0</v>
      </c>
    </row>
    <row r="26" spans="1:42" ht="18.75" x14ac:dyDescent="0.25">
      <c r="A26" s="2">
        <v>46412</v>
      </c>
      <c r="B26" s="28"/>
      <c r="C26" s="28"/>
      <c r="D26" s="28"/>
      <c r="E26" s="28"/>
      <c r="F26" s="28"/>
      <c r="G26" s="28"/>
      <c r="H26" s="28">
        <f t="shared" si="0"/>
        <v>103</v>
      </c>
      <c r="I26" s="28"/>
      <c r="J26" s="28"/>
      <c r="K26" s="28">
        <f>TABL1234[[#This Row],[خط (T/B  TOT) SAR]]+TABL1234[[#This Row],[خط (S/S  TOT) SAR2]]</f>
        <v>0</v>
      </c>
      <c r="L26" s="28"/>
      <c r="M26" s="29"/>
      <c r="N26" s="30"/>
      <c r="O26" s="3"/>
      <c r="P26" s="3">
        <f>TABL1234[[#This Row],[خط (S/S  TOT) SAR2]]-TABL1234[[#This Row],[(S/S TOT) AJD]]</f>
        <v>0</v>
      </c>
      <c r="Q26" s="3"/>
      <c r="R26" s="3">
        <f>TABL1234[[#This Row],[خط (T/B  TOT) SAR]]-TABL1234[[#This Row],[(T/B TOT) AJD]]</f>
        <v>0</v>
      </c>
      <c r="S26" s="3">
        <f>TABL1234[[#This Row],[الفرق بين بداية ونهاية خط  T/B]]+TABL1234[[#This Row],[الفرق بين بداية ونهاية خط  S/S]]</f>
        <v>0</v>
      </c>
      <c r="T26" s="3">
        <f>TABL1234[[#This Row],[(S/S TOT) AJD]]+TABL1234[[#This Row],[(T/B TOT) AJD]]</f>
        <v>0</v>
      </c>
      <c r="U26" s="3"/>
      <c r="V26" s="3"/>
      <c r="W26" s="3">
        <f>TABL1234[[#This Row],[(A/B TOT) AJD]]+TABL1234[[#This Row],[(A/S TOT) AJD]]</f>
        <v>0</v>
      </c>
      <c r="X26" s="3">
        <f>TABL1234[[#This Row],[( S/S+T/B) AJD]]-TABL1234[[#This Row],[(A/B + A/S) AJD]]</f>
        <v>0</v>
      </c>
      <c r="Y26" s="4"/>
      <c r="Z26" s="3"/>
      <c r="AA26" s="3">
        <f>TABL1234[[#This Row],[(RESV. STORGE) AJD]]/10</f>
        <v>0</v>
      </c>
      <c r="AB26" s="3">
        <f t="shared" si="1"/>
        <v>0</v>
      </c>
      <c r="AC26" s="6"/>
      <c r="AD26" s="5">
        <f>TABL1234[[#This Row],[( S/S+T/B) AJD]]-(TABL1234[[#This Row],[(A/B + A/S) AJD]]+(TABL1234[[#This Row],[(STORGE DIFF.) AJD]]*1000)+TABL1234[[#This Row],[البخر  AJD]])</f>
        <v>0</v>
      </c>
      <c r="AE26" s="6"/>
      <c r="AF26" s="33"/>
      <c r="AG26" s="6"/>
      <c r="AH26" s="6"/>
      <c r="AI26" s="6"/>
      <c r="AJ26" s="6">
        <f>TABL1234[[#This Row],[(A/B TOT) AJD]]-TABL1234[[#This Row],[BER_ IN]]</f>
        <v>0</v>
      </c>
      <c r="AK26" s="33"/>
      <c r="AL26" s="6"/>
      <c r="AM26" s="6"/>
      <c r="AN26" s="32">
        <f>TABL1234[[#This Row],[ (RESV. STORGE) SER]]/10</f>
        <v>0</v>
      </c>
      <c r="AO26" s="68"/>
      <c r="AP26" s="68">
        <f>TABL1234[[#This Row],[(A/S TOT) AJD]]-TABL1234[[#This Row],[SER_ IN]]</f>
        <v>0</v>
      </c>
    </row>
    <row r="27" spans="1:42" ht="18.75" x14ac:dyDescent="0.25">
      <c r="A27" s="2">
        <v>46413</v>
      </c>
      <c r="B27" s="28"/>
      <c r="C27" s="28"/>
      <c r="D27" s="28"/>
      <c r="E27" s="28"/>
      <c r="F27" s="28"/>
      <c r="G27" s="28"/>
      <c r="H27" s="28">
        <f t="shared" si="0"/>
        <v>103</v>
      </c>
      <c r="I27" s="28"/>
      <c r="J27" s="28"/>
      <c r="K27" s="28">
        <f>TABL1234[[#This Row],[خط (T/B  TOT) SAR]]+TABL1234[[#This Row],[خط (S/S  TOT) SAR2]]</f>
        <v>0</v>
      </c>
      <c r="L27" s="28"/>
      <c r="M27" s="29"/>
      <c r="N27" s="30"/>
      <c r="O27" s="3"/>
      <c r="P27" s="3">
        <f>TABL1234[[#This Row],[خط (S/S  TOT) SAR2]]-TABL1234[[#This Row],[(S/S TOT) AJD]]</f>
        <v>0</v>
      </c>
      <c r="Q27" s="3"/>
      <c r="R27" s="3">
        <f>TABL1234[[#This Row],[خط (T/B  TOT) SAR]]-TABL1234[[#This Row],[(T/B TOT) AJD]]</f>
        <v>0</v>
      </c>
      <c r="S27" s="3">
        <f>TABL1234[[#This Row],[الفرق بين بداية ونهاية خط  T/B]]+TABL1234[[#This Row],[الفرق بين بداية ونهاية خط  S/S]]</f>
        <v>0</v>
      </c>
      <c r="T27" s="3">
        <f>TABL1234[[#This Row],[(S/S TOT) AJD]]+TABL1234[[#This Row],[(T/B TOT) AJD]]</f>
        <v>0</v>
      </c>
      <c r="U27" s="3"/>
      <c r="V27" s="3"/>
      <c r="W27" s="3">
        <f>TABL1234[[#This Row],[(A/B TOT) AJD]]+TABL1234[[#This Row],[(A/S TOT) AJD]]</f>
        <v>0</v>
      </c>
      <c r="X27" s="3">
        <f>TABL1234[[#This Row],[( S/S+T/B) AJD]]-TABL1234[[#This Row],[(A/B + A/S) AJD]]</f>
        <v>0</v>
      </c>
      <c r="Y27" s="4"/>
      <c r="Z27" s="3"/>
      <c r="AA27" s="3">
        <f>TABL1234[[#This Row],[(RESV. STORGE) AJD]]/10</f>
        <v>0</v>
      </c>
      <c r="AB27" s="3">
        <f t="shared" si="1"/>
        <v>0</v>
      </c>
      <c r="AC27" s="6"/>
      <c r="AD27" s="5">
        <f>TABL1234[[#This Row],[( S/S+T/B) AJD]]-(TABL1234[[#This Row],[(A/B + A/S) AJD]]+(TABL1234[[#This Row],[(STORGE DIFF.) AJD]]*1000)+TABL1234[[#This Row],[البخر  AJD]])</f>
        <v>0</v>
      </c>
      <c r="AE27" s="6"/>
      <c r="AF27" s="33"/>
      <c r="AG27" s="6"/>
      <c r="AH27" s="6"/>
      <c r="AI27" s="6"/>
      <c r="AJ27" s="6">
        <f>TABL1234[[#This Row],[(A/B TOT) AJD]]-TABL1234[[#This Row],[BER_ IN]]</f>
        <v>0</v>
      </c>
      <c r="AK27" s="33"/>
      <c r="AL27" s="6"/>
      <c r="AM27" s="6"/>
      <c r="AN27" s="32">
        <f>TABL1234[[#This Row],[ (RESV. STORGE) SER]]/10</f>
        <v>0</v>
      </c>
      <c r="AO27" s="68"/>
      <c r="AP27" s="68">
        <f>TABL1234[[#This Row],[(A/S TOT) AJD]]-TABL1234[[#This Row],[SER_ IN]]</f>
        <v>0</v>
      </c>
    </row>
    <row r="28" spans="1:42" ht="18.75" x14ac:dyDescent="0.25">
      <c r="A28" s="2">
        <v>46414</v>
      </c>
      <c r="B28" s="28"/>
      <c r="C28" s="28"/>
      <c r="D28" s="28"/>
      <c r="E28" s="28"/>
      <c r="F28" s="28"/>
      <c r="G28" s="28"/>
      <c r="H28" s="28">
        <f t="shared" si="0"/>
        <v>103</v>
      </c>
      <c r="I28" s="28"/>
      <c r="J28" s="28"/>
      <c r="K28" s="28">
        <f>TABL1234[[#This Row],[خط (T/B  TOT) SAR]]+TABL1234[[#This Row],[خط (S/S  TOT) SAR2]]</f>
        <v>0</v>
      </c>
      <c r="L28" s="28"/>
      <c r="M28" s="29"/>
      <c r="N28" s="30"/>
      <c r="O28" s="3"/>
      <c r="P28" s="3">
        <f>TABL1234[[#This Row],[خط (S/S  TOT) SAR2]]-TABL1234[[#This Row],[(S/S TOT) AJD]]</f>
        <v>0</v>
      </c>
      <c r="Q28" s="3"/>
      <c r="R28" s="3">
        <f>TABL1234[[#This Row],[خط (T/B  TOT) SAR]]-TABL1234[[#This Row],[(T/B TOT) AJD]]</f>
        <v>0</v>
      </c>
      <c r="S28" s="3">
        <f>TABL1234[[#This Row],[الفرق بين بداية ونهاية خط  T/B]]+TABL1234[[#This Row],[الفرق بين بداية ونهاية خط  S/S]]</f>
        <v>0</v>
      </c>
      <c r="T28" s="3">
        <f>TABL1234[[#This Row],[(S/S TOT) AJD]]+TABL1234[[#This Row],[(T/B TOT) AJD]]</f>
        <v>0</v>
      </c>
      <c r="U28" s="3"/>
      <c r="V28" s="3"/>
      <c r="W28" s="3">
        <f>TABL1234[[#This Row],[(A/B TOT) AJD]]+TABL1234[[#This Row],[(A/S TOT) AJD]]</f>
        <v>0</v>
      </c>
      <c r="X28" s="3">
        <f>TABL1234[[#This Row],[( S/S+T/B) AJD]]-TABL1234[[#This Row],[(A/B + A/S) AJD]]</f>
        <v>0</v>
      </c>
      <c r="Y28" s="4"/>
      <c r="Z28" s="3"/>
      <c r="AA28" s="3">
        <f>TABL1234[[#This Row],[(RESV. STORGE) AJD]]/10</f>
        <v>0</v>
      </c>
      <c r="AB28" s="3">
        <f t="shared" si="1"/>
        <v>0</v>
      </c>
      <c r="AC28" s="6"/>
      <c r="AD28" s="5">
        <f>TABL1234[[#This Row],[( S/S+T/B) AJD]]-(TABL1234[[#This Row],[(A/B + A/S) AJD]]+(TABL1234[[#This Row],[(STORGE DIFF.) AJD]]*1000)+TABL1234[[#This Row],[البخر  AJD]])</f>
        <v>0</v>
      </c>
      <c r="AE28" s="6"/>
      <c r="AF28" s="33"/>
      <c r="AG28" s="6"/>
      <c r="AH28" s="6"/>
      <c r="AI28" s="6"/>
      <c r="AJ28" s="6">
        <f>TABL1234[[#This Row],[(A/B TOT) AJD]]-TABL1234[[#This Row],[BER_ IN]]</f>
        <v>0</v>
      </c>
      <c r="AK28" s="33"/>
      <c r="AL28" s="6"/>
      <c r="AM28" s="6"/>
      <c r="AN28" s="32">
        <f>TABL1234[[#This Row],[ (RESV. STORGE) SER]]/10</f>
        <v>0</v>
      </c>
      <c r="AO28" s="68"/>
      <c r="AP28" s="68">
        <f>TABL1234[[#This Row],[(A/S TOT) AJD]]-TABL1234[[#This Row],[SER_ IN]]</f>
        <v>0</v>
      </c>
    </row>
    <row r="29" spans="1:42" ht="18.75" x14ac:dyDescent="0.25">
      <c r="A29" s="2">
        <v>46415</v>
      </c>
      <c r="B29" s="28"/>
      <c r="C29" s="28"/>
      <c r="D29" s="28"/>
      <c r="E29" s="28"/>
      <c r="F29" s="28"/>
      <c r="G29" s="28"/>
      <c r="H29" s="28">
        <f t="shared" si="0"/>
        <v>103</v>
      </c>
      <c r="I29" s="28"/>
      <c r="J29" s="28"/>
      <c r="K29" s="28">
        <f>TABL1234[[#This Row],[خط (T/B  TOT) SAR]]+TABL1234[[#This Row],[خط (S/S  TOT) SAR2]]</f>
        <v>0</v>
      </c>
      <c r="L29" s="28"/>
      <c r="M29" s="29"/>
      <c r="N29" s="30"/>
      <c r="O29" s="3"/>
      <c r="P29" s="3">
        <f>TABL1234[[#This Row],[خط (S/S  TOT) SAR2]]-TABL1234[[#This Row],[(S/S TOT) AJD]]</f>
        <v>0</v>
      </c>
      <c r="Q29" s="3"/>
      <c r="R29" s="3">
        <f>TABL1234[[#This Row],[خط (T/B  TOT) SAR]]-TABL1234[[#This Row],[(T/B TOT) AJD]]</f>
        <v>0</v>
      </c>
      <c r="S29" s="3">
        <f>TABL1234[[#This Row],[الفرق بين بداية ونهاية خط  T/B]]+TABL1234[[#This Row],[الفرق بين بداية ونهاية خط  S/S]]</f>
        <v>0</v>
      </c>
      <c r="T29" s="3">
        <f>TABL1234[[#This Row],[(S/S TOT) AJD]]+TABL1234[[#This Row],[(T/B TOT) AJD]]</f>
        <v>0</v>
      </c>
      <c r="U29" s="3"/>
      <c r="V29" s="3"/>
      <c r="W29" s="3">
        <f>TABL1234[[#This Row],[(A/B TOT) AJD]]+TABL1234[[#This Row],[(A/S TOT) AJD]]</f>
        <v>0</v>
      </c>
      <c r="X29" s="3">
        <f>TABL1234[[#This Row],[( S/S+T/B) AJD]]-TABL1234[[#This Row],[(A/B + A/S) AJD]]</f>
        <v>0</v>
      </c>
      <c r="Y29" s="4"/>
      <c r="Z29" s="3"/>
      <c r="AA29" s="3">
        <f>TABL1234[[#This Row],[(RESV. STORGE) AJD]]/10</f>
        <v>0</v>
      </c>
      <c r="AB29" s="3">
        <f t="shared" si="1"/>
        <v>0</v>
      </c>
      <c r="AC29" s="6"/>
      <c r="AD29" s="5">
        <f>TABL1234[[#This Row],[( S/S+T/B) AJD]]-(TABL1234[[#This Row],[(A/B + A/S) AJD]]+(TABL1234[[#This Row],[(STORGE DIFF.) AJD]]*1000)+TABL1234[[#This Row],[البخر  AJD]])</f>
        <v>0</v>
      </c>
      <c r="AE29" s="6"/>
      <c r="AF29" s="33"/>
      <c r="AG29" s="6"/>
      <c r="AH29" s="6"/>
      <c r="AI29" s="6"/>
      <c r="AJ29" s="6">
        <f>TABL1234[[#This Row],[(A/B TOT) AJD]]-TABL1234[[#This Row],[BER_ IN]]</f>
        <v>0</v>
      </c>
      <c r="AK29" s="33"/>
      <c r="AL29" s="6"/>
      <c r="AM29" s="6"/>
      <c r="AN29" s="32">
        <f>TABL1234[[#This Row],[ (RESV. STORGE) SER]]/10</f>
        <v>0</v>
      </c>
      <c r="AO29" s="68"/>
      <c r="AP29" s="68">
        <f>TABL1234[[#This Row],[(A/S TOT) AJD]]-TABL1234[[#This Row],[SER_ IN]]</f>
        <v>0</v>
      </c>
    </row>
    <row r="30" spans="1:42" ht="18.75" x14ac:dyDescent="0.25">
      <c r="A30" s="2">
        <v>46416</v>
      </c>
      <c r="B30" s="28"/>
      <c r="C30" s="28"/>
      <c r="D30" s="28"/>
      <c r="E30" s="28"/>
      <c r="F30" s="28"/>
      <c r="G30" s="28"/>
      <c r="H30" s="28">
        <f t="shared" si="0"/>
        <v>103</v>
      </c>
      <c r="I30" s="28"/>
      <c r="J30" s="28"/>
      <c r="K30" s="28">
        <f>TABL1234[[#This Row],[خط (T/B  TOT) SAR]]+TABL1234[[#This Row],[خط (S/S  TOT) SAR2]]</f>
        <v>0</v>
      </c>
      <c r="L30" s="28"/>
      <c r="M30" s="29"/>
      <c r="N30" s="30"/>
      <c r="O30" s="3"/>
      <c r="P30" s="3">
        <f>TABL1234[[#This Row],[خط (S/S  TOT) SAR2]]-TABL1234[[#This Row],[(S/S TOT) AJD]]</f>
        <v>0</v>
      </c>
      <c r="Q30" s="3"/>
      <c r="R30" s="3">
        <f>TABL1234[[#This Row],[خط (T/B  TOT) SAR]]-TABL1234[[#This Row],[(T/B TOT) AJD]]</f>
        <v>0</v>
      </c>
      <c r="S30" s="3">
        <f>TABL1234[[#This Row],[الفرق بين بداية ونهاية خط  T/B]]+TABL1234[[#This Row],[الفرق بين بداية ونهاية خط  S/S]]</f>
        <v>0</v>
      </c>
      <c r="T30" s="3">
        <f>TABL1234[[#This Row],[(S/S TOT) AJD]]+TABL1234[[#This Row],[(T/B TOT) AJD]]</f>
        <v>0</v>
      </c>
      <c r="U30" s="3"/>
      <c r="V30" s="3"/>
      <c r="W30" s="3">
        <f>TABL1234[[#This Row],[(A/B TOT) AJD]]+TABL1234[[#This Row],[(A/S TOT) AJD]]</f>
        <v>0</v>
      </c>
      <c r="X30" s="3">
        <f>TABL1234[[#This Row],[( S/S+T/B) AJD]]-TABL1234[[#This Row],[(A/B + A/S) AJD]]</f>
        <v>0</v>
      </c>
      <c r="Y30" s="4"/>
      <c r="Z30" s="3"/>
      <c r="AA30" s="3">
        <f>TABL1234[[#This Row],[(RESV. STORGE) AJD]]/10</f>
        <v>0</v>
      </c>
      <c r="AB30" s="3">
        <f t="shared" si="1"/>
        <v>0</v>
      </c>
      <c r="AC30" s="6"/>
      <c r="AD30" s="5">
        <f>TABL1234[[#This Row],[( S/S+T/B) AJD]]-(TABL1234[[#This Row],[(A/B + A/S) AJD]]+(TABL1234[[#This Row],[(STORGE DIFF.) AJD]]*1000)+TABL1234[[#This Row],[البخر  AJD]])</f>
        <v>0</v>
      </c>
      <c r="AE30" s="6"/>
      <c r="AF30" s="33"/>
      <c r="AG30" s="6"/>
      <c r="AH30" s="6"/>
      <c r="AI30" s="6"/>
      <c r="AJ30" s="6">
        <f>TABL1234[[#This Row],[(A/B TOT) AJD]]-TABL1234[[#This Row],[BER_ IN]]</f>
        <v>0</v>
      </c>
      <c r="AK30" s="33"/>
      <c r="AL30" s="6"/>
      <c r="AM30" s="6"/>
      <c r="AN30" s="32">
        <f>TABL1234[[#This Row],[ (RESV. STORGE) SER]]/10</f>
        <v>0</v>
      </c>
      <c r="AO30" s="68"/>
      <c r="AP30" s="68">
        <f>TABL1234[[#This Row],[(A/S TOT) AJD]]-TABL1234[[#This Row],[SER_ IN]]</f>
        <v>0</v>
      </c>
    </row>
    <row r="31" spans="1:42" ht="18.75" x14ac:dyDescent="0.25">
      <c r="A31" s="2">
        <v>46417</v>
      </c>
      <c r="B31" s="28"/>
      <c r="C31" s="28"/>
      <c r="D31" s="28"/>
      <c r="E31" s="28"/>
      <c r="F31" s="28"/>
      <c r="G31" s="28"/>
      <c r="H31" s="28">
        <f t="shared" si="0"/>
        <v>103</v>
      </c>
      <c r="I31" s="28"/>
      <c r="J31" s="28"/>
      <c r="K31" s="28">
        <f>TABL1234[[#This Row],[خط (T/B  TOT) SAR]]+TABL1234[[#This Row],[خط (S/S  TOT) SAR2]]</f>
        <v>0</v>
      </c>
      <c r="L31" s="28"/>
      <c r="M31" s="29"/>
      <c r="N31" s="30"/>
      <c r="O31" s="3"/>
      <c r="P31" s="3">
        <f>TABL1234[[#This Row],[خط (S/S  TOT) SAR2]]-TABL1234[[#This Row],[(S/S TOT) AJD]]</f>
        <v>0</v>
      </c>
      <c r="Q31" s="3"/>
      <c r="R31" s="3">
        <f>TABL1234[[#This Row],[خط (T/B  TOT) SAR]]-TABL1234[[#This Row],[(T/B TOT) AJD]]</f>
        <v>0</v>
      </c>
      <c r="S31" s="3">
        <f>TABL1234[[#This Row],[الفرق بين بداية ونهاية خط  T/B]]+TABL1234[[#This Row],[الفرق بين بداية ونهاية خط  S/S]]</f>
        <v>0</v>
      </c>
      <c r="T31" s="3">
        <f>TABL1234[[#This Row],[(S/S TOT) AJD]]+TABL1234[[#This Row],[(T/B TOT) AJD]]</f>
        <v>0</v>
      </c>
      <c r="U31" s="3"/>
      <c r="V31" s="3"/>
      <c r="W31" s="3">
        <f>TABL1234[[#This Row],[(A/B TOT) AJD]]+TABL1234[[#This Row],[(A/S TOT) AJD]]</f>
        <v>0</v>
      </c>
      <c r="X31" s="3">
        <f>TABL1234[[#This Row],[( S/S+T/B) AJD]]-TABL1234[[#This Row],[(A/B + A/S) AJD]]</f>
        <v>0</v>
      </c>
      <c r="Y31" s="4"/>
      <c r="Z31" s="3"/>
      <c r="AA31" s="3">
        <f>TABL1234[[#This Row],[(RESV. STORGE) AJD]]/10</f>
        <v>0</v>
      </c>
      <c r="AB31" s="3">
        <f t="shared" si="1"/>
        <v>0</v>
      </c>
      <c r="AC31" s="6"/>
      <c r="AD31" s="5">
        <f>TABL1234[[#This Row],[( S/S+T/B) AJD]]-(TABL1234[[#This Row],[(A/B + A/S) AJD]]+(TABL1234[[#This Row],[(STORGE DIFF.) AJD]]*1000)+TABL1234[[#This Row],[البخر  AJD]])</f>
        <v>0</v>
      </c>
      <c r="AE31" s="6"/>
      <c r="AF31" s="33"/>
      <c r="AG31" s="6"/>
      <c r="AH31" s="6"/>
      <c r="AI31" s="6"/>
      <c r="AJ31" s="6">
        <f>TABL1234[[#This Row],[(A/B TOT) AJD]]-TABL1234[[#This Row],[BER_ IN]]</f>
        <v>0</v>
      </c>
      <c r="AK31" s="33"/>
      <c r="AL31" s="6"/>
      <c r="AM31" s="6"/>
      <c r="AN31" s="32">
        <f>TABL1234[[#This Row],[ (RESV. STORGE) SER]]/10</f>
        <v>0</v>
      </c>
      <c r="AO31" s="68"/>
      <c r="AP31" s="68">
        <f>TABL1234[[#This Row],[(A/S TOT) AJD]]-TABL1234[[#This Row],[SER_ IN]]</f>
        <v>0</v>
      </c>
    </row>
    <row r="32" spans="1:42" ht="18.75" x14ac:dyDescent="0.25">
      <c r="A32" s="2">
        <v>46418</v>
      </c>
      <c r="B32" s="28"/>
      <c r="C32" s="28"/>
      <c r="D32" s="28"/>
      <c r="E32" s="28"/>
      <c r="F32" s="28"/>
      <c r="G32" s="28"/>
      <c r="H32" s="28">
        <f t="shared" si="0"/>
        <v>103</v>
      </c>
      <c r="I32" s="28"/>
      <c r="J32" s="28"/>
      <c r="K32" s="28">
        <f>TABL1234[[#This Row],[خط (T/B  TOT) SAR]]+TABL1234[[#This Row],[خط (S/S  TOT) SAR2]]</f>
        <v>0</v>
      </c>
      <c r="L32" s="28"/>
      <c r="M32" s="29"/>
      <c r="N32" s="30"/>
      <c r="O32" s="3"/>
      <c r="P32" s="3">
        <f>TABL1234[[#This Row],[خط (S/S  TOT) SAR2]]-TABL1234[[#This Row],[(S/S TOT) AJD]]</f>
        <v>0</v>
      </c>
      <c r="Q32" s="3"/>
      <c r="R32" s="3">
        <f>TABL1234[[#This Row],[خط (T/B  TOT) SAR]]-TABL1234[[#This Row],[(T/B TOT) AJD]]</f>
        <v>0</v>
      </c>
      <c r="S32" s="3">
        <f>TABL1234[[#This Row],[الفرق بين بداية ونهاية خط  T/B]]+TABL1234[[#This Row],[الفرق بين بداية ونهاية خط  S/S]]</f>
        <v>0</v>
      </c>
      <c r="T32" s="3">
        <f>TABL1234[[#This Row],[(S/S TOT) AJD]]+TABL1234[[#This Row],[(T/B TOT) AJD]]</f>
        <v>0</v>
      </c>
      <c r="U32" s="3"/>
      <c r="V32" s="3"/>
      <c r="W32" s="3">
        <f>TABL1234[[#This Row],[(A/B TOT) AJD]]+TABL1234[[#This Row],[(A/S TOT) AJD]]</f>
        <v>0</v>
      </c>
      <c r="X32" s="3">
        <f>TABL1234[[#This Row],[( S/S+T/B) AJD]]-TABL1234[[#This Row],[(A/B + A/S) AJD]]</f>
        <v>0</v>
      </c>
      <c r="Y32" s="4"/>
      <c r="Z32" s="3"/>
      <c r="AA32" s="3">
        <f>TABL1234[[#This Row],[(RESV. STORGE) AJD]]/10</f>
        <v>0</v>
      </c>
      <c r="AB32" s="3">
        <f t="shared" si="1"/>
        <v>0</v>
      </c>
      <c r="AC32" s="6"/>
      <c r="AD32" s="5">
        <f>TABL1234[[#This Row],[( S/S+T/B) AJD]]-(TABL1234[[#This Row],[(A/B + A/S) AJD]]+(TABL1234[[#This Row],[(STORGE DIFF.) AJD]]*1000)+TABL1234[[#This Row],[البخر  AJD]])</f>
        <v>0</v>
      </c>
      <c r="AE32" s="6"/>
      <c r="AF32" s="33"/>
      <c r="AG32" s="6"/>
      <c r="AH32" s="6"/>
      <c r="AI32" s="6"/>
      <c r="AJ32" s="6">
        <f>TABL1234[[#This Row],[(A/B TOT) AJD]]-TABL1234[[#This Row],[BER_ IN]]</f>
        <v>0</v>
      </c>
      <c r="AK32" s="33"/>
      <c r="AL32" s="6"/>
      <c r="AM32" s="6"/>
      <c r="AN32" s="32">
        <f>TABL1234[[#This Row],[ (RESV. STORGE) SER]]/10</f>
        <v>0</v>
      </c>
      <c r="AO32" s="68"/>
      <c r="AP32" s="68">
        <f>TABL1234[[#This Row],[(A/S TOT) AJD]]-TABL1234[[#This Row],[SER_ IN]]</f>
        <v>0</v>
      </c>
    </row>
    <row r="33" spans="1:42" ht="18.75" x14ac:dyDescent="0.25">
      <c r="A33" s="2">
        <v>46419</v>
      </c>
      <c r="B33" s="41"/>
      <c r="C33" s="41"/>
      <c r="D33" s="41"/>
      <c r="E33" s="44"/>
      <c r="F33" s="41"/>
      <c r="G33" s="39"/>
      <c r="H33" s="28">
        <f t="shared" si="0"/>
        <v>103</v>
      </c>
      <c r="I33" s="39"/>
      <c r="J33" s="39"/>
      <c r="K33" s="28">
        <f>TABL1234[[#This Row],[خط (T/B  TOT) SAR]]+TABL1234[[#This Row],[خط (S/S  TOT) SAR2]]</f>
        <v>0</v>
      </c>
      <c r="L33" s="41"/>
      <c r="M33" s="42"/>
      <c r="N33" s="42"/>
      <c r="O33" s="39"/>
      <c r="P33" s="3">
        <f>TABL1234[[#This Row],[خط (S/S  TOT) SAR2]]-TABL1234[[#This Row],[(S/S TOT) AJD]]</f>
        <v>0</v>
      </c>
      <c r="Q33" s="39"/>
      <c r="R33" s="3">
        <f>TABL1234[[#This Row],[خط (T/B  TOT) SAR]]-TABL1234[[#This Row],[(T/B TOT) AJD]]</f>
        <v>0</v>
      </c>
      <c r="S33" s="3">
        <f>TABL1234[[#This Row],[الفرق بين بداية ونهاية خط  T/B]]+TABL1234[[#This Row],[الفرق بين بداية ونهاية خط  S/S]]</f>
        <v>0</v>
      </c>
      <c r="T33" s="3">
        <f>TABL1234[[#This Row],[(S/S TOT) AJD]]+TABL1234[[#This Row],[(T/B TOT) AJD]]</f>
        <v>0</v>
      </c>
      <c r="U33" s="41"/>
      <c r="V33" s="41"/>
      <c r="W33" s="3">
        <f>TABL1234[[#This Row],[(A/B TOT) AJD]]+TABL1234[[#This Row],[(A/S TOT) AJD]]</f>
        <v>0</v>
      </c>
      <c r="X33" s="3">
        <f>TABL1234[[#This Row],[( S/S+T/B) AJD]]-TABL1234[[#This Row],[(A/B + A/S) AJD]]</f>
        <v>0</v>
      </c>
      <c r="Y33" s="41"/>
      <c r="Z33" s="43"/>
      <c r="AA33" s="3">
        <f>TABL1234[[#This Row],[(RESV. STORGE) AJD]]/10</f>
        <v>0</v>
      </c>
      <c r="AB33" s="3">
        <f t="shared" si="1"/>
        <v>0</v>
      </c>
      <c r="AC33" s="5"/>
      <c r="AD33" s="39">
        <f>TABL1234[[#This Row],[( S/S+T/B) AJD]]-(TABL1234[[#This Row],[(A/B + A/S) AJD]]+(TABL1234[[#This Row],[(STORGE DIFF.) AJD]]*1000)+TABL1234[[#This Row],[البخر  AJD]])</f>
        <v>0</v>
      </c>
      <c r="AE33" s="41"/>
      <c r="AF33" s="43"/>
      <c r="AG33" s="43"/>
      <c r="AH33" s="6"/>
      <c r="AI33" s="43"/>
      <c r="AJ33" s="43">
        <f>TABL1234[[#This Row],[(A/B TOT) AJD]]-TABL1234[[#This Row],[BER_ IN]]</f>
        <v>0</v>
      </c>
      <c r="AK33" s="43"/>
      <c r="AL33" s="43"/>
      <c r="AM33" s="32"/>
      <c r="AN33" s="32">
        <f>TABL1234[[#This Row],[ (RESV. STORGE) SER]]/10</f>
        <v>0</v>
      </c>
      <c r="AO33" s="68"/>
      <c r="AP33" s="68">
        <f>TABL1234[[#This Row],[(A/S TOT) AJD]]-TABL1234[[#This Row],[SER_ IN]]</f>
        <v>0</v>
      </c>
    </row>
    <row r="34" spans="1:42" ht="18.75" x14ac:dyDescent="0.25">
      <c r="A34" s="2">
        <v>46420</v>
      </c>
      <c r="B34" s="44"/>
      <c r="C34" s="44"/>
      <c r="D34" s="44"/>
      <c r="E34" s="41"/>
      <c r="F34" s="44"/>
      <c r="G34" s="40"/>
      <c r="H34" s="28">
        <f t="shared" si="0"/>
        <v>103</v>
      </c>
      <c r="I34" s="40"/>
      <c r="J34" s="44"/>
      <c r="K34" s="28">
        <f>TABL1234[[#This Row],[خط (T/B  TOT) SAR]]+TABL1234[[#This Row],[خط (S/S  TOT) SAR2]]</f>
        <v>0</v>
      </c>
      <c r="L34" s="45"/>
      <c r="M34" s="46"/>
      <c r="N34" s="46"/>
      <c r="O34" s="40"/>
      <c r="P34" s="3">
        <f>TABL1234[[#This Row],[خط (S/S  TOT) SAR2]]-TABL1234[[#This Row],[(S/S TOT) AJD]]</f>
        <v>0</v>
      </c>
      <c r="Q34" s="40"/>
      <c r="R34" s="3">
        <f>TABL1234[[#This Row],[خط (T/B  TOT) SAR]]-TABL1234[[#This Row],[(T/B TOT) AJD]]</f>
        <v>0</v>
      </c>
      <c r="S34" s="3">
        <f>TABL1234[[#This Row],[الفرق بين بداية ونهاية خط  T/B]]+TABL1234[[#This Row],[الفرق بين بداية ونهاية خط  S/S]]</f>
        <v>0</v>
      </c>
      <c r="T34" s="3">
        <f>TABL1234[[#This Row],[(S/S TOT) AJD]]+TABL1234[[#This Row],[(T/B TOT) AJD]]</f>
        <v>0</v>
      </c>
      <c r="U34" s="44"/>
      <c r="V34" s="44"/>
      <c r="W34" s="3">
        <f>TABL1234[[#This Row],[(A/B TOT) AJD]]+TABL1234[[#This Row],[(A/S TOT) AJD]]</f>
        <v>0</v>
      </c>
      <c r="X34" s="3">
        <f>TABL1234[[#This Row],[( S/S+T/B) AJD]]-TABL1234[[#This Row],[(A/B + A/S) AJD]]</f>
        <v>0</v>
      </c>
      <c r="Y34" s="44"/>
      <c r="Z34" s="45"/>
      <c r="AA34" s="3">
        <f>TABL1234[[#This Row],[(RESV. STORGE) AJD]]/10</f>
        <v>0</v>
      </c>
      <c r="AB34" s="3">
        <f t="shared" si="1"/>
        <v>0</v>
      </c>
      <c r="AC34" s="5"/>
      <c r="AD34" s="40">
        <f>TABL1234[[#This Row],[( S/S+T/B) AJD]]-(TABL1234[[#This Row],[(A/B + A/S) AJD]]+(TABL1234[[#This Row],[(STORGE DIFF.) AJD]]*1000)+TABL1234[[#This Row],[البخر  AJD]])</f>
        <v>0</v>
      </c>
      <c r="AE34" s="44"/>
      <c r="AF34" s="45"/>
      <c r="AG34" s="45"/>
      <c r="AH34" s="6"/>
      <c r="AI34" s="45"/>
      <c r="AJ34" s="45">
        <f>TABL1234[[#This Row],[(A/B TOT) AJD]]-TABL1234[[#This Row],[BER_ IN]]</f>
        <v>0</v>
      </c>
      <c r="AK34" s="45"/>
      <c r="AL34" s="45"/>
      <c r="AM34" s="32"/>
      <c r="AN34" s="32">
        <f>TABL1234[[#This Row],[ (RESV. STORGE) SER]]/10</f>
        <v>0</v>
      </c>
      <c r="AO34" s="68"/>
      <c r="AP34" s="68">
        <f>TABL1234[[#This Row],[(A/S TOT) AJD]]-TABL1234[[#This Row],[SER_ IN]]</f>
        <v>0</v>
      </c>
    </row>
    <row r="35" spans="1:42" ht="18.75" x14ac:dyDescent="0.25">
      <c r="A35" s="2">
        <v>46421</v>
      </c>
      <c r="B35" s="41"/>
      <c r="C35" s="41"/>
      <c r="D35" s="41"/>
      <c r="E35" s="44"/>
      <c r="F35" s="41"/>
      <c r="G35" s="39"/>
      <c r="H35" s="28">
        <f t="shared" si="0"/>
        <v>103</v>
      </c>
      <c r="I35" s="39"/>
      <c r="J35" s="39"/>
      <c r="K35" s="28">
        <f>TABL1234[[#This Row],[خط (T/B  TOT) SAR]]+TABL1234[[#This Row],[خط (S/S  TOT) SAR2]]</f>
        <v>0</v>
      </c>
      <c r="L35" s="41"/>
      <c r="M35" s="42"/>
      <c r="N35" s="42"/>
      <c r="O35" s="39"/>
      <c r="P35" s="3">
        <f>TABL1234[[#This Row],[خط (S/S  TOT) SAR2]]-TABL1234[[#This Row],[(S/S TOT) AJD]]</f>
        <v>0</v>
      </c>
      <c r="Q35" s="39"/>
      <c r="R35" s="3">
        <f>TABL1234[[#This Row],[خط (T/B  TOT) SAR]]-TABL1234[[#This Row],[(T/B TOT) AJD]]</f>
        <v>0</v>
      </c>
      <c r="S35" s="3">
        <f>TABL1234[[#This Row],[الفرق بين بداية ونهاية خط  T/B]]+TABL1234[[#This Row],[الفرق بين بداية ونهاية خط  S/S]]</f>
        <v>0</v>
      </c>
      <c r="T35" s="3">
        <f>TABL1234[[#This Row],[(S/S TOT) AJD]]+TABL1234[[#This Row],[(T/B TOT) AJD]]</f>
        <v>0</v>
      </c>
      <c r="U35" s="41"/>
      <c r="V35" s="41"/>
      <c r="W35" s="3">
        <f>TABL1234[[#This Row],[(A/B TOT) AJD]]+TABL1234[[#This Row],[(A/S TOT) AJD]]</f>
        <v>0</v>
      </c>
      <c r="X35" s="3">
        <f>TABL1234[[#This Row],[( S/S+T/B) AJD]]-TABL1234[[#This Row],[(A/B + A/S) AJD]]</f>
        <v>0</v>
      </c>
      <c r="Y35" s="41"/>
      <c r="Z35" s="43"/>
      <c r="AA35" s="3">
        <f>TABL1234[[#This Row],[(RESV. STORGE) AJD]]/10</f>
        <v>0</v>
      </c>
      <c r="AB35" s="3">
        <f t="shared" si="1"/>
        <v>0</v>
      </c>
      <c r="AC35" s="5"/>
      <c r="AD35" s="39">
        <f>TABL1234[[#This Row],[( S/S+T/B) AJD]]-(TABL1234[[#This Row],[(A/B + A/S) AJD]]+(TABL1234[[#This Row],[(STORGE DIFF.) AJD]]*1000)+TABL1234[[#This Row],[البخر  AJD]])</f>
        <v>0</v>
      </c>
      <c r="AE35" s="41"/>
      <c r="AF35" s="43"/>
      <c r="AG35" s="43"/>
      <c r="AH35" s="6"/>
      <c r="AI35" s="43"/>
      <c r="AJ35" s="43">
        <f>TABL1234[[#This Row],[(A/B TOT) AJD]]-TABL1234[[#This Row],[BER_ IN]]</f>
        <v>0</v>
      </c>
      <c r="AK35" s="43"/>
      <c r="AL35" s="43"/>
      <c r="AM35" s="32"/>
      <c r="AN35" s="32">
        <f>TABL1234[[#This Row],[ (RESV. STORGE) SER]]/10</f>
        <v>0</v>
      </c>
      <c r="AO35" s="68"/>
      <c r="AP35" s="68">
        <f>TABL1234[[#This Row],[(A/S TOT) AJD]]-TABL1234[[#This Row],[SER_ IN]]</f>
        <v>0</v>
      </c>
    </row>
    <row r="36" spans="1:42" ht="18.75" x14ac:dyDescent="0.25">
      <c r="A36" s="2">
        <v>46422</v>
      </c>
      <c r="B36" s="44"/>
      <c r="C36" s="44"/>
      <c r="D36" s="44"/>
      <c r="E36" s="44"/>
      <c r="F36" s="44"/>
      <c r="G36" s="40"/>
      <c r="H36" s="28">
        <f t="shared" si="0"/>
        <v>103</v>
      </c>
      <c r="I36" s="40"/>
      <c r="J36" s="44"/>
      <c r="K36" s="28">
        <f>TABL1234[[#This Row],[خط (T/B  TOT) SAR]]+TABL1234[[#This Row],[خط (S/S  TOT) SAR2]]</f>
        <v>0</v>
      </c>
      <c r="L36" s="45"/>
      <c r="M36" s="46"/>
      <c r="N36" s="46"/>
      <c r="O36" s="40"/>
      <c r="P36" s="3">
        <f>TABL1234[[#This Row],[خط (S/S  TOT) SAR2]]-TABL1234[[#This Row],[(S/S TOT) AJD]]</f>
        <v>0</v>
      </c>
      <c r="Q36" s="40"/>
      <c r="R36" s="3">
        <f>TABL1234[[#This Row],[خط (T/B  TOT) SAR]]-TABL1234[[#This Row],[(T/B TOT) AJD]]</f>
        <v>0</v>
      </c>
      <c r="S36" s="3">
        <f>TABL1234[[#This Row],[الفرق بين بداية ونهاية خط  T/B]]+TABL1234[[#This Row],[الفرق بين بداية ونهاية خط  S/S]]</f>
        <v>0</v>
      </c>
      <c r="T36" s="3">
        <f>TABL1234[[#This Row],[(S/S TOT) AJD]]+TABL1234[[#This Row],[(T/B TOT) AJD]]</f>
        <v>0</v>
      </c>
      <c r="U36" s="44"/>
      <c r="V36" s="44"/>
      <c r="W36" s="3">
        <f>TABL1234[[#This Row],[(A/B TOT) AJD]]+TABL1234[[#This Row],[(A/S TOT) AJD]]</f>
        <v>0</v>
      </c>
      <c r="X36" s="3">
        <f>TABL1234[[#This Row],[( S/S+T/B) AJD]]-TABL1234[[#This Row],[(A/B + A/S) AJD]]</f>
        <v>0</v>
      </c>
      <c r="Y36" s="44"/>
      <c r="Z36" s="45"/>
      <c r="AA36" s="3">
        <f>TABL1234[[#This Row],[(RESV. STORGE) AJD]]/10</f>
        <v>0</v>
      </c>
      <c r="AB36" s="3">
        <f t="shared" si="1"/>
        <v>0</v>
      </c>
      <c r="AC36" s="5"/>
      <c r="AD36" s="40">
        <f>TABL1234[[#This Row],[( S/S+T/B) AJD]]-(TABL1234[[#This Row],[(A/B + A/S) AJD]]+(TABL1234[[#This Row],[(STORGE DIFF.) AJD]]*1000)+TABL1234[[#This Row],[البخر  AJD]])</f>
        <v>0</v>
      </c>
      <c r="AE36" s="44"/>
      <c r="AF36" s="45"/>
      <c r="AG36" s="45"/>
      <c r="AH36" s="6"/>
      <c r="AI36" s="45"/>
      <c r="AJ36" s="45">
        <f>TABL1234[[#This Row],[(A/B TOT) AJD]]-TABL1234[[#This Row],[BER_ IN]]</f>
        <v>0</v>
      </c>
      <c r="AK36" s="45"/>
      <c r="AL36" s="45"/>
      <c r="AM36" s="32"/>
      <c r="AN36" s="32">
        <f>TABL1234[[#This Row],[ (RESV. STORGE) SER]]/10</f>
        <v>0</v>
      </c>
      <c r="AO36" s="68"/>
      <c r="AP36" s="68">
        <f>TABL1234[[#This Row],[(A/S TOT) AJD]]-TABL1234[[#This Row],[SER_ IN]]</f>
        <v>0</v>
      </c>
    </row>
    <row r="37" spans="1:42" ht="18.75" x14ac:dyDescent="0.25">
      <c r="A37" s="2">
        <v>46423</v>
      </c>
      <c r="B37" s="41"/>
      <c r="C37" s="41"/>
      <c r="D37" s="41"/>
      <c r="E37" s="41"/>
      <c r="F37" s="41"/>
      <c r="G37" s="39"/>
      <c r="H37" s="28">
        <f t="shared" si="0"/>
        <v>103</v>
      </c>
      <c r="I37" s="39"/>
      <c r="J37" s="39"/>
      <c r="K37" s="28">
        <f>TABL1234[[#This Row],[خط (T/B  TOT) SAR]]+TABL1234[[#This Row],[خط (S/S  TOT) SAR2]]</f>
        <v>0</v>
      </c>
      <c r="L37" s="41"/>
      <c r="M37" s="42"/>
      <c r="N37" s="42"/>
      <c r="O37" s="39"/>
      <c r="P37" s="3">
        <f>TABL1234[[#This Row],[خط (S/S  TOT) SAR2]]-TABL1234[[#This Row],[(S/S TOT) AJD]]</f>
        <v>0</v>
      </c>
      <c r="Q37" s="39"/>
      <c r="R37" s="3">
        <f>TABL1234[[#This Row],[خط (T/B  TOT) SAR]]-TABL1234[[#This Row],[(T/B TOT) AJD]]</f>
        <v>0</v>
      </c>
      <c r="S37" s="3">
        <f>TABL1234[[#This Row],[الفرق بين بداية ونهاية خط  T/B]]+TABL1234[[#This Row],[الفرق بين بداية ونهاية خط  S/S]]</f>
        <v>0</v>
      </c>
      <c r="T37" s="3">
        <f>TABL1234[[#This Row],[(S/S TOT) AJD]]+TABL1234[[#This Row],[(T/B TOT) AJD]]</f>
        <v>0</v>
      </c>
      <c r="U37" s="41"/>
      <c r="V37" s="41"/>
      <c r="W37" s="3">
        <f>TABL1234[[#This Row],[(A/B TOT) AJD]]+TABL1234[[#This Row],[(A/S TOT) AJD]]</f>
        <v>0</v>
      </c>
      <c r="X37" s="3">
        <f>TABL1234[[#This Row],[( S/S+T/B) AJD]]-TABL1234[[#This Row],[(A/B + A/S) AJD]]</f>
        <v>0</v>
      </c>
      <c r="Y37" s="41"/>
      <c r="Z37" s="43"/>
      <c r="AA37" s="3">
        <f>TABL1234[[#This Row],[(RESV. STORGE) AJD]]/10</f>
        <v>0</v>
      </c>
      <c r="AB37" s="3">
        <f t="shared" si="1"/>
        <v>0</v>
      </c>
      <c r="AC37" s="5"/>
      <c r="AD37" s="39">
        <f>TABL1234[[#This Row],[( S/S+T/B) AJD]]-(TABL1234[[#This Row],[(A/B + A/S) AJD]]+(TABL1234[[#This Row],[(STORGE DIFF.) AJD]]*1000)+TABL1234[[#This Row],[البخر  AJD]])</f>
        <v>0</v>
      </c>
      <c r="AE37" s="41"/>
      <c r="AF37" s="43"/>
      <c r="AG37" s="43"/>
      <c r="AH37" s="6"/>
      <c r="AI37" s="43"/>
      <c r="AJ37" s="43">
        <f>TABL1234[[#This Row],[(A/B TOT) AJD]]-TABL1234[[#This Row],[BER_ IN]]</f>
        <v>0</v>
      </c>
      <c r="AK37" s="43"/>
      <c r="AL37" s="43"/>
      <c r="AM37" s="32"/>
      <c r="AN37" s="32">
        <f>TABL1234[[#This Row],[ (RESV. STORGE) SER]]/10</f>
        <v>0</v>
      </c>
      <c r="AO37" s="68"/>
      <c r="AP37" s="68">
        <f>TABL1234[[#This Row],[(A/S TOT) AJD]]-TABL1234[[#This Row],[SER_ IN]]</f>
        <v>0</v>
      </c>
    </row>
    <row r="38" spans="1:42" ht="18.75" x14ac:dyDescent="0.25">
      <c r="A38" s="2">
        <v>46424</v>
      </c>
      <c r="B38" s="44"/>
      <c r="C38" s="44"/>
      <c r="D38" s="44"/>
      <c r="E38" s="44"/>
      <c r="F38" s="44"/>
      <c r="G38" s="40"/>
      <c r="H38" s="28">
        <f t="shared" si="0"/>
        <v>103</v>
      </c>
      <c r="I38" s="40"/>
      <c r="J38" s="44"/>
      <c r="K38" s="28">
        <f>TABL1234[[#This Row],[خط (T/B  TOT) SAR]]+TABL1234[[#This Row],[خط (S/S  TOT) SAR2]]</f>
        <v>0</v>
      </c>
      <c r="L38" s="45"/>
      <c r="M38" s="46"/>
      <c r="N38" s="46"/>
      <c r="O38" s="40"/>
      <c r="P38" s="3">
        <f>TABL1234[[#This Row],[خط (S/S  TOT) SAR2]]-TABL1234[[#This Row],[(S/S TOT) AJD]]</f>
        <v>0</v>
      </c>
      <c r="Q38" s="40"/>
      <c r="R38" s="3">
        <f>TABL1234[[#This Row],[خط (T/B  TOT) SAR]]-TABL1234[[#This Row],[(T/B TOT) AJD]]</f>
        <v>0</v>
      </c>
      <c r="S38" s="3">
        <f>TABL1234[[#This Row],[الفرق بين بداية ونهاية خط  T/B]]+TABL1234[[#This Row],[الفرق بين بداية ونهاية خط  S/S]]</f>
        <v>0</v>
      </c>
      <c r="T38" s="3">
        <f>TABL1234[[#This Row],[(S/S TOT) AJD]]+TABL1234[[#This Row],[(T/B TOT) AJD]]</f>
        <v>0</v>
      </c>
      <c r="U38" s="44"/>
      <c r="V38" s="44"/>
      <c r="W38" s="3">
        <f>TABL1234[[#This Row],[(A/B TOT) AJD]]+TABL1234[[#This Row],[(A/S TOT) AJD]]</f>
        <v>0</v>
      </c>
      <c r="X38" s="3">
        <f>TABL1234[[#This Row],[( S/S+T/B) AJD]]-TABL1234[[#This Row],[(A/B + A/S) AJD]]</f>
        <v>0</v>
      </c>
      <c r="Y38" s="44"/>
      <c r="Z38" s="45"/>
      <c r="AA38" s="3">
        <f>TABL1234[[#This Row],[(RESV. STORGE) AJD]]/10</f>
        <v>0</v>
      </c>
      <c r="AB38" s="3">
        <f t="shared" si="1"/>
        <v>0</v>
      </c>
      <c r="AC38" s="5"/>
      <c r="AD38" s="40">
        <f>TABL1234[[#This Row],[( S/S+T/B) AJD]]-(TABL1234[[#This Row],[(A/B + A/S) AJD]]+(TABL1234[[#This Row],[(STORGE DIFF.) AJD]]*1000)+TABL1234[[#This Row],[البخر  AJD]])</f>
        <v>0</v>
      </c>
      <c r="AE38" s="44"/>
      <c r="AF38" s="45"/>
      <c r="AG38" s="45"/>
      <c r="AH38" s="6"/>
      <c r="AI38" s="45"/>
      <c r="AJ38" s="45">
        <f>TABL1234[[#This Row],[(A/B TOT) AJD]]-TABL1234[[#This Row],[BER_ IN]]</f>
        <v>0</v>
      </c>
      <c r="AK38" s="45"/>
      <c r="AL38" s="45"/>
      <c r="AM38" s="32"/>
      <c r="AN38" s="32">
        <f>TABL1234[[#This Row],[ (RESV. STORGE) SER]]/10</f>
        <v>0</v>
      </c>
      <c r="AO38" s="68"/>
      <c r="AP38" s="68">
        <f>TABL1234[[#This Row],[(A/S TOT) AJD]]-TABL1234[[#This Row],[SER_ IN]]</f>
        <v>0</v>
      </c>
    </row>
    <row r="39" spans="1:42" ht="18.75" x14ac:dyDescent="0.25">
      <c r="A39" s="2">
        <v>46425</v>
      </c>
      <c r="B39" s="41"/>
      <c r="C39" s="41"/>
      <c r="D39" s="41"/>
      <c r="E39" s="41"/>
      <c r="F39" s="41"/>
      <c r="G39" s="39"/>
      <c r="H39" s="28">
        <f t="shared" si="0"/>
        <v>103</v>
      </c>
      <c r="I39" s="39"/>
      <c r="J39" s="39"/>
      <c r="K39" s="28">
        <f>TABL1234[[#This Row],[خط (T/B  TOT) SAR]]+TABL1234[[#This Row],[خط (S/S  TOT) SAR2]]</f>
        <v>0</v>
      </c>
      <c r="L39" s="41"/>
      <c r="M39" s="42"/>
      <c r="N39" s="42"/>
      <c r="O39" s="39"/>
      <c r="P39" s="3">
        <f>TABL1234[[#This Row],[خط (S/S  TOT) SAR2]]-TABL1234[[#This Row],[(S/S TOT) AJD]]</f>
        <v>0</v>
      </c>
      <c r="Q39" s="39"/>
      <c r="R39" s="3">
        <f>TABL1234[[#This Row],[خط (T/B  TOT) SAR]]-TABL1234[[#This Row],[(T/B TOT) AJD]]</f>
        <v>0</v>
      </c>
      <c r="S39" s="3">
        <f>TABL1234[[#This Row],[الفرق بين بداية ونهاية خط  T/B]]+TABL1234[[#This Row],[الفرق بين بداية ونهاية خط  S/S]]</f>
        <v>0</v>
      </c>
      <c r="T39" s="3">
        <f>TABL1234[[#This Row],[(S/S TOT) AJD]]+TABL1234[[#This Row],[(T/B TOT) AJD]]</f>
        <v>0</v>
      </c>
      <c r="U39" s="41"/>
      <c r="V39" s="41"/>
      <c r="W39" s="3">
        <f>TABL1234[[#This Row],[(A/B TOT) AJD]]+TABL1234[[#This Row],[(A/S TOT) AJD]]</f>
        <v>0</v>
      </c>
      <c r="X39" s="3">
        <f>TABL1234[[#This Row],[( S/S+T/B) AJD]]-TABL1234[[#This Row],[(A/B + A/S) AJD]]</f>
        <v>0</v>
      </c>
      <c r="Y39" s="41"/>
      <c r="Z39" s="43"/>
      <c r="AA39" s="3">
        <f>TABL1234[[#This Row],[(RESV. STORGE) AJD]]/10</f>
        <v>0</v>
      </c>
      <c r="AB39" s="3">
        <f t="shared" si="1"/>
        <v>0</v>
      </c>
      <c r="AC39" s="5"/>
      <c r="AD39" s="39">
        <f>TABL1234[[#This Row],[( S/S+T/B) AJD]]-(TABL1234[[#This Row],[(A/B + A/S) AJD]]+(TABL1234[[#This Row],[(STORGE DIFF.) AJD]]*1000)+TABL1234[[#This Row],[البخر  AJD]])</f>
        <v>0</v>
      </c>
      <c r="AE39" s="41"/>
      <c r="AF39" s="43"/>
      <c r="AG39" s="43"/>
      <c r="AH39" s="6"/>
      <c r="AI39" s="43"/>
      <c r="AJ39" s="43">
        <f>TABL1234[[#This Row],[(A/B TOT) AJD]]-TABL1234[[#This Row],[BER_ IN]]</f>
        <v>0</v>
      </c>
      <c r="AK39" s="43"/>
      <c r="AL39" s="43"/>
      <c r="AM39" s="32"/>
      <c r="AN39" s="32">
        <f>TABL1234[[#This Row],[ (RESV. STORGE) SER]]/10</f>
        <v>0</v>
      </c>
      <c r="AO39" s="68"/>
      <c r="AP39" s="68">
        <f>TABL1234[[#This Row],[(A/S TOT) AJD]]-TABL1234[[#This Row],[SER_ IN]]</f>
        <v>0</v>
      </c>
    </row>
    <row r="40" spans="1:42" ht="18.75" x14ac:dyDescent="0.25">
      <c r="A40" s="2">
        <v>46426</v>
      </c>
      <c r="B40" s="44"/>
      <c r="C40" s="44"/>
      <c r="D40" s="44"/>
      <c r="E40" s="44"/>
      <c r="F40" s="44"/>
      <c r="G40" s="40"/>
      <c r="H40" s="28">
        <f t="shared" si="0"/>
        <v>103</v>
      </c>
      <c r="I40" s="40"/>
      <c r="J40" s="44"/>
      <c r="K40" s="28">
        <f>TABL1234[[#This Row],[خط (T/B  TOT) SAR]]+TABL1234[[#This Row],[خط (S/S  TOT) SAR2]]</f>
        <v>0</v>
      </c>
      <c r="L40" s="45"/>
      <c r="M40" s="46"/>
      <c r="N40" s="46"/>
      <c r="O40" s="40"/>
      <c r="P40" s="3">
        <f>TABL1234[[#This Row],[خط (S/S  TOT) SAR2]]-TABL1234[[#This Row],[(S/S TOT) AJD]]</f>
        <v>0</v>
      </c>
      <c r="Q40" s="40"/>
      <c r="R40" s="3">
        <f>TABL1234[[#This Row],[خط (T/B  TOT) SAR]]-TABL1234[[#This Row],[(T/B TOT) AJD]]</f>
        <v>0</v>
      </c>
      <c r="S40" s="3">
        <f>TABL1234[[#This Row],[الفرق بين بداية ونهاية خط  T/B]]+TABL1234[[#This Row],[الفرق بين بداية ونهاية خط  S/S]]</f>
        <v>0</v>
      </c>
      <c r="T40" s="3">
        <f>TABL1234[[#This Row],[(S/S TOT) AJD]]+TABL1234[[#This Row],[(T/B TOT) AJD]]</f>
        <v>0</v>
      </c>
      <c r="U40" s="44"/>
      <c r="V40" s="44"/>
      <c r="W40" s="3">
        <f>TABL1234[[#This Row],[(A/B TOT) AJD]]+TABL1234[[#This Row],[(A/S TOT) AJD]]</f>
        <v>0</v>
      </c>
      <c r="X40" s="3">
        <f>TABL1234[[#This Row],[( S/S+T/B) AJD]]-TABL1234[[#This Row],[(A/B + A/S) AJD]]</f>
        <v>0</v>
      </c>
      <c r="Y40" s="44"/>
      <c r="Z40" s="45"/>
      <c r="AA40" s="3">
        <f>TABL1234[[#This Row],[(RESV. STORGE) AJD]]/10</f>
        <v>0</v>
      </c>
      <c r="AB40" s="3">
        <f t="shared" si="1"/>
        <v>0</v>
      </c>
      <c r="AC40" s="5"/>
      <c r="AD40" s="40">
        <f>TABL1234[[#This Row],[( S/S+T/B) AJD]]-(TABL1234[[#This Row],[(A/B + A/S) AJD]]+(TABL1234[[#This Row],[(STORGE DIFF.) AJD]]*1000)+TABL1234[[#This Row],[البخر  AJD]])</f>
        <v>0</v>
      </c>
      <c r="AE40" s="44"/>
      <c r="AF40" s="45"/>
      <c r="AG40" s="45"/>
      <c r="AH40" s="6"/>
      <c r="AI40" s="45"/>
      <c r="AJ40" s="45">
        <f>TABL1234[[#This Row],[(A/B TOT) AJD]]-TABL1234[[#This Row],[BER_ IN]]</f>
        <v>0</v>
      </c>
      <c r="AK40" s="45"/>
      <c r="AL40" s="45"/>
      <c r="AM40" s="32"/>
      <c r="AN40" s="32">
        <f>TABL1234[[#This Row],[ (RESV. STORGE) SER]]/10</f>
        <v>0</v>
      </c>
      <c r="AO40" s="68"/>
      <c r="AP40" s="68">
        <f>TABL1234[[#This Row],[(A/S TOT) AJD]]-TABL1234[[#This Row],[SER_ IN]]</f>
        <v>0</v>
      </c>
    </row>
    <row r="41" spans="1:42" ht="18.75" x14ac:dyDescent="0.25">
      <c r="A41" s="2">
        <v>46427</v>
      </c>
      <c r="B41" s="41"/>
      <c r="C41" s="41"/>
      <c r="D41" s="41"/>
      <c r="E41" s="41"/>
      <c r="F41" s="41"/>
      <c r="G41" s="39"/>
      <c r="H41" s="28">
        <f t="shared" si="0"/>
        <v>103</v>
      </c>
      <c r="I41" s="39"/>
      <c r="J41" s="39"/>
      <c r="K41" s="28">
        <f>TABL1234[[#This Row],[خط (T/B  TOT) SAR]]+TABL1234[[#This Row],[خط (S/S  TOT) SAR2]]</f>
        <v>0</v>
      </c>
      <c r="L41" s="41"/>
      <c r="M41" s="42"/>
      <c r="N41" s="42"/>
      <c r="O41" s="39"/>
      <c r="P41" s="3">
        <f>TABL1234[[#This Row],[خط (S/S  TOT) SAR2]]-TABL1234[[#This Row],[(S/S TOT) AJD]]</f>
        <v>0</v>
      </c>
      <c r="Q41" s="39"/>
      <c r="R41" s="3">
        <f>TABL1234[[#This Row],[خط (T/B  TOT) SAR]]-TABL1234[[#This Row],[(T/B TOT) AJD]]</f>
        <v>0</v>
      </c>
      <c r="S41" s="3">
        <f>TABL1234[[#This Row],[الفرق بين بداية ونهاية خط  T/B]]+TABL1234[[#This Row],[الفرق بين بداية ونهاية خط  S/S]]</f>
        <v>0</v>
      </c>
      <c r="T41" s="3">
        <f>TABL1234[[#This Row],[(S/S TOT) AJD]]+TABL1234[[#This Row],[(T/B TOT) AJD]]</f>
        <v>0</v>
      </c>
      <c r="U41" s="41"/>
      <c r="V41" s="41"/>
      <c r="W41" s="3">
        <f>TABL1234[[#This Row],[(A/B TOT) AJD]]+TABL1234[[#This Row],[(A/S TOT) AJD]]</f>
        <v>0</v>
      </c>
      <c r="X41" s="3">
        <f>TABL1234[[#This Row],[( S/S+T/B) AJD]]-TABL1234[[#This Row],[(A/B + A/S) AJD]]</f>
        <v>0</v>
      </c>
      <c r="Y41" s="41"/>
      <c r="Z41" s="43"/>
      <c r="AA41" s="3">
        <f>TABL1234[[#This Row],[(RESV. STORGE) AJD]]/10</f>
        <v>0</v>
      </c>
      <c r="AB41" s="3">
        <f t="shared" si="1"/>
        <v>0</v>
      </c>
      <c r="AC41" s="5"/>
      <c r="AD41" s="39">
        <f>TABL1234[[#This Row],[( S/S+T/B) AJD]]-(TABL1234[[#This Row],[(A/B + A/S) AJD]]+(TABL1234[[#This Row],[(STORGE DIFF.) AJD]]*1000)+TABL1234[[#This Row],[البخر  AJD]])</f>
        <v>0</v>
      </c>
      <c r="AE41" s="41"/>
      <c r="AF41" s="43"/>
      <c r="AG41" s="43"/>
      <c r="AH41" s="6"/>
      <c r="AI41" s="43"/>
      <c r="AJ41" s="43">
        <f>TABL1234[[#This Row],[(A/B TOT) AJD]]-TABL1234[[#This Row],[BER_ IN]]</f>
        <v>0</v>
      </c>
      <c r="AK41" s="43"/>
      <c r="AL41" s="43"/>
      <c r="AM41" s="32"/>
      <c r="AN41" s="32">
        <f>TABL1234[[#This Row],[ (RESV. STORGE) SER]]/10</f>
        <v>0</v>
      </c>
      <c r="AO41" s="68"/>
      <c r="AP41" s="68">
        <f>TABL1234[[#This Row],[(A/S TOT) AJD]]-TABL1234[[#This Row],[SER_ IN]]</f>
        <v>0</v>
      </c>
    </row>
    <row r="42" spans="1:42" ht="18.75" x14ac:dyDescent="0.25">
      <c r="A42" s="2">
        <v>46428</v>
      </c>
      <c r="B42" s="44"/>
      <c r="C42" s="44"/>
      <c r="D42" s="44"/>
      <c r="E42" s="44"/>
      <c r="F42" s="44"/>
      <c r="G42" s="40"/>
      <c r="H42" s="28">
        <f t="shared" si="0"/>
        <v>103</v>
      </c>
      <c r="I42" s="40"/>
      <c r="J42" s="44"/>
      <c r="K42" s="28">
        <f>TABL1234[[#This Row],[خط (T/B  TOT) SAR]]+TABL1234[[#This Row],[خط (S/S  TOT) SAR2]]</f>
        <v>0</v>
      </c>
      <c r="L42" s="45"/>
      <c r="M42" s="46"/>
      <c r="N42" s="46"/>
      <c r="O42" s="40"/>
      <c r="P42" s="3">
        <f>TABL1234[[#This Row],[خط (S/S  TOT) SAR2]]-TABL1234[[#This Row],[(S/S TOT) AJD]]</f>
        <v>0</v>
      </c>
      <c r="Q42" s="40"/>
      <c r="R42" s="3">
        <f>TABL1234[[#This Row],[خط (T/B  TOT) SAR]]-TABL1234[[#This Row],[(T/B TOT) AJD]]</f>
        <v>0</v>
      </c>
      <c r="S42" s="3">
        <f>TABL1234[[#This Row],[الفرق بين بداية ونهاية خط  T/B]]+TABL1234[[#This Row],[الفرق بين بداية ونهاية خط  S/S]]</f>
        <v>0</v>
      </c>
      <c r="T42" s="3">
        <f>TABL1234[[#This Row],[(S/S TOT) AJD]]+TABL1234[[#This Row],[(T/B TOT) AJD]]</f>
        <v>0</v>
      </c>
      <c r="U42" s="44"/>
      <c r="V42" s="44"/>
      <c r="W42" s="3">
        <f>TABL1234[[#This Row],[(A/B TOT) AJD]]+TABL1234[[#This Row],[(A/S TOT) AJD]]</f>
        <v>0</v>
      </c>
      <c r="X42" s="3">
        <f>TABL1234[[#This Row],[( S/S+T/B) AJD]]-TABL1234[[#This Row],[(A/B + A/S) AJD]]</f>
        <v>0</v>
      </c>
      <c r="Y42" s="44"/>
      <c r="Z42" s="45"/>
      <c r="AA42" s="3">
        <f>TABL1234[[#This Row],[(RESV. STORGE) AJD]]/10</f>
        <v>0</v>
      </c>
      <c r="AB42" s="3">
        <f t="shared" si="1"/>
        <v>0</v>
      </c>
      <c r="AC42" s="5"/>
      <c r="AD42" s="40">
        <f>TABL1234[[#This Row],[( S/S+T/B) AJD]]-(TABL1234[[#This Row],[(A/B + A/S) AJD]]+(TABL1234[[#This Row],[(STORGE DIFF.) AJD]]*1000)+TABL1234[[#This Row],[البخر  AJD]])</f>
        <v>0</v>
      </c>
      <c r="AE42" s="44"/>
      <c r="AF42" s="45"/>
      <c r="AG42" s="45"/>
      <c r="AH42" s="6"/>
      <c r="AI42" s="45"/>
      <c r="AJ42" s="45">
        <f>TABL1234[[#This Row],[(A/B TOT) AJD]]-TABL1234[[#This Row],[BER_ IN]]</f>
        <v>0</v>
      </c>
      <c r="AK42" s="45"/>
      <c r="AL42" s="45"/>
      <c r="AM42" s="32"/>
      <c r="AN42" s="32">
        <f>TABL1234[[#This Row],[ (RESV. STORGE) SER]]/10</f>
        <v>0</v>
      </c>
      <c r="AO42" s="68"/>
      <c r="AP42" s="68">
        <f>TABL1234[[#This Row],[(A/S TOT) AJD]]-TABL1234[[#This Row],[SER_ IN]]</f>
        <v>0</v>
      </c>
    </row>
    <row r="43" spans="1:42" ht="18.75" x14ac:dyDescent="0.25">
      <c r="A43" s="2">
        <v>46429</v>
      </c>
      <c r="B43" s="41"/>
      <c r="C43" s="41"/>
      <c r="D43" s="41"/>
      <c r="E43" s="41"/>
      <c r="F43" s="41"/>
      <c r="G43" s="39"/>
      <c r="H43" s="28">
        <f t="shared" si="0"/>
        <v>103</v>
      </c>
      <c r="I43" s="39"/>
      <c r="J43" s="39"/>
      <c r="K43" s="28">
        <f>TABL1234[[#This Row],[خط (T/B  TOT) SAR]]+TABL1234[[#This Row],[خط (S/S  TOT) SAR2]]</f>
        <v>0</v>
      </c>
      <c r="L43" s="41"/>
      <c r="M43" s="42"/>
      <c r="N43" s="42"/>
      <c r="O43" s="39"/>
      <c r="P43" s="3">
        <f>TABL1234[[#This Row],[خط (S/S  TOT) SAR2]]-TABL1234[[#This Row],[(S/S TOT) AJD]]</f>
        <v>0</v>
      </c>
      <c r="Q43" s="39"/>
      <c r="R43" s="3">
        <f>TABL1234[[#This Row],[خط (T/B  TOT) SAR]]-TABL1234[[#This Row],[(T/B TOT) AJD]]</f>
        <v>0</v>
      </c>
      <c r="S43" s="3">
        <f>TABL1234[[#This Row],[الفرق بين بداية ونهاية خط  T/B]]+TABL1234[[#This Row],[الفرق بين بداية ونهاية خط  S/S]]</f>
        <v>0</v>
      </c>
      <c r="T43" s="3">
        <f>TABL1234[[#This Row],[(S/S TOT) AJD]]+TABL1234[[#This Row],[(T/B TOT) AJD]]</f>
        <v>0</v>
      </c>
      <c r="U43" s="41"/>
      <c r="V43" s="41"/>
      <c r="W43" s="3">
        <f>TABL1234[[#This Row],[(A/B TOT) AJD]]+TABL1234[[#This Row],[(A/S TOT) AJD]]</f>
        <v>0</v>
      </c>
      <c r="X43" s="3">
        <f>TABL1234[[#This Row],[( S/S+T/B) AJD]]-TABL1234[[#This Row],[(A/B + A/S) AJD]]</f>
        <v>0</v>
      </c>
      <c r="Y43" s="41"/>
      <c r="Z43" s="43"/>
      <c r="AA43" s="3">
        <f>TABL1234[[#This Row],[(RESV. STORGE) AJD]]/10</f>
        <v>0</v>
      </c>
      <c r="AB43" s="3">
        <f t="shared" si="1"/>
        <v>0</v>
      </c>
      <c r="AC43" s="5"/>
      <c r="AD43" s="39">
        <f>TABL1234[[#This Row],[( S/S+T/B) AJD]]-(TABL1234[[#This Row],[(A/B + A/S) AJD]]+(TABL1234[[#This Row],[(STORGE DIFF.) AJD]]*1000)+TABL1234[[#This Row],[البخر  AJD]])</f>
        <v>0</v>
      </c>
      <c r="AE43" s="41"/>
      <c r="AF43" s="43"/>
      <c r="AG43" s="43"/>
      <c r="AH43" s="6"/>
      <c r="AI43" s="43"/>
      <c r="AJ43" s="43">
        <f>TABL1234[[#This Row],[(A/B TOT) AJD]]-TABL1234[[#This Row],[BER_ IN]]</f>
        <v>0</v>
      </c>
      <c r="AK43" s="43"/>
      <c r="AL43" s="43"/>
      <c r="AM43" s="32"/>
      <c r="AN43" s="32">
        <f>TABL1234[[#This Row],[ (RESV. STORGE) SER]]/10</f>
        <v>0</v>
      </c>
      <c r="AO43" s="68"/>
      <c r="AP43" s="68">
        <f>TABL1234[[#This Row],[(A/S TOT) AJD]]-TABL1234[[#This Row],[SER_ IN]]</f>
        <v>0</v>
      </c>
    </row>
    <row r="44" spans="1:42" ht="18.75" x14ac:dyDescent="0.25">
      <c r="A44" s="2">
        <v>46430</v>
      </c>
      <c r="B44" s="44"/>
      <c r="C44" s="44"/>
      <c r="D44" s="44"/>
      <c r="E44" s="44"/>
      <c r="F44" s="44"/>
      <c r="G44" s="40"/>
      <c r="H44" s="28">
        <f t="shared" si="0"/>
        <v>103</v>
      </c>
      <c r="I44" s="40"/>
      <c r="J44" s="44"/>
      <c r="K44" s="28">
        <f>TABL1234[[#This Row],[خط (T/B  TOT) SAR]]+TABL1234[[#This Row],[خط (S/S  TOT) SAR2]]</f>
        <v>0</v>
      </c>
      <c r="L44" s="45"/>
      <c r="M44" s="46"/>
      <c r="N44" s="46"/>
      <c r="O44" s="40"/>
      <c r="P44" s="3">
        <f>TABL1234[[#This Row],[خط (S/S  TOT) SAR2]]-TABL1234[[#This Row],[(S/S TOT) AJD]]</f>
        <v>0</v>
      </c>
      <c r="Q44" s="40"/>
      <c r="R44" s="3">
        <f>TABL1234[[#This Row],[خط (T/B  TOT) SAR]]-TABL1234[[#This Row],[(T/B TOT) AJD]]</f>
        <v>0</v>
      </c>
      <c r="S44" s="3">
        <f>TABL1234[[#This Row],[الفرق بين بداية ونهاية خط  T/B]]+TABL1234[[#This Row],[الفرق بين بداية ونهاية خط  S/S]]</f>
        <v>0</v>
      </c>
      <c r="T44" s="3">
        <f>TABL1234[[#This Row],[(S/S TOT) AJD]]+TABL1234[[#This Row],[(T/B TOT) AJD]]</f>
        <v>0</v>
      </c>
      <c r="U44" s="44"/>
      <c r="V44" s="44"/>
      <c r="W44" s="3">
        <f>TABL1234[[#This Row],[(A/B TOT) AJD]]+TABL1234[[#This Row],[(A/S TOT) AJD]]</f>
        <v>0</v>
      </c>
      <c r="X44" s="3">
        <f>TABL1234[[#This Row],[( S/S+T/B) AJD]]-TABL1234[[#This Row],[(A/B + A/S) AJD]]</f>
        <v>0</v>
      </c>
      <c r="Y44" s="44"/>
      <c r="Z44" s="45"/>
      <c r="AA44" s="3">
        <f>TABL1234[[#This Row],[(RESV. STORGE) AJD]]/10</f>
        <v>0</v>
      </c>
      <c r="AB44" s="3">
        <f t="shared" si="1"/>
        <v>0</v>
      </c>
      <c r="AC44" s="5"/>
      <c r="AD44" s="40">
        <f>TABL1234[[#This Row],[( S/S+T/B) AJD]]-(TABL1234[[#This Row],[(A/B + A/S) AJD]]+(TABL1234[[#This Row],[(STORGE DIFF.) AJD]]*1000)+TABL1234[[#This Row],[البخر  AJD]])</f>
        <v>0</v>
      </c>
      <c r="AE44" s="44"/>
      <c r="AF44" s="45"/>
      <c r="AG44" s="45"/>
      <c r="AH44" s="6"/>
      <c r="AI44" s="45"/>
      <c r="AJ44" s="45">
        <f>TABL1234[[#This Row],[(A/B TOT) AJD]]-TABL1234[[#This Row],[BER_ IN]]</f>
        <v>0</v>
      </c>
      <c r="AK44" s="45"/>
      <c r="AL44" s="45"/>
      <c r="AM44" s="32"/>
      <c r="AN44" s="32">
        <f>TABL1234[[#This Row],[ (RESV. STORGE) SER]]/10</f>
        <v>0</v>
      </c>
      <c r="AO44" s="68"/>
      <c r="AP44" s="68">
        <f>TABL1234[[#This Row],[(A/S TOT) AJD]]-TABL1234[[#This Row],[SER_ IN]]</f>
        <v>0</v>
      </c>
    </row>
    <row r="45" spans="1:42" ht="18.75" x14ac:dyDescent="0.25">
      <c r="A45" s="2">
        <v>46431</v>
      </c>
      <c r="B45" s="41"/>
      <c r="C45" s="41"/>
      <c r="D45" s="41"/>
      <c r="E45" s="41"/>
      <c r="F45" s="41"/>
      <c r="G45" s="39"/>
      <c r="H45" s="28">
        <f t="shared" si="0"/>
        <v>103</v>
      </c>
      <c r="I45" s="39"/>
      <c r="J45" s="39"/>
      <c r="K45" s="28">
        <f>TABL1234[[#This Row],[خط (T/B  TOT) SAR]]+TABL1234[[#This Row],[خط (S/S  TOT) SAR2]]</f>
        <v>0</v>
      </c>
      <c r="L45" s="41"/>
      <c r="M45" s="42"/>
      <c r="N45" s="42"/>
      <c r="O45" s="39"/>
      <c r="P45" s="3">
        <f>TABL1234[[#This Row],[خط (S/S  TOT) SAR2]]-TABL1234[[#This Row],[(S/S TOT) AJD]]</f>
        <v>0</v>
      </c>
      <c r="Q45" s="39"/>
      <c r="R45" s="3">
        <f>TABL1234[[#This Row],[خط (T/B  TOT) SAR]]-TABL1234[[#This Row],[(T/B TOT) AJD]]</f>
        <v>0</v>
      </c>
      <c r="S45" s="3">
        <f>TABL1234[[#This Row],[الفرق بين بداية ونهاية خط  T/B]]+TABL1234[[#This Row],[الفرق بين بداية ونهاية خط  S/S]]</f>
        <v>0</v>
      </c>
      <c r="T45" s="3">
        <f>TABL1234[[#This Row],[(S/S TOT) AJD]]+TABL1234[[#This Row],[(T/B TOT) AJD]]</f>
        <v>0</v>
      </c>
      <c r="U45" s="41"/>
      <c r="V45" s="41"/>
      <c r="W45" s="3">
        <f>TABL1234[[#This Row],[(A/B TOT) AJD]]+TABL1234[[#This Row],[(A/S TOT) AJD]]</f>
        <v>0</v>
      </c>
      <c r="X45" s="3">
        <f>TABL1234[[#This Row],[( S/S+T/B) AJD]]-TABL1234[[#This Row],[(A/B + A/S) AJD]]</f>
        <v>0</v>
      </c>
      <c r="Y45" s="41"/>
      <c r="Z45" s="43"/>
      <c r="AA45" s="3">
        <f>TABL1234[[#This Row],[(RESV. STORGE) AJD]]/10</f>
        <v>0</v>
      </c>
      <c r="AB45" s="3">
        <f t="shared" si="1"/>
        <v>0</v>
      </c>
      <c r="AC45" s="5"/>
      <c r="AD45" s="39">
        <f>TABL1234[[#This Row],[( S/S+T/B) AJD]]-(TABL1234[[#This Row],[(A/B + A/S) AJD]]+(TABL1234[[#This Row],[(STORGE DIFF.) AJD]]*1000)+TABL1234[[#This Row],[البخر  AJD]])</f>
        <v>0</v>
      </c>
      <c r="AE45" s="41"/>
      <c r="AF45" s="43"/>
      <c r="AG45" s="43"/>
      <c r="AH45" s="6"/>
      <c r="AI45" s="43"/>
      <c r="AJ45" s="43">
        <f>TABL1234[[#This Row],[(A/B TOT) AJD]]-TABL1234[[#This Row],[BER_ IN]]</f>
        <v>0</v>
      </c>
      <c r="AK45" s="43"/>
      <c r="AL45" s="43"/>
      <c r="AM45" s="32"/>
      <c r="AN45" s="32">
        <f>TABL1234[[#This Row],[ (RESV. STORGE) SER]]/10</f>
        <v>0</v>
      </c>
      <c r="AO45" s="68"/>
      <c r="AP45" s="68">
        <f>TABL1234[[#This Row],[(A/S TOT) AJD]]-TABL1234[[#This Row],[SER_ IN]]</f>
        <v>0</v>
      </c>
    </row>
    <row r="46" spans="1:42" ht="18.75" x14ac:dyDescent="0.25">
      <c r="A46" s="2">
        <v>46432</v>
      </c>
      <c r="B46" s="44"/>
      <c r="C46" s="44"/>
      <c r="D46" s="44"/>
      <c r="E46" s="44"/>
      <c r="F46" s="44"/>
      <c r="G46" s="40"/>
      <c r="H46" s="28">
        <f t="shared" si="0"/>
        <v>103</v>
      </c>
      <c r="I46" s="40"/>
      <c r="J46" s="44"/>
      <c r="K46" s="28">
        <f>TABL1234[[#This Row],[خط (T/B  TOT) SAR]]+TABL1234[[#This Row],[خط (S/S  TOT) SAR2]]</f>
        <v>0</v>
      </c>
      <c r="L46" s="45"/>
      <c r="M46" s="46"/>
      <c r="N46" s="46"/>
      <c r="O46" s="40"/>
      <c r="P46" s="3">
        <f>TABL1234[[#This Row],[خط (S/S  TOT) SAR2]]-TABL1234[[#This Row],[(S/S TOT) AJD]]</f>
        <v>0</v>
      </c>
      <c r="Q46" s="40"/>
      <c r="R46" s="3">
        <f>TABL1234[[#This Row],[خط (T/B  TOT) SAR]]-TABL1234[[#This Row],[(T/B TOT) AJD]]</f>
        <v>0</v>
      </c>
      <c r="S46" s="3">
        <f>TABL1234[[#This Row],[الفرق بين بداية ونهاية خط  T/B]]+TABL1234[[#This Row],[الفرق بين بداية ونهاية خط  S/S]]</f>
        <v>0</v>
      </c>
      <c r="T46" s="3">
        <f>TABL1234[[#This Row],[(S/S TOT) AJD]]+TABL1234[[#This Row],[(T/B TOT) AJD]]</f>
        <v>0</v>
      </c>
      <c r="U46" s="44"/>
      <c r="V46" s="44"/>
      <c r="W46" s="3">
        <f>TABL1234[[#This Row],[(A/B TOT) AJD]]+TABL1234[[#This Row],[(A/S TOT) AJD]]</f>
        <v>0</v>
      </c>
      <c r="X46" s="3">
        <f>TABL1234[[#This Row],[( S/S+T/B) AJD]]-TABL1234[[#This Row],[(A/B + A/S) AJD]]</f>
        <v>0</v>
      </c>
      <c r="Y46" s="44"/>
      <c r="Z46" s="45"/>
      <c r="AA46" s="3">
        <f>TABL1234[[#This Row],[(RESV. STORGE) AJD]]/10</f>
        <v>0</v>
      </c>
      <c r="AB46" s="3">
        <f t="shared" si="1"/>
        <v>0</v>
      </c>
      <c r="AC46" s="5"/>
      <c r="AD46" s="40">
        <f>TABL1234[[#This Row],[( S/S+T/B) AJD]]-(TABL1234[[#This Row],[(A/B + A/S) AJD]]+(TABL1234[[#This Row],[(STORGE DIFF.) AJD]]*1000)+TABL1234[[#This Row],[البخر  AJD]])</f>
        <v>0</v>
      </c>
      <c r="AE46" s="44"/>
      <c r="AF46" s="45"/>
      <c r="AG46" s="45"/>
      <c r="AH46" s="6"/>
      <c r="AI46" s="45"/>
      <c r="AJ46" s="45">
        <f>TABL1234[[#This Row],[(A/B TOT) AJD]]-TABL1234[[#This Row],[BER_ IN]]</f>
        <v>0</v>
      </c>
      <c r="AK46" s="45"/>
      <c r="AL46" s="45"/>
      <c r="AM46" s="32"/>
      <c r="AN46" s="32">
        <f>TABL1234[[#This Row],[ (RESV. STORGE) SER]]/10</f>
        <v>0</v>
      </c>
      <c r="AO46" s="68"/>
      <c r="AP46" s="68">
        <f>TABL1234[[#This Row],[(A/S TOT) AJD]]-TABL1234[[#This Row],[SER_ IN]]</f>
        <v>0</v>
      </c>
    </row>
    <row r="47" spans="1:42" ht="18.75" x14ac:dyDescent="0.25">
      <c r="A47" s="2">
        <v>46433</v>
      </c>
      <c r="B47" s="41"/>
      <c r="C47" s="41"/>
      <c r="D47" s="41"/>
      <c r="E47" s="41"/>
      <c r="F47" s="41"/>
      <c r="G47" s="39"/>
      <c r="H47" s="28">
        <f t="shared" si="0"/>
        <v>103</v>
      </c>
      <c r="I47" s="39"/>
      <c r="J47" s="39"/>
      <c r="K47" s="28">
        <f>TABL1234[[#This Row],[خط (T/B  TOT) SAR]]+TABL1234[[#This Row],[خط (S/S  TOT) SAR2]]</f>
        <v>0</v>
      </c>
      <c r="L47" s="41"/>
      <c r="M47" s="42"/>
      <c r="N47" s="42"/>
      <c r="O47" s="39"/>
      <c r="P47" s="3">
        <f>TABL1234[[#This Row],[خط (S/S  TOT) SAR2]]-TABL1234[[#This Row],[(S/S TOT) AJD]]</f>
        <v>0</v>
      </c>
      <c r="Q47" s="39"/>
      <c r="R47" s="3">
        <f>TABL1234[[#This Row],[خط (T/B  TOT) SAR]]-TABL1234[[#This Row],[(T/B TOT) AJD]]</f>
        <v>0</v>
      </c>
      <c r="S47" s="3">
        <f>TABL1234[[#This Row],[الفرق بين بداية ونهاية خط  T/B]]+TABL1234[[#This Row],[الفرق بين بداية ونهاية خط  S/S]]</f>
        <v>0</v>
      </c>
      <c r="T47" s="3">
        <f>TABL1234[[#This Row],[(S/S TOT) AJD]]+TABL1234[[#This Row],[(T/B TOT) AJD]]</f>
        <v>0</v>
      </c>
      <c r="U47" s="41"/>
      <c r="V47" s="41"/>
      <c r="W47" s="3">
        <f>TABL1234[[#This Row],[(A/B TOT) AJD]]+TABL1234[[#This Row],[(A/S TOT) AJD]]</f>
        <v>0</v>
      </c>
      <c r="X47" s="3">
        <f>TABL1234[[#This Row],[( S/S+T/B) AJD]]-TABL1234[[#This Row],[(A/B + A/S) AJD]]</f>
        <v>0</v>
      </c>
      <c r="Y47" s="41"/>
      <c r="Z47" s="43"/>
      <c r="AA47" s="3">
        <f>TABL1234[[#This Row],[(RESV. STORGE) AJD]]/10</f>
        <v>0</v>
      </c>
      <c r="AB47" s="3">
        <f t="shared" si="1"/>
        <v>0</v>
      </c>
      <c r="AC47" s="5"/>
      <c r="AD47" s="39">
        <f>TABL1234[[#This Row],[( S/S+T/B) AJD]]-(TABL1234[[#This Row],[(A/B + A/S) AJD]]+(TABL1234[[#This Row],[(STORGE DIFF.) AJD]]*1000)+TABL1234[[#This Row],[البخر  AJD]])</f>
        <v>0</v>
      </c>
      <c r="AE47" s="41"/>
      <c r="AF47" s="43"/>
      <c r="AG47" s="43"/>
      <c r="AH47" s="6"/>
      <c r="AI47" s="43"/>
      <c r="AJ47" s="43">
        <f>TABL1234[[#This Row],[(A/B TOT) AJD]]-TABL1234[[#This Row],[BER_ IN]]</f>
        <v>0</v>
      </c>
      <c r="AK47" s="43"/>
      <c r="AL47" s="43"/>
      <c r="AM47" s="32"/>
      <c r="AN47" s="32">
        <f>TABL1234[[#This Row],[ (RESV. STORGE) SER]]/10</f>
        <v>0</v>
      </c>
      <c r="AO47" s="68"/>
      <c r="AP47" s="68">
        <f>TABL1234[[#This Row],[(A/S TOT) AJD]]-TABL1234[[#This Row],[SER_ IN]]</f>
        <v>0</v>
      </c>
    </row>
    <row r="48" spans="1:42" ht="18.75" x14ac:dyDescent="0.25">
      <c r="A48" s="2">
        <v>46434</v>
      </c>
      <c r="B48" s="44"/>
      <c r="C48" s="44"/>
      <c r="D48" s="44"/>
      <c r="E48" s="44"/>
      <c r="F48" s="44"/>
      <c r="G48" s="40"/>
      <c r="H48" s="28">
        <f t="shared" si="0"/>
        <v>103</v>
      </c>
      <c r="I48" s="40"/>
      <c r="J48" s="44"/>
      <c r="K48" s="28">
        <f>TABL1234[[#This Row],[خط (T/B  TOT) SAR]]+TABL1234[[#This Row],[خط (S/S  TOT) SAR2]]</f>
        <v>0</v>
      </c>
      <c r="L48" s="45"/>
      <c r="M48" s="46"/>
      <c r="N48" s="46"/>
      <c r="O48" s="40"/>
      <c r="P48" s="3">
        <f>TABL1234[[#This Row],[خط (S/S  TOT) SAR2]]-TABL1234[[#This Row],[(S/S TOT) AJD]]</f>
        <v>0</v>
      </c>
      <c r="Q48" s="40"/>
      <c r="R48" s="3">
        <f>TABL1234[[#This Row],[خط (T/B  TOT) SAR]]-TABL1234[[#This Row],[(T/B TOT) AJD]]</f>
        <v>0</v>
      </c>
      <c r="S48" s="3">
        <f>TABL1234[[#This Row],[الفرق بين بداية ونهاية خط  T/B]]+TABL1234[[#This Row],[الفرق بين بداية ونهاية خط  S/S]]</f>
        <v>0</v>
      </c>
      <c r="T48" s="3">
        <f>TABL1234[[#This Row],[(S/S TOT) AJD]]+TABL1234[[#This Row],[(T/B TOT) AJD]]</f>
        <v>0</v>
      </c>
      <c r="U48" s="44"/>
      <c r="V48" s="44"/>
      <c r="W48" s="3">
        <f>TABL1234[[#This Row],[(A/B TOT) AJD]]+TABL1234[[#This Row],[(A/S TOT) AJD]]</f>
        <v>0</v>
      </c>
      <c r="X48" s="3">
        <f>TABL1234[[#This Row],[( S/S+T/B) AJD]]-TABL1234[[#This Row],[(A/B + A/S) AJD]]</f>
        <v>0</v>
      </c>
      <c r="Y48" s="44"/>
      <c r="Z48" s="45"/>
      <c r="AA48" s="3">
        <f>TABL1234[[#This Row],[(RESV. STORGE) AJD]]/10</f>
        <v>0</v>
      </c>
      <c r="AB48" s="3">
        <f t="shared" si="1"/>
        <v>0</v>
      </c>
      <c r="AC48" s="5"/>
      <c r="AD48" s="40">
        <f>TABL1234[[#This Row],[( S/S+T/B) AJD]]-(TABL1234[[#This Row],[(A/B + A/S) AJD]]+(TABL1234[[#This Row],[(STORGE DIFF.) AJD]]*1000)+TABL1234[[#This Row],[البخر  AJD]])</f>
        <v>0</v>
      </c>
      <c r="AE48" s="44"/>
      <c r="AF48" s="45"/>
      <c r="AG48" s="45"/>
      <c r="AH48" s="6"/>
      <c r="AI48" s="45"/>
      <c r="AJ48" s="45">
        <f>TABL1234[[#This Row],[(A/B TOT) AJD]]-TABL1234[[#This Row],[BER_ IN]]</f>
        <v>0</v>
      </c>
      <c r="AK48" s="45"/>
      <c r="AL48" s="45"/>
      <c r="AM48" s="32"/>
      <c r="AN48" s="32">
        <f>TABL1234[[#This Row],[ (RESV. STORGE) SER]]/10</f>
        <v>0</v>
      </c>
      <c r="AO48" s="68"/>
      <c r="AP48" s="68">
        <f>TABL1234[[#This Row],[(A/S TOT) AJD]]-TABL1234[[#This Row],[SER_ IN]]</f>
        <v>0</v>
      </c>
    </row>
    <row r="49" spans="1:42" ht="18.75" x14ac:dyDescent="0.25">
      <c r="A49" s="2">
        <v>46435</v>
      </c>
      <c r="B49" s="41"/>
      <c r="C49" s="41"/>
      <c r="D49" s="41"/>
      <c r="E49" s="41"/>
      <c r="F49" s="41"/>
      <c r="G49" s="39"/>
      <c r="H49" s="28">
        <f t="shared" si="0"/>
        <v>103</v>
      </c>
      <c r="I49" s="39"/>
      <c r="J49" s="39"/>
      <c r="K49" s="28">
        <f>TABL1234[[#This Row],[خط (T/B  TOT) SAR]]+TABL1234[[#This Row],[خط (S/S  TOT) SAR2]]</f>
        <v>0</v>
      </c>
      <c r="L49" s="41"/>
      <c r="M49" s="42"/>
      <c r="N49" s="42"/>
      <c r="O49" s="39"/>
      <c r="P49" s="3">
        <f>TABL1234[[#This Row],[خط (S/S  TOT) SAR2]]-TABL1234[[#This Row],[(S/S TOT) AJD]]</f>
        <v>0</v>
      </c>
      <c r="Q49" s="39"/>
      <c r="R49" s="3">
        <f>TABL1234[[#This Row],[خط (T/B  TOT) SAR]]-TABL1234[[#This Row],[(T/B TOT) AJD]]</f>
        <v>0</v>
      </c>
      <c r="S49" s="3">
        <f>TABL1234[[#This Row],[الفرق بين بداية ونهاية خط  T/B]]+TABL1234[[#This Row],[الفرق بين بداية ونهاية خط  S/S]]</f>
        <v>0</v>
      </c>
      <c r="T49" s="3">
        <f>TABL1234[[#This Row],[(S/S TOT) AJD]]+TABL1234[[#This Row],[(T/B TOT) AJD]]</f>
        <v>0</v>
      </c>
      <c r="U49" s="41"/>
      <c r="V49" s="41"/>
      <c r="W49" s="3">
        <f>TABL1234[[#This Row],[(A/B TOT) AJD]]+TABL1234[[#This Row],[(A/S TOT) AJD]]</f>
        <v>0</v>
      </c>
      <c r="X49" s="3">
        <f>TABL1234[[#This Row],[( S/S+T/B) AJD]]-TABL1234[[#This Row],[(A/B + A/S) AJD]]</f>
        <v>0</v>
      </c>
      <c r="Y49" s="41"/>
      <c r="Z49" s="43"/>
      <c r="AA49" s="3">
        <f>TABL1234[[#This Row],[(RESV. STORGE) AJD]]/10</f>
        <v>0</v>
      </c>
      <c r="AB49" s="3">
        <f t="shared" si="1"/>
        <v>0</v>
      </c>
      <c r="AC49" s="5"/>
      <c r="AD49" s="39">
        <f>TABL1234[[#This Row],[( S/S+T/B) AJD]]-(TABL1234[[#This Row],[(A/B + A/S) AJD]]+(TABL1234[[#This Row],[(STORGE DIFF.) AJD]]*1000)+TABL1234[[#This Row],[البخر  AJD]])</f>
        <v>0</v>
      </c>
      <c r="AE49" s="41"/>
      <c r="AF49" s="43"/>
      <c r="AG49" s="43"/>
      <c r="AH49" s="6"/>
      <c r="AI49" s="43"/>
      <c r="AJ49" s="43">
        <f>TABL1234[[#This Row],[(A/B TOT) AJD]]-TABL1234[[#This Row],[BER_ IN]]</f>
        <v>0</v>
      </c>
      <c r="AK49" s="43"/>
      <c r="AL49" s="43"/>
      <c r="AM49" s="32"/>
      <c r="AN49" s="32">
        <f>TABL1234[[#This Row],[ (RESV. STORGE) SER]]/10</f>
        <v>0</v>
      </c>
      <c r="AO49" s="68"/>
      <c r="AP49" s="68">
        <f>TABL1234[[#This Row],[(A/S TOT) AJD]]-TABL1234[[#This Row],[SER_ IN]]</f>
        <v>0</v>
      </c>
    </row>
    <row r="50" spans="1:42" ht="18.75" x14ac:dyDescent="0.25">
      <c r="A50" s="2">
        <v>46436</v>
      </c>
      <c r="B50" s="44"/>
      <c r="C50" s="44"/>
      <c r="D50" s="44"/>
      <c r="E50" s="44"/>
      <c r="F50" s="44"/>
      <c r="G50" s="40"/>
      <c r="H50" s="28">
        <f t="shared" si="0"/>
        <v>103</v>
      </c>
      <c r="I50" s="40"/>
      <c r="J50" s="44"/>
      <c r="K50" s="28">
        <f>TABL1234[[#This Row],[خط (T/B  TOT) SAR]]+TABL1234[[#This Row],[خط (S/S  TOT) SAR2]]</f>
        <v>0</v>
      </c>
      <c r="L50" s="45"/>
      <c r="M50" s="46"/>
      <c r="N50" s="46"/>
      <c r="O50" s="40"/>
      <c r="P50" s="3">
        <f>TABL1234[[#This Row],[خط (S/S  TOT) SAR2]]-TABL1234[[#This Row],[(S/S TOT) AJD]]</f>
        <v>0</v>
      </c>
      <c r="Q50" s="40"/>
      <c r="R50" s="3">
        <f>TABL1234[[#This Row],[خط (T/B  TOT) SAR]]-TABL1234[[#This Row],[(T/B TOT) AJD]]</f>
        <v>0</v>
      </c>
      <c r="S50" s="3">
        <f>TABL1234[[#This Row],[الفرق بين بداية ونهاية خط  T/B]]+TABL1234[[#This Row],[الفرق بين بداية ونهاية خط  S/S]]</f>
        <v>0</v>
      </c>
      <c r="T50" s="3">
        <f>TABL1234[[#This Row],[(S/S TOT) AJD]]+TABL1234[[#This Row],[(T/B TOT) AJD]]</f>
        <v>0</v>
      </c>
      <c r="U50" s="44"/>
      <c r="V50" s="44"/>
      <c r="W50" s="3">
        <f>TABL1234[[#This Row],[(A/B TOT) AJD]]+TABL1234[[#This Row],[(A/S TOT) AJD]]</f>
        <v>0</v>
      </c>
      <c r="X50" s="3">
        <f>TABL1234[[#This Row],[( S/S+T/B) AJD]]-TABL1234[[#This Row],[(A/B + A/S) AJD]]</f>
        <v>0</v>
      </c>
      <c r="Y50" s="44"/>
      <c r="Z50" s="45"/>
      <c r="AA50" s="3">
        <f>TABL1234[[#This Row],[(RESV. STORGE) AJD]]/10</f>
        <v>0</v>
      </c>
      <c r="AB50" s="3">
        <f t="shared" si="1"/>
        <v>0</v>
      </c>
      <c r="AC50" s="5"/>
      <c r="AD50" s="40">
        <f>TABL1234[[#This Row],[( S/S+T/B) AJD]]-(TABL1234[[#This Row],[(A/B + A/S) AJD]]+(TABL1234[[#This Row],[(STORGE DIFF.) AJD]]*1000)+TABL1234[[#This Row],[البخر  AJD]])</f>
        <v>0</v>
      </c>
      <c r="AE50" s="44"/>
      <c r="AF50" s="45"/>
      <c r="AG50" s="45"/>
      <c r="AH50" s="6"/>
      <c r="AI50" s="45"/>
      <c r="AJ50" s="45">
        <f>TABL1234[[#This Row],[(A/B TOT) AJD]]-TABL1234[[#This Row],[BER_ IN]]</f>
        <v>0</v>
      </c>
      <c r="AK50" s="45"/>
      <c r="AL50" s="45"/>
      <c r="AM50" s="32"/>
      <c r="AN50" s="32">
        <f>TABL1234[[#This Row],[ (RESV. STORGE) SER]]/10</f>
        <v>0</v>
      </c>
      <c r="AO50" s="68"/>
      <c r="AP50" s="68">
        <f>TABL1234[[#This Row],[(A/S TOT) AJD]]-TABL1234[[#This Row],[SER_ IN]]</f>
        <v>0</v>
      </c>
    </row>
    <row r="51" spans="1:42" ht="18.75" x14ac:dyDescent="0.25">
      <c r="A51" s="2">
        <v>46437</v>
      </c>
      <c r="B51" s="41"/>
      <c r="C51" s="41"/>
      <c r="D51" s="41"/>
      <c r="E51" s="41"/>
      <c r="F51" s="41"/>
      <c r="G51" s="39"/>
      <c r="H51" s="28">
        <f t="shared" si="0"/>
        <v>103</v>
      </c>
      <c r="I51" s="39"/>
      <c r="J51" s="39"/>
      <c r="K51" s="28">
        <f>TABL1234[[#This Row],[خط (T/B  TOT) SAR]]+TABL1234[[#This Row],[خط (S/S  TOT) SAR2]]</f>
        <v>0</v>
      </c>
      <c r="L51" s="41"/>
      <c r="M51" s="42"/>
      <c r="N51" s="42"/>
      <c r="O51" s="39"/>
      <c r="P51" s="3">
        <f>TABL1234[[#This Row],[خط (S/S  TOT) SAR2]]-TABL1234[[#This Row],[(S/S TOT) AJD]]</f>
        <v>0</v>
      </c>
      <c r="Q51" s="39"/>
      <c r="R51" s="3">
        <f>TABL1234[[#This Row],[خط (T/B  TOT) SAR]]-TABL1234[[#This Row],[(T/B TOT) AJD]]</f>
        <v>0</v>
      </c>
      <c r="S51" s="3">
        <f>TABL1234[[#This Row],[الفرق بين بداية ونهاية خط  T/B]]+TABL1234[[#This Row],[الفرق بين بداية ونهاية خط  S/S]]</f>
        <v>0</v>
      </c>
      <c r="T51" s="3">
        <f>TABL1234[[#This Row],[(S/S TOT) AJD]]+TABL1234[[#This Row],[(T/B TOT) AJD]]</f>
        <v>0</v>
      </c>
      <c r="U51" s="41"/>
      <c r="V51" s="41"/>
      <c r="W51" s="3">
        <f>TABL1234[[#This Row],[(A/B TOT) AJD]]+TABL1234[[#This Row],[(A/S TOT) AJD]]</f>
        <v>0</v>
      </c>
      <c r="X51" s="3">
        <f>TABL1234[[#This Row],[( S/S+T/B) AJD]]-TABL1234[[#This Row],[(A/B + A/S) AJD]]</f>
        <v>0</v>
      </c>
      <c r="Y51" s="41"/>
      <c r="Z51" s="43"/>
      <c r="AA51" s="3">
        <f>TABL1234[[#This Row],[(RESV. STORGE) AJD]]/10</f>
        <v>0</v>
      </c>
      <c r="AB51" s="3">
        <f t="shared" si="1"/>
        <v>0</v>
      </c>
      <c r="AC51" s="5"/>
      <c r="AD51" s="39">
        <f>TABL1234[[#This Row],[( S/S+T/B) AJD]]-(TABL1234[[#This Row],[(A/B + A/S) AJD]]+(TABL1234[[#This Row],[(STORGE DIFF.) AJD]]*1000)+TABL1234[[#This Row],[البخر  AJD]])</f>
        <v>0</v>
      </c>
      <c r="AE51" s="41"/>
      <c r="AF51" s="43"/>
      <c r="AG51" s="43"/>
      <c r="AH51" s="6"/>
      <c r="AI51" s="43"/>
      <c r="AJ51" s="43">
        <f>TABL1234[[#This Row],[(A/B TOT) AJD]]-TABL1234[[#This Row],[BER_ IN]]</f>
        <v>0</v>
      </c>
      <c r="AK51" s="43"/>
      <c r="AL51" s="43"/>
      <c r="AM51" s="32"/>
      <c r="AN51" s="32">
        <f>TABL1234[[#This Row],[ (RESV. STORGE) SER]]/10</f>
        <v>0</v>
      </c>
      <c r="AO51" s="68"/>
      <c r="AP51" s="68">
        <f>TABL1234[[#This Row],[(A/S TOT) AJD]]-TABL1234[[#This Row],[SER_ IN]]</f>
        <v>0</v>
      </c>
    </row>
    <row r="52" spans="1:42" ht="18.75" x14ac:dyDescent="0.25">
      <c r="A52" s="2">
        <v>46438</v>
      </c>
      <c r="B52" s="44"/>
      <c r="C52" s="44"/>
      <c r="D52" s="44"/>
      <c r="E52" s="44"/>
      <c r="F52" s="44"/>
      <c r="G52" s="40"/>
      <c r="H52" s="28">
        <f t="shared" si="0"/>
        <v>103</v>
      </c>
      <c r="I52" s="40"/>
      <c r="J52" s="44"/>
      <c r="K52" s="28">
        <f>TABL1234[[#This Row],[خط (T/B  TOT) SAR]]+TABL1234[[#This Row],[خط (S/S  TOT) SAR2]]</f>
        <v>0</v>
      </c>
      <c r="L52" s="45"/>
      <c r="M52" s="46"/>
      <c r="N52" s="46"/>
      <c r="O52" s="40"/>
      <c r="P52" s="3">
        <f>TABL1234[[#This Row],[خط (S/S  TOT) SAR2]]-TABL1234[[#This Row],[(S/S TOT) AJD]]</f>
        <v>0</v>
      </c>
      <c r="Q52" s="40"/>
      <c r="R52" s="3">
        <f>TABL1234[[#This Row],[خط (T/B  TOT) SAR]]-TABL1234[[#This Row],[(T/B TOT) AJD]]</f>
        <v>0</v>
      </c>
      <c r="S52" s="3">
        <f>TABL1234[[#This Row],[الفرق بين بداية ونهاية خط  T/B]]+TABL1234[[#This Row],[الفرق بين بداية ونهاية خط  S/S]]</f>
        <v>0</v>
      </c>
      <c r="T52" s="3">
        <f>TABL1234[[#This Row],[(S/S TOT) AJD]]+TABL1234[[#This Row],[(T/B TOT) AJD]]</f>
        <v>0</v>
      </c>
      <c r="U52" s="44"/>
      <c r="V52" s="44"/>
      <c r="W52" s="3">
        <f>TABL1234[[#This Row],[(A/B TOT) AJD]]+TABL1234[[#This Row],[(A/S TOT) AJD]]</f>
        <v>0</v>
      </c>
      <c r="X52" s="3">
        <f>TABL1234[[#This Row],[( S/S+T/B) AJD]]-TABL1234[[#This Row],[(A/B + A/S) AJD]]</f>
        <v>0</v>
      </c>
      <c r="Y52" s="44"/>
      <c r="Z52" s="45"/>
      <c r="AA52" s="3">
        <f>TABL1234[[#This Row],[(RESV. STORGE) AJD]]/10</f>
        <v>0</v>
      </c>
      <c r="AB52" s="3">
        <f t="shared" si="1"/>
        <v>0</v>
      </c>
      <c r="AC52" s="5"/>
      <c r="AD52" s="40">
        <f>TABL1234[[#This Row],[( S/S+T/B) AJD]]-(TABL1234[[#This Row],[(A/B + A/S) AJD]]+(TABL1234[[#This Row],[(STORGE DIFF.) AJD]]*1000)+TABL1234[[#This Row],[البخر  AJD]])</f>
        <v>0</v>
      </c>
      <c r="AE52" s="44"/>
      <c r="AF52" s="45"/>
      <c r="AG52" s="45"/>
      <c r="AH52" s="6"/>
      <c r="AI52" s="45"/>
      <c r="AJ52" s="45">
        <f>TABL1234[[#This Row],[(A/B TOT) AJD]]-TABL1234[[#This Row],[BER_ IN]]</f>
        <v>0</v>
      </c>
      <c r="AK52" s="45"/>
      <c r="AL52" s="45"/>
      <c r="AM52" s="32"/>
      <c r="AN52" s="32">
        <f>TABL1234[[#This Row],[ (RESV. STORGE) SER]]/10</f>
        <v>0</v>
      </c>
      <c r="AO52" s="68"/>
      <c r="AP52" s="68">
        <f>TABL1234[[#This Row],[(A/S TOT) AJD]]-TABL1234[[#This Row],[SER_ IN]]</f>
        <v>0</v>
      </c>
    </row>
    <row r="53" spans="1:42" ht="18.75" x14ac:dyDescent="0.25">
      <c r="A53" s="2">
        <v>46439</v>
      </c>
      <c r="B53" s="41"/>
      <c r="C53" s="41"/>
      <c r="D53" s="41"/>
      <c r="E53" s="41"/>
      <c r="F53" s="41"/>
      <c r="G53" s="39"/>
      <c r="H53" s="28">
        <f t="shared" si="0"/>
        <v>103</v>
      </c>
      <c r="I53" s="39"/>
      <c r="J53" s="39"/>
      <c r="K53" s="28">
        <f>TABL1234[[#This Row],[خط (T/B  TOT) SAR]]+TABL1234[[#This Row],[خط (S/S  TOT) SAR2]]</f>
        <v>0</v>
      </c>
      <c r="L53" s="41"/>
      <c r="M53" s="42"/>
      <c r="N53" s="42"/>
      <c r="O53" s="39"/>
      <c r="P53" s="3">
        <f>TABL1234[[#This Row],[خط (S/S  TOT) SAR2]]-TABL1234[[#This Row],[(S/S TOT) AJD]]</f>
        <v>0</v>
      </c>
      <c r="Q53" s="39"/>
      <c r="R53" s="3">
        <f>TABL1234[[#This Row],[خط (T/B  TOT) SAR]]-TABL1234[[#This Row],[(T/B TOT) AJD]]</f>
        <v>0</v>
      </c>
      <c r="S53" s="3">
        <f>TABL1234[[#This Row],[الفرق بين بداية ونهاية خط  T/B]]+TABL1234[[#This Row],[الفرق بين بداية ونهاية خط  S/S]]</f>
        <v>0</v>
      </c>
      <c r="T53" s="3">
        <f>TABL1234[[#This Row],[(S/S TOT) AJD]]+TABL1234[[#This Row],[(T/B TOT) AJD]]</f>
        <v>0</v>
      </c>
      <c r="U53" s="41"/>
      <c r="V53" s="41"/>
      <c r="W53" s="3">
        <f>TABL1234[[#This Row],[(A/B TOT) AJD]]+TABL1234[[#This Row],[(A/S TOT) AJD]]</f>
        <v>0</v>
      </c>
      <c r="X53" s="3">
        <f>TABL1234[[#This Row],[( S/S+T/B) AJD]]-TABL1234[[#This Row],[(A/B + A/S) AJD]]</f>
        <v>0</v>
      </c>
      <c r="Y53" s="41"/>
      <c r="Z53" s="43"/>
      <c r="AA53" s="3">
        <f>TABL1234[[#This Row],[(RESV. STORGE) AJD]]/10</f>
        <v>0</v>
      </c>
      <c r="AB53" s="3">
        <f t="shared" si="1"/>
        <v>0</v>
      </c>
      <c r="AC53" s="5"/>
      <c r="AD53" s="39">
        <f>TABL1234[[#This Row],[( S/S+T/B) AJD]]-(TABL1234[[#This Row],[(A/B + A/S) AJD]]+(TABL1234[[#This Row],[(STORGE DIFF.) AJD]]*1000)+TABL1234[[#This Row],[البخر  AJD]])</f>
        <v>0</v>
      </c>
      <c r="AE53" s="41"/>
      <c r="AF53" s="43"/>
      <c r="AG53" s="43"/>
      <c r="AH53" s="6"/>
      <c r="AI53" s="43"/>
      <c r="AJ53" s="43">
        <f>TABL1234[[#This Row],[(A/B TOT) AJD]]-TABL1234[[#This Row],[BER_ IN]]</f>
        <v>0</v>
      </c>
      <c r="AK53" s="43"/>
      <c r="AL53" s="43"/>
      <c r="AM53" s="32"/>
      <c r="AN53" s="32">
        <f>TABL1234[[#This Row],[ (RESV. STORGE) SER]]/10</f>
        <v>0</v>
      </c>
      <c r="AO53" s="68"/>
      <c r="AP53" s="68">
        <f>TABL1234[[#This Row],[(A/S TOT) AJD]]-TABL1234[[#This Row],[SER_ IN]]</f>
        <v>0</v>
      </c>
    </row>
    <row r="54" spans="1:42" ht="18.75" x14ac:dyDescent="0.25">
      <c r="A54" s="2">
        <v>46440</v>
      </c>
      <c r="B54" s="44"/>
      <c r="C54" s="44"/>
      <c r="D54" s="44"/>
      <c r="E54" s="44"/>
      <c r="F54" s="44"/>
      <c r="G54" s="40"/>
      <c r="H54" s="28">
        <f t="shared" si="0"/>
        <v>103</v>
      </c>
      <c r="I54" s="40"/>
      <c r="J54" s="44"/>
      <c r="K54" s="28">
        <f>TABL1234[[#This Row],[خط (T/B  TOT) SAR]]+TABL1234[[#This Row],[خط (S/S  TOT) SAR2]]</f>
        <v>0</v>
      </c>
      <c r="L54" s="45"/>
      <c r="M54" s="46"/>
      <c r="N54" s="46"/>
      <c r="O54" s="40"/>
      <c r="P54" s="3">
        <f>TABL1234[[#This Row],[خط (S/S  TOT) SAR2]]-TABL1234[[#This Row],[(S/S TOT) AJD]]</f>
        <v>0</v>
      </c>
      <c r="Q54" s="40"/>
      <c r="R54" s="3">
        <f>TABL1234[[#This Row],[خط (T/B  TOT) SAR]]-TABL1234[[#This Row],[(T/B TOT) AJD]]</f>
        <v>0</v>
      </c>
      <c r="S54" s="3">
        <f>TABL1234[[#This Row],[الفرق بين بداية ونهاية خط  T/B]]+TABL1234[[#This Row],[الفرق بين بداية ونهاية خط  S/S]]</f>
        <v>0</v>
      </c>
      <c r="T54" s="3">
        <f>TABL1234[[#This Row],[(S/S TOT) AJD]]+TABL1234[[#This Row],[(T/B TOT) AJD]]</f>
        <v>0</v>
      </c>
      <c r="U54" s="44"/>
      <c r="V54" s="44"/>
      <c r="W54" s="3">
        <f>TABL1234[[#This Row],[(A/B TOT) AJD]]+TABL1234[[#This Row],[(A/S TOT) AJD]]</f>
        <v>0</v>
      </c>
      <c r="X54" s="3">
        <f>TABL1234[[#This Row],[( S/S+T/B) AJD]]-TABL1234[[#This Row],[(A/B + A/S) AJD]]</f>
        <v>0</v>
      </c>
      <c r="Y54" s="44"/>
      <c r="Z54" s="45"/>
      <c r="AA54" s="3">
        <f>TABL1234[[#This Row],[(RESV. STORGE) AJD]]/10</f>
        <v>0</v>
      </c>
      <c r="AB54" s="3">
        <f t="shared" si="1"/>
        <v>0</v>
      </c>
      <c r="AC54" s="5"/>
      <c r="AD54" s="40">
        <f>TABL1234[[#This Row],[( S/S+T/B) AJD]]-(TABL1234[[#This Row],[(A/B + A/S) AJD]]+(TABL1234[[#This Row],[(STORGE DIFF.) AJD]]*1000)+TABL1234[[#This Row],[البخر  AJD]])</f>
        <v>0</v>
      </c>
      <c r="AE54" s="44"/>
      <c r="AF54" s="45"/>
      <c r="AG54" s="45"/>
      <c r="AH54" s="6"/>
      <c r="AI54" s="45"/>
      <c r="AJ54" s="45">
        <f>TABL1234[[#This Row],[(A/B TOT) AJD]]-TABL1234[[#This Row],[BER_ IN]]</f>
        <v>0</v>
      </c>
      <c r="AK54" s="45"/>
      <c r="AL54" s="45"/>
      <c r="AM54" s="32"/>
      <c r="AN54" s="32">
        <f>TABL1234[[#This Row],[ (RESV. STORGE) SER]]/10</f>
        <v>0</v>
      </c>
      <c r="AO54" s="68"/>
      <c r="AP54" s="68">
        <f>TABL1234[[#This Row],[(A/S TOT) AJD]]-TABL1234[[#This Row],[SER_ IN]]</f>
        <v>0</v>
      </c>
    </row>
    <row r="55" spans="1:42" ht="18.75" x14ac:dyDescent="0.25">
      <c r="A55" s="2">
        <v>46441</v>
      </c>
      <c r="B55" s="41"/>
      <c r="C55" s="41"/>
      <c r="D55" s="41"/>
      <c r="E55" s="41"/>
      <c r="F55" s="41"/>
      <c r="G55" s="39"/>
      <c r="H55" s="28">
        <f t="shared" si="0"/>
        <v>103</v>
      </c>
      <c r="I55" s="39"/>
      <c r="J55" s="39"/>
      <c r="K55" s="28">
        <f>TABL1234[[#This Row],[خط (T/B  TOT) SAR]]+TABL1234[[#This Row],[خط (S/S  TOT) SAR2]]</f>
        <v>0</v>
      </c>
      <c r="L55" s="41"/>
      <c r="M55" s="42"/>
      <c r="N55" s="42"/>
      <c r="O55" s="39"/>
      <c r="P55" s="3">
        <f>TABL1234[[#This Row],[خط (S/S  TOT) SAR2]]-TABL1234[[#This Row],[(S/S TOT) AJD]]</f>
        <v>0</v>
      </c>
      <c r="Q55" s="39"/>
      <c r="R55" s="3">
        <f>TABL1234[[#This Row],[خط (T/B  TOT) SAR]]-TABL1234[[#This Row],[(T/B TOT) AJD]]</f>
        <v>0</v>
      </c>
      <c r="S55" s="3">
        <f>TABL1234[[#This Row],[الفرق بين بداية ونهاية خط  T/B]]+TABL1234[[#This Row],[الفرق بين بداية ونهاية خط  S/S]]</f>
        <v>0</v>
      </c>
      <c r="T55" s="3">
        <f>TABL1234[[#This Row],[(S/S TOT) AJD]]+TABL1234[[#This Row],[(T/B TOT) AJD]]</f>
        <v>0</v>
      </c>
      <c r="U55" s="41"/>
      <c r="V55" s="41"/>
      <c r="W55" s="3">
        <f>TABL1234[[#This Row],[(A/B TOT) AJD]]+TABL1234[[#This Row],[(A/S TOT) AJD]]</f>
        <v>0</v>
      </c>
      <c r="X55" s="3">
        <f>TABL1234[[#This Row],[( S/S+T/B) AJD]]-TABL1234[[#This Row],[(A/B + A/S) AJD]]</f>
        <v>0</v>
      </c>
      <c r="Y55" s="41"/>
      <c r="Z55" s="43"/>
      <c r="AA55" s="3">
        <f>TABL1234[[#This Row],[(RESV. STORGE) AJD]]/10</f>
        <v>0</v>
      </c>
      <c r="AB55" s="3">
        <f t="shared" si="1"/>
        <v>0</v>
      </c>
      <c r="AC55" s="5"/>
      <c r="AD55" s="39">
        <f>TABL1234[[#This Row],[( S/S+T/B) AJD]]-(TABL1234[[#This Row],[(A/B + A/S) AJD]]+(TABL1234[[#This Row],[(STORGE DIFF.) AJD]]*1000)+TABL1234[[#This Row],[البخر  AJD]])</f>
        <v>0</v>
      </c>
      <c r="AE55" s="41"/>
      <c r="AF55" s="43"/>
      <c r="AG55" s="43"/>
      <c r="AH55" s="6"/>
      <c r="AI55" s="43"/>
      <c r="AJ55" s="43">
        <f>TABL1234[[#This Row],[(A/B TOT) AJD]]-TABL1234[[#This Row],[BER_ IN]]</f>
        <v>0</v>
      </c>
      <c r="AK55" s="43"/>
      <c r="AL55" s="43"/>
      <c r="AM55" s="32"/>
      <c r="AN55" s="32">
        <f>TABL1234[[#This Row],[ (RESV. STORGE) SER]]/10</f>
        <v>0</v>
      </c>
      <c r="AO55" s="68"/>
      <c r="AP55" s="68">
        <f>TABL1234[[#This Row],[(A/S TOT) AJD]]-TABL1234[[#This Row],[SER_ IN]]</f>
        <v>0</v>
      </c>
    </row>
    <row r="56" spans="1:42" ht="18.75" x14ac:dyDescent="0.25">
      <c r="A56" s="2">
        <v>46442</v>
      </c>
      <c r="B56" s="44"/>
      <c r="C56" s="44"/>
      <c r="D56" s="44"/>
      <c r="E56" s="44"/>
      <c r="F56" s="44"/>
      <c r="G56" s="40"/>
      <c r="H56" s="28">
        <f t="shared" si="0"/>
        <v>103</v>
      </c>
      <c r="I56" s="40"/>
      <c r="J56" s="44"/>
      <c r="K56" s="28">
        <f>TABL1234[[#This Row],[خط (T/B  TOT) SAR]]+TABL1234[[#This Row],[خط (S/S  TOT) SAR2]]</f>
        <v>0</v>
      </c>
      <c r="L56" s="45"/>
      <c r="M56" s="46"/>
      <c r="N56" s="46"/>
      <c r="O56" s="40"/>
      <c r="P56" s="3">
        <f>TABL1234[[#This Row],[خط (S/S  TOT) SAR2]]-TABL1234[[#This Row],[(S/S TOT) AJD]]</f>
        <v>0</v>
      </c>
      <c r="Q56" s="40"/>
      <c r="R56" s="3">
        <f>TABL1234[[#This Row],[خط (T/B  TOT) SAR]]-TABL1234[[#This Row],[(T/B TOT) AJD]]</f>
        <v>0</v>
      </c>
      <c r="S56" s="3">
        <f>TABL1234[[#This Row],[الفرق بين بداية ونهاية خط  T/B]]+TABL1234[[#This Row],[الفرق بين بداية ونهاية خط  S/S]]</f>
        <v>0</v>
      </c>
      <c r="T56" s="3">
        <f>TABL1234[[#This Row],[(S/S TOT) AJD]]+TABL1234[[#This Row],[(T/B TOT) AJD]]</f>
        <v>0</v>
      </c>
      <c r="U56" s="44"/>
      <c r="V56" s="44"/>
      <c r="W56" s="3">
        <f>TABL1234[[#This Row],[(A/B TOT) AJD]]+TABL1234[[#This Row],[(A/S TOT) AJD]]</f>
        <v>0</v>
      </c>
      <c r="X56" s="3">
        <f>TABL1234[[#This Row],[( S/S+T/B) AJD]]-TABL1234[[#This Row],[(A/B + A/S) AJD]]</f>
        <v>0</v>
      </c>
      <c r="Y56" s="44"/>
      <c r="Z56" s="45"/>
      <c r="AA56" s="3">
        <f>TABL1234[[#This Row],[(RESV. STORGE) AJD]]/10</f>
        <v>0</v>
      </c>
      <c r="AB56" s="3">
        <f t="shared" si="1"/>
        <v>0</v>
      </c>
      <c r="AC56" s="5"/>
      <c r="AD56" s="40">
        <f>TABL1234[[#This Row],[( S/S+T/B) AJD]]-(TABL1234[[#This Row],[(A/B + A/S) AJD]]+(TABL1234[[#This Row],[(STORGE DIFF.) AJD]]*1000)+TABL1234[[#This Row],[البخر  AJD]])</f>
        <v>0</v>
      </c>
      <c r="AE56" s="44"/>
      <c r="AF56" s="45"/>
      <c r="AG56" s="45"/>
      <c r="AH56" s="6"/>
      <c r="AI56" s="45"/>
      <c r="AJ56" s="45">
        <f>TABL1234[[#This Row],[(A/B TOT) AJD]]-TABL1234[[#This Row],[BER_ IN]]</f>
        <v>0</v>
      </c>
      <c r="AK56" s="45"/>
      <c r="AL56" s="45"/>
      <c r="AM56" s="32"/>
      <c r="AN56" s="32">
        <f>TABL1234[[#This Row],[ (RESV. STORGE) SER]]/10</f>
        <v>0</v>
      </c>
      <c r="AO56" s="68"/>
      <c r="AP56" s="68">
        <f>TABL1234[[#This Row],[(A/S TOT) AJD]]-TABL1234[[#This Row],[SER_ IN]]</f>
        <v>0</v>
      </c>
    </row>
    <row r="57" spans="1:42" ht="18.75" x14ac:dyDescent="0.25">
      <c r="A57" s="2">
        <v>46443</v>
      </c>
      <c r="B57" s="41"/>
      <c r="C57" s="41"/>
      <c r="D57" s="41"/>
      <c r="E57" s="41"/>
      <c r="F57" s="41"/>
      <c r="G57" s="39"/>
      <c r="H57" s="28">
        <f t="shared" si="0"/>
        <v>103</v>
      </c>
      <c r="I57" s="39"/>
      <c r="J57" s="39"/>
      <c r="K57" s="28">
        <f>TABL1234[[#This Row],[خط (T/B  TOT) SAR]]+TABL1234[[#This Row],[خط (S/S  TOT) SAR2]]</f>
        <v>0</v>
      </c>
      <c r="L57" s="41"/>
      <c r="M57" s="42"/>
      <c r="N57" s="42"/>
      <c r="O57" s="39"/>
      <c r="P57" s="3">
        <f>TABL1234[[#This Row],[خط (S/S  TOT) SAR2]]-TABL1234[[#This Row],[(S/S TOT) AJD]]</f>
        <v>0</v>
      </c>
      <c r="Q57" s="39"/>
      <c r="R57" s="3">
        <f>TABL1234[[#This Row],[خط (T/B  TOT) SAR]]-TABL1234[[#This Row],[(T/B TOT) AJD]]</f>
        <v>0</v>
      </c>
      <c r="S57" s="3">
        <f>TABL1234[[#This Row],[الفرق بين بداية ونهاية خط  T/B]]+TABL1234[[#This Row],[الفرق بين بداية ونهاية خط  S/S]]</f>
        <v>0</v>
      </c>
      <c r="T57" s="3">
        <f>TABL1234[[#This Row],[(S/S TOT) AJD]]+TABL1234[[#This Row],[(T/B TOT) AJD]]</f>
        <v>0</v>
      </c>
      <c r="U57" s="41"/>
      <c r="V57" s="41"/>
      <c r="W57" s="3">
        <f>TABL1234[[#This Row],[(A/B TOT) AJD]]+TABL1234[[#This Row],[(A/S TOT) AJD]]</f>
        <v>0</v>
      </c>
      <c r="X57" s="3">
        <f>TABL1234[[#This Row],[( S/S+T/B) AJD]]-TABL1234[[#This Row],[(A/B + A/S) AJD]]</f>
        <v>0</v>
      </c>
      <c r="Y57" s="41"/>
      <c r="Z57" s="43"/>
      <c r="AA57" s="3">
        <f>TABL1234[[#This Row],[(RESV. STORGE) AJD]]/10</f>
        <v>0</v>
      </c>
      <c r="AB57" s="3">
        <f t="shared" si="1"/>
        <v>0</v>
      </c>
      <c r="AC57" s="5"/>
      <c r="AD57" s="39">
        <f>TABL1234[[#This Row],[( S/S+T/B) AJD]]-(TABL1234[[#This Row],[(A/B + A/S) AJD]]+(TABL1234[[#This Row],[(STORGE DIFF.) AJD]]*1000)+TABL1234[[#This Row],[البخر  AJD]])</f>
        <v>0</v>
      </c>
      <c r="AE57" s="41"/>
      <c r="AF57" s="43"/>
      <c r="AG57" s="43"/>
      <c r="AH57" s="6"/>
      <c r="AI57" s="43"/>
      <c r="AJ57" s="43">
        <f>TABL1234[[#This Row],[(A/B TOT) AJD]]-TABL1234[[#This Row],[BER_ IN]]</f>
        <v>0</v>
      </c>
      <c r="AK57" s="43"/>
      <c r="AL57" s="43"/>
      <c r="AM57" s="32"/>
      <c r="AN57" s="32">
        <f>TABL1234[[#This Row],[ (RESV. STORGE) SER]]/10</f>
        <v>0</v>
      </c>
      <c r="AO57" s="68"/>
      <c r="AP57" s="68">
        <f>TABL1234[[#This Row],[(A/S TOT) AJD]]-TABL1234[[#This Row],[SER_ IN]]</f>
        <v>0</v>
      </c>
    </row>
    <row r="58" spans="1:42" ht="18.75" x14ac:dyDescent="0.25">
      <c r="A58" s="2">
        <v>46444</v>
      </c>
      <c r="B58" s="44"/>
      <c r="C58" s="44"/>
      <c r="D58" s="44"/>
      <c r="E58" s="44"/>
      <c r="F58" s="44"/>
      <c r="G58" s="40"/>
      <c r="H58" s="28">
        <f t="shared" si="0"/>
        <v>103</v>
      </c>
      <c r="I58" s="40"/>
      <c r="J58" s="44"/>
      <c r="K58" s="28">
        <f>TABL1234[[#This Row],[خط (T/B  TOT) SAR]]+TABL1234[[#This Row],[خط (S/S  TOT) SAR2]]</f>
        <v>0</v>
      </c>
      <c r="L58" s="45"/>
      <c r="M58" s="46"/>
      <c r="N58" s="46"/>
      <c r="O58" s="40"/>
      <c r="P58" s="3">
        <f>TABL1234[[#This Row],[خط (S/S  TOT) SAR2]]-TABL1234[[#This Row],[(S/S TOT) AJD]]</f>
        <v>0</v>
      </c>
      <c r="Q58" s="40"/>
      <c r="R58" s="3">
        <f>TABL1234[[#This Row],[خط (T/B  TOT) SAR]]-TABL1234[[#This Row],[(T/B TOT) AJD]]</f>
        <v>0</v>
      </c>
      <c r="S58" s="3">
        <f>TABL1234[[#This Row],[الفرق بين بداية ونهاية خط  T/B]]+TABL1234[[#This Row],[الفرق بين بداية ونهاية خط  S/S]]</f>
        <v>0</v>
      </c>
      <c r="T58" s="3">
        <f>TABL1234[[#This Row],[(S/S TOT) AJD]]+TABL1234[[#This Row],[(T/B TOT) AJD]]</f>
        <v>0</v>
      </c>
      <c r="U58" s="44"/>
      <c r="V58" s="44"/>
      <c r="W58" s="3">
        <f>TABL1234[[#This Row],[(A/B TOT) AJD]]+TABL1234[[#This Row],[(A/S TOT) AJD]]</f>
        <v>0</v>
      </c>
      <c r="X58" s="3">
        <f>TABL1234[[#This Row],[( S/S+T/B) AJD]]-TABL1234[[#This Row],[(A/B + A/S) AJD]]</f>
        <v>0</v>
      </c>
      <c r="Y58" s="44"/>
      <c r="Z58" s="45"/>
      <c r="AA58" s="3">
        <f>TABL1234[[#This Row],[(RESV. STORGE) AJD]]/10</f>
        <v>0</v>
      </c>
      <c r="AB58" s="3">
        <f t="shared" si="1"/>
        <v>0</v>
      </c>
      <c r="AC58" s="5"/>
      <c r="AD58" s="40">
        <f>TABL1234[[#This Row],[( S/S+T/B) AJD]]-(TABL1234[[#This Row],[(A/B + A/S) AJD]]+(TABL1234[[#This Row],[(STORGE DIFF.) AJD]]*1000)+TABL1234[[#This Row],[البخر  AJD]])</f>
        <v>0</v>
      </c>
      <c r="AE58" s="44"/>
      <c r="AF58" s="45"/>
      <c r="AG58" s="45"/>
      <c r="AH58" s="6"/>
      <c r="AI58" s="45"/>
      <c r="AJ58" s="45">
        <f>TABL1234[[#This Row],[(A/B TOT) AJD]]-TABL1234[[#This Row],[BER_ IN]]</f>
        <v>0</v>
      </c>
      <c r="AK58" s="45"/>
      <c r="AL58" s="45"/>
      <c r="AM58" s="32"/>
      <c r="AN58" s="32">
        <f>TABL1234[[#This Row],[ (RESV. STORGE) SER]]/10</f>
        <v>0</v>
      </c>
      <c r="AO58" s="68"/>
      <c r="AP58" s="68">
        <f>TABL1234[[#This Row],[(A/S TOT) AJD]]-TABL1234[[#This Row],[SER_ IN]]</f>
        <v>0</v>
      </c>
    </row>
    <row r="59" spans="1:42" ht="18.75" x14ac:dyDescent="0.25">
      <c r="A59" s="2">
        <v>46445</v>
      </c>
      <c r="B59" s="41"/>
      <c r="C59" s="41"/>
      <c r="D59" s="41"/>
      <c r="E59" s="41"/>
      <c r="F59" s="41"/>
      <c r="G59" s="39"/>
      <c r="H59" s="28">
        <f t="shared" si="0"/>
        <v>103</v>
      </c>
      <c r="I59" s="39"/>
      <c r="J59" s="39"/>
      <c r="K59" s="28">
        <f>TABL1234[[#This Row],[خط (T/B  TOT) SAR]]+TABL1234[[#This Row],[خط (S/S  TOT) SAR2]]</f>
        <v>0</v>
      </c>
      <c r="L59" s="41"/>
      <c r="M59" s="42"/>
      <c r="N59" s="42"/>
      <c r="O59" s="39"/>
      <c r="P59" s="3">
        <f>TABL1234[[#This Row],[خط (S/S  TOT) SAR2]]-TABL1234[[#This Row],[(S/S TOT) AJD]]</f>
        <v>0</v>
      </c>
      <c r="Q59" s="39"/>
      <c r="R59" s="3">
        <f>TABL1234[[#This Row],[خط (T/B  TOT) SAR]]-TABL1234[[#This Row],[(T/B TOT) AJD]]</f>
        <v>0</v>
      </c>
      <c r="S59" s="3">
        <f>TABL1234[[#This Row],[الفرق بين بداية ونهاية خط  T/B]]+TABL1234[[#This Row],[الفرق بين بداية ونهاية خط  S/S]]</f>
        <v>0</v>
      </c>
      <c r="T59" s="3">
        <f>TABL1234[[#This Row],[(S/S TOT) AJD]]+TABL1234[[#This Row],[(T/B TOT) AJD]]</f>
        <v>0</v>
      </c>
      <c r="U59" s="41"/>
      <c r="V59" s="41"/>
      <c r="W59" s="3">
        <f>TABL1234[[#This Row],[(A/B TOT) AJD]]+TABL1234[[#This Row],[(A/S TOT) AJD]]</f>
        <v>0</v>
      </c>
      <c r="X59" s="3">
        <f>TABL1234[[#This Row],[( S/S+T/B) AJD]]-TABL1234[[#This Row],[(A/B + A/S) AJD]]</f>
        <v>0</v>
      </c>
      <c r="Y59" s="41"/>
      <c r="Z59" s="43"/>
      <c r="AA59" s="3">
        <f>TABL1234[[#This Row],[(RESV. STORGE) AJD]]/10</f>
        <v>0</v>
      </c>
      <c r="AB59" s="3">
        <f t="shared" si="1"/>
        <v>0</v>
      </c>
      <c r="AC59" s="5"/>
      <c r="AD59" s="39">
        <f>TABL1234[[#This Row],[( S/S+T/B) AJD]]-(TABL1234[[#This Row],[(A/B + A/S) AJD]]+(TABL1234[[#This Row],[(STORGE DIFF.) AJD]]*1000)+TABL1234[[#This Row],[البخر  AJD]])</f>
        <v>0</v>
      </c>
      <c r="AE59" s="41"/>
      <c r="AF59" s="43"/>
      <c r="AG59" s="43"/>
      <c r="AH59" s="6"/>
      <c r="AI59" s="43"/>
      <c r="AJ59" s="43">
        <f>TABL1234[[#This Row],[(A/B TOT) AJD]]-TABL1234[[#This Row],[BER_ IN]]</f>
        <v>0</v>
      </c>
      <c r="AK59" s="43"/>
      <c r="AL59" s="43"/>
      <c r="AM59" s="32"/>
      <c r="AN59" s="32">
        <f>TABL1234[[#This Row],[ (RESV. STORGE) SER]]/10</f>
        <v>0</v>
      </c>
      <c r="AO59" s="68"/>
      <c r="AP59" s="68">
        <f>TABL1234[[#This Row],[(A/S TOT) AJD]]-TABL1234[[#This Row],[SER_ IN]]</f>
        <v>0</v>
      </c>
    </row>
    <row r="60" spans="1:42" ht="18.75" x14ac:dyDescent="0.25">
      <c r="A60" s="2">
        <v>46446</v>
      </c>
      <c r="B60" s="44"/>
      <c r="C60" s="44"/>
      <c r="D60" s="44"/>
      <c r="E60" s="44"/>
      <c r="F60" s="44"/>
      <c r="G60" s="40"/>
      <c r="H60" s="28">
        <f t="shared" si="0"/>
        <v>103</v>
      </c>
      <c r="I60" s="40"/>
      <c r="J60" s="44"/>
      <c r="K60" s="28">
        <f>TABL1234[[#This Row],[خط (T/B  TOT) SAR]]+TABL1234[[#This Row],[خط (S/S  TOT) SAR2]]</f>
        <v>0</v>
      </c>
      <c r="L60" s="45"/>
      <c r="M60" s="46"/>
      <c r="N60" s="46"/>
      <c r="O60" s="40"/>
      <c r="P60" s="3">
        <f>TABL1234[[#This Row],[خط (S/S  TOT) SAR2]]-TABL1234[[#This Row],[(S/S TOT) AJD]]</f>
        <v>0</v>
      </c>
      <c r="Q60" s="40"/>
      <c r="R60" s="3">
        <f>TABL1234[[#This Row],[خط (T/B  TOT) SAR]]-TABL1234[[#This Row],[(T/B TOT) AJD]]</f>
        <v>0</v>
      </c>
      <c r="S60" s="3">
        <f>TABL1234[[#This Row],[الفرق بين بداية ونهاية خط  T/B]]+TABL1234[[#This Row],[الفرق بين بداية ونهاية خط  S/S]]</f>
        <v>0</v>
      </c>
      <c r="T60" s="3">
        <f>TABL1234[[#This Row],[(S/S TOT) AJD]]+TABL1234[[#This Row],[(T/B TOT) AJD]]</f>
        <v>0</v>
      </c>
      <c r="U60" s="44"/>
      <c r="V60" s="44"/>
      <c r="W60" s="3">
        <f>TABL1234[[#This Row],[(A/B TOT) AJD]]+TABL1234[[#This Row],[(A/S TOT) AJD]]</f>
        <v>0</v>
      </c>
      <c r="X60" s="3">
        <f>TABL1234[[#This Row],[( S/S+T/B) AJD]]-TABL1234[[#This Row],[(A/B + A/S) AJD]]</f>
        <v>0</v>
      </c>
      <c r="Y60" s="44"/>
      <c r="Z60" s="45"/>
      <c r="AA60" s="3">
        <f>TABL1234[[#This Row],[(RESV. STORGE) AJD]]/10</f>
        <v>0</v>
      </c>
      <c r="AB60" s="3">
        <f t="shared" si="1"/>
        <v>0</v>
      </c>
      <c r="AC60" s="5"/>
      <c r="AD60" s="40">
        <f>TABL1234[[#This Row],[( S/S+T/B) AJD]]-(TABL1234[[#This Row],[(A/B + A/S) AJD]]+(TABL1234[[#This Row],[(STORGE DIFF.) AJD]]*1000)+TABL1234[[#This Row],[البخر  AJD]])</f>
        <v>0</v>
      </c>
      <c r="AE60" s="44"/>
      <c r="AF60" s="45"/>
      <c r="AG60" s="45"/>
      <c r="AH60" s="6"/>
      <c r="AI60" s="45"/>
      <c r="AJ60" s="45">
        <f>TABL1234[[#This Row],[(A/B TOT) AJD]]-TABL1234[[#This Row],[BER_ IN]]</f>
        <v>0</v>
      </c>
      <c r="AK60" s="45"/>
      <c r="AL60" s="45"/>
      <c r="AM60" s="32"/>
      <c r="AN60" s="32">
        <f>TABL1234[[#This Row],[ (RESV. STORGE) SER]]/10</f>
        <v>0</v>
      </c>
      <c r="AO60" s="68"/>
      <c r="AP60" s="68">
        <f>TABL1234[[#This Row],[(A/S TOT) AJD]]-TABL1234[[#This Row],[SER_ IN]]</f>
        <v>0</v>
      </c>
    </row>
    <row r="61" spans="1:42" ht="18.75" x14ac:dyDescent="0.25">
      <c r="A61" s="2">
        <v>46447</v>
      </c>
      <c r="B61" s="41"/>
      <c r="C61" s="41"/>
      <c r="D61" s="41"/>
      <c r="E61" s="44"/>
      <c r="F61" s="41"/>
      <c r="G61" s="39"/>
      <c r="H61" s="28">
        <f t="shared" si="0"/>
        <v>103</v>
      </c>
      <c r="I61" s="39"/>
      <c r="J61" s="39"/>
      <c r="K61" s="28">
        <f>TABL1234[[#This Row],[خط (T/B  TOT) SAR]]+TABL1234[[#This Row],[خط (S/S  TOT) SAR2]]</f>
        <v>0</v>
      </c>
      <c r="L61" s="41"/>
      <c r="M61" s="42"/>
      <c r="N61" s="42"/>
      <c r="O61" s="39"/>
      <c r="P61" s="3">
        <f>TABL1234[[#This Row],[خط (S/S  TOT) SAR2]]-TABL1234[[#This Row],[(S/S TOT) AJD]]</f>
        <v>0</v>
      </c>
      <c r="Q61" s="39"/>
      <c r="R61" s="3">
        <f>TABL1234[[#This Row],[خط (T/B  TOT) SAR]]-TABL1234[[#This Row],[(T/B TOT) AJD]]</f>
        <v>0</v>
      </c>
      <c r="S61" s="3">
        <f>TABL1234[[#This Row],[الفرق بين بداية ونهاية خط  T/B]]+TABL1234[[#This Row],[الفرق بين بداية ونهاية خط  S/S]]</f>
        <v>0</v>
      </c>
      <c r="T61" s="3">
        <f>TABL1234[[#This Row],[(S/S TOT) AJD]]+TABL1234[[#This Row],[(T/B TOT) AJD]]</f>
        <v>0</v>
      </c>
      <c r="U61" s="41"/>
      <c r="V61" s="41"/>
      <c r="W61" s="3">
        <f>TABL1234[[#This Row],[(A/B TOT) AJD]]+TABL1234[[#This Row],[(A/S TOT) AJD]]</f>
        <v>0</v>
      </c>
      <c r="X61" s="3">
        <f>TABL1234[[#This Row],[( S/S+T/B) AJD]]-TABL1234[[#This Row],[(A/B + A/S) AJD]]</f>
        <v>0</v>
      </c>
      <c r="Y61" s="41"/>
      <c r="Z61" s="43"/>
      <c r="AA61" s="3">
        <f>TABL1234[[#This Row],[(RESV. STORGE) AJD]]/10</f>
        <v>0</v>
      </c>
      <c r="AB61" s="3">
        <f t="shared" si="1"/>
        <v>0</v>
      </c>
      <c r="AC61" s="5"/>
      <c r="AD61" s="39">
        <f>TABL1234[[#This Row],[( S/S+T/B) AJD]]-(TABL1234[[#This Row],[(A/B + A/S) AJD]]+(TABL1234[[#This Row],[(STORGE DIFF.) AJD]]*1000)+TABL1234[[#This Row],[البخر  AJD]])</f>
        <v>0</v>
      </c>
      <c r="AE61" s="41"/>
      <c r="AF61" s="43"/>
      <c r="AG61" s="43"/>
      <c r="AH61" s="6"/>
      <c r="AI61" s="43"/>
      <c r="AJ61" s="43">
        <f>TABL1234[[#This Row],[(A/B TOT) AJD]]-TABL1234[[#This Row],[BER_ IN]]</f>
        <v>0</v>
      </c>
      <c r="AK61" s="43"/>
      <c r="AL61" s="43"/>
      <c r="AM61" s="32"/>
      <c r="AN61" s="32">
        <f>TABL1234[[#This Row],[ (RESV. STORGE) SER]]/10</f>
        <v>0</v>
      </c>
      <c r="AO61" s="68"/>
      <c r="AP61" s="68">
        <f>TABL1234[[#This Row],[(A/S TOT) AJD]]-TABL1234[[#This Row],[SER_ IN]]</f>
        <v>0</v>
      </c>
    </row>
    <row r="62" spans="1:42" ht="18.75" x14ac:dyDescent="0.25">
      <c r="A62" s="2">
        <v>46448</v>
      </c>
      <c r="B62" s="44"/>
      <c r="C62" s="44"/>
      <c r="D62" s="44"/>
      <c r="E62" s="44"/>
      <c r="F62" s="44"/>
      <c r="G62" s="40"/>
      <c r="H62" s="28">
        <f t="shared" si="0"/>
        <v>103</v>
      </c>
      <c r="I62" s="40"/>
      <c r="J62" s="44"/>
      <c r="K62" s="28">
        <f>TABL1234[[#This Row],[خط (T/B  TOT) SAR]]+TABL1234[[#This Row],[خط (S/S  TOT) SAR2]]</f>
        <v>0</v>
      </c>
      <c r="L62" s="45"/>
      <c r="M62" s="46"/>
      <c r="N62" s="46"/>
      <c r="O62" s="40"/>
      <c r="P62" s="3">
        <f>TABL1234[[#This Row],[خط (S/S  TOT) SAR2]]-TABL1234[[#This Row],[(S/S TOT) AJD]]</f>
        <v>0</v>
      </c>
      <c r="Q62" s="40"/>
      <c r="R62" s="3">
        <f>TABL1234[[#This Row],[خط (T/B  TOT) SAR]]-TABL1234[[#This Row],[(T/B TOT) AJD]]</f>
        <v>0</v>
      </c>
      <c r="S62" s="3">
        <f>TABL1234[[#This Row],[الفرق بين بداية ونهاية خط  T/B]]+TABL1234[[#This Row],[الفرق بين بداية ونهاية خط  S/S]]</f>
        <v>0</v>
      </c>
      <c r="T62" s="3">
        <f>TABL1234[[#This Row],[(S/S TOT) AJD]]+TABL1234[[#This Row],[(T/B TOT) AJD]]</f>
        <v>0</v>
      </c>
      <c r="U62" s="44"/>
      <c r="V62" s="44"/>
      <c r="W62" s="3">
        <f>TABL1234[[#This Row],[(A/B TOT) AJD]]+TABL1234[[#This Row],[(A/S TOT) AJD]]</f>
        <v>0</v>
      </c>
      <c r="X62" s="3">
        <f>TABL1234[[#This Row],[( S/S+T/B) AJD]]-TABL1234[[#This Row],[(A/B + A/S) AJD]]</f>
        <v>0</v>
      </c>
      <c r="Y62" s="44"/>
      <c r="Z62" s="45"/>
      <c r="AA62" s="3">
        <f>TABL1234[[#This Row],[(RESV. STORGE) AJD]]/10</f>
        <v>0</v>
      </c>
      <c r="AB62" s="3">
        <f t="shared" si="1"/>
        <v>0</v>
      </c>
      <c r="AC62" s="5"/>
      <c r="AD62" s="40">
        <f>TABL1234[[#This Row],[( S/S+T/B) AJD]]-(TABL1234[[#This Row],[(A/B + A/S) AJD]]+(TABL1234[[#This Row],[(STORGE DIFF.) AJD]]*1000)+TABL1234[[#This Row],[البخر  AJD]])</f>
        <v>0</v>
      </c>
      <c r="AE62" s="44"/>
      <c r="AF62" s="45"/>
      <c r="AG62" s="45"/>
      <c r="AH62" s="6"/>
      <c r="AI62" s="45"/>
      <c r="AJ62" s="45">
        <f>TABL1234[[#This Row],[(A/B TOT) AJD]]-TABL1234[[#This Row],[BER_ IN]]</f>
        <v>0</v>
      </c>
      <c r="AK62" s="45"/>
      <c r="AL62" s="45"/>
      <c r="AM62" s="32"/>
      <c r="AN62" s="32">
        <f>TABL1234[[#This Row],[ (RESV. STORGE) SER]]/10</f>
        <v>0</v>
      </c>
      <c r="AO62" s="68"/>
      <c r="AP62" s="68">
        <f>TABL1234[[#This Row],[(A/S TOT) AJD]]-TABL1234[[#This Row],[SER_ IN]]</f>
        <v>0</v>
      </c>
    </row>
    <row r="63" spans="1:42" ht="18.75" x14ac:dyDescent="0.25">
      <c r="A63" s="2">
        <v>46449</v>
      </c>
      <c r="B63" s="41"/>
      <c r="C63" s="41"/>
      <c r="D63" s="41"/>
      <c r="E63" s="44"/>
      <c r="F63" s="41"/>
      <c r="G63" s="39"/>
      <c r="H63" s="28">
        <f t="shared" si="0"/>
        <v>103</v>
      </c>
      <c r="I63" s="39"/>
      <c r="J63" s="39"/>
      <c r="K63" s="28">
        <f>TABL1234[[#This Row],[خط (T/B  TOT) SAR]]+TABL1234[[#This Row],[خط (S/S  TOT) SAR2]]</f>
        <v>0</v>
      </c>
      <c r="L63" s="41"/>
      <c r="M63" s="42"/>
      <c r="N63" s="42"/>
      <c r="O63" s="39"/>
      <c r="P63" s="3">
        <f>TABL1234[[#This Row],[خط (S/S  TOT) SAR2]]-TABL1234[[#This Row],[(S/S TOT) AJD]]</f>
        <v>0</v>
      </c>
      <c r="Q63" s="39"/>
      <c r="R63" s="3">
        <f>TABL1234[[#This Row],[خط (T/B  TOT) SAR]]-TABL1234[[#This Row],[(T/B TOT) AJD]]</f>
        <v>0</v>
      </c>
      <c r="S63" s="3">
        <f>TABL1234[[#This Row],[الفرق بين بداية ونهاية خط  T/B]]+TABL1234[[#This Row],[الفرق بين بداية ونهاية خط  S/S]]</f>
        <v>0</v>
      </c>
      <c r="T63" s="3">
        <f>TABL1234[[#This Row],[(S/S TOT) AJD]]+TABL1234[[#This Row],[(T/B TOT) AJD]]</f>
        <v>0</v>
      </c>
      <c r="U63" s="41"/>
      <c r="V63" s="41"/>
      <c r="W63" s="3">
        <f>TABL1234[[#This Row],[(A/B TOT) AJD]]+TABL1234[[#This Row],[(A/S TOT) AJD]]</f>
        <v>0</v>
      </c>
      <c r="X63" s="3">
        <f>TABL1234[[#This Row],[( S/S+T/B) AJD]]-TABL1234[[#This Row],[(A/B + A/S) AJD]]</f>
        <v>0</v>
      </c>
      <c r="Y63" s="41"/>
      <c r="Z63" s="43"/>
      <c r="AA63" s="3">
        <f>TABL1234[[#This Row],[(RESV. STORGE) AJD]]/10</f>
        <v>0</v>
      </c>
      <c r="AB63" s="3">
        <f t="shared" si="1"/>
        <v>0</v>
      </c>
      <c r="AC63" s="5"/>
      <c r="AD63" s="39">
        <f>TABL1234[[#This Row],[( S/S+T/B) AJD]]-(TABL1234[[#This Row],[(A/B + A/S) AJD]]+(TABL1234[[#This Row],[(STORGE DIFF.) AJD]]*1000)+TABL1234[[#This Row],[البخر  AJD]])</f>
        <v>0</v>
      </c>
      <c r="AE63" s="41"/>
      <c r="AF63" s="43"/>
      <c r="AG63" s="43"/>
      <c r="AH63" s="6"/>
      <c r="AI63" s="43"/>
      <c r="AJ63" s="43">
        <f>TABL1234[[#This Row],[(A/B TOT) AJD]]-TABL1234[[#This Row],[BER_ IN]]</f>
        <v>0</v>
      </c>
      <c r="AK63" s="43"/>
      <c r="AL63" s="43"/>
      <c r="AM63" s="32"/>
      <c r="AN63" s="32">
        <f>TABL1234[[#This Row],[ (RESV. STORGE) SER]]/10</f>
        <v>0</v>
      </c>
      <c r="AO63" s="68"/>
      <c r="AP63" s="68">
        <f>TABL1234[[#This Row],[(A/S TOT) AJD]]-TABL1234[[#This Row],[SER_ IN]]</f>
        <v>0</v>
      </c>
    </row>
    <row r="64" spans="1:42" ht="18.75" x14ac:dyDescent="0.25">
      <c r="A64" s="2">
        <v>46450</v>
      </c>
      <c r="B64" s="44"/>
      <c r="C64" s="44"/>
      <c r="D64" s="44"/>
      <c r="E64" s="28"/>
      <c r="F64" s="44"/>
      <c r="G64" s="40"/>
      <c r="H64" s="28">
        <f t="shared" si="0"/>
        <v>103</v>
      </c>
      <c r="I64" s="40"/>
      <c r="J64" s="44"/>
      <c r="K64" s="28">
        <f>TABL1234[[#This Row],[خط (T/B  TOT) SAR]]+TABL1234[[#This Row],[خط (S/S  TOT) SAR2]]</f>
        <v>0</v>
      </c>
      <c r="L64" s="45"/>
      <c r="M64" s="46"/>
      <c r="N64" s="46"/>
      <c r="O64" s="40"/>
      <c r="P64" s="3">
        <f>TABL1234[[#This Row],[خط (S/S  TOT) SAR2]]-TABL1234[[#This Row],[(S/S TOT) AJD]]</f>
        <v>0</v>
      </c>
      <c r="Q64" s="40"/>
      <c r="R64" s="3">
        <f>TABL1234[[#This Row],[خط (T/B  TOT) SAR]]-TABL1234[[#This Row],[(T/B TOT) AJD]]</f>
        <v>0</v>
      </c>
      <c r="S64" s="3">
        <f>TABL1234[[#This Row],[الفرق بين بداية ونهاية خط  T/B]]+TABL1234[[#This Row],[الفرق بين بداية ونهاية خط  S/S]]</f>
        <v>0</v>
      </c>
      <c r="T64" s="3">
        <f>TABL1234[[#This Row],[(S/S TOT) AJD]]+TABL1234[[#This Row],[(T/B TOT) AJD]]</f>
        <v>0</v>
      </c>
      <c r="U64" s="44"/>
      <c r="V64" s="44"/>
      <c r="W64" s="3">
        <f>TABL1234[[#This Row],[(A/B TOT) AJD]]+TABL1234[[#This Row],[(A/S TOT) AJD]]</f>
        <v>0</v>
      </c>
      <c r="X64" s="3">
        <f>TABL1234[[#This Row],[( S/S+T/B) AJD]]-TABL1234[[#This Row],[(A/B + A/S) AJD]]</f>
        <v>0</v>
      </c>
      <c r="Y64" s="44"/>
      <c r="Z64" s="45"/>
      <c r="AA64" s="3">
        <f>TABL1234[[#This Row],[(RESV. STORGE) AJD]]/10</f>
        <v>0</v>
      </c>
      <c r="AB64" s="3">
        <f t="shared" si="1"/>
        <v>0</v>
      </c>
      <c r="AC64" s="5"/>
      <c r="AD64" s="40">
        <f>TABL1234[[#This Row],[( S/S+T/B) AJD]]-(TABL1234[[#This Row],[(A/B + A/S) AJD]]+(TABL1234[[#This Row],[(STORGE DIFF.) AJD]]*1000)+TABL1234[[#This Row],[البخر  AJD]])</f>
        <v>0</v>
      </c>
      <c r="AE64" s="44"/>
      <c r="AF64" s="45"/>
      <c r="AG64" s="45"/>
      <c r="AH64" s="6"/>
      <c r="AI64" s="45"/>
      <c r="AJ64" s="45">
        <f>TABL1234[[#This Row],[(A/B TOT) AJD]]-TABL1234[[#This Row],[BER_ IN]]</f>
        <v>0</v>
      </c>
      <c r="AK64" s="45"/>
      <c r="AL64" s="45"/>
      <c r="AM64" s="32"/>
      <c r="AN64" s="32">
        <f>TABL1234[[#This Row],[ (RESV. STORGE) SER]]/10</f>
        <v>0</v>
      </c>
      <c r="AO64" s="68"/>
      <c r="AP64" s="68">
        <f>TABL1234[[#This Row],[(A/S TOT) AJD]]-TABL1234[[#This Row],[SER_ IN]]</f>
        <v>0</v>
      </c>
    </row>
    <row r="65" spans="1:42" ht="18.75" x14ac:dyDescent="0.25">
      <c r="A65" s="2">
        <v>46451</v>
      </c>
      <c r="B65" s="41"/>
      <c r="C65" s="41"/>
      <c r="D65" s="41"/>
      <c r="E65" s="28"/>
      <c r="F65" s="41"/>
      <c r="G65" s="39"/>
      <c r="H65" s="28">
        <f t="shared" si="0"/>
        <v>103</v>
      </c>
      <c r="I65" s="39"/>
      <c r="J65" s="39"/>
      <c r="K65" s="28">
        <f>TABL1234[[#This Row],[خط (T/B  TOT) SAR]]+TABL1234[[#This Row],[خط (S/S  TOT) SAR2]]</f>
        <v>0</v>
      </c>
      <c r="L65" s="41"/>
      <c r="M65" s="42"/>
      <c r="N65" s="42"/>
      <c r="O65" s="39"/>
      <c r="P65" s="3">
        <f>TABL1234[[#This Row],[خط (S/S  TOT) SAR2]]-TABL1234[[#This Row],[(S/S TOT) AJD]]</f>
        <v>0</v>
      </c>
      <c r="Q65" s="39"/>
      <c r="R65" s="3">
        <f>TABL1234[[#This Row],[خط (T/B  TOT) SAR]]-TABL1234[[#This Row],[(T/B TOT) AJD]]</f>
        <v>0</v>
      </c>
      <c r="S65" s="3">
        <f>TABL1234[[#This Row],[الفرق بين بداية ونهاية خط  T/B]]+TABL1234[[#This Row],[الفرق بين بداية ونهاية خط  S/S]]</f>
        <v>0</v>
      </c>
      <c r="T65" s="3">
        <f>TABL1234[[#This Row],[(S/S TOT) AJD]]+TABL1234[[#This Row],[(T/B TOT) AJD]]</f>
        <v>0</v>
      </c>
      <c r="U65" s="41"/>
      <c r="V65" s="41"/>
      <c r="W65" s="3">
        <f>TABL1234[[#This Row],[(A/B TOT) AJD]]+TABL1234[[#This Row],[(A/S TOT) AJD]]</f>
        <v>0</v>
      </c>
      <c r="X65" s="3">
        <f>TABL1234[[#This Row],[( S/S+T/B) AJD]]-TABL1234[[#This Row],[(A/B + A/S) AJD]]</f>
        <v>0</v>
      </c>
      <c r="Y65" s="41"/>
      <c r="Z65" s="43"/>
      <c r="AA65" s="3">
        <f>TABL1234[[#This Row],[(RESV. STORGE) AJD]]/10</f>
        <v>0</v>
      </c>
      <c r="AB65" s="3">
        <f t="shared" si="1"/>
        <v>0</v>
      </c>
      <c r="AC65" s="5"/>
      <c r="AD65" s="39">
        <f>TABL1234[[#This Row],[( S/S+T/B) AJD]]-(TABL1234[[#This Row],[(A/B + A/S) AJD]]+(TABL1234[[#This Row],[(STORGE DIFF.) AJD]]*1000)+TABL1234[[#This Row],[البخر  AJD]])</f>
        <v>0</v>
      </c>
      <c r="AE65" s="41"/>
      <c r="AF65" s="43"/>
      <c r="AG65" s="43"/>
      <c r="AH65" s="6"/>
      <c r="AI65" s="43"/>
      <c r="AJ65" s="43">
        <f>TABL1234[[#This Row],[(A/B TOT) AJD]]-TABL1234[[#This Row],[BER_ IN]]</f>
        <v>0</v>
      </c>
      <c r="AK65" s="43"/>
      <c r="AL65" s="43"/>
      <c r="AM65" s="32"/>
      <c r="AN65" s="32">
        <f>TABL1234[[#This Row],[ (RESV. STORGE) SER]]/10</f>
        <v>0</v>
      </c>
      <c r="AO65" s="68"/>
      <c r="AP65" s="68">
        <f>TABL1234[[#This Row],[(A/S TOT) AJD]]-TABL1234[[#This Row],[SER_ IN]]</f>
        <v>0</v>
      </c>
    </row>
    <row r="66" spans="1:42" ht="18.75" x14ac:dyDescent="0.25">
      <c r="A66" s="2">
        <v>46452</v>
      </c>
      <c r="B66" s="44"/>
      <c r="C66" s="44"/>
      <c r="D66" s="44"/>
      <c r="E66" s="28"/>
      <c r="F66" s="44"/>
      <c r="G66" s="40"/>
      <c r="H66" s="28">
        <f t="shared" ref="H66:H129" si="2">103-F66</f>
        <v>103</v>
      </c>
      <c r="I66" s="40"/>
      <c r="J66" s="44"/>
      <c r="K66" s="28">
        <f>TABL1234[[#This Row],[خط (T/B  TOT) SAR]]+TABL1234[[#This Row],[خط (S/S  TOT) SAR2]]</f>
        <v>0</v>
      </c>
      <c r="L66" s="45"/>
      <c r="M66" s="46"/>
      <c r="N66" s="46"/>
      <c r="O66" s="40"/>
      <c r="P66" s="3">
        <f>TABL1234[[#This Row],[خط (S/S  TOT) SAR2]]-TABL1234[[#This Row],[(S/S TOT) AJD]]</f>
        <v>0</v>
      </c>
      <c r="Q66" s="40"/>
      <c r="R66" s="3">
        <f>TABL1234[[#This Row],[خط (T/B  TOT) SAR]]-TABL1234[[#This Row],[(T/B TOT) AJD]]</f>
        <v>0</v>
      </c>
      <c r="S66" s="3">
        <f>TABL1234[[#This Row],[الفرق بين بداية ونهاية خط  T/B]]+TABL1234[[#This Row],[الفرق بين بداية ونهاية خط  S/S]]</f>
        <v>0</v>
      </c>
      <c r="T66" s="3">
        <f>TABL1234[[#This Row],[(S/S TOT) AJD]]+TABL1234[[#This Row],[(T/B TOT) AJD]]</f>
        <v>0</v>
      </c>
      <c r="U66" s="44"/>
      <c r="V66" s="44"/>
      <c r="W66" s="3">
        <f>TABL1234[[#This Row],[(A/B TOT) AJD]]+TABL1234[[#This Row],[(A/S TOT) AJD]]</f>
        <v>0</v>
      </c>
      <c r="X66" s="3">
        <f>TABL1234[[#This Row],[( S/S+T/B) AJD]]-TABL1234[[#This Row],[(A/B + A/S) AJD]]</f>
        <v>0</v>
      </c>
      <c r="Y66" s="44"/>
      <c r="Z66" s="45"/>
      <c r="AA66" s="3">
        <f>TABL1234[[#This Row],[(RESV. STORGE) AJD]]/10</f>
        <v>0</v>
      </c>
      <c r="AB66" s="3">
        <f t="shared" si="1"/>
        <v>0</v>
      </c>
      <c r="AC66" s="5"/>
      <c r="AD66" s="40">
        <f>TABL1234[[#This Row],[( S/S+T/B) AJD]]-(TABL1234[[#This Row],[(A/B + A/S) AJD]]+(TABL1234[[#This Row],[(STORGE DIFF.) AJD]]*1000)+TABL1234[[#This Row],[البخر  AJD]])</f>
        <v>0</v>
      </c>
      <c r="AE66" s="44"/>
      <c r="AF66" s="45"/>
      <c r="AG66" s="45"/>
      <c r="AH66" s="6"/>
      <c r="AI66" s="45"/>
      <c r="AJ66" s="45">
        <f>TABL1234[[#This Row],[(A/B TOT) AJD]]-TABL1234[[#This Row],[BER_ IN]]</f>
        <v>0</v>
      </c>
      <c r="AK66" s="45"/>
      <c r="AL66" s="45"/>
      <c r="AM66" s="32"/>
      <c r="AN66" s="32">
        <f>TABL1234[[#This Row],[ (RESV. STORGE) SER]]/10</f>
        <v>0</v>
      </c>
      <c r="AO66" s="68"/>
      <c r="AP66" s="68">
        <f>TABL1234[[#This Row],[(A/S TOT) AJD]]-TABL1234[[#This Row],[SER_ IN]]</f>
        <v>0</v>
      </c>
    </row>
    <row r="67" spans="1:42" ht="18.75" x14ac:dyDescent="0.25">
      <c r="A67" s="2">
        <v>46453</v>
      </c>
      <c r="B67" s="41"/>
      <c r="C67" s="41"/>
      <c r="D67" s="41"/>
      <c r="E67" s="28"/>
      <c r="F67" s="41"/>
      <c r="G67" s="39"/>
      <c r="H67" s="28">
        <f t="shared" si="2"/>
        <v>103</v>
      </c>
      <c r="I67" s="39"/>
      <c r="J67" s="39"/>
      <c r="K67" s="28">
        <f>TABL1234[[#This Row],[خط (T/B  TOT) SAR]]+TABL1234[[#This Row],[خط (S/S  TOT) SAR2]]</f>
        <v>0</v>
      </c>
      <c r="L67" s="41"/>
      <c r="M67" s="42"/>
      <c r="N67" s="42"/>
      <c r="O67" s="39"/>
      <c r="P67" s="3">
        <f>TABL1234[[#This Row],[خط (S/S  TOT) SAR2]]-TABL1234[[#This Row],[(S/S TOT) AJD]]</f>
        <v>0</v>
      </c>
      <c r="Q67" s="39"/>
      <c r="R67" s="3">
        <f>TABL1234[[#This Row],[خط (T/B  TOT) SAR]]-TABL1234[[#This Row],[(T/B TOT) AJD]]</f>
        <v>0</v>
      </c>
      <c r="S67" s="3">
        <f>TABL1234[[#This Row],[الفرق بين بداية ونهاية خط  T/B]]+TABL1234[[#This Row],[الفرق بين بداية ونهاية خط  S/S]]</f>
        <v>0</v>
      </c>
      <c r="T67" s="3">
        <f>TABL1234[[#This Row],[(S/S TOT) AJD]]+TABL1234[[#This Row],[(T/B TOT) AJD]]</f>
        <v>0</v>
      </c>
      <c r="U67" s="41"/>
      <c r="V67" s="41"/>
      <c r="W67" s="3">
        <f>TABL1234[[#This Row],[(A/B TOT) AJD]]+TABL1234[[#This Row],[(A/S TOT) AJD]]</f>
        <v>0</v>
      </c>
      <c r="X67" s="3">
        <f>TABL1234[[#This Row],[( S/S+T/B) AJD]]-TABL1234[[#This Row],[(A/B + A/S) AJD]]</f>
        <v>0</v>
      </c>
      <c r="Y67" s="41"/>
      <c r="Z67" s="43"/>
      <c r="AA67" s="3">
        <f>TABL1234[[#This Row],[(RESV. STORGE) AJD]]/10</f>
        <v>0</v>
      </c>
      <c r="AB67" s="3">
        <f t="shared" si="1"/>
        <v>0</v>
      </c>
      <c r="AC67" s="5"/>
      <c r="AD67" s="39">
        <f>TABL1234[[#This Row],[( S/S+T/B) AJD]]-(TABL1234[[#This Row],[(A/B + A/S) AJD]]+(TABL1234[[#This Row],[(STORGE DIFF.) AJD]]*1000)+TABL1234[[#This Row],[البخر  AJD]])</f>
        <v>0</v>
      </c>
      <c r="AE67" s="41"/>
      <c r="AF67" s="43"/>
      <c r="AG67" s="43"/>
      <c r="AH67" s="6"/>
      <c r="AI67" s="43"/>
      <c r="AJ67" s="43">
        <f>TABL1234[[#This Row],[(A/B TOT) AJD]]-TABL1234[[#This Row],[BER_ IN]]</f>
        <v>0</v>
      </c>
      <c r="AK67" s="43"/>
      <c r="AL67" s="43"/>
      <c r="AM67" s="32"/>
      <c r="AN67" s="32">
        <f>TABL1234[[#This Row],[ (RESV. STORGE) SER]]/10</f>
        <v>0</v>
      </c>
      <c r="AO67" s="68"/>
      <c r="AP67" s="68">
        <f>TABL1234[[#This Row],[(A/S TOT) AJD]]-TABL1234[[#This Row],[SER_ IN]]</f>
        <v>0</v>
      </c>
    </row>
    <row r="68" spans="1:42" ht="18.75" x14ac:dyDescent="0.25">
      <c r="A68" s="2">
        <v>46454</v>
      </c>
      <c r="B68" s="44"/>
      <c r="C68" s="44"/>
      <c r="D68" s="44"/>
      <c r="E68" s="28"/>
      <c r="F68" s="44"/>
      <c r="G68" s="40"/>
      <c r="H68" s="28">
        <f t="shared" si="2"/>
        <v>103</v>
      </c>
      <c r="I68" s="40"/>
      <c r="J68" s="44"/>
      <c r="K68" s="28">
        <f>TABL1234[[#This Row],[خط (T/B  TOT) SAR]]+TABL1234[[#This Row],[خط (S/S  TOT) SAR2]]</f>
        <v>0</v>
      </c>
      <c r="L68" s="45"/>
      <c r="M68" s="46"/>
      <c r="N68" s="46"/>
      <c r="O68" s="40"/>
      <c r="P68" s="3">
        <f>TABL1234[[#This Row],[خط (S/S  TOT) SAR2]]-TABL1234[[#This Row],[(S/S TOT) AJD]]</f>
        <v>0</v>
      </c>
      <c r="Q68" s="40"/>
      <c r="R68" s="3">
        <f>TABL1234[[#This Row],[خط (T/B  TOT) SAR]]-TABL1234[[#This Row],[(T/B TOT) AJD]]</f>
        <v>0</v>
      </c>
      <c r="S68" s="3">
        <f>TABL1234[[#This Row],[الفرق بين بداية ونهاية خط  T/B]]+TABL1234[[#This Row],[الفرق بين بداية ونهاية خط  S/S]]</f>
        <v>0</v>
      </c>
      <c r="T68" s="3">
        <f>TABL1234[[#This Row],[(S/S TOT) AJD]]+TABL1234[[#This Row],[(T/B TOT) AJD]]</f>
        <v>0</v>
      </c>
      <c r="U68" s="44"/>
      <c r="V68" s="44"/>
      <c r="W68" s="3">
        <f>TABL1234[[#This Row],[(A/B TOT) AJD]]+TABL1234[[#This Row],[(A/S TOT) AJD]]</f>
        <v>0</v>
      </c>
      <c r="X68" s="3">
        <f>TABL1234[[#This Row],[( S/S+T/B) AJD]]-TABL1234[[#This Row],[(A/B + A/S) AJD]]</f>
        <v>0</v>
      </c>
      <c r="Y68" s="44"/>
      <c r="Z68" s="45"/>
      <c r="AA68" s="3">
        <f>TABL1234[[#This Row],[(RESV. STORGE) AJD]]/10</f>
        <v>0</v>
      </c>
      <c r="AB68" s="3">
        <f t="shared" ref="AB68:AB131" si="3">(Z68-Z67)/1000</f>
        <v>0</v>
      </c>
      <c r="AC68" s="5"/>
      <c r="AD68" s="40">
        <f>TABL1234[[#This Row],[( S/S+T/B) AJD]]-(TABL1234[[#This Row],[(A/B + A/S) AJD]]+(TABL1234[[#This Row],[(STORGE DIFF.) AJD]]*1000)+TABL1234[[#This Row],[البخر  AJD]])</f>
        <v>0</v>
      </c>
      <c r="AE68" s="44"/>
      <c r="AF68" s="45"/>
      <c r="AG68" s="45"/>
      <c r="AH68" s="6"/>
      <c r="AI68" s="45"/>
      <c r="AJ68" s="45">
        <f>TABL1234[[#This Row],[(A/B TOT) AJD]]-TABL1234[[#This Row],[BER_ IN]]</f>
        <v>0</v>
      </c>
      <c r="AK68" s="45"/>
      <c r="AL68" s="45"/>
      <c r="AM68" s="32"/>
      <c r="AN68" s="32">
        <f>TABL1234[[#This Row],[ (RESV. STORGE) SER]]/10</f>
        <v>0</v>
      </c>
      <c r="AO68" s="68"/>
      <c r="AP68" s="68">
        <f>TABL1234[[#This Row],[(A/S TOT) AJD]]-TABL1234[[#This Row],[SER_ IN]]</f>
        <v>0</v>
      </c>
    </row>
    <row r="69" spans="1:42" ht="18.75" x14ac:dyDescent="0.25">
      <c r="A69" s="2">
        <v>46455</v>
      </c>
      <c r="B69" s="41"/>
      <c r="C69" s="41"/>
      <c r="D69" s="41"/>
      <c r="E69" s="28"/>
      <c r="F69" s="41"/>
      <c r="G69" s="39"/>
      <c r="H69" s="28">
        <f t="shared" si="2"/>
        <v>103</v>
      </c>
      <c r="I69" s="39"/>
      <c r="J69" s="39"/>
      <c r="K69" s="28">
        <f>TABL1234[[#This Row],[خط (T/B  TOT) SAR]]+TABL1234[[#This Row],[خط (S/S  TOT) SAR2]]</f>
        <v>0</v>
      </c>
      <c r="L69" s="41"/>
      <c r="M69" s="42"/>
      <c r="N69" s="42"/>
      <c r="O69" s="39"/>
      <c r="P69" s="3">
        <f>TABL1234[[#This Row],[خط (S/S  TOT) SAR2]]-TABL1234[[#This Row],[(S/S TOT) AJD]]</f>
        <v>0</v>
      </c>
      <c r="Q69" s="39"/>
      <c r="R69" s="3">
        <f>TABL1234[[#This Row],[خط (T/B  TOT) SAR]]-TABL1234[[#This Row],[(T/B TOT) AJD]]</f>
        <v>0</v>
      </c>
      <c r="S69" s="3">
        <f>TABL1234[[#This Row],[الفرق بين بداية ونهاية خط  T/B]]+TABL1234[[#This Row],[الفرق بين بداية ونهاية خط  S/S]]</f>
        <v>0</v>
      </c>
      <c r="T69" s="3">
        <f>TABL1234[[#This Row],[(S/S TOT) AJD]]+TABL1234[[#This Row],[(T/B TOT) AJD]]</f>
        <v>0</v>
      </c>
      <c r="U69" s="41"/>
      <c r="V69" s="41"/>
      <c r="W69" s="3">
        <f>TABL1234[[#This Row],[(A/B TOT) AJD]]+TABL1234[[#This Row],[(A/S TOT) AJD]]</f>
        <v>0</v>
      </c>
      <c r="X69" s="3">
        <f>TABL1234[[#This Row],[( S/S+T/B) AJD]]-TABL1234[[#This Row],[(A/B + A/S) AJD]]</f>
        <v>0</v>
      </c>
      <c r="Y69" s="41"/>
      <c r="Z69" s="43"/>
      <c r="AA69" s="3">
        <f>TABL1234[[#This Row],[(RESV. STORGE) AJD]]/10</f>
        <v>0</v>
      </c>
      <c r="AB69" s="3">
        <f t="shared" si="3"/>
        <v>0</v>
      </c>
      <c r="AC69" s="5"/>
      <c r="AD69" s="39">
        <f>TABL1234[[#This Row],[( S/S+T/B) AJD]]-(TABL1234[[#This Row],[(A/B + A/S) AJD]]+(TABL1234[[#This Row],[(STORGE DIFF.) AJD]]*1000)+TABL1234[[#This Row],[البخر  AJD]])</f>
        <v>0</v>
      </c>
      <c r="AE69" s="41"/>
      <c r="AF69" s="43"/>
      <c r="AG69" s="43"/>
      <c r="AH69" s="6"/>
      <c r="AI69" s="43"/>
      <c r="AJ69" s="43">
        <f>TABL1234[[#This Row],[(A/B TOT) AJD]]-TABL1234[[#This Row],[BER_ IN]]</f>
        <v>0</v>
      </c>
      <c r="AK69" s="43"/>
      <c r="AL69" s="43"/>
      <c r="AM69" s="32"/>
      <c r="AN69" s="32">
        <f>TABL1234[[#This Row],[ (RESV. STORGE) SER]]/10</f>
        <v>0</v>
      </c>
      <c r="AO69" s="68"/>
      <c r="AP69" s="68">
        <f>TABL1234[[#This Row],[(A/S TOT) AJD]]-TABL1234[[#This Row],[SER_ IN]]</f>
        <v>0</v>
      </c>
    </row>
    <row r="70" spans="1:42" ht="18.75" x14ac:dyDescent="0.25">
      <c r="A70" s="2">
        <v>46456</v>
      </c>
      <c r="B70" s="44"/>
      <c r="C70" s="44"/>
      <c r="D70" s="44"/>
      <c r="E70" s="28"/>
      <c r="F70" s="44"/>
      <c r="G70" s="40"/>
      <c r="H70" s="28">
        <f t="shared" si="2"/>
        <v>103</v>
      </c>
      <c r="I70" s="40"/>
      <c r="J70" s="44"/>
      <c r="K70" s="28">
        <f>TABL1234[[#This Row],[خط (T/B  TOT) SAR]]+TABL1234[[#This Row],[خط (S/S  TOT) SAR2]]</f>
        <v>0</v>
      </c>
      <c r="L70" s="45"/>
      <c r="M70" s="46"/>
      <c r="N70" s="46"/>
      <c r="O70" s="40"/>
      <c r="P70" s="3">
        <f>TABL1234[[#This Row],[خط (S/S  TOT) SAR2]]-TABL1234[[#This Row],[(S/S TOT) AJD]]</f>
        <v>0</v>
      </c>
      <c r="Q70" s="40"/>
      <c r="R70" s="3">
        <f>TABL1234[[#This Row],[خط (T/B  TOT) SAR]]-TABL1234[[#This Row],[(T/B TOT) AJD]]</f>
        <v>0</v>
      </c>
      <c r="S70" s="3">
        <f>TABL1234[[#This Row],[الفرق بين بداية ونهاية خط  T/B]]+TABL1234[[#This Row],[الفرق بين بداية ونهاية خط  S/S]]</f>
        <v>0</v>
      </c>
      <c r="T70" s="3">
        <f>TABL1234[[#This Row],[(S/S TOT) AJD]]+TABL1234[[#This Row],[(T/B TOT) AJD]]</f>
        <v>0</v>
      </c>
      <c r="U70" s="44"/>
      <c r="V70" s="44"/>
      <c r="W70" s="3">
        <f>TABL1234[[#This Row],[(A/B TOT) AJD]]+TABL1234[[#This Row],[(A/S TOT) AJD]]</f>
        <v>0</v>
      </c>
      <c r="X70" s="3">
        <f>TABL1234[[#This Row],[( S/S+T/B) AJD]]-TABL1234[[#This Row],[(A/B + A/S) AJD]]</f>
        <v>0</v>
      </c>
      <c r="Y70" s="44"/>
      <c r="Z70" s="45"/>
      <c r="AA70" s="3">
        <f>TABL1234[[#This Row],[(RESV. STORGE) AJD]]/10</f>
        <v>0</v>
      </c>
      <c r="AB70" s="3">
        <f t="shared" si="3"/>
        <v>0</v>
      </c>
      <c r="AC70" s="5"/>
      <c r="AD70" s="40">
        <f>TABL1234[[#This Row],[( S/S+T/B) AJD]]-(TABL1234[[#This Row],[(A/B + A/S) AJD]]+(TABL1234[[#This Row],[(STORGE DIFF.) AJD]]*1000)+TABL1234[[#This Row],[البخر  AJD]])</f>
        <v>0</v>
      </c>
      <c r="AE70" s="44"/>
      <c r="AF70" s="45"/>
      <c r="AG70" s="45"/>
      <c r="AH70" s="6"/>
      <c r="AI70" s="45"/>
      <c r="AJ70" s="45">
        <f>TABL1234[[#This Row],[(A/B TOT) AJD]]-TABL1234[[#This Row],[BER_ IN]]</f>
        <v>0</v>
      </c>
      <c r="AK70" s="45"/>
      <c r="AL70" s="45"/>
      <c r="AM70" s="32"/>
      <c r="AN70" s="32">
        <f>TABL1234[[#This Row],[ (RESV. STORGE) SER]]/10</f>
        <v>0</v>
      </c>
      <c r="AO70" s="68"/>
      <c r="AP70" s="68">
        <f>TABL1234[[#This Row],[(A/S TOT) AJD]]-TABL1234[[#This Row],[SER_ IN]]</f>
        <v>0</v>
      </c>
    </row>
    <row r="71" spans="1:42" ht="18.75" x14ac:dyDescent="0.25">
      <c r="A71" s="2">
        <v>46457</v>
      </c>
      <c r="B71" s="41"/>
      <c r="C71" s="41"/>
      <c r="D71" s="41"/>
      <c r="E71" s="28"/>
      <c r="F71" s="41"/>
      <c r="G71" s="39"/>
      <c r="H71" s="28">
        <f t="shared" si="2"/>
        <v>103</v>
      </c>
      <c r="I71" s="39"/>
      <c r="J71" s="39"/>
      <c r="K71" s="28">
        <f>TABL1234[[#This Row],[خط (T/B  TOT) SAR]]+TABL1234[[#This Row],[خط (S/S  TOT) SAR2]]</f>
        <v>0</v>
      </c>
      <c r="L71" s="41"/>
      <c r="M71" s="42"/>
      <c r="N71" s="42"/>
      <c r="O71" s="39"/>
      <c r="P71" s="3">
        <f>TABL1234[[#This Row],[خط (S/S  TOT) SAR2]]-TABL1234[[#This Row],[(S/S TOT) AJD]]</f>
        <v>0</v>
      </c>
      <c r="Q71" s="39"/>
      <c r="R71" s="3">
        <f>TABL1234[[#This Row],[خط (T/B  TOT) SAR]]-TABL1234[[#This Row],[(T/B TOT) AJD]]</f>
        <v>0</v>
      </c>
      <c r="S71" s="3">
        <f>TABL1234[[#This Row],[الفرق بين بداية ونهاية خط  T/B]]+TABL1234[[#This Row],[الفرق بين بداية ونهاية خط  S/S]]</f>
        <v>0</v>
      </c>
      <c r="T71" s="3">
        <f>TABL1234[[#This Row],[(S/S TOT) AJD]]+TABL1234[[#This Row],[(T/B TOT) AJD]]</f>
        <v>0</v>
      </c>
      <c r="U71" s="41"/>
      <c r="V71" s="41"/>
      <c r="W71" s="3">
        <f>TABL1234[[#This Row],[(A/B TOT) AJD]]+TABL1234[[#This Row],[(A/S TOT) AJD]]</f>
        <v>0</v>
      </c>
      <c r="X71" s="3">
        <f>TABL1234[[#This Row],[( S/S+T/B) AJD]]-TABL1234[[#This Row],[(A/B + A/S) AJD]]</f>
        <v>0</v>
      </c>
      <c r="Y71" s="41"/>
      <c r="Z71" s="43"/>
      <c r="AA71" s="3">
        <f>TABL1234[[#This Row],[(RESV. STORGE) AJD]]/10</f>
        <v>0</v>
      </c>
      <c r="AB71" s="3">
        <f t="shared" si="3"/>
        <v>0</v>
      </c>
      <c r="AC71" s="5"/>
      <c r="AD71" s="39">
        <f>TABL1234[[#This Row],[( S/S+T/B) AJD]]-(TABL1234[[#This Row],[(A/B + A/S) AJD]]+(TABL1234[[#This Row],[(STORGE DIFF.) AJD]]*1000)+TABL1234[[#This Row],[البخر  AJD]])</f>
        <v>0</v>
      </c>
      <c r="AE71" s="41"/>
      <c r="AF71" s="43"/>
      <c r="AG71" s="68"/>
      <c r="AH71" s="6"/>
      <c r="AI71" s="43"/>
      <c r="AJ71" s="68">
        <f>TABL1234[[#This Row],[(A/B TOT) AJD]]-TABL1234[[#This Row],[BER_ IN]]</f>
        <v>0</v>
      </c>
      <c r="AK71" s="43"/>
      <c r="AL71" s="43"/>
      <c r="AM71" s="32"/>
      <c r="AN71" s="32">
        <f>TABL1234[[#This Row],[ (RESV. STORGE) SER]]/10</f>
        <v>0</v>
      </c>
      <c r="AO71" s="68"/>
      <c r="AP71" s="68">
        <f>TABL1234[[#This Row],[(A/S TOT) AJD]]-TABL1234[[#This Row],[SER_ IN]]</f>
        <v>0</v>
      </c>
    </row>
    <row r="72" spans="1:42" ht="18.75" x14ac:dyDescent="0.25">
      <c r="A72" s="2">
        <v>46458</v>
      </c>
      <c r="B72" s="44"/>
      <c r="C72" s="44"/>
      <c r="D72" s="44"/>
      <c r="E72" s="28"/>
      <c r="F72" s="44"/>
      <c r="G72" s="40"/>
      <c r="H72" s="28">
        <f t="shared" si="2"/>
        <v>103</v>
      </c>
      <c r="I72" s="40"/>
      <c r="J72" s="44"/>
      <c r="K72" s="28">
        <f>TABL1234[[#This Row],[خط (T/B  TOT) SAR]]+TABL1234[[#This Row],[خط (S/S  TOT) SAR2]]</f>
        <v>0</v>
      </c>
      <c r="L72" s="45"/>
      <c r="M72" s="46"/>
      <c r="N72" s="46"/>
      <c r="O72" s="40"/>
      <c r="P72" s="3">
        <f>TABL1234[[#This Row],[خط (S/S  TOT) SAR2]]-TABL1234[[#This Row],[(S/S TOT) AJD]]</f>
        <v>0</v>
      </c>
      <c r="Q72" s="40"/>
      <c r="R72" s="3">
        <f>TABL1234[[#This Row],[خط (T/B  TOT) SAR]]-TABL1234[[#This Row],[(T/B TOT) AJD]]</f>
        <v>0</v>
      </c>
      <c r="S72" s="3">
        <f>TABL1234[[#This Row],[الفرق بين بداية ونهاية خط  T/B]]+TABL1234[[#This Row],[الفرق بين بداية ونهاية خط  S/S]]</f>
        <v>0</v>
      </c>
      <c r="T72" s="3">
        <f>TABL1234[[#This Row],[(S/S TOT) AJD]]+TABL1234[[#This Row],[(T/B TOT) AJD]]</f>
        <v>0</v>
      </c>
      <c r="U72" s="44"/>
      <c r="V72" s="44"/>
      <c r="W72" s="3">
        <f>TABL1234[[#This Row],[(A/B TOT) AJD]]+TABL1234[[#This Row],[(A/S TOT) AJD]]</f>
        <v>0</v>
      </c>
      <c r="X72" s="3">
        <f>TABL1234[[#This Row],[( S/S+T/B) AJD]]-TABL1234[[#This Row],[(A/B + A/S) AJD]]</f>
        <v>0</v>
      </c>
      <c r="Y72" s="44"/>
      <c r="Z72" s="45"/>
      <c r="AA72" s="3">
        <f>TABL1234[[#This Row],[(RESV. STORGE) AJD]]/10</f>
        <v>0</v>
      </c>
      <c r="AB72" s="3">
        <f t="shared" si="3"/>
        <v>0</v>
      </c>
      <c r="AC72" s="5"/>
      <c r="AD72" s="40">
        <f>TABL1234[[#This Row],[( S/S+T/B) AJD]]-(TABL1234[[#This Row],[(A/B + A/S) AJD]]+(TABL1234[[#This Row],[(STORGE DIFF.) AJD]]*1000)+TABL1234[[#This Row],[البخر  AJD]])</f>
        <v>0</v>
      </c>
      <c r="AE72" s="44"/>
      <c r="AF72" s="45"/>
      <c r="AG72" s="45"/>
      <c r="AH72" s="6"/>
      <c r="AI72" s="45"/>
      <c r="AJ72" s="45">
        <f>TABL1234[[#This Row],[(A/B TOT) AJD]]-TABL1234[[#This Row],[BER_ IN]]</f>
        <v>0</v>
      </c>
      <c r="AK72" s="45"/>
      <c r="AL72" s="45"/>
      <c r="AM72" s="32"/>
      <c r="AN72" s="32">
        <f>TABL1234[[#This Row],[ (RESV. STORGE) SER]]/10</f>
        <v>0</v>
      </c>
      <c r="AO72" s="68"/>
      <c r="AP72" s="68">
        <f>TABL1234[[#This Row],[(A/S TOT) AJD]]-TABL1234[[#This Row],[SER_ IN]]</f>
        <v>0</v>
      </c>
    </row>
    <row r="73" spans="1:42" ht="18.75" x14ac:dyDescent="0.25">
      <c r="A73" s="2">
        <v>46459</v>
      </c>
      <c r="B73" s="41"/>
      <c r="C73" s="41"/>
      <c r="D73" s="41"/>
      <c r="E73" s="28"/>
      <c r="F73" s="41"/>
      <c r="G73" s="39"/>
      <c r="H73" s="28">
        <f t="shared" si="2"/>
        <v>103</v>
      </c>
      <c r="I73" s="39"/>
      <c r="J73" s="39"/>
      <c r="K73" s="28">
        <f>TABL1234[[#This Row],[خط (T/B  TOT) SAR]]+TABL1234[[#This Row],[خط (S/S  TOT) SAR2]]</f>
        <v>0</v>
      </c>
      <c r="L73" s="41"/>
      <c r="M73" s="42"/>
      <c r="N73" s="42"/>
      <c r="O73" s="39"/>
      <c r="P73" s="3">
        <f>TABL1234[[#This Row],[خط (S/S  TOT) SAR2]]-TABL1234[[#This Row],[(S/S TOT) AJD]]</f>
        <v>0</v>
      </c>
      <c r="Q73" s="39"/>
      <c r="R73" s="3">
        <f>TABL1234[[#This Row],[خط (T/B  TOT) SAR]]-TABL1234[[#This Row],[(T/B TOT) AJD]]</f>
        <v>0</v>
      </c>
      <c r="S73" s="3">
        <f>TABL1234[[#This Row],[الفرق بين بداية ونهاية خط  T/B]]+TABL1234[[#This Row],[الفرق بين بداية ونهاية خط  S/S]]</f>
        <v>0</v>
      </c>
      <c r="T73" s="3">
        <f>TABL1234[[#This Row],[(S/S TOT) AJD]]+TABL1234[[#This Row],[(T/B TOT) AJD]]</f>
        <v>0</v>
      </c>
      <c r="U73" s="41"/>
      <c r="V73" s="41"/>
      <c r="W73" s="3">
        <f>TABL1234[[#This Row],[(A/B TOT) AJD]]+TABL1234[[#This Row],[(A/S TOT) AJD]]</f>
        <v>0</v>
      </c>
      <c r="X73" s="3">
        <f>TABL1234[[#This Row],[( S/S+T/B) AJD]]-TABL1234[[#This Row],[(A/B + A/S) AJD]]</f>
        <v>0</v>
      </c>
      <c r="Y73" s="41"/>
      <c r="Z73" s="43"/>
      <c r="AA73" s="3">
        <f>TABL1234[[#This Row],[(RESV. STORGE) AJD]]/10</f>
        <v>0</v>
      </c>
      <c r="AB73" s="3">
        <f t="shared" si="3"/>
        <v>0</v>
      </c>
      <c r="AC73" s="5"/>
      <c r="AD73" s="39">
        <f>TABL1234[[#This Row],[( S/S+T/B) AJD]]-(TABL1234[[#This Row],[(A/B + A/S) AJD]]+(TABL1234[[#This Row],[(STORGE DIFF.) AJD]]*1000)+TABL1234[[#This Row],[البخر  AJD]])</f>
        <v>0</v>
      </c>
      <c r="AE73" s="41"/>
      <c r="AF73" s="43"/>
      <c r="AG73" s="43"/>
      <c r="AH73" s="6"/>
      <c r="AI73" s="43"/>
      <c r="AJ73" s="43">
        <f>TABL1234[[#This Row],[(A/B TOT) AJD]]-TABL1234[[#This Row],[BER_ IN]]</f>
        <v>0</v>
      </c>
      <c r="AK73" s="43"/>
      <c r="AL73" s="43"/>
      <c r="AM73" s="32"/>
      <c r="AN73" s="32">
        <f>TABL1234[[#This Row],[ (RESV. STORGE) SER]]/10</f>
        <v>0</v>
      </c>
      <c r="AO73" s="68"/>
      <c r="AP73" s="68">
        <f>TABL1234[[#This Row],[(A/S TOT) AJD]]-TABL1234[[#This Row],[SER_ IN]]</f>
        <v>0</v>
      </c>
    </row>
    <row r="74" spans="1:42" ht="18.75" x14ac:dyDescent="0.25">
      <c r="A74" s="2">
        <v>46460</v>
      </c>
      <c r="B74" s="44"/>
      <c r="C74" s="44"/>
      <c r="D74" s="44"/>
      <c r="E74" s="28"/>
      <c r="F74" s="44"/>
      <c r="G74" s="40"/>
      <c r="H74" s="28">
        <f t="shared" si="2"/>
        <v>103</v>
      </c>
      <c r="I74" s="40"/>
      <c r="J74" s="44"/>
      <c r="K74" s="28">
        <f>TABL1234[[#This Row],[خط (T/B  TOT) SAR]]+TABL1234[[#This Row],[خط (S/S  TOT) SAR2]]</f>
        <v>0</v>
      </c>
      <c r="L74" s="45"/>
      <c r="M74" s="46"/>
      <c r="N74" s="46"/>
      <c r="O74" s="40"/>
      <c r="P74" s="3">
        <f>TABL1234[[#This Row],[خط (S/S  TOT) SAR2]]-TABL1234[[#This Row],[(S/S TOT) AJD]]</f>
        <v>0</v>
      </c>
      <c r="Q74" s="40"/>
      <c r="R74" s="3">
        <f>TABL1234[[#This Row],[خط (T/B  TOT) SAR]]-TABL1234[[#This Row],[(T/B TOT) AJD]]</f>
        <v>0</v>
      </c>
      <c r="S74" s="3">
        <f>TABL1234[[#This Row],[الفرق بين بداية ونهاية خط  T/B]]+TABL1234[[#This Row],[الفرق بين بداية ونهاية خط  S/S]]</f>
        <v>0</v>
      </c>
      <c r="T74" s="3">
        <f>TABL1234[[#This Row],[(S/S TOT) AJD]]+TABL1234[[#This Row],[(T/B TOT) AJD]]</f>
        <v>0</v>
      </c>
      <c r="U74" s="44"/>
      <c r="V74" s="44"/>
      <c r="W74" s="3">
        <f>TABL1234[[#This Row],[(A/B TOT) AJD]]+TABL1234[[#This Row],[(A/S TOT) AJD]]</f>
        <v>0</v>
      </c>
      <c r="X74" s="3">
        <f>TABL1234[[#This Row],[( S/S+T/B) AJD]]-TABL1234[[#This Row],[(A/B + A/S) AJD]]</f>
        <v>0</v>
      </c>
      <c r="Y74" s="44"/>
      <c r="Z74" s="45"/>
      <c r="AA74" s="3">
        <f>TABL1234[[#This Row],[(RESV. STORGE) AJD]]/10</f>
        <v>0</v>
      </c>
      <c r="AB74" s="3">
        <f t="shared" si="3"/>
        <v>0</v>
      </c>
      <c r="AC74" s="5"/>
      <c r="AD74" s="40">
        <f>TABL1234[[#This Row],[( S/S+T/B) AJD]]-(TABL1234[[#This Row],[(A/B + A/S) AJD]]+(TABL1234[[#This Row],[(STORGE DIFF.) AJD]]*1000)+TABL1234[[#This Row],[البخر  AJD]])</f>
        <v>0</v>
      </c>
      <c r="AE74" s="44"/>
      <c r="AF74" s="45"/>
      <c r="AG74" s="45"/>
      <c r="AH74" s="6"/>
      <c r="AI74" s="45"/>
      <c r="AJ74" s="45">
        <f>TABL1234[[#This Row],[(A/B TOT) AJD]]-TABL1234[[#This Row],[BER_ IN]]</f>
        <v>0</v>
      </c>
      <c r="AK74" s="45"/>
      <c r="AL74" s="45"/>
      <c r="AM74" s="32"/>
      <c r="AN74" s="32">
        <f>TABL1234[[#This Row],[ (RESV. STORGE) SER]]/10</f>
        <v>0</v>
      </c>
      <c r="AO74" s="68"/>
      <c r="AP74" s="68">
        <f>TABL1234[[#This Row],[(A/S TOT) AJD]]-TABL1234[[#This Row],[SER_ IN]]</f>
        <v>0</v>
      </c>
    </row>
    <row r="75" spans="1:42" ht="18.75" x14ac:dyDescent="0.25">
      <c r="A75" s="2">
        <v>46461</v>
      </c>
      <c r="B75" s="41"/>
      <c r="C75" s="41"/>
      <c r="D75" s="41"/>
      <c r="E75" s="28"/>
      <c r="F75" s="41"/>
      <c r="G75" s="39"/>
      <c r="H75" s="28">
        <f t="shared" si="2"/>
        <v>103</v>
      </c>
      <c r="I75" s="39"/>
      <c r="J75" s="39"/>
      <c r="K75" s="28">
        <f>TABL1234[[#This Row],[خط (T/B  TOT) SAR]]+TABL1234[[#This Row],[خط (S/S  TOT) SAR2]]</f>
        <v>0</v>
      </c>
      <c r="L75" s="41"/>
      <c r="M75" s="42"/>
      <c r="N75" s="42"/>
      <c r="O75" s="39"/>
      <c r="P75" s="3">
        <f>TABL1234[[#This Row],[خط (S/S  TOT) SAR2]]-TABL1234[[#This Row],[(S/S TOT) AJD]]</f>
        <v>0</v>
      </c>
      <c r="Q75" s="39"/>
      <c r="R75" s="3">
        <f>TABL1234[[#This Row],[خط (T/B  TOT) SAR]]-TABL1234[[#This Row],[(T/B TOT) AJD]]</f>
        <v>0</v>
      </c>
      <c r="S75" s="3">
        <f>TABL1234[[#This Row],[الفرق بين بداية ونهاية خط  T/B]]+TABL1234[[#This Row],[الفرق بين بداية ونهاية خط  S/S]]</f>
        <v>0</v>
      </c>
      <c r="T75" s="3">
        <f>TABL1234[[#This Row],[(S/S TOT) AJD]]+TABL1234[[#This Row],[(T/B TOT) AJD]]</f>
        <v>0</v>
      </c>
      <c r="U75" s="41"/>
      <c r="V75" s="41"/>
      <c r="W75" s="3">
        <f>TABL1234[[#This Row],[(A/B TOT) AJD]]+TABL1234[[#This Row],[(A/S TOT) AJD]]</f>
        <v>0</v>
      </c>
      <c r="X75" s="3">
        <f>TABL1234[[#This Row],[( S/S+T/B) AJD]]-TABL1234[[#This Row],[(A/B + A/S) AJD]]</f>
        <v>0</v>
      </c>
      <c r="Y75" s="41"/>
      <c r="Z75" s="43"/>
      <c r="AA75" s="3">
        <f>TABL1234[[#This Row],[(RESV. STORGE) AJD]]/10</f>
        <v>0</v>
      </c>
      <c r="AB75" s="3">
        <f t="shared" si="3"/>
        <v>0</v>
      </c>
      <c r="AC75" s="5"/>
      <c r="AD75" s="39">
        <f>TABL1234[[#This Row],[( S/S+T/B) AJD]]-(TABL1234[[#This Row],[(A/B + A/S) AJD]]+(TABL1234[[#This Row],[(STORGE DIFF.) AJD]]*1000)+TABL1234[[#This Row],[البخر  AJD]])</f>
        <v>0</v>
      </c>
      <c r="AE75" s="41"/>
      <c r="AF75" s="43"/>
      <c r="AG75" s="43"/>
      <c r="AH75" s="6"/>
      <c r="AI75" s="43"/>
      <c r="AJ75" s="43">
        <f>TABL1234[[#This Row],[(A/B TOT) AJD]]-TABL1234[[#This Row],[BER_ IN]]</f>
        <v>0</v>
      </c>
      <c r="AK75" s="43"/>
      <c r="AL75" s="43"/>
      <c r="AM75" s="32"/>
      <c r="AN75" s="32">
        <f>TABL1234[[#This Row],[ (RESV. STORGE) SER]]/10</f>
        <v>0</v>
      </c>
      <c r="AO75" s="68"/>
      <c r="AP75" s="68">
        <f>TABL1234[[#This Row],[(A/S TOT) AJD]]-TABL1234[[#This Row],[SER_ IN]]</f>
        <v>0</v>
      </c>
    </row>
    <row r="76" spans="1:42" ht="18.75" x14ac:dyDescent="0.25">
      <c r="A76" s="2">
        <v>46462</v>
      </c>
      <c r="B76" s="44"/>
      <c r="C76" s="44"/>
      <c r="D76" s="44"/>
      <c r="E76" s="28"/>
      <c r="F76" s="44"/>
      <c r="G76" s="40"/>
      <c r="H76" s="28">
        <f t="shared" si="2"/>
        <v>103</v>
      </c>
      <c r="I76" s="40"/>
      <c r="J76" s="44"/>
      <c r="K76" s="28">
        <f>TABL1234[[#This Row],[خط (T/B  TOT) SAR]]+TABL1234[[#This Row],[خط (S/S  TOT) SAR2]]</f>
        <v>0</v>
      </c>
      <c r="L76" s="45"/>
      <c r="M76" s="46"/>
      <c r="N76" s="46"/>
      <c r="O76" s="40"/>
      <c r="P76" s="3">
        <f>TABL1234[[#This Row],[خط (S/S  TOT) SAR2]]-TABL1234[[#This Row],[(S/S TOT) AJD]]</f>
        <v>0</v>
      </c>
      <c r="Q76" s="40"/>
      <c r="R76" s="3">
        <f>TABL1234[[#This Row],[خط (T/B  TOT) SAR]]-TABL1234[[#This Row],[(T/B TOT) AJD]]</f>
        <v>0</v>
      </c>
      <c r="S76" s="3">
        <f>TABL1234[[#This Row],[الفرق بين بداية ونهاية خط  T/B]]+TABL1234[[#This Row],[الفرق بين بداية ونهاية خط  S/S]]</f>
        <v>0</v>
      </c>
      <c r="T76" s="3">
        <f>TABL1234[[#This Row],[(S/S TOT) AJD]]+TABL1234[[#This Row],[(T/B TOT) AJD]]</f>
        <v>0</v>
      </c>
      <c r="U76" s="44"/>
      <c r="V76" s="44"/>
      <c r="W76" s="3">
        <f>TABL1234[[#This Row],[(A/B TOT) AJD]]+TABL1234[[#This Row],[(A/S TOT) AJD]]</f>
        <v>0</v>
      </c>
      <c r="X76" s="3">
        <f>TABL1234[[#This Row],[( S/S+T/B) AJD]]-TABL1234[[#This Row],[(A/B + A/S) AJD]]</f>
        <v>0</v>
      </c>
      <c r="Y76" s="44"/>
      <c r="Z76" s="45"/>
      <c r="AA76" s="3">
        <f>TABL1234[[#This Row],[(RESV. STORGE) AJD]]/10</f>
        <v>0</v>
      </c>
      <c r="AB76" s="3">
        <f t="shared" si="3"/>
        <v>0</v>
      </c>
      <c r="AC76" s="5"/>
      <c r="AD76" s="40">
        <f>TABL1234[[#This Row],[( S/S+T/B) AJD]]-(TABL1234[[#This Row],[(A/B + A/S) AJD]]+(TABL1234[[#This Row],[(STORGE DIFF.) AJD]]*1000)+TABL1234[[#This Row],[البخر  AJD]])</f>
        <v>0</v>
      </c>
      <c r="AE76" s="44"/>
      <c r="AF76" s="45"/>
      <c r="AG76" s="45"/>
      <c r="AH76" s="6"/>
      <c r="AI76" s="45"/>
      <c r="AJ76" s="45">
        <f>TABL1234[[#This Row],[(A/B TOT) AJD]]-TABL1234[[#This Row],[BER_ IN]]</f>
        <v>0</v>
      </c>
      <c r="AK76" s="45"/>
      <c r="AL76" s="45"/>
      <c r="AM76" s="32"/>
      <c r="AN76" s="32">
        <f>TABL1234[[#This Row],[ (RESV. STORGE) SER]]/10</f>
        <v>0</v>
      </c>
      <c r="AO76" s="68"/>
      <c r="AP76" s="68">
        <f>TABL1234[[#This Row],[(A/S TOT) AJD]]-TABL1234[[#This Row],[SER_ IN]]</f>
        <v>0</v>
      </c>
    </row>
    <row r="77" spans="1:42" ht="18.75" x14ac:dyDescent="0.25">
      <c r="A77" s="2">
        <v>46463</v>
      </c>
      <c r="B77" s="41"/>
      <c r="C77" s="41"/>
      <c r="D77" s="41"/>
      <c r="E77" s="28"/>
      <c r="F77" s="41"/>
      <c r="G77" s="39"/>
      <c r="H77" s="28">
        <f t="shared" si="2"/>
        <v>103</v>
      </c>
      <c r="I77" s="39"/>
      <c r="J77" s="39"/>
      <c r="K77" s="28">
        <f>TABL1234[[#This Row],[خط (T/B  TOT) SAR]]+TABL1234[[#This Row],[خط (S/S  TOT) SAR2]]</f>
        <v>0</v>
      </c>
      <c r="L77" s="41"/>
      <c r="M77" s="42"/>
      <c r="N77" s="42"/>
      <c r="O77" s="39"/>
      <c r="P77" s="3">
        <f>TABL1234[[#This Row],[خط (S/S  TOT) SAR2]]-TABL1234[[#This Row],[(S/S TOT) AJD]]</f>
        <v>0</v>
      </c>
      <c r="Q77" s="39"/>
      <c r="R77" s="3">
        <f>TABL1234[[#This Row],[خط (T/B  TOT) SAR]]-TABL1234[[#This Row],[(T/B TOT) AJD]]</f>
        <v>0</v>
      </c>
      <c r="S77" s="3">
        <f>TABL1234[[#This Row],[الفرق بين بداية ونهاية خط  T/B]]+TABL1234[[#This Row],[الفرق بين بداية ونهاية خط  S/S]]</f>
        <v>0</v>
      </c>
      <c r="T77" s="3">
        <f>TABL1234[[#This Row],[(S/S TOT) AJD]]+TABL1234[[#This Row],[(T/B TOT) AJD]]</f>
        <v>0</v>
      </c>
      <c r="U77" s="41"/>
      <c r="V77" s="41"/>
      <c r="W77" s="3">
        <f>TABL1234[[#This Row],[(A/B TOT) AJD]]+TABL1234[[#This Row],[(A/S TOT) AJD]]</f>
        <v>0</v>
      </c>
      <c r="X77" s="3">
        <f>TABL1234[[#This Row],[( S/S+T/B) AJD]]-TABL1234[[#This Row],[(A/B + A/S) AJD]]</f>
        <v>0</v>
      </c>
      <c r="Y77" s="41"/>
      <c r="Z77" s="43"/>
      <c r="AA77" s="3">
        <f>TABL1234[[#This Row],[(RESV. STORGE) AJD]]/10</f>
        <v>0</v>
      </c>
      <c r="AB77" s="3">
        <f t="shared" si="3"/>
        <v>0</v>
      </c>
      <c r="AC77" s="5"/>
      <c r="AD77" s="39">
        <f>TABL1234[[#This Row],[( S/S+T/B) AJD]]-(TABL1234[[#This Row],[(A/B + A/S) AJD]]+(TABL1234[[#This Row],[(STORGE DIFF.) AJD]]*1000)+TABL1234[[#This Row],[البخر  AJD]])</f>
        <v>0</v>
      </c>
      <c r="AE77" s="41"/>
      <c r="AF77" s="43"/>
      <c r="AG77" s="43"/>
      <c r="AH77" s="6"/>
      <c r="AI77" s="43"/>
      <c r="AJ77" s="43">
        <f>TABL1234[[#This Row],[(A/B TOT) AJD]]-TABL1234[[#This Row],[BER_ IN]]</f>
        <v>0</v>
      </c>
      <c r="AK77" s="43"/>
      <c r="AL77" s="43"/>
      <c r="AM77" s="32"/>
      <c r="AN77" s="32">
        <f>TABL1234[[#This Row],[ (RESV. STORGE) SER]]/10</f>
        <v>0</v>
      </c>
      <c r="AO77" s="68"/>
      <c r="AP77" s="68">
        <f>TABL1234[[#This Row],[(A/S TOT) AJD]]-TABL1234[[#This Row],[SER_ IN]]</f>
        <v>0</v>
      </c>
    </row>
    <row r="78" spans="1:42" ht="18.75" x14ac:dyDescent="0.25">
      <c r="A78" s="2">
        <v>46464</v>
      </c>
      <c r="B78" s="44"/>
      <c r="C78" s="44"/>
      <c r="D78" s="44"/>
      <c r="E78" s="28"/>
      <c r="F78" s="44"/>
      <c r="G78" s="40"/>
      <c r="H78" s="28">
        <f t="shared" si="2"/>
        <v>103</v>
      </c>
      <c r="I78" s="40"/>
      <c r="J78" s="44"/>
      <c r="K78" s="28">
        <f>TABL1234[[#This Row],[خط (T/B  TOT) SAR]]+TABL1234[[#This Row],[خط (S/S  TOT) SAR2]]</f>
        <v>0</v>
      </c>
      <c r="L78" s="45"/>
      <c r="M78" s="46"/>
      <c r="N78" s="46"/>
      <c r="O78" s="40"/>
      <c r="P78" s="3">
        <f>TABL1234[[#This Row],[خط (S/S  TOT) SAR2]]-TABL1234[[#This Row],[(S/S TOT) AJD]]</f>
        <v>0</v>
      </c>
      <c r="Q78" s="40"/>
      <c r="R78" s="3">
        <f>TABL1234[[#This Row],[خط (T/B  TOT) SAR]]-TABL1234[[#This Row],[(T/B TOT) AJD]]</f>
        <v>0</v>
      </c>
      <c r="S78" s="3">
        <f>TABL1234[[#This Row],[الفرق بين بداية ونهاية خط  T/B]]+TABL1234[[#This Row],[الفرق بين بداية ونهاية خط  S/S]]</f>
        <v>0</v>
      </c>
      <c r="T78" s="3">
        <f>TABL1234[[#This Row],[(S/S TOT) AJD]]+TABL1234[[#This Row],[(T/B TOT) AJD]]</f>
        <v>0</v>
      </c>
      <c r="U78" s="44"/>
      <c r="V78" s="44"/>
      <c r="W78" s="3">
        <f>TABL1234[[#This Row],[(A/B TOT) AJD]]+TABL1234[[#This Row],[(A/S TOT) AJD]]</f>
        <v>0</v>
      </c>
      <c r="X78" s="3">
        <f>TABL1234[[#This Row],[( S/S+T/B) AJD]]-TABL1234[[#This Row],[(A/B + A/S) AJD]]</f>
        <v>0</v>
      </c>
      <c r="Y78" s="44"/>
      <c r="Z78" s="45"/>
      <c r="AA78" s="3">
        <f>TABL1234[[#This Row],[(RESV. STORGE) AJD]]/10</f>
        <v>0</v>
      </c>
      <c r="AB78" s="3">
        <f t="shared" si="3"/>
        <v>0</v>
      </c>
      <c r="AC78" s="5"/>
      <c r="AD78" s="40">
        <f>TABL1234[[#This Row],[( S/S+T/B) AJD]]-(TABL1234[[#This Row],[(A/B + A/S) AJD]]+(TABL1234[[#This Row],[(STORGE DIFF.) AJD]]*1000)+TABL1234[[#This Row],[البخر  AJD]])</f>
        <v>0</v>
      </c>
      <c r="AE78" s="44"/>
      <c r="AF78" s="45"/>
      <c r="AG78" s="45"/>
      <c r="AH78" s="6"/>
      <c r="AI78" s="45"/>
      <c r="AJ78" s="45">
        <f>TABL1234[[#This Row],[(A/B TOT) AJD]]-TABL1234[[#This Row],[BER_ IN]]</f>
        <v>0</v>
      </c>
      <c r="AK78" s="45"/>
      <c r="AL78" s="45"/>
      <c r="AM78" s="32"/>
      <c r="AN78" s="32">
        <f>TABL1234[[#This Row],[ (RESV. STORGE) SER]]/10</f>
        <v>0</v>
      </c>
      <c r="AO78" s="68"/>
      <c r="AP78" s="68">
        <f>TABL1234[[#This Row],[(A/S TOT) AJD]]-TABL1234[[#This Row],[SER_ IN]]</f>
        <v>0</v>
      </c>
    </row>
    <row r="79" spans="1:42" ht="18.75" x14ac:dyDescent="0.25">
      <c r="A79" s="2">
        <v>46465</v>
      </c>
      <c r="B79" s="41"/>
      <c r="C79" s="41"/>
      <c r="D79" s="41"/>
      <c r="E79" s="28"/>
      <c r="F79" s="41"/>
      <c r="G79" s="39"/>
      <c r="H79" s="28">
        <f t="shared" si="2"/>
        <v>103</v>
      </c>
      <c r="I79" s="39"/>
      <c r="J79" s="39"/>
      <c r="K79" s="28">
        <f>TABL1234[[#This Row],[خط (T/B  TOT) SAR]]+TABL1234[[#This Row],[خط (S/S  TOT) SAR2]]</f>
        <v>0</v>
      </c>
      <c r="L79" s="41"/>
      <c r="M79" s="42"/>
      <c r="N79" s="42"/>
      <c r="O79" s="39"/>
      <c r="P79" s="3">
        <f>TABL1234[[#This Row],[خط (S/S  TOT) SAR2]]-TABL1234[[#This Row],[(S/S TOT) AJD]]</f>
        <v>0</v>
      </c>
      <c r="Q79" s="39"/>
      <c r="R79" s="3">
        <f>TABL1234[[#This Row],[خط (T/B  TOT) SAR]]-TABL1234[[#This Row],[(T/B TOT) AJD]]</f>
        <v>0</v>
      </c>
      <c r="S79" s="3">
        <f>TABL1234[[#This Row],[الفرق بين بداية ونهاية خط  T/B]]+TABL1234[[#This Row],[الفرق بين بداية ونهاية خط  S/S]]</f>
        <v>0</v>
      </c>
      <c r="T79" s="3">
        <f>TABL1234[[#This Row],[(S/S TOT) AJD]]+TABL1234[[#This Row],[(T/B TOT) AJD]]</f>
        <v>0</v>
      </c>
      <c r="U79" s="41"/>
      <c r="V79" s="41"/>
      <c r="W79" s="3">
        <f>TABL1234[[#This Row],[(A/B TOT) AJD]]+TABL1234[[#This Row],[(A/S TOT) AJD]]</f>
        <v>0</v>
      </c>
      <c r="X79" s="3">
        <f>TABL1234[[#This Row],[( S/S+T/B) AJD]]-TABL1234[[#This Row],[(A/B + A/S) AJD]]</f>
        <v>0</v>
      </c>
      <c r="Y79" s="41"/>
      <c r="Z79" s="43"/>
      <c r="AA79" s="3">
        <f>TABL1234[[#This Row],[(RESV. STORGE) AJD]]/10</f>
        <v>0</v>
      </c>
      <c r="AB79" s="3">
        <f t="shared" si="3"/>
        <v>0</v>
      </c>
      <c r="AC79" s="5"/>
      <c r="AD79" s="39">
        <f>TABL1234[[#This Row],[( S/S+T/B) AJD]]-(TABL1234[[#This Row],[(A/B + A/S) AJD]]+(TABL1234[[#This Row],[(STORGE DIFF.) AJD]]*1000)+TABL1234[[#This Row],[البخر  AJD]])</f>
        <v>0</v>
      </c>
      <c r="AE79" s="41"/>
      <c r="AF79" s="43"/>
      <c r="AG79" s="43"/>
      <c r="AH79" s="6"/>
      <c r="AI79" s="43"/>
      <c r="AJ79" s="43">
        <f>TABL1234[[#This Row],[(A/B TOT) AJD]]-TABL1234[[#This Row],[BER_ IN]]</f>
        <v>0</v>
      </c>
      <c r="AK79" s="43"/>
      <c r="AL79" s="43"/>
      <c r="AM79" s="32"/>
      <c r="AN79" s="32">
        <f>TABL1234[[#This Row],[ (RESV. STORGE) SER]]/10</f>
        <v>0</v>
      </c>
      <c r="AO79" s="68"/>
      <c r="AP79" s="68">
        <f>TABL1234[[#This Row],[(A/S TOT) AJD]]-TABL1234[[#This Row],[SER_ IN]]</f>
        <v>0</v>
      </c>
    </row>
    <row r="80" spans="1:42" ht="18.75" x14ac:dyDescent="0.25">
      <c r="A80" s="2">
        <v>46466</v>
      </c>
      <c r="B80" s="44"/>
      <c r="C80" s="44"/>
      <c r="D80" s="44"/>
      <c r="E80" s="28"/>
      <c r="F80" s="44"/>
      <c r="G80" s="40"/>
      <c r="H80" s="28">
        <f t="shared" si="2"/>
        <v>103</v>
      </c>
      <c r="I80" s="40"/>
      <c r="J80" s="44"/>
      <c r="K80" s="28">
        <f>TABL1234[[#This Row],[خط (T/B  TOT) SAR]]+TABL1234[[#This Row],[خط (S/S  TOT) SAR2]]</f>
        <v>0</v>
      </c>
      <c r="L80" s="45"/>
      <c r="M80" s="46"/>
      <c r="N80" s="46"/>
      <c r="O80" s="40"/>
      <c r="P80" s="3">
        <f>TABL1234[[#This Row],[خط (S/S  TOT) SAR2]]-TABL1234[[#This Row],[(S/S TOT) AJD]]</f>
        <v>0</v>
      </c>
      <c r="Q80" s="40"/>
      <c r="R80" s="3">
        <f>TABL1234[[#This Row],[خط (T/B  TOT) SAR]]-TABL1234[[#This Row],[(T/B TOT) AJD]]</f>
        <v>0</v>
      </c>
      <c r="S80" s="3">
        <f>TABL1234[[#This Row],[الفرق بين بداية ونهاية خط  T/B]]+TABL1234[[#This Row],[الفرق بين بداية ونهاية خط  S/S]]</f>
        <v>0</v>
      </c>
      <c r="T80" s="3">
        <f>TABL1234[[#This Row],[(S/S TOT) AJD]]+TABL1234[[#This Row],[(T/B TOT) AJD]]</f>
        <v>0</v>
      </c>
      <c r="U80" s="44"/>
      <c r="V80" s="44"/>
      <c r="W80" s="3">
        <f>TABL1234[[#This Row],[(A/B TOT) AJD]]+TABL1234[[#This Row],[(A/S TOT) AJD]]</f>
        <v>0</v>
      </c>
      <c r="X80" s="3">
        <f>TABL1234[[#This Row],[( S/S+T/B) AJD]]-TABL1234[[#This Row],[(A/B + A/S) AJD]]</f>
        <v>0</v>
      </c>
      <c r="Y80" s="44"/>
      <c r="Z80" s="45"/>
      <c r="AA80" s="3">
        <f>TABL1234[[#This Row],[(RESV. STORGE) AJD]]/10</f>
        <v>0</v>
      </c>
      <c r="AB80" s="3">
        <f t="shared" si="3"/>
        <v>0</v>
      </c>
      <c r="AC80" s="5"/>
      <c r="AD80" s="40">
        <f>TABL1234[[#This Row],[( S/S+T/B) AJD]]-(TABL1234[[#This Row],[(A/B + A/S) AJD]]+(TABL1234[[#This Row],[(STORGE DIFF.) AJD]]*1000)+TABL1234[[#This Row],[البخر  AJD]])</f>
        <v>0</v>
      </c>
      <c r="AE80" s="44"/>
      <c r="AF80" s="45"/>
      <c r="AG80" s="45"/>
      <c r="AH80" s="6"/>
      <c r="AI80" s="45"/>
      <c r="AJ80" s="45">
        <f>TABL1234[[#This Row],[(A/B TOT) AJD]]-TABL1234[[#This Row],[BER_ IN]]</f>
        <v>0</v>
      </c>
      <c r="AK80" s="45"/>
      <c r="AL80" s="45"/>
      <c r="AM80" s="32"/>
      <c r="AN80" s="32">
        <f>TABL1234[[#This Row],[ (RESV. STORGE) SER]]/10</f>
        <v>0</v>
      </c>
      <c r="AO80" s="68"/>
      <c r="AP80" s="68">
        <f>TABL1234[[#This Row],[(A/S TOT) AJD]]-TABL1234[[#This Row],[SER_ IN]]</f>
        <v>0</v>
      </c>
    </row>
    <row r="81" spans="1:42" ht="18.75" x14ac:dyDescent="0.25">
      <c r="A81" s="2">
        <v>46467</v>
      </c>
      <c r="B81" s="41"/>
      <c r="C81" s="41"/>
      <c r="D81" s="41"/>
      <c r="E81" s="28"/>
      <c r="F81" s="41"/>
      <c r="G81" s="39"/>
      <c r="H81" s="28">
        <f t="shared" si="2"/>
        <v>103</v>
      </c>
      <c r="I81" s="39"/>
      <c r="J81" s="39"/>
      <c r="K81" s="28">
        <f>TABL1234[[#This Row],[خط (T/B  TOT) SAR]]+TABL1234[[#This Row],[خط (S/S  TOT) SAR2]]</f>
        <v>0</v>
      </c>
      <c r="L81" s="41"/>
      <c r="M81" s="42"/>
      <c r="N81" s="42"/>
      <c r="O81" s="39"/>
      <c r="P81" s="3">
        <f>TABL1234[[#This Row],[خط (S/S  TOT) SAR2]]-TABL1234[[#This Row],[(S/S TOT) AJD]]</f>
        <v>0</v>
      </c>
      <c r="Q81" s="39"/>
      <c r="R81" s="3">
        <f>TABL1234[[#This Row],[خط (T/B  TOT) SAR]]-TABL1234[[#This Row],[(T/B TOT) AJD]]</f>
        <v>0</v>
      </c>
      <c r="S81" s="3">
        <f>TABL1234[[#This Row],[الفرق بين بداية ونهاية خط  T/B]]+TABL1234[[#This Row],[الفرق بين بداية ونهاية خط  S/S]]</f>
        <v>0</v>
      </c>
      <c r="T81" s="3">
        <f>TABL1234[[#This Row],[(S/S TOT) AJD]]+TABL1234[[#This Row],[(T/B TOT) AJD]]</f>
        <v>0</v>
      </c>
      <c r="U81" s="41"/>
      <c r="V81" s="41"/>
      <c r="W81" s="3">
        <f>TABL1234[[#This Row],[(A/B TOT) AJD]]+TABL1234[[#This Row],[(A/S TOT) AJD]]</f>
        <v>0</v>
      </c>
      <c r="X81" s="3">
        <f>TABL1234[[#This Row],[( S/S+T/B) AJD]]-TABL1234[[#This Row],[(A/B + A/S) AJD]]</f>
        <v>0</v>
      </c>
      <c r="Y81" s="41"/>
      <c r="Z81" s="43"/>
      <c r="AA81" s="3">
        <f>TABL1234[[#This Row],[(RESV. STORGE) AJD]]/10</f>
        <v>0</v>
      </c>
      <c r="AB81" s="3">
        <f t="shared" si="3"/>
        <v>0</v>
      </c>
      <c r="AC81" s="5"/>
      <c r="AD81" s="39">
        <f>TABL1234[[#This Row],[( S/S+T/B) AJD]]-(TABL1234[[#This Row],[(A/B + A/S) AJD]]+(TABL1234[[#This Row],[(STORGE DIFF.) AJD]]*1000)+TABL1234[[#This Row],[البخر  AJD]])</f>
        <v>0</v>
      </c>
      <c r="AE81" s="41"/>
      <c r="AF81" s="43"/>
      <c r="AG81" s="43"/>
      <c r="AH81" s="6"/>
      <c r="AI81" s="43"/>
      <c r="AJ81" s="43">
        <f>TABL1234[[#This Row],[(A/B TOT) AJD]]-TABL1234[[#This Row],[BER_ IN]]</f>
        <v>0</v>
      </c>
      <c r="AK81" s="43"/>
      <c r="AL81" s="43"/>
      <c r="AM81" s="32"/>
      <c r="AN81" s="32">
        <f>TABL1234[[#This Row],[ (RESV. STORGE) SER]]/10</f>
        <v>0</v>
      </c>
      <c r="AO81" s="68"/>
      <c r="AP81" s="68">
        <f>TABL1234[[#This Row],[(A/S TOT) AJD]]-TABL1234[[#This Row],[SER_ IN]]</f>
        <v>0</v>
      </c>
    </row>
    <row r="82" spans="1:42" ht="18.75" x14ac:dyDescent="0.25">
      <c r="A82" s="2">
        <v>46468</v>
      </c>
      <c r="B82" s="44"/>
      <c r="C82" s="44"/>
      <c r="D82" s="44"/>
      <c r="E82" s="28"/>
      <c r="F82" s="44"/>
      <c r="G82" s="40"/>
      <c r="H82" s="28">
        <f t="shared" si="2"/>
        <v>103</v>
      </c>
      <c r="I82" s="40"/>
      <c r="J82" s="44"/>
      <c r="K82" s="28">
        <f>TABL1234[[#This Row],[خط (T/B  TOT) SAR]]+TABL1234[[#This Row],[خط (S/S  TOT) SAR2]]</f>
        <v>0</v>
      </c>
      <c r="L82" s="45"/>
      <c r="M82" s="46"/>
      <c r="N82" s="46"/>
      <c r="O82" s="40"/>
      <c r="P82" s="3">
        <f>TABL1234[[#This Row],[خط (S/S  TOT) SAR2]]-TABL1234[[#This Row],[(S/S TOT) AJD]]</f>
        <v>0</v>
      </c>
      <c r="Q82" s="40"/>
      <c r="R82" s="3">
        <f>TABL1234[[#This Row],[خط (T/B  TOT) SAR]]-TABL1234[[#This Row],[(T/B TOT) AJD]]</f>
        <v>0</v>
      </c>
      <c r="S82" s="3">
        <f>TABL1234[[#This Row],[الفرق بين بداية ونهاية خط  T/B]]+TABL1234[[#This Row],[الفرق بين بداية ونهاية خط  S/S]]</f>
        <v>0</v>
      </c>
      <c r="T82" s="3">
        <f>TABL1234[[#This Row],[(S/S TOT) AJD]]+TABL1234[[#This Row],[(T/B TOT) AJD]]</f>
        <v>0</v>
      </c>
      <c r="U82" s="44"/>
      <c r="V82" s="44"/>
      <c r="W82" s="3">
        <f>TABL1234[[#This Row],[(A/B TOT) AJD]]+TABL1234[[#This Row],[(A/S TOT) AJD]]</f>
        <v>0</v>
      </c>
      <c r="X82" s="3">
        <f>TABL1234[[#This Row],[( S/S+T/B) AJD]]-TABL1234[[#This Row],[(A/B + A/S) AJD]]</f>
        <v>0</v>
      </c>
      <c r="Y82" s="44"/>
      <c r="Z82" s="45"/>
      <c r="AA82" s="3">
        <f>TABL1234[[#This Row],[(RESV. STORGE) AJD]]/10</f>
        <v>0</v>
      </c>
      <c r="AB82" s="3">
        <f t="shared" si="3"/>
        <v>0</v>
      </c>
      <c r="AC82" s="5"/>
      <c r="AD82" s="40">
        <f>TABL1234[[#This Row],[( S/S+T/B) AJD]]-(TABL1234[[#This Row],[(A/B + A/S) AJD]]+(TABL1234[[#This Row],[(STORGE DIFF.) AJD]]*1000)+TABL1234[[#This Row],[البخر  AJD]])</f>
        <v>0</v>
      </c>
      <c r="AE82" s="44"/>
      <c r="AF82" s="45"/>
      <c r="AG82" s="45"/>
      <c r="AH82" s="6"/>
      <c r="AI82" s="45"/>
      <c r="AJ82" s="45">
        <f>TABL1234[[#This Row],[(A/B TOT) AJD]]-TABL1234[[#This Row],[BER_ IN]]</f>
        <v>0</v>
      </c>
      <c r="AK82" s="45"/>
      <c r="AL82" s="45"/>
      <c r="AM82" s="32"/>
      <c r="AN82" s="32">
        <f>TABL1234[[#This Row],[ (RESV. STORGE) SER]]/10</f>
        <v>0</v>
      </c>
      <c r="AO82" s="68"/>
      <c r="AP82" s="68">
        <f>TABL1234[[#This Row],[(A/S TOT) AJD]]-TABL1234[[#This Row],[SER_ IN]]</f>
        <v>0</v>
      </c>
    </row>
    <row r="83" spans="1:42" ht="18.75" x14ac:dyDescent="0.25">
      <c r="A83" s="2">
        <v>46469</v>
      </c>
      <c r="B83" s="41"/>
      <c r="C83" s="41"/>
      <c r="D83" s="41"/>
      <c r="E83" s="28"/>
      <c r="F83" s="41"/>
      <c r="G83" s="39"/>
      <c r="H83" s="28">
        <f t="shared" si="2"/>
        <v>103</v>
      </c>
      <c r="I83" s="39"/>
      <c r="J83" s="39"/>
      <c r="K83" s="28">
        <f>TABL1234[[#This Row],[خط (T/B  TOT) SAR]]+TABL1234[[#This Row],[خط (S/S  TOT) SAR2]]</f>
        <v>0</v>
      </c>
      <c r="L83" s="41"/>
      <c r="M83" s="42"/>
      <c r="N83" s="42"/>
      <c r="O83" s="39"/>
      <c r="P83" s="3">
        <f>TABL1234[[#This Row],[خط (S/S  TOT) SAR2]]-TABL1234[[#This Row],[(S/S TOT) AJD]]</f>
        <v>0</v>
      </c>
      <c r="Q83" s="39"/>
      <c r="R83" s="3">
        <f>TABL1234[[#This Row],[خط (T/B  TOT) SAR]]-TABL1234[[#This Row],[(T/B TOT) AJD]]</f>
        <v>0</v>
      </c>
      <c r="S83" s="3">
        <f>TABL1234[[#This Row],[الفرق بين بداية ونهاية خط  T/B]]+TABL1234[[#This Row],[الفرق بين بداية ونهاية خط  S/S]]</f>
        <v>0</v>
      </c>
      <c r="T83" s="3">
        <f>TABL1234[[#This Row],[(S/S TOT) AJD]]+TABL1234[[#This Row],[(T/B TOT) AJD]]</f>
        <v>0</v>
      </c>
      <c r="U83" s="41"/>
      <c r="V83" s="41"/>
      <c r="W83" s="3">
        <f>TABL1234[[#This Row],[(A/B TOT) AJD]]+TABL1234[[#This Row],[(A/S TOT) AJD]]</f>
        <v>0</v>
      </c>
      <c r="X83" s="3">
        <f>TABL1234[[#This Row],[( S/S+T/B) AJD]]-TABL1234[[#This Row],[(A/B + A/S) AJD]]</f>
        <v>0</v>
      </c>
      <c r="Y83" s="41"/>
      <c r="Z83" s="43"/>
      <c r="AA83" s="3">
        <f>TABL1234[[#This Row],[(RESV. STORGE) AJD]]/10</f>
        <v>0</v>
      </c>
      <c r="AB83" s="3">
        <f t="shared" si="3"/>
        <v>0</v>
      </c>
      <c r="AC83" s="5"/>
      <c r="AD83" s="39">
        <f>TABL1234[[#This Row],[( S/S+T/B) AJD]]-(TABL1234[[#This Row],[(A/B + A/S) AJD]]+(TABL1234[[#This Row],[(STORGE DIFF.) AJD]]*1000)+TABL1234[[#This Row],[البخر  AJD]])</f>
        <v>0</v>
      </c>
      <c r="AE83" s="41"/>
      <c r="AF83" s="43"/>
      <c r="AG83" s="43"/>
      <c r="AH83" s="6"/>
      <c r="AI83" s="43"/>
      <c r="AJ83" s="43">
        <f>TABL1234[[#This Row],[(A/B TOT) AJD]]-TABL1234[[#This Row],[BER_ IN]]</f>
        <v>0</v>
      </c>
      <c r="AK83" s="43"/>
      <c r="AL83" s="43"/>
      <c r="AM83" s="32"/>
      <c r="AN83" s="32">
        <f>TABL1234[[#This Row],[ (RESV. STORGE) SER]]/10</f>
        <v>0</v>
      </c>
      <c r="AO83" s="68"/>
      <c r="AP83" s="68">
        <f>TABL1234[[#This Row],[(A/S TOT) AJD]]-TABL1234[[#This Row],[SER_ IN]]</f>
        <v>0</v>
      </c>
    </row>
    <row r="84" spans="1:42" ht="18.75" x14ac:dyDescent="0.25">
      <c r="A84" s="2">
        <v>46470</v>
      </c>
      <c r="B84" s="44"/>
      <c r="C84" s="44"/>
      <c r="D84" s="44"/>
      <c r="E84" s="28"/>
      <c r="F84" s="44"/>
      <c r="G84" s="40"/>
      <c r="H84" s="28">
        <f t="shared" si="2"/>
        <v>103</v>
      </c>
      <c r="I84" s="40"/>
      <c r="J84" s="44"/>
      <c r="K84" s="28">
        <f>TABL1234[[#This Row],[خط (T/B  TOT) SAR]]+TABL1234[[#This Row],[خط (S/S  TOT) SAR2]]</f>
        <v>0</v>
      </c>
      <c r="L84" s="45"/>
      <c r="M84" s="46"/>
      <c r="N84" s="46"/>
      <c r="O84" s="40"/>
      <c r="P84" s="3">
        <f>TABL1234[[#This Row],[خط (S/S  TOT) SAR2]]-TABL1234[[#This Row],[(S/S TOT) AJD]]</f>
        <v>0</v>
      </c>
      <c r="Q84" s="40"/>
      <c r="R84" s="3">
        <f>TABL1234[[#This Row],[خط (T/B  TOT) SAR]]-TABL1234[[#This Row],[(T/B TOT) AJD]]</f>
        <v>0</v>
      </c>
      <c r="S84" s="3">
        <f>TABL1234[[#This Row],[الفرق بين بداية ونهاية خط  T/B]]+TABL1234[[#This Row],[الفرق بين بداية ونهاية خط  S/S]]</f>
        <v>0</v>
      </c>
      <c r="T84" s="3">
        <f>TABL1234[[#This Row],[(S/S TOT) AJD]]+TABL1234[[#This Row],[(T/B TOT) AJD]]</f>
        <v>0</v>
      </c>
      <c r="U84" s="44"/>
      <c r="V84" s="44"/>
      <c r="W84" s="3">
        <f>TABL1234[[#This Row],[(A/B TOT) AJD]]+TABL1234[[#This Row],[(A/S TOT) AJD]]</f>
        <v>0</v>
      </c>
      <c r="X84" s="3">
        <f>TABL1234[[#This Row],[( S/S+T/B) AJD]]-TABL1234[[#This Row],[(A/B + A/S) AJD]]</f>
        <v>0</v>
      </c>
      <c r="Y84" s="44"/>
      <c r="Z84" s="45"/>
      <c r="AA84" s="3">
        <f>TABL1234[[#This Row],[(RESV. STORGE) AJD]]/10</f>
        <v>0</v>
      </c>
      <c r="AB84" s="3">
        <f t="shared" si="3"/>
        <v>0</v>
      </c>
      <c r="AC84" s="5"/>
      <c r="AD84" s="40">
        <f>TABL1234[[#This Row],[( S/S+T/B) AJD]]-(TABL1234[[#This Row],[(A/B + A/S) AJD]]+(TABL1234[[#This Row],[(STORGE DIFF.) AJD]]*1000)+TABL1234[[#This Row],[البخر  AJD]])</f>
        <v>0</v>
      </c>
      <c r="AE84" s="44"/>
      <c r="AF84" s="45"/>
      <c r="AG84" s="45"/>
      <c r="AH84" s="6"/>
      <c r="AI84" s="45"/>
      <c r="AJ84" s="45">
        <f>TABL1234[[#This Row],[(A/B TOT) AJD]]-TABL1234[[#This Row],[BER_ IN]]</f>
        <v>0</v>
      </c>
      <c r="AK84" s="45"/>
      <c r="AL84" s="45"/>
      <c r="AM84" s="32"/>
      <c r="AN84" s="32">
        <f>TABL1234[[#This Row],[ (RESV. STORGE) SER]]/10</f>
        <v>0</v>
      </c>
      <c r="AO84" s="68"/>
      <c r="AP84" s="68">
        <f>TABL1234[[#This Row],[(A/S TOT) AJD]]-TABL1234[[#This Row],[SER_ IN]]</f>
        <v>0</v>
      </c>
    </row>
    <row r="85" spans="1:42" ht="18.75" x14ac:dyDescent="0.25">
      <c r="A85" s="2">
        <v>46471</v>
      </c>
      <c r="B85" s="41"/>
      <c r="C85" s="41"/>
      <c r="D85" s="41"/>
      <c r="E85" s="28"/>
      <c r="F85" s="41"/>
      <c r="G85" s="39"/>
      <c r="H85" s="28">
        <f t="shared" si="2"/>
        <v>103</v>
      </c>
      <c r="I85" s="39"/>
      <c r="J85" s="39"/>
      <c r="K85" s="28">
        <f>TABL1234[[#This Row],[خط (T/B  TOT) SAR]]+TABL1234[[#This Row],[خط (S/S  TOT) SAR2]]</f>
        <v>0</v>
      </c>
      <c r="L85" s="41"/>
      <c r="M85" s="42"/>
      <c r="N85" s="42"/>
      <c r="O85" s="39"/>
      <c r="P85" s="3">
        <f>TABL1234[[#This Row],[خط (S/S  TOT) SAR2]]-TABL1234[[#This Row],[(S/S TOT) AJD]]</f>
        <v>0</v>
      </c>
      <c r="Q85" s="39"/>
      <c r="R85" s="3">
        <f>TABL1234[[#This Row],[خط (T/B  TOT) SAR]]-TABL1234[[#This Row],[(T/B TOT) AJD]]</f>
        <v>0</v>
      </c>
      <c r="S85" s="3">
        <f>TABL1234[[#This Row],[الفرق بين بداية ونهاية خط  T/B]]+TABL1234[[#This Row],[الفرق بين بداية ونهاية خط  S/S]]</f>
        <v>0</v>
      </c>
      <c r="T85" s="3">
        <f>TABL1234[[#This Row],[(S/S TOT) AJD]]+TABL1234[[#This Row],[(T/B TOT) AJD]]</f>
        <v>0</v>
      </c>
      <c r="U85" s="41"/>
      <c r="V85" s="41"/>
      <c r="W85" s="3">
        <f>TABL1234[[#This Row],[(A/B TOT) AJD]]+TABL1234[[#This Row],[(A/S TOT) AJD]]</f>
        <v>0</v>
      </c>
      <c r="X85" s="3">
        <f>TABL1234[[#This Row],[( S/S+T/B) AJD]]-TABL1234[[#This Row],[(A/B + A/S) AJD]]</f>
        <v>0</v>
      </c>
      <c r="Y85" s="41"/>
      <c r="Z85" s="43"/>
      <c r="AA85" s="3">
        <f>TABL1234[[#This Row],[(RESV. STORGE) AJD]]/10</f>
        <v>0</v>
      </c>
      <c r="AB85" s="3">
        <f t="shared" si="3"/>
        <v>0</v>
      </c>
      <c r="AC85" s="5"/>
      <c r="AD85" s="39">
        <f>TABL1234[[#This Row],[( S/S+T/B) AJD]]-(TABL1234[[#This Row],[(A/B + A/S) AJD]]+(TABL1234[[#This Row],[(STORGE DIFF.) AJD]]*1000)+TABL1234[[#This Row],[البخر  AJD]])</f>
        <v>0</v>
      </c>
      <c r="AE85" s="41"/>
      <c r="AF85" s="43"/>
      <c r="AG85" s="43"/>
      <c r="AH85" s="6"/>
      <c r="AI85" s="43"/>
      <c r="AJ85" s="43">
        <f>TABL1234[[#This Row],[(A/B TOT) AJD]]-TABL1234[[#This Row],[BER_ IN]]</f>
        <v>0</v>
      </c>
      <c r="AK85" s="43"/>
      <c r="AL85" s="43"/>
      <c r="AM85" s="32"/>
      <c r="AN85" s="32">
        <f>TABL1234[[#This Row],[ (RESV. STORGE) SER]]/10</f>
        <v>0</v>
      </c>
      <c r="AO85" s="68"/>
      <c r="AP85" s="68">
        <f>TABL1234[[#This Row],[(A/S TOT) AJD]]-TABL1234[[#This Row],[SER_ IN]]</f>
        <v>0</v>
      </c>
    </row>
    <row r="86" spans="1:42" ht="18.75" x14ac:dyDescent="0.25">
      <c r="A86" s="2">
        <v>46472</v>
      </c>
      <c r="B86" s="44"/>
      <c r="C86" s="44"/>
      <c r="D86" s="44"/>
      <c r="E86" s="28"/>
      <c r="F86" s="44"/>
      <c r="G86" s="40"/>
      <c r="H86" s="28">
        <f t="shared" si="2"/>
        <v>103</v>
      </c>
      <c r="I86" s="40"/>
      <c r="J86" s="44"/>
      <c r="K86" s="28">
        <f>TABL1234[[#This Row],[خط (T/B  TOT) SAR]]+TABL1234[[#This Row],[خط (S/S  TOT) SAR2]]</f>
        <v>0</v>
      </c>
      <c r="L86" s="45"/>
      <c r="M86" s="46"/>
      <c r="N86" s="46"/>
      <c r="O86" s="40"/>
      <c r="P86" s="3">
        <f>TABL1234[[#This Row],[خط (S/S  TOT) SAR2]]-TABL1234[[#This Row],[(S/S TOT) AJD]]</f>
        <v>0</v>
      </c>
      <c r="Q86" s="40"/>
      <c r="R86" s="3">
        <f>TABL1234[[#This Row],[خط (T/B  TOT) SAR]]-TABL1234[[#This Row],[(T/B TOT) AJD]]</f>
        <v>0</v>
      </c>
      <c r="S86" s="3">
        <f>TABL1234[[#This Row],[الفرق بين بداية ونهاية خط  T/B]]+TABL1234[[#This Row],[الفرق بين بداية ونهاية خط  S/S]]</f>
        <v>0</v>
      </c>
      <c r="T86" s="3">
        <f>TABL1234[[#This Row],[(S/S TOT) AJD]]+TABL1234[[#This Row],[(T/B TOT) AJD]]</f>
        <v>0</v>
      </c>
      <c r="U86" s="44"/>
      <c r="V86" s="44"/>
      <c r="W86" s="3">
        <f>TABL1234[[#This Row],[(A/B TOT) AJD]]+TABL1234[[#This Row],[(A/S TOT) AJD]]</f>
        <v>0</v>
      </c>
      <c r="X86" s="3">
        <f>TABL1234[[#This Row],[( S/S+T/B) AJD]]-TABL1234[[#This Row],[(A/B + A/S) AJD]]</f>
        <v>0</v>
      </c>
      <c r="Y86" s="44"/>
      <c r="Z86" s="45"/>
      <c r="AA86" s="3">
        <f>TABL1234[[#This Row],[(RESV. STORGE) AJD]]/10</f>
        <v>0</v>
      </c>
      <c r="AB86" s="3">
        <f t="shared" si="3"/>
        <v>0</v>
      </c>
      <c r="AC86" s="5"/>
      <c r="AD86" s="40">
        <f>TABL1234[[#This Row],[( S/S+T/B) AJD]]-(TABL1234[[#This Row],[(A/B + A/S) AJD]]+(TABL1234[[#This Row],[(STORGE DIFF.) AJD]]*1000)+TABL1234[[#This Row],[البخر  AJD]])</f>
        <v>0</v>
      </c>
      <c r="AE86" s="44"/>
      <c r="AF86" s="45"/>
      <c r="AG86" s="45"/>
      <c r="AH86" s="6"/>
      <c r="AI86" s="45"/>
      <c r="AJ86" s="45">
        <f>TABL1234[[#This Row],[(A/B TOT) AJD]]-TABL1234[[#This Row],[BER_ IN]]</f>
        <v>0</v>
      </c>
      <c r="AK86" s="45"/>
      <c r="AL86" s="45"/>
      <c r="AM86" s="32"/>
      <c r="AN86" s="32">
        <f>TABL1234[[#This Row],[ (RESV. STORGE) SER]]/10</f>
        <v>0</v>
      </c>
      <c r="AO86" s="68"/>
      <c r="AP86" s="68">
        <f>TABL1234[[#This Row],[(A/S TOT) AJD]]-TABL1234[[#This Row],[SER_ IN]]</f>
        <v>0</v>
      </c>
    </row>
    <row r="87" spans="1:42" ht="18.75" x14ac:dyDescent="0.25">
      <c r="A87" s="2">
        <v>46473</v>
      </c>
      <c r="B87" s="41"/>
      <c r="C87" s="41"/>
      <c r="D87" s="41"/>
      <c r="E87" s="28"/>
      <c r="F87" s="41"/>
      <c r="G87" s="39"/>
      <c r="H87" s="28">
        <f t="shared" si="2"/>
        <v>103</v>
      </c>
      <c r="I87" s="39"/>
      <c r="J87" s="39"/>
      <c r="K87" s="28">
        <f>TABL1234[[#This Row],[خط (T/B  TOT) SAR]]+TABL1234[[#This Row],[خط (S/S  TOT) SAR2]]</f>
        <v>0</v>
      </c>
      <c r="L87" s="41"/>
      <c r="M87" s="42"/>
      <c r="N87" s="42"/>
      <c r="O87" s="39"/>
      <c r="P87" s="3">
        <f>TABL1234[[#This Row],[خط (S/S  TOT) SAR2]]-TABL1234[[#This Row],[(S/S TOT) AJD]]</f>
        <v>0</v>
      </c>
      <c r="Q87" s="39"/>
      <c r="R87" s="3">
        <f>TABL1234[[#This Row],[خط (T/B  TOT) SAR]]-TABL1234[[#This Row],[(T/B TOT) AJD]]</f>
        <v>0</v>
      </c>
      <c r="S87" s="3">
        <f>TABL1234[[#This Row],[الفرق بين بداية ونهاية خط  T/B]]+TABL1234[[#This Row],[الفرق بين بداية ونهاية خط  S/S]]</f>
        <v>0</v>
      </c>
      <c r="T87" s="3">
        <f>TABL1234[[#This Row],[(S/S TOT) AJD]]+TABL1234[[#This Row],[(T/B TOT) AJD]]</f>
        <v>0</v>
      </c>
      <c r="U87" s="41"/>
      <c r="V87" s="41"/>
      <c r="W87" s="3">
        <f>TABL1234[[#This Row],[(A/B TOT) AJD]]+TABL1234[[#This Row],[(A/S TOT) AJD]]</f>
        <v>0</v>
      </c>
      <c r="X87" s="3">
        <f>TABL1234[[#This Row],[( S/S+T/B) AJD]]-TABL1234[[#This Row],[(A/B + A/S) AJD]]</f>
        <v>0</v>
      </c>
      <c r="Y87" s="41"/>
      <c r="Z87" s="43"/>
      <c r="AA87" s="3">
        <f>TABL1234[[#This Row],[(RESV. STORGE) AJD]]/10</f>
        <v>0</v>
      </c>
      <c r="AB87" s="3">
        <f t="shared" si="3"/>
        <v>0</v>
      </c>
      <c r="AC87" s="5"/>
      <c r="AD87" s="39">
        <f>TABL1234[[#This Row],[( S/S+T/B) AJD]]-(TABL1234[[#This Row],[(A/B + A/S) AJD]]+(TABL1234[[#This Row],[(STORGE DIFF.) AJD]]*1000)+TABL1234[[#This Row],[البخر  AJD]])</f>
        <v>0</v>
      </c>
      <c r="AE87" s="41"/>
      <c r="AF87" s="43"/>
      <c r="AG87" s="43"/>
      <c r="AH87" s="6"/>
      <c r="AI87" s="43"/>
      <c r="AJ87" s="43">
        <f>TABL1234[[#This Row],[(A/B TOT) AJD]]-TABL1234[[#This Row],[BER_ IN]]</f>
        <v>0</v>
      </c>
      <c r="AK87" s="43"/>
      <c r="AL87" s="43"/>
      <c r="AM87" s="32"/>
      <c r="AN87" s="32">
        <f>TABL1234[[#This Row],[ (RESV. STORGE) SER]]/10</f>
        <v>0</v>
      </c>
      <c r="AO87" s="68"/>
      <c r="AP87" s="68">
        <f>TABL1234[[#This Row],[(A/S TOT) AJD]]-TABL1234[[#This Row],[SER_ IN]]</f>
        <v>0</v>
      </c>
    </row>
    <row r="88" spans="1:42" ht="18.75" x14ac:dyDescent="0.25">
      <c r="A88" s="2">
        <v>46474</v>
      </c>
      <c r="B88" s="44"/>
      <c r="C88" s="44"/>
      <c r="D88" s="44"/>
      <c r="E88" s="28"/>
      <c r="F88" s="44"/>
      <c r="G88" s="40"/>
      <c r="H88" s="28">
        <f t="shared" si="2"/>
        <v>103</v>
      </c>
      <c r="I88" s="40"/>
      <c r="J88" s="44"/>
      <c r="K88" s="28">
        <f>TABL1234[[#This Row],[خط (T/B  TOT) SAR]]+TABL1234[[#This Row],[خط (S/S  TOT) SAR2]]</f>
        <v>0</v>
      </c>
      <c r="L88" s="45"/>
      <c r="M88" s="46"/>
      <c r="N88" s="46"/>
      <c r="O88" s="40"/>
      <c r="P88" s="3">
        <f>TABL1234[[#This Row],[خط (S/S  TOT) SAR2]]-TABL1234[[#This Row],[(S/S TOT) AJD]]</f>
        <v>0</v>
      </c>
      <c r="Q88" s="40"/>
      <c r="R88" s="3">
        <f>TABL1234[[#This Row],[خط (T/B  TOT) SAR]]-TABL1234[[#This Row],[(T/B TOT) AJD]]</f>
        <v>0</v>
      </c>
      <c r="S88" s="3">
        <f>TABL1234[[#This Row],[الفرق بين بداية ونهاية خط  T/B]]+TABL1234[[#This Row],[الفرق بين بداية ونهاية خط  S/S]]</f>
        <v>0</v>
      </c>
      <c r="T88" s="3">
        <f>TABL1234[[#This Row],[(S/S TOT) AJD]]+TABL1234[[#This Row],[(T/B TOT) AJD]]</f>
        <v>0</v>
      </c>
      <c r="U88" s="44"/>
      <c r="V88" s="44"/>
      <c r="W88" s="3">
        <f>TABL1234[[#This Row],[(A/B TOT) AJD]]+TABL1234[[#This Row],[(A/S TOT) AJD]]</f>
        <v>0</v>
      </c>
      <c r="X88" s="3">
        <f>TABL1234[[#This Row],[( S/S+T/B) AJD]]-TABL1234[[#This Row],[(A/B + A/S) AJD]]</f>
        <v>0</v>
      </c>
      <c r="Y88" s="44"/>
      <c r="Z88" s="45"/>
      <c r="AA88" s="3">
        <f>TABL1234[[#This Row],[(RESV. STORGE) AJD]]/10</f>
        <v>0</v>
      </c>
      <c r="AB88" s="3">
        <f t="shared" si="3"/>
        <v>0</v>
      </c>
      <c r="AC88" s="5"/>
      <c r="AD88" s="40">
        <f>TABL1234[[#This Row],[( S/S+T/B) AJD]]-(TABL1234[[#This Row],[(A/B + A/S) AJD]]+(TABL1234[[#This Row],[(STORGE DIFF.) AJD]]*1000)+TABL1234[[#This Row],[البخر  AJD]])</f>
        <v>0</v>
      </c>
      <c r="AE88" s="44"/>
      <c r="AF88" s="45"/>
      <c r="AG88" s="45"/>
      <c r="AH88" s="6"/>
      <c r="AI88" s="45"/>
      <c r="AJ88" s="45">
        <f>TABL1234[[#This Row],[(A/B TOT) AJD]]-TABL1234[[#This Row],[BER_ IN]]</f>
        <v>0</v>
      </c>
      <c r="AK88" s="45"/>
      <c r="AL88" s="45"/>
      <c r="AM88" s="32"/>
      <c r="AN88" s="32">
        <f>TABL1234[[#This Row],[ (RESV. STORGE) SER]]/10</f>
        <v>0</v>
      </c>
      <c r="AO88" s="68"/>
      <c r="AP88" s="68">
        <f>TABL1234[[#This Row],[(A/S TOT) AJD]]-TABL1234[[#This Row],[SER_ IN]]</f>
        <v>0</v>
      </c>
    </row>
    <row r="89" spans="1:42" ht="18.75" x14ac:dyDescent="0.25">
      <c r="A89" s="2">
        <v>46475</v>
      </c>
      <c r="B89" s="41"/>
      <c r="C89" s="41"/>
      <c r="D89" s="41"/>
      <c r="E89" s="28"/>
      <c r="F89" s="41"/>
      <c r="G89" s="39"/>
      <c r="H89" s="28">
        <f t="shared" si="2"/>
        <v>103</v>
      </c>
      <c r="I89" s="39"/>
      <c r="J89" s="39"/>
      <c r="K89" s="28">
        <f>TABL1234[[#This Row],[خط (T/B  TOT) SAR]]+TABL1234[[#This Row],[خط (S/S  TOT) SAR2]]</f>
        <v>0</v>
      </c>
      <c r="L89" s="41"/>
      <c r="M89" s="42"/>
      <c r="N89" s="42"/>
      <c r="O89" s="39"/>
      <c r="P89" s="3">
        <f>TABL1234[[#This Row],[خط (S/S  TOT) SAR2]]-TABL1234[[#This Row],[(S/S TOT) AJD]]</f>
        <v>0</v>
      </c>
      <c r="Q89" s="39"/>
      <c r="R89" s="3">
        <f>TABL1234[[#This Row],[خط (T/B  TOT) SAR]]-TABL1234[[#This Row],[(T/B TOT) AJD]]</f>
        <v>0</v>
      </c>
      <c r="S89" s="3">
        <f>TABL1234[[#This Row],[الفرق بين بداية ونهاية خط  T/B]]+TABL1234[[#This Row],[الفرق بين بداية ونهاية خط  S/S]]</f>
        <v>0</v>
      </c>
      <c r="T89" s="3">
        <f>TABL1234[[#This Row],[(S/S TOT) AJD]]+TABL1234[[#This Row],[(T/B TOT) AJD]]</f>
        <v>0</v>
      </c>
      <c r="U89" s="41"/>
      <c r="V89" s="41"/>
      <c r="W89" s="3">
        <f>TABL1234[[#This Row],[(A/B TOT) AJD]]+TABL1234[[#This Row],[(A/S TOT) AJD]]</f>
        <v>0</v>
      </c>
      <c r="X89" s="3">
        <f>TABL1234[[#This Row],[( S/S+T/B) AJD]]-TABL1234[[#This Row],[(A/B + A/S) AJD]]</f>
        <v>0</v>
      </c>
      <c r="Y89" s="41"/>
      <c r="Z89" s="43"/>
      <c r="AA89" s="3">
        <f>TABL1234[[#This Row],[(RESV. STORGE) AJD]]/10</f>
        <v>0</v>
      </c>
      <c r="AB89" s="3">
        <f t="shared" si="3"/>
        <v>0</v>
      </c>
      <c r="AC89" s="5"/>
      <c r="AD89" s="39">
        <f>TABL1234[[#This Row],[( S/S+T/B) AJD]]-(TABL1234[[#This Row],[(A/B + A/S) AJD]]+(TABL1234[[#This Row],[(STORGE DIFF.) AJD]]*1000)+TABL1234[[#This Row],[البخر  AJD]])</f>
        <v>0</v>
      </c>
      <c r="AE89" s="41"/>
      <c r="AF89" s="43"/>
      <c r="AG89" s="43"/>
      <c r="AH89" s="6"/>
      <c r="AI89" s="43"/>
      <c r="AJ89" s="43">
        <f>TABL1234[[#This Row],[(A/B TOT) AJD]]-TABL1234[[#This Row],[BER_ IN]]</f>
        <v>0</v>
      </c>
      <c r="AK89" s="43"/>
      <c r="AL89" s="43"/>
      <c r="AM89" s="32"/>
      <c r="AN89" s="32">
        <f>TABL1234[[#This Row],[ (RESV. STORGE) SER]]/10</f>
        <v>0</v>
      </c>
      <c r="AO89" s="68"/>
      <c r="AP89" s="68">
        <f>TABL1234[[#This Row],[(A/S TOT) AJD]]-TABL1234[[#This Row],[SER_ IN]]</f>
        <v>0</v>
      </c>
    </row>
    <row r="90" spans="1:42" ht="18.75" x14ac:dyDescent="0.25">
      <c r="A90" s="2">
        <v>46476</v>
      </c>
      <c r="B90" s="44"/>
      <c r="C90" s="44"/>
      <c r="D90" s="44"/>
      <c r="E90" s="28"/>
      <c r="F90" s="44"/>
      <c r="G90" s="40"/>
      <c r="H90" s="28">
        <f t="shared" si="2"/>
        <v>103</v>
      </c>
      <c r="I90" s="40"/>
      <c r="J90" s="44"/>
      <c r="K90" s="28">
        <f>TABL1234[[#This Row],[خط (T/B  TOT) SAR]]+TABL1234[[#This Row],[خط (S/S  TOT) SAR2]]</f>
        <v>0</v>
      </c>
      <c r="L90" s="45"/>
      <c r="M90" s="46"/>
      <c r="N90" s="46"/>
      <c r="O90" s="40"/>
      <c r="P90" s="3">
        <f>TABL1234[[#This Row],[خط (S/S  TOT) SAR2]]-TABL1234[[#This Row],[(S/S TOT) AJD]]</f>
        <v>0</v>
      </c>
      <c r="Q90" s="40"/>
      <c r="R90" s="3">
        <f>TABL1234[[#This Row],[خط (T/B  TOT) SAR]]-TABL1234[[#This Row],[(T/B TOT) AJD]]</f>
        <v>0</v>
      </c>
      <c r="S90" s="3">
        <f>TABL1234[[#This Row],[الفرق بين بداية ونهاية خط  T/B]]+TABL1234[[#This Row],[الفرق بين بداية ونهاية خط  S/S]]</f>
        <v>0</v>
      </c>
      <c r="T90" s="3">
        <f>TABL1234[[#This Row],[(S/S TOT) AJD]]+TABL1234[[#This Row],[(T/B TOT) AJD]]</f>
        <v>0</v>
      </c>
      <c r="U90" s="44"/>
      <c r="V90" s="44"/>
      <c r="W90" s="3">
        <f>TABL1234[[#This Row],[(A/B TOT) AJD]]+TABL1234[[#This Row],[(A/S TOT) AJD]]</f>
        <v>0</v>
      </c>
      <c r="X90" s="3">
        <f>TABL1234[[#This Row],[( S/S+T/B) AJD]]-TABL1234[[#This Row],[(A/B + A/S) AJD]]</f>
        <v>0</v>
      </c>
      <c r="Y90" s="44"/>
      <c r="Z90" s="45"/>
      <c r="AA90" s="3">
        <f>TABL1234[[#This Row],[(RESV. STORGE) AJD]]/10</f>
        <v>0</v>
      </c>
      <c r="AB90" s="3">
        <f t="shared" si="3"/>
        <v>0</v>
      </c>
      <c r="AC90" s="5"/>
      <c r="AD90" s="70">
        <f>TABL1234[[#This Row],[( S/S+T/B) AJD]]-(TABL1234[[#This Row],[(A/B + A/S) AJD]]+(TABL1234[[#This Row],[(STORGE DIFF.) AJD]]*1000)+TABL1234[[#This Row],[البخر  AJD]])</f>
        <v>0</v>
      </c>
      <c r="AE90" s="44"/>
      <c r="AF90" s="45"/>
      <c r="AG90" s="45"/>
      <c r="AH90" s="6"/>
      <c r="AI90" s="45"/>
      <c r="AJ90" s="91">
        <f>TABL1234[[#This Row],[(A/B TOT) AJD]]-TABL1234[[#This Row],[BER_ IN]]</f>
        <v>0</v>
      </c>
      <c r="AK90" s="45"/>
      <c r="AL90" s="45"/>
      <c r="AM90" s="32"/>
      <c r="AN90" s="32">
        <f>TABL1234[[#This Row],[ (RESV. STORGE) SER]]/10</f>
        <v>0</v>
      </c>
      <c r="AO90" s="68"/>
      <c r="AP90" s="68">
        <f>TABL1234[[#This Row],[(A/S TOT) AJD]]-TABL1234[[#This Row],[SER_ IN]]</f>
        <v>0</v>
      </c>
    </row>
    <row r="91" spans="1:42" ht="18.75" x14ac:dyDescent="0.25">
      <c r="A91" s="2">
        <v>46477</v>
      </c>
      <c r="B91" s="41"/>
      <c r="C91" s="41"/>
      <c r="D91" s="41"/>
      <c r="E91" s="28"/>
      <c r="F91" s="41"/>
      <c r="G91" s="39"/>
      <c r="H91" s="28">
        <f t="shared" si="2"/>
        <v>103</v>
      </c>
      <c r="I91" s="39"/>
      <c r="J91" s="39"/>
      <c r="K91" s="28">
        <f>TABL1234[[#This Row],[خط (T/B  TOT) SAR]]+TABL1234[[#This Row],[خط (S/S  TOT) SAR2]]</f>
        <v>0</v>
      </c>
      <c r="L91" s="41"/>
      <c r="M91" s="42"/>
      <c r="N91" s="42"/>
      <c r="O91" s="39"/>
      <c r="P91" s="3">
        <f>TABL1234[[#This Row],[خط (S/S  TOT) SAR2]]-TABL1234[[#This Row],[(S/S TOT) AJD]]</f>
        <v>0</v>
      </c>
      <c r="Q91" s="39"/>
      <c r="R91" s="3">
        <f>TABL1234[[#This Row],[خط (T/B  TOT) SAR]]-TABL1234[[#This Row],[(T/B TOT) AJD]]</f>
        <v>0</v>
      </c>
      <c r="S91" s="3">
        <f>TABL1234[[#This Row],[الفرق بين بداية ونهاية خط  T/B]]+TABL1234[[#This Row],[الفرق بين بداية ونهاية خط  S/S]]</f>
        <v>0</v>
      </c>
      <c r="T91" s="3">
        <f>TABL1234[[#This Row],[(S/S TOT) AJD]]+TABL1234[[#This Row],[(T/B TOT) AJD]]</f>
        <v>0</v>
      </c>
      <c r="U91" s="41"/>
      <c r="V91" s="41"/>
      <c r="W91" s="3">
        <f>TABL1234[[#This Row],[(A/B TOT) AJD]]+TABL1234[[#This Row],[(A/S TOT) AJD]]</f>
        <v>0</v>
      </c>
      <c r="X91" s="3">
        <f>TABL1234[[#This Row],[( S/S+T/B) AJD]]-TABL1234[[#This Row],[(A/B + A/S) AJD]]</f>
        <v>0</v>
      </c>
      <c r="Y91" s="41"/>
      <c r="Z91" s="43"/>
      <c r="AA91" s="3">
        <f>TABL1234[[#This Row],[(RESV. STORGE) AJD]]/10</f>
        <v>0</v>
      </c>
      <c r="AB91" s="3">
        <f t="shared" si="3"/>
        <v>0</v>
      </c>
      <c r="AC91" s="5"/>
      <c r="AD91" s="39">
        <f>TABL1234[[#This Row],[( S/S+T/B) AJD]]-(TABL1234[[#This Row],[(A/B + A/S) AJD]]+(TABL1234[[#This Row],[(STORGE DIFF.) AJD]]*1000)+TABL1234[[#This Row],[البخر  AJD]])</f>
        <v>0</v>
      </c>
      <c r="AE91" s="41"/>
      <c r="AF91" s="43"/>
      <c r="AG91" s="43"/>
      <c r="AH91" s="6"/>
      <c r="AI91" s="43"/>
      <c r="AJ91" s="43">
        <f>TABL1234[[#This Row],[(A/B TOT) AJD]]-TABL1234[[#This Row],[BER_ IN]]</f>
        <v>0</v>
      </c>
      <c r="AK91" s="43"/>
      <c r="AL91" s="43"/>
      <c r="AM91" s="32"/>
      <c r="AN91" s="32">
        <f>TABL1234[[#This Row],[ (RESV. STORGE) SER]]/10</f>
        <v>0</v>
      </c>
      <c r="AO91" s="68"/>
      <c r="AP91" s="68">
        <f>TABL1234[[#This Row],[(A/S TOT) AJD]]-TABL1234[[#This Row],[SER_ IN]]</f>
        <v>0</v>
      </c>
    </row>
    <row r="92" spans="1:42" ht="18.75" x14ac:dyDescent="0.25">
      <c r="A92" s="2">
        <v>46478</v>
      </c>
      <c r="B92" s="41"/>
      <c r="C92" s="41"/>
      <c r="D92" s="41"/>
      <c r="E92" s="41"/>
      <c r="F92" s="41"/>
      <c r="G92" s="39"/>
      <c r="H92" s="28">
        <f t="shared" si="2"/>
        <v>103</v>
      </c>
      <c r="I92" s="39"/>
      <c r="J92" s="39"/>
      <c r="K92" s="28">
        <f>TABL1234[[#This Row],[خط (T/B  TOT) SAR]]+TABL1234[[#This Row],[خط (S/S  TOT) SAR2]]</f>
        <v>0</v>
      </c>
      <c r="L92" s="41"/>
      <c r="M92" s="42"/>
      <c r="N92" s="42"/>
      <c r="O92" s="39"/>
      <c r="P92" s="3">
        <f>TABL1234[[#This Row],[خط (S/S  TOT) SAR2]]-TABL1234[[#This Row],[(S/S TOT) AJD]]</f>
        <v>0</v>
      </c>
      <c r="Q92" s="39"/>
      <c r="R92" s="3">
        <f>TABL1234[[#This Row],[خط (T/B  TOT) SAR]]-TABL1234[[#This Row],[(T/B TOT) AJD]]</f>
        <v>0</v>
      </c>
      <c r="S92" s="3">
        <f>TABL1234[[#This Row],[الفرق بين بداية ونهاية خط  T/B]]+TABL1234[[#This Row],[الفرق بين بداية ونهاية خط  S/S]]</f>
        <v>0</v>
      </c>
      <c r="T92" s="3">
        <f>TABL1234[[#This Row],[(S/S TOT) AJD]]+TABL1234[[#This Row],[(T/B TOT) AJD]]</f>
        <v>0</v>
      </c>
      <c r="U92" s="41"/>
      <c r="V92" s="41"/>
      <c r="W92" s="3">
        <f>TABL1234[[#This Row],[(A/B TOT) AJD]]+TABL1234[[#This Row],[(A/S TOT) AJD]]</f>
        <v>0</v>
      </c>
      <c r="X92" s="3">
        <f>TABL1234[[#This Row],[( S/S+T/B) AJD]]-TABL1234[[#This Row],[(A/B + A/S) AJD]]</f>
        <v>0</v>
      </c>
      <c r="Y92" s="41"/>
      <c r="Z92" s="43"/>
      <c r="AA92" s="3">
        <f>TABL1234[[#This Row],[(RESV. STORGE) AJD]]/10</f>
        <v>0</v>
      </c>
      <c r="AB92" s="3">
        <f t="shared" si="3"/>
        <v>0</v>
      </c>
      <c r="AC92" s="5"/>
      <c r="AD92" s="39">
        <f>TABL1234[[#This Row],[( S/S+T/B) AJD]]-(TABL1234[[#This Row],[(A/B + A/S) AJD]]+(TABL1234[[#This Row],[(STORGE DIFF.) AJD]]*1000)+TABL1234[[#This Row],[البخر  AJD]])</f>
        <v>0</v>
      </c>
      <c r="AE92" s="41"/>
      <c r="AF92" s="43"/>
      <c r="AG92" s="43"/>
      <c r="AH92" s="6"/>
      <c r="AI92" s="43"/>
      <c r="AJ92" s="43">
        <f>TABL1234[[#This Row],[(A/B TOT) AJD]]-TABL1234[[#This Row],[BER_ IN]]</f>
        <v>0</v>
      </c>
      <c r="AK92" s="43"/>
      <c r="AL92" s="43"/>
      <c r="AM92" s="32"/>
      <c r="AN92" s="32">
        <f>TABL1234[[#This Row],[ (RESV. STORGE) SER]]/10</f>
        <v>0</v>
      </c>
      <c r="AO92" s="68"/>
      <c r="AP92" s="68">
        <f>TABL1234[[#This Row],[(A/S TOT) AJD]]-TABL1234[[#This Row],[SER_ IN]]</f>
        <v>0</v>
      </c>
    </row>
    <row r="93" spans="1:42" ht="18.75" x14ac:dyDescent="0.25">
      <c r="A93" s="2">
        <v>46479</v>
      </c>
      <c r="B93" s="44"/>
      <c r="C93" s="44"/>
      <c r="D93" s="44"/>
      <c r="E93" s="44"/>
      <c r="F93" s="44"/>
      <c r="G93" s="40"/>
      <c r="H93" s="28">
        <f t="shared" si="2"/>
        <v>103</v>
      </c>
      <c r="I93" s="40"/>
      <c r="J93" s="44"/>
      <c r="K93" s="28">
        <f>TABL1234[[#This Row],[خط (T/B  TOT) SAR]]+TABL1234[[#This Row],[خط (S/S  TOT) SAR2]]</f>
        <v>0</v>
      </c>
      <c r="L93" s="45"/>
      <c r="M93" s="46"/>
      <c r="N93" s="46"/>
      <c r="O93" s="40"/>
      <c r="P93" s="3">
        <f>TABL1234[[#This Row],[خط (S/S  TOT) SAR2]]-TABL1234[[#This Row],[(S/S TOT) AJD]]</f>
        <v>0</v>
      </c>
      <c r="Q93" s="40"/>
      <c r="R93" s="3">
        <f>TABL1234[[#This Row],[خط (T/B  TOT) SAR]]-TABL1234[[#This Row],[(T/B TOT) AJD]]</f>
        <v>0</v>
      </c>
      <c r="S93" s="3">
        <f>TABL1234[[#This Row],[الفرق بين بداية ونهاية خط  T/B]]+TABL1234[[#This Row],[الفرق بين بداية ونهاية خط  S/S]]</f>
        <v>0</v>
      </c>
      <c r="T93" s="3">
        <f>TABL1234[[#This Row],[(S/S TOT) AJD]]+TABL1234[[#This Row],[(T/B TOT) AJD]]</f>
        <v>0</v>
      </c>
      <c r="U93" s="44"/>
      <c r="V93" s="44"/>
      <c r="W93" s="3">
        <f>TABL1234[[#This Row],[(A/B TOT) AJD]]+TABL1234[[#This Row],[(A/S TOT) AJD]]</f>
        <v>0</v>
      </c>
      <c r="X93" s="3">
        <f>TABL1234[[#This Row],[( S/S+T/B) AJD]]-TABL1234[[#This Row],[(A/B + A/S) AJD]]</f>
        <v>0</v>
      </c>
      <c r="Y93" s="44"/>
      <c r="Z93" s="45"/>
      <c r="AA93" s="3">
        <f>TABL1234[[#This Row],[(RESV. STORGE) AJD]]/10</f>
        <v>0</v>
      </c>
      <c r="AB93" s="3">
        <f t="shared" si="3"/>
        <v>0</v>
      </c>
      <c r="AC93" s="5"/>
      <c r="AD93" s="40">
        <f>TABL1234[[#This Row],[( S/S+T/B) AJD]]-(TABL1234[[#This Row],[(A/B + A/S) AJD]]+(TABL1234[[#This Row],[(STORGE DIFF.) AJD]]*1000)+TABL1234[[#This Row],[البخر  AJD]])</f>
        <v>0</v>
      </c>
      <c r="AE93" s="44"/>
      <c r="AF93" s="45"/>
      <c r="AG93" s="45"/>
      <c r="AH93" s="6"/>
      <c r="AI93" s="45"/>
      <c r="AJ93" s="45">
        <f>TABL1234[[#This Row],[(A/B TOT) AJD]]-TABL1234[[#This Row],[BER_ IN]]</f>
        <v>0</v>
      </c>
      <c r="AK93" s="45"/>
      <c r="AL93" s="45"/>
      <c r="AM93" s="32"/>
      <c r="AN93" s="32">
        <f>TABL1234[[#This Row],[ (RESV. STORGE) SER]]/10</f>
        <v>0</v>
      </c>
      <c r="AO93" s="68"/>
      <c r="AP93" s="68">
        <f>TABL1234[[#This Row],[(A/S TOT) AJD]]-TABL1234[[#This Row],[SER_ IN]]</f>
        <v>0</v>
      </c>
    </row>
    <row r="94" spans="1:42" ht="18.75" x14ac:dyDescent="0.25">
      <c r="A94" s="2">
        <v>46480</v>
      </c>
      <c r="B94" s="41"/>
      <c r="C94" s="41"/>
      <c r="D94" s="41"/>
      <c r="E94" s="41"/>
      <c r="F94" s="41"/>
      <c r="G94" s="39"/>
      <c r="H94" s="28">
        <f t="shared" si="2"/>
        <v>103</v>
      </c>
      <c r="I94" s="39"/>
      <c r="J94" s="39"/>
      <c r="K94" s="28">
        <f>TABL1234[[#This Row],[خط (T/B  TOT) SAR]]+TABL1234[[#This Row],[خط (S/S  TOT) SAR2]]</f>
        <v>0</v>
      </c>
      <c r="L94" s="41"/>
      <c r="M94" s="42"/>
      <c r="N94" s="42"/>
      <c r="O94" s="39"/>
      <c r="P94" s="3">
        <f>TABL1234[[#This Row],[خط (S/S  TOT) SAR2]]-TABL1234[[#This Row],[(S/S TOT) AJD]]</f>
        <v>0</v>
      </c>
      <c r="Q94" s="39"/>
      <c r="R94" s="3">
        <f>TABL1234[[#This Row],[خط (T/B  TOT) SAR]]-TABL1234[[#This Row],[(T/B TOT) AJD]]</f>
        <v>0</v>
      </c>
      <c r="S94" s="3">
        <f>TABL1234[[#This Row],[الفرق بين بداية ونهاية خط  T/B]]+TABL1234[[#This Row],[الفرق بين بداية ونهاية خط  S/S]]</f>
        <v>0</v>
      </c>
      <c r="T94" s="3">
        <f>TABL1234[[#This Row],[(S/S TOT) AJD]]+TABL1234[[#This Row],[(T/B TOT) AJD]]</f>
        <v>0</v>
      </c>
      <c r="U94" s="41"/>
      <c r="V94" s="41"/>
      <c r="W94" s="3">
        <f>TABL1234[[#This Row],[(A/B TOT) AJD]]+TABL1234[[#This Row],[(A/S TOT) AJD]]</f>
        <v>0</v>
      </c>
      <c r="X94" s="3">
        <f>TABL1234[[#This Row],[( S/S+T/B) AJD]]-TABL1234[[#This Row],[(A/B + A/S) AJD]]</f>
        <v>0</v>
      </c>
      <c r="Y94" s="41"/>
      <c r="Z94" s="43"/>
      <c r="AA94" s="3">
        <f>TABL1234[[#This Row],[(RESV. STORGE) AJD]]/10</f>
        <v>0</v>
      </c>
      <c r="AB94" s="3">
        <f t="shared" si="3"/>
        <v>0</v>
      </c>
      <c r="AC94" s="5"/>
      <c r="AD94" s="39">
        <f>TABL1234[[#This Row],[( S/S+T/B) AJD]]-(TABL1234[[#This Row],[(A/B + A/S) AJD]]+(TABL1234[[#This Row],[(STORGE DIFF.) AJD]]*1000)+TABL1234[[#This Row],[البخر  AJD]])</f>
        <v>0</v>
      </c>
      <c r="AE94" s="41"/>
      <c r="AF94" s="43"/>
      <c r="AG94" s="43"/>
      <c r="AH94" s="6"/>
      <c r="AI94" s="43"/>
      <c r="AJ94" s="43">
        <f>TABL1234[[#This Row],[(A/B TOT) AJD]]-TABL1234[[#This Row],[BER_ IN]]</f>
        <v>0</v>
      </c>
      <c r="AK94" s="43"/>
      <c r="AL94" s="43"/>
      <c r="AM94" s="32"/>
      <c r="AN94" s="32">
        <f>TABL1234[[#This Row],[ (RESV. STORGE) SER]]/10</f>
        <v>0</v>
      </c>
      <c r="AO94" s="68"/>
      <c r="AP94" s="68">
        <f>TABL1234[[#This Row],[(A/S TOT) AJD]]-TABL1234[[#This Row],[SER_ IN]]</f>
        <v>0</v>
      </c>
    </row>
    <row r="95" spans="1:42" ht="18.75" x14ac:dyDescent="0.25">
      <c r="A95" s="2">
        <v>46481</v>
      </c>
      <c r="B95" s="44"/>
      <c r="C95" s="44"/>
      <c r="D95" s="44"/>
      <c r="E95" s="44"/>
      <c r="F95" s="44"/>
      <c r="G95" s="40"/>
      <c r="H95" s="28">
        <f t="shared" si="2"/>
        <v>103</v>
      </c>
      <c r="I95" s="40"/>
      <c r="J95" s="44"/>
      <c r="K95" s="28">
        <f>TABL1234[[#This Row],[خط (T/B  TOT) SAR]]+TABL1234[[#This Row],[خط (S/S  TOT) SAR2]]</f>
        <v>0</v>
      </c>
      <c r="L95" s="45"/>
      <c r="M95" s="46"/>
      <c r="N95" s="46"/>
      <c r="O95" s="40"/>
      <c r="P95" s="3">
        <f>TABL1234[[#This Row],[خط (S/S  TOT) SAR2]]-TABL1234[[#This Row],[(S/S TOT) AJD]]</f>
        <v>0</v>
      </c>
      <c r="Q95" s="40"/>
      <c r="R95" s="3">
        <f>TABL1234[[#This Row],[خط (T/B  TOT) SAR]]-TABL1234[[#This Row],[(T/B TOT) AJD]]</f>
        <v>0</v>
      </c>
      <c r="S95" s="3">
        <f>TABL1234[[#This Row],[الفرق بين بداية ونهاية خط  T/B]]+TABL1234[[#This Row],[الفرق بين بداية ونهاية خط  S/S]]</f>
        <v>0</v>
      </c>
      <c r="T95" s="3">
        <f>TABL1234[[#This Row],[(S/S TOT) AJD]]+TABL1234[[#This Row],[(T/B TOT) AJD]]</f>
        <v>0</v>
      </c>
      <c r="U95" s="44"/>
      <c r="V95" s="44"/>
      <c r="W95" s="3">
        <f>TABL1234[[#This Row],[(A/B TOT) AJD]]+TABL1234[[#This Row],[(A/S TOT) AJD]]</f>
        <v>0</v>
      </c>
      <c r="X95" s="3">
        <f>TABL1234[[#This Row],[( S/S+T/B) AJD]]-TABL1234[[#This Row],[(A/B + A/S) AJD]]</f>
        <v>0</v>
      </c>
      <c r="Y95" s="44"/>
      <c r="Z95" s="45"/>
      <c r="AA95" s="3">
        <f>TABL1234[[#This Row],[(RESV. STORGE) AJD]]/10</f>
        <v>0</v>
      </c>
      <c r="AB95" s="3">
        <f t="shared" si="3"/>
        <v>0</v>
      </c>
      <c r="AC95" s="5"/>
      <c r="AD95" s="40">
        <f>TABL1234[[#This Row],[( S/S+T/B) AJD]]-(TABL1234[[#This Row],[(A/B + A/S) AJD]]+(TABL1234[[#This Row],[(STORGE DIFF.) AJD]]*1000)+TABL1234[[#This Row],[البخر  AJD]])</f>
        <v>0</v>
      </c>
      <c r="AE95" s="44"/>
      <c r="AF95" s="45"/>
      <c r="AG95" s="45"/>
      <c r="AH95" s="6"/>
      <c r="AI95" s="45"/>
      <c r="AJ95" s="45">
        <f>TABL1234[[#This Row],[(A/B TOT) AJD]]-TABL1234[[#This Row],[BER_ IN]]</f>
        <v>0</v>
      </c>
      <c r="AK95" s="45"/>
      <c r="AL95" s="45"/>
      <c r="AM95" s="32"/>
      <c r="AN95" s="32">
        <f>TABL1234[[#This Row],[ (RESV. STORGE) SER]]/10</f>
        <v>0</v>
      </c>
      <c r="AO95" s="68"/>
      <c r="AP95" s="68">
        <f>TABL1234[[#This Row],[(A/S TOT) AJD]]-TABL1234[[#This Row],[SER_ IN]]</f>
        <v>0</v>
      </c>
    </row>
    <row r="96" spans="1:42" ht="18.75" x14ac:dyDescent="0.25">
      <c r="A96" s="2">
        <v>46482</v>
      </c>
      <c r="B96" s="41"/>
      <c r="C96" s="41"/>
      <c r="D96" s="41"/>
      <c r="E96" s="41"/>
      <c r="F96" s="41"/>
      <c r="G96" s="39"/>
      <c r="H96" s="28">
        <f t="shared" si="2"/>
        <v>103</v>
      </c>
      <c r="I96" s="39"/>
      <c r="J96" s="39"/>
      <c r="K96" s="28">
        <f>TABL1234[[#This Row],[خط (T/B  TOT) SAR]]+TABL1234[[#This Row],[خط (S/S  TOT) SAR2]]</f>
        <v>0</v>
      </c>
      <c r="L96" s="41"/>
      <c r="M96" s="42"/>
      <c r="N96" s="42"/>
      <c r="O96" s="39"/>
      <c r="P96" s="3">
        <f>TABL1234[[#This Row],[خط (S/S  TOT) SAR2]]-TABL1234[[#This Row],[(S/S TOT) AJD]]</f>
        <v>0</v>
      </c>
      <c r="Q96" s="39"/>
      <c r="R96" s="3">
        <f>TABL1234[[#This Row],[خط (T/B  TOT) SAR]]-TABL1234[[#This Row],[(T/B TOT) AJD]]</f>
        <v>0</v>
      </c>
      <c r="S96" s="3">
        <f>TABL1234[[#This Row],[الفرق بين بداية ونهاية خط  T/B]]+TABL1234[[#This Row],[الفرق بين بداية ونهاية خط  S/S]]</f>
        <v>0</v>
      </c>
      <c r="T96" s="3">
        <f>TABL1234[[#This Row],[(S/S TOT) AJD]]+TABL1234[[#This Row],[(T/B TOT) AJD]]</f>
        <v>0</v>
      </c>
      <c r="U96" s="41"/>
      <c r="V96" s="41"/>
      <c r="W96" s="3">
        <f>TABL1234[[#This Row],[(A/B TOT) AJD]]+TABL1234[[#This Row],[(A/S TOT) AJD]]</f>
        <v>0</v>
      </c>
      <c r="X96" s="3">
        <f>TABL1234[[#This Row],[( S/S+T/B) AJD]]-TABL1234[[#This Row],[(A/B + A/S) AJD]]</f>
        <v>0</v>
      </c>
      <c r="Y96" s="41"/>
      <c r="Z96" s="43"/>
      <c r="AA96" s="3">
        <f>TABL1234[[#This Row],[(RESV. STORGE) AJD]]/10</f>
        <v>0</v>
      </c>
      <c r="AB96" s="3">
        <f t="shared" si="3"/>
        <v>0</v>
      </c>
      <c r="AC96" s="5"/>
      <c r="AD96" s="39">
        <f>TABL1234[[#This Row],[( S/S+T/B) AJD]]-(TABL1234[[#This Row],[(A/B + A/S) AJD]]+(TABL1234[[#This Row],[(STORGE DIFF.) AJD]]*1000)+TABL1234[[#This Row],[البخر  AJD]])</f>
        <v>0</v>
      </c>
      <c r="AE96" s="41"/>
      <c r="AF96" s="43"/>
      <c r="AG96" s="43"/>
      <c r="AH96" s="6"/>
      <c r="AI96" s="43"/>
      <c r="AJ96" s="43">
        <f>TABL1234[[#This Row],[(A/B TOT) AJD]]-TABL1234[[#This Row],[BER_ IN]]</f>
        <v>0</v>
      </c>
      <c r="AK96" s="43"/>
      <c r="AL96" s="43"/>
      <c r="AM96" s="32"/>
      <c r="AN96" s="32">
        <f>TABL1234[[#This Row],[ (RESV. STORGE) SER]]/10</f>
        <v>0</v>
      </c>
      <c r="AO96" s="68"/>
      <c r="AP96" s="68">
        <f>TABL1234[[#This Row],[(A/S TOT) AJD]]-TABL1234[[#This Row],[SER_ IN]]</f>
        <v>0</v>
      </c>
    </row>
    <row r="97" spans="1:42" ht="18.75" x14ac:dyDescent="0.25">
      <c r="A97" s="2">
        <v>46483</v>
      </c>
      <c r="B97" s="44"/>
      <c r="C97" s="44"/>
      <c r="D97" s="44"/>
      <c r="E97" s="44"/>
      <c r="F97" s="44"/>
      <c r="G97" s="40"/>
      <c r="H97" s="28">
        <f t="shared" si="2"/>
        <v>103</v>
      </c>
      <c r="I97" s="40"/>
      <c r="J97" s="44"/>
      <c r="K97" s="28">
        <f>TABL1234[[#This Row],[خط (T/B  TOT) SAR]]+TABL1234[[#This Row],[خط (S/S  TOT) SAR2]]</f>
        <v>0</v>
      </c>
      <c r="L97" s="45"/>
      <c r="M97" s="46"/>
      <c r="N97" s="46"/>
      <c r="O97" s="40"/>
      <c r="P97" s="3">
        <f>TABL1234[[#This Row],[خط (S/S  TOT) SAR2]]-TABL1234[[#This Row],[(S/S TOT) AJD]]</f>
        <v>0</v>
      </c>
      <c r="Q97" s="40"/>
      <c r="R97" s="3">
        <f>TABL1234[[#This Row],[خط (T/B  TOT) SAR]]-TABL1234[[#This Row],[(T/B TOT) AJD]]</f>
        <v>0</v>
      </c>
      <c r="S97" s="3">
        <f>TABL1234[[#This Row],[الفرق بين بداية ونهاية خط  T/B]]+TABL1234[[#This Row],[الفرق بين بداية ونهاية خط  S/S]]</f>
        <v>0</v>
      </c>
      <c r="T97" s="3">
        <f>TABL1234[[#This Row],[(S/S TOT) AJD]]+TABL1234[[#This Row],[(T/B TOT) AJD]]</f>
        <v>0</v>
      </c>
      <c r="U97" s="44"/>
      <c r="V97" s="44"/>
      <c r="W97" s="3">
        <f>TABL1234[[#This Row],[(A/B TOT) AJD]]+TABL1234[[#This Row],[(A/S TOT) AJD]]</f>
        <v>0</v>
      </c>
      <c r="X97" s="3">
        <f>TABL1234[[#This Row],[( S/S+T/B) AJD]]-TABL1234[[#This Row],[(A/B + A/S) AJD]]</f>
        <v>0</v>
      </c>
      <c r="Y97" s="44"/>
      <c r="Z97" s="45"/>
      <c r="AA97" s="3">
        <f>TABL1234[[#This Row],[(RESV. STORGE) AJD]]/10</f>
        <v>0</v>
      </c>
      <c r="AB97" s="3">
        <f t="shared" si="3"/>
        <v>0</v>
      </c>
      <c r="AC97" s="5"/>
      <c r="AD97" s="40">
        <f>TABL1234[[#This Row],[( S/S+T/B) AJD]]-(TABL1234[[#This Row],[(A/B + A/S) AJD]]+(TABL1234[[#This Row],[(STORGE DIFF.) AJD]]*1000)+TABL1234[[#This Row],[البخر  AJD]])</f>
        <v>0</v>
      </c>
      <c r="AE97" s="44"/>
      <c r="AF97" s="45"/>
      <c r="AG97" s="45"/>
      <c r="AH97" s="6"/>
      <c r="AI97" s="45"/>
      <c r="AJ97" s="45">
        <f>TABL1234[[#This Row],[(A/B TOT) AJD]]-TABL1234[[#This Row],[BER_ IN]]</f>
        <v>0</v>
      </c>
      <c r="AK97" s="45"/>
      <c r="AL97" s="45"/>
      <c r="AM97" s="32"/>
      <c r="AN97" s="32">
        <f>TABL1234[[#This Row],[ (RESV. STORGE) SER]]/10</f>
        <v>0</v>
      </c>
      <c r="AO97" s="68"/>
      <c r="AP97" s="68">
        <f>TABL1234[[#This Row],[(A/S TOT) AJD]]-TABL1234[[#This Row],[SER_ IN]]</f>
        <v>0</v>
      </c>
    </row>
    <row r="98" spans="1:42" ht="18.75" x14ac:dyDescent="0.25">
      <c r="A98" s="2">
        <v>46484</v>
      </c>
      <c r="B98" s="41"/>
      <c r="C98" s="41"/>
      <c r="D98" s="41"/>
      <c r="E98" s="41"/>
      <c r="F98" s="41"/>
      <c r="G98" s="39"/>
      <c r="H98" s="28">
        <f t="shared" si="2"/>
        <v>103</v>
      </c>
      <c r="I98" s="39"/>
      <c r="J98" s="39"/>
      <c r="K98" s="28">
        <f>TABL1234[[#This Row],[خط (T/B  TOT) SAR]]+TABL1234[[#This Row],[خط (S/S  TOT) SAR2]]</f>
        <v>0</v>
      </c>
      <c r="L98" s="41"/>
      <c r="M98" s="42"/>
      <c r="N98" s="42"/>
      <c r="O98" s="39"/>
      <c r="P98" s="3">
        <f>TABL1234[[#This Row],[خط (S/S  TOT) SAR2]]-TABL1234[[#This Row],[(S/S TOT) AJD]]</f>
        <v>0</v>
      </c>
      <c r="Q98" s="39"/>
      <c r="R98" s="3">
        <f>TABL1234[[#This Row],[خط (T/B  TOT) SAR]]-TABL1234[[#This Row],[(T/B TOT) AJD]]</f>
        <v>0</v>
      </c>
      <c r="S98" s="3">
        <f>TABL1234[[#This Row],[الفرق بين بداية ونهاية خط  T/B]]+TABL1234[[#This Row],[الفرق بين بداية ونهاية خط  S/S]]</f>
        <v>0</v>
      </c>
      <c r="T98" s="3">
        <f>TABL1234[[#This Row],[(S/S TOT) AJD]]+TABL1234[[#This Row],[(T/B TOT) AJD]]</f>
        <v>0</v>
      </c>
      <c r="U98" s="41"/>
      <c r="V98" s="41"/>
      <c r="W98" s="3">
        <f>TABL1234[[#This Row],[(A/B TOT) AJD]]+TABL1234[[#This Row],[(A/S TOT) AJD]]</f>
        <v>0</v>
      </c>
      <c r="X98" s="3">
        <f>TABL1234[[#This Row],[( S/S+T/B) AJD]]-TABL1234[[#This Row],[(A/B + A/S) AJD]]</f>
        <v>0</v>
      </c>
      <c r="Y98" s="41"/>
      <c r="Z98" s="43"/>
      <c r="AA98" s="3">
        <f>TABL1234[[#This Row],[(RESV. STORGE) AJD]]/10</f>
        <v>0</v>
      </c>
      <c r="AB98" s="3">
        <f t="shared" si="3"/>
        <v>0</v>
      </c>
      <c r="AC98" s="5"/>
      <c r="AD98" s="39">
        <f>TABL1234[[#This Row],[( S/S+T/B) AJD]]-(TABL1234[[#This Row],[(A/B + A/S) AJD]]+(TABL1234[[#This Row],[(STORGE DIFF.) AJD]]*1000)+TABL1234[[#This Row],[البخر  AJD]])</f>
        <v>0</v>
      </c>
      <c r="AE98" s="41"/>
      <c r="AF98" s="43"/>
      <c r="AG98" s="43"/>
      <c r="AH98" s="6"/>
      <c r="AI98" s="43"/>
      <c r="AJ98" s="43">
        <f>TABL1234[[#This Row],[(A/B TOT) AJD]]-TABL1234[[#This Row],[BER_ IN]]</f>
        <v>0</v>
      </c>
      <c r="AK98" s="43"/>
      <c r="AL98" s="43"/>
      <c r="AM98" s="32"/>
      <c r="AN98" s="32">
        <f>TABL1234[[#This Row],[ (RESV. STORGE) SER]]/10</f>
        <v>0</v>
      </c>
      <c r="AO98" s="68"/>
      <c r="AP98" s="68">
        <f>TABL1234[[#This Row],[(A/S TOT) AJD]]-TABL1234[[#This Row],[SER_ IN]]</f>
        <v>0</v>
      </c>
    </row>
    <row r="99" spans="1:42" ht="18.75" x14ac:dyDescent="0.25">
      <c r="A99" s="2">
        <v>46485</v>
      </c>
      <c r="B99" s="44"/>
      <c r="C99" s="44"/>
      <c r="D99" s="44"/>
      <c r="E99" s="44"/>
      <c r="F99" s="44"/>
      <c r="G99" s="40"/>
      <c r="H99" s="28">
        <f t="shared" si="2"/>
        <v>103</v>
      </c>
      <c r="I99" s="40"/>
      <c r="J99" s="44"/>
      <c r="K99" s="28">
        <f>TABL1234[[#This Row],[خط (T/B  TOT) SAR]]+TABL1234[[#This Row],[خط (S/S  TOT) SAR2]]</f>
        <v>0</v>
      </c>
      <c r="L99" s="45"/>
      <c r="M99" s="46"/>
      <c r="N99" s="46"/>
      <c r="O99" s="40"/>
      <c r="P99" s="3">
        <f>TABL1234[[#This Row],[خط (S/S  TOT) SAR2]]-TABL1234[[#This Row],[(S/S TOT) AJD]]</f>
        <v>0</v>
      </c>
      <c r="Q99" s="40"/>
      <c r="R99" s="3">
        <f>TABL1234[[#This Row],[خط (T/B  TOT) SAR]]-TABL1234[[#This Row],[(T/B TOT) AJD]]</f>
        <v>0</v>
      </c>
      <c r="S99" s="3">
        <f>TABL1234[[#This Row],[الفرق بين بداية ونهاية خط  T/B]]+TABL1234[[#This Row],[الفرق بين بداية ونهاية خط  S/S]]</f>
        <v>0</v>
      </c>
      <c r="T99" s="3">
        <f>TABL1234[[#This Row],[(S/S TOT) AJD]]+TABL1234[[#This Row],[(T/B TOT) AJD]]</f>
        <v>0</v>
      </c>
      <c r="U99" s="44"/>
      <c r="V99" s="44"/>
      <c r="W99" s="3">
        <f>TABL1234[[#This Row],[(A/B TOT) AJD]]+TABL1234[[#This Row],[(A/S TOT) AJD]]</f>
        <v>0</v>
      </c>
      <c r="X99" s="3">
        <f>TABL1234[[#This Row],[( S/S+T/B) AJD]]-TABL1234[[#This Row],[(A/B + A/S) AJD]]</f>
        <v>0</v>
      </c>
      <c r="Y99" s="44"/>
      <c r="Z99" s="45"/>
      <c r="AA99" s="3">
        <f>TABL1234[[#This Row],[(RESV. STORGE) AJD]]/10</f>
        <v>0</v>
      </c>
      <c r="AB99" s="3">
        <f t="shared" si="3"/>
        <v>0</v>
      </c>
      <c r="AC99" s="5"/>
      <c r="AD99" s="40">
        <f>TABL1234[[#This Row],[( S/S+T/B) AJD]]-(TABL1234[[#This Row],[(A/B + A/S) AJD]]+(TABL1234[[#This Row],[(STORGE DIFF.) AJD]]*1000)+TABL1234[[#This Row],[البخر  AJD]])</f>
        <v>0</v>
      </c>
      <c r="AE99" s="44"/>
      <c r="AF99" s="45"/>
      <c r="AG99" s="45"/>
      <c r="AH99" s="6"/>
      <c r="AI99" s="45"/>
      <c r="AJ99" s="45">
        <f>TABL1234[[#This Row],[(A/B TOT) AJD]]-TABL1234[[#This Row],[BER_ IN]]</f>
        <v>0</v>
      </c>
      <c r="AK99" s="45"/>
      <c r="AL99" s="45"/>
      <c r="AM99" s="32"/>
      <c r="AN99" s="32">
        <f>TABL1234[[#This Row],[ (RESV. STORGE) SER]]/10</f>
        <v>0</v>
      </c>
      <c r="AO99" s="68"/>
      <c r="AP99" s="68">
        <f>TABL1234[[#This Row],[(A/S TOT) AJD]]-TABL1234[[#This Row],[SER_ IN]]</f>
        <v>0</v>
      </c>
    </row>
    <row r="100" spans="1:42" ht="18.75" x14ac:dyDescent="0.25">
      <c r="A100" s="2">
        <v>46486</v>
      </c>
      <c r="B100" s="41"/>
      <c r="C100" s="41"/>
      <c r="D100" s="41"/>
      <c r="E100" s="41"/>
      <c r="F100" s="41"/>
      <c r="G100" s="39"/>
      <c r="H100" s="28">
        <f t="shared" si="2"/>
        <v>103</v>
      </c>
      <c r="I100" s="39"/>
      <c r="J100" s="39"/>
      <c r="K100" s="28">
        <f>TABL1234[[#This Row],[خط (T/B  TOT) SAR]]+TABL1234[[#This Row],[خط (S/S  TOT) SAR2]]</f>
        <v>0</v>
      </c>
      <c r="L100" s="41"/>
      <c r="M100" s="42"/>
      <c r="N100" s="42"/>
      <c r="O100" s="39"/>
      <c r="P100" s="3">
        <f>TABL1234[[#This Row],[خط (S/S  TOT) SAR2]]-TABL1234[[#This Row],[(S/S TOT) AJD]]</f>
        <v>0</v>
      </c>
      <c r="Q100" s="39"/>
      <c r="R100" s="3">
        <f>TABL1234[[#This Row],[خط (T/B  TOT) SAR]]-TABL1234[[#This Row],[(T/B TOT) AJD]]</f>
        <v>0</v>
      </c>
      <c r="S100" s="3">
        <f>TABL1234[[#This Row],[الفرق بين بداية ونهاية خط  T/B]]+TABL1234[[#This Row],[الفرق بين بداية ونهاية خط  S/S]]</f>
        <v>0</v>
      </c>
      <c r="T100" s="3">
        <f>TABL1234[[#This Row],[(S/S TOT) AJD]]+TABL1234[[#This Row],[(T/B TOT) AJD]]</f>
        <v>0</v>
      </c>
      <c r="U100" s="41"/>
      <c r="V100" s="41"/>
      <c r="W100" s="3">
        <f>TABL1234[[#This Row],[(A/B TOT) AJD]]+TABL1234[[#This Row],[(A/S TOT) AJD]]</f>
        <v>0</v>
      </c>
      <c r="X100" s="3">
        <f>TABL1234[[#This Row],[( S/S+T/B) AJD]]-TABL1234[[#This Row],[(A/B + A/S) AJD]]</f>
        <v>0</v>
      </c>
      <c r="Y100" s="41"/>
      <c r="Z100" s="43"/>
      <c r="AA100" s="3">
        <f>TABL1234[[#This Row],[(RESV. STORGE) AJD]]/10</f>
        <v>0</v>
      </c>
      <c r="AB100" s="3">
        <f t="shared" si="3"/>
        <v>0</v>
      </c>
      <c r="AC100" s="5"/>
      <c r="AD100" s="39">
        <f>TABL1234[[#This Row],[( S/S+T/B) AJD]]-(TABL1234[[#This Row],[(A/B + A/S) AJD]]+(TABL1234[[#This Row],[(STORGE DIFF.) AJD]]*1000)+TABL1234[[#This Row],[البخر  AJD]])</f>
        <v>0</v>
      </c>
      <c r="AE100" s="41"/>
      <c r="AF100" s="43"/>
      <c r="AG100" s="43"/>
      <c r="AH100" s="6"/>
      <c r="AI100" s="43"/>
      <c r="AJ100" s="43">
        <f>TABL1234[[#This Row],[(A/B TOT) AJD]]-TABL1234[[#This Row],[BER_ IN]]</f>
        <v>0</v>
      </c>
      <c r="AK100" s="43"/>
      <c r="AL100" s="43"/>
      <c r="AM100" s="32"/>
      <c r="AN100" s="32">
        <f>TABL1234[[#This Row],[ (RESV. STORGE) SER]]/10</f>
        <v>0</v>
      </c>
      <c r="AO100" s="68"/>
      <c r="AP100" s="68">
        <f>TABL1234[[#This Row],[(A/S TOT) AJD]]-TABL1234[[#This Row],[SER_ IN]]</f>
        <v>0</v>
      </c>
    </row>
    <row r="101" spans="1:42" ht="18.75" x14ac:dyDescent="0.25">
      <c r="A101" s="2">
        <v>46487</v>
      </c>
      <c r="B101" s="44"/>
      <c r="C101" s="44"/>
      <c r="D101" s="44"/>
      <c r="E101" s="44"/>
      <c r="F101" s="44"/>
      <c r="G101" s="40"/>
      <c r="H101" s="28">
        <f t="shared" si="2"/>
        <v>103</v>
      </c>
      <c r="I101" s="40"/>
      <c r="J101" s="44"/>
      <c r="K101" s="28">
        <f>TABL1234[[#This Row],[خط (T/B  TOT) SAR]]+TABL1234[[#This Row],[خط (S/S  TOT) SAR2]]</f>
        <v>0</v>
      </c>
      <c r="L101" s="45"/>
      <c r="M101" s="46"/>
      <c r="N101" s="46"/>
      <c r="O101" s="40"/>
      <c r="P101" s="3">
        <f>TABL1234[[#This Row],[خط (S/S  TOT) SAR2]]-TABL1234[[#This Row],[(S/S TOT) AJD]]</f>
        <v>0</v>
      </c>
      <c r="Q101" s="40"/>
      <c r="R101" s="3">
        <f>TABL1234[[#This Row],[خط (T/B  TOT) SAR]]-TABL1234[[#This Row],[(T/B TOT) AJD]]</f>
        <v>0</v>
      </c>
      <c r="S101" s="3">
        <f>TABL1234[[#This Row],[الفرق بين بداية ونهاية خط  T/B]]+TABL1234[[#This Row],[الفرق بين بداية ونهاية خط  S/S]]</f>
        <v>0</v>
      </c>
      <c r="T101" s="3">
        <f>TABL1234[[#This Row],[(S/S TOT) AJD]]+TABL1234[[#This Row],[(T/B TOT) AJD]]</f>
        <v>0</v>
      </c>
      <c r="U101" s="44"/>
      <c r="V101" s="44"/>
      <c r="W101" s="3">
        <f>TABL1234[[#This Row],[(A/B TOT) AJD]]+TABL1234[[#This Row],[(A/S TOT) AJD]]</f>
        <v>0</v>
      </c>
      <c r="X101" s="3">
        <f>TABL1234[[#This Row],[( S/S+T/B) AJD]]-TABL1234[[#This Row],[(A/B + A/S) AJD]]</f>
        <v>0</v>
      </c>
      <c r="Y101" s="44"/>
      <c r="Z101" s="45"/>
      <c r="AA101" s="3">
        <f>TABL1234[[#This Row],[(RESV. STORGE) AJD]]/10</f>
        <v>0</v>
      </c>
      <c r="AB101" s="3">
        <f t="shared" si="3"/>
        <v>0</v>
      </c>
      <c r="AC101" s="5"/>
      <c r="AD101" s="40">
        <f>TABL1234[[#This Row],[( S/S+T/B) AJD]]-(TABL1234[[#This Row],[(A/B + A/S) AJD]]+(TABL1234[[#This Row],[(STORGE DIFF.) AJD]]*1000)+TABL1234[[#This Row],[البخر  AJD]])</f>
        <v>0</v>
      </c>
      <c r="AE101" s="44"/>
      <c r="AF101" s="45"/>
      <c r="AG101" s="45"/>
      <c r="AH101" s="6"/>
      <c r="AI101" s="45"/>
      <c r="AJ101" s="45">
        <f>TABL1234[[#This Row],[(A/B TOT) AJD]]-TABL1234[[#This Row],[BER_ IN]]</f>
        <v>0</v>
      </c>
      <c r="AK101" s="45"/>
      <c r="AL101" s="45"/>
      <c r="AM101" s="32"/>
      <c r="AN101" s="32">
        <f>TABL1234[[#This Row],[ (RESV. STORGE) SER]]/10</f>
        <v>0</v>
      </c>
      <c r="AO101" s="68"/>
      <c r="AP101" s="68">
        <f>TABL1234[[#This Row],[(A/S TOT) AJD]]-TABL1234[[#This Row],[SER_ IN]]</f>
        <v>0</v>
      </c>
    </row>
    <row r="102" spans="1:42" ht="18.75" x14ac:dyDescent="0.25">
      <c r="A102" s="2">
        <v>46488</v>
      </c>
      <c r="B102" s="41"/>
      <c r="C102" s="41"/>
      <c r="D102" s="41"/>
      <c r="E102" s="41"/>
      <c r="F102" s="41"/>
      <c r="G102" s="39"/>
      <c r="H102" s="28">
        <f t="shared" si="2"/>
        <v>103</v>
      </c>
      <c r="I102" s="39"/>
      <c r="J102" s="39"/>
      <c r="K102" s="28">
        <f>TABL1234[[#This Row],[خط (T/B  TOT) SAR]]+TABL1234[[#This Row],[خط (S/S  TOT) SAR2]]</f>
        <v>0</v>
      </c>
      <c r="L102" s="41"/>
      <c r="M102" s="42"/>
      <c r="N102" s="42"/>
      <c r="O102" s="39"/>
      <c r="P102" s="3">
        <f>TABL1234[[#This Row],[خط (S/S  TOT) SAR2]]-TABL1234[[#This Row],[(S/S TOT) AJD]]</f>
        <v>0</v>
      </c>
      <c r="Q102" s="39"/>
      <c r="R102" s="3">
        <f>TABL1234[[#This Row],[خط (T/B  TOT) SAR]]-TABL1234[[#This Row],[(T/B TOT) AJD]]</f>
        <v>0</v>
      </c>
      <c r="S102" s="3">
        <f>TABL1234[[#This Row],[الفرق بين بداية ونهاية خط  T/B]]+TABL1234[[#This Row],[الفرق بين بداية ونهاية خط  S/S]]</f>
        <v>0</v>
      </c>
      <c r="T102" s="3">
        <f>TABL1234[[#This Row],[(S/S TOT) AJD]]+TABL1234[[#This Row],[(T/B TOT) AJD]]</f>
        <v>0</v>
      </c>
      <c r="U102" s="41"/>
      <c r="V102" s="41"/>
      <c r="W102" s="3">
        <f>TABL1234[[#This Row],[(A/B TOT) AJD]]+TABL1234[[#This Row],[(A/S TOT) AJD]]</f>
        <v>0</v>
      </c>
      <c r="X102" s="3">
        <f>TABL1234[[#This Row],[( S/S+T/B) AJD]]-TABL1234[[#This Row],[(A/B + A/S) AJD]]</f>
        <v>0</v>
      </c>
      <c r="Y102" s="41"/>
      <c r="Z102" s="43"/>
      <c r="AA102" s="3">
        <f>TABL1234[[#This Row],[(RESV. STORGE) AJD]]/10</f>
        <v>0</v>
      </c>
      <c r="AB102" s="3">
        <f t="shared" si="3"/>
        <v>0</v>
      </c>
      <c r="AC102" s="5"/>
      <c r="AD102" s="39">
        <f>TABL1234[[#This Row],[( S/S+T/B) AJD]]-(TABL1234[[#This Row],[(A/B + A/S) AJD]]+(TABL1234[[#This Row],[(STORGE DIFF.) AJD]]*1000)+TABL1234[[#This Row],[البخر  AJD]])</f>
        <v>0</v>
      </c>
      <c r="AE102" s="41"/>
      <c r="AF102" s="43"/>
      <c r="AG102" s="43"/>
      <c r="AH102" s="6"/>
      <c r="AI102" s="43"/>
      <c r="AJ102" s="43">
        <f>TABL1234[[#This Row],[(A/B TOT) AJD]]-TABL1234[[#This Row],[BER_ IN]]</f>
        <v>0</v>
      </c>
      <c r="AK102" s="43"/>
      <c r="AL102" s="43"/>
      <c r="AM102" s="32"/>
      <c r="AN102" s="32">
        <f>TABL1234[[#This Row],[ (RESV. STORGE) SER]]/10</f>
        <v>0</v>
      </c>
      <c r="AO102" s="68"/>
      <c r="AP102" s="68">
        <f>TABL1234[[#This Row],[(A/S TOT) AJD]]-TABL1234[[#This Row],[SER_ IN]]</f>
        <v>0</v>
      </c>
    </row>
    <row r="103" spans="1:42" ht="18.75" x14ac:dyDescent="0.25">
      <c r="A103" s="2">
        <v>46489</v>
      </c>
      <c r="B103" s="44"/>
      <c r="C103" s="44"/>
      <c r="D103" s="44"/>
      <c r="E103" s="44"/>
      <c r="F103" s="44"/>
      <c r="G103" s="40"/>
      <c r="H103" s="28">
        <f t="shared" si="2"/>
        <v>103</v>
      </c>
      <c r="I103" s="40"/>
      <c r="J103" s="44"/>
      <c r="K103" s="28">
        <f>TABL1234[[#This Row],[خط (T/B  TOT) SAR]]+TABL1234[[#This Row],[خط (S/S  TOT) SAR2]]</f>
        <v>0</v>
      </c>
      <c r="L103" s="45"/>
      <c r="M103" s="46"/>
      <c r="N103" s="46"/>
      <c r="O103" s="40"/>
      <c r="P103" s="3">
        <f>TABL1234[[#This Row],[خط (S/S  TOT) SAR2]]-TABL1234[[#This Row],[(S/S TOT) AJD]]</f>
        <v>0</v>
      </c>
      <c r="Q103" s="40"/>
      <c r="R103" s="3">
        <f>TABL1234[[#This Row],[خط (T/B  TOT) SAR]]-TABL1234[[#This Row],[(T/B TOT) AJD]]</f>
        <v>0</v>
      </c>
      <c r="S103" s="3">
        <f>TABL1234[[#This Row],[الفرق بين بداية ونهاية خط  T/B]]+TABL1234[[#This Row],[الفرق بين بداية ونهاية خط  S/S]]</f>
        <v>0</v>
      </c>
      <c r="T103" s="3">
        <f>TABL1234[[#This Row],[(S/S TOT) AJD]]+TABL1234[[#This Row],[(T/B TOT) AJD]]</f>
        <v>0</v>
      </c>
      <c r="U103" s="44"/>
      <c r="V103" s="44"/>
      <c r="W103" s="3">
        <f>TABL1234[[#This Row],[(A/B TOT) AJD]]+TABL1234[[#This Row],[(A/S TOT) AJD]]</f>
        <v>0</v>
      </c>
      <c r="X103" s="3">
        <f>TABL1234[[#This Row],[( S/S+T/B) AJD]]-TABL1234[[#This Row],[(A/B + A/S) AJD]]</f>
        <v>0</v>
      </c>
      <c r="Y103" s="44"/>
      <c r="Z103" s="45"/>
      <c r="AA103" s="3">
        <f>TABL1234[[#This Row],[(RESV. STORGE) AJD]]/10</f>
        <v>0</v>
      </c>
      <c r="AB103" s="3">
        <f t="shared" si="3"/>
        <v>0</v>
      </c>
      <c r="AC103" s="5"/>
      <c r="AD103" s="40">
        <f>TABL1234[[#This Row],[( S/S+T/B) AJD]]-(TABL1234[[#This Row],[(A/B + A/S) AJD]]+(TABL1234[[#This Row],[(STORGE DIFF.) AJD]]*1000)+TABL1234[[#This Row],[البخر  AJD]])</f>
        <v>0</v>
      </c>
      <c r="AE103" s="44"/>
      <c r="AF103" s="45"/>
      <c r="AG103" s="45"/>
      <c r="AH103" s="6"/>
      <c r="AI103" s="45"/>
      <c r="AJ103" s="45">
        <f>TABL1234[[#This Row],[(A/B TOT) AJD]]-TABL1234[[#This Row],[BER_ IN]]</f>
        <v>0</v>
      </c>
      <c r="AK103" s="45"/>
      <c r="AL103" s="45"/>
      <c r="AM103" s="32"/>
      <c r="AN103" s="32">
        <f>TABL1234[[#This Row],[ (RESV. STORGE) SER]]/10</f>
        <v>0</v>
      </c>
      <c r="AO103" s="68"/>
      <c r="AP103" s="68">
        <f>TABL1234[[#This Row],[(A/S TOT) AJD]]-TABL1234[[#This Row],[SER_ IN]]</f>
        <v>0</v>
      </c>
    </row>
    <row r="104" spans="1:42" ht="18.75" x14ac:dyDescent="0.25">
      <c r="A104" s="2">
        <v>46490</v>
      </c>
      <c r="B104" s="41"/>
      <c r="C104" s="41"/>
      <c r="D104" s="41"/>
      <c r="E104" s="41"/>
      <c r="F104" s="41"/>
      <c r="G104" s="39"/>
      <c r="H104" s="28">
        <f t="shared" si="2"/>
        <v>103</v>
      </c>
      <c r="I104" s="39"/>
      <c r="J104" s="39"/>
      <c r="K104" s="28">
        <f>TABL1234[[#This Row],[خط (T/B  TOT) SAR]]+TABL1234[[#This Row],[خط (S/S  TOT) SAR2]]</f>
        <v>0</v>
      </c>
      <c r="L104" s="41"/>
      <c r="M104" s="42"/>
      <c r="N104" s="42"/>
      <c r="O104" s="39"/>
      <c r="P104" s="3">
        <f>TABL1234[[#This Row],[خط (S/S  TOT) SAR2]]-TABL1234[[#This Row],[(S/S TOT) AJD]]</f>
        <v>0</v>
      </c>
      <c r="Q104" s="39"/>
      <c r="R104" s="3">
        <f>TABL1234[[#This Row],[خط (T/B  TOT) SAR]]-TABL1234[[#This Row],[(T/B TOT) AJD]]</f>
        <v>0</v>
      </c>
      <c r="S104" s="3">
        <f>TABL1234[[#This Row],[الفرق بين بداية ونهاية خط  T/B]]+TABL1234[[#This Row],[الفرق بين بداية ونهاية خط  S/S]]</f>
        <v>0</v>
      </c>
      <c r="T104" s="3">
        <f>TABL1234[[#This Row],[(S/S TOT) AJD]]+TABL1234[[#This Row],[(T/B TOT) AJD]]</f>
        <v>0</v>
      </c>
      <c r="U104" s="41"/>
      <c r="V104" s="41"/>
      <c r="W104" s="3">
        <f>TABL1234[[#This Row],[(A/B TOT) AJD]]+TABL1234[[#This Row],[(A/S TOT) AJD]]</f>
        <v>0</v>
      </c>
      <c r="X104" s="3">
        <f>TABL1234[[#This Row],[( S/S+T/B) AJD]]-TABL1234[[#This Row],[(A/B + A/S) AJD]]</f>
        <v>0</v>
      </c>
      <c r="Y104" s="41"/>
      <c r="Z104" s="43"/>
      <c r="AA104" s="3">
        <f>TABL1234[[#This Row],[(RESV. STORGE) AJD]]/10</f>
        <v>0</v>
      </c>
      <c r="AB104" s="3">
        <f t="shared" si="3"/>
        <v>0</v>
      </c>
      <c r="AC104" s="5"/>
      <c r="AD104" s="39">
        <f>TABL1234[[#This Row],[( S/S+T/B) AJD]]-(TABL1234[[#This Row],[(A/B + A/S) AJD]]+(TABL1234[[#This Row],[(STORGE DIFF.) AJD]]*1000)+TABL1234[[#This Row],[البخر  AJD]])</f>
        <v>0</v>
      </c>
      <c r="AE104" s="41"/>
      <c r="AF104" s="43"/>
      <c r="AG104" s="43"/>
      <c r="AH104" s="6"/>
      <c r="AI104" s="43"/>
      <c r="AJ104" s="43">
        <f>TABL1234[[#This Row],[(A/B TOT) AJD]]-TABL1234[[#This Row],[BER_ IN]]</f>
        <v>0</v>
      </c>
      <c r="AK104" s="43"/>
      <c r="AL104" s="43"/>
      <c r="AM104" s="32"/>
      <c r="AN104" s="32">
        <f>TABL1234[[#This Row],[ (RESV. STORGE) SER]]/10</f>
        <v>0</v>
      </c>
      <c r="AO104" s="68"/>
      <c r="AP104" s="68">
        <f>TABL1234[[#This Row],[(A/S TOT) AJD]]-TABL1234[[#This Row],[SER_ IN]]</f>
        <v>0</v>
      </c>
    </row>
    <row r="105" spans="1:42" ht="18.75" x14ac:dyDescent="0.25">
      <c r="A105" s="2">
        <v>46491</v>
      </c>
      <c r="B105" s="44"/>
      <c r="C105" s="44"/>
      <c r="D105" s="44"/>
      <c r="E105" s="44"/>
      <c r="F105" s="44"/>
      <c r="G105" s="40"/>
      <c r="H105" s="28">
        <f t="shared" si="2"/>
        <v>103</v>
      </c>
      <c r="I105" s="40"/>
      <c r="J105" s="44"/>
      <c r="K105" s="28">
        <f>TABL1234[[#This Row],[خط (T/B  TOT) SAR]]+TABL1234[[#This Row],[خط (S/S  TOT) SAR2]]</f>
        <v>0</v>
      </c>
      <c r="L105" s="45"/>
      <c r="M105" s="46"/>
      <c r="N105" s="46"/>
      <c r="O105" s="40"/>
      <c r="P105" s="3">
        <f>TABL1234[[#This Row],[خط (S/S  TOT) SAR2]]-TABL1234[[#This Row],[(S/S TOT) AJD]]</f>
        <v>0</v>
      </c>
      <c r="Q105" s="40"/>
      <c r="R105" s="3">
        <f>TABL1234[[#This Row],[خط (T/B  TOT) SAR]]-TABL1234[[#This Row],[(T/B TOT) AJD]]</f>
        <v>0</v>
      </c>
      <c r="S105" s="3">
        <f>TABL1234[[#This Row],[الفرق بين بداية ونهاية خط  T/B]]+TABL1234[[#This Row],[الفرق بين بداية ونهاية خط  S/S]]</f>
        <v>0</v>
      </c>
      <c r="T105" s="3">
        <f>TABL1234[[#This Row],[(S/S TOT) AJD]]+TABL1234[[#This Row],[(T/B TOT) AJD]]</f>
        <v>0</v>
      </c>
      <c r="U105" s="44"/>
      <c r="V105" s="44"/>
      <c r="W105" s="3">
        <f>TABL1234[[#This Row],[(A/B TOT) AJD]]+TABL1234[[#This Row],[(A/S TOT) AJD]]</f>
        <v>0</v>
      </c>
      <c r="X105" s="3">
        <f>TABL1234[[#This Row],[( S/S+T/B) AJD]]-TABL1234[[#This Row],[(A/B + A/S) AJD]]</f>
        <v>0</v>
      </c>
      <c r="Y105" s="44"/>
      <c r="Z105" s="45"/>
      <c r="AA105" s="3">
        <f>TABL1234[[#This Row],[(RESV. STORGE) AJD]]/10</f>
        <v>0</v>
      </c>
      <c r="AB105" s="3">
        <f t="shared" si="3"/>
        <v>0</v>
      </c>
      <c r="AC105" s="5"/>
      <c r="AD105" s="40">
        <f>TABL1234[[#This Row],[( S/S+T/B) AJD]]-(TABL1234[[#This Row],[(A/B + A/S) AJD]]+(TABL1234[[#This Row],[(STORGE DIFF.) AJD]]*1000)+TABL1234[[#This Row],[البخر  AJD]])</f>
        <v>0</v>
      </c>
      <c r="AE105" s="44"/>
      <c r="AF105" s="45"/>
      <c r="AG105" s="45"/>
      <c r="AH105" s="6"/>
      <c r="AI105" s="45"/>
      <c r="AJ105" s="45">
        <f>TABL1234[[#This Row],[(A/B TOT) AJD]]-TABL1234[[#This Row],[BER_ IN]]</f>
        <v>0</v>
      </c>
      <c r="AK105" s="45"/>
      <c r="AL105" s="45"/>
      <c r="AM105" s="32"/>
      <c r="AN105" s="32">
        <f>TABL1234[[#This Row],[ (RESV. STORGE) SER]]/10</f>
        <v>0</v>
      </c>
      <c r="AO105" s="68"/>
      <c r="AP105" s="68">
        <f>TABL1234[[#This Row],[(A/S TOT) AJD]]-TABL1234[[#This Row],[SER_ IN]]</f>
        <v>0</v>
      </c>
    </row>
    <row r="106" spans="1:42" ht="18.75" x14ac:dyDescent="0.25">
      <c r="A106" s="2">
        <v>46492</v>
      </c>
      <c r="B106" s="41"/>
      <c r="C106" s="41"/>
      <c r="D106" s="41"/>
      <c r="E106" s="41"/>
      <c r="F106" s="41"/>
      <c r="G106" s="39"/>
      <c r="H106" s="28">
        <f t="shared" si="2"/>
        <v>103</v>
      </c>
      <c r="I106" s="39"/>
      <c r="J106" s="39"/>
      <c r="K106" s="28">
        <f>TABL1234[[#This Row],[خط (T/B  TOT) SAR]]+TABL1234[[#This Row],[خط (S/S  TOT) SAR2]]</f>
        <v>0</v>
      </c>
      <c r="L106" s="41"/>
      <c r="M106" s="42"/>
      <c r="N106" s="42"/>
      <c r="O106" s="39"/>
      <c r="P106" s="3">
        <f>TABL1234[[#This Row],[خط (S/S  TOT) SAR2]]-TABL1234[[#This Row],[(S/S TOT) AJD]]</f>
        <v>0</v>
      </c>
      <c r="Q106" s="39"/>
      <c r="R106" s="3">
        <f>TABL1234[[#This Row],[خط (T/B  TOT) SAR]]-TABL1234[[#This Row],[(T/B TOT) AJD]]</f>
        <v>0</v>
      </c>
      <c r="S106" s="3">
        <f>TABL1234[[#This Row],[الفرق بين بداية ونهاية خط  T/B]]+TABL1234[[#This Row],[الفرق بين بداية ونهاية خط  S/S]]</f>
        <v>0</v>
      </c>
      <c r="T106" s="3">
        <f>TABL1234[[#This Row],[(S/S TOT) AJD]]+TABL1234[[#This Row],[(T/B TOT) AJD]]</f>
        <v>0</v>
      </c>
      <c r="U106" s="41"/>
      <c r="V106" s="41"/>
      <c r="W106" s="3">
        <f>TABL1234[[#This Row],[(A/B TOT) AJD]]+TABL1234[[#This Row],[(A/S TOT) AJD]]</f>
        <v>0</v>
      </c>
      <c r="X106" s="3">
        <f>TABL1234[[#This Row],[( S/S+T/B) AJD]]-TABL1234[[#This Row],[(A/B + A/S) AJD]]</f>
        <v>0</v>
      </c>
      <c r="Y106" s="41"/>
      <c r="Z106" s="43"/>
      <c r="AA106" s="3">
        <f>TABL1234[[#This Row],[(RESV. STORGE) AJD]]/10</f>
        <v>0</v>
      </c>
      <c r="AB106" s="3">
        <f t="shared" si="3"/>
        <v>0</v>
      </c>
      <c r="AC106" s="5"/>
      <c r="AD106" s="39">
        <f>TABL1234[[#This Row],[( S/S+T/B) AJD]]-(TABL1234[[#This Row],[(A/B + A/S) AJD]]+(TABL1234[[#This Row],[(STORGE DIFF.) AJD]]*1000)+TABL1234[[#This Row],[البخر  AJD]])</f>
        <v>0</v>
      </c>
      <c r="AE106" s="41"/>
      <c r="AF106" s="43"/>
      <c r="AG106" s="43"/>
      <c r="AH106" s="6"/>
      <c r="AI106" s="43"/>
      <c r="AJ106" s="43">
        <f>TABL1234[[#This Row],[(A/B TOT) AJD]]-TABL1234[[#This Row],[BER_ IN]]</f>
        <v>0</v>
      </c>
      <c r="AK106" s="43"/>
      <c r="AL106" s="43"/>
      <c r="AM106" s="32"/>
      <c r="AN106" s="32">
        <f>TABL1234[[#This Row],[ (RESV. STORGE) SER]]/10</f>
        <v>0</v>
      </c>
      <c r="AO106" s="68"/>
      <c r="AP106" s="68">
        <f>TABL1234[[#This Row],[(A/S TOT) AJD]]-TABL1234[[#This Row],[SER_ IN]]</f>
        <v>0</v>
      </c>
    </row>
    <row r="107" spans="1:42" ht="18.75" x14ac:dyDescent="0.25">
      <c r="A107" s="2">
        <v>46493</v>
      </c>
      <c r="B107" s="44"/>
      <c r="C107" s="44"/>
      <c r="D107" s="44"/>
      <c r="E107" s="44"/>
      <c r="F107" s="44"/>
      <c r="G107" s="40"/>
      <c r="H107" s="28">
        <f t="shared" si="2"/>
        <v>103</v>
      </c>
      <c r="I107" s="40"/>
      <c r="J107" s="44"/>
      <c r="K107" s="28">
        <f>TABL1234[[#This Row],[خط (T/B  TOT) SAR]]+TABL1234[[#This Row],[خط (S/S  TOT) SAR2]]</f>
        <v>0</v>
      </c>
      <c r="L107" s="45"/>
      <c r="M107" s="46"/>
      <c r="N107" s="46"/>
      <c r="O107" s="40"/>
      <c r="P107" s="3">
        <f>TABL1234[[#This Row],[خط (S/S  TOT) SAR2]]-TABL1234[[#This Row],[(S/S TOT) AJD]]</f>
        <v>0</v>
      </c>
      <c r="Q107" s="40"/>
      <c r="R107" s="3">
        <f>TABL1234[[#This Row],[خط (T/B  TOT) SAR]]-TABL1234[[#This Row],[(T/B TOT) AJD]]</f>
        <v>0</v>
      </c>
      <c r="S107" s="3">
        <f>TABL1234[[#This Row],[الفرق بين بداية ونهاية خط  T/B]]+TABL1234[[#This Row],[الفرق بين بداية ونهاية خط  S/S]]</f>
        <v>0</v>
      </c>
      <c r="T107" s="3">
        <f>TABL1234[[#This Row],[(S/S TOT) AJD]]+TABL1234[[#This Row],[(T/B TOT) AJD]]</f>
        <v>0</v>
      </c>
      <c r="U107" s="44"/>
      <c r="V107" s="44"/>
      <c r="W107" s="3">
        <f>TABL1234[[#This Row],[(A/B TOT) AJD]]+TABL1234[[#This Row],[(A/S TOT) AJD]]</f>
        <v>0</v>
      </c>
      <c r="X107" s="3">
        <f>TABL1234[[#This Row],[( S/S+T/B) AJD]]-TABL1234[[#This Row],[(A/B + A/S) AJD]]</f>
        <v>0</v>
      </c>
      <c r="Y107" s="44"/>
      <c r="Z107" s="45"/>
      <c r="AA107" s="3">
        <f>TABL1234[[#This Row],[(RESV. STORGE) AJD]]/10</f>
        <v>0</v>
      </c>
      <c r="AB107" s="3">
        <f t="shared" si="3"/>
        <v>0</v>
      </c>
      <c r="AC107" s="5"/>
      <c r="AD107" s="40">
        <f>TABL1234[[#This Row],[( S/S+T/B) AJD]]-(TABL1234[[#This Row],[(A/B + A/S) AJD]]+(TABL1234[[#This Row],[(STORGE DIFF.) AJD]]*1000)+TABL1234[[#This Row],[البخر  AJD]])</f>
        <v>0</v>
      </c>
      <c r="AE107" s="44"/>
      <c r="AF107" s="45"/>
      <c r="AG107" s="45"/>
      <c r="AH107" s="6"/>
      <c r="AI107" s="45"/>
      <c r="AJ107" s="45">
        <f>TABL1234[[#This Row],[(A/B TOT) AJD]]-TABL1234[[#This Row],[BER_ IN]]</f>
        <v>0</v>
      </c>
      <c r="AK107" s="45"/>
      <c r="AL107" s="45"/>
      <c r="AM107" s="32"/>
      <c r="AN107" s="32">
        <f>TABL1234[[#This Row],[ (RESV. STORGE) SER]]/10</f>
        <v>0</v>
      </c>
      <c r="AO107" s="68"/>
      <c r="AP107" s="68">
        <f>TABL1234[[#This Row],[(A/S TOT) AJD]]-TABL1234[[#This Row],[SER_ IN]]</f>
        <v>0</v>
      </c>
    </row>
    <row r="108" spans="1:42" ht="18.75" x14ac:dyDescent="0.25">
      <c r="A108" s="2">
        <v>46494</v>
      </c>
      <c r="B108" s="41"/>
      <c r="C108" s="41"/>
      <c r="D108" s="41"/>
      <c r="E108" s="41"/>
      <c r="F108" s="41"/>
      <c r="G108" s="39"/>
      <c r="H108" s="28">
        <f t="shared" si="2"/>
        <v>103</v>
      </c>
      <c r="I108" s="39"/>
      <c r="J108" s="39"/>
      <c r="K108" s="28">
        <f>TABL1234[[#This Row],[خط (T/B  TOT) SAR]]+TABL1234[[#This Row],[خط (S/S  TOT) SAR2]]</f>
        <v>0</v>
      </c>
      <c r="L108" s="41"/>
      <c r="M108" s="42"/>
      <c r="N108" s="42"/>
      <c r="O108" s="39"/>
      <c r="P108" s="3">
        <f>TABL1234[[#This Row],[خط (S/S  TOT) SAR2]]-TABL1234[[#This Row],[(S/S TOT) AJD]]</f>
        <v>0</v>
      </c>
      <c r="Q108" s="39"/>
      <c r="R108" s="3">
        <f>TABL1234[[#This Row],[خط (T/B  TOT) SAR]]-TABL1234[[#This Row],[(T/B TOT) AJD]]</f>
        <v>0</v>
      </c>
      <c r="S108" s="3">
        <f>TABL1234[[#This Row],[الفرق بين بداية ونهاية خط  T/B]]+TABL1234[[#This Row],[الفرق بين بداية ونهاية خط  S/S]]</f>
        <v>0</v>
      </c>
      <c r="T108" s="3">
        <f>TABL1234[[#This Row],[(S/S TOT) AJD]]+TABL1234[[#This Row],[(T/B TOT) AJD]]</f>
        <v>0</v>
      </c>
      <c r="U108" s="41"/>
      <c r="V108" s="41"/>
      <c r="W108" s="3">
        <f>TABL1234[[#This Row],[(A/B TOT) AJD]]+TABL1234[[#This Row],[(A/S TOT) AJD]]</f>
        <v>0</v>
      </c>
      <c r="X108" s="3">
        <f>TABL1234[[#This Row],[( S/S+T/B) AJD]]-TABL1234[[#This Row],[(A/B + A/S) AJD]]</f>
        <v>0</v>
      </c>
      <c r="Y108" s="41"/>
      <c r="Z108" s="43"/>
      <c r="AA108" s="3">
        <f>TABL1234[[#This Row],[(RESV. STORGE) AJD]]/10</f>
        <v>0</v>
      </c>
      <c r="AB108" s="3">
        <f t="shared" si="3"/>
        <v>0</v>
      </c>
      <c r="AC108" s="5"/>
      <c r="AD108" s="39">
        <f>TABL1234[[#This Row],[( S/S+T/B) AJD]]-(TABL1234[[#This Row],[(A/B + A/S) AJD]]+(TABL1234[[#This Row],[(STORGE DIFF.) AJD]]*1000)+TABL1234[[#This Row],[البخر  AJD]])</f>
        <v>0</v>
      </c>
      <c r="AE108" s="41"/>
      <c r="AF108" s="43"/>
      <c r="AG108" s="43"/>
      <c r="AH108" s="6"/>
      <c r="AI108" s="43"/>
      <c r="AJ108" s="43">
        <f>TABL1234[[#This Row],[(A/B TOT) AJD]]-TABL1234[[#This Row],[BER_ IN]]</f>
        <v>0</v>
      </c>
      <c r="AK108" s="43"/>
      <c r="AL108" s="43"/>
      <c r="AM108" s="32"/>
      <c r="AN108" s="32">
        <f>TABL1234[[#This Row],[ (RESV. STORGE) SER]]/10</f>
        <v>0</v>
      </c>
      <c r="AO108" s="68"/>
      <c r="AP108" s="68">
        <f>TABL1234[[#This Row],[(A/S TOT) AJD]]-TABL1234[[#This Row],[SER_ IN]]</f>
        <v>0</v>
      </c>
    </row>
    <row r="109" spans="1:42" ht="18.75" x14ac:dyDescent="0.25">
      <c r="A109" s="2">
        <v>46495</v>
      </c>
      <c r="B109" s="44"/>
      <c r="C109" s="44"/>
      <c r="D109" s="44"/>
      <c r="E109" s="44"/>
      <c r="F109" s="44"/>
      <c r="G109" s="40"/>
      <c r="H109" s="28">
        <f t="shared" si="2"/>
        <v>103</v>
      </c>
      <c r="I109" s="40"/>
      <c r="J109" s="44"/>
      <c r="K109" s="28">
        <f>TABL1234[[#This Row],[خط (T/B  TOT) SAR]]+TABL1234[[#This Row],[خط (S/S  TOT) SAR2]]</f>
        <v>0</v>
      </c>
      <c r="L109" s="45"/>
      <c r="M109" s="46"/>
      <c r="N109" s="46"/>
      <c r="O109" s="40"/>
      <c r="P109" s="3">
        <f>TABL1234[[#This Row],[خط (S/S  TOT) SAR2]]-TABL1234[[#This Row],[(S/S TOT) AJD]]</f>
        <v>0</v>
      </c>
      <c r="Q109" s="40"/>
      <c r="R109" s="3">
        <f>TABL1234[[#This Row],[خط (T/B  TOT) SAR]]-TABL1234[[#This Row],[(T/B TOT) AJD]]</f>
        <v>0</v>
      </c>
      <c r="S109" s="3">
        <f>TABL1234[[#This Row],[الفرق بين بداية ونهاية خط  T/B]]+TABL1234[[#This Row],[الفرق بين بداية ونهاية خط  S/S]]</f>
        <v>0</v>
      </c>
      <c r="T109" s="3">
        <f>TABL1234[[#This Row],[(S/S TOT) AJD]]+TABL1234[[#This Row],[(T/B TOT) AJD]]</f>
        <v>0</v>
      </c>
      <c r="U109" s="44"/>
      <c r="V109" s="44"/>
      <c r="W109" s="3">
        <f>TABL1234[[#This Row],[(A/B TOT) AJD]]+TABL1234[[#This Row],[(A/S TOT) AJD]]</f>
        <v>0</v>
      </c>
      <c r="X109" s="3">
        <f>TABL1234[[#This Row],[( S/S+T/B) AJD]]-TABL1234[[#This Row],[(A/B + A/S) AJD]]</f>
        <v>0</v>
      </c>
      <c r="Y109" s="44"/>
      <c r="Z109" s="45"/>
      <c r="AA109" s="3">
        <f>TABL1234[[#This Row],[(RESV. STORGE) AJD]]/10</f>
        <v>0</v>
      </c>
      <c r="AB109" s="3">
        <f t="shared" si="3"/>
        <v>0</v>
      </c>
      <c r="AC109" s="5"/>
      <c r="AD109" s="40">
        <f>TABL1234[[#This Row],[( S/S+T/B) AJD]]-(TABL1234[[#This Row],[(A/B + A/S) AJD]]+(TABL1234[[#This Row],[(STORGE DIFF.) AJD]]*1000)+TABL1234[[#This Row],[البخر  AJD]])</f>
        <v>0</v>
      </c>
      <c r="AE109" s="44"/>
      <c r="AF109" s="45"/>
      <c r="AG109" s="45"/>
      <c r="AH109" s="6"/>
      <c r="AI109" s="45"/>
      <c r="AJ109" s="45">
        <f>TABL1234[[#This Row],[(A/B TOT) AJD]]-TABL1234[[#This Row],[BER_ IN]]</f>
        <v>0</v>
      </c>
      <c r="AK109" s="45"/>
      <c r="AL109" s="45"/>
      <c r="AM109" s="32"/>
      <c r="AN109" s="32">
        <f>TABL1234[[#This Row],[ (RESV. STORGE) SER]]/10</f>
        <v>0</v>
      </c>
      <c r="AO109" s="68"/>
      <c r="AP109" s="68">
        <f>TABL1234[[#This Row],[(A/S TOT) AJD]]-TABL1234[[#This Row],[SER_ IN]]</f>
        <v>0</v>
      </c>
    </row>
    <row r="110" spans="1:42" ht="18.75" x14ac:dyDescent="0.25">
      <c r="A110" s="2">
        <v>46496</v>
      </c>
      <c r="B110" s="41"/>
      <c r="C110" s="41"/>
      <c r="D110" s="41"/>
      <c r="E110" s="41"/>
      <c r="F110" s="41"/>
      <c r="G110" s="39"/>
      <c r="H110" s="28">
        <f t="shared" si="2"/>
        <v>103</v>
      </c>
      <c r="I110" s="39"/>
      <c r="J110" s="39"/>
      <c r="K110" s="28">
        <f>TABL1234[[#This Row],[خط (T/B  TOT) SAR]]+TABL1234[[#This Row],[خط (S/S  TOT) SAR2]]</f>
        <v>0</v>
      </c>
      <c r="L110" s="41"/>
      <c r="M110" s="42"/>
      <c r="N110" s="42"/>
      <c r="O110" s="39"/>
      <c r="P110" s="3">
        <f>TABL1234[[#This Row],[خط (S/S  TOT) SAR2]]-TABL1234[[#This Row],[(S/S TOT) AJD]]</f>
        <v>0</v>
      </c>
      <c r="Q110" s="39"/>
      <c r="R110" s="3">
        <f>TABL1234[[#This Row],[خط (T/B  TOT) SAR]]-TABL1234[[#This Row],[(T/B TOT) AJD]]</f>
        <v>0</v>
      </c>
      <c r="S110" s="3">
        <f>TABL1234[[#This Row],[الفرق بين بداية ونهاية خط  T/B]]+TABL1234[[#This Row],[الفرق بين بداية ونهاية خط  S/S]]</f>
        <v>0</v>
      </c>
      <c r="T110" s="3">
        <f>TABL1234[[#This Row],[(S/S TOT) AJD]]+TABL1234[[#This Row],[(T/B TOT) AJD]]</f>
        <v>0</v>
      </c>
      <c r="U110" s="41"/>
      <c r="V110" s="41"/>
      <c r="W110" s="3">
        <f>TABL1234[[#This Row],[(A/B TOT) AJD]]+TABL1234[[#This Row],[(A/S TOT) AJD]]</f>
        <v>0</v>
      </c>
      <c r="X110" s="3">
        <f>TABL1234[[#This Row],[( S/S+T/B) AJD]]-TABL1234[[#This Row],[(A/B + A/S) AJD]]</f>
        <v>0</v>
      </c>
      <c r="Y110" s="41"/>
      <c r="Z110" s="43"/>
      <c r="AA110" s="3">
        <f>TABL1234[[#This Row],[(RESV. STORGE) AJD]]/10</f>
        <v>0</v>
      </c>
      <c r="AB110" s="3">
        <f t="shared" si="3"/>
        <v>0</v>
      </c>
      <c r="AC110" s="5"/>
      <c r="AD110" s="39">
        <f>TABL1234[[#This Row],[( S/S+T/B) AJD]]-(TABL1234[[#This Row],[(A/B + A/S) AJD]]+(TABL1234[[#This Row],[(STORGE DIFF.) AJD]]*1000)+TABL1234[[#This Row],[البخر  AJD]])</f>
        <v>0</v>
      </c>
      <c r="AE110" s="41"/>
      <c r="AF110" s="43"/>
      <c r="AG110" s="43"/>
      <c r="AH110" s="6"/>
      <c r="AI110" s="43"/>
      <c r="AJ110" s="43">
        <f>TABL1234[[#This Row],[(A/B TOT) AJD]]-TABL1234[[#This Row],[BER_ IN]]</f>
        <v>0</v>
      </c>
      <c r="AK110" s="43"/>
      <c r="AL110" s="43"/>
      <c r="AM110" s="32"/>
      <c r="AN110" s="32">
        <f>TABL1234[[#This Row],[ (RESV. STORGE) SER]]/10</f>
        <v>0</v>
      </c>
      <c r="AO110" s="68"/>
      <c r="AP110" s="68">
        <f>TABL1234[[#This Row],[(A/S TOT) AJD]]-TABL1234[[#This Row],[SER_ IN]]</f>
        <v>0</v>
      </c>
    </row>
    <row r="111" spans="1:42" ht="18.75" x14ac:dyDescent="0.25">
      <c r="A111" s="2">
        <v>46497</v>
      </c>
      <c r="B111" s="44"/>
      <c r="C111" s="44"/>
      <c r="D111" s="44"/>
      <c r="E111" s="44"/>
      <c r="F111" s="44"/>
      <c r="G111" s="40"/>
      <c r="H111" s="28">
        <f t="shared" si="2"/>
        <v>103</v>
      </c>
      <c r="I111" s="40"/>
      <c r="J111" s="44"/>
      <c r="K111" s="28">
        <f>TABL1234[[#This Row],[خط (T/B  TOT) SAR]]+TABL1234[[#This Row],[خط (S/S  TOT) SAR2]]</f>
        <v>0</v>
      </c>
      <c r="L111" s="45"/>
      <c r="M111" s="46"/>
      <c r="N111" s="46"/>
      <c r="O111" s="40"/>
      <c r="P111" s="3">
        <f>TABL1234[[#This Row],[خط (S/S  TOT) SAR2]]-TABL1234[[#This Row],[(S/S TOT) AJD]]</f>
        <v>0</v>
      </c>
      <c r="Q111" s="40"/>
      <c r="R111" s="3">
        <f>TABL1234[[#This Row],[خط (T/B  TOT) SAR]]-TABL1234[[#This Row],[(T/B TOT) AJD]]</f>
        <v>0</v>
      </c>
      <c r="S111" s="3">
        <f>TABL1234[[#This Row],[الفرق بين بداية ونهاية خط  T/B]]+TABL1234[[#This Row],[الفرق بين بداية ونهاية خط  S/S]]</f>
        <v>0</v>
      </c>
      <c r="T111" s="3">
        <f>TABL1234[[#This Row],[(S/S TOT) AJD]]+TABL1234[[#This Row],[(T/B TOT) AJD]]</f>
        <v>0</v>
      </c>
      <c r="U111" s="44"/>
      <c r="V111" s="44"/>
      <c r="W111" s="3">
        <f>TABL1234[[#This Row],[(A/B TOT) AJD]]+TABL1234[[#This Row],[(A/S TOT) AJD]]</f>
        <v>0</v>
      </c>
      <c r="X111" s="3">
        <f>TABL1234[[#This Row],[( S/S+T/B) AJD]]-TABL1234[[#This Row],[(A/B + A/S) AJD]]</f>
        <v>0</v>
      </c>
      <c r="Y111" s="44"/>
      <c r="Z111" s="45"/>
      <c r="AA111" s="3">
        <f>TABL1234[[#This Row],[(RESV. STORGE) AJD]]/10</f>
        <v>0</v>
      </c>
      <c r="AB111" s="3">
        <f t="shared" si="3"/>
        <v>0</v>
      </c>
      <c r="AC111" s="5"/>
      <c r="AD111" s="40">
        <f>TABL1234[[#This Row],[( S/S+T/B) AJD]]-(TABL1234[[#This Row],[(A/B + A/S) AJD]]+(TABL1234[[#This Row],[(STORGE DIFF.) AJD]]*1000)+TABL1234[[#This Row],[البخر  AJD]])</f>
        <v>0</v>
      </c>
      <c r="AE111" s="44"/>
      <c r="AF111" s="45"/>
      <c r="AG111" s="45"/>
      <c r="AH111" s="6"/>
      <c r="AI111" s="45"/>
      <c r="AJ111" s="45">
        <f>TABL1234[[#This Row],[(A/B TOT) AJD]]-TABL1234[[#This Row],[BER_ IN]]</f>
        <v>0</v>
      </c>
      <c r="AK111" s="45"/>
      <c r="AL111" s="45"/>
      <c r="AM111" s="32"/>
      <c r="AN111" s="32">
        <f>TABL1234[[#This Row],[ (RESV. STORGE) SER]]/10</f>
        <v>0</v>
      </c>
      <c r="AO111" s="68"/>
      <c r="AP111" s="68">
        <f>TABL1234[[#This Row],[(A/S TOT) AJD]]-TABL1234[[#This Row],[SER_ IN]]</f>
        <v>0</v>
      </c>
    </row>
    <row r="112" spans="1:42" ht="18.75" x14ac:dyDescent="0.25">
      <c r="A112" s="2">
        <v>46498</v>
      </c>
      <c r="B112" s="41"/>
      <c r="C112" s="41"/>
      <c r="D112" s="41"/>
      <c r="E112" s="41"/>
      <c r="F112" s="41"/>
      <c r="G112" s="39"/>
      <c r="H112" s="28">
        <f t="shared" si="2"/>
        <v>103</v>
      </c>
      <c r="I112" s="39"/>
      <c r="J112" s="39"/>
      <c r="K112" s="28">
        <f>TABL1234[[#This Row],[خط (T/B  TOT) SAR]]+TABL1234[[#This Row],[خط (S/S  TOT) SAR2]]</f>
        <v>0</v>
      </c>
      <c r="L112" s="41"/>
      <c r="M112" s="42"/>
      <c r="N112" s="42"/>
      <c r="O112" s="39"/>
      <c r="P112" s="3">
        <f>TABL1234[[#This Row],[خط (S/S  TOT) SAR2]]-TABL1234[[#This Row],[(S/S TOT) AJD]]</f>
        <v>0</v>
      </c>
      <c r="Q112" s="39"/>
      <c r="R112" s="3">
        <f>TABL1234[[#This Row],[خط (T/B  TOT) SAR]]-TABL1234[[#This Row],[(T/B TOT) AJD]]</f>
        <v>0</v>
      </c>
      <c r="S112" s="3">
        <f>TABL1234[[#This Row],[الفرق بين بداية ونهاية خط  T/B]]+TABL1234[[#This Row],[الفرق بين بداية ونهاية خط  S/S]]</f>
        <v>0</v>
      </c>
      <c r="T112" s="3">
        <f>TABL1234[[#This Row],[(S/S TOT) AJD]]+TABL1234[[#This Row],[(T/B TOT) AJD]]</f>
        <v>0</v>
      </c>
      <c r="U112" s="41"/>
      <c r="V112" s="41"/>
      <c r="W112" s="3">
        <f>TABL1234[[#This Row],[(A/B TOT) AJD]]+TABL1234[[#This Row],[(A/S TOT) AJD]]</f>
        <v>0</v>
      </c>
      <c r="X112" s="3">
        <f>TABL1234[[#This Row],[( S/S+T/B) AJD]]-TABL1234[[#This Row],[(A/B + A/S) AJD]]</f>
        <v>0</v>
      </c>
      <c r="Y112" s="41"/>
      <c r="Z112" s="43"/>
      <c r="AA112" s="3">
        <f>TABL1234[[#This Row],[(RESV. STORGE) AJD]]/10</f>
        <v>0</v>
      </c>
      <c r="AB112" s="3">
        <f t="shared" si="3"/>
        <v>0</v>
      </c>
      <c r="AC112" s="5"/>
      <c r="AD112" s="39">
        <f>TABL1234[[#This Row],[( S/S+T/B) AJD]]-(TABL1234[[#This Row],[(A/B + A/S) AJD]]+(TABL1234[[#This Row],[(STORGE DIFF.) AJD]]*1000)+TABL1234[[#This Row],[البخر  AJD]])</f>
        <v>0</v>
      </c>
      <c r="AE112" s="41"/>
      <c r="AF112" s="43"/>
      <c r="AG112" s="43"/>
      <c r="AH112" s="6"/>
      <c r="AI112" s="43"/>
      <c r="AJ112" s="43">
        <f>TABL1234[[#This Row],[(A/B TOT) AJD]]-TABL1234[[#This Row],[BER_ IN]]</f>
        <v>0</v>
      </c>
      <c r="AK112" s="43"/>
      <c r="AL112" s="43"/>
      <c r="AM112" s="32"/>
      <c r="AN112" s="32">
        <f>TABL1234[[#This Row],[ (RESV. STORGE) SER]]/10</f>
        <v>0</v>
      </c>
      <c r="AO112" s="68"/>
      <c r="AP112" s="68">
        <f>TABL1234[[#This Row],[(A/S TOT) AJD]]-TABL1234[[#This Row],[SER_ IN]]</f>
        <v>0</v>
      </c>
    </row>
    <row r="113" spans="1:42" ht="18.75" x14ac:dyDescent="0.25">
      <c r="A113" s="2">
        <v>46499</v>
      </c>
      <c r="B113" s="44"/>
      <c r="C113" s="44"/>
      <c r="D113" s="44"/>
      <c r="E113" s="44"/>
      <c r="F113" s="44"/>
      <c r="G113" s="40"/>
      <c r="H113" s="28">
        <f t="shared" si="2"/>
        <v>103</v>
      </c>
      <c r="I113" s="40"/>
      <c r="J113" s="44"/>
      <c r="K113" s="28">
        <f>TABL1234[[#This Row],[خط (T/B  TOT) SAR]]+TABL1234[[#This Row],[خط (S/S  TOT) SAR2]]</f>
        <v>0</v>
      </c>
      <c r="L113" s="45"/>
      <c r="M113" s="46"/>
      <c r="N113" s="46"/>
      <c r="O113" s="40"/>
      <c r="P113" s="3">
        <f>TABL1234[[#This Row],[خط (S/S  TOT) SAR2]]-TABL1234[[#This Row],[(S/S TOT) AJD]]</f>
        <v>0</v>
      </c>
      <c r="Q113" s="40"/>
      <c r="R113" s="3">
        <f>TABL1234[[#This Row],[خط (T/B  TOT) SAR]]-TABL1234[[#This Row],[(T/B TOT) AJD]]</f>
        <v>0</v>
      </c>
      <c r="S113" s="3">
        <f>TABL1234[[#This Row],[الفرق بين بداية ونهاية خط  T/B]]+TABL1234[[#This Row],[الفرق بين بداية ونهاية خط  S/S]]</f>
        <v>0</v>
      </c>
      <c r="T113" s="3">
        <f>TABL1234[[#This Row],[(S/S TOT) AJD]]+TABL1234[[#This Row],[(T/B TOT) AJD]]</f>
        <v>0</v>
      </c>
      <c r="U113" s="44"/>
      <c r="V113" s="44"/>
      <c r="W113" s="3">
        <f>TABL1234[[#This Row],[(A/B TOT) AJD]]+TABL1234[[#This Row],[(A/S TOT) AJD]]</f>
        <v>0</v>
      </c>
      <c r="X113" s="3">
        <f>TABL1234[[#This Row],[( S/S+T/B) AJD]]-TABL1234[[#This Row],[(A/B + A/S) AJD]]</f>
        <v>0</v>
      </c>
      <c r="Y113" s="44"/>
      <c r="Z113" s="45"/>
      <c r="AA113" s="3">
        <f>TABL1234[[#This Row],[(RESV. STORGE) AJD]]/10</f>
        <v>0</v>
      </c>
      <c r="AB113" s="3">
        <f t="shared" si="3"/>
        <v>0</v>
      </c>
      <c r="AC113" s="5"/>
      <c r="AD113" s="40">
        <f>TABL1234[[#This Row],[( S/S+T/B) AJD]]-(TABL1234[[#This Row],[(A/B + A/S) AJD]]+(TABL1234[[#This Row],[(STORGE DIFF.) AJD]]*1000)+TABL1234[[#This Row],[البخر  AJD]])</f>
        <v>0</v>
      </c>
      <c r="AE113" s="44"/>
      <c r="AF113" s="45"/>
      <c r="AG113" s="45"/>
      <c r="AH113" s="6"/>
      <c r="AI113" s="45"/>
      <c r="AJ113" s="45">
        <f>TABL1234[[#This Row],[(A/B TOT) AJD]]-TABL1234[[#This Row],[BER_ IN]]</f>
        <v>0</v>
      </c>
      <c r="AK113" s="45"/>
      <c r="AL113" s="45"/>
      <c r="AM113" s="32"/>
      <c r="AN113" s="32">
        <f>TABL1234[[#This Row],[ (RESV. STORGE) SER]]/10</f>
        <v>0</v>
      </c>
      <c r="AO113" s="68"/>
      <c r="AP113" s="68">
        <f>TABL1234[[#This Row],[(A/S TOT) AJD]]-TABL1234[[#This Row],[SER_ IN]]</f>
        <v>0</v>
      </c>
    </row>
    <row r="114" spans="1:42" ht="18.75" x14ac:dyDescent="0.25">
      <c r="A114" s="2">
        <v>46500</v>
      </c>
      <c r="B114" s="41"/>
      <c r="C114" s="41"/>
      <c r="D114" s="41"/>
      <c r="E114" s="41"/>
      <c r="F114" s="41"/>
      <c r="G114" s="39"/>
      <c r="H114" s="28">
        <f t="shared" si="2"/>
        <v>103</v>
      </c>
      <c r="I114" s="39"/>
      <c r="J114" s="39"/>
      <c r="K114" s="28">
        <f>TABL1234[[#This Row],[خط (T/B  TOT) SAR]]+TABL1234[[#This Row],[خط (S/S  TOT) SAR2]]</f>
        <v>0</v>
      </c>
      <c r="L114" s="41"/>
      <c r="M114" s="42"/>
      <c r="N114" s="42"/>
      <c r="O114" s="39"/>
      <c r="P114" s="3">
        <f>TABL1234[[#This Row],[خط (S/S  TOT) SAR2]]-TABL1234[[#This Row],[(S/S TOT) AJD]]</f>
        <v>0</v>
      </c>
      <c r="Q114" s="39"/>
      <c r="R114" s="3">
        <f>TABL1234[[#This Row],[خط (T/B  TOT) SAR]]-TABL1234[[#This Row],[(T/B TOT) AJD]]</f>
        <v>0</v>
      </c>
      <c r="S114" s="3">
        <f>TABL1234[[#This Row],[الفرق بين بداية ونهاية خط  T/B]]+TABL1234[[#This Row],[الفرق بين بداية ونهاية خط  S/S]]</f>
        <v>0</v>
      </c>
      <c r="T114" s="3">
        <f>TABL1234[[#This Row],[(S/S TOT) AJD]]+TABL1234[[#This Row],[(T/B TOT) AJD]]</f>
        <v>0</v>
      </c>
      <c r="U114" s="41"/>
      <c r="V114" s="41"/>
      <c r="W114" s="3">
        <f>TABL1234[[#This Row],[(A/B TOT) AJD]]+TABL1234[[#This Row],[(A/S TOT) AJD]]</f>
        <v>0</v>
      </c>
      <c r="X114" s="3">
        <f>TABL1234[[#This Row],[( S/S+T/B) AJD]]-TABL1234[[#This Row],[(A/B + A/S) AJD]]</f>
        <v>0</v>
      </c>
      <c r="Y114" s="41"/>
      <c r="Z114" s="43"/>
      <c r="AA114" s="3">
        <f>TABL1234[[#This Row],[(RESV. STORGE) AJD]]/10</f>
        <v>0</v>
      </c>
      <c r="AB114" s="3">
        <f t="shared" si="3"/>
        <v>0</v>
      </c>
      <c r="AC114" s="5"/>
      <c r="AD114" s="39">
        <f>TABL1234[[#This Row],[( S/S+T/B) AJD]]-(TABL1234[[#This Row],[(A/B + A/S) AJD]]+(TABL1234[[#This Row],[(STORGE DIFF.) AJD]]*1000)+TABL1234[[#This Row],[البخر  AJD]])</f>
        <v>0</v>
      </c>
      <c r="AE114" s="41"/>
      <c r="AF114" s="43"/>
      <c r="AG114" s="43"/>
      <c r="AH114" s="6"/>
      <c r="AI114" s="43"/>
      <c r="AJ114" s="43">
        <f>TABL1234[[#This Row],[(A/B TOT) AJD]]-TABL1234[[#This Row],[BER_ IN]]</f>
        <v>0</v>
      </c>
      <c r="AK114" s="43"/>
      <c r="AL114" s="43"/>
      <c r="AM114" s="32"/>
      <c r="AN114" s="32">
        <f>TABL1234[[#This Row],[ (RESV. STORGE) SER]]/10</f>
        <v>0</v>
      </c>
      <c r="AO114" s="68"/>
      <c r="AP114" s="68">
        <f>TABL1234[[#This Row],[(A/S TOT) AJD]]-TABL1234[[#This Row],[SER_ IN]]</f>
        <v>0</v>
      </c>
    </row>
    <row r="115" spans="1:42" ht="18.75" x14ac:dyDescent="0.25">
      <c r="A115" s="2">
        <v>46501</v>
      </c>
      <c r="B115" s="44"/>
      <c r="C115" s="44"/>
      <c r="D115" s="44"/>
      <c r="E115" s="44"/>
      <c r="F115" s="44"/>
      <c r="G115" s="40"/>
      <c r="H115" s="28">
        <f t="shared" si="2"/>
        <v>103</v>
      </c>
      <c r="I115" s="40"/>
      <c r="J115" s="44"/>
      <c r="K115" s="28">
        <f>TABL1234[[#This Row],[خط (T/B  TOT) SAR]]+TABL1234[[#This Row],[خط (S/S  TOT) SAR2]]</f>
        <v>0</v>
      </c>
      <c r="L115" s="45"/>
      <c r="M115" s="46"/>
      <c r="N115" s="46"/>
      <c r="O115" s="40"/>
      <c r="P115" s="3">
        <f>TABL1234[[#This Row],[خط (S/S  TOT) SAR2]]-TABL1234[[#This Row],[(S/S TOT) AJD]]</f>
        <v>0</v>
      </c>
      <c r="Q115" s="40"/>
      <c r="R115" s="3">
        <f>TABL1234[[#This Row],[خط (T/B  TOT) SAR]]-TABL1234[[#This Row],[(T/B TOT) AJD]]</f>
        <v>0</v>
      </c>
      <c r="S115" s="3">
        <f>TABL1234[[#This Row],[الفرق بين بداية ونهاية خط  T/B]]+TABL1234[[#This Row],[الفرق بين بداية ونهاية خط  S/S]]</f>
        <v>0</v>
      </c>
      <c r="T115" s="3">
        <f>TABL1234[[#This Row],[(S/S TOT) AJD]]+TABL1234[[#This Row],[(T/B TOT) AJD]]</f>
        <v>0</v>
      </c>
      <c r="U115" s="44"/>
      <c r="V115" s="44"/>
      <c r="W115" s="3">
        <f>TABL1234[[#This Row],[(A/B TOT) AJD]]+TABL1234[[#This Row],[(A/S TOT) AJD]]</f>
        <v>0</v>
      </c>
      <c r="X115" s="3">
        <f>TABL1234[[#This Row],[( S/S+T/B) AJD]]-TABL1234[[#This Row],[(A/B + A/S) AJD]]</f>
        <v>0</v>
      </c>
      <c r="Y115" s="44"/>
      <c r="Z115" s="45"/>
      <c r="AA115" s="3">
        <f>TABL1234[[#This Row],[(RESV. STORGE) AJD]]/10</f>
        <v>0</v>
      </c>
      <c r="AB115" s="3">
        <f t="shared" si="3"/>
        <v>0</v>
      </c>
      <c r="AC115" s="5"/>
      <c r="AD115" s="40">
        <f>TABL1234[[#This Row],[( S/S+T/B) AJD]]-(TABL1234[[#This Row],[(A/B + A/S) AJD]]+(TABL1234[[#This Row],[(STORGE DIFF.) AJD]]*1000)+TABL1234[[#This Row],[البخر  AJD]])</f>
        <v>0</v>
      </c>
      <c r="AE115" s="44"/>
      <c r="AF115" s="45"/>
      <c r="AG115" s="45"/>
      <c r="AH115" s="6"/>
      <c r="AI115" s="45"/>
      <c r="AJ115" s="45">
        <f>TABL1234[[#This Row],[(A/B TOT) AJD]]-TABL1234[[#This Row],[BER_ IN]]</f>
        <v>0</v>
      </c>
      <c r="AK115" s="45"/>
      <c r="AL115" s="45"/>
      <c r="AM115" s="32"/>
      <c r="AN115" s="32">
        <f>TABL1234[[#This Row],[ (RESV. STORGE) SER]]/10</f>
        <v>0</v>
      </c>
      <c r="AO115" s="68"/>
      <c r="AP115" s="68">
        <f>TABL1234[[#This Row],[(A/S TOT) AJD]]-TABL1234[[#This Row],[SER_ IN]]</f>
        <v>0</v>
      </c>
    </row>
    <row r="116" spans="1:42" ht="18.75" x14ac:dyDescent="0.25">
      <c r="A116" s="2">
        <v>46502</v>
      </c>
      <c r="B116" s="41"/>
      <c r="C116" s="41"/>
      <c r="D116" s="41"/>
      <c r="E116" s="41"/>
      <c r="F116" s="41"/>
      <c r="G116" s="39"/>
      <c r="H116" s="28">
        <f t="shared" si="2"/>
        <v>103</v>
      </c>
      <c r="I116" s="39"/>
      <c r="J116" s="39"/>
      <c r="K116" s="28">
        <f>TABL1234[[#This Row],[خط (T/B  TOT) SAR]]+TABL1234[[#This Row],[خط (S/S  TOT) SAR2]]</f>
        <v>0</v>
      </c>
      <c r="L116" s="41"/>
      <c r="M116" s="42"/>
      <c r="N116" s="42"/>
      <c r="O116" s="39"/>
      <c r="P116" s="3">
        <f>TABL1234[[#This Row],[خط (S/S  TOT) SAR2]]-TABL1234[[#This Row],[(S/S TOT) AJD]]</f>
        <v>0</v>
      </c>
      <c r="Q116" s="39"/>
      <c r="R116" s="3">
        <f>TABL1234[[#This Row],[خط (T/B  TOT) SAR]]-TABL1234[[#This Row],[(T/B TOT) AJD]]</f>
        <v>0</v>
      </c>
      <c r="S116" s="3">
        <f>TABL1234[[#This Row],[الفرق بين بداية ونهاية خط  T/B]]+TABL1234[[#This Row],[الفرق بين بداية ونهاية خط  S/S]]</f>
        <v>0</v>
      </c>
      <c r="T116" s="3">
        <f>TABL1234[[#This Row],[(S/S TOT) AJD]]+TABL1234[[#This Row],[(T/B TOT) AJD]]</f>
        <v>0</v>
      </c>
      <c r="U116" s="41"/>
      <c r="V116" s="41"/>
      <c r="W116" s="3">
        <f>TABL1234[[#This Row],[(A/B TOT) AJD]]+TABL1234[[#This Row],[(A/S TOT) AJD]]</f>
        <v>0</v>
      </c>
      <c r="X116" s="3">
        <f>TABL1234[[#This Row],[( S/S+T/B) AJD]]-TABL1234[[#This Row],[(A/B + A/S) AJD]]</f>
        <v>0</v>
      </c>
      <c r="Y116" s="41"/>
      <c r="Z116" s="43"/>
      <c r="AA116" s="3">
        <f>TABL1234[[#This Row],[(RESV. STORGE) AJD]]/10</f>
        <v>0</v>
      </c>
      <c r="AB116" s="3">
        <f t="shared" si="3"/>
        <v>0</v>
      </c>
      <c r="AC116" s="5"/>
      <c r="AD116" s="39">
        <f>TABL1234[[#This Row],[( S/S+T/B) AJD]]-(TABL1234[[#This Row],[(A/B + A/S) AJD]]+(TABL1234[[#This Row],[(STORGE DIFF.) AJD]]*1000)+TABL1234[[#This Row],[البخر  AJD]])</f>
        <v>0</v>
      </c>
      <c r="AE116" s="41"/>
      <c r="AF116" s="43"/>
      <c r="AG116" s="43"/>
      <c r="AH116" s="6"/>
      <c r="AI116" s="43"/>
      <c r="AJ116" s="43">
        <f>TABL1234[[#This Row],[(A/B TOT) AJD]]-TABL1234[[#This Row],[BER_ IN]]</f>
        <v>0</v>
      </c>
      <c r="AK116" s="43"/>
      <c r="AL116" s="43"/>
      <c r="AM116" s="32"/>
      <c r="AN116" s="32">
        <f>TABL1234[[#This Row],[ (RESV. STORGE) SER]]/10</f>
        <v>0</v>
      </c>
      <c r="AO116" s="68"/>
      <c r="AP116" s="68">
        <f>TABL1234[[#This Row],[(A/S TOT) AJD]]-TABL1234[[#This Row],[SER_ IN]]</f>
        <v>0</v>
      </c>
    </row>
    <row r="117" spans="1:42" ht="18.75" x14ac:dyDescent="0.25">
      <c r="A117" s="2">
        <v>46503</v>
      </c>
      <c r="B117" s="44"/>
      <c r="C117" s="67"/>
      <c r="D117" s="44"/>
      <c r="E117" s="44"/>
      <c r="F117" s="44"/>
      <c r="G117" s="40"/>
      <c r="H117" s="28">
        <f t="shared" si="2"/>
        <v>103</v>
      </c>
      <c r="I117" s="40"/>
      <c r="J117" s="44"/>
      <c r="K117" s="28">
        <f>TABL1234[[#This Row],[خط (T/B  TOT) SAR]]+TABL1234[[#This Row],[خط (S/S  TOT) SAR2]]</f>
        <v>0</v>
      </c>
      <c r="L117" s="45"/>
      <c r="M117" s="46"/>
      <c r="N117" s="46"/>
      <c r="O117" s="40"/>
      <c r="P117" s="3">
        <f>TABL1234[[#This Row],[خط (S/S  TOT) SAR2]]-TABL1234[[#This Row],[(S/S TOT) AJD]]</f>
        <v>0</v>
      </c>
      <c r="Q117" s="40"/>
      <c r="R117" s="3">
        <f>TABL1234[[#This Row],[خط (T/B  TOT) SAR]]-TABL1234[[#This Row],[(T/B TOT) AJD]]</f>
        <v>0</v>
      </c>
      <c r="S117" s="3">
        <f>TABL1234[[#This Row],[الفرق بين بداية ونهاية خط  T/B]]+TABL1234[[#This Row],[الفرق بين بداية ونهاية خط  S/S]]</f>
        <v>0</v>
      </c>
      <c r="T117" s="3">
        <f>TABL1234[[#This Row],[(S/S TOT) AJD]]+TABL1234[[#This Row],[(T/B TOT) AJD]]</f>
        <v>0</v>
      </c>
      <c r="U117" s="44"/>
      <c r="V117" s="44"/>
      <c r="W117" s="3">
        <f>TABL1234[[#This Row],[(A/B TOT) AJD]]+TABL1234[[#This Row],[(A/S TOT) AJD]]</f>
        <v>0</v>
      </c>
      <c r="X117" s="3">
        <f>TABL1234[[#This Row],[( S/S+T/B) AJD]]-TABL1234[[#This Row],[(A/B + A/S) AJD]]</f>
        <v>0</v>
      </c>
      <c r="Y117" s="44"/>
      <c r="Z117" s="45"/>
      <c r="AA117" s="3">
        <f>TABL1234[[#This Row],[(RESV. STORGE) AJD]]/10</f>
        <v>0</v>
      </c>
      <c r="AB117" s="3">
        <f t="shared" si="3"/>
        <v>0</v>
      </c>
      <c r="AC117" s="5"/>
      <c r="AD117" s="40">
        <f>TABL1234[[#This Row],[( S/S+T/B) AJD]]-(TABL1234[[#This Row],[(A/B + A/S) AJD]]+(TABL1234[[#This Row],[(STORGE DIFF.) AJD]]*1000)+TABL1234[[#This Row],[البخر  AJD]])</f>
        <v>0</v>
      </c>
      <c r="AE117" s="44"/>
      <c r="AF117" s="45"/>
      <c r="AG117" s="45"/>
      <c r="AH117" s="6"/>
      <c r="AI117" s="45"/>
      <c r="AJ117" s="45">
        <f>TABL1234[[#This Row],[(A/B TOT) AJD]]-TABL1234[[#This Row],[BER_ IN]]</f>
        <v>0</v>
      </c>
      <c r="AK117" s="45"/>
      <c r="AL117" s="45"/>
      <c r="AM117" s="32"/>
      <c r="AN117" s="32">
        <f>TABL1234[[#This Row],[ (RESV. STORGE) SER]]/10</f>
        <v>0</v>
      </c>
      <c r="AO117" s="68"/>
      <c r="AP117" s="68">
        <f>TABL1234[[#This Row],[(A/S TOT) AJD]]-TABL1234[[#This Row],[SER_ IN]]</f>
        <v>0</v>
      </c>
    </row>
    <row r="118" spans="1:42" ht="18.75" x14ac:dyDescent="0.25">
      <c r="A118" s="2">
        <v>46504</v>
      </c>
      <c r="B118" s="41"/>
      <c r="C118" s="41"/>
      <c r="D118" s="41"/>
      <c r="E118" s="41"/>
      <c r="F118" s="41"/>
      <c r="G118" s="39"/>
      <c r="H118" s="28">
        <f t="shared" si="2"/>
        <v>103</v>
      </c>
      <c r="I118" s="39"/>
      <c r="J118" s="39"/>
      <c r="K118" s="28">
        <f>TABL1234[[#This Row],[خط (T/B  TOT) SAR]]+TABL1234[[#This Row],[خط (S/S  TOT) SAR2]]</f>
        <v>0</v>
      </c>
      <c r="L118" s="41"/>
      <c r="M118" s="42"/>
      <c r="N118" s="42"/>
      <c r="O118" s="39"/>
      <c r="P118" s="3">
        <f>TABL1234[[#This Row],[خط (S/S  TOT) SAR2]]-TABL1234[[#This Row],[(S/S TOT) AJD]]</f>
        <v>0</v>
      </c>
      <c r="Q118" s="39"/>
      <c r="R118" s="3">
        <f>TABL1234[[#This Row],[خط (T/B  TOT) SAR]]-TABL1234[[#This Row],[(T/B TOT) AJD]]</f>
        <v>0</v>
      </c>
      <c r="S118" s="3">
        <f>TABL1234[[#This Row],[الفرق بين بداية ونهاية خط  T/B]]+TABL1234[[#This Row],[الفرق بين بداية ونهاية خط  S/S]]</f>
        <v>0</v>
      </c>
      <c r="T118" s="3">
        <f>TABL1234[[#This Row],[(S/S TOT) AJD]]+TABL1234[[#This Row],[(T/B TOT) AJD]]</f>
        <v>0</v>
      </c>
      <c r="U118" s="41"/>
      <c r="V118" s="41"/>
      <c r="W118" s="3">
        <f>TABL1234[[#This Row],[(A/B TOT) AJD]]+TABL1234[[#This Row],[(A/S TOT) AJD]]</f>
        <v>0</v>
      </c>
      <c r="X118" s="3">
        <f>TABL1234[[#This Row],[( S/S+T/B) AJD]]-TABL1234[[#This Row],[(A/B + A/S) AJD]]</f>
        <v>0</v>
      </c>
      <c r="Y118" s="41"/>
      <c r="Z118" s="43"/>
      <c r="AA118" s="3">
        <f>TABL1234[[#This Row],[(RESV. STORGE) AJD]]/10</f>
        <v>0</v>
      </c>
      <c r="AB118" s="3">
        <f t="shared" si="3"/>
        <v>0</v>
      </c>
      <c r="AC118" s="5"/>
      <c r="AD118" s="39">
        <f>TABL1234[[#This Row],[( S/S+T/B) AJD]]-(TABL1234[[#This Row],[(A/B + A/S) AJD]]+(TABL1234[[#This Row],[(STORGE DIFF.) AJD]]*1000)+TABL1234[[#This Row],[البخر  AJD]])</f>
        <v>0</v>
      </c>
      <c r="AE118" s="41"/>
      <c r="AF118" s="43"/>
      <c r="AG118" s="43"/>
      <c r="AH118" s="6"/>
      <c r="AI118" s="43"/>
      <c r="AJ118" s="43">
        <f>TABL1234[[#This Row],[(A/B TOT) AJD]]-TABL1234[[#This Row],[BER_ IN]]</f>
        <v>0</v>
      </c>
      <c r="AK118" s="43"/>
      <c r="AL118" s="43"/>
      <c r="AM118" s="32"/>
      <c r="AN118" s="32">
        <f>TABL1234[[#This Row],[ (RESV. STORGE) SER]]/10</f>
        <v>0</v>
      </c>
      <c r="AO118" s="68"/>
      <c r="AP118" s="68">
        <f>TABL1234[[#This Row],[(A/S TOT) AJD]]-TABL1234[[#This Row],[SER_ IN]]</f>
        <v>0</v>
      </c>
    </row>
    <row r="119" spans="1:42" ht="18.75" x14ac:dyDescent="0.25">
      <c r="A119" s="2">
        <v>46505</v>
      </c>
      <c r="B119" s="44"/>
      <c r="C119" s="44"/>
      <c r="D119" s="44"/>
      <c r="E119" s="44"/>
      <c r="F119" s="44"/>
      <c r="G119" s="40"/>
      <c r="H119" s="28">
        <f t="shared" si="2"/>
        <v>103</v>
      </c>
      <c r="I119" s="40"/>
      <c r="J119" s="44"/>
      <c r="K119" s="28">
        <f>TABL1234[[#This Row],[خط (T/B  TOT) SAR]]+TABL1234[[#This Row],[خط (S/S  TOT) SAR2]]</f>
        <v>0</v>
      </c>
      <c r="L119" s="45"/>
      <c r="M119" s="46"/>
      <c r="N119" s="46"/>
      <c r="O119" s="40"/>
      <c r="P119" s="3">
        <f>TABL1234[[#This Row],[خط (S/S  TOT) SAR2]]-TABL1234[[#This Row],[(S/S TOT) AJD]]</f>
        <v>0</v>
      </c>
      <c r="Q119" s="40"/>
      <c r="R119" s="3">
        <f>TABL1234[[#This Row],[خط (T/B  TOT) SAR]]-TABL1234[[#This Row],[(T/B TOT) AJD]]</f>
        <v>0</v>
      </c>
      <c r="S119" s="3">
        <f>TABL1234[[#This Row],[الفرق بين بداية ونهاية خط  T/B]]+TABL1234[[#This Row],[الفرق بين بداية ونهاية خط  S/S]]</f>
        <v>0</v>
      </c>
      <c r="T119" s="3">
        <f>TABL1234[[#This Row],[(S/S TOT) AJD]]+TABL1234[[#This Row],[(T/B TOT) AJD]]</f>
        <v>0</v>
      </c>
      <c r="U119" s="44"/>
      <c r="V119" s="44"/>
      <c r="W119" s="3">
        <f>TABL1234[[#This Row],[(A/B TOT) AJD]]+TABL1234[[#This Row],[(A/S TOT) AJD]]</f>
        <v>0</v>
      </c>
      <c r="X119" s="3">
        <f>TABL1234[[#This Row],[( S/S+T/B) AJD]]-TABL1234[[#This Row],[(A/B + A/S) AJD]]</f>
        <v>0</v>
      </c>
      <c r="Y119" s="44"/>
      <c r="Z119" s="45"/>
      <c r="AA119" s="3">
        <f>TABL1234[[#This Row],[(RESV. STORGE) AJD]]/10</f>
        <v>0</v>
      </c>
      <c r="AB119" s="3">
        <f t="shared" si="3"/>
        <v>0</v>
      </c>
      <c r="AC119" s="5"/>
      <c r="AD119" s="40">
        <f>TABL1234[[#This Row],[( S/S+T/B) AJD]]-(TABL1234[[#This Row],[(A/B + A/S) AJD]]+(TABL1234[[#This Row],[(STORGE DIFF.) AJD]]*1000)+TABL1234[[#This Row],[البخر  AJD]])</f>
        <v>0</v>
      </c>
      <c r="AE119" s="44"/>
      <c r="AF119" s="45"/>
      <c r="AG119" s="45"/>
      <c r="AH119" s="6"/>
      <c r="AI119" s="45"/>
      <c r="AJ119" s="45">
        <f>TABL1234[[#This Row],[(A/B TOT) AJD]]-TABL1234[[#This Row],[BER_ IN]]</f>
        <v>0</v>
      </c>
      <c r="AK119" s="45"/>
      <c r="AL119" s="45"/>
      <c r="AM119" s="32"/>
      <c r="AN119" s="32">
        <f>TABL1234[[#This Row],[ (RESV. STORGE) SER]]/10</f>
        <v>0</v>
      </c>
      <c r="AO119" s="68"/>
      <c r="AP119" s="68">
        <f>TABL1234[[#This Row],[(A/S TOT) AJD]]-TABL1234[[#This Row],[SER_ IN]]</f>
        <v>0</v>
      </c>
    </row>
    <row r="120" spans="1:42" ht="18.75" x14ac:dyDescent="0.25">
      <c r="A120" s="2">
        <v>46506</v>
      </c>
      <c r="B120" s="41"/>
      <c r="C120" s="41"/>
      <c r="D120" s="41"/>
      <c r="E120" s="41"/>
      <c r="F120" s="41"/>
      <c r="G120" s="39"/>
      <c r="H120" s="28">
        <f t="shared" si="2"/>
        <v>103</v>
      </c>
      <c r="I120" s="39"/>
      <c r="J120" s="39"/>
      <c r="K120" s="28">
        <f>TABL1234[[#This Row],[خط (T/B  TOT) SAR]]+TABL1234[[#This Row],[خط (S/S  TOT) SAR2]]</f>
        <v>0</v>
      </c>
      <c r="L120" s="41"/>
      <c r="M120" s="42"/>
      <c r="N120" s="42"/>
      <c r="O120" s="39"/>
      <c r="P120" s="3">
        <f>TABL1234[[#This Row],[خط (S/S  TOT) SAR2]]-TABL1234[[#This Row],[(S/S TOT) AJD]]</f>
        <v>0</v>
      </c>
      <c r="Q120" s="39"/>
      <c r="R120" s="3">
        <f>TABL1234[[#This Row],[خط (T/B  TOT) SAR]]-TABL1234[[#This Row],[(T/B TOT) AJD]]</f>
        <v>0</v>
      </c>
      <c r="S120" s="3">
        <f>TABL1234[[#This Row],[الفرق بين بداية ونهاية خط  T/B]]+TABL1234[[#This Row],[الفرق بين بداية ونهاية خط  S/S]]</f>
        <v>0</v>
      </c>
      <c r="T120" s="3">
        <f>TABL1234[[#This Row],[(S/S TOT) AJD]]+TABL1234[[#This Row],[(T/B TOT) AJD]]</f>
        <v>0</v>
      </c>
      <c r="U120" s="41"/>
      <c r="V120" s="41"/>
      <c r="W120" s="3">
        <f>TABL1234[[#This Row],[(A/B TOT) AJD]]+TABL1234[[#This Row],[(A/S TOT) AJD]]</f>
        <v>0</v>
      </c>
      <c r="X120" s="3">
        <f>TABL1234[[#This Row],[( S/S+T/B) AJD]]-TABL1234[[#This Row],[(A/B + A/S) AJD]]</f>
        <v>0</v>
      </c>
      <c r="Y120" s="41"/>
      <c r="Z120" s="43"/>
      <c r="AA120" s="3">
        <f>TABL1234[[#This Row],[(RESV. STORGE) AJD]]/10</f>
        <v>0</v>
      </c>
      <c r="AB120" s="3">
        <f t="shared" si="3"/>
        <v>0</v>
      </c>
      <c r="AC120" s="5"/>
      <c r="AD120" s="39">
        <f>TABL1234[[#This Row],[( S/S+T/B) AJD]]-(TABL1234[[#This Row],[(A/B + A/S) AJD]]+(TABL1234[[#This Row],[(STORGE DIFF.) AJD]]*1000)+TABL1234[[#This Row],[البخر  AJD]])</f>
        <v>0</v>
      </c>
      <c r="AE120" s="41"/>
      <c r="AF120" s="43"/>
      <c r="AG120" s="43"/>
      <c r="AH120" s="6"/>
      <c r="AI120" s="43"/>
      <c r="AJ120" s="43">
        <f>TABL1234[[#This Row],[(A/B TOT) AJD]]-TABL1234[[#This Row],[BER_ IN]]</f>
        <v>0</v>
      </c>
      <c r="AK120" s="43"/>
      <c r="AL120" s="43"/>
      <c r="AM120" s="32"/>
      <c r="AN120" s="32">
        <f>TABL1234[[#This Row],[ (RESV. STORGE) SER]]/10</f>
        <v>0</v>
      </c>
      <c r="AO120" s="68"/>
      <c r="AP120" s="68">
        <f>TABL1234[[#This Row],[(A/S TOT) AJD]]-TABL1234[[#This Row],[SER_ IN]]</f>
        <v>0</v>
      </c>
    </row>
    <row r="121" spans="1:42" ht="18.75" x14ac:dyDescent="0.25">
      <c r="A121" s="2">
        <v>46507</v>
      </c>
      <c r="B121" s="44"/>
      <c r="C121" s="44"/>
      <c r="D121" s="44"/>
      <c r="E121" s="44"/>
      <c r="F121" s="44"/>
      <c r="G121" s="40"/>
      <c r="H121" s="28">
        <f t="shared" si="2"/>
        <v>103</v>
      </c>
      <c r="I121" s="40"/>
      <c r="J121" s="44"/>
      <c r="K121" s="28">
        <f>TABL1234[[#This Row],[خط (T/B  TOT) SAR]]+TABL1234[[#This Row],[خط (S/S  TOT) SAR2]]</f>
        <v>0</v>
      </c>
      <c r="L121" s="45"/>
      <c r="M121" s="46"/>
      <c r="N121" s="46"/>
      <c r="O121" s="40"/>
      <c r="P121" s="3">
        <f>TABL1234[[#This Row],[خط (S/S  TOT) SAR2]]-TABL1234[[#This Row],[(S/S TOT) AJD]]</f>
        <v>0</v>
      </c>
      <c r="Q121" s="40"/>
      <c r="R121" s="3">
        <f>TABL1234[[#This Row],[خط (T/B  TOT) SAR]]-TABL1234[[#This Row],[(T/B TOT) AJD]]</f>
        <v>0</v>
      </c>
      <c r="S121" s="3">
        <f>TABL1234[[#This Row],[الفرق بين بداية ونهاية خط  T/B]]+TABL1234[[#This Row],[الفرق بين بداية ونهاية خط  S/S]]</f>
        <v>0</v>
      </c>
      <c r="T121" s="3">
        <f>TABL1234[[#This Row],[(S/S TOT) AJD]]+TABL1234[[#This Row],[(T/B TOT) AJD]]</f>
        <v>0</v>
      </c>
      <c r="U121" s="44"/>
      <c r="V121" s="44"/>
      <c r="W121" s="3">
        <f>TABL1234[[#This Row],[(A/B TOT) AJD]]+TABL1234[[#This Row],[(A/S TOT) AJD]]</f>
        <v>0</v>
      </c>
      <c r="X121" s="3">
        <f>TABL1234[[#This Row],[( S/S+T/B) AJD]]-TABL1234[[#This Row],[(A/B + A/S) AJD]]</f>
        <v>0</v>
      </c>
      <c r="Y121" s="44"/>
      <c r="Z121" s="45"/>
      <c r="AA121" s="3">
        <f>TABL1234[[#This Row],[(RESV. STORGE) AJD]]/10</f>
        <v>0</v>
      </c>
      <c r="AB121" s="3">
        <f t="shared" si="3"/>
        <v>0</v>
      </c>
      <c r="AC121" s="5"/>
      <c r="AD121" s="40">
        <f>TABL1234[[#This Row],[( S/S+T/B) AJD]]-(TABL1234[[#This Row],[(A/B + A/S) AJD]]+(TABL1234[[#This Row],[(STORGE DIFF.) AJD]]*1000)+TABL1234[[#This Row],[البخر  AJD]])</f>
        <v>0</v>
      </c>
      <c r="AE121" s="44"/>
      <c r="AF121" s="45"/>
      <c r="AG121" s="45"/>
      <c r="AH121" s="6"/>
      <c r="AI121" s="45"/>
      <c r="AJ121" s="45">
        <f>TABL1234[[#This Row],[(A/B TOT) AJD]]-TABL1234[[#This Row],[BER_ IN]]</f>
        <v>0</v>
      </c>
      <c r="AK121" s="45"/>
      <c r="AL121" s="45"/>
      <c r="AM121" s="32"/>
      <c r="AN121" s="32">
        <f>TABL1234[[#This Row],[ (RESV. STORGE) SER]]/10</f>
        <v>0</v>
      </c>
      <c r="AO121" s="68"/>
      <c r="AP121" s="68">
        <f>TABL1234[[#This Row],[(A/S TOT) AJD]]-TABL1234[[#This Row],[SER_ IN]]</f>
        <v>0</v>
      </c>
    </row>
    <row r="122" spans="1:42" ht="18.75" x14ac:dyDescent="0.25">
      <c r="A122" s="2">
        <v>46508</v>
      </c>
      <c r="B122" s="41"/>
      <c r="C122" s="41"/>
      <c r="D122" s="41"/>
      <c r="E122" s="41"/>
      <c r="F122" s="41"/>
      <c r="G122" s="39"/>
      <c r="H122" s="28">
        <f t="shared" si="2"/>
        <v>103</v>
      </c>
      <c r="I122" s="39"/>
      <c r="J122" s="39"/>
      <c r="K122" s="28">
        <f>TABL1234[[#This Row],[خط (T/B  TOT) SAR]]+TABL1234[[#This Row],[خط (S/S  TOT) SAR2]]</f>
        <v>0</v>
      </c>
      <c r="L122" s="41"/>
      <c r="M122" s="42"/>
      <c r="N122" s="42"/>
      <c r="O122" s="39"/>
      <c r="P122" s="3">
        <f>TABL1234[[#This Row],[خط (S/S  TOT) SAR2]]-TABL1234[[#This Row],[(S/S TOT) AJD]]</f>
        <v>0</v>
      </c>
      <c r="Q122" s="39"/>
      <c r="R122" s="3">
        <f>TABL1234[[#This Row],[خط (T/B  TOT) SAR]]-TABL1234[[#This Row],[(T/B TOT) AJD]]</f>
        <v>0</v>
      </c>
      <c r="S122" s="3">
        <f>TABL1234[[#This Row],[الفرق بين بداية ونهاية خط  T/B]]+TABL1234[[#This Row],[الفرق بين بداية ونهاية خط  S/S]]</f>
        <v>0</v>
      </c>
      <c r="T122" s="3">
        <f>TABL1234[[#This Row],[(S/S TOT) AJD]]+TABL1234[[#This Row],[(T/B TOT) AJD]]</f>
        <v>0</v>
      </c>
      <c r="U122" s="41"/>
      <c r="V122" s="41"/>
      <c r="W122" s="3">
        <f>TABL1234[[#This Row],[(A/B TOT) AJD]]+TABL1234[[#This Row],[(A/S TOT) AJD]]</f>
        <v>0</v>
      </c>
      <c r="X122" s="3">
        <f>TABL1234[[#This Row],[( S/S+T/B) AJD]]-TABL1234[[#This Row],[(A/B + A/S) AJD]]</f>
        <v>0</v>
      </c>
      <c r="Y122" s="41"/>
      <c r="Z122" s="43"/>
      <c r="AA122" s="3">
        <f>TABL1234[[#This Row],[(RESV. STORGE) AJD]]/10</f>
        <v>0</v>
      </c>
      <c r="AB122" s="3">
        <f t="shared" si="3"/>
        <v>0</v>
      </c>
      <c r="AC122" s="5"/>
      <c r="AD122" s="39">
        <f>TABL1234[[#This Row],[( S/S+T/B) AJD]]-(TABL1234[[#This Row],[(A/B + A/S) AJD]]+(TABL1234[[#This Row],[(STORGE DIFF.) AJD]]*1000)+TABL1234[[#This Row],[البخر  AJD]])</f>
        <v>0</v>
      </c>
      <c r="AE122" s="41"/>
      <c r="AF122" s="43"/>
      <c r="AG122" s="43"/>
      <c r="AH122" s="6"/>
      <c r="AI122" s="43"/>
      <c r="AJ122" s="43">
        <f>TABL1234[[#This Row],[(A/B TOT) AJD]]-TABL1234[[#This Row],[BER_ IN]]</f>
        <v>0</v>
      </c>
      <c r="AK122" s="43"/>
      <c r="AL122" s="43"/>
      <c r="AM122" s="32"/>
      <c r="AN122" s="32">
        <f>TABL1234[[#This Row],[ (RESV. STORGE) SER]]/10</f>
        <v>0</v>
      </c>
      <c r="AO122" s="68"/>
      <c r="AP122" s="68">
        <f>TABL1234[[#This Row],[(A/S TOT) AJD]]-TABL1234[[#This Row],[SER_ IN]]</f>
        <v>0</v>
      </c>
    </row>
    <row r="123" spans="1:42" ht="18.75" x14ac:dyDescent="0.25">
      <c r="A123" s="2">
        <v>46509</v>
      </c>
      <c r="B123" s="44"/>
      <c r="C123" s="44"/>
      <c r="D123" s="44"/>
      <c r="E123" s="44"/>
      <c r="F123" s="44"/>
      <c r="G123" s="40"/>
      <c r="H123" s="28">
        <f t="shared" si="2"/>
        <v>103</v>
      </c>
      <c r="I123" s="40"/>
      <c r="J123" s="44"/>
      <c r="K123" s="28">
        <f>TABL1234[[#This Row],[خط (T/B  TOT) SAR]]+TABL1234[[#This Row],[خط (S/S  TOT) SAR2]]</f>
        <v>0</v>
      </c>
      <c r="L123" s="45"/>
      <c r="M123" s="46"/>
      <c r="N123" s="46"/>
      <c r="O123" s="40"/>
      <c r="P123" s="3">
        <f>TABL1234[[#This Row],[خط (S/S  TOT) SAR2]]-TABL1234[[#This Row],[(S/S TOT) AJD]]</f>
        <v>0</v>
      </c>
      <c r="Q123" s="40"/>
      <c r="R123" s="3">
        <f>TABL1234[[#This Row],[خط (T/B  TOT) SAR]]-TABL1234[[#This Row],[(T/B TOT) AJD]]</f>
        <v>0</v>
      </c>
      <c r="S123" s="3">
        <f>TABL1234[[#This Row],[الفرق بين بداية ونهاية خط  T/B]]+TABL1234[[#This Row],[الفرق بين بداية ونهاية خط  S/S]]</f>
        <v>0</v>
      </c>
      <c r="T123" s="3">
        <f>TABL1234[[#This Row],[(S/S TOT) AJD]]+TABL1234[[#This Row],[(T/B TOT) AJD]]</f>
        <v>0</v>
      </c>
      <c r="U123" s="44"/>
      <c r="V123" s="44"/>
      <c r="W123" s="3">
        <f>TABL1234[[#This Row],[(A/B TOT) AJD]]+TABL1234[[#This Row],[(A/S TOT) AJD]]</f>
        <v>0</v>
      </c>
      <c r="X123" s="3">
        <f>TABL1234[[#This Row],[( S/S+T/B) AJD]]-TABL1234[[#This Row],[(A/B + A/S) AJD]]</f>
        <v>0</v>
      </c>
      <c r="Y123" s="44"/>
      <c r="Z123" s="45"/>
      <c r="AA123" s="3">
        <f>TABL1234[[#This Row],[(RESV. STORGE) AJD]]/10</f>
        <v>0</v>
      </c>
      <c r="AB123" s="3">
        <f t="shared" si="3"/>
        <v>0</v>
      </c>
      <c r="AC123" s="5"/>
      <c r="AD123" s="40">
        <f>TABL1234[[#This Row],[( S/S+T/B) AJD]]-(TABL1234[[#This Row],[(A/B + A/S) AJD]]+(TABL1234[[#This Row],[(STORGE DIFF.) AJD]]*1000)+TABL1234[[#This Row],[البخر  AJD]])</f>
        <v>0</v>
      </c>
      <c r="AE123" s="44"/>
      <c r="AF123" s="45"/>
      <c r="AG123" s="45"/>
      <c r="AH123" s="6"/>
      <c r="AI123" s="45"/>
      <c r="AJ123" s="45">
        <f>TABL1234[[#This Row],[(A/B TOT) AJD]]-TABL1234[[#This Row],[BER_ IN]]</f>
        <v>0</v>
      </c>
      <c r="AK123" s="45"/>
      <c r="AL123" s="45"/>
      <c r="AM123" s="32"/>
      <c r="AN123" s="32">
        <f>TABL1234[[#This Row],[ (RESV. STORGE) SER]]/10</f>
        <v>0</v>
      </c>
      <c r="AO123" s="68"/>
      <c r="AP123" s="68">
        <f>TABL1234[[#This Row],[(A/S TOT) AJD]]-TABL1234[[#This Row],[SER_ IN]]</f>
        <v>0</v>
      </c>
    </row>
    <row r="124" spans="1:42" ht="18.75" x14ac:dyDescent="0.25">
      <c r="A124" s="2">
        <v>46510</v>
      </c>
      <c r="B124" s="41"/>
      <c r="C124" s="41"/>
      <c r="D124" s="41"/>
      <c r="E124" s="41"/>
      <c r="F124" s="41"/>
      <c r="G124" s="39"/>
      <c r="H124" s="28">
        <f t="shared" si="2"/>
        <v>103</v>
      </c>
      <c r="I124" s="39"/>
      <c r="J124" s="39"/>
      <c r="K124" s="28">
        <f>TABL1234[[#This Row],[خط (T/B  TOT) SAR]]+TABL1234[[#This Row],[خط (S/S  TOT) SAR2]]</f>
        <v>0</v>
      </c>
      <c r="L124" s="41"/>
      <c r="M124" s="42"/>
      <c r="N124" s="42"/>
      <c r="O124" s="39"/>
      <c r="P124" s="3">
        <f>TABL1234[[#This Row],[خط (S/S  TOT) SAR2]]-TABL1234[[#This Row],[(S/S TOT) AJD]]</f>
        <v>0</v>
      </c>
      <c r="Q124" s="39"/>
      <c r="R124" s="3">
        <f>TABL1234[[#This Row],[خط (T/B  TOT) SAR]]-TABL1234[[#This Row],[(T/B TOT) AJD]]</f>
        <v>0</v>
      </c>
      <c r="S124" s="3">
        <f>TABL1234[[#This Row],[الفرق بين بداية ونهاية خط  T/B]]+TABL1234[[#This Row],[الفرق بين بداية ونهاية خط  S/S]]</f>
        <v>0</v>
      </c>
      <c r="T124" s="3">
        <f>TABL1234[[#This Row],[(S/S TOT) AJD]]+TABL1234[[#This Row],[(T/B TOT) AJD]]</f>
        <v>0</v>
      </c>
      <c r="U124" s="41"/>
      <c r="V124" s="41"/>
      <c r="W124" s="3">
        <f>TABL1234[[#This Row],[(A/B TOT) AJD]]+TABL1234[[#This Row],[(A/S TOT) AJD]]</f>
        <v>0</v>
      </c>
      <c r="X124" s="3">
        <f>TABL1234[[#This Row],[( S/S+T/B) AJD]]-TABL1234[[#This Row],[(A/B + A/S) AJD]]</f>
        <v>0</v>
      </c>
      <c r="Y124" s="41"/>
      <c r="Z124" s="43"/>
      <c r="AA124" s="3">
        <f>TABL1234[[#This Row],[(RESV. STORGE) AJD]]/10</f>
        <v>0</v>
      </c>
      <c r="AB124" s="3">
        <f t="shared" si="3"/>
        <v>0</v>
      </c>
      <c r="AC124" s="5"/>
      <c r="AD124" s="39">
        <f>TABL1234[[#This Row],[( S/S+T/B) AJD]]-(TABL1234[[#This Row],[(A/B + A/S) AJD]]+(TABL1234[[#This Row],[(STORGE DIFF.) AJD]]*1000)+TABL1234[[#This Row],[البخر  AJD]])</f>
        <v>0</v>
      </c>
      <c r="AE124" s="41"/>
      <c r="AF124" s="43"/>
      <c r="AG124" s="43"/>
      <c r="AH124" s="6"/>
      <c r="AI124" s="43"/>
      <c r="AJ124" s="43">
        <f>TABL1234[[#This Row],[(A/B TOT) AJD]]-TABL1234[[#This Row],[BER_ IN]]</f>
        <v>0</v>
      </c>
      <c r="AK124" s="43"/>
      <c r="AL124" s="43"/>
      <c r="AM124" s="32"/>
      <c r="AN124" s="32">
        <f>TABL1234[[#This Row],[ (RESV. STORGE) SER]]/10</f>
        <v>0</v>
      </c>
      <c r="AO124" s="68"/>
      <c r="AP124" s="68">
        <f>TABL1234[[#This Row],[(A/S TOT) AJD]]-TABL1234[[#This Row],[SER_ IN]]</f>
        <v>0</v>
      </c>
    </row>
    <row r="125" spans="1:42" ht="18.75" x14ac:dyDescent="0.25">
      <c r="A125" s="2">
        <v>46511</v>
      </c>
      <c r="B125" s="44"/>
      <c r="C125" s="44"/>
      <c r="D125" s="44"/>
      <c r="E125" s="44"/>
      <c r="F125" s="44"/>
      <c r="G125" s="40"/>
      <c r="H125" s="28">
        <f t="shared" si="2"/>
        <v>103</v>
      </c>
      <c r="I125" s="40"/>
      <c r="J125" s="44"/>
      <c r="K125" s="28">
        <f>TABL1234[[#This Row],[خط (T/B  TOT) SAR]]+TABL1234[[#This Row],[خط (S/S  TOT) SAR2]]</f>
        <v>0</v>
      </c>
      <c r="L125" s="45"/>
      <c r="M125" s="46"/>
      <c r="N125" s="46"/>
      <c r="O125" s="40"/>
      <c r="P125" s="3">
        <f>TABL1234[[#This Row],[خط (S/S  TOT) SAR2]]-TABL1234[[#This Row],[(S/S TOT) AJD]]</f>
        <v>0</v>
      </c>
      <c r="Q125" s="40"/>
      <c r="R125" s="3">
        <f>TABL1234[[#This Row],[خط (T/B  TOT) SAR]]-TABL1234[[#This Row],[(T/B TOT) AJD]]</f>
        <v>0</v>
      </c>
      <c r="S125" s="3">
        <f>TABL1234[[#This Row],[الفرق بين بداية ونهاية خط  T/B]]+TABL1234[[#This Row],[الفرق بين بداية ونهاية خط  S/S]]</f>
        <v>0</v>
      </c>
      <c r="T125" s="3">
        <f>TABL1234[[#This Row],[(S/S TOT) AJD]]+TABL1234[[#This Row],[(T/B TOT) AJD]]</f>
        <v>0</v>
      </c>
      <c r="U125" s="44"/>
      <c r="V125" s="44"/>
      <c r="W125" s="3">
        <f>TABL1234[[#This Row],[(A/B TOT) AJD]]+TABL1234[[#This Row],[(A/S TOT) AJD]]</f>
        <v>0</v>
      </c>
      <c r="X125" s="3">
        <f>TABL1234[[#This Row],[( S/S+T/B) AJD]]-TABL1234[[#This Row],[(A/B + A/S) AJD]]</f>
        <v>0</v>
      </c>
      <c r="Y125" s="44"/>
      <c r="Z125" s="45"/>
      <c r="AA125" s="3">
        <f>TABL1234[[#This Row],[(RESV. STORGE) AJD]]/10</f>
        <v>0</v>
      </c>
      <c r="AB125" s="3">
        <f t="shared" si="3"/>
        <v>0</v>
      </c>
      <c r="AC125" s="5"/>
      <c r="AD125" s="40">
        <f>TABL1234[[#This Row],[( S/S+T/B) AJD]]-(TABL1234[[#This Row],[(A/B + A/S) AJD]]+(TABL1234[[#This Row],[(STORGE DIFF.) AJD]]*1000)+TABL1234[[#This Row],[البخر  AJD]])</f>
        <v>0</v>
      </c>
      <c r="AE125" s="44"/>
      <c r="AF125" s="45"/>
      <c r="AG125" s="45"/>
      <c r="AH125" s="6"/>
      <c r="AI125" s="45"/>
      <c r="AJ125" s="45">
        <f>TABL1234[[#This Row],[(A/B TOT) AJD]]-TABL1234[[#This Row],[BER_ IN]]</f>
        <v>0</v>
      </c>
      <c r="AK125" s="45"/>
      <c r="AL125" s="45"/>
      <c r="AM125" s="32"/>
      <c r="AN125" s="32">
        <f>TABL1234[[#This Row],[ (RESV. STORGE) SER]]/10</f>
        <v>0</v>
      </c>
      <c r="AO125" s="68"/>
      <c r="AP125" s="68">
        <f>TABL1234[[#This Row],[(A/S TOT) AJD]]-TABL1234[[#This Row],[SER_ IN]]</f>
        <v>0</v>
      </c>
    </row>
    <row r="126" spans="1:42" ht="18.75" x14ac:dyDescent="0.25">
      <c r="A126" s="2">
        <v>46512</v>
      </c>
      <c r="B126" s="41"/>
      <c r="C126" s="41"/>
      <c r="D126" s="41"/>
      <c r="E126" s="41"/>
      <c r="F126" s="41"/>
      <c r="G126" s="39"/>
      <c r="H126" s="28">
        <f t="shared" si="2"/>
        <v>103</v>
      </c>
      <c r="I126" s="39"/>
      <c r="J126" s="39"/>
      <c r="K126" s="28">
        <f>TABL1234[[#This Row],[خط (T/B  TOT) SAR]]+TABL1234[[#This Row],[خط (S/S  TOT) SAR2]]</f>
        <v>0</v>
      </c>
      <c r="L126" s="41"/>
      <c r="M126" s="42"/>
      <c r="N126" s="42"/>
      <c r="O126" s="39"/>
      <c r="P126" s="3">
        <f>TABL1234[[#This Row],[خط (S/S  TOT) SAR2]]-TABL1234[[#This Row],[(S/S TOT) AJD]]</f>
        <v>0</v>
      </c>
      <c r="Q126" s="39"/>
      <c r="R126" s="3">
        <f>TABL1234[[#This Row],[خط (T/B  TOT) SAR]]-TABL1234[[#This Row],[(T/B TOT) AJD]]</f>
        <v>0</v>
      </c>
      <c r="S126" s="3">
        <f>TABL1234[[#This Row],[الفرق بين بداية ونهاية خط  T/B]]+TABL1234[[#This Row],[الفرق بين بداية ونهاية خط  S/S]]</f>
        <v>0</v>
      </c>
      <c r="T126" s="3">
        <f>TABL1234[[#This Row],[(S/S TOT) AJD]]+TABL1234[[#This Row],[(T/B TOT) AJD]]</f>
        <v>0</v>
      </c>
      <c r="U126" s="41"/>
      <c r="V126" s="41"/>
      <c r="W126" s="3">
        <f>TABL1234[[#This Row],[(A/B TOT) AJD]]+TABL1234[[#This Row],[(A/S TOT) AJD]]</f>
        <v>0</v>
      </c>
      <c r="X126" s="3">
        <f>TABL1234[[#This Row],[( S/S+T/B) AJD]]-TABL1234[[#This Row],[(A/B + A/S) AJD]]</f>
        <v>0</v>
      </c>
      <c r="Y126" s="41"/>
      <c r="Z126" s="43"/>
      <c r="AA126" s="3">
        <f>TABL1234[[#This Row],[(RESV. STORGE) AJD]]/10</f>
        <v>0</v>
      </c>
      <c r="AB126" s="3">
        <f t="shared" si="3"/>
        <v>0</v>
      </c>
      <c r="AC126" s="5"/>
      <c r="AD126" s="39">
        <f>TABL1234[[#This Row],[( S/S+T/B) AJD]]-(TABL1234[[#This Row],[(A/B + A/S) AJD]]+(TABL1234[[#This Row],[(STORGE DIFF.) AJD]]*1000)+TABL1234[[#This Row],[البخر  AJD]])</f>
        <v>0</v>
      </c>
      <c r="AE126" s="41"/>
      <c r="AF126" s="43"/>
      <c r="AG126" s="43"/>
      <c r="AH126" s="6"/>
      <c r="AI126" s="43"/>
      <c r="AJ126" s="43">
        <f>TABL1234[[#This Row],[(A/B TOT) AJD]]-TABL1234[[#This Row],[BER_ IN]]</f>
        <v>0</v>
      </c>
      <c r="AK126" s="43"/>
      <c r="AL126" s="43"/>
      <c r="AM126" s="32"/>
      <c r="AN126" s="32">
        <f>TABL1234[[#This Row],[ (RESV. STORGE) SER]]/10</f>
        <v>0</v>
      </c>
      <c r="AO126" s="68"/>
      <c r="AP126" s="68">
        <f>TABL1234[[#This Row],[(A/S TOT) AJD]]-TABL1234[[#This Row],[SER_ IN]]</f>
        <v>0</v>
      </c>
    </row>
    <row r="127" spans="1:42" ht="18.75" x14ac:dyDescent="0.25">
      <c r="A127" s="2">
        <v>46513</v>
      </c>
      <c r="B127" s="44"/>
      <c r="C127" s="44"/>
      <c r="D127" s="44"/>
      <c r="E127" s="44"/>
      <c r="F127" s="44"/>
      <c r="G127" s="40"/>
      <c r="H127" s="28">
        <f t="shared" si="2"/>
        <v>103</v>
      </c>
      <c r="I127" s="40"/>
      <c r="J127" s="44"/>
      <c r="K127" s="28">
        <f>TABL1234[[#This Row],[خط (T/B  TOT) SAR]]+TABL1234[[#This Row],[خط (S/S  TOT) SAR2]]</f>
        <v>0</v>
      </c>
      <c r="L127" s="45"/>
      <c r="M127" s="46"/>
      <c r="N127" s="46"/>
      <c r="O127" s="40"/>
      <c r="P127" s="3">
        <f>TABL1234[[#This Row],[خط (S/S  TOT) SAR2]]-TABL1234[[#This Row],[(S/S TOT) AJD]]</f>
        <v>0</v>
      </c>
      <c r="Q127" s="40"/>
      <c r="R127" s="3">
        <f>TABL1234[[#This Row],[خط (T/B  TOT) SAR]]-TABL1234[[#This Row],[(T/B TOT) AJD]]</f>
        <v>0</v>
      </c>
      <c r="S127" s="3">
        <f>TABL1234[[#This Row],[الفرق بين بداية ونهاية خط  T/B]]+TABL1234[[#This Row],[الفرق بين بداية ونهاية خط  S/S]]</f>
        <v>0</v>
      </c>
      <c r="T127" s="3">
        <f>TABL1234[[#This Row],[(S/S TOT) AJD]]+TABL1234[[#This Row],[(T/B TOT) AJD]]</f>
        <v>0</v>
      </c>
      <c r="U127" s="44"/>
      <c r="V127" s="44"/>
      <c r="W127" s="3">
        <f>TABL1234[[#This Row],[(A/B TOT) AJD]]+TABL1234[[#This Row],[(A/S TOT) AJD]]</f>
        <v>0</v>
      </c>
      <c r="X127" s="3">
        <f>TABL1234[[#This Row],[( S/S+T/B) AJD]]-TABL1234[[#This Row],[(A/B + A/S) AJD]]</f>
        <v>0</v>
      </c>
      <c r="Y127" s="44"/>
      <c r="Z127" s="45"/>
      <c r="AA127" s="3">
        <f>TABL1234[[#This Row],[(RESV. STORGE) AJD]]/10</f>
        <v>0</v>
      </c>
      <c r="AB127" s="3">
        <f t="shared" si="3"/>
        <v>0</v>
      </c>
      <c r="AC127" s="5"/>
      <c r="AD127" s="40">
        <f>TABL1234[[#This Row],[( S/S+T/B) AJD]]-(TABL1234[[#This Row],[(A/B + A/S) AJD]]+(TABL1234[[#This Row],[(STORGE DIFF.) AJD]]*1000)+TABL1234[[#This Row],[البخر  AJD]])</f>
        <v>0</v>
      </c>
      <c r="AE127" s="44"/>
      <c r="AF127" s="45"/>
      <c r="AG127" s="45"/>
      <c r="AH127" s="6"/>
      <c r="AI127" s="45"/>
      <c r="AJ127" s="45">
        <f>TABL1234[[#This Row],[(A/B TOT) AJD]]-TABL1234[[#This Row],[BER_ IN]]</f>
        <v>0</v>
      </c>
      <c r="AK127" s="45"/>
      <c r="AL127" s="45"/>
      <c r="AM127" s="32"/>
      <c r="AN127" s="32">
        <f>TABL1234[[#This Row],[ (RESV. STORGE) SER]]/10</f>
        <v>0</v>
      </c>
      <c r="AO127" s="68"/>
      <c r="AP127" s="68">
        <f>TABL1234[[#This Row],[(A/S TOT) AJD]]-TABL1234[[#This Row],[SER_ IN]]</f>
        <v>0</v>
      </c>
    </row>
    <row r="128" spans="1:42" ht="18.75" x14ac:dyDescent="0.25">
      <c r="A128" s="2">
        <v>46514</v>
      </c>
      <c r="B128" s="41"/>
      <c r="C128" s="41"/>
      <c r="D128" s="41"/>
      <c r="E128" s="41"/>
      <c r="F128" s="41"/>
      <c r="G128" s="39"/>
      <c r="H128" s="28">
        <f t="shared" si="2"/>
        <v>103</v>
      </c>
      <c r="I128" s="39"/>
      <c r="J128" s="39"/>
      <c r="K128" s="28">
        <f>TABL1234[[#This Row],[خط (T/B  TOT) SAR]]+TABL1234[[#This Row],[خط (S/S  TOT) SAR2]]</f>
        <v>0</v>
      </c>
      <c r="L128" s="41"/>
      <c r="M128" s="42"/>
      <c r="N128" s="42"/>
      <c r="O128" s="39"/>
      <c r="P128" s="3">
        <f>TABL1234[[#This Row],[خط (S/S  TOT) SAR2]]-TABL1234[[#This Row],[(S/S TOT) AJD]]</f>
        <v>0</v>
      </c>
      <c r="Q128" s="39"/>
      <c r="R128" s="3">
        <f>TABL1234[[#This Row],[خط (T/B  TOT) SAR]]-TABL1234[[#This Row],[(T/B TOT) AJD]]</f>
        <v>0</v>
      </c>
      <c r="S128" s="3">
        <f>TABL1234[[#This Row],[الفرق بين بداية ونهاية خط  T/B]]+TABL1234[[#This Row],[الفرق بين بداية ونهاية خط  S/S]]</f>
        <v>0</v>
      </c>
      <c r="T128" s="3">
        <f>TABL1234[[#This Row],[(S/S TOT) AJD]]+TABL1234[[#This Row],[(T/B TOT) AJD]]</f>
        <v>0</v>
      </c>
      <c r="U128" s="41"/>
      <c r="V128" s="41"/>
      <c r="W128" s="3">
        <f>TABL1234[[#This Row],[(A/B TOT) AJD]]+TABL1234[[#This Row],[(A/S TOT) AJD]]</f>
        <v>0</v>
      </c>
      <c r="X128" s="3">
        <f>TABL1234[[#This Row],[( S/S+T/B) AJD]]-TABL1234[[#This Row],[(A/B + A/S) AJD]]</f>
        <v>0</v>
      </c>
      <c r="Y128" s="41"/>
      <c r="Z128" s="43"/>
      <c r="AA128" s="3">
        <f>TABL1234[[#This Row],[(RESV. STORGE) AJD]]/10</f>
        <v>0</v>
      </c>
      <c r="AB128" s="3">
        <f t="shared" si="3"/>
        <v>0</v>
      </c>
      <c r="AC128" s="5"/>
      <c r="AD128" s="39">
        <f>TABL1234[[#This Row],[( S/S+T/B) AJD]]-(TABL1234[[#This Row],[(A/B + A/S) AJD]]+(TABL1234[[#This Row],[(STORGE DIFF.) AJD]]*1000)+TABL1234[[#This Row],[البخر  AJD]])</f>
        <v>0</v>
      </c>
      <c r="AE128" s="41"/>
      <c r="AF128" s="43"/>
      <c r="AG128" s="43"/>
      <c r="AH128" s="6"/>
      <c r="AI128" s="43"/>
      <c r="AJ128" s="43">
        <f>TABL1234[[#This Row],[(A/B TOT) AJD]]-TABL1234[[#This Row],[BER_ IN]]</f>
        <v>0</v>
      </c>
      <c r="AK128" s="43"/>
      <c r="AL128" s="43"/>
      <c r="AM128" s="32"/>
      <c r="AN128" s="32">
        <f>TABL1234[[#This Row],[ (RESV. STORGE) SER]]/10</f>
        <v>0</v>
      </c>
      <c r="AO128" s="68"/>
      <c r="AP128" s="68">
        <f>TABL1234[[#This Row],[(A/S TOT) AJD]]-TABL1234[[#This Row],[SER_ IN]]</f>
        <v>0</v>
      </c>
    </row>
    <row r="129" spans="1:42" ht="18.75" x14ac:dyDescent="0.25">
      <c r="A129" s="2">
        <v>46515</v>
      </c>
      <c r="B129" s="44"/>
      <c r="C129" s="44"/>
      <c r="D129" s="44"/>
      <c r="E129" s="44"/>
      <c r="F129" s="44"/>
      <c r="G129" s="40"/>
      <c r="H129" s="28">
        <f t="shared" si="2"/>
        <v>103</v>
      </c>
      <c r="I129" s="40"/>
      <c r="J129" s="44"/>
      <c r="K129" s="28">
        <f>TABL1234[[#This Row],[خط (T/B  TOT) SAR]]+TABL1234[[#This Row],[خط (S/S  TOT) SAR2]]</f>
        <v>0</v>
      </c>
      <c r="L129" s="45"/>
      <c r="M129" s="46"/>
      <c r="N129" s="46"/>
      <c r="O129" s="40"/>
      <c r="P129" s="3">
        <f>TABL1234[[#This Row],[خط (S/S  TOT) SAR2]]-TABL1234[[#This Row],[(S/S TOT) AJD]]</f>
        <v>0</v>
      </c>
      <c r="Q129" s="40"/>
      <c r="R129" s="3">
        <f>TABL1234[[#This Row],[خط (T/B  TOT) SAR]]-TABL1234[[#This Row],[(T/B TOT) AJD]]</f>
        <v>0</v>
      </c>
      <c r="S129" s="3">
        <f>TABL1234[[#This Row],[الفرق بين بداية ونهاية خط  T/B]]+TABL1234[[#This Row],[الفرق بين بداية ونهاية خط  S/S]]</f>
        <v>0</v>
      </c>
      <c r="T129" s="3">
        <f>TABL1234[[#This Row],[(S/S TOT) AJD]]+TABL1234[[#This Row],[(T/B TOT) AJD]]</f>
        <v>0</v>
      </c>
      <c r="U129" s="44"/>
      <c r="V129" s="44"/>
      <c r="W129" s="3">
        <f>TABL1234[[#This Row],[(A/B TOT) AJD]]+TABL1234[[#This Row],[(A/S TOT) AJD]]</f>
        <v>0</v>
      </c>
      <c r="X129" s="3">
        <f>TABL1234[[#This Row],[( S/S+T/B) AJD]]-TABL1234[[#This Row],[(A/B + A/S) AJD]]</f>
        <v>0</v>
      </c>
      <c r="Y129" s="44"/>
      <c r="Z129" s="45"/>
      <c r="AA129" s="3">
        <f>TABL1234[[#This Row],[(RESV. STORGE) AJD]]/10</f>
        <v>0</v>
      </c>
      <c r="AB129" s="3">
        <f t="shared" si="3"/>
        <v>0</v>
      </c>
      <c r="AC129" s="5"/>
      <c r="AD129" s="40">
        <f>TABL1234[[#This Row],[( S/S+T/B) AJD]]-(TABL1234[[#This Row],[(A/B + A/S) AJD]]+(TABL1234[[#This Row],[(STORGE DIFF.) AJD]]*1000)+TABL1234[[#This Row],[البخر  AJD]])</f>
        <v>0</v>
      </c>
      <c r="AE129" s="44"/>
      <c r="AF129" s="45"/>
      <c r="AG129" s="45"/>
      <c r="AH129" s="6"/>
      <c r="AI129" s="45"/>
      <c r="AJ129" s="45">
        <f>TABL1234[[#This Row],[(A/B TOT) AJD]]-TABL1234[[#This Row],[BER_ IN]]</f>
        <v>0</v>
      </c>
      <c r="AK129" s="45"/>
      <c r="AL129" s="45"/>
      <c r="AM129" s="32"/>
      <c r="AN129" s="32">
        <f>TABL1234[[#This Row],[ (RESV. STORGE) SER]]/10</f>
        <v>0</v>
      </c>
      <c r="AO129" s="68"/>
      <c r="AP129" s="68">
        <f>TABL1234[[#This Row],[(A/S TOT) AJD]]-TABL1234[[#This Row],[SER_ IN]]</f>
        <v>0</v>
      </c>
    </row>
    <row r="130" spans="1:42" ht="18.75" x14ac:dyDescent="0.25">
      <c r="A130" s="2">
        <v>46516</v>
      </c>
      <c r="B130" s="41"/>
      <c r="C130" s="41"/>
      <c r="D130" s="41"/>
      <c r="E130" s="41"/>
      <c r="F130" s="41"/>
      <c r="G130" s="39"/>
      <c r="H130" s="28">
        <f t="shared" ref="H130:H193" si="4">103-F130</f>
        <v>103</v>
      </c>
      <c r="I130" s="39"/>
      <c r="J130" s="39"/>
      <c r="K130" s="28">
        <f>TABL1234[[#This Row],[خط (T/B  TOT) SAR]]+TABL1234[[#This Row],[خط (S/S  TOT) SAR2]]</f>
        <v>0</v>
      </c>
      <c r="L130" s="41"/>
      <c r="M130" s="42"/>
      <c r="N130" s="42"/>
      <c r="O130" s="39"/>
      <c r="P130" s="3">
        <f>TABL1234[[#This Row],[خط (S/S  TOT) SAR2]]-TABL1234[[#This Row],[(S/S TOT) AJD]]</f>
        <v>0</v>
      </c>
      <c r="Q130" s="39"/>
      <c r="R130" s="3">
        <f>TABL1234[[#This Row],[خط (T/B  TOT) SAR]]-TABL1234[[#This Row],[(T/B TOT) AJD]]</f>
        <v>0</v>
      </c>
      <c r="S130" s="3">
        <f>TABL1234[[#This Row],[الفرق بين بداية ونهاية خط  T/B]]+TABL1234[[#This Row],[الفرق بين بداية ونهاية خط  S/S]]</f>
        <v>0</v>
      </c>
      <c r="T130" s="3">
        <f>TABL1234[[#This Row],[(S/S TOT) AJD]]+TABL1234[[#This Row],[(T/B TOT) AJD]]</f>
        <v>0</v>
      </c>
      <c r="U130" s="41"/>
      <c r="V130" s="41"/>
      <c r="W130" s="3">
        <f>TABL1234[[#This Row],[(A/B TOT) AJD]]+TABL1234[[#This Row],[(A/S TOT) AJD]]</f>
        <v>0</v>
      </c>
      <c r="X130" s="3">
        <f>TABL1234[[#This Row],[( S/S+T/B) AJD]]-TABL1234[[#This Row],[(A/B + A/S) AJD]]</f>
        <v>0</v>
      </c>
      <c r="Y130" s="41"/>
      <c r="Z130" s="43"/>
      <c r="AA130" s="3">
        <f>TABL1234[[#This Row],[(RESV. STORGE) AJD]]/10</f>
        <v>0</v>
      </c>
      <c r="AB130" s="3">
        <f t="shared" si="3"/>
        <v>0</v>
      </c>
      <c r="AC130" s="5"/>
      <c r="AD130" s="39">
        <f>TABL1234[[#This Row],[( S/S+T/B) AJD]]-(TABL1234[[#This Row],[(A/B + A/S) AJD]]+(TABL1234[[#This Row],[(STORGE DIFF.) AJD]]*1000)+TABL1234[[#This Row],[البخر  AJD]])</f>
        <v>0</v>
      </c>
      <c r="AE130" s="41"/>
      <c r="AF130" s="43"/>
      <c r="AG130" s="43"/>
      <c r="AH130" s="6"/>
      <c r="AI130" s="43"/>
      <c r="AJ130" s="43">
        <f>TABL1234[[#This Row],[(A/B TOT) AJD]]-TABL1234[[#This Row],[BER_ IN]]</f>
        <v>0</v>
      </c>
      <c r="AK130" s="43"/>
      <c r="AL130" s="43"/>
      <c r="AM130" s="32"/>
      <c r="AN130" s="32">
        <f>TABL1234[[#This Row],[ (RESV. STORGE) SER]]/10</f>
        <v>0</v>
      </c>
      <c r="AO130" s="68"/>
      <c r="AP130" s="68">
        <f>TABL1234[[#This Row],[(A/S TOT) AJD]]-TABL1234[[#This Row],[SER_ IN]]</f>
        <v>0</v>
      </c>
    </row>
    <row r="131" spans="1:42" ht="18.75" x14ac:dyDescent="0.25">
      <c r="A131" s="2">
        <v>46517</v>
      </c>
      <c r="B131" s="44"/>
      <c r="C131" s="44"/>
      <c r="D131" s="44"/>
      <c r="E131" s="44"/>
      <c r="F131" s="44"/>
      <c r="G131" s="40"/>
      <c r="H131" s="28">
        <f t="shared" si="4"/>
        <v>103</v>
      </c>
      <c r="I131" s="40"/>
      <c r="J131" s="44"/>
      <c r="K131" s="28">
        <f>TABL1234[[#This Row],[خط (T/B  TOT) SAR]]+TABL1234[[#This Row],[خط (S/S  TOT) SAR2]]</f>
        <v>0</v>
      </c>
      <c r="L131" s="45"/>
      <c r="M131" s="46"/>
      <c r="N131" s="46"/>
      <c r="O131" s="40"/>
      <c r="P131" s="3">
        <f>TABL1234[[#This Row],[خط (S/S  TOT) SAR2]]-TABL1234[[#This Row],[(S/S TOT) AJD]]</f>
        <v>0</v>
      </c>
      <c r="Q131" s="40"/>
      <c r="R131" s="3">
        <f>TABL1234[[#This Row],[خط (T/B  TOT) SAR]]-TABL1234[[#This Row],[(T/B TOT) AJD]]</f>
        <v>0</v>
      </c>
      <c r="S131" s="3">
        <f>TABL1234[[#This Row],[الفرق بين بداية ونهاية خط  T/B]]+TABL1234[[#This Row],[الفرق بين بداية ونهاية خط  S/S]]</f>
        <v>0</v>
      </c>
      <c r="T131" s="3">
        <f>TABL1234[[#This Row],[(S/S TOT) AJD]]+TABL1234[[#This Row],[(T/B TOT) AJD]]</f>
        <v>0</v>
      </c>
      <c r="U131" s="44"/>
      <c r="V131" s="44"/>
      <c r="W131" s="3">
        <f>TABL1234[[#This Row],[(A/B TOT) AJD]]+TABL1234[[#This Row],[(A/S TOT) AJD]]</f>
        <v>0</v>
      </c>
      <c r="X131" s="3">
        <f>TABL1234[[#This Row],[( S/S+T/B) AJD]]-TABL1234[[#This Row],[(A/B + A/S) AJD]]</f>
        <v>0</v>
      </c>
      <c r="Y131" s="44"/>
      <c r="Z131" s="45"/>
      <c r="AA131" s="3">
        <f>TABL1234[[#This Row],[(RESV. STORGE) AJD]]/10</f>
        <v>0</v>
      </c>
      <c r="AB131" s="3">
        <f t="shared" si="3"/>
        <v>0</v>
      </c>
      <c r="AC131" s="5"/>
      <c r="AD131" s="40">
        <f>TABL1234[[#This Row],[( S/S+T/B) AJD]]-(TABL1234[[#This Row],[(A/B + A/S) AJD]]+(TABL1234[[#This Row],[(STORGE DIFF.) AJD]]*1000)+TABL1234[[#This Row],[البخر  AJD]])</f>
        <v>0</v>
      </c>
      <c r="AE131" s="44"/>
      <c r="AF131" s="45"/>
      <c r="AG131" s="45"/>
      <c r="AH131" s="6"/>
      <c r="AI131" s="45"/>
      <c r="AJ131" s="45">
        <f>TABL1234[[#This Row],[(A/B TOT) AJD]]-TABL1234[[#This Row],[BER_ IN]]</f>
        <v>0</v>
      </c>
      <c r="AK131" s="45"/>
      <c r="AL131" s="45"/>
      <c r="AM131" s="32"/>
      <c r="AN131" s="32">
        <f>TABL1234[[#This Row],[ (RESV. STORGE) SER]]/10</f>
        <v>0</v>
      </c>
      <c r="AO131" s="68"/>
      <c r="AP131" s="68">
        <f>TABL1234[[#This Row],[(A/S TOT) AJD]]-TABL1234[[#This Row],[SER_ IN]]</f>
        <v>0</v>
      </c>
    </row>
    <row r="132" spans="1:42" ht="18.75" x14ac:dyDescent="0.25">
      <c r="A132" s="2">
        <v>46518</v>
      </c>
      <c r="B132" s="41"/>
      <c r="C132" s="41"/>
      <c r="D132" s="41"/>
      <c r="E132" s="41"/>
      <c r="F132" s="41"/>
      <c r="G132" s="39"/>
      <c r="H132" s="28">
        <f t="shared" si="4"/>
        <v>103</v>
      </c>
      <c r="I132" s="39"/>
      <c r="J132" s="39"/>
      <c r="K132" s="28">
        <f>TABL1234[[#This Row],[خط (T/B  TOT) SAR]]+TABL1234[[#This Row],[خط (S/S  TOT) SAR2]]</f>
        <v>0</v>
      </c>
      <c r="L132" s="41"/>
      <c r="M132" s="42"/>
      <c r="N132" s="42"/>
      <c r="O132" s="39"/>
      <c r="P132" s="3">
        <f>TABL1234[[#This Row],[خط (S/S  TOT) SAR2]]-TABL1234[[#This Row],[(S/S TOT) AJD]]</f>
        <v>0</v>
      </c>
      <c r="Q132" s="39"/>
      <c r="R132" s="3">
        <f>TABL1234[[#This Row],[خط (T/B  TOT) SAR]]-TABL1234[[#This Row],[(T/B TOT) AJD]]</f>
        <v>0</v>
      </c>
      <c r="S132" s="3">
        <f>TABL1234[[#This Row],[الفرق بين بداية ونهاية خط  T/B]]+TABL1234[[#This Row],[الفرق بين بداية ونهاية خط  S/S]]</f>
        <v>0</v>
      </c>
      <c r="T132" s="3">
        <f>TABL1234[[#This Row],[(S/S TOT) AJD]]+TABL1234[[#This Row],[(T/B TOT) AJD]]</f>
        <v>0</v>
      </c>
      <c r="U132" s="41"/>
      <c r="V132" s="41"/>
      <c r="W132" s="3">
        <f>TABL1234[[#This Row],[(A/B TOT) AJD]]+TABL1234[[#This Row],[(A/S TOT) AJD]]</f>
        <v>0</v>
      </c>
      <c r="X132" s="3">
        <f>TABL1234[[#This Row],[( S/S+T/B) AJD]]-TABL1234[[#This Row],[(A/B + A/S) AJD]]</f>
        <v>0</v>
      </c>
      <c r="Y132" s="41"/>
      <c r="Z132" s="43"/>
      <c r="AA132" s="3">
        <f>TABL1234[[#This Row],[(RESV. STORGE) AJD]]/10</f>
        <v>0</v>
      </c>
      <c r="AB132" s="3">
        <f t="shared" ref="AB132:AB195" si="5">(Z132-Z131)/1000</f>
        <v>0</v>
      </c>
      <c r="AC132" s="5"/>
      <c r="AD132" s="39">
        <f>TABL1234[[#This Row],[( S/S+T/B) AJD]]-(TABL1234[[#This Row],[(A/B + A/S) AJD]]+(TABL1234[[#This Row],[(STORGE DIFF.) AJD]]*1000)+TABL1234[[#This Row],[البخر  AJD]])</f>
        <v>0</v>
      </c>
      <c r="AE132" s="41"/>
      <c r="AF132" s="43"/>
      <c r="AG132" s="68"/>
      <c r="AH132" s="6"/>
      <c r="AI132" s="43"/>
      <c r="AJ132" s="68">
        <f>TABL1234[[#This Row],[(A/B TOT) AJD]]-TABL1234[[#This Row],[BER_ IN]]</f>
        <v>0</v>
      </c>
      <c r="AK132" s="43"/>
      <c r="AL132" s="43"/>
      <c r="AM132" s="32"/>
      <c r="AN132" s="32">
        <f>TABL1234[[#This Row],[ (RESV. STORGE) SER]]/10</f>
        <v>0</v>
      </c>
      <c r="AO132" s="68"/>
      <c r="AP132" s="68">
        <f>TABL1234[[#This Row],[(A/S TOT) AJD]]-TABL1234[[#This Row],[SER_ IN]]</f>
        <v>0</v>
      </c>
    </row>
    <row r="133" spans="1:42" ht="18.75" x14ac:dyDescent="0.25">
      <c r="A133" s="2">
        <v>46519</v>
      </c>
      <c r="B133" s="44"/>
      <c r="C133" s="44"/>
      <c r="D133" s="44"/>
      <c r="E133" s="44"/>
      <c r="F133" s="44"/>
      <c r="G133" s="40"/>
      <c r="H133" s="28">
        <f t="shared" si="4"/>
        <v>103</v>
      </c>
      <c r="I133" s="40"/>
      <c r="J133" s="44"/>
      <c r="K133" s="28">
        <f>TABL1234[[#This Row],[خط (T/B  TOT) SAR]]+TABL1234[[#This Row],[خط (S/S  TOT) SAR2]]</f>
        <v>0</v>
      </c>
      <c r="L133" s="45"/>
      <c r="M133" s="46"/>
      <c r="N133" s="46"/>
      <c r="O133" s="40"/>
      <c r="P133" s="3">
        <f>TABL1234[[#This Row],[خط (S/S  TOT) SAR2]]-TABL1234[[#This Row],[(S/S TOT) AJD]]</f>
        <v>0</v>
      </c>
      <c r="Q133" s="40"/>
      <c r="R133" s="3">
        <f>TABL1234[[#This Row],[خط (T/B  TOT) SAR]]-TABL1234[[#This Row],[(T/B TOT) AJD]]</f>
        <v>0</v>
      </c>
      <c r="S133" s="3">
        <f>TABL1234[[#This Row],[الفرق بين بداية ونهاية خط  T/B]]+TABL1234[[#This Row],[الفرق بين بداية ونهاية خط  S/S]]</f>
        <v>0</v>
      </c>
      <c r="T133" s="3">
        <f>TABL1234[[#This Row],[(S/S TOT) AJD]]+TABL1234[[#This Row],[(T/B TOT) AJD]]</f>
        <v>0</v>
      </c>
      <c r="U133" s="44"/>
      <c r="V133" s="44"/>
      <c r="W133" s="3">
        <f>TABL1234[[#This Row],[(A/B TOT) AJD]]+TABL1234[[#This Row],[(A/S TOT) AJD]]</f>
        <v>0</v>
      </c>
      <c r="X133" s="3">
        <f>TABL1234[[#This Row],[( S/S+T/B) AJD]]-TABL1234[[#This Row],[(A/B + A/S) AJD]]</f>
        <v>0</v>
      </c>
      <c r="Y133" s="44"/>
      <c r="Z133" s="45"/>
      <c r="AA133" s="3">
        <f>TABL1234[[#This Row],[(RESV. STORGE) AJD]]/10</f>
        <v>0</v>
      </c>
      <c r="AB133" s="3">
        <f t="shared" si="5"/>
        <v>0</v>
      </c>
      <c r="AC133" s="5"/>
      <c r="AD133" s="40">
        <f>TABL1234[[#This Row],[( S/S+T/B) AJD]]-(TABL1234[[#This Row],[(A/B + A/S) AJD]]+(TABL1234[[#This Row],[(STORGE DIFF.) AJD]]*1000)+TABL1234[[#This Row],[البخر  AJD]])</f>
        <v>0</v>
      </c>
      <c r="AE133" s="44"/>
      <c r="AF133" s="45"/>
      <c r="AG133" s="45"/>
      <c r="AH133" s="6"/>
      <c r="AI133" s="45"/>
      <c r="AJ133" s="45">
        <f>TABL1234[[#This Row],[(A/B TOT) AJD]]-TABL1234[[#This Row],[BER_ IN]]</f>
        <v>0</v>
      </c>
      <c r="AK133" s="45"/>
      <c r="AL133" s="45"/>
      <c r="AM133" s="32"/>
      <c r="AN133" s="32">
        <f>TABL1234[[#This Row],[ (RESV. STORGE) SER]]/10</f>
        <v>0</v>
      </c>
      <c r="AO133" s="68"/>
      <c r="AP133" s="68">
        <f>TABL1234[[#This Row],[(A/S TOT) AJD]]-TABL1234[[#This Row],[SER_ IN]]</f>
        <v>0</v>
      </c>
    </row>
    <row r="134" spans="1:42" ht="18.75" x14ac:dyDescent="0.25">
      <c r="A134" s="2">
        <v>46520</v>
      </c>
      <c r="B134" s="41"/>
      <c r="C134" s="41"/>
      <c r="D134" s="41"/>
      <c r="E134" s="41"/>
      <c r="F134" s="41"/>
      <c r="G134" s="39"/>
      <c r="H134" s="28">
        <f t="shared" si="4"/>
        <v>103</v>
      </c>
      <c r="I134" s="39"/>
      <c r="J134" s="39"/>
      <c r="K134" s="28">
        <f>TABL1234[[#This Row],[خط (T/B  TOT) SAR]]+TABL1234[[#This Row],[خط (S/S  TOT) SAR2]]</f>
        <v>0</v>
      </c>
      <c r="L134" s="41"/>
      <c r="M134" s="42"/>
      <c r="N134" s="42"/>
      <c r="O134" s="39"/>
      <c r="P134" s="3">
        <f>TABL1234[[#This Row],[خط (S/S  TOT) SAR2]]-TABL1234[[#This Row],[(S/S TOT) AJD]]</f>
        <v>0</v>
      </c>
      <c r="Q134" s="39"/>
      <c r="R134" s="3">
        <f>TABL1234[[#This Row],[خط (T/B  TOT) SAR]]-TABL1234[[#This Row],[(T/B TOT) AJD]]</f>
        <v>0</v>
      </c>
      <c r="S134" s="3">
        <f>TABL1234[[#This Row],[الفرق بين بداية ونهاية خط  T/B]]+TABL1234[[#This Row],[الفرق بين بداية ونهاية خط  S/S]]</f>
        <v>0</v>
      </c>
      <c r="T134" s="3">
        <f>TABL1234[[#This Row],[(S/S TOT) AJD]]+TABL1234[[#This Row],[(T/B TOT) AJD]]</f>
        <v>0</v>
      </c>
      <c r="U134" s="41"/>
      <c r="V134" s="41"/>
      <c r="W134" s="3">
        <f>TABL1234[[#This Row],[(A/B TOT) AJD]]+TABL1234[[#This Row],[(A/S TOT) AJD]]</f>
        <v>0</v>
      </c>
      <c r="X134" s="3">
        <f>TABL1234[[#This Row],[( S/S+T/B) AJD]]-TABL1234[[#This Row],[(A/B + A/S) AJD]]</f>
        <v>0</v>
      </c>
      <c r="Y134" s="41"/>
      <c r="Z134" s="43"/>
      <c r="AA134" s="3">
        <f>TABL1234[[#This Row],[(RESV. STORGE) AJD]]/10</f>
        <v>0</v>
      </c>
      <c r="AB134" s="3">
        <f t="shared" si="5"/>
        <v>0</v>
      </c>
      <c r="AC134" s="5"/>
      <c r="AD134" s="39">
        <f>TABL1234[[#This Row],[( S/S+T/B) AJD]]-(TABL1234[[#This Row],[(A/B + A/S) AJD]]+(TABL1234[[#This Row],[(STORGE DIFF.) AJD]]*1000)+TABL1234[[#This Row],[البخر  AJD]])</f>
        <v>0</v>
      </c>
      <c r="AE134" s="41"/>
      <c r="AF134" s="43"/>
      <c r="AG134" s="43"/>
      <c r="AH134" s="6"/>
      <c r="AI134" s="43"/>
      <c r="AJ134" s="43">
        <f>TABL1234[[#This Row],[(A/B TOT) AJD]]-TABL1234[[#This Row],[BER_ IN]]</f>
        <v>0</v>
      </c>
      <c r="AK134" s="43"/>
      <c r="AL134" s="43"/>
      <c r="AM134" s="32"/>
      <c r="AN134" s="32">
        <f>TABL1234[[#This Row],[ (RESV. STORGE) SER]]/10</f>
        <v>0</v>
      </c>
      <c r="AO134" s="68"/>
      <c r="AP134" s="68">
        <f>TABL1234[[#This Row],[(A/S TOT) AJD]]-TABL1234[[#This Row],[SER_ IN]]</f>
        <v>0</v>
      </c>
    </row>
    <row r="135" spans="1:42" ht="18.75" x14ac:dyDescent="0.25">
      <c r="A135" s="2">
        <v>46521</v>
      </c>
      <c r="B135" s="44"/>
      <c r="C135" s="44"/>
      <c r="D135" s="44"/>
      <c r="E135" s="44"/>
      <c r="F135" s="44"/>
      <c r="G135" s="40"/>
      <c r="H135" s="28">
        <f t="shared" si="4"/>
        <v>103</v>
      </c>
      <c r="I135" s="40"/>
      <c r="J135" s="44"/>
      <c r="K135" s="28">
        <f>TABL1234[[#This Row],[خط (T/B  TOT) SAR]]+TABL1234[[#This Row],[خط (S/S  TOT) SAR2]]</f>
        <v>0</v>
      </c>
      <c r="L135" s="45"/>
      <c r="M135" s="46"/>
      <c r="N135" s="46"/>
      <c r="O135" s="40"/>
      <c r="P135" s="3">
        <f>TABL1234[[#This Row],[خط (S/S  TOT) SAR2]]-TABL1234[[#This Row],[(S/S TOT) AJD]]</f>
        <v>0</v>
      </c>
      <c r="Q135" s="40"/>
      <c r="R135" s="3">
        <f>TABL1234[[#This Row],[خط (T/B  TOT) SAR]]-TABL1234[[#This Row],[(T/B TOT) AJD]]</f>
        <v>0</v>
      </c>
      <c r="S135" s="3">
        <f>TABL1234[[#This Row],[الفرق بين بداية ونهاية خط  T/B]]+TABL1234[[#This Row],[الفرق بين بداية ونهاية خط  S/S]]</f>
        <v>0</v>
      </c>
      <c r="T135" s="3">
        <f>TABL1234[[#This Row],[(S/S TOT) AJD]]+TABL1234[[#This Row],[(T/B TOT) AJD]]</f>
        <v>0</v>
      </c>
      <c r="U135" s="44"/>
      <c r="V135" s="44"/>
      <c r="W135" s="3">
        <f>TABL1234[[#This Row],[(A/B TOT) AJD]]+TABL1234[[#This Row],[(A/S TOT) AJD]]</f>
        <v>0</v>
      </c>
      <c r="X135" s="3">
        <f>TABL1234[[#This Row],[( S/S+T/B) AJD]]-TABL1234[[#This Row],[(A/B + A/S) AJD]]</f>
        <v>0</v>
      </c>
      <c r="Y135" s="44"/>
      <c r="Z135" s="45"/>
      <c r="AA135" s="3">
        <f>TABL1234[[#This Row],[(RESV. STORGE) AJD]]/10</f>
        <v>0</v>
      </c>
      <c r="AB135" s="3">
        <f t="shared" si="5"/>
        <v>0</v>
      </c>
      <c r="AC135" s="5"/>
      <c r="AD135" s="40">
        <f>TABL1234[[#This Row],[( S/S+T/B) AJD]]-(TABL1234[[#This Row],[(A/B + A/S) AJD]]+(TABL1234[[#This Row],[(STORGE DIFF.) AJD]]*1000)+TABL1234[[#This Row],[البخر  AJD]])</f>
        <v>0</v>
      </c>
      <c r="AE135" s="44"/>
      <c r="AF135" s="45"/>
      <c r="AG135" s="45"/>
      <c r="AH135" s="6"/>
      <c r="AI135" s="45"/>
      <c r="AJ135" s="45">
        <f>TABL1234[[#This Row],[(A/B TOT) AJD]]-TABL1234[[#This Row],[BER_ IN]]</f>
        <v>0</v>
      </c>
      <c r="AK135" s="45"/>
      <c r="AL135" s="45"/>
      <c r="AM135" s="32"/>
      <c r="AN135" s="32">
        <f>TABL1234[[#This Row],[ (RESV. STORGE) SER]]/10</f>
        <v>0</v>
      </c>
      <c r="AO135" s="68"/>
      <c r="AP135" s="68">
        <f>TABL1234[[#This Row],[(A/S TOT) AJD]]-TABL1234[[#This Row],[SER_ IN]]</f>
        <v>0</v>
      </c>
    </row>
    <row r="136" spans="1:42" ht="18.75" x14ac:dyDescent="0.25">
      <c r="A136" s="2">
        <v>46522</v>
      </c>
      <c r="B136" s="41"/>
      <c r="C136" s="41"/>
      <c r="D136" s="41"/>
      <c r="E136" s="41"/>
      <c r="F136" s="41"/>
      <c r="G136" s="39"/>
      <c r="H136" s="28">
        <f t="shared" si="4"/>
        <v>103</v>
      </c>
      <c r="I136" s="39"/>
      <c r="J136" s="39"/>
      <c r="K136" s="28">
        <f>TABL1234[[#This Row],[خط (T/B  TOT) SAR]]+TABL1234[[#This Row],[خط (S/S  TOT) SAR2]]</f>
        <v>0</v>
      </c>
      <c r="L136" s="41"/>
      <c r="M136" s="42"/>
      <c r="N136" s="42"/>
      <c r="O136" s="39"/>
      <c r="P136" s="3">
        <f>TABL1234[[#This Row],[خط (S/S  TOT) SAR2]]-TABL1234[[#This Row],[(S/S TOT) AJD]]</f>
        <v>0</v>
      </c>
      <c r="Q136" s="39"/>
      <c r="R136" s="3">
        <f>TABL1234[[#This Row],[خط (T/B  TOT) SAR]]-TABL1234[[#This Row],[(T/B TOT) AJD]]</f>
        <v>0</v>
      </c>
      <c r="S136" s="3">
        <f>TABL1234[[#This Row],[الفرق بين بداية ونهاية خط  T/B]]+TABL1234[[#This Row],[الفرق بين بداية ونهاية خط  S/S]]</f>
        <v>0</v>
      </c>
      <c r="T136" s="3">
        <f>TABL1234[[#This Row],[(S/S TOT) AJD]]+TABL1234[[#This Row],[(T/B TOT) AJD]]</f>
        <v>0</v>
      </c>
      <c r="U136" s="41"/>
      <c r="V136" s="41"/>
      <c r="W136" s="3">
        <f>TABL1234[[#This Row],[(A/B TOT) AJD]]+TABL1234[[#This Row],[(A/S TOT) AJD]]</f>
        <v>0</v>
      </c>
      <c r="X136" s="3">
        <f>TABL1234[[#This Row],[( S/S+T/B) AJD]]-TABL1234[[#This Row],[(A/B + A/S) AJD]]</f>
        <v>0</v>
      </c>
      <c r="Y136" s="41"/>
      <c r="Z136" s="43"/>
      <c r="AA136" s="3">
        <f>TABL1234[[#This Row],[(RESV. STORGE) AJD]]/10</f>
        <v>0</v>
      </c>
      <c r="AB136" s="3">
        <f t="shared" si="5"/>
        <v>0</v>
      </c>
      <c r="AC136" s="5"/>
      <c r="AD136" s="39">
        <f>TABL1234[[#This Row],[( S/S+T/B) AJD]]-(TABL1234[[#This Row],[(A/B + A/S) AJD]]+(TABL1234[[#This Row],[(STORGE DIFF.) AJD]]*1000)+TABL1234[[#This Row],[البخر  AJD]])</f>
        <v>0</v>
      </c>
      <c r="AE136" s="41"/>
      <c r="AF136" s="43"/>
      <c r="AG136" s="43"/>
      <c r="AH136" s="6"/>
      <c r="AI136" s="43"/>
      <c r="AJ136" s="43">
        <f>TABL1234[[#This Row],[(A/B TOT) AJD]]-TABL1234[[#This Row],[BER_ IN]]</f>
        <v>0</v>
      </c>
      <c r="AK136" s="43"/>
      <c r="AL136" s="43"/>
      <c r="AM136" s="32"/>
      <c r="AN136" s="32">
        <f>TABL1234[[#This Row],[ (RESV. STORGE) SER]]/10</f>
        <v>0</v>
      </c>
      <c r="AO136" s="68"/>
      <c r="AP136" s="68">
        <f>TABL1234[[#This Row],[(A/S TOT) AJD]]-TABL1234[[#This Row],[SER_ IN]]</f>
        <v>0</v>
      </c>
    </row>
    <row r="137" spans="1:42" ht="18.75" x14ac:dyDescent="0.25">
      <c r="A137" s="2">
        <v>46523</v>
      </c>
      <c r="B137" s="44"/>
      <c r="C137" s="44"/>
      <c r="D137" s="44"/>
      <c r="E137" s="44"/>
      <c r="F137" s="44"/>
      <c r="G137" s="40"/>
      <c r="H137" s="28">
        <f t="shared" si="4"/>
        <v>103</v>
      </c>
      <c r="I137" s="40"/>
      <c r="J137" s="44"/>
      <c r="K137" s="28">
        <f>TABL1234[[#This Row],[خط (T/B  TOT) SAR]]+TABL1234[[#This Row],[خط (S/S  TOT) SAR2]]</f>
        <v>0</v>
      </c>
      <c r="L137" s="45"/>
      <c r="M137" s="46"/>
      <c r="N137" s="46"/>
      <c r="O137" s="40"/>
      <c r="P137" s="3">
        <f>TABL1234[[#This Row],[خط (S/S  TOT) SAR2]]-TABL1234[[#This Row],[(S/S TOT) AJD]]</f>
        <v>0</v>
      </c>
      <c r="Q137" s="40"/>
      <c r="R137" s="3">
        <f>TABL1234[[#This Row],[خط (T/B  TOT) SAR]]-TABL1234[[#This Row],[(T/B TOT) AJD]]</f>
        <v>0</v>
      </c>
      <c r="S137" s="3">
        <f>TABL1234[[#This Row],[الفرق بين بداية ونهاية خط  T/B]]+TABL1234[[#This Row],[الفرق بين بداية ونهاية خط  S/S]]</f>
        <v>0</v>
      </c>
      <c r="T137" s="3">
        <f>TABL1234[[#This Row],[(S/S TOT) AJD]]+TABL1234[[#This Row],[(T/B TOT) AJD]]</f>
        <v>0</v>
      </c>
      <c r="U137" s="44"/>
      <c r="V137" s="44"/>
      <c r="W137" s="3">
        <f>TABL1234[[#This Row],[(A/B TOT) AJD]]+TABL1234[[#This Row],[(A/S TOT) AJD]]</f>
        <v>0</v>
      </c>
      <c r="X137" s="3">
        <f>TABL1234[[#This Row],[( S/S+T/B) AJD]]-TABL1234[[#This Row],[(A/B + A/S) AJD]]</f>
        <v>0</v>
      </c>
      <c r="Y137" s="44"/>
      <c r="Z137" s="45"/>
      <c r="AA137" s="3">
        <f>TABL1234[[#This Row],[(RESV. STORGE) AJD]]/10</f>
        <v>0</v>
      </c>
      <c r="AB137" s="3">
        <f t="shared" si="5"/>
        <v>0</v>
      </c>
      <c r="AC137" s="5"/>
      <c r="AD137" s="40">
        <f>TABL1234[[#This Row],[( S/S+T/B) AJD]]-(TABL1234[[#This Row],[(A/B + A/S) AJD]]+(TABL1234[[#This Row],[(STORGE DIFF.) AJD]]*1000)+TABL1234[[#This Row],[البخر  AJD]])</f>
        <v>0</v>
      </c>
      <c r="AE137" s="44"/>
      <c r="AF137" s="45"/>
      <c r="AG137" s="45"/>
      <c r="AH137" s="6"/>
      <c r="AI137" s="45"/>
      <c r="AJ137" s="45">
        <f>TABL1234[[#This Row],[(A/B TOT) AJD]]-TABL1234[[#This Row],[BER_ IN]]</f>
        <v>0</v>
      </c>
      <c r="AK137" s="45"/>
      <c r="AL137" s="45"/>
      <c r="AM137" s="32"/>
      <c r="AN137" s="32">
        <f>TABL1234[[#This Row],[ (RESV. STORGE) SER]]/10</f>
        <v>0</v>
      </c>
      <c r="AO137" s="68"/>
      <c r="AP137" s="68">
        <f>TABL1234[[#This Row],[(A/S TOT) AJD]]-TABL1234[[#This Row],[SER_ IN]]</f>
        <v>0</v>
      </c>
    </row>
    <row r="138" spans="1:42" ht="18.75" x14ac:dyDescent="0.25">
      <c r="A138" s="2">
        <v>46524</v>
      </c>
      <c r="B138" s="41"/>
      <c r="C138" s="41"/>
      <c r="D138" s="41"/>
      <c r="E138" s="41"/>
      <c r="F138" s="41"/>
      <c r="G138" s="39"/>
      <c r="H138" s="28">
        <f t="shared" si="4"/>
        <v>103</v>
      </c>
      <c r="I138" s="39"/>
      <c r="J138" s="39"/>
      <c r="K138" s="28">
        <f>TABL1234[[#This Row],[خط (T/B  TOT) SAR]]+TABL1234[[#This Row],[خط (S/S  TOT) SAR2]]</f>
        <v>0</v>
      </c>
      <c r="L138" s="41"/>
      <c r="M138" s="42"/>
      <c r="N138" s="42"/>
      <c r="O138" s="39"/>
      <c r="P138" s="3">
        <f>TABL1234[[#This Row],[خط (S/S  TOT) SAR2]]-TABL1234[[#This Row],[(S/S TOT) AJD]]</f>
        <v>0</v>
      </c>
      <c r="Q138" s="39"/>
      <c r="R138" s="3">
        <f>TABL1234[[#This Row],[خط (T/B  TOT) SAR]]-TABL1234[[#This Row],[(T/B TOT) AJD]]</f>
        <v>0</v>
      </c>
      <c r="S138" s="3">
        <f>TABL1234[[#This Row],[الفرق بين بداية ونهاية خط  T/B]]+TABL1234[[#This Row],[الفرق بين بداية ونهاية خط  S/S]]</f>
        <v>0</v>
      </c>
      <c r="T138" s="3">
        <f>TABL1234[[#This Row],[(S/S TOT) AJD]]+TABL1234[[#This Row],[(T/B TOT) AJD]]</f>
        <v>0</v>
      </c>
      <c r="U138" s="41"/>
      <c r="V138" s="41"/>
      <c r="W138" s="3">
        <f>TABL1234[[#This Row],[(A/B TOT) AJD]]+TABL1234[[#This Row],[(A/S TOT) AJD]]</f>
        <v>0</v>
      </c>
      <c r="X138" s="3">
        <f>TABL1234[[#This Row],[( S/S+T/B) AJD]]-TABL1234[[#This Row],[(A/B + A/S) AJD]]</f>
        <v>0</v>
      </c>
      <c r="Y138" s="41"/>
      <c r="Z138" s="43"/>
      <c r="AA138" s="3">
        <f>TABL1234[[#This Row],[(RESV. STORGE) AJD]]/10</f>
        <v>0</v>
      </c>
      <c r="AB138" s="3">
        <f t="shared" si="5"/>
        <v>0</v>
      </c>
      <c r="AC138" s="5"/>
      <c r="AD138" s="39">
        <f>TABL1234[[#This Row],[( S/S+T/B) AJD]]-(TABL1234[[#This Row],[(A/B + A/S) AJD]]+(TABL1234[[#This Row],[(STORGE DIFF.) AJD]]*1000)+TABL1234[[#This Row],[البخر  AJD]])</f>
        <v>0</v>
      </c>
      <c r="AE138" s="41"/>
      <c r="AF138" s="43"/>
      <c r="AG138" s="43"/>
      <c r="AH138" s="6"/>
      <c r="AI138" s="43"/>
      <c r="AJ138" s="43">
        <f>TABL1234[[#This Row],[(A/B TOT) AJD]]-TABL1234[[#This Row],[BER_ IN]]</f>
        <v>0</v>
      </c>
      <c r="AK138" s="43"/>
      <c r="AL138" s="43"/>
      <c r="AM138" s="32"/>
      <c r="AN138" s="32">
        <f>TABL1234[[#This Row],[ (RESV. STORGE) SER]]/10</f>
        <v>0</v>
      </c>
      <c r="AO138" s="68"/>
      <c r="AP138" s="68">
        <f>TABL1234[[#This Row],[(A/S TOT) AJD]]-TABL1234[[#This Row],[SER_ IN]]</f>
        <v>0</v>
      </c>
    </row>
    <row r="139" spans="1:42" ht="18.75" x14ac:dyDescent="0.25">
      <c r="A139" s="2">
        <v>46525</v>
      </c>
      <c r="B139" s="44"/>
      <c r="C139" s="44"/>
      <c r="D139" s="44"/>
      <c r="E139" s="44"/>
      <c r="F139" s="44"/>
      <c r="G139" s="40"/>
      <c r="H139" s="28">
        <f t="shared" si="4"/>
        <v>103</v>
      </c>
      <c r="I139" s="40"/>
      <c r="J139" s="44"/>
      <c r="K139" s="28">
        <f>TABL1234[[#This Row],[خط (T/B  TOT) SAR]]+TABL1234[[#This Row],[خط (S/S  TOT) SAR2]]</f>
        <v>0</v>
      </c>
      <c r="L139" s="45"/>
      <c r="M139" s="46"/>
      <c r="N139" s="46"/>
      <c r="O139" s="40"/>
      <c r="P139" s="3">
        <f>TABL1234[[#This Row],[خط (S/S  TOT) SAR2]]-TABL1234[[#This Row],[(S/S TOT) AJD]]</f>
        <v>0</v>
      </c>
      <c r="Q139" s="40"/>
      <c r="R139" s="3">
        <f>TABL1234[[#This Row],[خط (T/B  TOT) SAR]]-TABL1234[[#This Row],[(T/B TOT) AJD]]</f>
        <v>0</v>
      </c>
      <c r="S139" s="3">
        <f>TABL1234[[#This Row],[الفرق بين بداية ونهاية خط  T/B]]+TABL1234[[#This Row],[الفرق بين بداية ونهاية خط  S/S]]</f>
        <v>0</v>
      </c>
      <c r="T139" s="3">
        <f>TABL1234[[#This Row],[(S/S TOT) AJD]]+TABL1234[[#This Row],[(T/B TOT) AJD]]</f>
        <v>0</v>
      </c>
      <c r="U139" s="44"/>
      <c r="V139" s="44"/>
      <c r="W139" s="3">
        <f>TABL1234[[#This Row],[(A/B TOT) AJD]]+TABL1234[[#This Row],[(A/S TOT) AJD]]</f>
        <v>0</v>
      </c>
      <c r="X139" s="3">
        <f>TABL1234[[#This Row],[( S/S+T/B) AJD]]-TABL1234[[#This Row],[(A/B + A/S) AJD]]</f>
        <v>0</v>
      </c>
      <c r="Y139" s="44"/>
      <c r="Z139" s="45"/>
      <c r="AA139" s="3">
        <f>TABL1234[[#This Row],[(RESV. STORGE) AJD]]/10</f>
        <v>0</v>
      </c>
      <c r="AB139" s="3">
        <f t="shared" si="5"/>
        <v>0</v>
      </c>
      <c r="AC139" s="5"/>
      <c r="AD139" s="40">
        <f>TABL1234[[#This Row],[( S/S+T/B) AJD]]-(TABL1234[[#This Row],[(A/B + A/S) AJD]]+(TABL1234[[#This Row],[(STORGE DIFF.) AJD]]*1000)+TABL1234[[#This Row],[البخر  AJD]])</f>
        <v>0</v>
      </c>
      <c r="AE139" s="44"/>
      <c r="AF139" s="45"/>
      <c r="AG139" s="45"/>
      <c r="AH139" s="6"/>
      <c r="AI139" s="45"/>
      <c r="AJ139" s="45">
        <f>TABL1234[[#This Row],[(A/B TOT) AJD]]-TABL1234[[#This Row],[BER_ IN]]</f>
        <v>0</v>
      </c>
      <c r="AK139" s="45"/>
      <c r="AL139" s="45"/>
      <c r="AM139" s="32"/>
      <c r="AN139" s="32">
        <f>TABL1234[[#This Row],[ (RESV. STORGE) SER]]/10</f>
        <v>0</v>
      </c>
      <c r="AO139" s="68"/>
      <c r="AP139" s="68">
        <f>TABL1234[[#This Row],[(A/S TOT) AJD]]-TABL1234[[#This Row],[SER_ IN]]</f>
        <v>0</v>
      </c>
    </row>
    <row r="140" spans="1:42" ht="18.75" x14ac:dyDescent="0.25">
      <c r="A140" s="2">
        <v>46526</v>
      </c>
      <c r="B140" s="41"/>
      <c r="C140" s="41"/>
      <c r="D140" s="41"/>
      <c r="E140" s="41"/>
      <c r="F140" s="41"/>
      <c r="G140" s="39"/>
      <c r="H140" s="28">
        <f t="shared" si="4"/>
        <v>103</v>
      </c>
      <c r="I140" s="39"/>
      <c r="J140" s="39"/>
      <c r="K140" s="28">
        <f>TABL1234[[#This Row],[خط (T/B  TOT) SAR]]+TABL1234[[#This Row],[خط (S/S  TOT) SAR2]]</f>
        <v>0</v>
      </c>
      <c r="L140" s="41"/>
      <c r="M140" s="42"/>
      <c r="N140" s="42"/>
      <c r="O140" s="39"/>
      <c r="P140" s="3">
        <f>TABL1234[[#This Row],[خط (S/S  TOT) SAR2]]-TABL1234[[#This Row],[(S/S TOT) AJD]]</f>
        <v>0</v>
      </c>
      <c r="Q140" s="39"/>
      <c r="R140" s="3">
        <f>TABL1234[[#This Row],[خط (T/B  TOT) SAR]]-TABL1234[[#This Row],[(T/B TOT) AJD]]</f>
        <v>0</v>
      </c>
      <c r="S140" s="3">
        <f>TABL1234[[#This Row],[الفرق بين بداية ونهاية خط  T/B]]+TABL1234[[#This Row],[الفرق بين بداية ونهاية خط  S/S]]</f>
        <v>0</v>
      </c>
      <c r="T140" s="3">
        <f>TABL1234[[#This Row],[(S/S TOT) AJD]]+TABL1234[[#This Row],[(T/B TOT) AJD]]</f>
        <v>0</v>
      </c>
      <c r="U140" s="41"/>
      <c r="V140" s="41"/>
      <c r="W140" s="3">
        <f>TABL1234[[#This Row],[(A/B TOT) AJD]]+TABL1234[[#This Row],[(A/S TOT) AJD]]</f>
        <v>0</v>
      </c>
      <c r="X140" s="3">
        <f>TABL1234[[#This Row],[( S/S+T/B) AJD]]-TABL1234[[#This Row],[(A/B + A/S) AJD]]</f>
        <v>0</v>
      </c>
      <c r="Y140" s="41"/>
      <c r="Z140" s="43"/>
      <c r="AA140" s="3">
        <f>TABL1234[[#This Row],[(RESV. STORGE) AJD]]/10</f>
        <v>0</v>
      </c>
      <c r="AB140" s="3">
        <f t="shared" si="5"/>
        <v>0</v>
      </c>
      <c r="AC140" s="5"/>
      <c r="AD140" s="39">
        <f>TABL1234[[#This Row],[( S/S+T/B) AJD]]-(TABL1234[[#This Row],[(A/B + A/S) AJD]]+(TABL1234[[#This Row],[(STORGE DIFF.) AJD]]*1000)+TABL1234[[#This Row],[البخر  AJD]])</f>
        <v>0</v>
      </c>
      <c r="AE140" s="41"/>
      <c r="AF140" s="43"/>
      <c r="AG140" s="43"/>
      <c r="AH140" s="6"/>
      <c r="AI140" s="43"/>
      <c r="AJ140" s="43">
        <f>TABL1234[[#This Row],[(A/B TOT) AJD]]-TABL1234[[#This Row],[BER_ IN]]</f>
        <v>0</v>
      </c>
      <c r="AK140" s="43"/>
      <c r="AL140" s="43"/>
      <c r="AM140" s="32"/>
      <c r="AN140" s="32">
        <f>TABL1234[[#This Row],[ (RESV. STORGE) SER]]/10</f>
        <v>0</v>
      </c>
      <c r="AO140" s="68"/>
      <c r="AP140" s="68">
        <f>TABL1234[[#This Row],[(A/S TOT) AJD]]-TABL1234[[#This Row],[SER_ IN]]</f>
        <v>0</v>
      </c>
    </row>
    <row r="141" spans="1:42" ht="18.75" x14ac:dyDescent="0.25">
      <c r="A141" s="2">
        <v>46527</v>
      </c>
      <c r="B141" s="44"/>
      <c r="C141" s="44"/>
      <c r="D141" s="44"/>
      <c r="E141" s="44"/>
      <c r="F141" s="44"/>
      <c r="G141" s="40"/>
      <c r="H141" s="28">
        <f t="shared" si="4"/>
        <v>103</v>
      </c>
      <c r="I141" s="40"/>
      <c r="J141" s="44"/>
      <c r="K141" s="28">
        <f>TABL1234[[#This Row],[خط (T/B  TOT) SAR]]+TABL1234[[#This Row],[خط (S/S  TOT) SAR2]]</f>
        <v>0</v>
      </c>
      <c r="L141" s="45"/>
      <c r="M141" s="46"/>
      <c r="N141" s="46"/>
      <c r="O141" s="40"/>
      <c r="P141" s="3">
        <f>TABL1234[[#This Row],[خط (S/S  TOT) SAR2]]-TABL1234[[#This Row],[(S/S TOT) AJD]]</f>
        <v>0</v>
      </c>
      <c r="Q141" s="40"/>
      <c r="R141" s="3">
        <f>TABL1234[[#This Row],[خط (T/B  TOT) SAR]]-TABL1234[[#This Row],[(T/B TOT) AJD]]</f>
        <v>0</v>
      </c>
      <c r="S141" s="3">
        <f>TABL1234[[#This Row],[الفرق بين بداية ونهاية خط  T/B]]+TABL1234[[#This Row],[الفرق بين بداية ونهاية خط  S/S]]</f>
        <v>0</v>
      </c>
      <c r="T141" s="3">
        <f>TABL1234[[#This Row],[(S/S TOT) AJD]]+TABL1234[[#This Row],[(T/B TOT) AJD]]</f>
        <v>0</v>
      </c>
      <c r="U141" s="44"/>
      <c r="V141" s="44"/>
      <c r="W141" s="3">
        <f>TABL1234[[#This Row],[(A/B TOT) AJD]]+TABL1234[[#This Row],[(A/S TOT) AJD]]</f>
        <v>0</v>
      </c>
      <c r="X141" s="3">
        <f>TABL1234[[#This Row],[( S/S+T/B) AJD]]-TABL1234[[#This Row],[(A/B + A/S) AJD]]</f>
        <v>0</v>
      </c>
      <c r="Y141" s="44"/>
      <c r="Z141" s="45"/>
      <c r="AA141" s="3">
        <f>TABL1234[[#This Row],[(RESV. STORGE) AJD]]/10</f>
        <v>0</v>
      </c>
      <c r="AB141" s="3">
        <f t="shared" si="5"/>
        <v>0</v>
      </c>
      <c r="AC141" s="5"/>
      <c r="AD141" s="40">
        <f>TABL1234[[#This Row],[( S/S+T/B) AJD]]-(TABL1234[[#This Row],[(A/B + A/S) AJD]]+(TABL1234[[#This Row],[(STORGE DIFF.) AJD]]*1000)+TABL1234[[#This Row],[البخر  AJD]])</f>
        <v>0</v>
      </c>
      <c r="AE141" s="44"/>
      <c r="AF141" s="45"/>
      <c r="AG141" s="45"/>
      <c r="AH141" s="6"/>
      <c r="AI141" s="45"/>
      <c r="AJ141" s="45">
        <f>TABL1234[[#This Row],[(A/B TOT) AJD]]-TABL1234[[#This Row],[BER_ IN]]</f>
        <v>0</v>
      </c>
      <c r="AK141" s="45"/>
      <c r="AL141" s="45"/>
      <c r="AM141" s="32"/>
      <c r="AN141" s="32">
        <f>TABL1234[[#This Row],[ (RESV. STORGE) SER]]/10</f>
        <v>0</v>
      </c>
      <c r="AO141" s="68"/>
      <c r="AP141" s="68">
        <f>TABL1234[[#This Row],[(A/S TOT) AJD]]-TABL1234[[#This Row],[SER_ IN]]</f>
        <v>0</v>
      </c>
    </row>
    <row r="142" spans="1:42" ht="18.75" x14ac:dyDescent="0.25">
      <c r="A142" s="2">
        <v>46528</v>
      </c>
      <c r="B142" s="41"/>
      <c r="C142" s="41"/>
      <c r="D142" s="41"/>
      <c r="E142" s="41"/>
      <c r="F142" s="41"/>
      <c r="G142" s="39"/>
      <c r="H142" s="28">
        <f t="shared" si="4"/>
        <v>103</v>
      </c>
      <c r="I142" s="39"/>
      <c r="J142" s="39"/>
      <c r="K142" s="28">
        <f>TABL1234[[#This Row],[خط (T/B  TOT) SAR]]+TABL1234[[#This Row],[خط (S/S  TOT) SAR2]]</f>
        <v>0</v>
      </c>
      <c r="L142" s="41"/>
      <c r="M142" s="42"/>
      <c r="N142" s="42"/>
      <c r="O142" s="39"/>
      <c r="P142" s="3">
        <f>TABL1234[[#This Row],[خط (S/S  TOT) SAR2]]-TABL1234[[#This Row],[(S/S TOT) AJD]]</f>
        <v>0</v>
      </c>
      <c r="Q142" s="39"/>
      <c r="R142" s="3">
        <f>TABL1234[[#This Row],[خط (T/B  TOT) SAR]]-TABL1234[[#This Row],[(T/B TOT) AJD]]</f>
        <v>0</v>
      </c>
      <c r="S142" s="3">
        <f>TABL1234[[#This Row],[الفرق بين بداية ونهاية خط  T/B]]+TABL1234[[#This Row],[الفرق بين بداية ونهاية خط  S/S]]</f>
        <v>0</v>
      </c>
      <c r="T142" s="3">
        <f>TABL1234[[#This Row],[(S/S TOT) AJD]]+TABL1234[[#This Row],[(T/B TOT) AJD]]</f>
        <v>0</v>
      </c>
      <c r="U142" s="41"/>
      <c r="V142" s="41"/>
      <c r="W142" s="3">
        <f>TABL1234[[#This Row],[(A/B TOT) AJD]]+TABL1234[[#This Row],[(A/S TOT) AJD]]</f>
        <v>0</v>
      </c>
      <c r="X142" s="3">
        <f>TABL1234[[#This Row],[( S/S+T/B) AJD]]-TABL1234[[#This Row],[(A/B + A/S) AJD]]</f>
        <v>0</v>
      </c>
      <c r="Y142" s="41"/>
      <c r="Z142" s="43"/>
      <c r="AA142" s="3">
        <f>TABL1234[[#This Row],[(RESV. STORGE) AJD]]/10</f>
        <v>0</v>
      </c>
      <c r="AB142" s="3">
        <f t="shared" si="5"/>
        <v>0</v>
      </c>
      <c r="AC142" s="5"/>
      <c r="AD142" s="39">
        <f>TABL1234[[#This Row],[( S/S+T/B) AJD]]-(TABL1234[[#This Row],[(A/B + A/S) AJD]]+(TABL1234[[#This Row],[(STORGE DIFF.) AJD]]*1000)+TABL1234[[#This Row],[البخر  AJD]])</f>
        <v>0</v>
      </c>
      <c r="AE142" s="41"/>
      <c r="AF142" s="43"/>
      <c r="AG142" s="43"/>
      <c r="AH142" s="6"/>
      <c r="AI142" s="43"/>
      <c r="AJ142" s="43">
        <f>TABL1234[[#This Row],[(A/B TOT) AJD]]-TABL1234[[#This Row],[BER_ IN]]</f>
        <v>0</v>
      </c>
      <c r="AK142" s="43"/>
      <c r="AL142" s="43"/>
      <c r="AM142" s="32"/>
      <c r="AN142" s="32">
        <f>TABL1234[[#This Row],[ (RESV. STORGE) SER]]/10</f>
        <v>0</v>
      </c>
      <c r="AO142" s="68"/>
      <c r="AP142" s="68">
        <f>TABL1234[[#This Row],[(A/S TOT) AJD]]-TABL1234[[#This Row],[SER_ IN]]</f>
        <v>0</v>
      </c>
    </row>
    <row r="143" spans="1:42" ht="18.75" x14ac:dyDescent="0.25">
      <c r="A143" s="2">
        <v>46529</v>
      </c>
      <c r="B143" s="44"/>
      <c r="C143" s="44"/>
      <c r="D143" s="44"/>
      <c r="E143" s="44"/>
      <c r="F143" s="44"/>
      <c r="G143" s="40"/>
      <c r="H143" s="28">
        <f t="shared" si="4"/>
        <v>103</v>
      </c>
      <c r="I143" s="40"/>
      <c r="J143" s="44"/>
      <c r="K143" s="28">
        <f>TABL1234[[#This Row],[خط (T/B  TOT) SAR]]+TABL1234[[#This Row],[خط (S/S  TOT) SAR2]]</f>
        <v>0</v>
      </c>
      <c r="L143" s="45"/>
      <c r="M143" s="46"/>
      <c r="N143" s="46"/>
      <c r="O143" s="40"/>
      <c r="P143" s="3">
        <f>TABL1234[[#This Row],[خط (S/S  TOT) SAR2]]-TABL1234[[#This Row],[(S/S TOT) AJD]]</f>
        <v>0</v>
      </c>
      <c r="Q143" s="40"/>
      <c r="R143" s="3">
        <f>TABL1234[[#This Row],[خط (T/B  TOT) SAR]]-TABL1234[[#This Row],[(T/B TOT) AJD]]</f>
        <v>0</v>
      </c>
      <c r="S143" s="3">
        <f>TABL1234[[#This Row],[الفرق بين بداية ونهاية خط  T/B]]+TABL1234[[#This Row],[الفرق بين بداية ونهاية خط  S/S]]</f>
        <v>0</v>
      </c>
      <c r="T143" s="3">
        <f>TABL1234[[#This Row],[(S/S TOT) AJD]]+TABL1234[[#This Row],[(T/B TOT) AJD]]</f>
        <v>0</v>
      </c>
      <c r="U143" s="44"/>
      <c r="V143" s="44"/>
      <c r="W143" s="3">
        <f>TABL1234[[#This Row],[(A/B TOT) AJD]]+TABL1234[[#This Row],[(A/S TOT) AJD]]</f>
        <v>0</v>
      </c>
      <c r="X143" s="3">
        <f>TABL1234[[#This Row],[( S/S+T/B) AJD]]-TABL1234[[#This Row],[(A/B + A/S) AJD]]</f>
        <v>0</v>
      </c>
      <c r="Y143" s="44"/>
      <c r="Z143" s="45"/>
      <c r="AA143" s="3">
        <f>TABL1234[[#This Row],[(RESV. STORGE) AJD]]/10</f>
        <v>0</v>
      </c>
      <c r="AB143" s="3">
        <f t="shared" si="5"/>
        <v>0</v>
      </c>
      <c r="AC143" s="5"/>
      <c r="AD143" s="40">
        <f>TABL1234[[#This Row],[( S/S+T/B) AJD]]-(TABL1234[[#This Row],[(A/B + A/S) AJD]]+(TABL1234[[#This Row],[(STORGE DIFF.) AJD]]*1000)+TABL1234[[#This Row],[البخر  AJD]])</f>
        <v>0</v>
      </c>
      <c r="AE143" s="44"/>
      <c r="AF143" s="45"/>
      <c r="AG143" s="45"/>
      <c r="AH143" s="6"/>
      <c r="AI143" s="45"/>
      <c r="AJ143" s="45">
        <f>TABL1234[[#This Row],[(A/B TOT) AJD]]-TABL1234[[#This Row],[BER_ IN]]</f>
        <v>0</v>
      </c>
      <c r="AK143" s="45"/>
      <c r="AL143" s="45"/>
      <c r="AM143" s="32"/>
      <c r="AN143" s="32">
        <f>TABL1234[[#This Row],[ (RESV. STORGE) SER]]/10</f>
        <v>0</v>
      </c>
      <c r="AO143" s="68"/>
      <c r="AP143" s="68">
        <f>TABL1234[[#This Row],[(A/S TOT) AJD]]-TABL1234[[#This Row],[SER_ IN]]</f>
        <v>0</v>
      </c>
    </row>
    <row r="144" spans="1:42" ht="18.75" x14ac:dyDescent="0.25">
      <c r="A144" s="2">
        <v>46530</v>
      </c>
      <c r="B144" s="41"/>
      <c r="C144" s="41"/>
      <c r="D144" s="41"/>
      <c r="E144" s="41"/>
      <c r="F144" s="41"/>
      <c r="G144" s="39"/>
      <c r="H144" s="28">
        <f t="shared" si="4"/>
        <v>103</v>
      </c>
      <c r="I144" s="39"/>
      <c r="J144" s="39"/>
      <c r="K144" s="28">
        <f>TABL1234[[#This Row],[خط (T/B  TOT) SAR]]+TABL1234[[#This Row],[خط (S/S  TOT) SAR2]]</f>
        <v>0</v>
      </c>
      <c r="L144" s="41"/>
      <c r="M144" s="42"/>
      <c r="N144" s="42"/>
      <c r="O144" s="39"/>
      <c r="P144" s="3">
        <f>TABL1234[[#This Row],[خط (S/S  TOT) SAR2]]-TABL1234[[#This Row],[(S/S TOT) AJD]]</f>
        <v>0</v>
      </c>
      <c r="Q144" s="39"/>
      <c r="R144" s="3">
        <f>TABL1234[[#This Row],[خط (T/B  TOT) SAR]]-TABL1234[[#This Row],[(T/B TOT) AJD]]</f>
        <v>0</v>
      </c>
      <c r="S144" s="3">
        <f>TABL1234[[#This Row],[الفرق بين بداية ونهاية خط  T/B]]+TABL1234[[#This Row],[الفرق بين بداية ونهاية خط  S/S]]</f>
        <v>0</v>
      </c>
      <c r="T144" s="3">
        <f>TABL1234[[#This Row],[(S/S TOT) AJD]]+TABL1234[[#This Row],[(T/B TOT) AJD]]</f>
        <v>0</v>
      </c>
      <c r="U144" s="41"/>
      <c r="V144" s="41"/>
      <c r="W144" s="3">
        <f>TABL1234[[#This Row],[(A/B TOT) AJD]]+TABL1234[[#This Row],[(A/S TOT) AJD]]</f>
        <v>0</v>
      </c>
      <c r="X144" s="3">
        <f>TABL1234[[#This Row],[( S/S+T/B) AJD]]-TABL1234[[#This Row],[(A/B + A/S) AJD]]</f>
        <v>0</v>
      </c>
      <c r="Y144" s="41"/>
      <c r="Z144" s="43"/>
      <c r="AA144" s="3">
        <f>TABL1234[[#This Row],[(RESV. STORGE) AJD]]/10</f>
        <v>0</v>
      </c>
      <c r="AB144" s="3">
        <f t="shared" si="5"/>
        <v>0</v>
      </c>
      <c r="AC144" s="5"/>
      <c r="AD144" s="39">
        <f>TABL1234[[#This Row],[( S/S+T/B) AJD]]-(TABL1234[[#This Row],[(A/B + A/S) AJD]]+(TABL1234[[#This Row],[(STORGE DIFF.) AJD]]*1000)+TABL1234[[#This Row],[البخر  AJD]])</f>
        <v>0</v>
      </c>
      <c r="AE144" s="41"/>
      <c r="AF144" s="43"/>
      <c r="AG144" s="43"/>
      <c r="AH144" s="6"/>
      <c r="AI144" s="43"/>
      <c r="AJ144" s="43">
        <f>TABL1234[[#This Row],[(A/B TOT) AJD]]-TABL1234[[#This Row],[BER_ IN]]</f>
        <v>0</v>
      </c>
      <c r="AK144" s="43"/>
      <c r="AL144" s="43"/>
      <c r="AM144" s="32"/>
      <c r="AN144" s="32">
        <f>TABL1234[[#This Row],[ (RESV. STORGE) SER]]/10</f>
        <v>0</v>
      </c>
      <c r="AO144" s="68"/>
      <c r="AP144" s="68">
        <f>TABL1234[[#This Row],[(A/S TOT) AJD]]-TABL1234[[#This Row],[SER_ IN]]</f>
        <v>0</v>
      </c>
    </row>
    <row r="145" spans="1:42" ht="18.75" x14ac:dyDescent="0.25">
      <c r="A145" s="2">
        <v>46531</v>
      </c>
      <c r="B145" s="44"/>
      <c r="C145" s="44"/>
      <c r="D145" s="44"/>
      <c r="E145" s="44"/>
      <c r="F145" s="44"/>
      <c r="G145" s="40"/>
      <c r="H145" s="28">
        <f t="shared" si="4"/>
        <v>103</v>
      </c>
      <c r="I145" s="40"/>
      <c r="J145" s="44"/>
      <c r="K145" s="28">
        <f>TABL1234[[#This Row],[خط (T/B  TOT) SAR]]+TABL1234[[#This Row],[خط (S/S  TOT) SAR2]]</f>
        <v>0</v>
      </c>
      <c r="L145" s="45"/>
      <c r="M145" s="46"/>
      <c r="N145" s="46"/>
      <c r="O145" s="40"/>
      <c r="P145" s="3">
        <f>TABL1234[[#This Row],[خط (S/S  TOT) SAR2]]-TABL1234[[#This Row],[(S/S TOT) AJD]]</f>
        <v>0</v>
      </c>
      <c r="Q145" s="40"/>
      <c r="R145" s="3">
        <f>TABL1234[[#This Row],[خط (T/B  TOT) SAR]]-TABL1234[[#This Row],[(T/B TOT) AJD]]</f>
        <v>0</v>
      </c>
      <c r="S145" s="3">
        <f>TABL1234[[#This Row],[الفرق بين بداية ونهاية خط  T/B]]+TABL1234[[#This Row],[الفرق بين بداية ونهاية خط  S/S]]</f>
        <v>0</v>
      </c>
      <c r="T145" s="3">
        <f>TABL1234[[#This Row],[(S/S TOT) AJD]]+TABL1234[[#This Row],[(T/B TOT) AJD]]</f>
        <v>0</v>
      </c>
      <c r="U145" s="44"/>
      <c r="V145" s="44"/>
      <c r="W145" s="3">
        <f>TABL1234[[#This Row],[(A/B TOT) AJD]]+TABL1234[[#This Row],[(A/S TOT) AJD]]</f>
        <v>0</v>
      </c>
      <c r="X145" s="3">
        <f>TABL1234[[#This Row],[( S/S+T/B) AJD]]-TABL1234[[#This Row],[(A/B + A/S) AJD]]</f>
        <v>0</v>
      </c>
      <c r="Y145" s="44"/>
      <c r="Z145" s="45"/>
      <c r="AA145" s="3">
        <f>TABL1234[[#This Row],[(RESV. STORGE) AJD]]/10</f>
        <v>0</v>
      </c>
      <c r="AB145" s="3">
        <f t="shared" si="5"/>
        <v>0</v>
      </c>
      <c r="AC145" s="5"/>
      <c r="AD145" s="40">
        <f>TABL1234[[#This Row],[( S/S+T/B) AJD]]-(TABL1234[[#This Row],[(A/B + A/S) AJD]]+(TABL1234[[#This Row],[(STORGE DIFF.) AJD]]*1000)+TABL1234[[#This Row],[البخر  AJD]])</f>
        <v>0</v>
      </c>
      <c r="AE145" s="44"/>
      <c r="AF145" s="45"/>
      <c r="AG145" s="45"/>
      <c r="AH145" s="6"/>
      <c r="AI145" s="45"/>
      <c r="AJ145" s="45">
        <f>TABL1234[[#This Row],[(A/B TOT) AJD]]-TABL1234[[#This Row],[BER_ IN]]</f>
        <v>0</v>
      </c>
      <c r="AK145" s="45"/>
      <c r="AL145" s="45"/>
      <c r="AM145" s="32"/>
      <c r="AN145" s="32">
        <f>TABL1234[[#This Row],[ (RESV. STORGE) SER]]/10</f>
        <v>0</v>
      </c>
      <c r="AO145" s="68"/>
      <c r="AP145" s="68">
        <f>TABL1234[[#This Row],[(A/S TOT) AJD]]-TABL1234[[#This Row],[SER_ IN]]</f>
        <v>0</v>
      </c>
    </row>
    <row r="146" spans="1:42" ht="18.75" x14ac:dyDescent="0.25">
      <c r="A146" s="2">
        <v>46532</v>
      </c>
      <c r="B146" s="41"/>
      <c r="C146" s="41"/>
      <c r="D146" s="41"/>
      <c r="E146" s="41"/>
      <c r="F146" s="41"/>
      <c r="G146" s="39"/>
      <c r="H146" s="28">
        <f t="shared" si="4"/>
        <v>103</v>
      </c>
      <c r="I146" s="39"/>
      <c r="J146" s="39"/>
      <c r="K146" s="28">
        <f>TABL1234[[#This Row],[خط (T/B  TOT) SAR]]+TABL1234[[#This Row],[خط (S/S  TOT) SAR2]]</f>
        <v>0</v>
      </c>
      <c r="L146" s="41"/>
      <c r="M146" s="42"/>
      <c r="N146" s="42"/>
      <c r="O146" s="39"/>
      <c r="P146" s="3">
        <f>TABL1234[[#This Row],[خط (S/S  TOT) SAR2]]-TABL1234[[#This Row],[(S/S TOT) AJD]]</f>
        <v>0</v>
      </c>
      <c r="Q146" s="39"/>
      <c r="R146" s="3">
        <f>TABL1234[[#This Row],[خط (T/B  TOT) SAR]]-TABL1234[[#This Row],[(T/B TOT) AJD]]</f>
        <v>0</v>
      </c>
      <c r="S146" s="3">
        <f>TABL1234[[#This Row],[الفرق بين بداية ونهاية خط  T/B]]+TABL1234[[#This Row],[الفرق بين بداية ونهاية خط  S/S]]</f>
        <v>0</v>
      </c>
      <c r="T146" s="3">
        <f>TABL1234[[#This Row],[(S/S TOT) AJD]]+TABL1234[[#This Row],[(T/B TOT) AJD]]</f>
        <v>0</v>
      </c>
      <c r="U146" s="41"/>
      <c r="V146" s="41"/>
      <c r="W146" s="3">
        <f>TABL1234[[#This Row],[(A/B TOT) AJD]]+TABL1234[[#This Row],[(A/S TOT) AJD]]</f>
        <v>0</v>
      </c>
      <c r="X146" s="3">
        <f>TABL1234[[#This Row],[( S/S+T/B) AJD]]-TABL1234[[#This Row],[(A/B + A/S) AJD]]</f>
        <v>0</v>
      </c>
      <c r="Y146" s="41"/>
      <c r="Z146" s="43"/>
      <c r="AA146" s="3">
        <f>TABL1234[[#This Row],[(RESV. STORGE) AJD]]/10</f>
        <v>0</v>
      </c>
      <c r="AB146" s="3">
        <f t="shared" si="5"/>
        <v>0</v>
      </c>
      <c r="AC146" s="5"/>
      <c r="AD146" s="39">
        <f>TABL1234[[#This Row],[( S/S+T/B) AJD]]-(TABL1234[[#This Row],[(A/B + A/S) AJD]]+(TABL1234[[#This Row],[(STORGE DIFF.) AJD]]*1000)+TABL1234[[#This Row],[البخر  AJD]])</f>
        <v>0</v>
      </c>
      <c r="AE146" s="41"/>
      <c r="AF146" s="43"/>
      <c r="AG146" s="43"/>
      <c r="AH146" s="6"/>
      <c r="AI146" s="43"/>
      <c r="AJ146" s="43">
        <f>TABL1234[[#This Row],[(A/B TOT) AJD]]-TABL1234[[#This Row],[BER_ IN]]</f>
        <v>0</v>
      </c>
      <c r="AK146" s="43"/>
      <c r="AL146" s="43"/>
      <c r="AM146" s="32"/>
      <c r="AN146" s="32">
        <f>TABL1234[[#This Row],[ (RESV. STORGE) SER]]/10</f>
        <v>0</v>
      </c>
      <c r="AO146" s="68"/>
      <c r="AP146" s="68">
        <f>TABL1234[[#This Row],[(A/S TOT) AJD]]-TABL1234[[#This Row],[SER_ IN]]</f>
        <v>0</v>
      </c>
    </row>
    <row r="147" spans="1:42" ht="18.75" x14ac:dyDescent="0.25">
      <c r="A147" s="2">
        <v>46533</v>
      </c>
      <c r="B147" s="44"/>
      <c r="C147" s="44"/>
      <c r="D147" s="44"/>
      <c r="E147" s="44"/>
      <c r="F147" s="44"/>
      <c r="G147" s="40"/>
      <c r="H147" s="28">
        <f t="shared" si="4"/>
        <v>103</v>
      </c>
      <c r="I147" s="40"/>
      <c r="J147" s="44"/>
      <c r="K147" s="28">
        <f>TABL1234[[#This Row],[خط (T/B  TOT) SAR]]+TABL1234[[#This Row],[خط (S/S  TOT) SAR2]]</f>
        <v>0</v>
      </c>
      <c r="L147" s="45"/>
      <c r="M147" s="46"/>
      <c r="N147" s="46"/>
      <c r="O147" s="40"/>
      <c r="P147" s="3">
        <f>TABL1234[[#This Row],[خط (S/S  TOT) SAR2]]-TABL1234[[#This Row],[(S/S TOT) AJD]]</f>
        <v>0</v>
      </c>
      <c r="Q147" s="40"/>
      <c r="R147" s="3">
        <f>TABL1234[[#This Row],[خط (T/B  TOT) SAR]]-TABL1234[[#This Row],[(T/B TOT) AJD]]</f>
        <v>0</v>
      </c>
      <c r="S147" s="3">
        <f>TABL1234[[#This Row],[الفرق بين بداية ونهاية خط  T/B]]+TABL1234[[#This Row],[الفرق بين بداية ونهاية خط  S/S]]</f>
        <v>0</v>
      </c>
      <c r="T147" s="3">
        <f>TABL1234[[#This Row],[(S/S TOT) AJD]]+TABL1234[[#This Row],[(T/B TOT) AJD]]</f>
        <v>0</v>
      </c>
      <c r="U147" s="44"/>
      <c r="V147" s="44"/>
      <c r="W147" s="3">
        <f>TABL1234[[#This Row],[(A/B TOT) AJD]]+TABL1234[[#This Row],[(A/S TOT) AJD]]</f>
        <v>0</v>
      </c>
      <c r="X147" s="3">
        <f>TABL1234[[#This Row],[( S/S+T/B) AJD]]-TABL1234[[#This Row],[(A/B + A/S) AJD]]</f>
        <v>0</v>
      </c>
      <c r="Y147" s="44"/>
      <c r="Z147" s="45"/>
      <c r="AA147" s="3">
        <f>TABL1234[[#This Row],[(RESV. STORGE) AJD]]/10</f>
        <v>0</v>
      </c>
      <c r="AB147" s="3">
        <f t="shared" si="5"/>
        <v>0</v>
      </c>
      <c r="AC147" s="5"/>
      <c r="AD147" s="40">
        <f>TABL1234[[#This Row],[( S/S+T/B) AJD]]-(TABL1234[[#This Row],[(A/B + A/S) AJD]]+(TABL1234[[#This Row],[(STORGE DIFF.) AJD]]*1000)+TABL1234[[#This Row],[البخر  AJD]])</f>
        <v>0</v>
      </c>
      <c r="AE147" s="44"/>
      <c r="AF147" s="45"/>
      <c r="AG147" s="45"/>
      <c r="AH147" s="6"/>
      <c r="AI147" s="45"/>
      <c r="AJ147" s="45">
        <f>TABL1234[[#This Row],[(A/B TOT) AJD]]-TABL1234[[#This Row],[BER_ IN]]</f>
        <v>0</v>
      </c>
      <c r="AK147" s="45"/>
      <c r="AL147" s="45"/>
      <c r="AM147" s="32"/>
      <c r="AN147" s="32">
        <f>TABL1234[[#This Row],[ (RESV. STORGE) SER]]/10</f>
        <v>0</v>
      </c>
      <c r="AO147" s="68"/>
      <c r="AP147" s="68">
        <f>TABL1234[[#This Row],[(A/S TOT) AJD]]-TABL1234[[#This Row],[SER_ IN]]</f>
        <v>0</v>
      </c>
    </row>
    <row r="148" spans="1:42" ht="18.75" x14ac:dyDescent="0.25">
      <c r="A148" s="2">
        <v>46534</v>
      </c>
      <c r="B148" s="41"/>
      <c r="C148" s="41"/>
      <c r="D148" s="41"/>
      <c r="E148" s="41"/>
      <c r="F148" s="41"/>
      <c r="G148" s="39"/>
      <c r="H148" s="28">
        <f t="shared" si="4"/>
        <v>103</v>
      </c>
      <c r="I148" s="39"/>
      <c r="J148" s="39"/>
      <c r="K148" s="28">
        <f>TABL1234[[#This Row],[خط (T/B  TOT) SAR]]+TABL1234[[#This Row],[خط (S/S  TOT) SAR2]]</f>
        <v>0</v>
      </c>
      <c r="L148" s="41"/>
      <c r="M148" s="42"/>
      <c r="N148" s="42"/>
      <c r="O148" s="39"/>
      <c r="P148" s="3">
        <f>TABL1234[[#This Row],[خط (S/S  TOT) SAR2]]-TABL1234[[#This Row],[(S/S TOT) AJD]]</f>
        <v>0</v>
      </c>
      <c r="Q148" s="39"/>
      <c r="R148" s="3">
        <f>TABL1234[[#This Row],[خط (T/B  TOT) SAR]]-TABL1234[[#This Row],[(T/B TOT) AJD]]</f>
        <v>0</v>
      </c>
      <c r="S148" s="3">
        <f>TABL1234[[#This Row],[الفرق بين بداية ونهاية خط  T/B]]+TABL1234[[#This Row],[الفرق بين بداية ونهاية خط  S/S]]</f>
        <v>0</v>
      </c>
      <c r="T148" s="3">
        <f>TABL1234[[#This Row],[(S/S TOT) AJD]]+TABL1234[[#This Row],[(T/B TOT) AJD]]</f>
        <v>0</v>
      </c>
      <c r="U148" s="41"/>
      <c r="V148" s="41"/>
      <c r="W148" s="3">
        <f>TABL1234[[#This Row],[(A/B TOT) AJD]]+TABL1234[[#This Row],[(A/S TOT) AJD]]</f>
        <v>0</v>
      </c>
      <c r="X148" s="3">
        <f>TABL1234[[#This Row],[( S/S+T/B) AJD]]-TABL1234[[#This Row],[(A/B + A/S) AJD]]</f>
        <v>0</v>
      </c>
      <c r="Y148" s="41"/>
      <c r="Z148" s="43"/>
      <c r="AA148" s="3">
        <f>TABL1234[[#This Row],[(RESV. STORGE) AJD]]/10</f>
        <v>0</v>
      </c>
      <c r="AB148" s="3">
        <f t="shared" si="5"/>
        <v>0</v>
      </c>
      <c r="AC148" s="5"/>
      <c r="AD148" s="39">
        <f>TABL1234[[#This Row],[( S/S+T/B) AJD]]-(TABL1234[[#This Row],[(A/B + A/S) AJD]]+(TABL1234[[#This Row],[(STORGE DIFF.) AJD]]*1000)+TABL1234[[#This Row],[البخر  AJD]])</f>
        <v>0</v>
      </c>
      <c r="AE148" s="41"/>
      <c r="AF148" s="43"/>
      <c r="AG148" s="43"/>
      <c r="AH148" s="6"/>
      <c r="AI148" s="43"/>
      <c r="AJ148" s="43">
        <f>TABL1234[[#This Row],[(A/B TOT) AJD]]-TABL1234[[#This Row],[BER_ IN]]</f>
        <v>0</v>
      </c>
      <c r="AK148" s="43"/>
      <c r="AL148" s="43"/>
      <c r="AM148" s="32"/>
      <c r="AN148" s="32">
        <f>TABL1234[[#This Row],[ (RESV. STORGE) SER]]/10</f>
        <v>0</v>
      </c>
      <c r="AO148" s="68"/>
      <c r="AP148" s="68">
        <f>TABL1234[[#This Row],[(A/S TOT) AJD]]-TABL1234[[#This Row],[SER_ IN]]</f>
        <v>0</v>
      </c>
    </row>
    <row r="149" spans="1:42" ht="18.75" x14ac:dyDescent="0.25">
      <c r="A149" s="2">
        <v>46535</v>
      </c>
      <c r="B149" s="44"/>
      <c r="C149" s="44"/>
      <c r="D149" s="44"/>
      <c r="E149" s="44"/>
      <c r="F149" s="44"/>
      <c r="G149" s="40"/>
      <c r="H149" s="28">
        <f t="shared" si="4"/>
        <v>103</v>
      </c>
      <c r="I149" s="40"/>
      <c r="J149" s="44"/>
      <c r="K149" s="28">
        <f>TABL1234[[#This Row],[خط (T/B  TOT) SAR]]+TABL1234[[#This Row],[خط (S/S  TOT) SAR2]]</f>
        <v>0</v>
      </c>
      <c r="L149" s="45"/>
      <c r="M149" s="46"/>
      <c r="N149" s="46"/>
      <c r="O149" s="40"/>
      <c r="P149" s="3">
        <f>TABL1234[[#This Row],[خط (S/S  TOT) SAR2]]-TABL1234[[#This Row],[(S/S TOT) AJD]]</f>
        <v>0</v>
      </c>
      <c r="Q149" s="40"/>
      <c r="R149" s="3">
        <f>TABL1234[[#This Row],[خط (T/B  TOT) SAR]]-TABL1234[[#This Row],[(T/B TOT) AJD]]</f>
        <v>0</v>
      </c>
      <c r="S149" s="3">
        <f>TABL1234[[#This Row],[الفرق بين بداية ونهاية خط  T/B]]+TABL1234[[#This Row],[الفرق بين بداية ونهاية خط  S/S]]</f>
        <v>0</v>
      </c>
      <c r="T149" s="3">
        <f>TABL1234[[#This Row],[(S/S TOT) AJD]]+TABL1234[[#This Row],[(T/B TOT) AJD]]</f>
        <v>0</v>
      </c>
      <c r="U149" s="44"/>
      <c r="V149" s="44"/>
      <c r="W149" s="3">
        <f>TABL1234[[#This Row],[(A/B TOT) AJD]]+TABL1234[[#This Row],[(A/S TOT) AJD]]</f>
        <v>0</v>
      </c>
      <c r="X149" s="3">
        <f>TABL1234[[#This Row],[( S/S+T/B) AJD]]-TABL1234[[#This Row],[(A/B + A/S) AJD]]</f>
        <v>0</v>
      </c>
      <c r="Y149" s="44"/>
      <c r="Z149" s="45"/>
      <c r="AA149" s="3">
        <f>TABL1234[[#This Row],[(RESV. STORGE) AJD]]/10</f>
        <v>0</v>
      </c>
      <c r="AB149" s="3">
        <f t="shared" si="5"/>
        <v>0</v>
      </c>
      <c r="AC149" s="5"/>
      <c r="AD149" s="40">
        <f>TABL1234[[#This Row],[( S/S+T/B) AJD]]-(TABL1234[[#This Row],[(A/B + A/S) AJD]]+(TABL1234[[#This Row],[(STORGE DIFF.) AJD]]*1000)+TABL1234[[#This Row],[البخر  AJD]])</f>
        <v>0</v>
      </c>
      <c r="AE149" s="44"/>
      <c r="AF149" s="45"/>
      <c r="AG149" s="45"/>
      <c r="AH149" s="6"/>
      <c r="AI149" s="45"/>
      <c r="AJ149" s="45">
        <f>TABL1234[[#This Row],[(A/B TOT) AJD]]-TABL1234[[#This Row],[BER_ IN]]</f>
        <v>0</v>
      </c>
      <c r="AK149" s="45"/>
      <c r="AL149" s="45"/>
      <c r="AM149" s="32"/>
      <c r="AN149" s="32">
        <f>TABL1234[[#This Row],[ (RESV. STORGE) SER]]/10</f>
        <v>0</v>
      </c>
      <c r="AO149" s="68"/>
      <c r="AP149" s="68">
        <f>TABL1234[[#This Row],[(A/S TOT) AJD]]-TABL1234[[#This Row],[SER_ IN]]</f>
        <v>0</v>
      </c>
    </row>
    <row r="150" spans="1:42" ht="18.75" x14ac:dyDescent="0.25">
      <c r="A150" s="2">
        <v>46536</v>
      </c>
      <c r="B150" s="41"/>
      <c r="C150" s="41"/>
      <c r="D150" s="41"/>
      <c r="E150" s="41"/>
      <c r="F150" s="41"/>
      <c r="G150" s="39"/>
      <c r="H150" s="28">
        <f t="shared" si="4"/>
        <v>103</v>
      </c>
      <c r="I150" s="39"/>
      <c r="J150" s="39"/>
      <c r="K150" s="28">
        <f>TABL1234[[#This Row],[خط (T/B  TOT) SAR]]+TABL1234[[#This Row],[خط (S/S  TOT) SAR2]]</f>
        <v>0</v>
      </c>
      <c r="L150" s="41"/>
      <c r="M150" s="42"/>
      <c r="N150" s="42"/>
      <c r="O150" s="39"/>
      <c r="P150" s="3">
        <f>TABL1234[[#This Row],[خط (S/S  TOT) SAR2]]-TABL1234[[#This Row],[(S/S TOT) AJD]]</f>
        <v>0</v>
      </c>
      <c r="Q150" s="39"/>
      <c r="R150" s="3">
        <f>TABL1234[[#This Row],[خط (T/B  TOT) SAR]]-TABL1234[[#This Row],[(T/B TOT) AJD]]</f>
        <v>0</v>
      </c>
      <c r="S150" s="3">
        <f>TABL1234[[#This Row],[الفرق بين بداية ونهاية خط  T/B]]+TABL1234[[#This Row],[الفرق بين بداية ونهاية خط  S/S]]</f>
        <v>0</v>
      </c>
      <c r="T150" s="3">
        <f>TABL1234[[#This Row],[(S/S TOT) AJD]]+TABL1234[[#This Row],[(T/B TOT) AJD]]</f>
        <v>0</v>
      </c>
      <c r="U150" s="41"/>
      <c r="V150" s="41"/>
      <c r="W150" s="3">
        <f>TABL1234[[#This Row],[(A/B TOT) AJD]]+TABL1234[[#This Row],[(A/S TOT) AJD]]</f>
        <v>0</v>
      </c>
      <c r="X150" s="3">
        <f>TABL1234[[#This Row],[( S/S+T/B) AJD]]-TABL1234[[#This Row],[(A/B + A/S) AJD]]</f>
        <v>0</v>
      </c>
      <c r="Y150" s="41"/>
      <c r="Z150" s="43"/>
      <c r="AA150" s="3">
        <f>TABL1234[[#This Row],[(RESV. STORGE) AJD]]/10</f>
        <v>0</v>
      </c>
      <c r="AB150" s="3">
        <f t="shared" si="5"/>
        <v>0</v>
      </c>
      <c r="AC150" s="5"/>
      <c r="AD150" s="39">
        <f>TABL1234[[#This Row],[( S/S+T/B) AJD]]-(TABL1234[[#This Row],[(A/B + A/S) AJD]]+(TABL1234[[#This Row],[(STORGE DIFF.) AJD]]*1000)+TABL1234[[#This Row],[البخر  AJD]])</f>
        <v>0</v>
      </c>
      <c r="AE150" s="41"/>
      <c r="AF150" s="43"/>
      <c r="AG150" s="43"/>
      <c r="AH150" s="6"/>
      <c r="AI150" s="43"/>
      <c r="AJ150" s="43">
        <f>TABL1234[[#This Row],[(A/B TOT) AJD]]-TABL1234[[#This Row],[BER_ IN]]</f>
        <v>0</v>
      </c>
      <c r="AK150" s="43"/>
      <c r="AL150" s="43"/>
      <c r="AM150" s="32"/>
      <c r="AN150" s="32">
        <f>TABL1234[[#This Row],[ (RESV. STORGE) SER]]/10</f>
        <v>0</v>
      </c>
      <c r="AO150" s="68"/>
      <c r="AP150" s="68">
        <f>TABL1234[[#This Row],[(A/S TOT) AJD]]-TABL1234[[#This Row],[SER_ IN]]</f>
        <v>0</v>
      </c>
    </row>
    <row r="151" spans="1:42" ht="18.75" x14ac:dyDescent="0.25">
      <c r="A151" s="2">
        <v>46537</v>
      </c>
      <c r="B151" s="44"/>
      <c r="C151" s="44"/>
      <c r="D151" s="44"/>
      <c r="E151" s="44"/>
      <c r="F151" s="44"/>
      <c r="G151" s="40"/>
      <c r="H151" s="28">
        <f t="shared" si="4"/>
        <v>103</v>
      </c>
      <c r="I151" s="40"/>
      <c r="J151" s="44"/>
      <c r="K151" s="28">
        <f>TABL1234[[#This Row],[خط (T/B  TOT) SAR]]+TABL1234[[#This Row],[خط (S/S  TOT) SAR2]]</f>
        <v>0</v>
      </c>
      <c r="L151" s="45"/>
      <c r="M151" s="46"/>
      <c r="N151" s="46"/>
      <c r="O151" s="40"/>
      <c r="P151" s="3">
        <f>TABL1234[[#This Row],[خط (S/S  TOT) SAR2]]-TABL1234[[#This Row],[(S/S TOT) AJD]]</f>
        <v>0</v>
      </c>
      <c r="Q151" s="40"/>
      <c r="R151" s="3">
        <f>TABL1234[[#This Row],[خط (T/B  TOT) SAR]]-TABL1234[[#This Row],[(T/B TOT) AJD]]</f>
        <v>0</v>
      </c>
      <c r="S151" s="3">
        <f>TABL1234[[#This Row],[الفرق بين بداية ونهاية خط  T/B]]+TABL1234[[#This Row],[الفرق بين بداية ونهاية خط  S/S]]</f>
        <v>0</v>
      </c>
      <c r="T151" s="3">
        <f>TABL1234[[#This Row],[(S/S TOT) AJD]]+TABL1234[[#This Row],[(T/B TOT) AJD]]</f>
        <v>0</v>
      </c>
      <c r="U151" s="44"/>
      <c r="V151" s="44"/>
      <c r="W151" s="3">
        <f>TABL1234[[#This Row],[(A/B TOT) AJD]]+TABL1234[[#This Row],[(A/S TOT) AJD]]</f>
        <v>0</v>
      </c>
      <c r="X151" s="3">
        <f>TABL1234[[#This Row],[( S/S+T/B) AJD]]-TABL1234[[#This Row],[(A/B + A/S) AJD]]</f>
        <v>0</v>
      </c>
      <c r="Y151" s="44"/>
      <c r="Z151" s="45"/>
      <c r="AA151" s="3">
        <f>TABL1234[[#This Row],[(RESV. STORGE) AJD]]/10</f>
        <v>0</v>
      </c>
      <c r="AB151" s="3">
        <f t="shared" si="5"/>
        <v>0</v>
      </c>
      <c r="AC151" s="5"/>
      <c r="AD151" s="70">
        <f>TABL1234[[#This Row],[( S/S+T/B) AJD]]-(TABL1234[[#This Row],[(A/B + A/S) AJD]]+(TABL1234[[#This Row],[(STORGE DIFF.) AJD]]*1000)+TABL1234[[#This Row],[البخر  AJD]])</f>
        <v>0</v>
      </c>
      <c r="AE151" s="44"/>
      <c r="AF151" s="45"/>
      <c r="AG151" s="45"/>
      <c r="AH151" s="6"/>
      <c r="AI151" s="45"/>
      <c r="AJ151" s="91">
        <f>TABL1234[[#This Row],[(A/B TOT) AJD]]-TABL1234[[#This Row],[BER_ IN]]</f>
        <v>0</v>
      </c>
      <c r="AK151" s="45"/>
      <c r="AL151" s="45"/>
      <c r="AM151" s="32"/>
      <c r="AN151" s="32">
        <f>TABL1234[[#This Row],[ (RESV. STORGE) SER]]/10</f>
        <v>0</v>
      </c>
      <c r="AO151" s="68"/>
      <c r="AP151" s="68">
        <f>TABL1234[[#This Row],[(A/S TOT) AJD]]-TABL1234[[#This Row],[SER_ IN]]</f>
        <v>0</v>
      </c>
    </row>
    <row r="152" spans="1:42" ht="18.75" x14ac:dyDescent="0.25">
      <c r="A152" s="2">
        <v>46538</v>
      </c>
      <c r="B152" s="41"/>
      <c r="C152" s="41"/>
      <c r="D152" s="41"/>
      <c r="E152" s="28"/>
      <c r="F152" s="41"/>
      <c r="G152" s="39"/>
      <c r="H152" s="28">
        <f t="shared" si="4"/>
        <v>103</v>
      </c>
      <c r="I152" s="39"/>
      <c r="J152" s="39"/>
      <c r="K152" s="28">
        <f>TABL1234[[#This Row],[خط (T/B  TOT) SAR]]+TABL1234[[#This Row],[خط (S/S  TOT) SAR2]]</f>
        <v>0</v>
      </c>
      <c r="L152" s="41"/>
      <c r="M152" s="42"/>
      <c r="N152" s="42"/>
      <c r="O152" s="39"/>
      <c r="P152" s="3">
        <f>TABL1234[[#This Row],[خط (S/S  TOT) SAR2]]-TABL1234[[#This Row],[(S/S TOT) AJD]]</f>
        <v>0</v>
      </c>
      <c r="Q152" s="39"/>
      <c r="R152" s="3">
        <f>TABL1234[[#This Row],[خط (T/B  TOT) SAR]]-TABL1234[[#This Row],[(T/B TOT) AJD]]</f>
        <v>0</v>
      </c>
      <c r="S152" s="3">
        <f>TABL1234[[#This Row],[الفرق بين بداية ونهاية خط  T/B]]+TABL1234[[#This Row],[الفرق بين بداية ونهاية خط  S/S]]</f>
        <v>0</v>
      </c>
      <c r="T152" s="3">
        <f>TABL1234[[#This Row],[(S/S TOT) AJD]]+TABL1234[[#This Row],[(T/B TOT) AJD]]</f>
        <v>0</v>
      </c>
      <c r="U152" s="41"/>
      <c r="V152" s="41"/>
      <c r="W152" s="3">
        <f>TABL1234[[#This Row],[(A/B TOT) AJD]]+TABL1234[[#This Row],[(A/S TOT) AJD]]</f>
        <v>0</v>
      </c>
      <c r="X152" s="3">
        <f>TABL1234[[#This Row],[( S/S+T/B) AJD]]-TABL1234[[#This Row],[(A/B + A/S) AJD]]</f>
        <v>0</v>
      </c>
      <c r="Y152" s="41"/>
      <c r="Z152" s="43"/>
      <c r="AA152" s="3">
        <f>TABL1234[[#This Row],[(RESV. STORGE) AJD]]/10</f>
        <v>0</v>
      </c>
      <c r="AB152" s="3">
        <f t="shared" si="5"/>
        <v>0</v>
      </c>
      <c r="AC152" s="5"/>
      <c r="AD152" s="39">
        <f>TABL1234[[#This Row],[( S/S+T/B) AJD]]-(TABL1234[[#This Row],[(A/B + A/S) AJD]]+(TABL1234[[#This Row],[(STORGE DIFF.) AJD]]*1000)+TABL1234[[#This Row],[البخر  AJD]])</f>
        <v>0</v>
      </c>
      <c r="AE152" s="41"/>
      <c r="AF152" s="43"/>
      <c r="AG152" s="43"/>
      <c r="AH152" s="6"/>
      <c r="AI152" s="43"/>
      <c r="AJ152" s="43">
        <f>TABL1234[[#This Row],[(A/B TOT) AJD]]-TABL1234[[#This Row],[BER_ IN]]</f>
        <v>0</v>
      </c>
      <c r="AK152" s="43"/>
      <c r="AL152" s="43"/>
      <c r="AM152" s="32"/>
      <c r="AN152" s="32">
        <f>TABL1234[[#This Row],[ (RESV. STORGE) SER]]/10</f>
        <v>0</v>
      </c>
      <c r="AO152" s="68"/>
      <c r="AP152" s="68">
        <f>TABL1234[[#This Row],[(A/S TOT) AJD]]-TABL1234[[#This Row],[SER_ IN]]</f>
        <v>0</v>
      </c>
    </row>
    <row r="153" spans="1:42" ht="18.75" x14ac:dyDescent="0.25">
      <c r="A153" s="2">
        <v>46539</v>
      </c>
      <c r="B153" s="41"/>
      <c r="C153" s="41"/>
      <c r="D153" s="41"/>
      <c r="E153" s="28"/>
      <c r="F153" s="41"/>
      <c r="G153" s="39"/>
      <c r="H153" s="28">
        <f t="shared" si="4"/>
        <v>103</v>
      </c>
      <c r="I153" s="39"/>
      <c r="J153" s="39"/>
      <c r="K153" s="28">
        <f>TABL1234[[#This Row],[خط (T/B  TOT) SAR]]+TABL1234[[#This Row],[خط (S/S  TOT) SAR2]]</f>
        <v>0</v>
      </c>
      <c r="L153" s="41"/>
      <c r="M153" s="42"/>
      <c r="N153" s="42"/>
      <c r="O153" s="39"/>
      <c r="P153" s="10">
        <f>TABL1234[[#This Row],[خط (S/S  TOT) SAR2]]-TABL1234[[#This Row],[(S/S TOT) AJD]]</f>
        <v>0</v>
      </c>
      <c r="Q153" s="39"/>
      <c r="R153" s="10">
        <f>TABL1234[[#This Row],[خط (T/B  TOT) SAR]]-TABL1234[[#This Row],[(T/B TOT) AJD]]</f>
        <v>0</v>
      </c>
      <c r="S153" s="10">
        <f>TABL1234[[#This Row],[الفرق بين بداية ونهاية خط  T/B]]+TABL1234[[#This Row],[الفرق بين بداية ونهاية خط  S/S]]</f>
        <v>0</v>
      </c>
      <c r="T153" s="10">
        <f>TABL1234[[#This Row],[(S/S TOT) AJD]]+TABL1234[[#This Row],[(T/B TOT) AJD]]</f>
        <v>0</v>
      </c>
      <c r="U153" s="41"/>
      <c r="V153" s="41"/>
      <c r="W153" s="10">
        <f>TABL1234[[#This Row],[(A/B TOT) AJD]]+TABL1234[[#This Row],[(A/S TOT) AJD]]</f>
        <v>0</v>
      </c>
      <c r="X153" s="10">
        <f>TABL1234[[#This Row],[( S/S+T/B) AJD]]-TABL1234[[#This Row],[(A/B + A/S) AJD]]</f>
        <v>0</v>
      </c>
      <c r="Y153" s="41"/>
      <c r="Z153" s="43"/>
      <c r="AA153" s="3">
        <f>TABL1234[[#This Row],[(RESV. STORGE) AJD]]/10</f>
        <v>0</v>
      </c>
      <c r="AB153" s="3">
        <f t="shared" si="5"/>
        <v>0</v>
      </c>
      <c r="AC153" s="5"/>
      <c r="AD153" s="39">
        <f>TABL1234[[#This Row],[( S/S+T/B) AJD]]-(TABL1234[[#This Row],[(A/B + A/S) AJD]]+(TABL1234[[#This Row],[(STORGE DIFF.) AJD]]*1000)+TABL1234[[#This Row],[البخر  AJD]])</f>
        <v>0</v>
      </c>
      <c r="AE153" s="41"/>
      <c r="AF153" s="43"/>
      <c r="AG153" s="43"/>
      <c r="AH153" s="6"/>
      <c r="AI153" s="43"/>
      <c r="AJ153" s="43">
        <f>TABL1234[[#This Row],[(A/B TOT) AJD]]-TABL1234[[#This Row],[BER_ IN]]</f>
        <v>0</v>
      </c>
      <c r="AK153" s="43"/>
      <c r="AL153" s="43"/>
      <c r="AM153" s="32"/>
      <c r="AN153" s="32">
        <f>TABL1234[[#This Row],[ (RESV. STORGE) SER]]/10</f>
        <v>0</v>
      </c>
      <c r="AO153" s="68"/>
      <c r="AP153" s="68">
        <f>TABL1234[[#This Row],[(A/S TOT) AJD]]-TABL1234[[#This Row],[SER_ IN]]</f>
        <v>0</v>
      </c>
    </row>
    <row r="154" spans="1:42" ht="18.75" x14ac:dyDescent="0.25">
      <c r="A154" s="2">
        <v>46540</v>
      </c>
      <c r="B154" s="44"/>
      <c r="C154" s="44"/>
      <c r="D154" s="44"/>
      <c r="E154" s="28"/>
      <c r="F154" s="44"/>
      <c r="G154" s="40"/>
      <c r="H154" s="28">
        <f t="shared" si="4"/>
        <v>103</v>
      </c>
      <c r="I154" s="40"/>
      <c r="J154" s="44"/>
      <c r="K154" s="28">
        <f>TABL1234[[#This Row],[خط (T/B  TOT) SAR]]+TABL1234[[#This Row],[خط (S/S  TOT) SAR2]]</f>
        <v>0</v>
      </c>
      <c r="L154" s="45"/>
      <c r="M154" s="46"/>
      <c r="N154" s="46"/>
      <c r="O154" s="40"/>
      <c r="P154" s="10">
        <f>TABL1234[[#This Row],[خط (S/S  TOT) SAR2]]-TABL1234[[#This Row],[(S/S TOT) AJD]]</f>
        <v>0</v>
      </c>
      <c r="Q154" s="40"/>
      <c r="R154" s="10">
        <f>TABL1234[[#This Row],[خط (T/B  TOT) SAR]]-TABL1234[[#This Row],[(T/B TOT) AJD]]</f>
        <v>0</v>
      </c>
      <c r="S154" s="10">
        <f>TABL1234[[#This Row],[الفرق بين بداية ونهاية خط  T/B]]+TABL1234[[#This Row],[الفرق بين بداية ونهاية خط  S/S]]</f>
        <v>0</v>
      </c>
      <c r="T154" s="10">
        <f>TABL1234[[#This Row],[(S/S TOT) AJD]]+TABL1234[[#This Row],[(T/B TOT) AJD]]</f>
        <v>0</v>
      </c>
      <c r="U154" s="44"/>
      <c r="V154" s="44"/>
      <c r="W154" s="10">
        <f>TABL1234[[#This Row],[(A/B TOT) AJD]]+TABL1234[[#This Row],[(A/S TOT) AJD]]</f>
        <v>0</v>
      </c>
      <c r="X154" s="10">
        <f>TABL1234[[#This Row],[( S/S+T/B) AJD]]-TABL1234[[#This Row],[(A/B + A/S) AJD]]</f>
        <v>0</v>
      </c>
      <c r="Y154" s="44"/>
      <c r="Z154" s="45"/>
      <c r="AA154" s="3">
        <f>TABL1234[[#This Row],[(RESV. STORGE) AJD]]/10</f>
        <v>0</v>
      </c>
      <c r="AB154" s="3">
        <f t="shared" si="5"/>
        <v>0</v>
      </c>
      <c r="AC154" s="5"/>
      <c r="AD154" s="40">
        <f>TABL1234[[#This Row],[( S/S+T/B) AJD]]-(TABL1234[[#This Row],[(A/B + A/S) AJD]]+(TABL1234[[#This Row],[(STORGE DIFF.) AJD]]*1000)+TABL1234[[#This Row],[البخر  AJD]])</f>
        <v>0</v>
      </c>
      <c r="AE154" s="44"/>
      <c r="AF154" s="45"/>
      <c r="AG154" s="45"/>
      <c r="AH154" s="6"/>
      <c r="AI154" s="45"/>
      <c r="AJ154" s="45">
        <f>TABL1234[[#This Row],[(A/B TOT) AJD]]-TABL1234[[#This Row],[BER_ IN]]</f>
        <v>0</v>
      </c>
      <c r="AK154" s="45"/>
      <c r="AL154" s="45"/>
      <c r="AM154" s="32"/>
      <c r="AN154" s="32">
        <f>TABL1234[[#This Row],[ (RESV. STORGE) SER]]/10</f>
        <v>0</v>
      </c>
      <c r="AO154" s="68"/>
      <c r="AP154" s="68">
        <f>TABL1234[[#This Row],[(A/S TOT) AJD]]-TABL1234[[#This Row],[SER_ IN]]</f>
        <v>0</v>
      </c>
    </row>
    <row r="155" spans="1:42" ht="18.75" x14ac:dyDescent="0.25">
      <c r="A155" s="2">
        <v>46541</v>
      </c>
      <c r="B155" s="41"/>
      <c r="C155" s="41"/>
      <c r="D155" s="41"/>
      <c r="E155" s="28"/>
      <c r="F155" s="41"/>
      <c r="G155" s="39"/>
      <c r="H155" s="28">
        <f t="shared" si="4"/>
        <v>103</v>
      </c>
      <c r="I155" s="39"/>
      <c r="J155" s="39"/>
      <c r="K155" s="28">
        <f>TABL1234[[#This Row],[خط (T/B  TOT) SAR]]+TABL1234[[#This Row],[خط (S/S  TOT) SAR2]]</f>
        <v>0</v>
      </c>
      <c r="L155" s="41"/>
      <c r="M155" s="42"/>
      <c r="N155" s="42"/>
      <c r="O155" s="39"/>
      <c r="P155" s="10">
        <f>TABL1234[[#This Row],[خط (S/S  TOT) SAR2]]-TABL1234[[#This Row],[(S/S TOT) AJD]]</f>
        <v>0</v>
      </c>
      <c r="Q155" s="39"/>
      <c r="R155" s="10">
        <f>TABL1234[[#This Row],[خط (T/B  TOT) SAR]]-TABL1234[[#This Row],[(T/B TOT) AJD]]</f>
        <v>0</v>
      </c>
      <c r="S155" s="10">
        <f>TABL1234[[#This Row],[الفرق بين بداية ونهاية خط  T/B]]+TABL1234[[#This Row],[الفرق بين بداية ونهاية خط  S/S]]</f>
        <v>0</v>
      </c>
      <c r="T155" s="10">
        <f>TABL1234[[#This Row],[(S/S TOT) AJD]]+TABL1234[[#This Row],[(T/B TOT) AJD]]</f>
        <v>0</v>
      </c>
      <c r="U155" s="41"/>
      <c r="V155" s="41"/>
      <c r="W155" s="10">
        <f>TABL1234[[#This Row],[(A/B TOT) AJD]]+TABL1234[[#This Row],[(A/S TOT) AJD]]</f>
        <v>0</v>
      </c>
      <c r="X155" s="10">
        <f>TABL1234[[#This Row],[( S/S+T/B) AJD]]-TABL1234[[#This Row],[(A/B + A/S) AJD]]</f>
        <v>0</v>
      </c>
      <c r="Y155" s="41"/>
      <c r="Z155" s="43"/>
      <c r="AA155" s="3">
        <f>TABL1234[[#This Row],[(RESV. STORGE) AJD]]/10</f>
        <v>0</v>
      </c>
      <c r="AB155" s="3">
        <f t="shared" si="5"/>
        <v>0</v>
      </c>
      <c r="AC155" s="5"/>
      <c r="AD155" s="39">
        <f>TABL1234[[#This Row],[( S/S+T/B) AJD]]-(TABL1234[[#This Row],[(A/B + A/S) AJD]]+(TABL1234[[#This Row],[(STORGE DIFF.) AJD]]*1000)+TABL1234[[#This Row],[البخر  AJD]])</f>
        <v>0</v>
      </c>
      <c r="AE155" s="41"/>
      <c r="AF155" s="43"/>
      <c r="AG155" s="43"/>
      <c r="AH155" s="6"/>
      <c r="AI155" s="43"/>
      <c r="AJ155" s="43">
        <f>TABL1234[[#This Row],[(A/B TOT) AJD]]-TABL1234[[#This Row],[BER_ IN]]</f>
        <v>0</v>
      </c>
      <c r="AK155" s="43"/>
      <c r="AL155" s="43"/>
      <c r="AM155" s="32"/>
      <c r="AN155" s="32">
        <f>TABL1234[[#This Row],[ (RESV. STORGE) SER]]/10</f>
        <v>0</v>
      </c>
      <c r="AO155" s="68"/>
      <c r="AP155" s="68">
        <f>TABL1234[[#This Row],[(A/S TOT) AJD]]-TABL1234[[#This Row],[SER_ IN]]</f>
        <v>0</v>
      </c>
    </row>
    <row r="156" spans="1:42" ht="18.75" x14ac:dyDescent="0.25">
      <c r="A156" s="2">
        <v>46542</v>
      </c>
      <c r="B156" s="44"/>
      <c r="C156" s="44"/>
      <c r="D156" s="44"/>
      <c r="E156" s="28"/>
      <c r="F156" s="44"/>
      <c r="G156" s="40"/>
      <c r="H156" s="28">
        <f t="shared" si="4"/>
        <v>103</v>
      </c>
      <c r="I156" s="40"/>
      <c r="J156" s="44"/>
      <c r="K156" s="28">
        <f>TABL1234[[#This Row],[خط (T/B  TOT) SAR]]+TABL1234[[#This Row],[خط (S/S  TOT) SAR2]]</f>
        <v>0</v>
      </c>
      <c r="L156" s="45"/>
      <c r="M156" s="46"/>
      <c r="N156" s="46"/>
      <c r="O156" s="40"/>
      <c r="P156" s="10">
        <f>TABL1234[[#This Row],[خط (S/S  TOT) SAR2]]-TABL1234[[#This Row],[(S/S TOT) AJD]]</f>
        <v>0</v>
      </c>
      <c r="Q156" s="40"/>
      <c r="R156" s="10">
        <f>TABL1234[[#This Row],[خط (T/B  TOT) SAR]]-TABL1234[[#This Row],[(T/B TOT) AJD]]</f>
        <v>0</v>
      </c>
      <c r="S156" s="10">
        <f>TABL1234[[#This Row],[الفرق بين بداية ونهاية خط  T/B]]+TABL1234[[#This Row],[الفرق بين بداية ونهاية خط  S/S]]</f>
        <v>0</v>
      </c>
      <c r="T156" s="10">
        <f>TABL1234[[#This Row],[(S/S TOT) AJD]]+TABL1234[[#This Row],[(T/B TOT) AJD]]</f>
        <v>0</v>
      </c>
      <c r="U156" s="44"/>
      <c r="V156" s="44"/>
      <c r="W156" s="10">
        <f>TABL1234[[#This Row],[(A/B TOT) AJD]]+TABL1234[[#This Row],[(A/S TOT) AJD]]</f>
        <v>0</v>
      </c>
      <c r="X156" s="10">
        <f>TABL1234[[#This Row],[( S/S+T/B) AJD]]-TABL1234[[#This Row],[(A/B + A/S) AJD]]</f>
        <v>0</v>
      </c>
      <c r="Y156" s="44"/>
      <c r="Z156" s="45"/>
      <c r="AA156" s="3">
        <f>TABL1234[[#This Row],[(RESV. STORGE) AJD]]/10</f>
        <v>0</v>
      </c>
      <c r="AB156" s="3">
        <f t="shared" si="5"/>
        <v>0</v>
      </c>
      <c r="AC156" s="5"/>
      <c r="AD156" s="40">
        <f>TABL1234[[#This Row],[( S/S+T/B) AJD]]-(TABL1234[[#This Row],[(A/B + A/S) AJD]]+(TABL1234[[#This Row],[(STORGE DIFF.) AJD]]*1000)+TABL1234[[#This Row],[البخر  AJD]])</f>
        <v>0</v>
      </c>
      <c r="AE156" s="44"/>
      <c r="AF156" s="45"/>
      <c r="AG156" s="45"/>
      <c r="AH156" s="6"/>
      <c r="AI156" s="45"/>
      <c r="AJ156" s="45">
        <f>TABL1234[[#This Row],[(A/B TOT) AJD]]-TABL1234[[#This Row],[BER_ IN]]</f>
        <v>0</v>
      </c>
      <c r="AK156" s="45"/>
      <c r="AL156" s="45"/>
      <c r="AM156" s="32"/>
      <c r="AN156" s="32">
        <f>TABL1234[[#This Row],[ (RESV. STORGE) SER]]/10</f>
        <v>0</v>
      </c>
      <c r="AO156" s="68"/>
      <c r="AP156" s="68">
        <f>TABL1234[[#This Row],[(A/S TOT) AJD]]-TABL1234[[#This Row],[SER_ IN]]</f>
        <v>0</v>
      </c>
    </row>
    <row r="157" spans="1:42" ht="18.75" x14ac:dyDescent="0.25">
      <c r="A157" s="2">
        <v>46543</v>
      </c>
      <c r="B157" s="41"/>
      <c r="C157" s="41"/>
      <c r="D157" s="41"/>
      <c r="E157" s="28"/>
      <c r="F157" s="41"/>
      <c r="G157" s="39"/>
      <c r="H157" s="28">
        <f t="shared" si="4"/>
        <v>103</v>
      </c>
      <c r="I157" s="39"/>
      <c r="J157" s="39"/>
      <c r="K157" s="28">
        <f>TABL1234[[#This Row],[خط (T/B  TOT) SAR]]+TABL1234[[#This Row],[خط (S/S  TOT) SAR2]]</f>
        <v>0</v>
      </c>
      <c r="L157" s="41"/>
      <c r="M157" s="42"/>
      <c r="N157" s="42"/>
      <c r="O157" s="39"/>
      <c r="P157" s="10">
        <f>TABL1234[[#This Row],[خط (S/S  TOT) SAR2]]-TABL1234[[#This Row],[(S/S TOT) AJD]]</f>
        <v>0</v>
      </c>
      <c r="Q157" s="39"/>
      <c r="R157" s="10">
        <f>TABL1234[[#This Row],[خط (T/B  TOT) SAR]]-TABL1234[[#This Row],[(T/B TOT) AJD]]</f>
        <v>0</v>
      </c>
      <c r="S157" s="10">
        <f>TABL1234[[#This Row],[الفرق بين بداية ونهاية خط  T/B]]+TABL1234[[#This Row],[الفرق بين بداية ونهاية خط  S/S]]</f>
        <v>0</v>
      </c>
      <c r="T157" s="10">
        <f>TABL1234[[#This Row],[(S/S TOT) AJD]]+TABL1234[[#This Row],[(T/B TOT) AJD]]</f>
        <v>0</v>
      </c>
      <c r="U157" s="41"/>
      <c r="V157" s="41"/>
      <c r="W157" s="10">
        <f>TABL1234[[#This Row],[(A/B TOT) AJD]]+TABL1234[[#This Row],[(A/S TOT) AJD]]</f>
        <v>0</v>
      </c>
      <c r="X157" s="10">
        <f>TABL1234[[#This Row],[( S/S+T/B) AJD]]-TABL1234[[#This Row],[(A/B + A/S) AJD]]</f>
        <v>0</v>
      </c>
      <c r="Y157" s="41"/>
      <c r="Z157" s="43"/>
      <c r="AA157" s="3">
        <f>TABL1234[[#This Row],[(RESV. STORGE) AJD]]/10</f>
        <v>0</v>
      </c>
      <c r="AB157" s="3">
        <f t="shared" si="5"/>
        <v>0</v>
      </c>
      <c r="AC157" s="5"/>
      <c r="AD157" s="39">
        <f>TABL1234[[#This Row],[( S/S+T/B) AJD]]-(TABL1234[[#This Row],[(A/B + A/S) AJD]]+(TABL1234[[#This Row],[(STORGE DIFF.) AJD]]*1000)+TABL1234[[#This Row],[البخر  AJD]])</f>
        <v>0</v>
      </c>
      <c r="AE157" s="41"/>
      <c r="AF157" s="43"/>
      <c r="AG157" s="43"/>
      <c r="AH157" s="6"/>
      <c r="AI157" s="43"/>
      <c r="AJ157" s="43">
        <f>TABL1234[[#This Row],[(A/B TOT) AJD]]-TABL1234[[#This Row],[BER_ IN]]</f>
        <v>0</v>
      </c>
      <c r="AK157" s="43"/>
      <c r="AL157" s="43"/>
      <c r="AM157" s="32"/>
      <c r="AN157" s="32">
        <f>TABL1234[[#This Row],[ (RESV. STORGE) SER]]/10</f>
        <v>0</v>
      </c>
      <c r="AO157" s="68"/>
      <c r="AP157" s="68">
        <f>TABL1234[[#This Row],[(A/S TOT) AJD]]-TABL1234[[#This Row],[SER_ IN]]</f>
        <v>0</v>
      </c>
    </row>
    <row r="158" spans="1:42" ht="18.75" x14ac:dyDescent="0.25">
      <c r="A158" s="2">
        <v>46544</v>
      </c>
      <c r="B158" s="44"/>
      <c r="C158" s="44"/>
      <c r="D158" s="44"/>
      <c r="E158" s="28"/>
      <c r="F158" s="44"/>
      <c r="G158" s="40"/>
      <c r="H158" s="28">
        <f t="shared" si="4"/>
        <v>103</v>
      </c>
      <c r="I158" s="40"/>
      <c r="J158" s="44"/>
      <c r="K158" s="28">
        <f>TABL1234[[#This Row],[خط (T/B  TOT) SAR]]+TABL1234[[#This Row],[خط (S/S  TOT) SAR2]]</f>
        <v>0</v>
      </c>
      <c r="L158" s="45"/>
      <c r="M158" s="46"/>
      <c r="N158" s="46"/>
      <c r="O158" s="40"/>
      <c r="P158" s="10">
        <f>TABL1234[[#This Row],[خط (S/S  TOT) SAR2]]-TABL1234[[#This Row],[(S/S TOT) AJD]]</f>
        <v>0</v>
      </c>
      <c r="Q158" s="40"/>
      <c r="R158" s="10">
        <f>TABL1234[[#This Row],[خط (T/B  TOT) SAR]]-TABL1234[[#This Row],[(T/B TOT) AJD]]</f>
        <v>0</v>
      </c>
      <c r="S158" s="10">
        <f>TABL1234[[#This Row],[الفرق بين بداية ونهاية خط  T/B]]+TABL1234[[#This Row],[الفرق بين بداية ونهاية خط  S/S]]</f>
        <v>0</v>
      </c>
      <c r="T158" s="10">
        <f>TABL1234[[#This Row],[(S/S TOT) AJD]]+TABL1234[[#This Row],[(T/B TOT) AJD]]</f>
        <v>0</v>
      </c>
      <c r="U158" s="44"/>
      <c r="V158" s="44"/>
      <c r="W158" s="10">
        <f>TABL1234[[#This Row],[(A/B TOT) AJD]]+TABL1234[[#This Row],[(A/S TOT) AJD]]</f>
        <v>0</v>
      </c>
      <c r="X158" s="10">
        <f>TABL1234[[#This Row],[( S/S+T/B) AJD]]-TABL1234[[#This Row],[(A/B + A/S) AJD]]</f>
        <v>0</v>
      </c>
      <c r="Y158" s="44"/>
      <c r="Z158" s="45"/>
      <c r="AA158" s="3">
        <f>TABL1234[[#This Row],[(RESV. STORGE) AJD]]/10</f>
        <v>0</v>
      </c>
      <c r="AB158" s="3">
        <f t="shared" si="5"/>
        <v>0</v>
      </c>
      <c r="AC158" s="5"/>
      <c r="AD158" s="40">
        <f>TABL1234[[#This Row],[( S/S+T/B) AJD]]-(TABL1234[[#This Row],[(A/B + A/S) AJD]]+(TABL1234[[#This Row],[(STORGE DIFF.) AJD]]*1000)+TABL1234[[#This Row],[البخر  AJD]])</f>
        <v>0</v>
      </c>
      <c r="AE158" s="44"/>
      <c r="AF158" s="45"/>
      <c r="AG158" s="45"/>
      <c r="AH158" s="6"/>
      <c r="AI158" s="45"/>
      <c r="AJ158" s="45">
        <f>TABL1234[[#This Row],[(A/B TOT) AJD]]-TABL1234[[#This Row],[BER_ IN]]</f>
        <v>0</v>
      </c>
      <c r="AK158" s="45"/>
      <c r="AL158" s="45"/>
      <c r="AM158" s="32"/>
      <c r="AN158" s="32">
        <f>TABL1234[[#This Row],[ (RESV. STORGE) SER]]/10</f>
        <v>0</v>
      </c>
      <c r="AO158" s="68"/>
      <c r="AP158" s="68">
        <f>TABL1234[[#This Row],[(A/S TOT) AJD]]-TABL1234[[#This Row],[SER_ IN]]</f>
        <v>0</v>
      </c>
    </row>
    <row r="159" spans="1:42" ht="18.75" x14ac:dyDescent="0.25">
      <c r="A159" s="2">
        <v>46545</v>
      </c>
      <c r="B159" s="41"/>
      <c r="C159" s="41"/>
      <c r="D159" s="41"/>
      <c r="E159" s="28"/>
      <c r="F159" s="41"/>
      <c r="G159" s="39"/>
      <c r="H159" s="28">
        <f t="shared" si="4"/>
        <v>103</v>
      </c>
      <c r="I159" s="39"/>
      <c r="J159" s="39"/>
      <c r="K159" s="28">
        <f>TABL1234[[#This Row],[خط (T/B  TOT) SAR]]+TABL1234[[#This Row],[خط (S/S  TOT) SAR2]]</f>
        <v>0</v>
      </c>
      <c r="L159" s="41"/>
      <c r="M159" s="42"/>
      <c r="N159" s="42"/>
      <c r="O159" s="39"/>
      <c r="P159" s="10">
        <f>TABL1234[[#This Row],[خط (S/S  TOT) SAR2]]-TABL1234[[#This Row],[(S/S TOT) AJD]]</f>
        <v>0</v>
      </c>
      <c r="Q159" s="39"/>
      <c r="R159" s="10">
        <f>TABL1234[[#This Row],[خط (T/B  TOT) SAR]]-TABL1234[[#This Row],[(T/B TOT) AJD]]</f>
        <v>0</v>
      </c>
      <c r="S159" s="10">
        <f>TABL1234[[#This Row],[الفرق بين بداية ونهاية خط  T/B]]+TABL1234[[#This Row],[الفرق بين بداية ونهاية خط  S/S]]</f>
        <v>0</v>
      </c>
      <c r="T159" s="10">
        <f>TABL1234[[#This Row],[(S/S TOT) AJD]]+TABL1234[[#This Row],[(T/B TOT) AJD]]</f>
        <v>0</v>
      </c>
      <c r="U159" s="41"/>
      <c r="V159" s="41"/>
      <c r="W159" s="10">
        <f>TABL1234[[#This Row],[(A/B TOT) AJD]]+TABL1234[[#This Row],[(A/S TOT) AJD]]</f>
        <v>0</v>
      </c>
      <c r="X159" s="10">
        <f>TABL1234[[#This Row],[( S/S+T/B) AJD]]-TABL1234[[#This Row],[(A/B + A/S) AJD]]</f>
        <v>0</v>
      </c>
      <c r="Y159" s="41"/>
      <c r="Z159" s="43"/>
      <c r="AA159" s="3">
        <f>TABL1234[[#This Row],[(RESV. STORGE) AJD]]/10</f>
        <v>0</v>
      </c>
      <c r="AB159" s="3">
        <f t="shared" si="5"/>
        <v>0</v>
      </c>
      <c r="AC159" s="5"/>
      <c r="AD159" s="39">
        <f>TABL1234[[#This Row],[( S/S+T/B) AJD]]-(TABL1234[[#This Row],[(A/B + A/S) AJD]]+(TABL1234[[#This Row],[(STORGE DIFF.) AJD]]*1000)+TABL1234[[#This Row],[البخر  AJD]])</f>
        <v>0</v>
      </c>
      <c r="AE159" s="41"/>
      <c r="AF159" s="43"/>
      <c r="AG159" s="43"/>
      <c r="AH159" s="6"/>
      <c r="AI159" s="43"/>
      <c r="AJ159" s="43">
        <f>TABL1234[[#This Row],[(A/B TOT) AJD]]-TABL1234[[#This Row],[BER_ IN]]</f>
        <v>0</v>
      </c>
      <c r="AK159" s="43"/>
      <c r="AL159" s="43"/>
      <c r="AM159" s="32"/>
      <c r="AN159" s="32">
        <f>TABL1234[[#This Row],[ (RESV. STORGE) SER]]/10</f>
        <v>0</v>
      </c>
      <c r="AO159" s="68"/>
      <c r="AP159" s="68">
        <f>TABL1234[[#This Row],[(A/S TOT) AJD]]-TABL1234[[#This Row],[SER_ IN]]</f>
        <v>0</v>
      </c>
    </row>
    <row r="160" spans="1:42" ht="18.75" x14ac:dyDescent="0.25">
      <c r="A160" s="2">
        <v>46546</v>
      </c>
      <c r="B160" s="44"/>
      <c r="C160" s="44"/>
      <c r="D160" s="44"/>
      <c r="E160" s="28"/>
      <c r="F160" s="44"/>
      <c r="G160" s="40"/>
      <c r="H160" s="28">
        <f t="shared" si="4"/>
        <v>103</v>
      </c>
      <c r="I160" s="40"/>
      <c r="J160" s="44"/>
      <c r="K160" s="28">
        <f>TABL1234[[#This Row],[خط (T/B  TOT) SAR]]+TABL1234[[#This Row],[خط (S/S  TOT) SAR2]]</f>
        <v>0</v>
      </c>
      <c r="L160" s="45"/>
      <c r="M160" s="46"/>
      <c r="N160" s="46"/>
      <c r="O160" s="40"/>
      <c r="P160" s="10">
        <f>TABL1234[[#This Row],[خط (S/S  TOT) SAR2]]-TABL1234[[#This Row],[(S/S TOT) AJD]]</f>
        <v>0</v>
      </c>
      <c r="Q160" s="40"/>
      <c r="R160" s="10">
        <f>TABL1234[[#This Row],[خط (T/B  TOT) SAR]]-TABL1234[[#This Row],[(T/B TOT) AJD]]</f>
        <v>0</v>
      </c>
      <c r="S160" s="10">
        <f>TABL1234[[#This Row],[الفرق بين بداية ونهاية خط  T/B]]+TABL1234[[#This Row],[الفرق بين بداية ونهاية خط  S/S]]</f>
        <v>0</v>
      </c>
      <c r="T160" s="10">
        <f>TABL1234[[#This Row],[(S/S TOT) AJD]]+TABL1234[[#This Row],[(T/B TOT) AJD]]</f>
        <v>0</v>
      </c>
      <c r="U160" s="44"/>
      <c r="V160" s="44"/>
      <c r="W160" s="10">
        <f>TABL1234[[#This Row],[(A/B TOT) AJD]]+TABL1234[[#This Row],[(A/S TOT) AJD]]</f>
        <v>0</v>
      </c>
      <c r="X160" s="10">
        <f>TABL1234[[#This Row],[( S/S+T/B) AJD]]-TABL1234[[#This Row],[(A/B + A/S) AJD]]</f>
        <v>0</v>
      </c>
      <c r="Y160" s="44"/>
      <c r="Z160" s="45"/>
      <c r="AA160" s="3">
        <f>TABL1234[[#This Row],[(RESV. STORGE) AJD]]/10</f>
        <v>0</v>
      </c>
      <c r="AB160" s="3">
        <f t="shared" si="5"/>
        <v>0</v>
      </c>
      <c r="AC160" s="5"/>
      <c r="AD160" s="40">
        <f>TABL1234[[#This Row],[( S/S+T/B) AJD]]-(TABL1234[[#This Row],[(A/B + A/S) AJD]]+(TABL1234[[#This Row],[(STORGE DIFF.) AJD]]*1000)+TABL1234[[#This Row],[البخر  AJD]])</f>
        <v>0</v>
      </c>
      <c r="AE160" s="44"/>
      <c r="AF160" s="45"/>
      <c r="AG160" s="45"/>
      <c r="AH160" s="6"/>
      <c r="AI160" s="45"/>
      <c r="AJ160" s="45">
        <f>TABL1234[[#This Row],[(A/B TOT) AJD]]-TABL1234[[#This Row],[BER_ IN]]</f>
        <v>0</v>
      </c>
      <c r="AK160" s="45"/>
      <c r="AL160" s="45"/>
      <c r="AM160" s="32"/>
      <c r="AN160" s="32">
        <f>TABL1234[[#This Row],[ (RESV. STORGE) SER]]/10</f>
        <v>0</v>
      </c>
      <c r="AO160" s="68"/>
      <c r="AP160" s="68">
        <f>TABL1234[[#This Row],[(A/S TOT) AJD]]-TABL1234[[#This Row],[SER_ IN]]</f>
        <v>0</v>
      </c>
    </row>
    <row r="161" spans="1:42" ht="18.75" x14ac:dyDescent="0.25">
      <c r="A161" s="2">
        <v>46547</v>
      </c>
      <c r="B161" s="41"/>
      <c r="C161" s="41"/>
      <c r="D161" s="41"/>
      <c r="E161" s="28"/>
      <c r="F161" s="41"/>
      <c r="G161" s="39"/>
      <c r="H161" s="28">
        <f t="shared" si="4"/>
        <v>103</v>
      </c>
      <c r="I161" s="39"/>
      <c r="J161" s="39"/>
      <c r="K161" s="28">
        <f>TABL1234[[#This Row],[خط (T/B  TOT) SAR]]+TABL1234[[#This Row],[خط (S/S  TOT) SAR2]]</f>
        <v>0</v>
      </c>
      <c r="L161" s="41"/>
      <c r="M161" s="42"/>
      <c r="N161" s="42"/>
      <c r="O161" s="39"/>
      <c r="P161" s="10">
        <f>TABL1234[[#This Row],[خط (S/S  TOT) SAR2]]-TABL1234[[#This Row],[(S/S TOT) AJD]]</f>
        <v>0</v>
      </c>
      <c r="Q161" s="39"/>
      <c r="R161" s="10">
        <f>TABL1234[[#This Row],[خط (T/B  TOT) SAR]]-TABL1234[[#This Row],[(T/B TOT) AJD]]</f>
        <v>0</v>
      </c>
      <c r="S161" s="10">
        <f>TABL1234[[#This Row],[الفرق بين بداية ونهاية خط  T/B]]+TABL1234[[#This Row],[الفرق بين بداية ونهاية خط  S/S]]</f>
        <v>0</v>
      </c>
      <c r="T161" s="10">
        <f>TABL1234[[#This Row],[(S/S TOT) AJD]]+TABL1234[[#This Row],[(T/B TOT) AJD]]</f>
        <v>0</v>
      </c>
      <c r="U161" s="41"/>
      <c r="V161" s="41"/>
      <c r="W161" s="10">
        <f>TABL1234[[#This Row],[(A/B TOT) AJD]]+TABL1234[[#This Row],[(A/S TOT) AJD]]</f>
        <v>0</v>
      </c>
      <c r="X161" s="10">
        <f>TABL1234[[#This Row],[( S/S+T/B) AJD]]-TABL1234[[#This Row],[(A/B + A/S) AJD]]</f>
        <v>0</v>
      </c>
      <c r="Y161" s="41"/>
      <c r="Z161" s="43"/>
      <c r="AA161" s="3">
        <f>TABL1234[[#This Row],[(RESV. STORGE) AJD]]/10</f>
        <v>0</v>
      </c>
      <c r="AB161" s="3">
        <f t="shared" si="5"/>
        <v>0</v>
      </c>
      <c r="AC161" s="5"/>
      <c r="AD161" s="39">
        <f>TABL1234[[#This Row],[( S/S+T/B) AJD]]-(TABL1234[[#This Row],[(A/B + A/S) AJD]]+(TABL1234[[#This Row],[(STORGE DIFF.) AJD]]*1000)+TABL1234[[#This Row],[البخر  AJD]])</f>
        <v>0</v>
      </c>
      <c r="AE161" s="41"/>
      <c r="AF161" s="43"/>
      <c r="AG161" s="43"/>
      <c r="AH161" s="6"/>
      <c r="AI161" s="43"/>
      <c r="AJ161" s="43">
        <f>TABL1234[[#This Row],[(A/B TOT) AJD]]-TABL1234[[#This Row],[BER_ IN]]</f>
        <v>0</v>
      </c>
      <c r="AK161" s="43"/>
      <c r="AL161" s="43"/>
      <c r="AM161" s="32"/>
      <c r="AN161" s="32">
        <f>TABL1234[[#This Row],[ (RESV. STORGE) SER]]/10</f>
        <v>0</v>
      </c>
      <c r="AO161" s="68"/>
      <c r="AP161" s="68">
        <f>TABL1234[[#This Row],[(A/S TOT) AJD]]-TABL1234[[#This Row],[SER_ IN]]</f>
        <v>0</v>
      </c>
    </row>
    <row r="162" spans="1:42" ht="18.75" x14ac:dyDescent="0.25">
      <c r="A162" s="2">
        <v>46548</v>
      </c>
      <c r="B162" s="44"/>
      <c r="C162" s="44"/>
      <c r="D162" s="44"/>
      <c r="E162" s="28"/>
      <c r="F162" s="44"/>
      <c r="G162" s="40"/>
      <c r="H162" s="28">
        <f t="shared" si="4"/>
        <v>103</v>
      </c>
      <c r="I162" s="40"/>
      <c r="J162" s="44"/>
      <c r="K162" s="28">
        <f>TABL1234[[#This Row],[خط (T/B  TOT) SAR]]+TABL1234[[#This Row],[خط (S/S  TOT) SAR2]]</f>
        <v>0</v>
      </c>
      <c r="L162" s="45"/>
      <c r="M162" s="46"/>
      <c r="N162" s="46"/>
      <c r="O162" s="40"/>
      <c r="P162" s="10">
        <f>TABL1234[[#This Row],[خط (S/S  TOT) SAR2]]-TABL1234[[#This Row],[(S/S TOT) AJD]]</f>
        <v>0</v>
      </c>
      <c r="Q162" s="40"/>
      <c r="R162" s="10">
        <f>TABL1234[[#This Row],[خط (T/B  TOT) SAR]]-TABL1234[[#This Row],[(T/B TOT) AJD]]</f>
        <v>0</v>
      </c>
      <c r="S162" s="10">
        <f>TABL1234[[#This Row],[الفرق بين بداية ونهاية خط  T/B]]+TABL1234[[#This Row],[الفرق بين بداية ونهاية خط  S/S]]</f>
        <v>0</v>
      </c>
      <c r="T162" s="10">
        <f>TABL1234[[#This Row],[(S/S TOT) AJD]]+TABL1234[[#This Row],[(T/B TOT) AJD]]</f>
        <v>0</v>
      </c>
      <c r="U162" s="44"/>
      <c r="V162" s="44"/>
      <c r="W162" s="10">
        <f>TABL1234[[#This Row],[(A/B TOT) AJD]]+TABL1234[[#This Row],[(A/S TOT) AJD]]</f>
        <v>0</v>
      </c>
      <c r="X162" s="10">
        <f>TABL1234[[#This Row],[( S/S+T/B) AJD]]-TABL1234[[#This Row],[(A/B + A/S) AJD]]</f>
        <v>0</v>
      </c>
      <c r="Y162" s="44"/>
      <c r="Z162" s="45"/>
      <c r="AA162" s="3">
        <f>TABL1234[[#This Row],[(RESV. STORGE) AJD]]/10</f>
        <v>0</v>
      </c>
      <c r="AB162" s="3">
        <f t="shared" si="5"/>
        <v>0</v>
      </c>
      <c r="AC162" s="5"/>
      <c r="AD162" s="40">
        <f>TABL1234[[#This Row],[( S/S+T/B) AJD]]-(TABL1234[[#This Row],[(A/B + A/S) AJD]]+(TABL1234[[#This Row],[(STORGE DIFF.) AJD]]*1000)+TABL1234[[#This Row],[البخر  AJD]])</f>
        <v>0</v>
      </c>
      <c r="AE162" s="44"/>
      <c r="AF162" s="45"/>
      <c r="AG162" s="45"/>
      <c r="AH162" s="6"/>
      <c r="AI162" s="45"/>
      <c r="AJ162" s="45">
        <f>TABL1234[[#This Row],[(A/B TOT) AJD]]-TABL1234[[#This Row],[BER_ IN]]</f>
        <v>0</v>
      </c>
      <c r="AK162" s="45"/>
      <c r="AL162" s="45"/>
      <c r="AM162" s="32"/>
      <c r="AN162" s="32">
        <f>TABL1234[[#This Row],[ (RESV. STORGE) SER]]/10</f>
        <v>0</v>
      </c>
      <c r="AO162" s="68"/>
      <c r="AP162" s="68">
        <f>TABL1234[[#This Row],[(A/S TOT) AJD]]-TABL1234[[#This Row],[SER_ IN]]</f>
        <v>0</v>
      </c>
    </row>
    <row r="163" spans="1:42" ht="18.75" x14ac:dyDescent="0.25">
      <c r="A163" s="2">
        <v>46549</v>
      </c>
      <c r="B163" s="41"/>
      <c r="C163" s="41"/>
      <c r="D163" s="41"/>
      <c r="E163" s="28"/>
      <c r="F163" s="41"/>
      <c r="G163" s="39"/>
      <c r="H163" s="28">
        <f t="shared" si="4"/>
        <v>103</v>
      </c>
      <c r="I163" s="39"/>
      <c r="J163" s="39"/>
      <c r="K163" s="28">
        <f>TABL1234[[#This Row],[خط (T/B  TOT) SAR]]+TABL1234[[#This Row],[خط (S/S  TOT) SAR2]]</f>
        <v>0</v>
      </c>
      <c r="L163" s="41"/>
      <c r="M163" s="42"/>
      <c r="N163" s="42"/>
      <c r="O163" s="39"/>
      <c r="P163" s="10">
        <f>TABL1234[[#This Row],[خط (S/S  TOT) SAR2]]-TABL1234[[#This Row],[(S/S TOT) AJD]]</f>
        <v>0</v>
      </c>
      <c r="Q163" s="39"/>
      <c r="R163" s="10">
        <f>TABL1234[[#This Row],[خط (T/B  TOT) SAR]]-TABL1234[[#This Row],[(T/B TOT) AJD]]</f>
        <v>0</v>
      </c>
      <c r="S163" s="10">
        <f>TABL1234[[#This Row],[الفرق بين بداية ونهاية خط  T/B]]+TABL1234[[#This Row],[الفرق بين بداية ونهاية خط  S/S]]</f>
        <v>0</v>
      </c>
      <c r="T163" s="10">
        <f>TABL1234[[#This Row],[(S/S TOT) AJD]]+TABL1234[[#This Row],[(T/B TOT) AJD]]</f>
        <v>0</v>
      </c>
      <c r="U163" s="41"/>
      <c r="V163" s="41"/>
      <c r="W163" s="10">
        <f>TABL1234[[#This Row],[(A/B TOT) AJD]]+TABL1234[[#This Row],[(A/S TOT) AJD]]</f>
        <v>0</v>
      </c>
      <c r="X163" s="10">
        <f>TABL1234[[#This Row],[( S/S+T/B) AJD]]-TABL1234[[#This Row],[(A/B + A/S) AJD]]</f>
        <v>0</v>
      </c>
      <c r="Y163" s="41"/>
      <c r="Z163" s="43"/>
      <c r="AA163" s="3">
        <f>TABL1234[[#This Row],[(RESV. STORGE) AJD]]/10</f>
        <v>0</v>
      </c>
      <c r="AB163" s="3">
        <f t="shared" si="5"/>
        <v>0</v>
      </c>
      <c r="AC163" s="5"/>
      <c r="AD163" s="39">
        <f>TABL1234[[#This Row],[( S/S+T/B) AJD]]-(TABL1234[[#This Row],[(A/B + A/S) AJD]]+(TABL1234[[#This Row],[(STORGE DIFF.) AJD]]*1000)+TABL1234[[#This Row],[البخر  AJD]])</f>
        <v>0</v>
      </c>
      <c r="AE163" s="41"/>
      <c r="AF163" s="43"/>
      <c r="AG163" s="43"/>
      <c r="AH163" s="6"/>
      <c r="AI163" s="43"/>
      <c r="AJ163" s="43">
        <f>TABL1234[[#This Row],[(A/B TOT) AJD]]-TABL1234[[#This Row],[BER_ IN]]</f>
        <v>0</v>
      </c>
      <c r="AK163" s="43"/>
      <c r="AL163" s="43"/>
      <c r="AM163" s="32"/>
      <c r="AN163" s="32">
        <f>TABL1234[[#This Row],[ (RESV. STORGE) SER]]/10</f>
        <v>0</v>
      </c>
      <c r="AO163" s="68"/>
      <c r="AP163" s="68">
        <f>TABL1234[[#This Row],[(A/S TOT) AJD]]-TABL1234[[#This Row],[SER_ IN]]</f>
        <v>0</v>
      </c>
    </row>
    <row r="164" spans="1:42" ht="18.75" x14ac:dyDescent="0.25">
      <c r="A164" s="2">
        <v>46550</v>
      </c>
      <c r="B164" s="44"/>
      <c r="C164" s="44"/>
      <c r="D164" s="44"/>
      <c r="E164" s="28"/>
      <c r="F164" s="44"/>
      <c r="G164" s="40"/>
      <c r="H164" s="28">
        <f t="shared" si="4"/>
        <v>103</v>
      </c>
      <c r="I164" s="40"/>
      <c r="J164" s="44"/>
      <c r="K164" s="28">
        <f>TABL1234[[#This Row],[خط (T/B  TOT) SAR]]+TABL1234[[#This Row],[خط (S/S  TOT) SAR2]]</f>
        <v>0</v>
      </c>
      <c r="L164" s="45"/>
      <c r="M164" s="46"/>
      <c r="N164" s="46"/>
      <c r="O164" s="40"/>
      <c r="P164" s="10">
        <f>TABL1234[[#This Row],[خط (S/S  TOT) SAR2]]-TABL1234[[#This Row],[(S/S TOT) AJD]]</f>
        <v>0</v>
      </c>
      <c r="Q164" s="40"/>
      <c r="R164" s="10">
        <f>TABL1234[[#This Row],[خط (T/B  TOT) SAR]]-TABL1234[[#This Row],[(T/B TOT) AJD]]</f>
        <v>0</v>
      </c>
      <c r="S164" s="10">
        <f>TABL1234[[#This Row],[الفرق بين بداية ونهاية خط  T/B]]+TABL1234[[#This Row],[الفرق بين بداية ونهاية خط  S/S]]</f>
        <v>0</v>
      </c>
      <c r="T164" s="10">
        <f>TABL1234[[#This Row],[(S/S TOT) AJD]]+TABL1234[[#This Row],[(T/B TOT) AJD]]</f>
        <v>0</v>
      </c>
      <c r="U164" s="44"/>
      <c r="V164" s="44"/>
      <c r="W164" s="10">
        <f>TABL1234[[#This Row],[(A/B TOT) AJD]]+TABL1234[[#This Row],[(A/S TOT) AJD]]</f>
        <v>0</v>
      </c>
      <c r="X164" s="10">
        <f>TABL1234[[#This Row],[( S/S+T/B) AJD]]-TABL1234[[#This Row],[(A/B + A/S) AJD]]</f>
        <v>0</v>
      </c>
      <c r="Y164" s="44"/>
      <c r="Z164" s="45"/>
      <c r="AA164" s="3">
        <f>TABL1234[[#This Row],[(RESV. STORGE) AJD]]/10</f>
        <v>0</v>
      </c>
      <c r="AB164" s="3">
        <f t="shared" si="5"/>
        <v>0</v>
      </c>
      <c r="AC164" s="5"/>
      <c r="AD164" s="40">
        <f>TABL1234[[#This Row],[( S/S+T/B) AJD]]-(TABL1234[[#This Row],[(A/B + A/S) AJD]]+(TABL1234[[#This Row],[(STORGE DIFF.) AJD]]*1000)+TABL1234[[#This Row],[البخر  AJD]])</f>
        <v>0</v>
      </c>
      <c r="AE164" s="44"/>
      <c r="AF164" s="45"/>
      <c r="AG164" s="45"/>
      <c r="AH164" s="6"/>
      <c r="AI164" s="45"/>
      <c r="AJ164" s="45">
        <f>TABL1234[[#This Row],[(A/B TOT) AJD]]-TABL1234[[#This Row],[BER_ IN]]</f>
        <v>0</v>
      </c>
      <c r="AK164" s="45"/>
      <c r="AL164" s="45"/>
      <c r="AM164" s="32"/>
      <c r="AN164" s="32">
        <f>TABL1234[[#This Row],[ (RESV. STORGE) SER]]/10</f>
        <v>0</v>
      </c>
      <c r="AO164" s="68"/>
      <c r="AP164" s="68">
        <f>TABL1234[[#This Row],[(A/S TOT) AJD]]-TABL1234[[#This Row],[SER_ IN]]</f>
        <v>0</v>
      </c>
    </row>
    <row r="165" spans="1:42" ht="18.75" x14ac:dyDescent="0.25">
      <c r="A165" s="2">
        <v>46551</v>
      </c>
      <c r="B165" s="41"/>
      <c r="C165" s="41"/>
      <c r="D165" s="41"/>
      <c r="E165" s="28"/>
      <c r="F165" s="41"/>
      <c r="G165" s="39"/>
      <c r="H165" s="28">
        <f t="shared" si="4"/>
        <v>103</v>
      </c>
      <c r="I165" s="39"/>
      <c r="J165" s="39"/>
      <c r="K165" s="28">
        <f>TABL1234[[#This Row],[خط (T/B  TOT) SAR]]+TABL1234[[#This Row],[خط (S/S  TOT) SAR2]]</f>
        <v>0</v>
      </c>
      <c r="L165" s="41"/>
      <c r="M165" s="42"/>
      <c r="N165" s="42"/>
      <c r="O165" s="39"/>
      <c r="P165" s="10">
        <f>TABL1234[[#This Row],[خط (S/S  TOT) SAR2]]-TABL1234[[#This Row],[(S/S TOT) AJD]]</f>
        <v>0</v>
      </c>
      <c r="Q165" s="39"/>
      <c r="R165" s="10">
        <f>TABL1234[[#This Row],[خط (T/B  TOT) SAR]]-TABL1234[[#This Row],[(T/B TOT) AJD]]</f>
        <v>0</v>
      </c>
      <c r="S165" s="10">
        <f>TABL1234[[#This Row],[الفرق بين بداية ونهاية خط  T/B]]+TABL1234[[#This Row],[الفرق بين بداية ونهاية خط  S/S]]</f>
        <v>0</v>
      </c>
      <c r="T165" s="10">
        <f>TABL1234[[#This Row],[(S/S TOT) AJD]]+TABL1234[[#This Row],[(T/B TOT) AJD]]</f>
        <v>0</v>
      </c>
      <c r="U165" s="41"/>
      <c r="V165" s="41"/>
      <c r="W165" s="10">
        <f>TABL1234[[#This Row],[(A/B TOT) AJD]]+TABL1234[[#This Row],[(A/S TOT) AJD]]</f>
        <v>0</v>
      </c>
      <c r="X165" s="10">
        <f>TABL1234[[#This Row],[( S/S+T/B) AJD]]-TABL1234[[#This Row],[(A/B + A/S) AJD]]</f>
        <v>0</v>
      </c>
      <c r="Y165" s="41"/>
      <c r="Z165" s="43"/>
      <c r="AA165" s="3">
        <f>TABL1234[[#This Row],[(RESV. STORGE) AJD]]/10</f>
        <v>0</v>
      </c>
      <c r="AB165" s="3">
        <f t="shared" si="5"/>
        <v>0</v>
      </c>
      <c r="AC165" s="5"/>
      <c r="AD165" s="39">
        <f>TABL1234[[#This Row],[( S/S+T/B) AJD]]-(TABL1234[[#This Row],[(A/B + A/S) AJD]]+(TABL1234[[#This Row],[(STORGE DIFF.) AJD]]*1000)+TABL1234[[#This Row],[البخر  AJD]])</f>
        <v>0</v>
      </c>
      <c r="AE165" s="41"/>
      <c r="AF165" s="43"/>
      <c r="AG165" s="43"/>
      <c r="AH165" s="6"/>
      <c r="AI165" s="43"/>
      <c r="AJ165" s="43">
        <f>TABL1234[[#This Row],[(A/B TOT) AJD]]-TABL1234[[#This Row],[BER_ IN]]</f>
        <v>0</v>
      </c>
      <c r="AK165" s="43"/>
      <c r="AL165" s="43"/>
      <c r="AM165" s="32"/>
      <c r="AN165" s="32">
        <f>TABL1234[[#This Row],[ (RESV. STORGE) SER]]/10</f>
        <v>0</v>
      </c>
      <c r="AO165" s="68"/>
      <c r="AP165" s="68">
        <f>TABL1234[[#This Row],[(A/S TOT) AJD]]-TABL1234[[#This Row],[SER_ IN]]</f>
        <v>0</v>
      </c>
    </row>
    <row r="166" spans="1:42" ht="18.75" x14ac:dyDescent="0.25">
      <c r="A166" s="2">
        <v>46552</v>
      </c>
      <c r="B166" s="44"/>
      <c r="C166" s="44"/>
      <c r="D166" s="44"/>
      <c r="E166" s="28"/>
      <c r="F166" s="44"/>
      <c r="G166" s="40"/>
      <c r="H166" s="28">
        <f t="shared" si="4"/>
        <v>103</v>
      </c>
      <c r="I166" s="40"/>
      <c r="J166" s="44"/>
      <c r="K166" s="28">
        <f>TABL1234[[#This Row],[خط (T/B  TOT) SAR]]+TABL1234[[#This Row],[خط (S/S  TOT) SAR2]]</f>
        <v>0</v>
      </c>
      <c r="L166" s="45"/>
      <c r="M166" s="46"/>
      <c r="N166" s="46"/>
      <c r="O166" s="40"/>
      <c r="P166" s="10">
        <f>TABL1234[[#This Row],[خط (S/S  TOT) SAR2]]-TABL1234[[#This Row],[(S/S TOT) AJD]]</f>
        <v>0</v>
      </c>
      <c r="Q166" s="40"/>
      <c r="R166" s="10">
        <f>TABL1234[[#This Row],[خط (T/B  TOT) SAR]]-TABL1234[[#This Row],[(T/B TOT) AJD]]</f>
        <v>0</v>
      </c>
      <c r="S166" s="10">
        <f>TABL1234[[#This Row],[الفرق بين بداية ونهاية خط  T/B]]+TABL1234[[#This Row],[الفرق بين بداية ونهاية خط  S/S]]</f>
        <v>0</v>
      </c>
      <c r="T166" s="10">
        <f>TABL1234[[#This Row],[(S/S TOT) AJD]]+TABL1234[[#This Row],[(T/B TOT) AJD]]</f>
        <v>0</v>
      </c>
      <c r="U166" s="44"/>
      <c r="V166" s="44"/>
      <c r="W166" s="10">
        <f>TABL1234[[#This Row],[(A/B TOT) AJD]]+TABL1234[[#This Row],[(A/S TOT) AJD]]</f>
        <v>0</v>
      </c>
      <c r="X166" s="10">
        <f>TABL1234[[#This Row],[( S/S+T/B) AJD]]-TABL1234[[#This Row],[(A/B + A/S) AJD]]</f>
        <v>0</v>
      </c>
      <c r="Y166" s="44"/>
      <c r="Z166" s="45"/>
      <c r="AA166" s="3">
        <f>TABL1234[[#This Row],[(RESV. STORGE) AJD]]/10</f>
        <v>0</v>
      </c>
      <c r="AB166" s="3">
        <f t="shared" si="5"/>
        <v>0</v>
      </c>
      <c r="AC166" s="5"/>
      <c r="AD166" s="40">
        <f>TABL1234[[#This Row],[( S/S+T/B) AJD]]-(TABL1234[[#This Row],[(A/B + A/S) AJD]]+(TABL1234[[#This Row],[(STORGE DIFF.) AJD]]*1000)+TABL1234[[#This Row],[البخر  AJD]])</f>
        <v>0</v>
      </c>
      <c r="AE166" s="44"/>
      <c r="AF166" s="45"/>
      <c r="AG166" s="45"/>
      <c r="AH166" s="6"/>
      <c r="AI166" s="45"/>
      <c r="AJ166" s="45">
        <f>TABL1234[[#This Row],[(A/B TOT) AJD]]-TABL1234[[#This Row],[BER_ IN]]</f>
        <v>0</v>
      </c>
      <c r="AK166" s="45"/>
      <c r="AL166" s="45"/>
      <c r="AM166" s="32"/>
      <c r="AN166" s="32">
        <f>TABL1234[[#This Row],[ (RESV. STORGE) SER]]/10</f>
        <v>0</v>
      </c>
      <c r="AO166" s="68"/>
      <c r="AP166" s="68">
        <f>TABL1234[[#This Row],[(A/S TOT) AJD]]-TABL1234[[#This Row],[SER_ IN]]</f>
        <v>0</v>
      </c>
    </row>
    <row r="167" spans="1:42" ht="18.75" x14ac:dyDescent="0.25">
      <c r="A167" s="2">
        <v>46553</v>
      </c>
      <c r="B167" s="41"/>
      <c r="C167" s="41"/>
      <c r="D167" s="41"/>
      <c r="E167" s="28"/>
      <c r="F167" s="41"/>
      <c r="G167" s="39"/>
      <c r="H167" s="28">
        <f t="shared" si="4"/>
        <v>103</v>
      </c>
      <c r="I167" s="39"/>
      <c r="J167" s="39"/>
      <c r="K167" s="28">
        <f>TABL1234[[#This Row],[خط (T/B  TOT) SAR]]+TABL1234[[#This Row],[خط (S/S  TOT) SAR2]]</f>
        <v>0</v>
      </c>
      <c r="L167" s="41"/>
      <c r="M167" s="42"/>
      <c r="N167" s="42"/>
      <c r="O167" s="39"/>
      <c r="P167" s="10">
        <f>TABL1234[[#This Row],[خط (S/S  TOT) SAR2]]-TABL1234[[#This Row],[(S/S TOT) AJD]]</f>
        <v>0</v>
      </c>
      <c r="Q167" s="39"/>
      <c r="R167" s="10">
        <f>TABL1234[[#This Row],[خط (T/B  TOT) SAR]]-TABL1234[[#This Row],[(T/B TOT) AJD]]</f>
        <v>0</v>
      </c>
      <c r="S167" s="10">
        <f>TABL1234[[#This Row],[الفرق بين بداية ونهاية خط  T/B]]+TABL1234[[#This Row],[الفرق بين بداية ونهاية خط  S/S]]</f>
        <v>0</v>
      </c>
      <c r="T167" s="10">
        <f>TABL1234[[#This Row],[(S/S TOT) AJD]]+TABL1234[[#This Row],[(T/B TOT) AJD]]</f>
        <v>0</v>
      </c>
      <c r="U167" s="41"/>
      <c r="V167" s="41"/>
      <c r="W167" s="10">
        <f>TABL1234[[#This Row],[(A/B TOT) AJD]]+TABL1234[[#This Row],[(A/S TOT) AJD]]</f>
        <v>0</v>
      </c>
      <c r="X167" s="10">
        <f>TABL1234[[#This Row],[( S/S+T/B) AJD]]-TABL1234[[#This Row],[(A/B + A/S) AJD]]</f>
        <v>0</v>
      </c>
      <c r="Y167" s="41"/>
      <c r="Z167" s="43"/>
      <c r="AA167" s="3">
        <f>TABL1234[[#This Row],[(RESV. STORGE) AJD]]/10</f>
        <v>0</v>
      </c>
      <c r="AB167" s="3">
        <f t="shared" si="5"/>
        <v>0</v>
      </c>
      <c r="AC167" s="5"/>
      <c r="AD167" s="39">
        <f>TABL1234[[#This Row],[( S/S+T/B) AJD]]-(TABL1234[[#This Row],[(A/B + A/S) AJD]]+(TABL1234[[#This Row],[(STORGE DIFF.) AJD]]*1000)+TABL1234[[#This Row],[البخر  AJD]])</f>
        <v>0</v>
      </c>
      <c r="AE167" s="41"/>
      <c r="AF167" s="43"/>
      <c r="AG167" s="43"/>
      <c r="AH167" s="6"/>
      <c r="AI167" s="43"/>
      <c r="AJ167" s="43">
        <f>TABL1234[[#This Row],[(A/B TOT) AJD]]-TABL1234[[#This Row],[BER_ IN]]</f>
        <v>0</v>
      </c>
      <c r="AK167" s="43"/>
      <c r="AL167" s="43"/>
      <c r="AM167" s="32"/>
      <c r="AN167" s="32">
        <f>TABL1234[[#This Row],[ (RESV. STORGE) SER]]/10</f>
        <v>0</v>
      </c>
      <c r="AO167" s="68"/>
      <c r="AP167" s="68">
        <f>TABL1234[[#This Row],[(A/S TOT) AJD]]-TABL1234[[#This Row],[SER_ IN]]</f>
        <v>0</v>
      </c>
    </row>
    <row r="168" spans="1:42" ht="18.75" x14ac:dyDescent="0.25">
      <c r="A168" s="2">
        <v>46554</v>
      </c>
      <c r="B168" s="44"/>
      <c r="C168" s="44"/>
      <c r="D168" s="44"/>
      <c r="E168" s="28"/>
      <c r="F168" s="44"/>
      <c r="G168" s="40"/>
      <c r="H168" s="28">
        <f t="shared" si="4"/>
        <v>103</v>
      </c>
      <c r="I168" s="40"/>
      <c r="J168" s="44"/>
      <c r="K168" s="28">
        <f>TABL1234[[#This Row],[خط (T/B  TOT) SAR]]+TABL1234[[#This Row],[خط (S/S  TOT) SAR2]]</f>
        <v>0</v>
      </c>
      <c r="L168" s="45"/>
      <c r="M168" s="46"/>
      <c r="N168" s="46"/>
      <c r="O168" s="40"/>
      <c r="P168" s="10">
        <f>TABL1234[[#This Row],[خط (S/S  TOT) SAR2]]-TABL1234[[#This Row],[(S/S TOT) AJD]]</f>
        <v>0</v>
      </c>
      <c r="Q168" s="40"/>
      <c r="R168" s="10">
        <f>TABL1234[[#This Row],[خط (T/B  TOT) SAR]]-TABL1234[[#This Row],[(T/B TOT) AJD]]</f>
        <v>0</v>
      </c>
      <c r="S168" s="10">
        <f>TABL1234[[#This Row],[الفرق بين بداية ونهاية خط  T/B]]+TABL1234[[#This Row],[الفرق بين بداية ونهاية خط  S/S]]</f>
        <v>0</v>
      </c>
      <c r="T168" s="10">
        <f>TABL1234[[#This Row],[(S/S TOT) AJD]]+TABL1234[[#This Row],[(T/B TOT) AJD]]</f>
        <v>0</v>
      </c>
      <c r="U168" s="44"/>
      <c r="V168" s="44"/>
      <c r="W168" s="10">
        <f>TABL1234[[#This Row],[(A/B TOT) AJD]]+TABL1234[[#This Row],[(A/S TOT) AJD]]</f>
        <v>0</v>
      </c>
      <c r="X168" s="10">
        <f>TABL1234[[#This Row],[( S/S+T/B) AJD]]-TABL1234[[#This Row],[(A/B + A/S) AJD]]</f>
        <v>0</v>
      </c>
      <c r="Y168" s="44"/>
      <c r="Z168" s="45"/>
      <c r="AA168" s="3">
        <f>TABL1234[[#This Row],[(RESV. STORGE) AJD]]/10</f>
        <v>0</v>
      </c>
      <c r="AB168" s="3">
        <f t="shared" si="5"/>
        <v>0</v>
      </c>
      <c r="AC168" s="5"/>
      <c r="AD168" s="40">
        <f>TABL1234[[#This Row],[( S/S+T/B) AJD]]-(TABL1234[[#This Row],[(A/B + A/S) AJD]]+(TABL1234[[#This Row],[(STORGE DIFF.) AJD]]*1000)+TABL1234[[#This Row],[البخر  AJD]])</f>
        <v>0</v>
      </c>
      <c r="AE168" s="44"/>
      <c r="AF168" s="45"/>
      <c r="AG168" s="45"/>
      <c r="AH168" s="6"/>
      <c r="AI168" s="45"/>
      <c r="AJ168" s="45">
        <f>TABL1234[[#This Row],[(A/B TOT) AJD]]-TABL1234[[#This Row],[BER_ IN]]</f>
        <v>0</v>
      </c>
      <c r="AK168" s="45"/>
      <c r="AL168" s="45"/>
      <c r="AM168" s="32"/>
      <c r="AN168" s="32">
        <f>TABL1234[[#This Row],[ (RESV. STORGE) SER]]/10</f>
        <v>0</v>
      </c>
      <c r="AO168" s="68"/>
      <c r="AP168" s="68">
        <f>TABL1234[[#This Row],[(A/S TOT) AJD]]-TABL1234[[#This Row],[SER_ IN]]</f>
        <v>0</v>
      </c>
    </row>
    <row r="169" spans="1:42" ht="18.75" x14ac:dyDescent="0.25">
      <c r="A169" s="2">
        <v>46555</v>
      </c>
      <c r="B169" s="41"/>
      <c r="C169" s="41"/>
      <c r="D169" s="41"/>
      <c r="E169" s="28"/>
      <c r="F169" s="41"/>
      <c r="G169" s="39"/>
      <c r="H169" s="28">
        <f t="shared" si="4"/>
        <v>103</v>
      </c>
      <c r="I169" s="39"/>
      <c r="J169" s="39"/>
      <c r="K169" s="28">
        <f>TABL1234[[#This Row],[خط (T/B  TOT) SAR]]+TABL1234[[#This Row],[خط (S/S  TOT) SAR2]]</f>
        <v>0</v>
      </c>
      <c r="L169" s="41"/>
      <c r="M169" s="42"/>
      <c r="N169" s="42"/>
      <c r="O169" s="39"/>
      <c r="P169" s="10">
        <f>TABL1234[[#This Row],[خط (S/S  TOT) SAR2]]-TABL1234[[#This Row],[(S/S TOT) AJD]]</f>
        <v>0</v>
      </c>
      <c r="Q169" s="39"/>
      <c r="R169" s="10">
        <f>TABL1234[[#This Row],[خط (T/B  TOT) SAR]]-TABL1234[[#This Row],[(T/B TOT) AJD]]</f>
        <v>0</v>
      </c>
      <c r="S169" s="10">
        <f>TABL1234[[#This Row],[الفرق بين بداية ونهاية خط  T/B]]+TABL1234[[#This Row],[الفرق بين بداية ونهاية خط  S/S]]</f>
        <v>0</v>
      </c>
      <c r="T169" s="10">
        <f>TABL1234[[#This Row],[(S/S TOT) AJD]]+TABL1234[[#This Row],[(T/B TOT) AJD]]</f>
        <v>0</v>
      </c>
      <c r="U169" s="41"/>
      <c r="V169" s="41"/>
      <c r="W169" s="10">
        <f>TABL1234[[#This Row],[(A/B TOT) AJD]]+TABL1234[[#This Row],[(A/S TOT) AJD]]</f>
        <v>0</v>
      </c>
      <c r="X169" s="10">
        <f>TABL1234[[#This Row],[( S/S+T/B) AJD]]-TABL1234[[#This Row],[(A/B + A/S) AJD]]</f>
        <v>0</v>
      </c>
      <c r="Y169" s="41"/>
      <c r="Z169" s="43"/>
      <c r="AA169" s="3">
        <f>TABL1234[[#This Row],[(RESV. STORGE) AJD]]/10</f>
        <v>0</v>
      </c>
      <c r="AB169" s="3">
        <f t="shared" si="5"/>
        <v>0</v>
      </c>
      <c r="AC169" s="5"/>
      <c r="AD169" s="39">
        <f>TABL1234[[#This Row],[( S/S+T/B) AJD]]-(TABL1234[[#This Row],[(A/B + A/S) AJD]]+(TABL1234[[#This Row],[(STORGE DIFF.) AJD]]*1000)+TABL1234[[#This Row],[البخر  AJD]])</f>
        <v>0</v>
      </c>
      <c r="AE169" s="41"/>
      <c r="AF169" s="43"/>
      <c r="AG169" s="43"/>
      <c r="AH169" s="6"/>
      <c r="AI169" s="43"/>
      <c r="AJ169" s="43">
        <f>TABL1234[[#This Row],[(A/B TOT) AJD]]-TABL1234[[#This Row],[BER_ IN]]</f>
        <v>0</v>
      </c>
      <c r="AK169" s="43"/>
      <c r="AL169" s="43"/>
      <c r="AM169" s="32"/>
      <c r="AN169" s="32">
        <f>TABL1234[[#This Row],[ (RESV. STORGE) SER]]/10</f>
        <v>0</v>
      </c>
      <c r="AO169" s="68"/>
      <c r="AP169" s="68">
        <f>TABL1234[[#This Row],[(A/S TOT) AJD]]-TABL1234[[#This Row],[SER_ IN]]</f>
        <v>0</v>
      </c>
    </row>
    <row r="170" spans="1:42" ht="18.75" x14ac:dyDescent="0.25">
      <c r="A170" s="2">
        <v>46556</v>
      </c>
      <c r="B170" s="44"/>
      <c r="C170" s="44"/>
      <c r="D170" s="44"/>
      <c r="E170" s="28"/>
      <c r="F170" s="44"/>
      <c r="G170" s="40"/>
      <c r="H170" s="28">
        <f t="shared" si="4"/>
        <v>103</v>
      </c>
      <c r="I170" s="40"/>
      <c r="J170" s="44"/>
      <c r="K170" s="28">
        <f>TABL1234[[#This Row],[خط (T/B  TOT) SAR]]+TABL1234[[#This Row],[خط (S/S  TOT) SAR2]]</f>
        <v>0</v>
      </c>
      <c r="L170" s="45"/>
      <c r="M170" s="46"/>
      <c r="N170" s="46"/>
      <c r="O170" s="40"/>
      <c r="P170" s="3">
        <f>TABL1234[[#This Row],[خط (S/S  TOT) SAR2]]-TABL1234[[#This Row],[(S/S TOT) AJD]]</f>
        <v>0</v>
      </c>
      <c r="Q170" s="40"/>
      <c r="R170" s="3">
        <f>TABL1234[[#This Row],[خط (T/B  TOT) SAR]]-TABL1234[[#This Row],[(T/B TOT) AJD]]</f>
        <v>0</v>
      </c>
      <c r="S170" s="3">
        <f>TABL1234[[#This Row],[الفرق بين بداية ونهاية خط  T/B]]+TABL1234[[#This Row],[الفرق بين بداية ونهاية خط  S/S]]</f>
        <v>0</v>
      </c>
      <c r="T170" s="3">
        <f>TABL1234[[#This Row],[(S/S TOT) AJD]]+TABL1234[[#This Row],[(T/B TOT) AJD]]</f>
        <v>0</v>
      </c>
      <c r="U170" s="44"/>
      <c r="V170" s="44"/>
      <c r="W170" s="3">
        <f>TABL1234[[#This Row],[(A/B TOT) AJD]]+TABL1234[[#This Row],[(A/S TOT) AJD]]</f>
        <v>0</v>
      </c>
      <c r="X170" s="3">
        <f>TABL1234[[#This Row],[( S/S+T/B) AJD]]-TABL1234[[#This Row],[(A/B + A/S) AJD]]</f>
        <v>0</v>
      </c>
      <c r="Y170" s="44"/>
      <c r="Z170" s="45"/>
      <c r="AA170" s="3">
        <f>TABL1234[[#This Row],[(RESV. STORGE) AJD]]/10</f>
        <v>0</v>
      </c>
      <c r="AB170" s="3">
        <f t="shared" si="5"/>
        <v>0</v>
      </c>
      <c r="AC170" s="5"/>
      <c r="AD170" s="40">
        <f>TABL1234[[#This Row],[( S/S+T/B) AJD]]-(TABL1234[[#This Row],[(A/B + A/S) AJD]]+(TABL1234[[#This Row],[(STORGE DIFF.) AJD]]*1000)+TABL1234[[#This Row],[البخر  AJD]])</f>
        <v>0</v>
      </c>
      <c r="AE170" s="44"/>
      <c r="AF170" s="45"/>
      <c r="AG170" s="45"/>
      <c r="AH170" s="6"/>
      <c r="AI170" s="45"/>
      <c r="AJ170" s="45">
        <f>TABL1234[[#This Row],[(A/B TOT) AJD]]-TABL1234[[#This Row],[BER_ IN]]</f>
        <v>0</v>
      </c>
      <c r="AK170" s="45"/>
      <c r="AL170" s="45"/>
      <c r="AM170" s="32"/>
      <c r="AN170" s="32">
        <f>TABL1234[[#This Row],[ (RESV. STORGE) SER]]/10</f>
        <v>0</v>
      </c>
      <c r="AO170" s="68"/>
      <c r="AP170" s="68">
        <f>TABL1234[[#This Row],[(A/S TOT) AJD]]-TABL1234[[#This Row],[SER_ IN]]</f>
        <v>0</v>
      </c>
    </row>
    <row r="171" spans="1:42" ht="18.75" x14ac:dyDescent="0.25">
      <c r="A171" s="2">
        <v>46557</v>
      </c>
      <c r="B171" s="41"/>
      <c r="C171" s="41"/>
      <c r="D171" s="41"/>
      <c r="E171" s="28"/>
      <c r="F171" s="41"/>
      <c r="G171" s="39"/>
      <c r="H171" s="28">
        <f t="shared" si="4"/>
        <v>103</v>
      </c>
      <c r="I171" s="39"/>
      <c r="J171" s="39"/>
      <c r="K171" s="28">
        <f>TABL1234[[#This Row],[خط (T/B  TOT) SAR]]+TABL1234[[#This Row],[خط (S/S  TOT) SAR2]]</f>
        <v>0</v>
      </c>
      <c r="L171" s="41"/>
      <c r="M171" s="42"/>
      <c r="N171" s="42"/>
      <c r="O171" s="39"/>
      <c r="P171" s="3">
        <f>TABL1234[[#This Row],[خط (S/S  TOT) SAR2]]-TABL1234[[#This Row],[(S/S TOT) AJD]]</f>
        <v>0</v>
      </c>
      <c r="Q171" s="39"/>
      <c r="R171" s="3">
        <f>TABL1234[[#This Row],[خط (T/B  TOT) SAR]]-TABL1234[[#This Row],[(T/B TOT) AJD]]</f>
        <v>0</v>
      </c>
      <c r="S171" s="3">
        <f>TABL1234[[#This Row],[الفرق بين بداية ونهاية خط  T/B]]+TABL1234[[#This Row],[الفرق بين بداية ونهاية خط  S/S]]</f>
        <v>0</v>
      </c>
      <c r="T171" s="3">
        <f>TABL1234[[#This Row],[(S/S TOT) AJD]]+TABL1234[[#This Row],[(T/B TOT) AJD]]</f>
        <v>0</v>
      </c>
      <c r="U171" s="41"/>
      <c r="V171" s="41"/>
      <c r="W171" s="3">
        <f>TABL1234[[#This Row],[(A/B TOT) AJD]]+TABL1234[[#This Row],[(A/S TOT) AJD]]</f>
        <v>0</v>
      </c>
      <c r="X171" s="3">
        <f>TABL1234[[#This Row],[( S/S+T/B) AJD]]-TABL1234[[#This Row],[(A/B + A/S) AJD]]</f>
        <v>0</v>
      </c>
      <c r="Y171" s="41"/>
      <c r="Z171" s="43"/>
      <c r="AA171" s="3">
        <f>TABL1234[[#This Row],[(RESV. STORGE) AJD]]/10</f>
        <v>0</v>
      </c>
      <c r="AB171" s="3">
        <f t="shared" si="5"/>
        <v>0</v>
      </c>
      <c r="AC171" s="5"/>
      <c r="AD171" s="39">
        <f>TABL1234[[#This Row],[( S/S+T/B) AJD]]-(TABL1234[[#This Row],[(A/B + A/S) AJD]]+(TABL1234[[#This Row],[(STORGE DIFF.) AJD]]*1000)+TABL1234[[#This Row],[البخر  AJD]])</f>
        <v>0</v>
      </c>
      <c r="AE171" s="41"/>
      <c r="AF171" s="43"/>
      <c r="AG171" s="43"/>
      <c r="AH171" s="6"/>
      <c r="AI171" s="43"/>
      <c r="AJ171" s="43">
        <f>TABL1234[[#This Row],[(A/B TOT) AJD]]-TABL1234[[#This Row],[BER_ IN]]</f>
        <v>0</v>
      </c>
      <c r="AK171" s="43"/>
      <c r="AL171" s="43"/>
      <c r="AM171" s="32"/>
      <c r="AN171" s="32">
        <f>TABL1234[[#This Row],[ (RESV. STORGE) SER]]/10</f>
        <v>0</v>
      </c>
      <c r="AO171" s="68"/>
      <c r="AP171" s="68">
        <f>TABL1234[[#This Row],[(A/S TOT) AJD]]-TABL1234[[#This Row],[SER_ IN]]</f>
        <v>0</v>
      </c>
    </row>
    <row r="172" spans="1:42" ht="18.75" x14ac:dyDescent="0.25">
      <c r="A172" s="2">
        <v>46558</v>
      </c>
      <c r="B172" s="44"/>
      <c r="C172" s="44"/>
      <c r="D172" s="44"/>
      <c r="E172" s="28"/>
      <c r="F172" s="44"/>
      <c r="G172" s="40"/>
      <c r="H172" s="28">
        <f t="shared" si="4"/>
        <v>103</v>
      </c>
      <c r="I172" s="40"/>
      <c r="J172" s="40"/>
      <c r="K172" s="28">
        <f>TABL1234[[#This Row],[خط (T/B  TOT) SAR]]+TABL1234[[#This Row],[خط (S/S  TOT) SAR2]]</f>
        <v>0</v>
      </c>
      <c r="L172" s="44"/>
      <c r="M172" s="46"/>
      <c r="N172" s="46"/>
      <c r="O172" s="40"/>
      <c r="P172" s="3">
        <f>TABL1234[[#This Row],[خط (S/S  TOT) SAR2]]-TABL1234[[#This Row],[(S/S TOT) AJD]]</f>
        <v>0</v>
      </c>
      <c r="Q172" s="40"/>
      <c r="R172" s="3">
        <f>TABL1234[[#This Row],[خط (T/B  TOT) SAR]]-TABL1234[[#This Row],[(T/B TOT) AJD]]</f>
        <v>0</v>
      </c>
      <c r="S172" s="3">
        <f>TABL1234[[#This Row],[الفرق بين بداية ونهاية خط  T/B]]+TABL1234[[#This Row],[الفرق بين بداية ونهاية خط  S/S]]</f>
        <v>0</v>
      </c>
      <c r="T172" s="3">
        <f>TABL1234[[#This Row],[(S/S TOT) AJD]]+TABL1234[[#This Row],[(T/B TOT) AJD]]</f>
        <v>0</v>
      </c>
      <c r="U172" s="44"/>
      <c r="V172" s="44"/>
      <c r="W172" s="3">
        <f>TABL1234[[#This Row],[(A/B TOT) AJD]]+TABL1234[[#This Row],[(A/S TOT) AJD]]</f>
        <v>0</v>
      </c>
      <c r="X172" s="3">
        <f>TABL1234[[#This Row],[( S/S+T/B) AJD]]-TABL1234[[#This Row],[(A/B + A/S) AJD]]</f>
        <v>0</v>
      </c>
      <c r="Y172" s="44"/>
      <c r="Z172" s="45"/>
      <c r="AA172" s="3">
        <f>TABL1234[[#This Row],[(RESV. STORGE) AJD]]/10</f>
        <v>0</v>
      </c>
      <c r="AB172" s="3">
        <f t="shared" si="5"/>
        <v>0</v>
      </c>
      <c r="AC172" s="5"/>
      <c r="AD172" s="40">
        <f>TABL1234[[#This Row],[( S/S+T/B) AJD]]-(TABL1234[[#This Row],[(A/B + A/S) AJD]]+(TABL1234[[#This Row],[(STORGE DIFF.) AJD]]*1000)+TABL1234[[#This Row],[البخر  AJD]])</f>
        <v>0</v>
      </c>
      <c r="AE172" s="44"/>
      <c r="AF172" s="45"/>
      <c r="AG172" s="45"/>
      <c r="AH172" s="6"/>
      <c r="AI172" s="45"/>
      <c r="AJ172" s="45">
        <f>TABL1234[[#This Row],[(A/B TOT) AJD]]-TABL1234[[#This Row],[BER_ IN]]</f>
        <v>0</v>
      </c>
      <c r="AK172" s="45"/>
      <c r="AL172" s="45"/>
      <c r="AM172" s="32"/>
      <c r="AN172" s="32">
        <f>TABL1234[[#This Row],[ (RESV. STORGE) SER]]/10</f>
        <v>0</v>
      </c>
      <c r="AO172" s="68"/>
      <c r="AP172" s="68">
        <f>TABL1234[[#This Row],[(A/S TOT) AJD]]-TABL1234[[#This Row],[SER_ IN]]</f>
        <v>0</v>
      </c>
    </row>
    <row r="173" spans="1:42" ht="18.75" x14ac:dyDescent="0.25">
      <c r="A173" s="2">
        <v>46559</v>
      </c>
      <c r="B173" s="41"/>
      <c r="C173" s="41"/>
      <c r="D173" s="41"/>
      <c r="E173" s="28"/>
      <c r="F173" s="41"/>
      <c r="G173" s="39"/>
      <c r="H173" s="28">
        <f t="shared" si="4"/>
        <v>103</v>
      </c>
      <c r="I173" s="39"/>
      <c r="J173" s="39"/>
      <c r="K173" s="28">
        <f>TABL1234[[#This Row],[خط (T/B  TOT) SAR]]+TABL1234[[#This Row],[خط (S/S  TOT) SAR2]]</f>
        <v>0</v>
      </c>
      <c r="L173" s="41"/>
      <c r="M173" s="42"/>
      <c r="N173" s="42"/>
      <c r="O173" s="39"/>
      <c r="P173" s="3">
        <f>TABL1234[[#This Row],[خط (S/S  TOT) SAR2]]-TABL1234[[#This Row],[(S/S TOT) AJD]]</f>
        <v>0</v>
      </c>
      <c r="Q173" s="39"/>
      <c r="R173" s="3">
        <f>TABL1234[[#This Row],[خط (T/B  TOT) SAR]]-TABL1234[[#This Row],[(T/B TOT) AJD]]</f>
        <v>0</v>
      </c>
      <c r="S173" s="3">
        <f>TABL1234[[#This Row],[الفرق بين بداية ونهاية خط  T/B]]+TABL1234[[#This Row],[الفرق بين بداية ونهاية خط  S/S]]</f>
        <v>0</v>
      </c>
      <c r="T173" s="3">
        <f>TABL1234[[#This Row],[(S/S TOT) AJD]]+TABL1234[[#This Row],[(T/B TOT) AJD]]</f>
        <v>0</v>
      </c>
      <c r="U173" s="41"/>
      <c r="V173" s="41"/>
      <c r="W173" s="3">
        <f>TABL1234[[#This Row],[(A/B TOT) AJD]]+TABL1234[[#This Row],[(A/S TOT) AJD]]</f>
        <v>0</v>
      </c>
      <c r="X173" s="3">
        <f>TABL1234[[#This Row],[( S/S+T/B) AJD]]-TABL1234[[#This Row],[(A/B + A/S) AJD]]</f>
        <v>0</v>
      </c>
      <c r="Y173" s="41"/>
      <c r="Z173" s="43"/>
      <c r="AA173" s="3">
        <f>TABL1234[[#This Row],[(RESV. STORGE) AJD]]/10</f>
        <v>0</v>
      </c>
      <c r="AB173" s="3">
        <f t="shared" si="5"/>
        <v>0</v>
      </c>
      <c r="AC173" s="5"/>
      <c r="AD173" s="39">
        <f>TABL1234[[#This Row],[( S/S+T/B) AJD]]-(TABL1234[[#This Row],[(A/B + A/S) AJD]]+(TABL1234[[#This Row],[(STORGE DIFF.) AJD]]*1000)+TABL1234[[#This Row],[البخر  AJD]])</f>
        <v>0</v>
      </c>
      <c r="AE173" s="41"/>
      <c r="AF173" s="43"/>
      <c r="AG173" s="43"/>
      <c r="AH173" s="6"/>
      <c r="AI173" s="43"/>
      <c r="AJ173" s="43">
        <f>TABL1234[[#This Row],[(A/B TOT) AJD]]-TABL1234[[#This Row],[BER_ IN]]</f>
        <v>0</v>
      </c>
      <c r="AK173" s="43"/>
      <c r="AL173" s="43"/>
      <c r="AM173" s="32"/>
      <c r="AN173" s="32">
        <f>TABL1234[[#This Row],[ (RESV. STORGE) SER]]/10</f>
        <v>0</v>
      </c>
      <c r="AO173" s="68"/>
      <c r="AP173" s="68">
        <f>TABL1234[[#This Row],[(A/S TOT) AJD]]-TABL1234[[#This Row],[SER_ IN]]</f>
        <v>0</v>
      </c>
    </row>
    <row r="174" spans="1:42" ht="18.75" x14ac:dyDescent="0.25">
      <c r="A174" s="2">
        <v>46560</v>
      </c>
      <c r="B174" s="44"/>
      <c r="C174" s="44"/>
      <c r="D174" s="44"/>
      <c r="E174" s="28"/>
      <c r="F174" s="44"/>
      <c r="G174" s="40"/>
      <c r="H174" s="28">
        <f t="shared" si="4"/>
        <v>103</v>
      </c>
      <c r="I174" s="40"/>
      <c r="J174" s="44"/>
      <c r="K174" s="28">
        <f>TABL1234[[#This Row],[خط (T/B  TOT) SAR]]+TABL1234[[#This Row],[خط (S/S  TOT) SAR2]]</f>
        <v>0</v>
      </c>
      <c r="L174" s="45"/>
      <c r="M174" s="46"/>
      <c r="N174" s="46"/>
      <c r="O174" s="40"/>
      <c r="P174" s="3">
        <f>TABL1234[[#This Row],[خط (S/S  TOT) SAR2]]-TABL1234[[#This Row],[(S/S TOT) AJD]]</f>
        <v>0</v>
      </c>
      <c r="Q174" s="40"/>
      <c r="R174" s="3">
        <f>TABL1234[[#This Row],[خط (T/B  TOT) SAR]]-TABL1234[[#This Row],[(T/B TOT) AJD]]</f>
        <v>0</v>
      </c>
      <c r="S174" s="3">
        <f>TABL1234[[#This Row],[الفرق بين بداية ونهاية خط  T/B]]+TABL1234[[#This Row],[الفرق بين بداية ونهاية خط  S/S]]</f>
        <v>0</v>
      </c>
      <c r="T174" s="3">
        <f>TABL1234[[#This Row],[(S/S TOT) AJD]]+TABL1234[[#This Row],[(T/B TOT) AJD]]</f>
        <v>0</v>
      </c>
      <c r="U174" s="44"/>
      <c r="V174" s="44"/>
      <c r="W174" s="3">
        <f>TABL1234[[#This Row],[(A/B TOT) AJD]]+TABL1234[[#This Row],[(A/S TOT) AJD]]</f>
        <v>0</v>
      </c>
      <c r="X174" s="3">
        <f>TABL1234[[#This Row],[( S/S+T/B) AJD]]-TABL1234[[#This Row],[(A/B + A/S) AJD]]</f>
        <v>0</v>
      </c>
      <c r="Y174" s="44"/>
      <c r="Z174" s="45"/>
      <c r="AA174" s="3">
        <f>TABL1234[[#This Row],[(RESV. STORGE) AJD]]/10</f>
        <v>0</v>
      </c>
      <c r="AB174" s="3">
        <f t="shared" si="5"/>
        <v>0</v>
      </c>
      <c r="AC174" s="5"/>
      <c r="AD174" s="40">
        <f>TABL1234[[#This Row],[( S/S+T/B) AJD]]-(TABL1234[[#This Row],[(A/B + A/S) AJD]]+(TABL1234[[#This Row],[(STORGE DIFF.) AJD]]*1000)+TABL1234[[#This Row],[البخر  AJD]])</f>
        <v>0</v>
      </c>
      <c r="AE174" s="44"/>
      <c r="AF174" s="45"/>
      <c r="AG174" s="45"/>
      <c r="AH174" s="6"/>
      <c r="AI174" s="45"/>
      <c r="AJ174" s="45">
        <f>TABL1234[[#This Row],[(A/B TOT) AJD]]-TABL1234[[#This Row],[BER_ IN]]</f>
        <v>0</v>
      </c>
      <c r="AK174" s="45"/>
      <c r="AL174" s="45"/>
      <c r="AM174" s="32"/>
      <c r="AN174" s="32">
        <f>TABL1234[[#This Row],[ (RESV. STORGE) SER]]/10</f>
        <v>0</v>
      </c>
      <c r="AO174" s="68"/>
      <c r="AP174" s="68">
        <f>TABL1234[[#This Row],[(A/S TOT) AJD]]-TABL1234[[#This Row],[SER_ IN]]</f>
        <v>0</v>
      </c>
    </row>
    <row r="175" spans="1:42" ht="18.75" x14ac:dyDescent="0.25">
      <c r="A175" s="2">
        <v>46561</v>
      </c>
      <c r="B175" s="41"/>
      <c r="C175" s="41"/>
      <c r="D175" s="41"/>
      <c r="E175" s="28"/>
      <c r="F175" s="41"/>
      <c r="G175" s="39"/>
      <c r="H175" s="28">
        <f t="shared" si="4"/>
        <v>103</v>
      </c>
      <c r="I175" s="39"/>
      <c r="J175" s="39"/>
      <c r="K175" s="28">
        <f>TABL1234[[#This Row],[خط (T/B  TOT) SAR]]+TABL1234[[#This Row],[خط (S/S  TOT) SAR2]]</f>
        <v>0</v>
      </c>
      <c r="L175" s="41"/>
      <c r="M175" s="42"/>
      <c r="N175" s="42"/>
      <c r="O175" s="39"/>
      <c r="P175" s="3">
        <f>TABL1234[[#This Row],[خط (S/S  TOT) SAR2]]-TABL1234[[#This Row],[(S/S TOT) AJD]]</f>
        <v>0</v>
      </c>
      <c r="Q175" s="39"/>
      <c r="R175" s="3">
        <f>TABL1234[[#This Row],[خط (T/B  TOT) SAR]]-TABL1234[[#This Row],[(T/B TOT) AJD]]</f>
        <v>0</v>
      </c>
      <c r="S175" s="3">
        <f>TABL1234[[#This Row],[الفرق بين بداية ونهاية خط  T/B]]+TABL1234[[#This Row],[الفرق بين بداية ونهاية خط  S/S]]</f>
        <v>0</v>
      </c>
      <c r="T175" s="3">
        <f>TABL1234[[#This Row],[(S/S TOT) AJD]]+TABL1234[[#This Row],[(T/B TOT) AJD]]</f>
        <v>0</v>
      </c>
      <c r="U175" s="41"/>
      <c r="V175" s="41"/>
      <c r="W175" s="3">
        <f>TABL1234[[#This Row],[(A/B TOT) AJD]]+TABL1234[[#This Row],[(A/S TOT) AJD]]</f>
        <v>0</v>
      </c>
      <c r="X175" s="3">
        <f>TABL1234[[#This Row],[( S/S+T/B) AJD]]-TABL1234[[#This Row],[(A/B + A/S) AJD]]</f>
        <v>0</v>
      </c>
      <c r="Y175" s="41"/>
      <c r="Z175" s="43"/>
      <c r="AA175" s="3">
        <f>TABL1234[[#This Row],[(RESV. STORGE) AJD]]/10</f>
        <v>0</v>
      </c>
      <c r="AB175" s="3">
        <f t="shared" si="5"/>
        <v>0</v>
      </c>
      <c r="AC175" s="5"/>
      <c r="AD175" s="39">
        <f>TABL1234[[#This Row],[( S/S+T/B) AJD]]-(TABL1234[[#This Row],[(A/B + A/S) AJD]]+(TABL1234[[#This Row],[(STORGE DIFF.) AJD]]*1000)+TABL1234[[#This Row],[البخر  AJD]])</f>
        <v>0</v>
      </c>
      <c r="AE175" s="41"/>
      <c r="AF175" s="43"/>
      <c r="AG175" s="43"/>
      <c r="AH175" s="6"/>
      <c r="AI175" s="43"/>
      <c r="AJ175" s="43">
        <f>TABL1234[[#This Row],[(A/B TOT) AJD]]-TABL1234[[#This Row],[BER_ IN]]</f>
        <v>0</v>
      </c>
      <c r="AK175" s="43"/>
      <c r="AL175" s="43"/>
      <c r="AM175" s="32"/>
      <c r="AN175" s="32">
        <f>TABL1234[[#This Row],[ (RESV. STORGE) SER]]/10</f>
        <v>0</v>
      </c>
      <c r="AO175" s="68"/>
      <c r="AP175" s="68">
        <f>TABL1234[[#This Row],[(A/S TOT) AJD]]-TABL1234[[#This Row],[SER_ IN]]</f>
        <v>0</v>
      </c>
    </row>
    <row r="176" spans="1:42" ht="18.75" x14ac:dyDescent="0.25">
      <c r="A176" s="2">
        <v>46562</v>
      </c>
      <c r="B176" s="44"/>
      <c r="C176" s="44"/>
      <c r="D176" s="44"/>
      <c r="E176" s="28"/>
      <c r="F176" s="44"/>
      <c r="G176" s="40"/>
      <c r="H176" s="28">
        <f t="shared" si="4"/>
        <v>103</v>
      </c>
      <c r="I176" s="40"/>
      <c r="J176" s="44"/>
      <c r="K176" s="28">
        <f>TABL1234[[#This Row],[خط (T/B  TOT) SAR]]+TABL1234[[#This Row],[خط (S/S  TOT) SAR2]]</f>
        <v>0</v>
      </c>
      <c r="L176" s="45"/>
      <c r="M176" s="46"/>
      <c r="N176" s="46"/>
      <c r="O176" s="40"/>
      <c r="P176" s="3">
        <f>TABL1234[[#This Row],[خط (S/S  TOT) SAR2]]-TABL1234[[#This Row],[(S/S TOT) AJD]]</f>
        <v>0</v>
      </c>
      <c r="Q176" s="40"/>
      <c r="R176" s="3">
        <f>TABL1234[[#This Row],[خط (T/B  TOT) SAR]]-TABL1234[[#This Row],[(T/B TOT) AJD]]</f>
        <v>0</v>
      </c>
      <c r="S176" s="3">
        <f>TABL1234[[#This Row],[الفرق بين بداية ونهاية خط  T/B]]+TABL1234[[#This Row],[الفرق بين بداية ونهاية خط  S/S]]</f>
        <v>0</v>
      </c>
      <c r="T176" s="3">
        <f>TABL1234[[#This Row],[(S/S TOT) AJD]]+TABL1234[[#This Row],[(T/B TOT) AJD]]</f>
        <v>0</v>
      </c>
      <c r="U176" s="44"/>
      <c r="V176" s="44"/>
      <c r="W176" s="3">
        <f>TABL1234[[#This Row],[(A/B TOT) AJD]]+TABL1234[[#This Row],[(A/S TOT) AJD]]</f>
        <v>0</v>
      </c>
      <c r="X176" s="3">
        <f>TABL1234[[#This Row],[( S/S+T/B) AJD]]-TABL1234[[#This Row],[(A/B + A/S) AJD]]</f>
        <v>0</v>
      </c>
      <c r="Y176" s="44"/>
      <c r="Z176" s="45"/>
      <c r="AA176" s="3">
        <f>TABL1234[[#This Row],[(RESV. STORGE) AJD]]/10</f>
        <v>0</v>
      </c>
      <c r="AB176" s="3">
        <f t="shared" si="5"/>
        <v>0</v>
      </c>
      <c r="AC176" s="5"/>
      <c r="AD176" s="40">
        <f>TABL1234[[#This Row],[( S/S+T/B) AJD]]-(TABL1234[[#This Row],[(A/B + A/S) AJD]]+(TABL1234[[#This Row],[(STORGE DIFF.) AJD]]*1000)+TABL1234[[#This Row],[البخر  AJD]])</f>
        <v>0</v>
      </c>
      <c r="AE176" s="44"/>
      <c r="AF176" s="45"/>
      <c r="AG176" s="45"/>
      <c r="AH176" s="6"/>
      <c r="AI176" s="45"/>
      <c r="AJ176" s="45">
        <f>TABL1234[[#This Row],[(A/B TOT) AJD]]-TABL1234[[#This Row],[BER_ IN]]</f>
        <v>0</v>
      </c>
      <c r="AK176" s="45"/>
      <c r="AL176" s="45"/>
      <c r="AM176" s="32"/>
      <c r="AN176" s="32">
        <f>TABL1234[[#This Row],[ (RESV. STORGE) SER]]/10</f>
        <v>0</v>
      </c>
      <c r="AO176" s="68"/>
      <c r="AP176" s="68">
        <f>TABL1234[[#This Row],[(A/S TOT) AJD]]-TABL1234[[#This Row],[SER_ IN]]</f>
        <v>0</v>
      </c>
    </row>
    <row r="177" spans="1:42" ht="18.75" x14ac:dyDescent="0.25">
      <c r="A177" s="2">
        <v>46563</v>
      </c>
      <c r="B177" s="41"/>
      <c r="C177" s="41"/>
      <c r="D177" s="41"/>
      <c r="E177" s="28"/>
      <c r="F177" s="41"/>
      <c r="G177" s="39"/>
      <c r="H177" s="28">
        <f t="shared" si="4"/>
        <v>103</v>
      </c>
      <c r="I177" s="39"/>
      <c r="J177" s="39"/>
      <c r="K177" s="28">
        <f>TABL1234[[#This Row],[خط (T/B  TOT) SAR]]+TABL1234[[#This Row],[خط (S/S  TOT) SAR2]]</f>
        <v>0</v>
      </c>
      <c r="L177" s="41"/>
      <c r="M177" s="42"/>
      <c r="N177" s="42"/>
      <c r="O177" s="39"/>
      <c r="P177" s="3">
        <f>TABL1234[[#This Row],[خط (S/S  TOT) SAR2]]-TABL1234[[#This Row],[(S/S TOT) AJD]]</f>
        <v>0</v>
      </c>
      <c r="Q177" s="39"/>
      <c r="R177" s="3">
        <f>TABL1234[[#This Row],[خط (T/B  TOT) SAR]]-TABL1234[[#This Row],[(T/B TOT) AJD]]</f>
        <v>0</v>
      </c>
      <c r="S177" s="3">
        <f>TABL1234[[#This Row],[الفرق بين بداية ونهاية خط  T/B]]+TABL1234[[#This Row],[الفرق بين بداية ونهاية خط  S/S]]</f>
        <v>0</v>
      </c>
      <c r="T177" s="3">
        <f>TABL1234[[#This Row],[(S/S TOT) AJD]]+TABL1234[[#This Row],[(T/B TOT) AJD]]</f>
        <v>0</v>
      </c>
      <c r="U177" s="41"/>
      <c r="V177" s="41"/>
      <c r="W177" s="3">
        <f>TABL1234[[#This Row],[(A/B TOT) AJD]]+TABL1234[[#This Row],[(A/S TOT) AJD]]</f>
        <v>0</v>
      </c>
      <c r="X177" s="3">
        <f>TABL1234[[#This Row],[( S/S+T/B) AJD]]-TABL1234[[#This Row],[(A/B + A/S) AJD]]</f>
        <v>0</v>
      </c>
      <c r="Y177" s="41"/>
      <c r="Z177" s="43"/>
      <c r="AA177" s="3">
        <f>TABL1234[[#This Row],[(RESV. STORGE) AJD]]/10</f>
        <v>0</v>
      </c>
      <c r="AB177" s="3">
        <f t="shared" si="5"/>
        <v>0</v>
      </c>
      <c r="AC177" s="5"/>
      <c r="AD177" s="39">
        <f>TABL1234[[#This Row],[( S/S+T/B) AJD]]-(TABL1234[[#This Row],[(A/B + A/S) AJD]]+(TABL1234[[#This Row],[(STORGE DIFF.) AJD]]*1000)+TABL1234[[#This Row],[البخر  AJD]])</f>
        <v>0</v>
      </c>
      <c r="AE177" s="41"/>
      <c r="AF177" s="43"/>
      <c r="AG177" s="43"/>
      <c r="AH177" s="6"/>
      <c r="AI177" s="43"/>
      <c r="AJ177" s="43">
        <f>TABL1234[[#This Row],[(A/B TOT) AJD]]-TABL1234[[#This Row],[BER_ IN]]</f>
        <v>0</v>
      </c>
      <c r="AK177" s="43"/>
      <c r="AL177" s="43"/>
      <c r="AM177" s="32"/>
      <c r="AN177" s="32">
        <f>TABL1234[[#This Row],[ (RESV. STORGE) SER]]/10</f>
        <v>0</v>
      </c>
      <c r="AO177" s="68"/>
      <c r="AP177" s="68">
        <f>TABL1234[[#This Row],[(A/S TOT) AJD]]-TABL1234[[#This Row],[SER_ IN]]</f>
        <v>0</v>
      </c>
    </row>
    <row r="178" spans="1:42" ht="18.75" x14ac:dyDescent="0.25">
      <c r="A178" s="2">
        <v>46564</v>
      </c>
      <c r="B178" s="44"/>
      <c r="C178" s="44"/>
      <c r="D178" s="44"/>
      <c r="E178" s="28"/>
      <c r="F178" s="44"/>
      <c r="G178" s="40"/>
      <c r="H178" s="28">
        <f t="shared" si="4"/>
        <v>103</v>
      </c>
      <c r="I178" s="40"/>
      <c r="J178" s="44"/>
      <c r="K178" s="28">
        <f>TABL1234[[#This Row],[خط (T/B  TOT) SAR]]+TABL1234[[#This Row],[خط (S/S  TOT) SAR2]]</f>
        <v>0</v>
      </c>
      <c r="L178" s="45"/>
      <c r="M178" s="46"/>
      <c r="N178" s="46"/>
      <c r="O178" s="40"/>
      <c r="P178" s="3">
        <f>TABL1234[[#This Row],[خط (S/S  TOT) SAR2]]-TABL1234[[#This Row],[(S/S TOT) AJD]]</f>
        <v>0</v>
      </c>
      <c r="Q178" s="40"/>
      <c r="R178" s="3">
        <f>TABL1234[[#This Row],[خط (T/B  TOT) SAR]]-TABL1234[[#This Row],[(T/B TOT) AJD]]</f>
        <v>0</v>
      </c>
      <c r="S178" s="3">
        <f>TABL1234[[#This Row],[الفرق بين بداية ونهاية خط  T/B]]+TABL1234[[#This Row],[الفرق بين بداية ونهاية خط  S/S]]</f>
        <v>0</v>
      </c>
      <c r="T178" s="3">
        <f>TABL1234[[#This Row],[(S/S TOT) AJD]]+TABL1234[[#This Row],[(T/B TOT) AJD]]</f>
        <v>0</v>
      </c>
      <c r="U178" s="44"/>
      <c r="V178" s="44"/>
      <c r="W178" s="3">
        <f>TABL1234[[#This Row],[(A/B TOT) AJD]]+TABL1234[[#This Row],[(A/S TOT) AJD]]</f>
        <v>0</v>
      </c>
      <c r="X178" s="3">
        <f>TABL1234[[#This Row],[( S/S+T/B) AJD]]-TABL1234[[#This Row],[(A/B + A/S) AJD]]</f>
        <v>0</v>
      </c>
      <c r="Y178" s="44"/>
      <c r="Z178" s="45"/>
      <c r="AA178" s="3">
        <f>TABL1234[[#This Row],[(RESV. STORGE) AJD]]/10</f>
        <v>0</v>
      </c>
      <c r="AB178" s="3">
        <f t="shared" si="5"/>
        <v>0</v>
      </c>
      <c r="AC178" s="5"/>
      <c r="AD178" s="40">
        <f>TABL1234[[#This Row],[( S/S+T/B) AJD]]-(TABL1234[[#This Row],[(A/B + A/S) AJD]]+(TABL1234[[#This Row],[(STORGE DIFF.) AJD]]*1000)+TABL1234[[#This Row],[البخر  AJD]])</f>
        <v>0</v>
      </c>
      <c r="AE178" s="44"/>
      <c r="AF178" s="45"/>
      <c r="AG178" s="45"/>
      <c r="AH178" s="6"/>
      <c r="AI178" s="45"/>
      <c r="AJ178" s="45">
        <f>TABL1234[[#This Row],[(A/B TOT) AJD]]-TABL1234[[#This Row],[BER_ IN]]</f>
        <v>0</v>
      </c>
      <c r="AK178" s="45"/>
      <c r="AL178" s="45"/>
      <c r="AM178" s="32"/>
      <c r="AN178" s="32">
        <f>TABL1234[[#This Row],[ (RESV. STORGE) SER]]/10</f>
        <v>0</v>
      </c>
      <c r="AO178" s="68"/>
      <c r="AP178" s="68">
        <f>TABL1234[[#This Row],[(A/S TOT) AJD]]-TABL1234[[#This Row],[SER_ IN]]</f>
        <v>0</v>
      </c>
    </row>
    <row r="179" spans="1:42" ht="18.75" x14ac:dyDescent="0.25">
      <c r="A179" s="2">
        <v>46565</v>
      </c>
      <c r="B179" s="41"/>
      <c r="C179" s="41"/>
      <c r="D179" s="41"/>
      <c r="E179" s="28"/>
      <c r="F179" s="41"/>
      <c r="G179" s="39"/>
      <c r="H179" s="28">
        <f t="shared" si="4"/>
        <v>103</v>
      </c>
      <c r="I179" s="39"/>
      <c r="J179" s="39"/>
      <c r="K179" s="28">
        <f>TABL1234[[#This Row],[خط (T/B  TOT) SAR]]+TABL1234[[#This Row],[خط (S/S  TOT) SAR2]]</f>
        <v>0</v>
      </c>
      <c r="L179" s="41"/>
      <c r="M179" s="42"/>
      <c r="N179" s="42"/>
      <c r="O179" s="39"/>
      <c r="P179" s="3">
        <f>TABL1234[[#This Row],[خط (S/S  TOT) SAR2]]-TABL1234[[#This Row],[(S/S TOT) AJD]]</f>
        <v>0</v>
      </c>
      <c r="Q179" s="39"/>
      <c r="R179" s="3">
        <f>TABL1234[[#This Row],[خط (T/B  TOT) SAR]]-TABL1234[[#This Row],[(T/B TOT) AJD]]</f>
        <v>0</v>
      </c>
      <c r="S179" s="3">
        <f>TABL1234[[#This Row],[الفرق بين بداية ونهاية خط  T/B]]+TABL1234[[#This Row],[الفرق بين بداية ونهاية خط  S/S]]</f>
        <v>0</v>
      </c>
      <c r="T179" s="3">
        <f>TABL1234[[#This Row],[(S/S TOT) AJD]]+TABL1234[[#This Row],[(T/B TOT) AJD]]</f>
        <v>0</v>
      </c>
      <c r="U179" s="41"/>
      <c r="V179" s="41"/>
      <c r="W179" s="3">
        <f>TABL1234[[#This Row],[(A/B TOT) AJD]]+TABL1234[[#This Row],[(A/S TOT) AJD]]</f>
        <v>0</v>
      </c>
      <c r="X179" s="3">
        <f>TABL1234[[#This Row],[( S/S+T/B) AJD]]-TABL1234[[#This Row],[(A/B + A/S) AJD]]</f>
        <v>0</v>
      </c>
      <c r="Y179" s="41"/>
      <c r="Z179" s="43"/>
      <c r="AA179" s="3">
        <f>TABL1234[[#This Row],[(RESV. STORGE) AJD]]/10</f>
        <v>0</v>
      </c>
      <c r="AB179" s="3">
        <f t="shared" si="5"/>
        <v>0</v>
      </c>
      <c r="AC179" s="5"/>
      <c r="AD179" s="39">
        <f>TABL1234[[#This Row],[( S/S+T/B) AJD]]-(TABL1234[[#This Row],[(A/B + A/S) AJD]]+(TABL1234[[#This Row],[(STORGE DIFF.) AJD]]*1000)+TABL1234[[#This Row],[البخر  AJD]])</f>
        <v>0</v>
      </c>
      <c r="AE179" s="41"/>
      <c r="AF179" s="43"/>
      <c r="AG179" s="43"/>
      <c r="AH179" s="6"/>
      <c r="AI179" s="43"/>
      <c r="AJ179" s="43">
        <f>TABL1234[[#This Row],[(A/B TOT) AJD]]-TABL1234[[#This Row],[BER_ IN]]</f>
        <v>0</v>
      </c>
      <c r="AK179" s="43"/>
      <c r="AL179" s="43"/>
      <c r="AM179" s="32"/>
      <c r="AN179" s="32">
        <f>TABL1234[[#This Row],[ (RESV. STORGE) SER]]/10</f>
        <v>0</v>
      </c>
      <c r="AO179" s="68"/>
      <c r="AP179" s="68">
        <f>TABL1234[[#This Row],[(A/S TOT) AJD]]-TABL1234[[#This Row],[SER_ IN]]</f>
        <v>0</v>
      </c>
    </row>
    <row r="180" spans="1:42" ht="18.75" x14ac:dyDescent="0.25">
      <c r="A180" s="2">
        <v>46566</v>
      </c>
      <c r="B180" s="44"/>
      <c r="C180" s="44"/>
      <c r="D180" s="44"/>
      <c r="E180" s="28"/>
      <c r="F180" s="44"/>
      <c r="G180" s="40"/>
      <c r="H180" s="28">
        <f t="shared" si="4"/>
        <v>103</v>
      </c>
      <c r="I180" s="40"/>
      <c r="J180" s="44"/>
      <c r="K180" s="28">
        <f>TABL1234[[#This Row],[خط (T/B  TOT) SAR]]+TABL1234[[#This Row],[خط (S/S  TOT) SAR2]]</f>
        <v>0</v>
      </c>
      <c r="L180" s="45"/>
      <c r="M180" s="46"/>
      <c r="N180" s="46"/>
      <c r="O180" s="40"/>
      <c r="P180" s="3">
        <f>TABL1234[[#This Row],[خط (S/S  TOT) SAR2]]-TABL1234[[#This Row],[(S/S TOT) AJD]]</f>
        <v>0</v>
      </c>
      <c r="Q180" s="40"/>
      <c r="R180" s="3">
        <f>TABL1234[[#This Row],[خط (T/B  TOT) SAR]]-TABL1234[[#This Row],[(T/B TOT) AJD]]</f>
        <v>0</v>
      </c>
      <c r="S180" s="3">
        <f>TABL1234[[#This Row],[الفرق بين بداية ونهاية خط  T/B]]+TABL1234[[#This Row],[الفرق بين بداية ونهاية خط  S/S]]</f>
        <v>0</v>
      </c>
      <c r="T180" s="3">
        <f>TABL1234[[#This Row],[(S/S TOT) AJD]]+TABL1234[[#This Row],[(T/B TOT) AJD]]</f>
        <v>0</v>
      </c>
      <c r="U180" s="44"/>
      <c r="V180" s="44"/>
      <c r="W180" s="3">
        <f>TABL1234[[#This Row],[(A/B TOT) AJD]]+TABL1234[[#This Row],[(A/S TOT) AJD]]</f>
        <v>0</v>
      </c>
      <c r="X180" s="3">
        <f>TABL1234[[#This Row],[( S/S+T/B) AJD]]-TABL1234[[#This Row],[(A/B + A/S) AJD]]</f>
        <v>0</v>
      </c>
      <c r="Y180" s="44"/>
      <c r="Z180" s="45"/>
      <c r="AA180" s="3">
        <f>TABL1234[[#This Row],[(RESV. STORGE) AJD]]/10</f>
        <v>0</v>
      </c>
      <c r="AB180" s="3">
        <f t="shared" si="5"/>
        <v>0</v>
      </c>
      <c r="AC180" s="5"/>
      <c r="AD180" s="40">
        <f>TABL1234[[#This Row],[( S/S+T/B) AJD]]-(TABL1234[[#This Row],[(A/B + A/S) AJD]]+(TABL1234[[#This Row],[(STORGE DIFF.) AJD]]*1000)+TABL1234[[#This Row],[البخر  AJD]])</f>
        <v>0</v>
      </c>
      <c r="AE180" s="44"/>
      <c r="AF180" s="45"/>
      <c r="AG180" s="45"/>
      <c r="AH180" s="6"/>
      <c r="AI180" s="45"/>
      <c r="AJ180" s="45">
        <f>TABL1234[[#This Row],[(A/B TOT) AJD]]-TABL1234[[#This Row],[BER_ IN]]</f>
        <v>0</v>
      </c>
      <c r="AK180" s="45"/>
      <c r="AL180" s="45"/>
      <c r="AM180" s="32"/>
      <c r="AN180" s="32">
        <f>TABL1234[[#This Row],[ (RESV. STORGE) SER]]/10</f>
        <v>0</v>
      </c>
      <c r="AO180" s="68"/>
      <c r="AP180" s="68">
        <f>TABL1234[[#This Row],[(A/S TOT) AJD]]-TABL1234[[#This Row],[SER_ IN]]</f>
        <v>0</v>
      </c>
    </row>
    <row r="181" spans="1:42" ht="18.75" x14ac:dyDescent="0.25">
      <c r="A181" s="2">
        <v>46567</v>
      </c>
      <c r="B181" s="41"/>
      <c r="C181" s="41"/>
      <c r="D181" s="41"/>
      <c r="E181" s="28"/>
      <c r="F181" s="41"/>
      <c r="G181" s="39"/>
      <c r="H181" s="28">
        <f t="shared" si="4"/>
        <v>103</v>
      </c>
      <c r="I181" s="39"/>
      <c r="J181" s="39"/>
      <c r="K181" s="28">
        <f>TABL1234[[#This Row],[خط (T/B  TOT) SAR]]+TABL1234[[#This Row],[خط (S/S  TOT) SAR2]]</f>
        <v>0</v>
      </c>
      <c r="L181" s="41"/>
      <c r="M181" s="42"/>
      <c r="N181" s="42"/>
      <c r="O181" s="39"/>
      <c r="P181" s="3">
        <f>TABL1234[[#This Row],[خط (S/S  TOT) SAR2]]-TABL1234[[#This Row],[(S/S TOT) AJD]]</f>
        <v>0</v>
      </c>
      <c r="Q181" s="39"/>
      <c r="R181" s="3">
        <f>TABL1234[[#This Row],[خط (T/B  TOT) SAR]]-TABL1234[[#This Row],[(T/B TOT) AJD]]</f>
        <v>0</v>
      </c>
      <c r="S181" s="3">
        <f>TABL1234[[#This Row],[الفرق بين بداية ونهاية خط  T/B]]+TABL1234[[#This Row],[الفرق بين بداية ونهاية خط  S/S]]</f>
        <v>0</v>
      </c>
      <c r="T181" s="3">
        <f>TABL1234[[#This Row],[(S/S TOT) AJD]]+TABL1234[[#This Row],[(T/B TOT) AJD]]</f>
        <v>0</v>
      </c>
      <c r="U181" s="41"/>
      <c r="V181" s="41"/>
      <c r="W181" s="3">
        <f>TABL1234[[#This Row],[(A/B TOT) AJD]]+TABL1234[[#This Row],[(A/S TOT) AJD]]</f>
        <v>0</v>
      </c>
      <c r="X181" s="3">
        <f>TABL1234[[#This Row],[( S/S+T/B) AJD]]-TABL1234[[#This Row],[(A/B + A/S) AJD]]</f>
        <v>0</v>
      </c>
      <c r="Y181" s="41"/>
      <c r="Z181" s="43"/>
      <c r="AA181" s="3">
        <f>TABL1234[[#This Row],[(RESV. STORGE) AJD]]/10</f>
        <v>0</v>
      </c>
      <c r="AB181" s="3">
        <f t="shared" si="5"/>
        <v>0</v>
      </c>
      <c r="AC181" s="5"/>
      <c r="AD181" s="39">
        <f>TABL1234[[#This Row],[( S/S+T/B) AJD]]-(TABL1234[[#This Row],[(A/B + A/S) AJD]]+(TABL1234[[#This Row],[(STORGE DIFF.) AJD]]*1000)+TABL1234[[#This Row],[البخر  AJD]])</f>
        <v>0</v>
      </c>
      <c r="AE181" s="41"/>
      <c r="AF181" s="43"/>
      <c r="AG181" s="43"/>
      <c r="AH181" s="6"/>
      <c r="AI181" s="43"/>
      <c r="AJ181" s="43">
        <f>TABL1234[[#This Row],[(A/B TOT) AJD]]-TABL1234[[#This Row],[BER_ IN]]</f>
        <v>0</v>
      </c>
      <c r="AK181" s="43"/>
      <c r="AL181" s="43"/>
      <c r="AM181" s="32"/>
      <c r="AN181" s="32">
        <f>TABL1234[[#This Row],[ (RESV. STORGE) SER]]/10</f>
        <v>0</v>
      </c>
      <c r="AO181" s="68"/>
      <c r="AP181" s="68">
        <f>TABL1234[[#This Row],[(A/S TOT) AJD]]-TABL1234[[#This Row],[SER_ IN]]</f>
        <v>0</v>
      </c>
    </row>
    <row r="182" spans="1:42" ht="18.75" x14ac:dyDescent="0.25">
      <c r="A182" s="2">
        <v>46568</v>
      </c>
      <c r="B182" s="44"/>
      <c r="C182" s="44"/>
      <c r="D182" s="44"/>
      <c r="E182" s="28"/>
      <c r="F182" s="44"/>
      <c r="G182" s="40"/>
      <c r="H182" s="28">
        <f t="shared" si="4"/>
        <v>103</v>
      </c>
      <c r="I182" s="40"/>
      <c r="J182" s="44"/>
      <c r="K182" s="28">
        <f>TABL1234[[#This Row],[خط (T/B  TOT) SAR]]+TABL1234[[#This Row],[خط (S/S  TOT) SAR2]]</f>
        <v>0</v>
      </c>
      <c r="L182" s="45"/>
      <c r="M182" s="46"/>
      <c r="N182" s="46"/>
      <c r="O182" s="40"/>
      <c r="P182" s="3">
        <f>TABL1234[[#This Row],[خط (S/S  TOT) SAR2]]-TABL1234[[#This Row],[(S/S TOT) AJD]]</f>
        <v>0</v>
      </c>
      <c r="Q182" s="40"/>
      <c r="R182" s="3">
        <f>TABL1234[[#This Row],[خط (T/B  TOT) SAR]]-TABL1234[[#This Row],[(T/B TOT) AJD]]</f>
        <v>0</v>
      </c>
      <c r="S182" s="3">
        <f>TABL1234[[#This Row],[الفرق بين بداية ونهاية خط  T/B]]+TABL1234[[#This Row],[الفرق بين بداية ونهاية خط  S/S]]</f>
        <v>0</v>
      </c>
      <c r="T182" s="3">
        <f>TABL1234[[#This Row],[(S/S TOT) AJD]]+TABL1234[[#This Row],[(T/B TOT) AJD]]</f>
        <v>0</v>
      </c>
      <c r="U182" s="44"/>
      <c r="V182" s="44"/>
      <c r="W182" s="3">
        <f>TABL1234[[#This Row],[(A/B TOT) AJD]]+TABL1234[[#This Row],[(A/S TOT) AJD]]</f>
        <v>0</v>
      </c>
      <c r="X182" s="3">
        <f>TABL1234[[#This Row],[( S/S+T/B) AJD]]-TABL1234[[#This Row],[(A/B + A/S) AJD]]</f>
        <v>0</v>
      </c>
      <c r="Y182" s="44"/>
      <c r="Z182" s="45"/>
      <c r="AA182" s="3">
        <f>TABL1234[[#This Row],[(RESV. STORGE) AJD]]/10</f>
        <v>0</v>
      </c>
      <c r="AB182" s="3">
        <f t="shared" si="5"/>
        <v>0</v>
      </c>
      <c r="AC182" s="5"/>
      <c r="AD182" s="40">
        <f>TABL1234[[#This Row],[( S/S+T/B) AJD]]-(TABL1234[[#This Row],[(A/B + A/S) AJD]]+(TABL1234[[#This Row],[(STORGE DIFF.) AJD]]*1000)+TABL1234[[#This Row],[البخر  AJD]])</f>
        <v>0</v>
      </c>
      <c r="AE182" s="44"/>
      <c r="AF182" s="45"/>
      <c r="AG182" s="45"/>
      <c r="AH182" s="6"/>
      <c r="AI182" s="45"/>
      <c r="AJ182" s="45">
        <f>TABL1234[[#This Row],[(A/B TOT) AJD]]-TABL1234[[#This Row],[BER_ IN]]</f>
        <v>0</v>
      </c>
      <c r="AK182" s="45"/>
      <c r="AL182" s="45"/>
      <c r="AM182" s="32"/>
      <c r="AN182" s="32">
        <f>TABL1234[[#This Row],[ (RESV. STORGE) SER]]/10</f>
        <v>0</v>
      </c>
      <c r="AO182" s="68"/>
      <c r="AP182" s="68">
        <f>TABL1234[[#This Row],[(A/S TOT) AJD]]-TABL1234[[#This Row],[SER_ IN]]</f>
        <v>0</v>
      </c>
    </row>
    <row r="183" spans="1:42" ht="18.75" x14ac:dyDescent="0.25">
      <c r="A183" s="2">
        <v>46569</v>
      </c>
      <c r="B183" s="41"/>
      <c r="C183" s="41"/>
      <c r="D183" s="41"/>
      <c r="E183" s="41"/>
      <c r="F183" s="41"/>
      <c r="G183" s="39"/>
      <c r="H183" s="28">
        <f t="shared" si="4"/>
        <v>103</v>
      </c>
      <c r="I183" s="39"/>
      <c r="J183" s="39"/>
      <c r="K183" s="28">
        <f>TABL1234[[#This Row],[خط (T/B  TOT) SAR]]+TABL1234[[#This Row],[خط (S/S  TOT) SAR2]]</f>
        <v>0</v>
      </c>
      <c r="L183" s="41"/>
      <c r="M183" s="42"/>
      <c r="N183" s="42"/>
      <c r="O183" s="39"/>
      <c r="P183" s="12">
        <f>TABL1234[[#This Row],[خط (S/S  TOT) SAR2]]-TABL1234[[#This Row],[(S/S TOT) AJD]]</f>
        <v>0</v>
      </c>
      <c r="Q183" s="39"/>
      <c r="R183" s="12">
        <f>TABL1234[[#This Row],[خط (T/B  TOT) SAR]]-TABL1234[[#This Row],[(T/B TOT) AJD]]</f>
        <v>0</v>
      </c>
      <c r="S183" s="12">
        <f>TABL1234[[#This Row],[الفرق بين بداية ونهاية خط  T/B]]+TABL1234[[#This Row],[الفرق بين بداية ونهاية خط  S/S]]</f>
        <v>0</v>
      </c>
      <c r="T183" s="12">
        <f>TABL1234[[#This Row],[(S/S TOT) AJD]]+TABL1234[[#This Row],[(T/B TOT) AJD]]</f>
        <v>0</v>
      </c>
      <c r="U183" s="41"/>
      <c r="V183" s="41"/>
      <c r="W183" s="12">
        <f>TABL1234[[#This Row],[(A/B TOT) AJD]]+TABL1234[[#This Row],[(A/S TOT) AJD]]</f>
        <v>0</v>
      </c>
      <c r="X183" s="12">
        <f>TABL1234[[#This Row],[( S/S+T/B) AJD]]-TABL1234[[#This Row],[(A/B + A/S) AJD]]</f>
        <v>0</v>
      </c>
      <c r="Y183" s="41"/>
      <c r="Z183" s="43"/>
      <c r="AA183" s="3">
        <f>TABL1234[[#This Row],[(RESV. STORGE) AJD]]/10</f>
        <v>0</v>
      </c>
      <c r="AB183" s="3">
        <f t="shared" si="5"/>
        <v>0</v>
      </c>
      <c r="AC183" s="5"/>
      <c r="AD183" s="39">
        <f>TABL1234[[#This Row],[( S/S+T/B) AJD]]-(TABL1234[[#This Row],[(A/B + A/S) AJD]]+(TABL1234[[#This Row],[(STORGE DIFF.) AJD]]*1000)+TABL1234[[#This Row],[البخر  AJD]])</f>
        <v>0</v>
      </c>
      <c r="AE183" s="41"/>
      <c r="AF183" s="43"/>
      <c r="AG183" s="43"/>
      <c r="AH183" s="6"/>
      <c r="AI183" s="43"/>
      <c r="AJ183" s="43">
        <f>TABL1234[[#This Row],[(A/B TOT) AJD]]-TABL1234[[#This Row],[BER_ IN]]</f>
        <v>0</v>
      </c>
      <c r="AK183" s="43"/>
      <c r="AL183" s="43"/>
      <c r="AM183" s="32"/>
      <c r="AN183" s="32">
        <f>TABL1234[[#This Row],[ (RESV. STORGE) SER]]/10</f>
        <v>0</v>
      </c>
      <c r="AO183" s="68"/>
      <c r="AP183" s="68">
        <f>TABL1234[[#This Row],[(A/S TOT) AJD]]-TABL1234[[#This Row],[SER_ IN]]</f>
        <v>0</v>
      </c>
    </row>
    <row r="184" spans="1:42" ht="18.75" x14ac:dyDescent="0.25">
      <c r="A184" s="2">
        <v>46570</v>
      </c>
      <c r="B184" s="44"/>
      <c r="C184" s="44"/>
      <c r="D184" s="44"/>
      <c r="E184" s="44"/>
      <c r="F184" s="44"/>
      <c r="G184" s="40"/>
      <c r="H184" s="28">
        <f t="shared" si="4"/>
        <v>103</v>
      </c>
      <c r="I184" s="40"/>
      <c r="J184" s="44"/>
      <c r="K184" s="28">
        <f>TABL1234[[#This Row],[خط (T/B  TOT) SAR]]+TABL1234[[#This Row],[خط (S/S  TOT) SAR2]]</f>
        <v>0</v>
      </c>
      <c r="L184" s="45"/>
      <c r="M184" s="46"/>
      <c r="N184" s="46"/>
      <c r="O184" s="40"/>
      <c r="P184" s="12">
        <f>TABL1234[[#This Row],[خط (S/S  TOT) SAR2]]-TABL1234[[#This Row],[(S/S TOT) AJD]]</f>
        <v>0</v>
      </c>
      <c r="Q184" s="40"/>
      <c r="R184" s="12">
        <f>TABL1234[[#This Row],[خط (T/B  TOT) SAR]]-TABL1234[[#This Row],[(T/B TOT) AJD]]</f>
        <v>0</v>
      </c>
      <c r="S184" s="12">
        <f>TABL1234[[#This Row],[الفرق بين بداية ونهاية خط  T/B]]+TABL1234[[#This Row],[الفرق بين بداية ونهاية خط  S/S]]</f>
        <v>0</v>
      </c>
      <c r="T184" s="12">
        <f>TABL1234[[#This Row],[(S/S TOT) AJD]]+TABL1234[[#This Row],[(T/B TOT) AJD]]</f>
        <v>0</v>
      </c>
      <c r="U184" s="44"/>
      <c r="V184" s="44"/>
      <c r="W184" s="12">
        <f>TABL1234[[#This Row],[(A/B TOT) AJD]]+TABL1234[[#This Row],[(A/S TOT) AJD]]</f>
        <v>0</v>
      </c>
      <c r="X184" s="12">
        <f>TABL1234[[#This Row],[( S/S+T/B) AJD]]-TABL1234[[#This Row],[(A/B + A/S) AJD]]</f>
        <v>0</v>
      </c>
      <c r="Y184" s="44"/>
      <c r="Z184" s="45"/>
      <c r="AA184" s="3">
        <f>TABL1234[[#This Row],[(RESV. STORGE) AJD]]/10</f>
        <v>0</v>
      </c>
      <c r="AB184" s="3">
        <f t="shared" si="5"/>
        <v>0</v>
      </c>
      <c r="AC184" s="5"/>
      <c r="AD184" s="40">
        <f>TABL1234[[#This Row],[( S/S+T/B) AJD]]-(TABL1234[[#This Row],[(A/B + A/S) AJD]]+(TABL1234[[#This Row],[(STORGE DIFF.) AJD]]*1000)+TABL1234[[#This Row],[البخر  AJD]])</f>
        <v>0</v>
      </c>
      <c r="AE184" s="44"/>
      <c r="AF184" s="45"/>
      <c r="AG184" s="45"/>
      <c r="AH184" s="6"/>
      <c r="AI184" s="45"/>
      <c r="AJ184" s="45">
        <f>TABL1234[[#This Row],[(A/B TOT) AJD]]-TABL1234[[#This Row],[BER_ IN]]</f>
        <v>0</v>
      </c>
      <c r="AK184" s="45"/>
      <c r="AL184" s="45"/>
      <c r="AM184" s="32"/>
      <c r="AN184" s="32">
        <f>TABL1234[[#This Row],[ (RESV. STORGE) SER]]/10</f>
        <v>0</v>
      </c>
      <c r="AO184" s="68"/>
      <c r="AP184" s="68">
        <f>TABL1234[[#This Row],[(A/S TOT) AJD]]-TABL1234[[#This Row],[SER_ IN]]</f>
        <v>0</v>
      </c>
    </row>
    <row r="185" spans="1:42" ht="18.75" x14ac:dyDescent="0.25">
      <c r="A185" s="2">
        <v>46571</v>
      </c>
      <c r="B185" s="41"/>
      <c r="C185" s="41"/>
      <c r="D185" s="41"/>
      <c r="E185" s="41"/>
      <c r="F185" s="41"/>
      <c r="G185" s="39"/>
      <c r="H185" s="28">
        <f t="shared" si="4"/>
        <v>103</v>
      </c>
      <c r="I185" s="39"/>
      <c r="J185" s="39"/>
      <c r="K185" s="28">
        <f>TABL1234[[#This Row],[خط (T/B  TOT) SAR]]+TABL1234[[#This Row],[خط (S/S  TOT) SAR2]]</f>
        <v>0</v>
      </c>
      <c r="L185" s="41"/>
      <c r="M185" s="42"/>
      <c r="N185" s="42"/>
      <c r="O185" s="39"/>
      <c r="P185" s="12">
        <f>TABL1234[[#This Row],[خط (S/S  TOT) SAR2]]-TABL1234[[#This Row],[(S/S TOT) AJD]]</f>
        <v>0</v>
      </c>
      <c r="Q185" s="39"/>
      <c r="R185" s="12">
        <f>TABL1234[[#This Row],[خط (T/B  TOT) SAR]]-TABL1234[[#This Row],[(T/B TOT) AJD]]</f>
        <v>0</v>
      </c>
      <c r="S185" s="12">
        <f>TABL1234[[#This Row],[الفرق بين بداية ونهاية خط  T/B]]+TABL1234[[#This Row],[الفرق بين بداية ونهاية خط  S/S]]</f>
        <v>0</v>
      </c>
      <c r="T185" s="12">
        <f>TABL1234[[#This Row],[(S/S TOT) AJD]]+TABL1234[[#This Row],[(T/B TOT) AJD]]</f>
        <v>0</v>
      </c>
      <c r="U185" s="41"/>
      <c r="V185" s="41"/>
      <c r="W185" s="12">
        <f>TABL1234[[#This Row],[(A/B TOT) AJD]]+TABL1234[[#This Row],[(A/S TOT) AJD]]</f>
        <v>0</v>
      </c>
      <c r="X185" s="12">
        <f>TABL1234[[#This Row],[( S/S+T/B) AJD]]-TABL1234[[#This Row],[(A/B + A/S) AJD]]</f>
        <v>0</v>
      </c>
      <c r="Y185" s="41"/>
      <c r="Z185" s="43"/>
      <c r="AA185" s="3">
        <f>TABL1234[[#This Row],[(RESV. STORGE) AJD]]/10</f>
        <v>0</v>
      </c>
      <c r="AB185" s="3">
        <f t="shared" si="5"/>
        <v>0</v>
      </c>
      <c r="AC185" s="5"/>
      <c r="AD185" s="39">
        <f>TABL1234[[#This Row],[( S/S+T/B) AJD]]-(TABL1234[[#This Row],[(A/B + A/S) AJD]]+(TABL1234[[#This Row],[(STORGE DIFF.) AJD]]*1000)+TABL1234[[#This Row],[البخر  AJD]])</f>
        <v>0</v>
      </c>
      <c r="AE185" s="41"/>
      <c r="AF185" s="43"/>
      <c r="AG185" s="43"/>
      <c r="AH185" s="6"/>
      <c r="AI185" s="43"/>
      <c r="AJ185" s="43">
        <f>TABL1234[[#This Row],[(A/B TOT) AJD]]-TABL1234[[#This Row],[BER_ IN]]</f>
        <v>0</v>
      </c>
      <c r="AK185" s="43"/>
      <c r="AL185" s="43"/>
      <c r="AM185" s="32"/>
      <c r="AN185" s="32">
        <f>TABL1234[[#This Row],[ (RESV. STORGE) SER]]/10</f>
        <v>0</v>
      </c>
      <c r="AO185" s="68"/>
      <c r="AP185" s="68">
        <f>TABL1234[[#This Row],[(A/S TOT) AJD]]-TABL1234[[#This Row],[SER_ IN]]</f>
        <v>0</v>
      </c>
    </row>
    <row r="186" spans="1:42" ht="18.75" x14ac:dyDescent="0.25">
      <c r="A186" s="2">
        <v>46572</v>
      </c>
      <c r="B186" s="44"/>
      <c r="C186" s="44"/>
      <c r="D186" s="44"/>
      <c r="E186" s="44"/>
      <c r="F186" s="44"/>
      <c r="G186" s="40"/>
      <c r="H186" s="28">
        <f t="shared" si="4"/>
        <v>103</v>
      </c>
      <c r="I186" s="40"/>
      <c r="J186" s="44"/>
      <c r="K186" s="28">
        <f>TABL1234[[#This Row],[خط (T/B  TOT) SAR]]+TABL1234[[#This Row],[خط (S/S  TOT) SAR2]]</f>
        <v>0</v>
      </c>
      <c r="L186" s="45"/>
      <c r="M186" s="46"/>
      <c r="N186" s="46"/>
      <c r="O186" s="40"/>
      <c r="P186" s="12">
        <f>TABL1234[[#This Row],[خط (S/S  TOT) SAR2]]-TABL1234[[#This Row],[(S/S TOT) AJD]]</f>
        <v>0</v>
      </c>
      <c r="Q186" s="40"/>
      <c r="R186" s="12">
        <f>TABL1234[[#This Row],[خط (T/B  TOT) SAR]]-TABL1234[[#This Row],[(T/B TOT) AJD]]</f>
        <v>0</v>
      </c>
      <c r="S186" s="12">
        <f>TABL1234[[#This Row],[الفرق بين بداية ونهاية خط  T/B]]+TABL1234[[#This Row],[الفرق بين بداية ونهاية خط  S/S]]</f>
        <v>0</v>
      </c>
      <c r="T186" s="12">
        <f>TABL1234[[#This Row],[(S/S TOT) AJD]]+TABL1234[[#This Row],[(T/B TOT) AJD]]</f>
        <v>0</v>
      </c>
      <c r="U186" s="44"/>
      <c r="V186" s="44"/>
      <c r="W186" s="12">
        <f>TABL1234[[#This Row],[(A/B TOT) AJD]]+TABL1234[[#This Row],[(A/S TOT) AJD]]</f>
        <v>0</v>
      </c>
      <c r="X186" s="12">
        <f>TABL1234[[#This Row],[( S/S+T/B) AJD]]-TABL1234[[#This Row],[(A/B + A/S) AJD]]</f>
        <v>0</v>
      </c>
      <c r="Y186" s="44"/>
      <c r="Z186" s="45"/>
      <c r="AA186" s="3">
        <f>TABL1234[[#This Row],[(RESV. STORGE) AJD]]/10</f>
        <v>0</v>
      </c>
      <c r="AB186" s="3">
        <f t="shared" si="5"/>
        <v>0</v>
      </c>
      <c r="AC186" s="5"/>
      <c r="AD186" s="40">
        <f>TABL1234[[#This Row],[( S/S+T/B) AJD]]-(TABL1234[[#This Row],[(A/B + A/S) AJD]]+(TABL1234[[#This Row],[(STORGE DIFF.) AJD]]*1000)+TABL1234[[#This Row],[البخر  AJD]])</f>
        <v>0</v>
      </c>
      <c r="AE186" s="44"/>
      <c r="AF186" s="45"/>
      <c r="AG186" s="45"/>
      <c r="AH186" s="6"/>
      <c r="AI186" s="45"/>
      <c r="AJ186" s="45">
        <f>TABL1234[[#This Row],[(A/B TOT) AJD]]-TABL1234[[#This Row],[BER_ IN]]</f>
        <v>0</v>
      </c>
      <c r="AK186" s="45"/>
      <c r="AL186" s="45"/>
      <c r="AM186" s="32"/>
      <c r="AN186" s="32">
        <f>TABL1234[[#This Row],[ (RESV. STORGE) SER]]/10</f>
        <v>0</v>
      </c>
      <c r="AO186" s="68"/>
      <c r="AP186" s="68">
        <f>TABL1234[[#This Row],[(A/S TOT) AJD]]-TABL1234[[#This Row],[SER_ IN]]</f>
        <v>0</v>
      </c>
    </row>
    <row r="187" spans="1:42" ht="18.75" x14ac:dyDescent="0.25">
      <c r="A187" s="2">
        <v>46573</v>
      </c>
      <c r="B187" s="41"/>
      <c r="C187" s="41"/>
      <c r="D187" s="41"/>
      <c r="E187" s="41"/>
      <c r="F187" s="41"/>
      <c r="G187" s="39"/>
      <c r="H187" s="28">
        <f t="shared" si="4"/>
        <v>103</v>
      </c>
      <c r="I187" s="39"/>
      <c r="J187" s="39"/>
      <c r="K187" s="28">
        <f>TABL1234[[#This Row],[خط (T/B  TOT) SAR]]+TABL1234[[#This Row],[خط (S/S  TOT) SAR2]]</f>
        <v>0</v>
      </c>
      <c r="L187" s="41"/>
      <c r="M187" s="42"/>
      <c r="N187" s="42"/>
      <c r="O187" s="39"/>
      <c r="P187" s="12">
        <f>TABL1234[[#This Row],[خط (S/S  TOT) SAR2]]-TABL1234[[#This Row],[(S/S TOT) AJD]]</f>
        <v>0</v>
      </c>
      <c r="Q187" s="39"/>
      <c r="R187" s="12">
        <f>TABL1234[[#This Row],[خط (T/B  TOT) SAR]]-TABL1234[[#This Row],[(T/B TOT) AJD]]</f>
        <v>0</v>
      </c>
      <c r="S187" s="12">
        <f>TABL1234[[#This Row],[الفرق بين بداية ونهاية خط  T/B]]+TABL1234[[#This Row],[الفرق بين بداية ونهاية خط  S/S]]</f>
        <v>0</v>
      </c>
      <c r="T187" s="12">
        <f>TABL1234[[#This Row],[(S/S TOT) AJD]]+TABL1234[[#This Row],[(T/B TOT) AJD]]</f>
        <v>0</v>
      </c>
      <c r="U187" s="41"/>
      <c r="V187" s="41"/>
      <c r="W187" s="10">
        <f>TABL1234[[#This Row],[(A/B TOT) AJD]]+TABL1234[[#This Row],[(A/S TOT) AJD]]</f>
        <v>0</v>
      </c>
      <c r="X187" s="10">
        <f>TABL1234[[#This Row],[( S/S+T/B) AJD]]-TABL1234[[#This Row],[(A/B + A/S) AJD]]</f>
        <v>0</v>
      </c>
      <c r="Y187" s="41"/>
      <c r="Z187" s="43"/>
      <c r="AA187" s="3">
        <f>TABL1234[[#This Row],[(RESV. STORGE) AJD]]/10</f>
        <v>0</v>
      </c>
      <c r="AB187" s="3">
        <f t="shared" si="5"/>
        <v>0</v>
      </c>
      <c r="AC187" s="5"/>
      <c r="AD187" s="39">
        <f>TABL1234[[#This Row],[( S/S+T/B) AJD]]-(TABL1234[[#This Row],[(A/B + A/S) AJD]]+(TABL1234[[#This Row],[(STORGE DIFF.) AJD]]*1000)+TABL1234[[#This Row],[البخر  AJD]])</f>
        <v>0</v>
      </c>
      <c r="AE187" s="41"/>
      <c r="AF187" s="43"/>
      <c r="AG187" s="43"/>
      <c r="AH187" s="6"/>
      <c r="AI187" s="43"/>
      <c r="AJ187" s="43">
        <f>TABL1234[[#This Row],[(A/B TOT) AJD]]-TABL1234[[#This Row],[BER_ IN]]</f>
        <v>0</v>
      </c>
      <c r="AK187" s="43"/>
      <c r="AL187" s="43"/>
      <c r="AM187" s="32"/>
      <c r="AN187" s="32">
        <f>TABL1234[[#This Row],[ (RESV. STORGE) SER]]/10</f>
        <v>0</v>
      </c>
      <c r="AO187" s="68"/>
      <c r="AP187" s="68">
        <f>TABL1234[[#This Row],[(A/S TOT) AJD]]-TABL1234[[#This Row],[SER_ IN]]</f>
        <v>0</v>
      </c>
    </row>
    <row r="188" spans="1:42" ht="18.75" x14ac:dyDescent="0.25">
      <c r="A188" s="2">
        <v>46574</v>
      </c>
      <c r="B188" s="44"/>
      <c r="C188" s="44"/>
      <c r="D188" s="44"/>
      <c r="E188" s="44"/>
      <c r="F188" s="44"/>
      <c r="G188" s="40"/>
      <c r="H188" s="28">
        <f t="shared" si="4"/>
        <v>103</v>
      </c>
      <c r="I188" s="40"/>
      <c r="J188" s="44"/>
      <c r="K188" s="28">
        <f>TABL1234[[#This Row],[خط (T/B  TOT) SAR]]+TABL1234[[#This Row],[خط (S/S  TOT) SAR2]]</f>
        <v>0</v>
      </c>
      <c r="L188" s="45"/>
      <c r="M188" s="46"/>
      <c r="N188" s="46"/>
      <c r="O188" s="40"/>
      <c r="P188" s="12">
        <f>TABL1234[[#This Row],[خط (S/S  TOT) SAR2]]-TABL1234[[#This Row],[(S/S TOT) AJD]]</f>
        <v>0</v>
      </c>
      <c r="Q188" s="40"/>
      <c r="R188" s="12">
        <f>TABL1234[[#This Row],[خط (T/B  TOT) SAR]]-TABL1234[[#This Row],[(T/B TOT) AJD]]</f>
        <v>0</v>
      </c>
      <c r="S188" s="12">
        <f>TABL1234[[#This Row],[الفرق بين بداية ونهاية خط  T/B]]+TABL1234[[#This Row],[الفرق بين بداية ونهاية خط  S/S]]</f>
        <v>0</v>
      </c>
      <c r="T188" s="12">
        <f>TABL1234[[#This Row],[(S/S TOT) AJD]]+TABL1234[[#This Row],[(T/B TOT) AJD]]</f>
        <v>0</v>
      </c>
      <c r="U188" s="44"/>
      <c r="V188" s="44"/>
      <c r="W188" s="12">
        <f>TABL1234[[#This Row],[(A/B TOT) AJD]]+TABL1234[[#This Row],[(A/S TOT) AJD]]</f>
        <v>0</v>
      </c>
      <c r="X188" s="12">
        <f>TABL1234[[#This Row],[( S/S+T/B) AJD]]-TABL1234[[#This Row],[(A/B + A/S) AJD]]</f>
        <v>0</v>
      </c>
      <c r="Y188" s="44"/>
      <c r="Z188" s="45"/>
      <c r="AA188" s="3">
        <f>TABL1234[[#This Row],[(RESV. STORGE) AJD]]/10</f>
        <v>0</v>
      </c>
      <c r="AB188" s="3">
        <f t="shared" si="5"/>
        <v>0</v>
      </c>
      <c r="AC188" s="5"/>
      <c r="AD188" s="40">
        <f>TABL1234[[#This Row],[( S/S+T/B) AJD]]-(TABL1234[[#This Row],[(A/B + A/S) AJD]]+(TABL1234[[#This Row],[(STORGE DIFF.) AJD]]*1000)+TABL1234[[#This Row],[البخر  AJD]])</f>
        <v>0</v>
      </c>
      <c r="AE188" s="44"/>
      <c r="AF188" s="45"/>
      <c r="AG188" s="45"/>
      <c r="AH188" s="6"/>
      <c r="AI188" s="45"/>
      <c r="AJ188" s="45">
        <f>TABL1234[[#This Row],[(A/B TOT) AJD]]-TABL1234[[#This Row],[BER_ IN]]</f>
        <v>0</v>
      </c>
      <c r="AK188" s="45"/>
      <c r="AL188" s="45"/>
      <c r="AM188" s="32"/>
      <c r="AN188" s="32">
        <f>TABL1234[[#This Row],[ (RESV. STORGE) SER]]/10</f>
        <v>0</v>
      </c>
      <c r="AO188" s="68"/>
      <c r="AP188" s="68">
        <f>TABL1234[[#This Row],[(A/S TOT) AJD]]-TABL1234[[#This Row],[SER_ IN]]</f>
        <v>0</v>
      </c>
    </row>
    <row r="189" spans="1:42" ht="18.75" x14ac:dyDescent="0.25">
      <c r="A189" s="2">
        <v>46575</v>
      </c>
      <c r="B189" s="41"/>
      <c r="C189" s="41"/>
      <c r="D189" s="41"/>
      <c r="E189" s="41"/>
      <c r="F189" s="41"/>
      <c r="G189" s="39"/>
      <c r="H189" s="28">
        <f t="shared" si="4"/>
        <v>103</v>
      </c>
      <c r="I189" s="39"/>
      <c r="J189" s="39"/>
      <c r="K189" s="28">
        <f>TABL1234[[#This Row],[خط (T/B  TOT) SAR]]+TABL1234[[#This Row],[خط (S/S  TOT) SAR2]]</f>
        <v>0</v>
      </c>
      <c r="L189" s="41"/>
      <c r="M189" s="42"/>
      <c r="N189" s="42"/>
      <c r="O189" s="39"/>
      <c r="P189" s="12">
        <f>TABL1234[[#This Row],[خط (S/S  TOT) SAR2]]-TABL1234[[#This Row],[(S/S TOT) AJD]]</f>
        <v>0</v>
      </c>
      <c r="Q189" s="39"/>
      <c r="R189" s="12">
        <f>TABL1234[[#This Row],[خط (T/B  TOT) SAR]]-TABL1234[[#This Row],[(T/B TOT) AJD]]</f>
        <v>0</v>
      </c>
      <c r="S189" s="12">
        <f>TABL1234[[#This Row],[الفرق بين بداية ونهاية خط  T/B]]+TABL1234[[#This Row],[الفرق بين بداية ونهاية خط  S/S]]</f>
        <v>0</v>
      </c>
      <c r="T189" s="12">
        <f>TABL1234[[#This Row],[(S/S TOT) AJD]]+TABL1234[[#This Row],[(T/B TOT) AJD]]</f>
        <v>0</v>
      </c>
      <c r="U189" s="41"/>
      <c r="V189" s="41"/>
      <c r="W189" s="12">
        <f>TABL1234[[#This Row],[(A/B TOT) AJD]]+TABL1234[[#This Row],[(A/S TOT) AJD]]</f>
        <v>0</v>
      </c>
      <c r="X189" s="12">
        <f>TABL1234[[#This Row],[( S/S+T/B) AJD]]-TABL1234[[#This Row],[(A/B + A/S) AJD]]</f>
        <v>0</v>
      </c>
      <c r="Y189" s="41"/>
      <c r="Z189" s="43"/>
      <c r="AA189" s="3">
        <f>TABL1234[[#This Row],[(RESV. STORGE) AJD]]/10</f>
        <v>0</v>
      </c>
      <c r="AB189" s="3">
        <f t="shared" si="5"/>
        <v>0</v>
      </c>
      <c r="AC189" s="5"/>
      <c r="AD189" s="39">
        <f>TABL1234[[#This Row],[( S/S+T/B) AJD]]-(TABL1234[[#This Row],[(A/B + A/S) AJD]]+(TABL1234[[#This Row],[(STORGE DIFF.) AJD]]*1000)+TABL1234[[#This Row],[البخر  AJD]])</f>
        <v>0</v>
      </c>
      <c r="AE189" s="41"/>
      <c r="AF189" s="43"/>
      <c r="AG189" s="43"/>
      <c r="AH189" s="6"/>
      <c r="AI189" s="43"/>
      <c r="AJ189" s="43">
        <f>TABL1234[[#This Row],[(A/B TOT) AJD]]-TABL1234[[#This Row],[BER_ IN]]</f>
        <v>0</v>
      </c>
      <c r="AK189" s="43"/>
      <c r="AL189" s="43"/>
      <c r="AM189" s="32"/>
      <c r="AN189" s="32">
        <f>TABL1234[[#This Row],[ (RESV. STORGE) SER]]/10</f>
        <v>0</v>
      </c>
      <c r="AO189" s="68"/>
      <c r="AP189" s="68">
        <f>TABL1234[[#This Row],[(A/S TOT) AJD]]-TABL1234[[#This Row],[SER_ IN]]</f>
        <v>0</v>
      </c>
    </row>
    <row r="190" spans="1:42" ht="18.75" x14ac:dyDescent="0.25">
      <c r="A190" s="2">
        <v>46576</v>
      </c>
      <c r="B190" s="44"/>
      <c r="C190" s="44"/>
      <c r="D190" s="44"/>
      <c r="E190" s="44"/>
      <c r="F190" s="44"/>
      <c r="G190" s="40"/>
      <c r="H190" s="28">
        <f t="shared" si="4"/>
        <v>103</v>
      </c>
      <c r="I190" s="40"/>
      <c r="J190" s="44"/>
      <c r="K190" s="28">
        <f>TABL1234[[#This Row],[خط (T/B  TOT) SAR]]+TABL1234[[#This Row],[خط (S/S  TOT) SAR2]]</f>
        <v>0</v>
      </c>
      <c r="L190" s="45"/>
      <c r="M190" s="46"/>
      <c r="N190" s="46"/>
      <c r="O190" s="40"/>
      <c r="P190" s="12">
        <f>TABL1234[[#This Row],[خط (S/S  TOT) SAR2]]-TABL1234[[#This Row],[(S/S TOT) AJD]]</f>
        <v>0</v>
      </c>
      <c r="Q190" s="40"/>
      <c r="R190" s="12">
        <f>TABL1234[[#This Row],[خط (T/B  TOT) SAR]]-TABL1234[[#This Row],[(T/B TOT) AJD]]</f>
        <v>0</v>
      </c>
      <c r="S190" s="12">
        <f>TABL1234[[#This Row],[الفرق بين بداية ونهاية خط  T/B]]+TABL1234[[#This Row],[الفرق بين بداية ونهاية خط  S/S]]</f>
        <v>0</v>
      </c>
      <c r="T190" s="12">
        <f>TABL1234[[#This Row],[(S/S TOT) AJD]]+TABL1234[[#This Row],[(T/B TOT) AJD]]</f>
        <v>0</v>
      </c>
      <c r="U190" s="44"/>
      <c r="V190" s="44"/>
      <c r="W190" s="12">
        <f>TABL1234[[#This Row],[(A/B TOT) AJD]]+TABL1234[[#This Row],[(A/S TOT) AJD]]</f>
        <v>0</v>
      </c>
      <c r="X190" s="12">
        <f>TABL1234[[#This Row],[( S/S+T/B) AJD]]-TABL1234[[#This Row],[(A/B + A/S) AJD]]</f>
        <v>0</v>
      </c>
      <c r="Y190" s="44"/>
      <c r="Z190" s="45"/>
      <c r="AA190" s="3">
        <f>TABL1234[[#This Row],[(RESV. STORGE) AJD]]/10</f>
        <v>0</v>
      </c>
      <c r="AB190" s="3">
        <f t="shared" si="5"/>
        <v>0</v>
      </c>
      <c r="AC190" s="5"/>
      <c r="AD190" s="40">
        <f>TABL1234[[#This Row],[( S/S+T/B) AJD]]-(TABL1234[[#This Row],[(A/B + A/S) AJD]]+(TABL1234[[#This Row],[(STORGE DIFF.) AJD]]*1000)+TABL1234[[#This Row],[البخر  AJD]])</f>
        <v>0</v>
      </c>
      <c r="AE190" s="44"/>
      <c r="AF190" s="45"/>
      <c r="AG190" s="45"/>
      <c r="AH190" s="6"/>
      <c r="AI190" s="45"/>
      <c r="AJ190" s="45">
        <f>TABL1234[[#This Row],[(A/B TOT) AJD]]-TABL1234[[#This Row],[BER_ IN]]</f>
        <v>0</v>
      </c>
      <c r="AK190" s="45"/>
      <c r="AL190" s="45"/>
      <c r="AM190" s="32"/>
      <c r="AN190" s="32">
        <f>TABL1234[[#This Row],[ (RESV. STORGE) SER]]/10</f>
        <v>0</v>
      </c>
      <c r="AO190" s="68"/>
      <c r="AP190" s="68">
        <f>TABL1234[[#This Row],[(A/S TOT) AJD]]-TABL1234[[#This Row],[SER_ IN]]</f>
        <v>0</v>
      </c>
    </row>
    <row r="191" spans="1:42" ht="18.75" x14ac:dyDescent="0.25">
      <c r="A191" s="2">
        <v>46577</v>
      </c>
      <c r="B191" s="41"/>
      <c r="C191" s="41"/>
      <c r="D191" s="41"/>
      <c r="E191" s="41"/>
      <c r="F191" s="41"/>
      <c r="G191" s="39"/>
      <c r="H191" s="28">
        <f t="shared" si="4"/>
        <v>103</v>
      </c>
      <c r="I191" s="39"/>
      <c r="J191" s="39"/>
      <c r="K191" s="28">
        <f>TABL1234[[#This Row],[خط (T/B  TOT) SAR]]+TABL1234[[#This Row],[خط (S/S  TOT) SAR2]]</f>
        <v>0</v>
      </c>
      <c r="L191" s="41"/>
      <c r="M191" s="42"/>
      <c r="N191" s="42"/>
      <c r="O191" s="39"/>
      <c r="P191" s="12">
        <f>TABL1234[[#This Row],[خط (S/S  TOT) SAR2]]-TABL1234[[#This Row],[(S/S TOT) AJD]]</f>
        <v>0</v>
      </c>
      <c r="Q191" s="39"/>
      <c r="R191" s="12">
        <f>TABL1234[[#This Row],[خط (T/B  TOT) SAR]]-TABL1234[[#This Row],[(T/B TOT) AJD]]</f>
        <v>0</v>
      </c>
      <c r="S191" s="12">
        <f>TABL1234[[#This Row],[الفرق بين بداية ونهاية خط  T/B]]+TABL1234[[#This Row],[الفرق بين بداية ونهاية خط  S/S]]</f>
        <v>0</v>
      </c>
      <c r="T191" s="12">
        <f>TABL1234[[#This Row],[(S/S TOT) AJD]]+TABL1234[[#This Row],[(T/B TOT) AJD]]</f>
        <v>0</v>
      </c>
      <c r="U191" s="41"/>
      <c r="V191" s="41"/>
      <c r="W191" s="12">
        <f>TABL1234[[#This Row],[(A/B TOT) AJD]]+TABL1234[[#This Row],[(A/S TOT) AJD]]</f>
        <v>0</v>
      </c>
      <c r="X191" s="12">
        <f>TABL1234[[#This Row],[( S/S+T/B) AJD]]-TABL1234[[#This Row],[(A/B + A/S) AJD]]</f>
        <v>0</v>
      </c>
      <c r="Y191" s="41"/>
      <c r="Z191" s="43"/>
      <c r="AA191" s="3">
        <f>TABL1234[[#This Row],[(RESV. STORGE) AJD]]/10</f>
        <v>0</v>
      </c>
      <c r="AB191" s="3">
        <f t="shared" si="5"/>
        <v>0</v>
      </c>
      <c r="AC191" s="5"/>
      <c r="AD191" s="39">
        <f>TABL1234[[#This Row],[( S/S+T/B) AJD]]-(TABL1234[[#This Row],[(A/B + A/S) AJD]]+(TABL1234[[#This Row],[(STORGE DIFF.) AJD]]*1000)+TABL1234[[#This Row],[البخر  AJD]])</f>
        <v>0</v>
      </c>
      <c r="AE191" s="41"/>
      <c r="AF191" s="43"/>
      <c r="AG191" s="43"/>
      <c r="AH191" s="6"/>
      <c r="AI191" s="43"/>
      <c r="AJ191" s="43">
        <f>TABL1234[[#This Row],[(A/B TOT) AJD]]-TABL1234[[#This Row],[BER_ IN]]</f>
        <v>0</v>
      </c>
      <c r="AK191" s="43"/>
      <c r="AL191" s="43"/>
      <c r="AM191" s="32"/>
      <c r="AN191" s="32">
        <f>TABL1234[[#This Row],[ (RESV. STORGE) SER]]/10</f>
        <v>0</v>
      </c>
      <c r="AO191" s="68"/>
      <c r="AP191" s="68">
        <f>TABL1234[[#This Row],[(A/S TOT) AJD]]-TABL1234[[#This Row],[SER_ IN]]</f>
        <v>0</v>
      </c>
    </row>
    <row r="192" spans="1:42" ht="18.75" x14ac:dyDescent="0.25">
      <c r="A192" s="2">
        <v>46578</v>
      </c>
      <c r="B192" s="44"/>
      <c r="C192" s="44"/>
      <c r="D192" s="44"/>
      <c r="E192" s="44"/>
      <c r="F192" s="44"/>
      <c r="G192" s="40"/>
      <c r="H192" s="28">
        <f t="shared" si="4"/>
        <v>103</v>
      </c>
      <c r="I192" s="40"/>
      <c r="J192" s="44"/>
      <c r="K192" s="28">
        <f>TABL1234[[#This Row],[خط (T/B  TOT) SAR]]+TABL1234[[#This Row],[خط (S/S  TOT) SAR2]]</f>
        <v>0</v>
      </c>
      <c r="L192" s="45"/>
      <c r="M192" s="46"/>
      <c r="N192" s="46"/>
      <c r="O192" s="40"/>
      <c r="P192" s="12">
        <f>TABL1234[[#This Row],[خط (S/S  TOT) SAR2]]-TABL1234[[#This Row],[(S/S TOT) AJD]]</f>
        <v>0</v>
      </c>
      <c r="Q192" s="40"/>
      <c r="R192" s="12">
        <f>TABL1234[[#This Row],[خط (T/B  TOT) SAR]]-TABL1234[[#This Row],[(T/B TOT) AJD]]</f>
        <v>0</v>
      </c>
      <c r="S192" s="12">
        <f>TABL1234[[#This Row],[الفرق بين بداية ونهاية خط  T/B]]+TABL1234[[#This Row],[الفرق بين بداية ونهاية خط  S/S]]</f>
        <v>0</v>
      </c>
      <c r="T192" s="12">
        <f>TABL1234[[#This Row],[(S/S TOT) AJD]]+TABL1234[[#This Row],[(T/B TOT) AJD]]</f>
        <v>0</v>
      </c>
      <c r="U192" s="44"/>
      <c r="V192" s="44"/>
      <c r="W192" s="12">
        <f>TABL1234[[#This Row],[(A/B TOT) AJD]]+TABL1234[[#This Row],[(A/S TOT) AJD]]</f>
        <v>0</v>
      </c>
      <c r="X192" s="12">
        <f>TABL1234[[#This Row],[( S/S+T/B) AJD]]-TABL1234[[#This Row],[(A/B + A/S) AJD]]</f>
        <v>0</v>
      </c>
      <c r="Y192" s="44"/>
      <c r="Z192" s="45"/>
      <c r="AA192" s="3">
        <f>TABL1234[[#This Row],[(RESV. STORGE) AJD]]/10</f>
        <v>0</v>
      </c>
      <c r="AB192" s="3">
        <f t="shared" si="5"/>
        <v>0</v>
      </c>
      <c r="AC192" s="5"/>
      <c r="AD192" s="40">
        <f>TABL1234[[#This Row],[( S/S+T/B) AJD]]-(TABL1234[[#This Row],[(A/B + A/S) AJD]]+(TABL1234[[#This Row],[(STORGE DIFF.) AJD]]*1000)+TABL1234[[#This Row],[البخر  AJD]])</f>
        <v>0</v>
      </c>
      <c r="AE192" s="44"/>
      <c r="AF192" s="45"/>
      <c r="AG192" s="45"/>
      <c r="AH192" s="6"/>
      <c r="AI192" s="45"/>
      <c r="AJ192" s="45">
        <f>TABL1234[[#This Row],[(A/B TOT) AJD]]-TABL1234[[#This Row],[BER_ IN]]</f>
        <v>0</v>
      </c>
      <c r="AK192" s="45"/>
      <c r="AL192" s="45"/>
      <c r="AM192" s="32"/>
      <c r="AN192" s="32">
        <f>TABL1234[[#This Row],[ (RESV. STORGE) SER]]/10</f>
        <v>0</v>
      </c>
      <c r="AO192" s="68"/>
      <c r="AP192" s="68">
        <f>TABL1234[[#This Row],[(A/S TOT) AJD]]-TABL1234[[#This Row],[SER_ IN]]</f>
        <v>0</v>
      </c>
    </row>
    <row r="193" spans="1:42" ht="18.75" x14ac:dyDescent="0.25">
      <c r="A193" s="2">
        <v>46579</v>
      </c>
      <c r="B193" s="41"/>
      <c r="C193" s="41"/>
      <c r="D193" s="41"/>
      <c r="E193" s="41"/>
      <c r="F193" s="41"/>
      <c r="G193" s="39"/>
      <c r="H193" s="28">
        <f t="shared" si="4"/>
        <v>103</v>
      </c>
      <c r="I193" s="39"/>
      <c r="J193" s="39"/>
      <c r="K193" s="28">
        <f>TABL1234[[#This Row],[خط (T/B  TOT) SAR]]+TABL1234[[#This Row],[خط (S/S  TOT) SAR2]]</f>
        <v>0</v>
      </c>
      <c r="L193" s="41"/>
      <c r="M193" s="42"/>
      <c r="N193" s="42"/>
      <c r="O193" s="39"/>
      <c r="P193" s="12">
        <f>TABL1234[[#This Row],[خط (S/S  TOT) SAR2]]-TABL1234[[#This Row],[(S/S TOT) AJD]]</f>
        <v>0</v>
      </c>
      <c r="Q193" s="39"/>
      <c r="R193" s="12">
        <f>TABL1234[[#This Row],[خط (T/B  TOT) SAR]]-TABL1234[[#This Row],[(T/B TOT) AJD]]</f>
        <v>0</v>
      </c>
      <c r="S193" s="12">
        <f>TABL1234[[#This Row],[الفرق بين بداية ونهاية خط  T/B]]+TABL1234[[#This Row],[الفرق بين بداية ونهاية خط  S/S]]</f>
        <v>0</v>
      </c>
      <c r="T193" s="12">
        <f>TABL1234[[#This Row],[(S/S TOT) AJD]]+TABL1234[[#This Row],[(T/B TOT) AJD]]</f>
        <v>0</v>
      </c>
      <c r="U193" s="41"/>
      <c r="V193" s="41"/>
      <c r="W193" s="12">
        <f>TABL1234[[#This Row],[(A/B TOT) AJD]]+TABL1234[[#This Row],[(A/S TOT) AJD]]</f>
        <v>0</v>
      </c>
      <c r="X193" s="12">
        <f>TABL1234[[#This Row],[( S/S+T/B) AJD]]-TABL1234[[#This Row],[(A/B + A/S) AJD]]</f>
        <v>0</v>
      </c>
      <c r="Y193" s="41"/>
      <c r="Z193" s="43"/>
      <c r="AA193" s="3">
        <f>TABL1234[[#This Row],[(RESV. STORGE) AJD]]/10</f>
        <v>0</v>
      </c>
      <c r="AB193" s="3">
        <f t="shared" si="5"/>
        <v>0</v>
      </c>
      <c r="AC193" s="5"/>
      <c r="AD193" s="39">
        <f>TABL1234[[#This Row],[( S/S+T/B) AJD]]-(TABL1234[[#This Row],[(A/B + A/S) AJD]]+(TABL1234[[#This Row],[(STORGE DIFF.) AJD]]*1000)+TABL1234[[#This Row],[البخر  AJD]])</f>
        <v>0</v>
      </c>
      <c r="AE193" s="41"/>
      <c r="AF193" s="43"/>
      <c r="AG193" s="68"/>
      <c r="AH193" s="6"/>
      <c r="AI193" s="43"/>
      <c r="AJ193" s="68">
        <f>TABL1234[[#This Row],[(A/B TOT) AJD]]-TABL1234[[#This Row],[BER_ IN]]</f>
        <v>0</v>
      </c>
      <c r="AK193" s="43"/>
      <c r="AL193" s="43"/>
      <c r="AM193" s="32"/>
      <c r="AN193" s="32">
        <f>TABL1234[[#This Row],[ (RESV. STORGE) SER]]/10</f>
        <v>0</v>
      </c>
      <c r="AO193" s="68"/>
      <c r="AP193" s="68">
        <f>TABL1234[[#This Row],[(A/S TOT) AJD]]-TABL1234[[#This Row],[SER_ IN]]</f>
        <v>0</v>
      </c>
    </row>
    <row r="194" spans="1:42" ht="18.75" x14ac:dyDescent="0.25">
      <c r="A194" s="2">
        <v>46580</v>
      </c>
      <c r="B194" s="44"/>
      <c r="C194" s="44"/>
      <c r="D194" s="44"/>
      <c r="E194" s="44"/>
      <c r="F194" s="44"/>
      <c r="G194" s="40"/>
      <c r="H194" s="28">
        <f t="shared" ref="H194:H257" si="6">103-F194</f>
        <v>103</v>
      </c>
      <c r="I194" s="40"/>
      <c r="J194" s="44"/>
      <c r="K194" s="28">
        <f>TABL1234[[#This Row],[خط (T/B  TOT) SAR]]+TABL1234[[#This Row],[خط (S/S  TOT) SAR2]]</f>
        <v>0</v>
      </c>
      <c r="L194" s="45"/>
      <c r="M194" s="46"/>
      <c r="N194" s="46"/>
      <c r="O194" s="40"/>
      <c r="P194" s="12">
        <f>TABL1234[[#This Row],[خط (S/S  TOT) SAR2]]-TABL1234[[#This Row],[(S/S TOT) AJD]]</f>
        <v>0</v>
      </c>
      <c r="Q194" s="40"/>
      <c r="R194" s="12">
        <f>TABL1234[[#This Row],[خط (T/B  TOT) SAR]]-TABL1234[[#This Row],[(T/B TOT) AJD]]</f>
        <v>0</v>
      </c>
      <c r="S194" s="12">
        <f>TABL1234[[#This Row],[الفرق بين بداية ونهاية خط  T/B]]+TABL1234[[#This Row],[الفرق بين بداية ونهاية خط  S/S]]</f>
        <v>0</v>
      </c>
      <c r="T194" s="12">
        <f>TABL1234[[#This Row],[(S/S TOT) AJD]]+TABL1234[[#This Row],[(T/B TOT) AJD]]</f>
        <v>0</v>
      </c>
      <c r="U194" s="44"/>
      <c r="V194" s="44"/>
      <c r="W194" s="12">
        <f>TABL1234[[#This Row],[(A/B TOT) AJD]]+TABL1234[[#This Row],[(A/S TOT) AJD]]</f>
        <v>0</v>
      </c>
      <c r="X194" s="12">
        <f>TABL1234[[#This Row],[( S/S+T/B) AJD]]-TABL1234[[#This Row],[(A/B + A/S) AJD]]</f>
        <v>0</v>
      </c>
      <c r="Y194" s="44"/>
      <c r="Z194" s="45"/>
      <c r="AA194" s="3">
        <f>TABL1234[[#This Row],[(RESV. STORGE) AJD]]/10</f>
        <v>0</v>
      </c>
      <c r="AB194" s="3">
        <f t="shared" si="5"/>
        <v>0</v>
      </c>
      <c r="AC194" s="5"/>
      <c r="AD194" s="40">
        <f>TABL1234[[#This Row],[( S/S+T/B) AJD]]-(TABL1234[[#This Row],[(A/B + A/S) AJD]]+(TABL1234[[#This Row],[(STORGE DIFF.) AJD]]*1000)+TABL1234[[#This Row],[البخر  AJD]])</f>
        <v>0</v>
      </c>
      <c r="AE194" s="44"/>
      <c r="AF194" s="45"/>
      <c r="AG194" s="45"/>
      <c r="AH194" s="6"/>
      <c r="AI194" s="45"/>
      <c r="AJ194" s="45">
        <f>TABL1234[[#This Row],[(A/B TOT) AJD]]-TABL1234[[#This Row],[BER_ IN]]</f>
        <v>0</v>
      </c>
      <c r="AK194" s="45"/>
      <c r="AL194" s="45"/>
      <c r="AM194" s="32"/>
      <c r="AN194" s="32">
        <f>TABL1234[[#This Row],[ (RESV. STORGE) SER]]/10</f>
        <v>0</v>
      </c>
      <c r="AO194" s="68"/>
      <c r="AP194" s="68">
        <f>TABL1234[[#This Row],[(A/S TOT) AJD]]-TABL1234[[#This Row],[SER_ IN]]</f>
        <v>0</v>
      </c>
    </row>
    <row r="195" spans="1:42" ht="18.75" x14ac:dyDescent="0.25">
      <c r="A195" s="2">
        <v>46581</v>
      </c>
      <c r="B195" s="41"/>
      <c r="C195" s="41"/>
      <c r="D195" s="41"/>
      <c r="E195" s="41"/>
      <c r="F195" s="41"/>
      <c r="G195" s="39"/>
      <c r="H195" s="28">
        <f t="shared" si="6"/>
        <v>103</v>
      </c>
      <c r="I195" s="39"/>
      <c r="J195" s="39"/>
      <c r="K195" s="28">
        <f>TABL1234[[#This Row],[خط (T/B  TOT) SAR]]+TABL1234[[#This Row],[خط (S/S  TOT) SAR2]]</f>
        <v>0</v>
      </c>
      <c r="L195" s="41"/>
      <c r="M195" s="42"/>
      <c r="N195" s="42"/>
      <c r="O195" s="39"/>
      <c r="P195" s="12">
        <f>TABL1234[[#This Row],[خط (S/S  TOT) SAR2]]-TABL1234[[#This Row],[(S/S TOT) AJD]]</f>
        <v>0</v>
      </c>
      <c r="Q195" s="39"/>
      <c r="R195" s="12">
        <f>TABL1234[[#This Row],[خط (T/B  TOT) SAR]]-TABL1234[[#This Row],[(T/B TOT) AJD]]</f>
        <v>0</v>
      </c>
      <c r="S195" s="12">
        <f>TABL1234[[#This Row],[الفرق بين بداية ونهاية خط  T/B]]+TABL1234[[#This Row],[الفرق بين بداية ونهاية خط  S/S]]</f>
        <v>0</v>
      </c>
      <c r="T195" s="12">
        <f>TABL1234[[#This Row],[(S/S TOT) AJD]]+TABL1234[[#This Row],[(T/B TOT) AJD]]</f>
        <v>0</v>
      </c>
      <c r="U195" s="41"/>
      <c r="V195" s="41"/>
      <c r="W195" s="12">
        <f>TABL1234[[#This Row],[(A/B TOT) AJD]]+TABL1234[[#This Row],[(A/S TOT) AJD]]</f>
        <v>0</v>
      </c>
      <c r="X195" s="12">
        <f>TABL1234[[#This Row],[( S/S+T/B) AJD]]-TABL1234[[#This Row],[(A/B + A/S) AJD]]</f>
        <v>0</v>
      </c>
      <c r="Y195" s="41"/>
      <c r="Z195" s="43"/>
      <c r="AA195" s="3">
        <f>TABL1234[[#This Row],[(RESV. STORGE) AJD]]/10</f>
        <v>0</v>
      </c>
      <c r="AB195" s="3">
        <f t="shared" si="5"/>
        <v>0</v>
      </c>
      <c r="AC195" s="5"/>
      <c r="AD195" s="39">
        <f>TABL1234[[#This Row],[( S/S+T/B) AJD]]-(TABL1234[[#This Row],[(A/B + A/S) AJD]]+(TABL1234[[#This Row],[(STORGE DIFF.) AJD]]*1000)+TABL1234[[#This Row],[البخر  AJD]])</f>
        <v>0</v>
      </c>
      <c r="AE195" s="41"/>
      <c r="AF195" s="43"/>
      <c r="AG195" s="43"/>
      <c r="AH195" s="6"/>
      <c r="AI195" s="43"/>
      <c r="AJ195" s="43">
        <f>TABL1234[[#This Row],[(A/B TOT) AJD]]-TABL1234[[#This Row],[BER_ IN]]</f>
        <v>0</v>
      </c>
      <c r="AK195" s="43"/>
      <c r="AL195" s="43"/>
      <c r="AM195" s="32"/>
      <c r="AN195" s="32">
        <f>TABL1234[[#This Row],[ (RESV. STORGE) SER]]/10</f>
        <v>0</v>
      </c>
      <c r="AO195" s="68"/>
      <c r="AP195" s="68">
        <f>TABL1234[[#This Row],[(A/S TOT) AJD]]-TABL1234[[#This Row],[SER_ IN]]</f>
        <v>0</v>
      </c>
    </row>
    <row r="196" spans="1:42" ht="18.75" x14ac:dyDescent="0.25">
      <c r="A196" s="2">
        <v>46582</v>
      </c>
      <c r="B196" s="44"/>
      <c r="C196" s="44"/>
      <c r="D196" s="44"/>
      <c r="E196" s="44"/>
      <c r="F196" s="44"/>
      <c r="G196" s="40"/>
      <c r="H196" s="28">
        <f t="shared" si="6"/>
        <v>103</v>
      </c>
      <c r="I196" s="40"/>
      <c r="J196" s="44"/>
      <c r="K196" s="28">
        <f>TABL1234[[#This Row],[خط (T/B  TOT) SAR]]+TABL1234[[#This Row],[خط (S/S  TOT) SAR2]]</f>
        <v>0</v>
      </c>
      <c r="L196" s="45"/>
      <c r="M196" s="46"/>
      <c r="N196" s="46"/>
      <c r="O196" s="40"/>
      <c r="P196" s="12">
        <f>TABL1234[[#This Row],[خط (S/S  TOT) SAR2]]-TABL1234[[#This Row],[(S/S TOT) AJD]]</f>
        <v>0</v>
      </c>
      <c r="Q196" s="40"/>
      <c r="R196" s="12">
        <f>TABL1234[[#This Row],[خط (T/B  TOT) SAR]]-TABL1234[[#This Row],[(T/B TOT) AJD]]</f>
        <v>0</v>
      </c>
      <c r="S196" s="12">
        <f>TABL1234[[#This Row],[الفرق بين بداية ونهاية خط  T/B]]+TABL1234[[#This Row],[الفرق بين بداية ونهاية خط  S/S]]</f>
        <v>0</v>
      </c>
      <c r="T196" s="12">
        <f>TABL1234[[#This Row],[(S/S TOT) AJD]]+TABL1234[[#This Row],[(T/B TOT) AJD]]</f>
        <v>0</v>
      </c>
      <c r="U196" s="44"/>
      <c r="V196" s="44"/>
      <c r="W196" s="12">
        <f>TABL1234[[#This Row],[(A/B TOT) AJD]]+TABL1234[[#This Row],[(A/S TOT) AJD]]</f>
        <v>0</v>
      </c>
      <c r="X196" s="12">
        <f>TABL1234[[#This Row],[( S/S+T/B) AJD]]-TABL1234[[#This Row],[(A/B + A/S) AJD]]</f>
        <v>0</v>
      </c>
      <c r="Y196" s="44"/>
      <c r="Z196" s="45"/>
      <c r="AA196" s="3">
        <f>TABL1234[[#This Row],[(RESV. STORGE) AJD]]/10</f>
        <v>0</v>
      </c>
      <c r="AB196" s="3">
        <f t="shared" ref="AB196:AB259" si="7">(Z196-Z195)/1000</f>
        <v>0</v>
      </c>
      <c r="AC196" s="5"/>
      <c r="AD196" s="40">
        <f>TABL1234[[#This Row],[( S/S+T/B) AJD]]-(TABL1234[[#This Row],[(A/B + A/S) AJD]]+(TABL1234[[#This Row],[(STORGE DIFF.) AJD]]*1000)+TABL1234[[#This Row],[البخر  AJD]])</f>
        <v>0</v>
      </c>
      <c r="AE196" s="44"/>
      <c r="AF196" s="45"/>
      <c r="AG196" s="45"/>
      <c r="AH196" s="6"/>
      <c r="AI196" s="45"/>
      <c r="AJ196" s="45">
        <f>TABL1234[[#This Row],[(A/B TOT) AJD]]-TABL1234[[#This Row],[BER_ IN]]</f>
        <v>0</v>
      </c>
      <c r="AK196" s="45"/>
      <c r="AL196" s="45"/>
      <c r="AM196" s="32"/>
      <c r="AN196" s="32">
        <f>TABL1234[[#This Row],[ (RESV. STORGE) SER]]/10</f>
        <v>0</v>
      </c>
      <c r="AO196" s="68"/>
      <c r="AP196" s="68">
        <f>TABL1234[[#This Row],[(A/S TOT) AJD]]-TABL1234[[#This Row],[SER_ IN]]</f>
        <v>0</v>
      </c>
    </row>
    <row r="197" spans="1:42" ht="18.75" x14ac:dyDescent="0.25">
      <c r="A197" s="2">
        <v>46583</v>
      </c>
      <c r="B197" s="41"/>
      <c r="C197" s="41"/>
      <c r="D197" s="41"/>
      <c r="E197" s="41"/>
      <c r="F197" s="41"/>
      <c r="G197" s="39"/>
      <c r="H197" s="28">
        <f t="shared" si="6"/>
        <v>103</v>
      </c>
      <c r="I197" s="39"/>
      <c r="J197" s="39"/>
      <c r="K197" s="28">
        <f>TABL1234[[#This Row],[خط (T/B  TOT) SAR]]+TABL1234[[#This Row],[خط (S/S  TOT) SAR2]]</f>
        <v>0</v>
      </c>
      <c r="L197" s="41"/>
      <c r="M197" s="42"/>
      <c r="N197" s="42"/>
      <c r="O197" s="39"/>
      <c r="P197" s="12">
        <f>TABL1234[[#This Row],[خط (S/S  TOT) SAR2]]-TABL1234[[#This Row],[(S/S TOT) AJD]]</f>
        <v>0</v>
      </c>
      <c r="Q197" s="39"/>
      <c r="R197" s="12">
        <f>TABL1234[[#This Row],[خط (T/B  TOT) SAR]]-TABL1234[[#This Row],[(T/B TOT) AJD]]</f>
        <v>0</v>
      </c>
      <c r="S197" s="12">
        <f>TABL1234[[#This Row],[الفرق بين بداية ونهاية خط  T/B]]+TABL1234[[#This Row],[الفرق بين بداية ونهاية خط  S/S]]</f>
        <v>0</v>
      </c>
      <c r="T197" s="12">
        <f>TABL1234[[#This Row],[(S/S TOT) AJD]]+TABL1234[[#This Row],[(T/B TOT) AJD]]</f>
        <v>0</v>
      </c>
      <c r="U197" s="41"/>
      <c r="V197" s="41"/>
      <c r="W197" s="12">
        <f>TABL1234[[#This Row],[(A/B TOT) AJD]]+TABL1234[[#This Row],[(A/S TOT) AJD]]</f>
        <v>0</v>
      </c>
      <c r="X197" s="12">
        <f>TABL1234[[#This Row],[( S/S+T/B) AJD]]-TABL1234[[#This Row],[(A/B + A/S) AJD]]</f>
        <v>0</v>
      </c>
      <c r="Y197" s="41"/>
      <c r="Z197" s="43"/>
      <c r="AA197" s="3">
        <f>TABL1234[[#This Row],[(RESV. STORGE) AJD]]/10</f>
        <v>0</v>
      </c>
      <c r="AB197" s="3">
        <f t="shared" si="7"/>
        <v>0</v>
      </c>
      <c r="AC197" s="5"/>
      <c r="AD197" s="39">
        <f>TABL1234[[#This Row],[( S/S+T/B) AJD]]-(TABL1234[[#This Row],[(A/B + A/S) AJD]]+(TABL1234[[#This Row],[(STORGE DIFF.) AJD]]*1000)+TABL1234[[#This Row],[البخر  AJD]])</f>
        <v>0</v>
      </c>
      <c r="AE197" s="41"/>
      <c r="AF197" s="43"/>
      <c r="AG197" s="43"/>
      <c r="AH197" s="6"/>
      <c r="AI197" s="43"/>
      <c r="AJ197" s="43">
        <f>TABL1234[[#This Row],[(A/B TOT) AJD]]-TABL1234[[#This Row],[BER_ IN]]</f>
        <v>0</v>
      </c>
      <c r="AK197" s="43"/>
      <c r="AL197" s="43"/>
      <c r="AM197" s="32"/>
      <c r="AN197" s="32">
        <f>TABL1234[[#This Row],[ (RESV. STORGE) SER]]/10</f>
        <v>0</v>
      </c>
      <c r="AO197" s="68"/>
      <c r="AP197" s="68">
        <f>TABL1234[[#This Row],[(A/S TOT) AJD]]-TABL1234[[#This Row],[SER_ IN]]</f>
        <v>0</v>
      </c>
    </row>
    <row r="198" spans="1:42" ht="18.75" x14ac:dyDescent="0.25">
      <c r="A198" s="2">
        <v>46584</v>
      </c>
      <c r="B198" s="44"/>
      <c r="C198" s="44"/>
      <c r="D198" s="44"/>
      <c r="E198" s="44"/>
      <c r="F198" s="44"/>
      <c r="G198" s="40"/>
      <c r="H198" s="28">
        <f t="shared" si="6"/>
        <v>103</v>
      </c>
      <c r="I198" s="40"/>
      <c r="J198" s="44"/>
      <c r="K198" s="28">
        <f>TABL1234[[#This Row],[خط (T/B  TOT) SAR]]+TABL1234[[#This Row],[خط (S/S  TOT) SAR2]]</f>
        <v>0</v>
      </c>
      <c r="L198" s="45"/>
      <c r="M198" s="46"/>
      <c r="N198" s="46"/>
      <c r="O198" s="40"/>
      <c r="P198" s="12">
        <f>TABL1234[[#This Row],[خط (S/S  TOT) SAR2]]-TABL1234[[#This Row],[(S/S TOT) AJD]]</f>
        <v>0</v>
      </c>
      <c r="Q198" s="40"/>
      <c r="R198" s="12">
        <f>TABL1234[[#This Row],[خط (T/B  TOT) SAR]]-TABL1234[[#This Row],[(T/B TOT) AJD]]</f>
        <v>0</v>
      </c>
      <c r="S198" s="12">
        <f>TABL1234[[#This Row],[الفرق بين بداية ونهاية خط  T/B]]+TABL1234[[#This Row],[الفرق بين بداية ونهاية خط  S/S]]</f>
        <v>0</v>
      </c>
      <c r="T198" s="12">
        <f>TABL1234[[#This Row],[(S/S TOT) AJD]]+TABL1234[[#This Row],[(T/B TOT) AJD]]</f>
        <v>0</v>
      </c>
      <c r="U198" s="44"/>
      <c r="V198" s="44"/>
      <c r="W198" s="12">
        <f>TABL1234[[#This Row],[(A/B TOT) AJD]]+TABL1234[[#This Row],[(A/S TOT) AJD]]</f>
        <v>0</v>
      </c>
      <c r="X198" s="12">
        <f>TABL1234[[#This Row],[( S/S+T/B) AJD]]-TABL1234[[#This Row],[(A/B + A/S) AJD]]</f>
        <v>0</v>
      </c>
      <c r="Y198" s="44"/>
      <c r="Z198" s="45"/>
      <c r="AA198" s="3">
        <f>TABL1234[[#This Row],[(RESV. STORGE) AJD]]/10</f>
        <v>0</v>
      </c>
      <c r="AB198" s="3">
        <f t="shared" si="7"/>
        <v>0</v>
      </c>
      <c r="AC198" s="5"/>
      <c r="AD198" s="40">
        <f>TABL1234[[#This Row],[( S/S+T/B) AJD]]-(TABL1234[[#This Row],[(A/B + A/S) AJD]]+(TABL1234[[#This Row],[(STORGE DIFF.) AJD]]*1000)+TABL1234[[#This Row],[البخر  AJD]])</f>
        <v>0</v>
      </c>
      <c r="AE198" s="44"/>
      <c r="AF198" s="45"/>
      <c r="AG198" s="45"/>
      <c r="AH198" s="6"/>
      <c r="AI198" s="45"/>
      <c r="AJ198" s="45">
        <f>TABL1234[[#This Row],[(A/B TOT) AJD]]-TABL1234[[#This Row],[BER_ IN]]</f>
        <v>0</v>
      </c>
      <c r="AK198" s="45"/>
      <c r="AL198" s="45"/>
      <c r="AM198" s="32"/>
      <c r="AN198" s="32">
        <f>TABL1234[[#This Row],[ (RESV. STORGE) SER]]/10</f>
        <v>0</v>
      </c>
      <c r="AO198" s="68"/>
      <c r="AP198" s="68">
        <f>TABL1234[[#This Row],[(A/S TOT) AJD]]-TABL1234[[#This Row],[SER_ IN]]</f>
        <v>0</v>
      </c>
    </row>
    <row r="199" spans="1:42" ht="18.75" x14ac:dyDescent="0.25">
      <c r="A199" s="2">
        <v>46585</v>
      </c>
      <c r="B199" s="41"/>
      <c r="C199" s="41"/>
      <c r="D199" s="41"/>
      <c r="E199" s="41"/>
      <c r="F199" s="41"/>
      <c r="G199" s="39"/>
      <c r="H199" s="28">
        <f t="shared" si="6"/>
        <v>103</v>
      </c>
      <c r="I199" s="39"/>
      <c r="J199" s="39"/>
      <c r="K199" s="28">
        <f>TABL1234[[#This Row],[خط (T/B  TOT) SAR]]+TABL1234[[#This Row],[خط (S/S  TOT) SAR2]]</f>
        <v>0</v>
      </c>
      <c r="L199" s="41"/>
      <c r="M199" s="42"/>
      <c r="N199" s="42"/>
      <c r="O199" s="39"/>
      <c r="P199" s="12">
        <f>TABL1234[[#This Row],[خط (S/S  TOT) SAR2]]-TABL1234[[#This Row],[(S/S TOT) AJD]]</f>
        <v>0</v>
      </c>
      <c r="Q199" s="39"/>
      <c r="R199" s="12">
        <f>TABL1234[[#This Row],[خط (T/B  TOT) SAR]]-TABL1234[[#This Row],[(T/B TOT) AJD]]</f>
        <v>0</v>
      </c>
      <c r="S199" s="12">
        <f>TABL1234[[#This Row],[الفرق بين بداية ونهاية خط  T/B]]+TABL1234[[#This Row],[الفرق بين بداية ونهاية خط  S/S]]</f>
        <v>0</v>
      </c>
      <c r="T199" s="12">
        <f>TABL1234[[#This Row],[(S/S TOT) AJD]]+TABL1234[[#This Row],[(T/B TOT) AJD]]</f>
        <v>0</v>
      </c>
      <c r="U199" s="41"/>
      <c r="V199" s="41"/>
      <c r="W199" s="12">
        <f>TABL1234[[#This Row],[(A/B TOT) AJD]]+TABL1234[[#This Row],[(A/S TOT) AJD]]</f>
        <v>0</v>
      </c>
      <c r="X199" s="12">
        <f>TABL1234[[#This Row],[( S/S+T/B) AJD]]-TABL1234[[#This Row],[(A/B + A/S) AJD]]</f>
        <v>0</v>
      </c>
      <c r="Y199" s="41"/>
      <c r="Z199" s="43"/>
      <c r="AA199" s="3">
        <f>TABL1234[[#This Row],[(RESV. STORGE) AJD]]/10</f>
        <v>0</v>
      </c>
      <c r="AB199" s="3">
        <f t="shared" si="7"/>
        <v>0</v>
      </c>
      <c r="AC199" s="5"/>
      <c r="AD199" s="39">
        <f>TABL1234[[#This Row],[( S/S+T/B) AJD]]-(TABL1234[[#This Row],[(A/B + A/S) AJD]]+(TABL1234[[#This Row],[(STORGE DIFF.) AJD]]*1000)+TABL1234[[#This Row],[البخر  AJD]])</f>
        <v>0</v>
      </c>
      <c r="AE199" s="41"/>
      <c r="AF199" s="43"/>
      <c r="AG199" s="43"/>
      <c r="AH199" s="6"/>
      <c r="AI199" s="43"/>
      <c r="AJ199" s="43">
        <f>TABL1234[[#This Row],[(A/B TOT) AJD]]-TABL1234[[#This Row],[BER_ IN]]</f>
        <v>0</v>
      </c>
      <c r="AK199" s="43"/>
      <c r="AL199" s="43"/>
      <c r="AM199" s="32"/>
      <c r="AN199" s="32">
        <f>TABL1234[[#This Row],[ (RESV. STORGE) SER]]/10</f>
        <v>0</v>
      </c>
      <c r="AO199" s="68"/>
      <c r="AP199" s="68">
        <f>TABL1234[[#This Row],[(A/S TOT) AJD]]-TABL1234[[#This Row],[SER_ IN]]</f>
        <v>0</v>
      </c>
    </row>
    <row r="200" spans="1:42" ht="18.75" x14ac:dyDescent="0.25">
      <c r="A200" s="2">
        <v>46586</v>
      </c>
      <c r="B200" s="44"/>
      <c r="C200" s="44"/>
      <c r="D200" s="44"/>
      <c r="E200" s="44"/>
      <c r="F200" s="44"/>
      <c r="G200" s="40"/>
      <c r="H200" s="28">
        <f t="shared" si="6"/>
        <v>103</v>
      </c>
      <c r="I200" s="40"/>
      <c r="J200" s="44"/>
      <c r="K200" s="28">
        <f>TABL1234[[#This Row],[خط (T/B  TOT) SAR]]+TABL1234[[#This Row],[خط (S/S  TOT) SAR2]]</f>
        <v>0</v>
      </c>
      <c r="L200" s="45"/>
      <c r="M200" s="46"/>
      <c r="N200" s="46"/>
      <c r="O200" s="40"/>
      <c r="P200" s="12">
        <f>TABL1234[[#This Row],[خط (S/S  TOT) SAR2]]-TABL1234[[#This Row],[(S/S TOT) AJD]]</f>
        <v>0</v>
      </c>
      <c r="Q200" s="40"/>
      <c r="R200" s="12">
        <f>TABL1234[[#This Row],[خط (T/B  TOT) SAR]]-TABL1234[[#This Row],[(T/B TOT) AJD]]</f>
        <v>0</v>
      </c>
      <c r="S200" s="12">
        <f>TABL1234[[#This Row],[الفرق بين بداية ونهاية خط  T/B]]+TABL1234[[#This Row],[الفرق بين بداية ونهاية خط  S/S]]</f>
        <v>0</v>
      </c>
      <c r="T200" s="12">
        <f>TABL1234[[#This Row],[(S/S TOT) AJD]]+TABL1234[[#This Row],[(T/B TOT) AJD]]</f>
        <v>0</v>
      </c>
      <c r="U200" s="44"/>
      <c r="V200" s="44"/>
      <c r="W200" s="12">
        <f>TABL1234[[#This Row],[(A/B TOT) AJD]]+TABL1234[[#This Row],[(A/S TOT) AJD]]</f>
        <v>0</v>
      </c>
      <c r="X200" s="12">
        <f>TABL1234[[#This Row],[( S/S+T/B) AJD]]-TABL1234[[#This Row],[(A/B + A/S) AJD]]</f>
        <v>0</v>
      </c>
      <c r="Y200" s="44"/>
      <c r="Z200" s="45"/>
      <c r="AA200" s="3">
        <f>TABL1234[[#This Row],[(RESV. STORGE) AJD]]/10</f>
        <v>0</v>
      </c>
      <c r="AB200" s="3">
        <f t="shared" si="7"/>
        <v>0</v>
      </c>
      <c r="AC200" s="5"/>
      <c r="AD200" s="40">
        <f>TABL1234[[#This Row],[( S/S+T/B) AJD]]-(TABL1234[[#This Row],[(A/B + A/S) AJD]]+(TABL1234[[#This Row],[(STORGE DIFF.) AJD]]*1000)+TABL1234[[#This Row],[البخر  AJD]])</f>
        <v>0</v>
      </c>
      <c r="AE200" s="44"/>
      <c r="AF200" s="45"/>
      <c r="AG200" s="45"/>
      <c r="AH200" s="6"/>
      <c r="AI200" s="45"/>
      <c r="AJ200" s="45">
        <f>TABL1234[[#This Row],[(A/B TOT) AJD]]-TABL1234[[#This Row],[BER_ IN]]</f>
        <v>0</v>
      </c>
      <c r="AK200" s="45"/>
      <c r="AL200" s="45"/>
      <c r="AM200" s="32"/>
      <c r="AN200" s="32">
        <f>TABL1234[[#This Row],[ (RESV. STORGE) SER]]/10</f>
        <v>0</v>
      </c>
      <c r="AO200" s="68"/>
      <c r="AP200" s="68">
        <f>TABL1234[[#This Row],[(A/S TOT) AJD]]-TABL1234[[#This Row],[SER_ IN]]</f>
        <v>0</v>
      </c>
    </row>
    <row r="201" spans="1:42" ht="18.75" x14ac:dyDescent="0.25">
      <c r="A201" s="2">
        <v>46587</v>
      </c>
      <c r="B201" s="41"/>
      <c r="C201" s="41"/>
      <c r="D201" s="41"/>
      <c r="E201" s="41"/>
      <c r="F201" s="41"/>
      <c r="G201" s="39"/>
      <c r="H201" s="28">
        <f t="shared" si="6"/>
        <v>103</v>
      </c>
      <c r="I201" s="39"/>
      <c r="J201" s="39"/>
      <c r="K201" s="28">
        <f>TABL1234[[#This Row],[خط (T/B  TOT) SAR]]+TABL1234[[#This Row],[خط (S/S  TOT) SAR2]]</f>
        <v>0</v>
      </c>
      <c r="L201" s="41"/>
      <c r="M201" s="42"/>
      <c r="N201" s="42"/>
      <c r="O201" s="39"/>
      <c r="P201" s="12">
        <f>TABL1234[[#This Row],[خط (S/S  TOT) SAR2]]-TABL1234[[#This Row],[(S/S TOT) AJD]]</f>
        <v>0</v>
      </c>
      <c r="Q201" s="39"/>
      <c r="R201" s="12">
        <f>TABL1234[[#This Row],[خط (T/B  TOT) SAR]]-TABL1234[[#This Row],[(T/B TOT) AJD]]</f>
        <v>0</v>
      </c>
      <c r="S201" s="12">
        <f>TABL1234[[#This Row],[الفرق بين بداية ونهاية خط  T/B]]+TABL1234[[#This Row],[الفرق بين بداية ونهاية خط  S/S]]</f>
        <v>0</v>
      </c>
      <c r="T201" s="12">
        <f>TABL1234[[#This Row],[(S/S TOT) AJD]]+TABL1234[[#This Row],[(T/B TOT) AJD]]</f>
        <v>0</v>
      </c>
      <c r="U201" s="41"/>
      <c r="V201" s="41"/>
      <c r="W201" s="12">
        <f>TABL1234[[#This Row],[(A/B TOT) AJD]]+TABL1234[[#This Row],[(A/S TOT) AJD]]</f>
        <v>0</v>
      </c>
      <c r="X201" s="12">
        <f>TABL1234[[#This Row],[( S/S+T/B) AJD]]-TABL1234[[#This Row],[(A/B + A/S) AJD]]</f>
        <v>0</v>
      </c>
      <c r="Y201" s="41"/>
      <c r="Z201" s="43"/>
      <c r="AA201" s="3">
        <f>TABL1234[[#This Row],[(RESV. STORGE) AJD]]/10</f>
        <v>0</v>
      </c>
      <c r="AB201" s="3">
        <f t="shared" si="7"/>
        <v>0</v>
      </c>
      <c r="AC201" s="5"/>
      <c r="AD201" s="39">
        <f>TABL1234[[#This Row],[( S/S+T/B) AJD]]-(TABL1234[[#This Row],[(A/B + A/S) AJD]]+(TABL1234[[#This Row],[(STORGE DIFF.) AJD]]*1000)+TABL1234[[#This Row],[البخر  AJD]])</f>
        <v>0</v>
      </c>
      <c r="AE201" s="41"/>
      <c r="AF201" s="43"/>
      <c r="AG201" s="43"/>
      <c r="AH201" s="6"/>
      <c r="AI201" s="43"/>
      <c r="AJ201" s="43">
        <f>TABL1234[[#This Row],[(A/B TOT) AJD]]-TABL1234[[#This Row],[BER_ IN]]</f>
        <v>0</v>
      </c>
      <c r="AK201" s="43"/>
      <c r="AL201" s="43"/>
      <c r="AM201" s="32"/>
      <c r="AN201" s="32">
        <f>TABL1234[[#This Row],[ (RESV. STORGE) SER]]/10</f>
        <v>0</v>
      </c>
      <c r="AO201" s="68"/>
      <c r="AP201" s="68">
        <f>TABL1234[[#This Row],[(A/S TOT) AJD]]-TABL1234[[#This Row],[SER_ IN]]</f>
        <v>0</v>
      </c>
    </row>
    <row r="202" spans="1:42" ht="18.75" x14ac:dyDescent="0.25">
      <c r="A202" s="2">
        <v>46588</v>
      </c>
      <c r="B202" s="44"/>
      <c r="C202" s="44"/>
      <c r="D202" s="44"/>
      <c r="E202" s="44"/>
      <c r="F202" s="44"/>
      <c r="G202" s="40"/>
      <c r="H202" s="28">
        <f t="shared" si="6"/>
        <v>103</v>
      </c>
      <c r="I202" s="40"/>
      <c r="J202" s="44"/>
      <c r="K202" s="28">
        <f>TABL1234[[#This Row],[خط (T/B  TOT) SAR]]+TABL1234[[#This Row],[خط (S/S  TOT) SAR2]]</f>
        <v>0</v>
      </c>
      <c r="L202" s="45"/>
      <c r="M202" s="46"/>
      <c r="N202" s="46"/>
      <c r="O202" s="40"/>
      <c r="P202" s="12">
        <f>TABL1234[[#This Row],[خط (S/S  TOT) SAR2]]-TABL1234[[#This Row],[(S/S TOT) AJD]]</f>
        <v>0</v>
      </c>
      <c r="Q202" s="40"/>
      <c r="R202" s="12">
        <f>TABL1234[[#This Row],[خط (T/B  TOT) SAR]]-TABL1234[[#This Row],[(T/B TOT) AJD]]</f>
        <v>0</v>
      </c>
      <c r="S202" s="12">
        <f>TABL1234[[#This Row],[الفرق بين بداية ونهاية خط  T/B]]+TABL1234[[#This Row],[الفرق بين بداية ونهاية خط  S/S]]</f>
        <v>0</v>
      </c>
      <c r="T202" s="12">
        <f>TABL1234[[#This Row],[(S/S TOT) AJD]]+TABL1234[[#This Row],[(T/B TOT) AJD]]</f>
        <v>0</v>
      </c>
      <c r="U202" s="44"/>
      <c r="V202" s="44"/>
      <c r="W202" s="12">
        <f>TABL1234[[#This Row],[(A/B TOT) AJD]]+TABL1234[[#This Row],[(A/S TOT) AJD]]</f>
        <v>0</v>
      </c>
      <c r="X202" s="12">
        <f>TABL1234[[#This Row],[( S/S+T/B) AJD]]-TABL1234[[#This Row],[(A/B + A/S) AJD]]</f>
        <v>0</v>
      </c>
      <c r="Y202" s="44"/>
      <c r="Z202" s="45"/>
      <c r="AA202" s="3">
        <f>TABL1234[[#This Row],[(RESV. STORGE) AJD]]/10</f>
        <v>0</v>
      </c>
      <c r="AB202" s="3">
        <f t="shared" si="7"/>
        <v>0</v>
      </c>
      <c r="AC202" s="5"/>
      <c r="AD202" s="40">
        <f>TABL1234[[#This Row],[( S/S+T/B) AJD]]-(TABL1234[[#This Row],[(A/B + A/S) AJD]]+(TABL1234[[#This Row],[(STORGE DIFF.) AJD]]*1000)+TABL1234[[#This Row],[البخر  AJD]])</f>
        <v>0</v>
      </c>
      <c r="AE202" s="44"/>
      <c r="AF202" s="45"/>
      <c r="AG202" s="45"/>
      <c r="AH202" s="6"/>
      <c r="AI202" s="45"/>
      <c r="AJ202" s="45">
        <f>TABL1234[[#This Row],[(A/B TOT) AJD]]-TABL1234[[#This Row],[BER_ IN]]</f>
        <v>0</v>
      </c>
      <c r="AK202" s="45"/>
      <c r="AL202" s="45"/>
      <c r="AM202" s="32"/>
      <c r="AN202" s="32">
        <f>TABL1234[[#This Row],[ (RESV. STORGE) SER]]/10</f>
        <v>0</v>
      </c>
      <c r="AO202" s="68"/>
      <c r="AP202" s="68">
        <f>TABL1234[[#This Row],[(A/S TOT) AJD]]-TABL1234[[#This Row],[SER_ IN]]</f>
        <v>0</v>
      </c>
    </row>
    <row r="203" spans="1:42" ht="18.75" x14ac:dyDescent="0.25">
      <c r="A203" s="2">
        <v>46589</v>
      </c>
      <c r="B203" s="41"/>
      <c r="C203" s="41"/>
      <c r="D203" s="41"/>
      <c r="E203" s="41"/>
      <c r="F203" s="41"/>
      <c r="G203" s="39"/>
      <c r="H203" s="28">
        <f t="shared" si="6"/>
        <v>103</v>
      </c>
      <c r="I203" s="39"/>
      <c r="J203" s="39"/>
      <c r="K203" s="28">
        <f>TABL1234[[#This Row],[خط (T/B  TOT) SAR]]+TABL1234[[#This Row],[خط (S/S  TOT) SAR2]]</f>
        <v>0</v>
      </c>
      <c r="L203" s="41"/>
      <c r="M203" s="42"/>
      <c r="N203" s="42"/>
      <c r="O203" s="39"/>
      <c r="P203" s="12">
        <f>TABL1234[[#This Row],[خط (S/S  TOT) SAR2]]-TABL1234[[#This Row],[(S/S TOT) AJD]]</f>
        <v>0</v>
      </c>
      <c r="Q203" s="39"/>
      <c r="R203" s="12">
        <f>TABL1234[[#This Row],[خط (T/B  TOT) SAR]]-TABL1234[[#This Row],[(T/B TOT) AJD]]</f>
        <v>0</v>
      </c>
      <c r="S203" s="12">
        <f>TABL1234[[#This Row],[الفرق بين بداية ونهاية خط  T/B]]+TABL1234[[#This Row],[الفرق بين بداية ونهاية خط  S/S]]</f>
        <v>0</v>
      </c>
      <c r="T203" s="12">
        <f>TABL1234[[#This Row],[(S/S TOT) AJD]]+TABL1234[[#This Row],[(T/B TOT) AJD]]</f>
        <v>0</v>
      </c>
      <c r="U203" s="41"/>
      <c r="V203" s="41"/>
      <c r="W203" s="12">
        <f>TABL1234[[#This Row],[(A/B TOT) AJD]]+TABL1234[[#This Row],[(A/S TOT) AJD]]</f>
        <v>0</v>
      </c>
      <c r="X203" s="12">
        <f>TABL1234[[#This Row],[( S/S+T/B) AJD]]-TABL1234[[#This Row],[(A/B + A/S) AJD]]</f>
        <v>0</v>
      </c>
      <c r="Y203" s="41"/>
      <c r="Z203" s="43"/>
      <c r="AA203" s="3">
        <f>TABL1234[[#This Row],[(RESV. STORGE) AJD]]/10</f>
        <v>0</v>
      </c>
      <c r="AB203" s="3">
        <f t="shared" si="7"/>
        <v>0</v>
      </c>
      <c r="AC203" s="5"/>
      <c r="AD203" s="39">
        <f>TABL1234[[#This Row],[( S/S+T/B) AJD]]-(TABL1234[[#This Row],[(A/B + A/S) AJD]]+(TABL1234[[#This Row],[(STORGE DIFF.) AJD]]*1000)+TABL1234[[#This Row],[البخر  AJD]])</f>
        <v>0</v>
      </c>
      <c r="AE203" s="41"/>
      <c r="AF203" s="43"/>
      <c r="AG203" s="43"/>
      <c r="AH203" s="6"/>
      <c r="AI203" s="43"/>
      <c r="AJ203" s="43">
        <f>TABL1234[[#This Row],[(A/B TOT) AJD]]-TABL1234[[#This Row],[BER_ IN]]</f>
        <v>0</v>
      </c>
      <c r="AK203" s="43"/>
      <c r="AL203" s="43"/>
      <c r="AM203" s="32"/>
      <c r="AN203" s="32">
        <f>TABL1234[[#This Row],[ (RESV. STORGE) SER]]/10</f>
        <v>0</v>
      </c>
      <c r="AO203" s="68"/>
      <c r="AP203" s="68">
        <f>TABL1234[[#This Row],[(A/S TOT) AJD]]-TABL1234[[#This Row],[SER_ IN]]</f>
        <v>0</v>
      </c>
    </row>
    <row r="204" spans="1:42" ht="18.75" x14ac:dyDescent="0.25">
      <c r="A204" s="2">
        <v>46590</v>
      </c>
      <c r="B204" s="44"/>
      <c r="C204" s="44"/>
      <c r="D204" s="44"/>
      <c r="E204" s="44"/>
      <c r="F204" s="44"/>
      <c r="G204" s="40"/>
      <c r="H204" s="28">
        <f t="shared" si="6"/>
        <v>103</v>
      </c>
      <c r="I204" s="40"/>
      <c r="J204" s="44"/>
      <c r="K204" s="28">
        <f>TABL1234[[#This Row],[خط (T/B  TOT) SAR]]+TABL1234[[#This Row],[خط (S/S  TOT) SAR2]]</f>
        <v>0</v>
      </c>
      <c r="L204" s="45"/>
      <c r="M204" s="46"/>
      <c r="N204" s="46"/>
      <c r="O204" s="40"/>
      <c r="P204" s="12">
        <f>TABL1234[[#This Row],[خط (S/S  TOT) SAR2]]-TABL1234[[#This Row],[(S/S TOT) AJD]]</f>
        <v>0</v>
      </c>
      <c r="Q204" s="40"/>
      <c r="R204" s="12">
        <f>TABL1234[[#This Row],[خط (T/B  TOT) SAR]]-TABL1234[[#This Row],[(T/B TOT) AJD]]</f>
        <v>0</v>
      </c>
      <c r="S204" s="12">
        <f>TABL1234[[#This Row],[الفرق بين بداية ونهاية خط  T/B]]+TABL1234[[#This Row],[الفرق بين بداية ونهاية خط  S/S]]</f>
        <v>0</v>
      </c>
      <c r="T204" s="12">
        <f>TABL1234[[#This Row],[(S/S TOT) AJD]]+TABL1234[[#This Row],[(T/B TOT) AJD]]</f>
        <v>0</v>
      </c>
      <c r="U204" s="44"/>
      <c r="V204" s="44"/>
      <c r="W204" s="12">
        <f>TABL1234[[#This Row],[(A/B TOT) AJD]]+TABL1234[[#This Row],[(A/S TOT) AJD]]</f>
        <v>0</v>
      </c>
      <c r="X204" s="12">
        <f>TABL1234[[#This Row],[( S/S+T/B) AJD]]-TABL1234[[#This Row],[(A/B + A/S) AJD]]</f>
        <v>0</v>
      </c>
      <c r="Y204" s="44"/>
      <c r="Z204" s="45"/>
      <c r="AA204" s="3">
        <f>TABL1234[[#This Row],[(RESV. STORGE) AJD]]/10</f>
        <v>0</v>
      </c>
      <c r="AB204" s="3">
        <f t="shared" si="7"/>
        <v>0</v>
      </c>
      <c r="AC204" s="5"/>
      <c r="AD204" s="40">
        <f>TABL1234[[#This Row],[( S/S+T/B) AJD]]-(TABL1234[[#This Row],[(A/B + A/S) AJD]]+(TABL1234[[#This Row],[(STORGE DIFF.) AJD]]*1000)+TABL1234[[#This Row],[البخر  AJD]])</f>
        <v>0</v>
      </c>
      <c r="AE204" s="44"/>
      <c r="AF204" s="45"/>
      <c r="AG204" s="45"/>
      <c r="AH204" s="6"/>
      <c r="AI204" s="45"/>
      <c r="AJ204" s="45">
        <f>TABL1234[[#This Row],[(A/B TOT) AJD]]-TABL1234[[#This Row],[BER_ IN]]</f>
        <v>0</v>
      </c>
      <c r="AK204" s="45"/>
      <c r="AL204" s="45"/>
      <c r="AM204" s="32"/>
      <c r="AN204" s="32">
        <f>TABL1234[[#This Row],[ (RESV. STORGE) SER]]/10</f>
        <v>0</v>
      </c>
      <c r="AO204" s="68"/>
      <c r="AP204" s="68">
        <f>TABL1234[[#This Row],[(A/S TOT) AJD]]-TABL1234[[#This Row],[SER_ IN]]</f>
        <v>0</v>
      </c>
    </row>
    <row r="205" spans="1:42" ht="18.75" x14ac:dyDescent="0.25">
      <c r="A205" s="2">
        <v>46591</v>
      </c>
      <c r="B205" s="41"/>
      <c r="C205" s="41"/>
      <c r="D205" s="41"/>
      <c r="E205" s="41"/>
      <c r="F205" s="41"/>
      <c r="G205" s="39"/>
      <c r="H205" s="28">
        <f t="shared" si="6"/>
        <v>103</v>
      </c>
      <c r="I205" s="39"/>
      <c r="J205" s="39"/>
      <c r="K205" s="28">
        <f>TABL1234[[#This Row],[خط (T/B  TOT) SAR]]+TABL1234[[#This Row],[خط (S/S  TOT) SAR2]]</f>
        <v>0</v>
      </c>
      <c r="L205" s="41"/>
      <c r="M205" s="42"/>
      <c r="N205" s="42"/>
      <c r="O205" s="39"/>
      <c r="P205" s="12">
        <f>TABL1234[[#This Row],[خط (S/S  TOT) SAR2]]-TABL1234[[#This Row],[(S/S TOT) AJD]]</f>
        <v>0</v>
      </c>
      <c r="Q205" s="39"/>
      <c r="R205" s="12">
        <f>TABL1234[[#This Row],[خط (T/B  TOT) SAR]]-TABL1234[[#This Row],[(T/B TOT) AJD]]</f>
        <v>0</v>
      </c>
      <c r="S205" s="12">
        <f>TABL1234[[#This Row],[الفرق بين بداية ونهاية خط  T/B]]+TABL1234[[#This Row],[الفرق بين بداية ونهاية خط  S/S]]</f>
        <v>0</v>
      </c>
      <c r="T205" s="12">
        <f>TABL1234[[#This Row],[(S/S TOT) AJD]]+TABL1234[[#This Row],[(T/B TOT) AJD]]</f>
        <v>0</v>
      </c>
      <c r="U205" s="41"/>
      <c r="V205" s="41"/>
      <c r="W205" s="12">
        <f>TABL1234[[#This Row],[(A/B TOT) AJD]]+TABL1234[[#This Row],[(A/S TOT) AJD]]</f>
        <v>0</v>
      </c>
      <c r="X205" s="12">
        <f>TABL1234[[#This Row],[( S/S+T/B) AJD]]-TABL1234[[#This Row],[(A/B + A/S) AJD]]</f>
        <v>0</v>
      </c>
      <c r="Y205" s="41"/>
      <c r="Z205" s="43"/>
      <c r="AA205" s="3">
        <f>TABL1234[[#This Row],[(RESV. STORGE) AJD]]/10</f>
        <v>0</v>
      </c>
      <c r="AB205" s="3">
        <f t="shared" si="7"/>
        <v>0</v>
      </c>
      <c r="AC205" s="5"/>
      <c r="AD205" s="39">
        <f>TABL1234[[#This Row],[( S/S+T/B) AJD]]-(TABL1234[[#This Row],[(A/B + A/S) AJD]]+(TABL1234[[#This Row],[(STORGE DIFF.) AJD]]*1000)+TABL1234[[#This Row],[البخر  AJD]])</f>
        <v>0</v>
      </c>
      <c r="AE205" s="41"/>
      <c r="AF205" s="43"/>
      <c r="AG205" s="43"/>
      <c r="AH205" s="6"/>
      <c r="AI205" s="43"/>
      <c r="AJ205" s="43">
        <f>TABL1234[[#This Row],[(A/B TOT) AJD]]-TABL1234[[#This Row],[BER_ IN]]</f>
        <v>0</v>
      </c>
      <c r="AK205" s="43"/>
      <c r="AL205" s="43"/>
      <c r="AM205" s="32"/>
      <c r="AN205" s="32">
        <f>TABL1234[[#This Row],[ (RESV. STORGE) SER]]/10</f>
        <v>0</v>
      </c>
      <c r="AO205" s="68"/>
      <c r="AP205" s="68">
        <f>TABL1234[[#This Row],[(A/S TOT) AJD]]-TABL1234[[#This Row],[SER_ IN]]</f>
        <v>0</v>
      </c>
    </row>
    <row r="206" spans="1:42" ht="18.75" x14ac:dyDescent="0.25">
      <c r="A206" s="2">
        <v>46592</v>
      </c>
      <c r="B206" s="44"/>
      <c r="C206" s="44"/>
      <c r="D206" s="44"/>
      <c r="E206" s="44"/>
      <c r="F206" s="44"/>
      <c r="G206" s="40"/>
      <c r="H206" s="28">
        <f t="shared" si="6"/>
        <v>103</v>
      </c>
      <c r="I206" s="40"/>
      <c r="J206" s="44"/>
      <c r="K206" s="28">
        <f>TABL1234[[#This Row],[خط (T/B  TOT) SAR]]+TABL1234[[#This Row],[خط (S/S  TOT) SAR2]]</f>
        <v>0</v>
      </c>
      <c r="L206" s="45"/>
      <c r="M206" s="46"/>
      <c r="N206" s="46"/>
      <c r="O206" s="40"/>
      <c r="P206" s="12">
        <f>TABL1234[[#This Row],[خط (S/S  TOT) SAR2]]-TABL1234[[#This Row],[(S/S TOT) AJD]]</f>
        <v>0</v>
      </c>
      <c r="Q206" s="45"/>
      <c r="R206" s="12">
        <f>TABL1234[[#This Row],[خط (T/B  TOT) SAR]]-TABL1234[[#This Row],[(T/B TOT) AJD]]</f>
        <v>0</v>
      </c>
      <c r="S206" s="12">
        <f>TABL1234[[#This Row],[الفرق بين بداية ونهاية خط  T/B]]+TABL1234[[#This Row],[الفرق بين بداية ونهاية خط  S/S]]</f>
        <v>0</v>
      </c>
      <c r="T206" s="12">
        <f>TABL1234[[#This Row],[(S/S TOT) AJD]]+TABL1234[[#This Row],[(T/B TOT) AJD]]</f>
        <v>0</v>
      </c>
      <c r="U206" s="44"/>
      <c r="V206" s="44"/>
      <c r="W206" s="12">
        <f>TABL1234[[#This Row],[(A/B TOT) AJD]]+TABL1234[[#This Row],[(A/S TOT) AJD]]</f>
        <v>0</v>
      </c>
      <c r="X206" s="12">
        <f>TABL1234[[#This Row],[( S/S+T/B) AJD]]-TABL1234[[#This Row],[(A/B + A/S) AJD]]</f>
        <v>0</v>
      </c>
      <c r="Y206" s="44"/>
      <c r="Z206" s="45"/>
      <c r="AA206" s="3">
        <f>TABL1234[[#This Row],[(RESV. STORGE) AJD]]/10</f>
        <v>0</v>
      </c>
      <c r="AB206" s="3">
        <f t="shared" si="7"/>
        <v>0</v>
      </c>
      <c r="AC206" s="5"/>
      <c r="AD206" s="40">
        <f>TABL1234[[#This Row],[( S/S+T/B) AJD]]-(TABL1234[[#This Row],[(A/B + A/S) AJD]]+(TABL1234[[#This Row],[(STORGE DIFF.) AJD]]*1000)+TABL1234[[#This Row],[البخر  AJD]])</f>
        <v>0</v>
      </c>
      <c r="AE206" s="44"/>
      <c r="AF206" s="45"/>
      <c r="AG206" s="45"/>
      <c r="AH206" s="6"/>
      <c r="AI206" s="45"/>
      <c r="AJ206" s="45">
        <f>TABL1234[[#This Row],[(A/B TOT) AJD]]-TABL1234[[#This Row],[BER_ IN]]</f>
        <v>0</v>
      </c>
      <c r="AK206" s="45"/>
      <c r="AL206" s="45"/>
      <c r="AM206" s="32"/>
      <c r="AN206" s="32">
        <f>TABL1234[[#This Row],[ (RESV. STORGE) SER]]/10</f>
        <v>0</v>
      </c>
      <c r="AO206" s="68"/>
      <c r="AP206" s="68">
        <f>TABL1234[[#This Row],[(A/S TOT) AJD]]-TABL1234[[#This Row],[SER_ IN]]</f>
        <v>0</v>
      </c>
    </row>
    <row r="207" spans="1:42" ht="18.75" x14ac:dyDescent="0.25">
      <c r="A207" s="2">
        <v>46593</v>
      </c>
      <c r="B207" s="41"/>
      <c r="C207" s="41"/>
      <c r="D207" s="41"/>
      <c r="E207" s="41"/>
      <c r="F207" s="41"/>
      <c r="G207" s="39"/>
      <c r="H207" s="28">
        <f t="shared" si="6"/>
        <v>103</v>
      </c>
      <c r="I207" s="39"/>
      <c r="J207" s="39"/>
      <c r="K207" s="28">
        <f>TABL1234[[#This Row],[خط (T/B  TOT) SAR]]+TABL1234[[#This Row],[خط (S/S  TOT) SAR2]]</f>
        <v>0</v>
      </c>
      <c r="L207" s="41"/>
      <c r="M207" s="42"/>
      <c r="N207" s="42"/>
      <c r="O207" s="39"/>
      <c r="P207" s="12">
        <f>TABL1234[[#This Row],[خط (S/S  TOT) SAR2]]-TABL1234[[#This Row],[(S/S TOT) AJD]]</f>
        <v>0</v>
      </c>
      <c r="Q207" s="43"/>
      <c r="R207" s="12">
        <f>TABL1234[[#This Row],[خط (T/B  TOT) SAR]]-TABL1234[[#This Row],[(T/B TOT) AJD]]</f>
        <v>0</v>
      </c>
      <c r="S207" s="12">
        <f>TABL1234[[#This Row],[الفرق بين بداية ونهاية خط  T/B]]+TABL1234[[#This Row],[الفرق بين بداية ونهاية خط  S/S]]</f>
        <v>0</v>
      </c>
      <c r="T207" s="12">
        <f>TABL1234[[#This Row],[(S/S TOT) AJD]]+TABL1234[[#This Row],[(T/B TOT) AJD]]</f>
        <v>0</v>
      </c>
      <c r="U207" s="41"/>
      <c r="V207" s="41"/>
      <c r="W207" s="12">
        <f>TABL1234[[#This Row],[(A/B TOT) AJD]]+TABL1234[[#This Row],[(A/S TOT) AJD]]</f>
        <v>0</v>
      </c>
      <c r="X207" s="12">
        <f>TABL1234[[#This Row],[( S/S+T/B) AJD]]-TABL1234[[#This Row],[(A/B + A/S) AJD]]</f>
        <v>0</v>
      </c>
      <c r="Y207" s="41"/>
      <c r="Z207" s="43"/>
      <c r="AA207" s="3">
        <f>TABL1234[[#This Row],[(RESV. STORGE) AJD]]/10</f>
        <v>0</v>
      </c>
      <c r="AB207" s="3">
        <f t="shared" si="7"/>
        <v>0</v>
      </c>
      <c r="AC207" s="5"/>
      <c r="AD207" s="39">
        <f>TABL1234[[#This Row],[( S/S+T/B) AJD]]-(TABL1234[[#This Row],[(A/B + A/S) AJD]]+(TABL1234[[#This Row],[(STORGE DIFF.) AJD]]*1000)+TABL1234[[#This Row],[البخر  AJD]])</f>
        <v>0</v>
      </c>
      <c r="AE207" s="41"/>
      <c r="AF207" s="43"/>
      <c r="AG207" s="43"/>
      <c r="AH207" s="6"/>
      <c r="AI207" s="43"/>
      <c r="AJ207" s="43">
        <f>TABL1234[[#This Row],[(A/B TOT) AJD]]-TABL1234[[#This Row],[BER_ IN]]</f>
        <v>0</v>
      </c>
      <c r="AK207" s="43"/>
      <c r="AL207" s="43"/>
      <c r="AM207" s="32"/>
      <c r="AN207" s="32">
        <f>TABL1234[[#This Row],[ (RESV. STORGE) SER]]/10</f>
        <v>0</v>
      </c>
      <c r="AO207" s="68"/>
      <c r="AP207" s="68">
        <f>TABL1234[[#This Row],[(A/S TOT) AJD]]-TABL1234[[#This Row],[SER_ IN]]</f>
        <v>0</v>
      </c>
    </row>
    <row r="208" spans="1:42" ht="18.75" x14ac:dyDescent="0.25">
      <c r="A208" s="2">
        <v>46594</v>
      </c>
      <c r="B208" s="44"/>
      <c r="C208" s="44"/>
      <c r="D208" s="44"/>
      <c r="E208" s="44"/>
      <c r="F208" s="44"/>
      <c r="G208" s="40"/>
      <c r="H208" s="28">
        <f t="shared" si="6"/>
        <v>103</v>
      </c>
      <c r="I208" s="40"/>
      <c r="J208" s="44"/>
      <c r="K208" s="28">
        <f>TABL1234[[#This Row],[خط (T/B  TOT) SAR]]+TABL1234[[#This Row],[خط (S/S  TOT) SAR2]]</f>
        <v>0</v>
      </c>
      <c r="L208" s="45"/>
      <c r="M208" s="46"/>
      <c r="N208" s="46"/>
      <c r="O208" s="40"/>
      <c r="P208" s="12">
        <f>TABL1234[[#This Row],[خط (S/S  TOT) SAR2]]-TABL1234[[#This Row],[(S/S TOT) AJD]]</f>
        <v>0</v>
      </c>
      <c r="Q208" s="45"/>
      <c r="R208" s="12">
        <f>TABL1234[[#This Row],[خط (T/B  TOT) SAR]]-TABL1234[[#This Row],[(T/B TOT) AJD]]</f>
        <v>0</v>
      </c>
      <c r="S208" s="12">
        <f>TABL1234[[#This Row],[الفرق بين بداية ونهاية خط  T/B]]+TABL1234[[#This Row],[الفرق بين بداية ونهاية خط  S/S]]</f>
        <v>0</v>
      </c>
      <c r="T208" s="12">
        <f>TABL1234[[#This Row],[(S/S TOT) AJD]]+TABL1234[[#This Row],[(T/B TOT) AJD]]</f>
        <v>0</v>
      </c>
      <c r="U208" s="44"/>
      <c r="V208" s="44"/>
      <c r="W208" s="12">
        <f>TABL1234[[#This Row],[(A/B TOT) AJD]]+TABL1234[[#This Row],[(A/S TOT) AJD]]</f>
        <v>0</v>
      </c>
      <c r="X208" s="12">
        <f>TABL1234[[#This Row],[( S/S+T/B) AJD]]-TABL1234[[#This Row],[(A/B + A/S) AJD]]</f>
        <v>0</v>
      </c>
      <c r="Y208" s="44"/>
      <c r="Z208" s="45"/>
      <c r="AA208" s="3">
        <f>TABL1234[[#This Row],[(RESV. STORGE) AJD]]/10</f>
        <v>0</v>
      </c>
      <c r="AB208" s="3">
        <f t="shared" si="7"/>
        <v>0</v>
      </c>
      <c r="AC208" s="5"/>
      <c r="AD208" s="40">
        <f>TABL1234[[#This Row],[( S/S+T/B) AJD]]-(TABL1234[[#This Row],[(A/B + A/S) AJD]]+(TABL1234[[#This Row],[(STORGE DIFF.) AJD]]*1000)+TABL1234[[#This Row],[البخر  AJD]])</f>
        <v>0</v>
      </c>
      <c r="AE208" s="44"/>
      <c r="AF208" s="45"/>
      <c r="AG208" s="45"/>
      <c r="AH208" s="6"/>
      <c r="AI208" s="45"/>
      <c r="AJ208" s="45">
        <f>TABL1234[[#This Row],[(A/B TOT) AJD]]-TABL1234[[#This Row],[BER_ IN]]</f>
        <v>0</v>
      </c>
      <c r="AK208" s="45"/>
      <c r="AL208" s="45"/>
      <c r="AM208" s="32"/>
      <c r="AN208" s="32">
        <f>TABL1234[[#This Row],[ (RESV. STORGE) SER]]/10</f>
        <v>0</v>
      </c>
      <c r="AO208" s="68"/>
      <c r="AP208" s="68">
        <f>TABL1234[[#This Row],[(A/S TOT) AJD]]-TABL1234[[#This Row],[SER_ IN]]</f>
        <v>0</v>
      </c>
    </row>
    <row r="209" spans="1:42" ht="18.75" x14ac:dyDescent="0.25">
      <c r="A209" s="2">
        <v>46595</v>
      </c>
      <c r="B209" s="41"/>
      <c r="C209" s="41"/>
      <c r="D209" s="41"/>
      <c r="E209" s="41"/>
      <c r="F209" s="41"/>
      <c r="G209" s="39"/>
      <c r="H209" s="28">
        <f t="shared" si="6"/>
        <v>103</v>
      </c>
      <c r="I209" s="39"/>
      <c r="J209" s="39"/>
      <c r="K209" s="28">
        <f>TABL1234[[#This Row],[خط (T/B  TOT) SAR]]+TABL1234[[#This Row],[خط (S/S  TOT) SAR2]]</f>
        <v>0</v>
      </c>
      <c r="L209" s="41"/>
      <c r="M209" s="42"/>
      <c r="N209" s="42"/>
      <c r="O209" s="39"/>
      <c r="P209" s="12">
        <f>TABL1234[[#This Row],[خط (S/S  TOT) SAR2]]-TABL1234[[#This Row],[(S/S TOT) AJD]]</f>
        <v>0</v>
      </c>
      <c r="Q209" s="39"/>
      <c r="R209" s="12">
        <f>TABL1234[[#This Row],[خط (T/B  TOT) SAR]]-TABL1234[[#This Row],[(T/B TOT) AJD]]</f>
        <v>0</v>
      </c>
      <c r="S209" s="12">
        <f>TABL1234[[#This Row],[الفرق بين بداية ونهاية خط  T/B]]+TABL1234[[#This Row],[الفرق بين بداية ونهاية خط  S/S]]</f>
        <v>0</v>
      </c>
      <c r="T209" s="12">
        <f>TABL1234[[#This Row],[(S/S TOT) AJD]]+TABL1234[[#This Row],[(T/B TOT) AJD]]</f>
        <v>0</v>
      </c>
      <c r="U209" s="41"/>
      <c r="V209" s="41"/>
      <c r="W209" s="12">
        <f>TABL1234[[#This Row],[(A/B TOT) AJD]]+TABL1234[[#This Row],[(A/S TOT) AJD]]</f>
        <v>0</v>
      </c>
      <c r="X209" s="12">
        <f>TABL1234[[#This Row],[( S/S+T/B) AJD]]-TABL1234[[#This Row],[(A/B + A/S) AJD]]</f>
        <v>0</v>
      </c>
      <c r="Y209" s="41"/>
      <c r="Z209" s="43"/>
      <c r="AA209" s="3">
        <f>TABL1234[[#This Row],[(RESV. STORGE) AJD]]/10</f>
        <v>0</v>
      </c>
      <c r="AB209" s="3">
        <f t="shared" si="7"/>
        <v>0</v>
      </c>
      <c r="AC209" s="5"/>
      <c r="AD209" s="39">
        <f>TABL1234[[#This Row],[( S/S+T/B) AJD]]-(TABL1234[[#This Row],[(A/B + A/S) AJD]]+(TABL1234[[#This Row],[(STORGE DIFF.) AJD]]*1000)+TABL1234[[#This Row],[البخر  AJD]])</f>
        <v>0</v>
      </c>
      <c r="AE209" s="41"/>
      <c r="AF209" s="43"/>
      <c r="AG209" s="43"/>
      <c r="AH209" s="6"/>
      <c r="AI209" s="43"/>
      <c r="AJ209" s="43">
        <f>TABL1234[[#This Row],[(A/B TOT) AJD]]-TABL1234[[#This Row],[BER_ IN]]</f>
        <v>0</v>
      </c>
      <c r="AK209" s="43"/>
      <c r="AL209" s="43"/>
      <c r="AM209" s="32"/>
      <c r="AN209" s="32">
        <f>TABL1234[[#This Row],[ (RESV. STORGE) SER]]/10</f>
        <v>0</v>
      </c>
      <c r="AO209" s="68"/>
      <c r="AP209" s="68">
        <f>TABL1234[[#This Row],[(A/S TOT) AJD]]-TABL1234[[#This Row],[SER_ IN]]</f>
        <v>0</v>
      </c>
    </row>
    <row r="210" spans="1:42" ht="18.75" x14ac:dyDescent="0.25">
      <c r="A210" s="2">
        <v>46596</v>
      </c>
      <c r="B210" s="44"/>
      <c r="C210" s="44"/>
      <c r="D210" s="44"/>
      <c r="E210" s="44"/>
      <c r="F210" s="44"/>
      <c r="G210" s="40"/>
      <c r="H210" s="28">
        <f t="shared" si="6"/>
        <v>103</v>
      </c>
      <c r="I210" s="40"/>
      <c r="J210" s="44"/>
      <c r="K210" s="28">
        <f>TABL1234[[#This Row],[خط (T/B  TOT) SAR]]+TABL1234[[#This Row],[خط (S/S  TOT) SAR2]]</f>
        <v>0</v>
      </c>
      <c r="L210" s="45"/>
      <c r="M210" s="46"/>
      <c r="N210" s="46"/>
      <c r="O210" s="40"/>
      <c r="P210" s="12">
        <f>TABL1234[[#This Row],[خط (S/S  TOT) SAR2]]-TABL1234[[#This Row],[(S/S TOT) AJD]]</f>
        <v>0</v>
      </c>
      <c r="Q210" s="40"/>
      <c r="R210" s="12">
        <f>TABL1234[[#This Row],[خط (T/B  TOT) SAR]]-TABL1234[[#This Row],[(T/B TOT) AJD]]</f>
        <v>0</v>
      </c>
      <c r="S210" s="12">
        <f>TABL1234[[#This Row],[الفرق بين بداية ونهاية خط  T/B]]+TABL1234[[#This Row],[الفرق بين بداية ونهاية خط  S/S]]</f>
        <v>0</v>
      </c>
      <c r="T210" s="12">
        <f>TABL1234[[#This Row],[(S/S TOT) AJD]]+TABL1234[[#This Row],[(T/B TOT) AJD]]</f>
        <v>0</v>
      </c>
      <c r="U210" s="44"/>
      <c r="V210" s="44"/>
      <c r="W210" s="12">
        <f>TABL1234[[#This Row],[(A/B TOT) AJD]]+TABL1234[[#This Row],[(A/S TOT) AJD]]</f>
        <v>0</v>
      </c>
      <c r="X210" s="12">
        <f>TABL1234[[#This Row],[( S/S+T/B) AJD]]-TABL1234[[#This Row],[(A/B + A/S) AJD]]</f>
        <v>0</v>
      </c>
      <c r="Y210" s="44"/>
      <c r="Z210" s="45"/>
      <c r="AA210" s="3">
        <f>TABL1234[[#This Row],[(RESV. STORGE) AJD]]/10</f>
        <v>0</v>
      </c>
      <c r="AB210" s="3">
        <f t="shared" si="7"/>
        <v>0</v>
      </c>
      <c r="AC210" s="5"/>
      <c r="AD210" s="40">
        <f>TABL1234[[#This Row],[( S/S+T/B) AJD]]-(TABL1234[[#This Row],[(A/B + A/S) AJD]]+(TABL1234[[#This Row],[(STORGE DIFF.) AJD]]*1000)+TABL1234[[#This Row],[البخر  AJD]])</f>
        <v>0</v>
      </c>
      <c r="AE210" s="44"/>
      <c r="AF210" s="45"/>
      <c r="AG210" s="45"/>
      <c r="AH210" s="6"/>
      <c r="AI210" s="45"/>
      <c r="AJ210" s="45">
        <f>TABL1234[[#This Row],[(A/B TOT) AJD]]-TABL1234[[#This Row],[BER_ IN]]</f>
        <v>0</v>
      </c>
      <c r="AK210" s="45"/>
      <c r="AL210" s="45"/>
      <c r="AM210" s="32"/>
      <c r="AN210" s="32">
        <f>TABL1234[[#This Row],[ (RESV. STORGE) SER]]/10</f>
        <v>0</v>
      </c>
      <c r="AO210" s="68"/>
      <c r="AP210" s="68">
        <f>TABL1234[[#This Row],[(A/S TOT) AJD]]-TABL1234[[#This Row],[SER_ IN]]</f>
        <v>0</v>
      </c>
    </row>
    <row r="211" spans="1:42" ht="18.75" x14ac:dyDescent="0.25">
      <c r="A211" s="2">
        <v>46597</v>
      </c>
      <c r="B211" s="41"/>
      <c r="C211" s="41"/>
      <c r="D211" s="41"/>
      <c r="E211" s="41"/>
      <c r="F211" s="41"/>
      <c r="G211" s="39"/>
      <c r="H211" s="28">
        <f t="shared" si="6"/>
        <v>103</v>
      </c>
      <c r="I211" s="39"/>
      <c r="J211" s="39"/>
      <c r="K211" s="28">
        <f>TABL1234[[#This Row],[خط (T/B  TOT) SAR]]+TABL1234[[#This Row],[خط (S/S  TOT) SAR2]]</f>
        <v>0</v>
      </c>
      <c r="L211" s="41"/>
      <c r="M211" s="42"/>
      <c r="N211" s="42"/>
      <c r="O211" s="39"/>
      <c r="P211" s="12">
        <f>TABL1234[[#This Row],[خط (S/S  TOT) SAR2]]-TABL1234[[#This Row],[(S/S TOT) AJD]]</f>
        <v>0</v>
      </c>
      <c r="Q211" s="39"/>
      <c r="R211" s="12">
        <f>TABL1234[[#This Row],[خط (T/B  TOT) SAR]]-TABL1234[[#This Row],[(T/B TOT) AJD]]</f>
        <v>0</v>
      </c>
      <c r="S211" s="12">
        <f>TABL1234[[#This Row],[الفرق بين بداية ونهاية خط  T/B]]+TABL1234[[#This Row],[الفرق بين بداية ونهاية خط  S/S]]</f>
        <v>0</v>
      </c>
      <c r="T211" s="12">
        <f>TABL1234[[#This Row],[(S/S TOT) AJD]]+TABL1234[[#This Row],[(T/B TOT) AJD]]</f>
        <v>0</v>
      </c>
      <c r="U211" s="41"/>
      <c r="V211" s="41"/>
      <c r="W211" s="12">
        <f>TABL1234[[#This Row],[(A/B TOT) AJD]]+TABL1234[[#This Row],[(A/S TOT) AJD]]</f>
        <v>0</v>
      </c>
      <c r="X211" s="12">
        <f>TABL1234[[#This Row],[( S/S+T/B) AJD]]-TABL1234[[#This Row],[(A/B + A/S) AJD]]</f>
        <v>0</v>
      </c>
      <c r="Y211" s="41"/>
      <c r="Z211" s="43"/>
      <c r="AA211" s="3">
        <f>TABL1234[[#This Row],[(RESV. STORGE) AJD]]/10</f>
        <v>0</v>
      </c>
      <c r="AB211" s="3">
        <f t="shared" si="7"/>
        <v>0</v>
      </c>
      <c r="AC211" s="5"/>
      <c r="AD211" s="39">
        <f>TABL1234[[#This Row],[( S/S+T/B) AJD]]-(TABL1234[[#This Row],[(A/B + A/S) AJD]]+(TABL1234[[#This Row],[(STORGE DIFF.) AJD]]*1000)+TABL1234[[#This Row],[البخر  AJD]])</f>
        <v>0</v>
      </c>
      <c r="AE211" s="41"/>
      <c r="AF211" s="43"/>
      <c r="AG211" s="43"/>
      <c r="AH211" s="6"/>
      <c r="AI211" s="43"/>
      <c r="AJ211" s="43">
        <f>TABL1234[[#This Row],[(A/B TOT) AJD]]-TABL1234[[#This Row],[BER_ IN]]</f>
        <v>0</v>
      </c>
      <c r="AK211" s="43"/>
      <c r="AL211" s="43"/>
      <c r="AM211" s="32"/>
      <c r="AN211" s="32">
        <f>TABL1234[[#This Row],[ (RESV. STORGE) SER]]/10</f>
        <v>0</v>
      </c>
      <c r="AO211" s="68"/>
      <c r="AP211" s="68">
        <f>TABL1234[[#This Row],[(A/S TOT) AJD]]-TABL1234[[#This Row],[SER_ IN]]</f>
        <v>0</v>
      </c>
    </row>
    <row r="212" spans="1:42" ht="18.75" x14ac:dyDescent="0.25">
      <c r="A212" s="2">
        <v>46598</v>
      </c>
      <c r="B212" s="44"/>
      <c r="C212" s="44"/>
      <c r="D212" s="44"/>
      <c r="E212" s="44"/>
      <c r="F212" s="44"/>
      <c r="G212" s="40"/>
      <c r="H212" s="28">
        <f t="shared" si="6"/>
        <v>103</v>
      </c>
      <c r="I212" s="40"/>
      <c r="J212" s="44"/>
      <c r="K212" s="28">
        <f>TABL1234[[#This Row],[خط (T/B  TOT) SAR]]+TABL1234[[#This Row],[خط (S/S  TOT) SAR2]]</f>
        <v>0</v>
      </c>
      <c r="L212" s="45"/>
      <c r="M212" s="46"/>
      <c r="N212" s="46"/>
      <c r="O212" s="40"/>
      <c r="P212" s="12">
        <f>TABL1234[[#This Row],[خط (S/S  TOT) SAR2]]-TABL1234[[#This Row],[(S/S TOT) AJD]]</f>
        <v>0</v>
      </c>
      <c r="Q212" s="40"/>
      <c r="R212" s="12">
        <f>TABL1234[[#This Row],[خط (T/B  TOT) SAR]]-TABL1234[[#This Row],[(T/B TOT) AJD]]</f>
        <v>0</v>
      </c>
      <c r="S212" s="12">
        <f>TABL1234[[#This Row],[الفرق بين بداية ونهاية خط  T/B]]+TABL1234[[#This Row],[الفرق بين بداية ونهاية خط  S/S]]</f>
        <v>0</v>
      </c>
      <c r="T212" s="12">
        <f>TABL1234[[#This Row],[(S/S TOT) AJD]]+TABL1234[[#This Row],[(T/B TOT) AJD]]</f>
        <v>0</v>
      </c>
      <c r="U212" s="44"/>
      <c r="V212" s="44"/>
      <c r="W212" s="12">
        <f>TABL1234[[#This Row],[(A/B TOT) AJD]]+TABL1234[[#This Row],[(A/S TOT) AJD]]</f>
        <v>0</v>
      </c>
      <c r="X212" s="12">
        <f>TABL1234[[#This Row],[( S/S+T/B) AJD]]-TABL1234[[#This Row],[(A/B + A/S) AJD]]</f>
        <v>0</v>
      </c>
      <c r="Y212" s="44"/>
      <c r="Z212" s="45"/>
      <c r="AA212" s="3">
        <f>TABL1234[[#This Row],[(RESV. STORGE) AJD]]/10</f>
        <v>0</v>
      </c>
      <c r="AB212" s="3">
        <f t="shared" si="7"/>
        <v>0</v>
      </c>
      <c r="AC212" s="5"/>
      <c r="AD212" s="70">
        <f>TABL1234[[#This Row],[( S/S+T/B) AJD]]-(TABL1234[[#This Row],[(A/B + A/S) AJD]]+(TABL1234[[#This Row],[(STORGE DIFF.) AJD]]*1000)+TABL1234[[#This Row],[البخر  AJD]])</f>
        <v>0</v>
      </c>
      <c r="AE212" s="44"/>
      <c r="AF212" s="45"/>
      <c r="AG212" s="45"/>
      <c r="AH212" s="6"/>
      <c r="AI212" s="45"/>
      <c r="AJ212" s="91">
        <f>TABL1234[[#This Row],[(A/B TOT) AJD]]-TABL1234[[#This Row],[BER_ IN]]</f>
        <v>0</v>
      </c>
      <c r="AK212" s="45"/>
      <c r="AL212" s="45"/>
      <c r="AM212" s="32"/>
      <c r="AN212" s="32">
        <f>TABL1234[[#This Row],[ (RESV. STORGE) SER]]/10</f>
        <v>0</v>
      </c>
      <c r="AO212" s="68"/>
      <c r="AP212" s="68">
        <f>TABL1234[[#This Row],[(A/S TOT) AJD]]-TABL1234[[#This Row],[SER_ IN]]</f>
        <v>0</v>
      </c>
    </row>
    <row r="213" spans="1:42" ht="18.75" x14ac:dyDescent="0.25">
      <c r="A213" s="2">
        <v>46599</v>
      </c>
      <c r="B213" s="41"/>
      <c r="C213" s="41"/>
      <c r="D213" s="41"/>
      <c r="E213" s="41"/>
      <c r="F213" s="41"/>
      <c r="G213" s="39"/>
      <c r="H213" s="28">
        <f t="shared" si="6"/>
        <v>103</v>
      </c>
      <c r="I213" s="39"/>
      <c r="J213" s="39"/>
      <c r="K213" s="28">
        <f>TABL1234[[#This Row],[خط (T/B  TOT) SAR]]+TABL1234[[#This Row],[خط (S/S  TOT) SAR2]]</f>
        <v>0</v>
      </c>
      <c r="L213" s="41"/>
      <c r="M213" s="42"/>
      <c r="N213" s="42"/>
      <c r="O213" s="39"/>
      <c r="P213" s="12">
        <f>TABL1234[[#This Row],[خط (S/S  TOT) SAR2]]-TABL1234[[#This Row],[(S/S TOT) AJD]]</f>
        <v>0</v>
      </c>
      <c r="Q213" s="39"/>
      <c r="R213" s="12">
        <f>TABL1234[[#This Row],[خط (T/B  TOT) SAR]]-TABL1234[[#This Row],[(T/B TOT) AJD]]</f>
        <v>0</v>
      </c>
      <c r="S213" s="12">
        <f>TABL1234[[#This Row],[الفرق بين بداية ونهاية خط  T/B]]+TABL1234[[#This Row],[الفرق بين بداية ونهاية خط  S/S]]</f>
        <v>0</v>
      </c>
      <c r="T213" s="12">
        <f>TABL1234[[#This Row],[(S/S TOT) AJD]]+TABL1234[[#This Row],[(T/B TOT) AJD]]</f>
        <v>0</v>
      </c>
      <c r="U213" s="41"/>
      <c r="V213" s="41"/>
      <c r="W213" s="12">
        <f>TABL1234[[#This Row],[(A/B TOT) AJD]]+TABL1234[[#This Row],[(A/S TOT) AJD]]</f>
        <v>0</v>
      </c>
      <c r="X213" s="12">
        <f>TABL1234[[#This Row],[( S/S+T/B) AJD]]-TABL1234[[#This Row],[(A/B + A/S) AJD]]</f>
        <v>0</v>
      </c>
      <c r="Y213" s="41"/>
      <c r="Z213" s="43"/>
      <c r="AA213" s="3">
        <f>TABL1234[[#This Row],[(RESV. STORGE) AJD]]/10</f>
        <v>0</v>
      </c>
      <c r="AB213" s="3">
        <f t="shared" si="7"/>
        <v>0</v>
      </c>
      <c r="AC213" s="5"/>
      <c r="AD213" s="39">
        <f>TABL1234[[#This Row],[( S/S+T/B) AJD]]-(TABL1234[[#This Row],[(A/B + A/S) AJD]]+(TABL1234[[#This Row],[(STORGE DIFF.) AJD]]*1000)+TABL1234[[#This Row],[البخر  AJD]])</f>
        <v>0</v>
      </c>
      <c r="AE213" s="41"/>
      <c r="AF213" s="43"/>
      <c r="AG213" s="43"/>
      <c r="AH213" s="6"/>
      <c r="AI213" s="43"/>
      <c r="AJ213" s="43">
        <f>TABL1234[[#This Row],[(A/B TOT) AJD]]-TABL1234[[#This Row],[BER_ IN]]</f>
        <v>0</v>
      </c>
      <c r="AK213" s="43"/>
      <c r="AL213" s="43"/>
      <c r="AM213" s="32"/>
      <c r="AN213" s="32">
        <f>TABL1234[[#This Row],[ (RESV. STORGE) SER]]/10</f>
        <v>0</v>
      </c>
      <c r="AO213" s="68"/>
      <c r="AP213" s="68">
        <f>TABL1234[[#This Row],[(A/S TOT) AJD]]-TABL1234[[#This Row],[SER_ IN]]</f>
        <v>0</v>
      </c>
    </row>
    <row r="214" spans="1:42" ht="18.75" x14ac:dyDescent="0.25">
      <c r="A214" s="2">
        <v>46600</v>
      </c>
      <c r="B214" s="41"/>
      <c r="C214" s="41"/>
      <c r="D214" s="41"/>
      <c r="E214" s="28"/>
      <c r="F214" s="41"/>
      <c r="G214" s="39"/>
      <c r="H214" s="28">
        <f t="shared" si="6"/>
        <v>103</v>
      </c>
      <c r="I214" s="39"/>
      <c r="J214" s="39"/>
      <c r="K214" s="28">
        <f>TABL1234[[#This Row],[خط (T/B  TOT) SAR]]+TABL1234[[#This Row],[خط (S/S  TOT) SAR2]]</f>
        <v>0</v>
      </c>
      <c r="L214" s="41"/>
      <c r="M214" s="42"/>
      <c r="N214" s="42"/>
      <c r="O214" s="39"/>
      <c r="P214" s="3">
        <f>TABL1234[[#This Row],[خط (S/S  TOT) SAR2]]-TABL1234[[#This Row],[(S/S TOT) AJD]]</f>
        <v>0</v>
      </c>
      <c r="Q214" s="39"/>
      <c r="R214" s="3">
        <f>TABL1234[[#This Row],[خط (T/B  TOT) SAR]]-TABL1234[[#This Row],[(T/B TOT) AJD]]</f>
        <v>0</v>
      </c>
      <c r="S214" s="3">
        <f>TABL1234[[#This Row],[الفرق بين بداية ونهاية خط  T/B]]+TABL1234[[#This Row],[الفرق بين بداية ونهاية خط  S/S]]</f>
        <v>0</v>
      </c>
      <c r="T214" s="3">
        <f>TABL1234[[#This Row],[(S/S TOT) AJD]]+TABL1234[[#This Row],[(T/B TOT) AJD]]</f>
        <v>0</v>
      </c>
      <c r="U214" s="41"/>
      <c r="V214" s="41"/>
      <c r="W214" s="3">
        <f>TABL1234[[#This Row],[(A/B TOT) AJD]]+TABL1234[[#This Row],[(A/S TOT) AJD]]</f>
        <v>0</v>
      </c>
      <c r="X214" s="3">
        <f>TABL1234[[#This Row],[( S/S+T/B) AJD]]-TABL1234[[#This Row],[(A/B + A/S) AJD]]</f>
        <v>0</v>
      </c>
      <c r="Y214" s="41"/>
      <c r="Z214" s="43"/>
      <c r="AA214" s="3">
        <f>TABL1234[[#This Row],[(RESV. STORGE) AJD]]/10</f>
        <v>0</v>
      </c>
      <c r="AB214" s="3">
        <f t="shared" si="7"/>
        <v>0</v>
      </c>
      <c r="AC214" s="5"/>
      <c r="AD214" s="39">
        <f>TABL1234[[#This Row],[( S/S+T/B) AJD]]-(TABL1234[[#This Row],[(A/B + A/S) AJD]]+(TABL1234[[#This Row],[(STORGE DIFF.) AJD]]*1000)+TABL1234[[#This Row],[البخر  AJD]])</f>
        <v>0</v>
      </c>
      <c r="AE214" s="41"/>
      <c r="AF214" s="43"/>
      <c r="AG214" s="43"/>
      <c r="AH214" s="6"/>
      <c r="AI214" s="43"/>
      <c r="AJ214" s="43">
        <f>TABL1234[[#This Row],[(A/B TOT) AJD]]-TABL1234[[#This Row],[BER_ IN]]</f>
        <v>0</v>
      </c>
      <c r="AK214" s="43"/>
      <c r="AL214" s="43"/>
      <c r="AM214" s="32"/>
      <c r="AN214" s="32">
        <f>TABL1234[[#This Row],[ (RESV. STORGE) SER]]/10</f>
        <v>0</v>
      </c>
      <c r="AO214" s="68"/>
      <c r="AP214" s="68">
        <f>TABL1234[[#This Row],[(A/S TOT) AJD]]-TABL1234[[#This Row],[SER_ IN]]</f>
        <v>0</v>
      </c>
    </row>
    <row r="215" spans="1:42" ht="18.75" x14ac:dyDescent="0.25">
      <c r="A215" s="2">
        <v>46601</v>
      </c>
      <c r="B215" s="44"/>
      <c r="C215" s="44"/>
      <c r="D215" s="44"/>
      <c r="E215" s="28"/>
      <c r="F215" s="44"/>
      <c r="G215" s="40"/>
      <c r="H215" s="28">
        <f t="shared" si="6"/>
        <v>103</v>
      </c>
      <c r="I215" s="40"/>
      <c r="J215" s="44"/>
      <c r="K215" s="28">
        <f>TABL1234[[#This Row],[خط (T/B  TOT) SAR]]+TABL1234[[#This Row],[خط (S/S  TOT) SAR2]]</f>
        <v>0</v>
      </c>
      <c r="L215" s="45"/>
      <c r="M215" s="46"/>
      <c r="N215" s="46"/>
      <c r="O215" s="40"/>
      <c r="P215" s="3">
        <f>TABL1234[[#This Row],[خط (S/S  TOT) SAR2]]-TABL1234[[#This Row],[(S/S TOT) AJD]]</f>
        <v>0</v>
      </c>
      <c r="Q215" s="40"/>
      <c r="R215" s="3">
        <f>TABL1234[[#This Row],[خط (T/B  TOT) SAR]]-TABL1234[[#This Row],[(T/B TOT) AJD]]</f>
        <v>0</v>
      </c>
      <c r="S215" s="3">
        <f>TABL1234[[#This Row],[الفرق بين بداية ونهاية خط  T/B]]+TABL1234[[#This Row],[الفرق بين بداية ونهاية خط  S/S]]</f>
        <v>0</v>
      </c>
      <c r="T215" s="3">
        <f>TABL1234[[#This Row],[(S/S TOT) AJD]]+TABL1234[[#This Row],[(T/B TOT) AJD]]</f>
        <v>0</v>
      </c>
      <c r="U215" s="44"/>
      <c r="V215" s="44"/>
      <c r="W215" s="3">
        <f>TABL1234[[#This Row],[(A/B TOT) AJD]]+TABL1234[[#This Row],[(A/S TOT) AJD]]</f>
        <v>0</v>
      </c>
      <c r="X215" s="3">
        <f>TABL1234[[#This Row],[( S/S+T/B) AJD]]-TABL1234[[#This Row],[(A/B + A/S) AJD]]</f>
        <v>0</v>
      </c>
      <c r="Y215" s="44"/>
      <c r="Z215" s="45"/>
      <c r="AA215" s="3">
        <f>TABL1234[[#This Row],[(RESV. STORGE) AJD]]/10</f>
        <v>0</v>
      </c>
      <c r="AB215" s="3">
        <f t="shared" si="7"/>
        <v>0</v>
      </c>
      <c r="AC215" s="5"/>
      <c r="AD215" s="40">
        <f>TABL1234[[#This Row],[( S/S+T/B) AJD]]-(TABL1234[[#This Row],[(A/B + A/S) AJD]]+(TABL1234[[#This Row],[(STORGE DIFF.) AJD]]*1000)+TABL1234[[#This Row],[البخر  AJD]])</f>
        <v>0</v>
      </c>
      <c r="AE215" s="44"/>
      <c r="AF215" s="45"/>
      <c r="AG215" s="45"/>
      <c r="AH215" s="6"/>
      <c r="AI215" s="45"/>
      <c r="AJ215" s="45">
        <f>TABL1234[[#This Row],[(A/B TOT) AJD]]-TABL1234[[#This Row],[BER_ IN]]</f>
        <v>0</v>
      </c>
      <c r="AK215" s="45"/>
      <c r="AL215" s="45"/>
      <c r="AM215" s="32"/>
      <c r="AN215" s="32">
        <f>TABL1234[[#This Row],[ (RESV. STORGE) SER]]/10</f>
        <v>0</v>
      </c>
      <c r="AO215" s="68"/>
      <c r="AP215" s="68">
        <f>TABL1234[[#This Row],[(A/S TOT) AJD]]-TABL1234[[#This Row],[SER_ IN]]</f>
        <v>0</v>
      </c>
    </row>
    <row r="216" spans="1:42" ht="18.75" x14ac:dyDescent="0.25">
      <c r="A216" s="2">
        <v>46602</v>
      </c>
      <c r="B216" s="41"/>
      <c r="C216" s="41"/>
      <c r="D216" s="41"/>
      <c r="E216" s="28"/>
      <c r="F216" s="41"/>
      <c r="G216" s="39"/>
      <c r="H216" s="28">
        <f t="shared" si="6"/>
        <v>103</v>
      </c>
      <c r="I216" s="39"/>
      <c r="J216" s="39"/>
      <c r="K216" s="28">
        <f>TABL1234[[#This Row],[خط (T/B  TOT) SAR]]+TABL1234[[#This Row],[خط (S/S  TOT) SAR2]]</f>
        <v>0</v>
      </c>
      <c r="L216" s="41"/>
      <c r="M216" s="42"/>
      <c r="N216" s="42"/>
      <c r="O216" s="39"/>
      <c r="P216" s="3">
        <f>TABL1234[[#This Row],[خط (S/S  TOT) SAR2]]-TABL1234[[#This Row],[(S/S TOT) AJD]]</f>
        <v>0</v>
      </c>
      <c r="Q216" s="39"/>
      <c r="R216" s="3">
        <f>TABL1234[[#This Row],[خط (T/B  TOT) SAR]]-TABL1234[[#This Row],[(T/B TOT) AJD]]</f>
        <v>0</v>
      </c>
      <c r="S216" s="3">
        <f>TABL1234[[#This Row],[الفرق بين بداية ونهاية خط  T/B]]+TABL1234[[#This Row],[الفرق بين بداية ونهاية خط  S/S]]</f>
        <v>0</v>
      </c>
      <c r="T216" s="3">
        <f>TABL1234[[#This Row],[(S/S TOT) AJD]]+TABL1234[[#This Row],[(T/B TOT) AJD]]</f>
        <v>0</v>
      </c>
      <c r="U216" s="41"/>
      <c r="V216" s="41"/>
      <c r="W216" s="3">
        <f>TABL1234[[#This Row],[(A/B TOT) AJD]]+TABL1234[[#This Row],[(A/S TOT) AJD]]</f>
        <v>0</v>
      </c>
      <c r="X216" s="3">
        <f>TABL1234[[#This Row],[( S/S+T/B) AJD]]-TABL1234[[#This Row],[(A/B + A/S) AJD]]</f>
        <v>0</v>
      </c>
      <c r="Y216" s="41"/>
      <c r="Z216" s="43"/>
      <c r="AA216" s="3">
        <f>TABL1234[[#This Row],[(RESV. STORGE) AJD]]/10</f>
        <v>0</v>
      </c>
      <c r="AB216" s="3">
        <f t="shared" si="7"/>
        <v>0</v>
      </c>
      <c r="AC216" s="5"/>
      <c r="AD216" s="39">
        <f>TABL1234[[#This Row],[( S/S+T/B) AJD]]-(TABL1234[[#This Row],[(A/B + A/S) AJD]]+(TABL1234[[#This Row],[(STORGE DIFF.) AJD]]*1000)+TABL1234[[#This Row],[البخر  AJD]])</f>
        <v>0</v>
      </c>
      <c r="AE216" s="41"/>
      <c r="AF216" s="43"/>
      <c r="AG216" s="43"/>
      <c r="AH216" s="6"/>
      <c r="AI216" s="43"/>
      <c r="AJ216" s="43">
        <f>TABL1234[[#This Row],[(A/B TOT) AJD]]-TABL1234[[#This Row],[BER_ IN]]</f>
        <v>0</v>
      </c>
      <c r="AK216" s="43"/>
      <c r="AL216" s="43"/>
      <c r="AM216" s="32"/>
      <c r="AN216" s="32">
        <f>TABL1234[[#This Row],[ (RESV. STORGE) SER]]/10</f>
        <v>0</v>
      </c>
      <c r="AO216" s="68"/>
      <c r="AP216" s="68">
        <f>TABL1234[[#This Row],[(A/S TOT) AJD]]-TABL1234[[#This Row],[SER_ IN]]</f>
        <v>0</v>
      </c>
    </row>
    <row r="217" spans="1:42" ht="18.75" x14ac:dyDescent="0.25">
      <c r="A217" s="2">
        <v>46603</v>
      </c>
      <c r="B217" s="44"/>
      <c r="C217" s="44"/>
      <c r="D217" s="44"/>
      <c r="E217" s="28"/>
      <c r="F217" s="44"/>
      <c r="G217" s="40"/>
      <c r="H217" s="28">
        <f t="shared" si="6"/>
        <v>103</v>
      </c>
      <c r="I217" s="40"/>
      <c r="J217" s="44"/>
      <c r="K217" s="28">
        <f>TABL1234[[#This Row],[خط (T/B  TOT) SAR]]+TABL1234[[#This Row],[خط (S/S  TOT) SAR2]]</f>
        <v>0</v>
      </c>
      <c r="L217" s="45"/>
      <c r="M217" s="46"/>
      <c r="N217" s="46"/>
      <c r="O217" s="40"/>
      <c r="P217" s="3">
        <f>TABL1234[[#This Row],[خط (S/S  TOT) SAR2]]-TABL1234[[#This Row],[(S/S TOT) AJD]]</f>
        <v>0</v>
      </c>
      <c r="Q217" s="40"/>
      <c r="R217" s="3">
        <f>TABL1234[[#This Row],[خط (T/B  TOT) SAR]]-TABL1234[[#This Row],[(T/B TOT) AJD]]</f>
        <v>0</v>
      </c>
      <c r="S217" s="3">
        <f>TABL1234[[#This Row],[الفرق بين بداية ونهاية خط  T/B]]+TABL1234[[#This Row],[الفرق بين بداية ونهاية خط  S/S]]</f>
        <v>0</v>
      </c>
      <c r="T217" s="3">
        <f>TABL1234[[#This Row],[(S/S TOT) AJD]]+TABL1234[[#This Row],[(T/B TOT) AJD]]</f>
        <v>0</v>
      </c>
      <c r="U217" s="44"/>
      <c r="V217" s="44"/>
      <c r="W217" s="3">
        <f>TABL1234[[#This Row],[(A/B TOT) AJD]]+TABL1234[[#This Row],[(A/S TOT) AJD]]</f>
        <v>0</v>
      </c>
      <c r="X217" s="3">
        <f>TABL1234[[#This Row],[( S/S+T/B) AJD]]-TABL1234[[#This Row],[(A/B + A/S) AJD]]</f>
        <v>0</v>
      </c>
      <c r="Y217" s="44"/>
      <c r="Z217" s="45"/>
      <c r="AA217" s="3">
        <f>TABL1234[[#This Row],[(RESV. STORGE) AJD]]/10</f>
        <v>0</v>
      </c>
      <c r="AB217" s="3">
        <f t="shared" si="7"/>
        <v>0</v>
      </c>
      <c r="AC217" s="5"/>
      <c r="AD217" s="40">
        <f>TABL1234[[#This Row],[( S/S+T/B) AJD]]-(TABL1234[[#This Row],[(A/B + A/S) AJD]]+(TABL1234[[#This Row],[(STORGE DIFF.) AJD]]*1000)+TABL1234[[#This Row],[البخر  AJD]])</f>
        <v>0</v>
      </c>
      <c r="AE217" s="44"/>
      <c r="AF217" s="45"/>
      <c r="AG217" s="45"/>
      <c r="AH217" s="6"/>
      <c r="AI217" s="45"/>
      <c r="AJ217" s="45">
        <f>TABL1234[[#This Row],[(A/B TOT) AJD]]-TABL1234[[#This Row],[BER_ IN]]</f>
        <v>0</v>
      </c>
      <c r="AK217" s="45"/>
      <c r="AL217" s="45"/>
      <c r="AM217" s="32"/>
      <c r="AN217" s="32">
        <f>TABL1234[[#This Row],[ (RESV. STORGE) SER]]/10</f>
        <v>0</v>
      </c>
      <c r="AO217" s="68"/>
      <c r="AP217" s="68">
        <f>TABL1234[[#This Row],[(A/S TOT) AJD]]-TABL1234[[#This Row],[SER_ IN]]</f>
        <v>0</v>
      </c>
    </row>
    <row r="218" spans="1:42" ht="18.75" x14ac:dyDescent="0.25">
      <c r="A218" s="2">
        <v>46604</v>
      </c>
      <c r="B218" s="41"/>
      <c r="C218" s="41"/>
      <c r="D218" s="41"/>
      <c r="E218" s="28"/>
      <c r="F218" s="41"/>
      <c r="G218" s="39"/>
      <c r="H218" s="28">
        <f t="shared" si="6"/>
        <v>103</v>
      </c>
      <c r="I218" s="39"/>
      <c r="J218" s="39"/>
      <c r="K218" s="28">
        <f>TABL1234[[#This Row],[خط (T/B  TOT) SAR]]+TABL1234[[#This Row],[خط (S/S  TOT) SAR2]]</f>
        <v>0</v>
      </c>
      <c r="L218" s="41"/>
      <c r="M218" s="42"/>
      <c r="N218" s="42"/>
      <c r="O218" s="39"/>
      <c r="P218" s="3">
        <f>TABL1234[[#This Row],[خط (S/S  TOT) SAR2]]-TABL1234[[#This Row],[(S/S TOT) AJD]]</f>
        <v>0</v>
      </c>
      <c r="Q218" s="39"/>
      <c r="R218" s="3">
        <f>TABL1234[[#This Row],[خط (T/B  TOT) SAR]]-TABL1234[[#This Row],[(T/B TOT) AJD]]</f>
        <v>0</v>
      </c>
      <c r="S218" s="3">
        <f>TABL1234[[#This Row],[الفرق بين بداية ونهاية خط  T/B]]+TABL1234[[#This Row],[الفرق بين بداية ونهاية خط  S/S]]</f>
        <v>0</v>
      </c>
      <c r="T218" s="3">
        <f>TABL1234[[#This Row],[(S/S TOT) AJD]]+TABL1234[[#This Row],[(T/B TOT) AJD]]</f>
        <v>0</v>
      </c>
      <c r="U218" s="41"/>
      <c r="V218" s="41"/>
      <c r="W218" s="3">
        <f>TABL1234[[#This Row],[(A/B TOT) AJD]]+TABL1234[[#This Row],[(A/S TOT) AJD]]</f>
        <v>0</v>
      </c>
      <c r="X218" s="3">
        <f>TABL1234[[#This Row],[( S/S+T/B) AJD]]-TABL1234[[#This Row],[(A/B + A/S) AJD]]</f>
        <v>0</v>
      </c>
      <c r="Y218" s="41"/>
      <c r="Z218" s="43"/>
      <c r="AA218" s="3">
        <f>TABL1234[[#This Row],[(RESV. STORGE) AJD]]/10</f>
        <v>0</v>
      </c>
      <c r="AB218" s="3">
        <f t="shared" si="7"/>
        <v>0</v>
      </c>
      <c r="AC218" s="5"/>
      <c r="AD218" s="39">
        <f>TABL1234[[#This Row],[( S/S+T/B) AJD]]-(TABL1234[[#This Row],[(A/B + A/S) AJD]]+(TABL1234[[#This Row],[(STORGE DIFF.) AJD]]*1000)+TABL1234[[#This Row],[البخر  AJD]])</f>
        <v>0</v>
      </c>
      <c r="AE218" s="41"/>
      <c r="AF218" s="43"/>
      <c r="AG218" s="43"/>
      <c r="AH218" s="6"/>
      <c r="AI218" s="43"/>
      <c r="AJ218" s="43">
        <f>TABL1234[[#This Row],[(A/B TOT) AJD]]-TABL1234[[#This Row],[BER_ IN]]</f>
        <v>0</v>
      </c>
      <c r="AK218" s="43"/>
      <c r="AL218" s="43"/>
      <c r="AM218" s="32"/>
      <c r="AN218" s="32">
        <f>TABL1234[[#This Row],[ (RESV. STORGE) SER]]/10</f>
        <v>0</v>
      </c>
      <c r="AO218" s="68"/>
      <c r="AP218" s="68">
        <f>TABL1234[[#This Row],[(A/S TOT) AJD]]-TABL1234[[#This Row],[SER_ IN]]</f>
        <v>0</v>
      </c>
    </row>
    <row r="219" spans="1:42" ht="18.75" x14ac:dyDescent="0.25">
      <c r="A219" s="2">
        <v>46605</v>
      </c>
      <c r="B219" s="44"/>
      <c r="C219" s="44"/>
      <c r="D219" s="44"/>
      <c r="E219" s="28"/>
      <c r="F219" s="44"/>
      <c r="G219" s="40"/>
      <c r="H219" s="28">
        <f t="shared" si="6"/>
        <v>103</v>
      </c>
      <c r="I219" s="40"/>
      <c r="J219" s="44"/>
      <c r="K219" s="28">
        <f>TABL1234[[#This Row],[خط (T/B  TOT) SAR]]+TABL1234[[#This Row],[خط (S/S  TOT) SAR2]]</f>
        <v>0</v>
      </c>
      <c r="L219" s="45"/>
      <c r="M219" s="46"/>
      <c r="N219" s="46"/>
      <c r="O219" s="40"/>
      <c r="P219" s="3">
        <f>TABL1234[[#This Row],[خط (S/S  TOT) SAR2]]-TABL1234[[#This Row],[(S/S TOT) AJD]]</f>
        <v>0</v>
      </c>
      <c r="Q219" s="40"/>
      <c r="R219" s="3">
        <f>TABL1234[[#This Row],[خط (T/B  TOT) SAR]]-TABL1234[[#This Row],[(T/B TOT) AJD]]</f>
        <v>0</v>
      </c>
      <c r="S219" s="3">
        <f>TABL1234[[#This Row],[الفرق بين بداية ونهاية خط  T/B]]+TABL1234[[#This Row],[الفرق بين بداية ونهاية خط  S/S]]</f>
        <v>0</v>
      </c>
      <c r="T219" s="3">
        <f>TABL1234[[#This Row],[(S/S TOT) AJD]]+TABL1234[[#This Row],[(T/B TOT) AJD]]</f>
        <v>0</v>
      </c>
      <c r="U219" s="44"/>
      <c r="V219" s="44"/>
      <c r="W219" s="3">
        <f>TABL1234[[#This Row],[(A/B TOT) AJD]]+TABL1234[[#This Row],[(A/S TOT) AJD]]</f>
        <v>0</v>
      </c>
      <c r="X219" s="3">
        <f>TABL1234[[#This Row],[( S/S+T/B) AJD]]-TABL1234[[#This Row],[(A/B + A/S) AJD]]</f>
        <v>0</v>
      </c>
      <c r="Y219" s="44"/>
      <c r="Z219" s="45"/>
      <c r="AA219" s="3">
        <f>TABL1234[[#This Row],[(RESV. STORGE) AJD]]/10</f>
        <v>0</v>
      </c>
      <c r="AB219" s="3">
        <f t="shared" si="7"/>
        <v>0</v>
      </c>
      <c r="AC219" s="5"/>
      <c r="AD219" s="40">
        <f>TABL1234[[#This Row],[( S/S+T/B) AJD]]-(TABL1234[[#This Row],[(A/B + A/S) AJD]]+(TABL1234[[#This Row],[(STORGE DIFF.) AJD]]*1000)+TABL1234[[#This Row],[البخر  AJD]])</f>
        <v>0</v>
      </c>
      <c r="AE219" s="44"/>
      <c r="AF219" s="45"/>
      <c r="AG219" s="45"/>
      <c r="AH219" s="6"/>
      <c r="AI219" s="45"/>
      <c r="AJ219" s="45">
        <f>TABL1234[[#This Row],[(A/B TOT) AJD]]-TABL1234[[#This Row],[BER_ IN]]</f>
        <v>0</v>
      </c>
      <c r="AK219" s="45"/>
      <c r="AL219" s="45"/>
      <c r="AM219" s="32"/>
      <c r="AN219" s="32">
        <f>TABL1234[[#This Row],[ (RESV. STORGE) SER]]/10</f>
        <v>0</v>
      </c>
      <c r="AO219" s="68"/>
      <c r="AP219" s="68">
        <f>TABL1234[[#This Row],[(A/S TOT) AJD]]-TABL1234[[#This Row],[SER_ IN]]</f>
        <v>0</v>
      </c>
    </row>
    <row r="220" spans="1:42" ht="18.75" x14ac:dyDescent="0.25">
      <c r="A220" s="2">
        <v>46606</v>
      </c>
      <c r="B220" s="41"/>
      <c r="C220" s="41"/>
      <c r="D220" s="41"/>
      <c r="E220" s="28"/>
      <c r="F220" s="41"/>
      <c r="G220" s="39"/>
      <c r="H220" s="28">
        <f t="shared" si="6"/>
        <v>103</v>
      </c>
      <c r="I220" s="39"/>
      <c r="J220" s="39"/>
      <c r="K220" s="28">
        <f>TABL1234[[#This Row],[خط (T/B  TOT) SAR]]+TABL1234[[#This Row],[خط (S/S  TOT) SAR2]]</f>
        <v>0</v>
      </c>
      <c r="L220" s="41"/>
      <c r="M220" s="42"/>
      <c r="N220" s="42"/>
      <c r="O220" s="39"/>
      <c r="P220" s="3">
        <f>TABL1234[[#This Row],[خط (S/S  TOT) SAR2]]-TABL1234[[#This Row],[(S/S TOT) AJD]]</f>
        <v>0</v>
      </c>
      <c r="Q220" s="39"/>
      <c r="R220" s="3">
        <f>TABL1234[[#This Row],[خط (T/B  TOT) SAR]]-TABL1234[[#This Row],[(T/B TOT) AJD]]</f>
        <v>0</v>
      </c>
      <c r="S220" s="3">
        <f>TABL1234[[#This Row],[الفرق بين بداية ونهاية خط  T/B]]+TABL1234[[#This Row],[الفرق بين بداية ونهاية خط  S/S]]</f>
        <v>0</v>
      </c>
      <c r="T220" s="3">
        <f>TABL1234[[#This Row],[(S/S TOT) AJD]]+TABL1234[[#This Row],[(T/B TOT) AJD]]</f>
        <v>0</v>
      </c>
      <c r="U220" s="41"/>
      <c r="V220" s="41"/>
      <c r="W220" s="3">
        <f>TABL1234[[#This Row],[(A/B TOT) AJD]]+TABL1234[[#This Row],[(A/S TOT) AJD]]</f>
        <v>0</v>
      </c>
      <c r="X220" s="3">
        <f>TABL1234[[#This Row],[( S/S+T/B) AJD]]-TABL1234[[#This Row],[(A/B + A/S) AJD]]</f>
        <v>0</v>
      </c>
      <c r="Y220" s="41"/>
      <c r="Z220" s="43"/>
      <c r="AA220" s="3">
        <f>TABL1234[[#This Row],[(RESV. STORGE) AJD]]/10</f>
        <v>0</v>
      </c>
      <c r="AB220" s="3">
        <f t="shared" si="7"/>
        <v>0</v>
      </c>
      <c r="AC220" s="5"/>
      <c r="AD220" s="39">
        <f>TABL1234[[#This Row],[( S/S+T/B) AJD]]-(TABL1234[[#This Row],[(A/B + A/S) AJD]]+(TABL1234[[#This Row],[(STORGE DIFF.) AJD]]*1000)+TABL1234[[#This Row],[البخر  AJD]])</f>
        <v>0</v>
      </c>
      <c r="AE220" s="41"/>
      <c r="AF220" s="43"/>
      <c r="AG220" s="43"/>
      <c r="AH220" s="6"/>
      <c r="AI220" s="43"/>
      <c r="AJ220" s="43">
        <f>TABL1234[[#This Row],[(A/B TOT) AJD]]-TABL1234[[#This Row],[BER_ IN]]</f>
        <v>0</v>
      </c>
      <c r="AK220" s="43"/>
      <c r="AL220" s="43"/>
      <c r="AM220" s="32"/>
      <c r="AN220" s="32">
        <f>TABL1234[[#This Row],[ (RESV. STORGE) SER]]/10</f>
        <v>0</v>
      </c>
      <c r="AO220" s="68"/>
      <c r="AP220" s="68">
        <f>TABL1234[[#This Row],[(A/S TOT) AJD]]-TABL1234[[#This Row],[SER_ IN]]</f>
        <v>0</v>
      </c>
    </row>
    <row r="221" spans="1:42" ht="18.75" x14ac:dyDescent="0.25">
      <c r="A221" s="2">
        <v>46607</v>
      </c>
      <c r="B221" s="44"/>
      <c r="C221" s="44"/>
      <c r="D221" s="44"/>
      <c r="E221" s="28"/>
      <c r="F221" s="44"/>
      <c r="G221" s="40"/>
      <c r="H221" s="28">
        <f t="shared" si="6"/>
        <v>103</v>
      </c>
      <c r="I221" s="40"/>
      <c r="J221" s="44"/>
      <c r="K221" s="28">
        <f>TABL1234[[#This Row],[خط (T/B  TOT) SAR]]+TABL1234[[#This Row],[خط (S/S  TOT) SAR2]]</f>
        <v>0</v>
      </c>
      <c r="L221" s="45"/>
      <c r="M221" s="46"/>
      <c r="N221" s="46"/>
      <c r="O221" s="40"/>
      <c r="P221" s="3">
        <f>TABL1234[[#This Row],[خط (S/S  TOT) SAR2]]-TABL1234[[#This Row],[(S/S TOT) AJD]]</f>
        <v>0</v>
      </c>
      <c r="Q221" s="40"/>
      <c r="R221" s="3">
        <f>TABL1234[[#This Row],[خط (T/B  TOT) SAR]]-TABL1234[[#This Row],[(T/B TOT) AJD]]</f>
        <v>0</v>
      </c>
      <c r="S221" s="3">
        <f>TABL1234[[#This Row],[الفرق بين بداية ونهاية خط  T/B]]+TABL1234[[#This Row],[الفرق بين بداية ونهاية خط  S/S]]</f>
        <v>0</v>
      </c>
      <c r="T221" s="3">
        <f>TABL1234[[#This Row],[(S/S TOT) AJD]]+TABL1234[[#This Row],[(T/B TOT) AJD]]</f>
        <v>0</v>
      </c>
      <c r="U221" s="44"/>
      <c r="V221" s="44"/>
      <c r="W221" s="3">
        <f>TABL1234[[#This Row],[(A/B TOT) AJD]]+TABL1234[[#This Row],[(A/S TOT) AJD]]</f>
        <v>0</v>
      </c>
      <c r="X221" s="3">
        <f>TABL1234[[#This Row],[( S/S+T/B) AJD]]-TABL1234[[#This Row],[(A/B + A/S) AJD]]</f>
        <v>0</v>
      </c>
      <c r="Y221" s="44"/>
      <c r="Z221" s="45"/>
      <c r="AA221" s="3">
        <f>TABL1234[[#This Row],[(RESV. STORGE) AJD]]/10</f>
        <v>0</v>
      </c>
      <c r="AB221" s="3">
        <f t="shared" si="7"/>
        <v>0</v>
      </c>
      <c r="AC221" s="5"/>
      <c r="AD221" s="40">
        <f>TABL1234[[#This Row],[( S/S+T/B) AJD]]-(TABL1234[[#This Row],[(A/B + A/S) AJD]]+(TABL1234[[#This Row],[(STORGE DIFF.) AJD]]*1000)+TABL1234[[#This Row],[البخر  AJD]])</f>
        <v>0</v>
      </c>
      <c r="AE221" s="44"/>
      <c r="AF221" s="45"/>
      <c r="AG221" s="45"/>
      <c r="AH221" s="6"/>
      <c r="AI221" s="45"/>
      <c r="AJ221" s="45">
        <f>TABL1234[[#This Row],[(A/B TOT) AJD]]-TABL1234[[#This Row],[BER_ IN]]</f>
        <v>0</v>
      </c>
      <c r="AK221" s="45"/>
      <c r="AL221" s="45"/>
      <c r="AM221" s="32"/>
      <c r="AN221" s="32">
        <f>TABL1234[[#This Row],[ (RESV. STORGE) SER]]/10</f>
        <v>0</v>
      </c>
      <c r="AO221" s="68"/>
      <c r="AP221" s="68">
        <f>TABL1234[[#This Row],[(A/S TOT) AJD]]-TABL1234[[#This Row],[SER_ IN]]</f>
        <v>0</v>
      </c>
    </row>
    <row r="222" spans="1:42" ht="18.75" x14ac:dyDescent="0.25">
      <c r="A222" s="2">
        <v>46608</v>
      </c>
      <c r="B222" s="41"/>
      <c r="C222" s="41"/>
      <c r="D222" s="41"/>
      <c r="E222" s="28"/>
      <c r="F222" s="41"/>
      <c r="G222" s="39"/>
      <c r="H222" s="28">
        <f t="shared" si="6"/>
        <v>103</v>
      </c>
      <c r="I222" s="39"/>
      <c r="J222" s="39"/>
      <c r="K222" s="28">
        <f>TABL1234[[#This Row],[خط (T/B  TOT) SAR]]+TABL1234[[#This Row],[خط (S/S  TOT) SAR2]]</f>
        <v>0</v>
      </c>
      <c r="L222" s="41"/>
      <c r="M222" s="42"/>
      <c r="N222" s="42"/>
      <c r="O222" s="39"/>
      <c r="P222" s="3">
        <f>TABL1234[[#This Row],[خط (S/S  TOT) SAR2]]-TABL1234[[#This Row],[(S/S TOT) AJD]]</f>
        <v>0</v>
      </c>
      <c r="Q222" s="39"/>
      <c r="R222" s="3">
        <f>TABL1234[[#This Row],[خط (T/B  TOT) SAR]]-TABL1234[[#This Row],[(T/B TOT) AJD]]</f>
        <v>0</v>
      </c>
      <c r="S222" s="3">
        <f>TABL1234[[#This Row],[الفرق بين بداية ونهاية خط  T/B]]+TABL1234[[#This Row],[الفرق بين بداية ونهاية خط  S/S]]</f>
        <v>0</v>
      </c>
      <c r="T222" s="3">
        <f>TABL1234[[#This Row],[(S/S TOT) AJD]]+TABL1234[[#This Row],[(T/B TOT) AJD]]</f>
        <v>0</v>
      </c>
      <c r="U222" s="41"/>
      <c r="V222" s="41"/>
      <c r="W222" s="3">
        <f>TABL1234[[#This Row],[(A/B TOT) AJD]]+TABL1234[[#This Row],[(A/S TOT) AJD]]</f>
        <v>0</v>
      </c>
      <c r="X222" s="3">
        <f>TABL1234[[#This Row],[( S/S+T/B) AJD]]-TABL1234[[#This Row],[(A/B + A/S) AJD]]</f>
        <v>0</v>
      </c>
      <c r="Y222" s="41"/>
      <c r="Z222" s="43"/>
      <c r="AA222" s="3">
        <f>TABL1234[[#This Row],[(RESV. STORGE) AJD]]/10</f>
        <v>0</v>
      </c>
      <c r="AB222" s="3">
        <f t="shared" si="7"/>
        <v>0</v>
      </c>
      <c r="AC222" s="5"/>
      <c r="AD222" s="39">
        <f>TABL1234[[#This Row],[( S/S+T/B) AJD]]-(TABL1234[[#This Row],[(A/B + A/S) AJD]]+(TABL1234[[#This Row],[(STORGE DIFF.) AJD]]*1000)+TABL1234[[#This Row],[البخر  AJD]])</f>
        <v>0</v>
      </c>
      <c r="AE222" s="41"/>
      <c r="AF222" s="43"/>
      <c r="AG222" s="43"/>
      <c r="AH222" s="6"/>
      <c r="AI222" s="43"/>
      <c r="AJ222" s="43">
        <f>TABL1234[[#This Row],[(A/B TOT) AJD]]-TABL1234[[#This Row],[BER_ IN]]</f>
        <v>0</v>
      </c>
      <c r="AK222" s="43"/>
      <c r="AL222" s="43"/>
      <c r="AM222" s="32"/>
      <c r="AN222" s="32">
        <f>TABL1234[[#This Row],[ (RESV. STORGE) SER]]/10</f>
        <v>0</v>
      </c>
      <c r="AO222" s="68"/>
      <c r="AP222" s="68">
        <f>TABL1234[[#This Row],[(A/S TOT) AJD]]-TABL1234[[#This Row],[SER_ IN]]</f>
        <v>0</v>
      </c>
    </row>
    <row r="223" spans="1:42" ht="18.75" x14ac:dyDescent="0.25">
      <c r="A223" s="2">
        <v>46609</v>
      </c>
      <c r="B223" s="44"/>
      <c r="C223" s="44"/>
      <c r="D223" s="44"/>
      <c r="E223" s="28"/>
      <c r="F223" s="44"/>
      <c r="G223" s="40"/>
      <c r="H223" s="28">
        <f t="shared" si="6"/>
        <v>103</v>
      </c>
      <c r="I223" s="40"/>
      <c r="J223" s="44"/>
      <c r="K223" s="28">
        <f>TABL1234[[#This Row],[خط (T/B  TOT) SAR]]+TABL1234[[#This Row],[خط (S/S  TOT) SAR2]]</f>
        <v>0</v>
      </c>
      <c r="L223" s="45"/>
      <c r="M223" s="46"/>
      <c r="N223" s="46"/>
      <c r="O223" s="40"/>
      <c r="P223" s="3">
        <f>TABL1234[[#This Row],[خط (S/S  TOT) SAR2]]-TABL1234[[#This Row],[(S/S TOT) AJD]]</f>
        <v>0</v>
      </c>
      <c r="Q223" s="40"/>
      <c r="R223" s="3">
        <f>TABL1234[[#This Row],[خط (T/B  TOT) SAR]]-TABL1234[[#This Row],[(T/B TOT) AJD]]</f>
        <v>0</v>
      </c>
      <c r="S223" s="3">
        <f>TABL1234[[#This Row],[الفرق بين بداية ونهاية خط  T/B]]+TABL1234[[#This Row],[الفرق بين بداية ونهاية خط  S/S]]</f>
        <v>0</v>
      </c>
      <c r="T223" s="3">
        <f>TABL1234[[#This Row],[(S/S TOT) AJD]]+TABL1234[[#This Row],[(T/B TOT) AJD]]</f>
        <v>0</v>
      </c>
      <c r="U223" s="44"/>
      <c r="V223" s="44"/>
      <c r="W223" s="3">
        <f>TABL1234[[#This Row],[(A/B TOT) AJD]]+TABL1234[[#This Row],[(A/S TOT) AJD]]</f>
        <v>0</v>
      </c>
      <c r="X223" s="3">
        <f>TABL1234[[#This Row],[( S/S+T/B) AJD]]-TABL1234[[#This Row],[(A/B + A/S) AJD]]</f>
        <v>0</v>
      </c>
      <c r="Y223" s="44"/>
      <c r="Z223" s="45"/>
      <c r="AA223" s="3">
        <f>TABL1234[[#This Row],[(RESV. STORGE) AJD]]/10</f>
        <v>0</v>
      </c>
      <c r="AB223" s="3">
        <f t="shared" si="7"/>
        <v>0</v>
      </c>
      <c r="AC223" s="5"/>
      <c r="AD223" s="40">
        <f>TABL1234[[#This Row],[( S/S+T/B) AJD]]-(TABL1234[[#This Row],[(A/B + A/S) AJD]]+(TABL1234[[#This Row],[(STORGE DIFF.) AJD]]*1000)+TABL1234[[#This Row],[البخر  AJD]])</f>
        <v>0</v>
      </c>
      <c r="AE223" s="44"/>
      <c r="AF223" s="45"/>
      <c r="AG223" s="45"/>
      <c r="AH223" s="6"/>
      <c r="AI223" s="45"/>
      <c r="AJ223" s="45">
        <f>TABL1234[[#This Row],[(A/B TOT) AJD]]-TABL1234[[#This Row],[BER_ IN]]</f>
        <v>0</v>
      </c>
      <c r="AK223" s="45"/>
      <c r="AL223" s="45"/>
      <c r="AM223" s="32"/>
      <c r="AN223" s="32">
        <f>TABL1234[[#This Row],[ (RESV. STORGE) SER]]/10</f>
        <v>0</v>
      </c>
      <c r="AO223" s="68"/>
      <c r="AP223" s="68">
        <f>TABL1234[[#This Row],[(A/S TOT) AJD]]-TABL1234[[#This Row],[SER_ IN]]</f>
        <v>0</v>
      </c>
    </row>
    <row r="224" spans="1:42" ht="18.75" x14ac:dyDescent="0.25">
      <c r="A224" s="2">
        <v>46610</v>
      </c>
      <c r="B224" s="41"/>
      <c r="C224" s="41"/>
      <c r="D224" s="41"/>
      <c r="E224" s="28"/>
      <c r="F224" s="41"/>
      <c r="G224" s="39"/>
      <c r="H224" s="28">
        <f t="shared" si="6"/>
        <v>103</v>
      </c>
      <c r="I224" s="39"/>
      <c r="J224" s="39"/>
      <c r="K224" s="28">
        <f>TABL1234[[#This Row],[خط (T/B  TOT) SAR]]+TABL1234[[#This Row],[خط (S/S  TOT) SAR2]]</f>
        <v>0</v>
      </c>
      <c r="L224" s="41"/>
      <c r="M224" s="42"/>
      <c r="N224" s="42"/>
      <c r="O224" s="39"/>
      <c r="P224" s="3">
        <f>TABL1234[[#This Row],[خط (S/S  TOT) SAR2]]-TABL1234[[#This Row],[(S/S TOT) AJD]]</f>
        <v>0</v>
      </c>
      <c r="Q224" s="39"/>
      <c r="R224" s="3">
        <f>TABL1234[[#This Row],[خط (T/B  TOT) SAR]]-TABL1234[[#This Row],[(T/B TOT) AJD]]</f>
        <v>0</v>
      </c>
      <c r="S224" s="3">
        <f>TABL1234[[#This Row],[الفرق بين بداية ونهاية خط  T/B]]+TABL1234[[#This Row],[الفرق بين بداية ونهاية خط  S/S]]</f>
        <v>0</v>
      </c>
      <c r="T224" s="3">
        <f>TABL1234[[#This Row],[(S/S TOT) AJD]]+TABL1234[[#This Row],[(T/B TOT) AJD]]</f>
        <v>0</v>
      </c>
      <c r="U224" s="41"/>
      <c r="V224" s="41"/>
      <c r="W224" s="3">
        <f>TABL1234[[#This Row],[(A/B TOT) AJD]]+TABL1234[[#This Row],[(A/S TOT) AJD]]</f>
        <v>0</v>
      </c>
      <c r="X224" s="3">
        <f>TABL1234[[#This Row],[( S/S+T/B) AJD]]-TABL1234[[#This Row],[(A/B + A/S) AJD]]</f>
        <v>0</v>
      </c>
      <c r="Y224" s="41"/>
      <c r="Z224" s="43"/>
      <c r="AA224" s="3">
        <f>TABL1234[[#This Row],[(RESV. STORGE) AJD]]/10</f>
        <v>0</v>
      </c>
      <c r="AB224" s="3">
        <f t="shared" si="7"/>
        <v>0</v>
      </c>
      <c r="AC224" s="5"/>
      <c r="AD224" s="39">
        <f>TABL1234[[#This Row],[( S/S+T/B) AJD]]-(TABL1234[[#This Row],[(A/B + A/S) AJD]]+(TABL1234[[#This Row],[(STORGE DIFF.) AJD]]*1000)+TABL1234[[#This Row],[البخر  AJD]])</f>
        <v>0</v>
      </c>
      <c r="AE224" s="41"/>
      <c r="AF224" s="43"/>
      <c r="AG224" s="68"/>
      <c r="AH224" s="6"/>
      <c r="AI224" s="43"/>
      <c r="AJ224" s="68">
        <f>TABL1234[[#This Row],[(A/B TOT) AJD]]-TABL1234[[#This Row],[BER_ IN]]</f>
        <v>0</v>
      </c>
      <c r="AK224" s="43"/>
      <c r="AL224" s="43"/>
      <c r="AM224" s="32"/>
      <c r="AN224" s="32">
        <f>TABL1234[[#This Row],[ (RESV. STORGE) SER]]/10</f>
        <v>0</v>
      </c>
      <c r="AO224" s="68"/>
      <c r="AP224" s="68">
        <f>TABL1234[[#This Row],[(A/S TOT) AJD]]-TABL1234[[#This Row],[SER_ IN]]</f>
        <v>0</v>
      </c>
    </row>
    <row r="225" spans="1:42" ht="18.75" x14ac:dyDescent="0.25">
      <c r="A225" s="2">
        <v>46611</v>
      </c>
      <c r="B225" s="44"/>
      <c r="C225" s="44"/>
      <c r="D225" s="44"/>
      <c r="E225" s="28"/>
      <c r="F225" s="44"/>
      <c r="G225" s="40"/>
      <c r="H225" s="28">
        <f t="shared" si="6"/>
        <v>103</v>
      </c>
      <c r="I225" s="40"/>
      <c r="J225" s="44"/>
      <c r="K225" s="28">
        <f>TABL1234[[#This Row],[خط (T/B  TOT) SAR]]+TABL1234[[#This Row],[خط (S/S  TOT) SAR2]]</f>
        <v>0</v>
      </c>
      <c r="L225" s="45"/>
      <c r="M225" s="46"/>
      <c r="N225" s="46"/>
      <c r="O225" s="40"/>
      <c r="P225" s="3">
        <f>TABL1234[[#This Row],[خط (S/S  TOT) SAR2]]-TABL1234[[#This Row],[(S/S TOT) AJD]]</f>
        <v>0</v>
      </c>
      <c r="Q225" s="40"/>
      <c r="R225" s="3">
        <f>TABL1234[[#This Row],[خط (T/B  TOT) SAR]]-TABL1234[[#This Row],[(T/B TOT) AJD]]</f>
        <v>0</v>
      </c>
      <c r="S225" s="3">
        <f>TABL1234[[#This Row],[الفرق بين بداية ونهاية خط  T/B]]+TABL1234[[#This Row],[الفرق بين بداية ونهاية خط  S/S]]</f>
        <v>0</v>
      </c>
      <c r="T225" s="3">
        <f>TABL1234[[#This Row],[(S/S TOT) AJD]]+TABL1234[[#This Row],[(T/B TOT) AJD]]</f>
        <v>0</v>
      </c>
      <c r="U225" s="44"/>
      <c r="V225" s="44"/>
      <c r="W225" s="3">
        <f>TABL1234[[#This Row],[(A/B TOT) AJD]]+TABL1234[[#This Row],[(A/S TOT) AJD]]</f>
        <v>0</v>
      </c>
      <c r="X225" s="3">
        <f>TABL1234[[#This Row],[( S/S+T/B) AJD]]-TABL1234[[#This Row],[(A/B + A/S) AJD]]</f>
        <v>0</v>
      </c>
      <c r="Y225" s="44"/>
      <c r="Z225" s="45"/>
      <c r="AA225" s="3">
        <f>TABL1234[[#This Row],[(RESV. STORGE) AJD]]/10</f>
        <v>0</v>
      </c>
      <c r="AB225" s="3">
        <f t="shared" si="7"/>
        <v>0</v>
      </c>
      <c r="AC225" s="5"/>
      <c r="AD225" s="40">
        <f>TABL1234[[#This Row],[( S/S+T/B) AJD]]-(TABL1234[[#This Row],[(A/B + A/S) AJD]]+(TABL1234[[#This Row],[(STORGE DIFF.) AJD]]*1000)+TABL1234[[#This Row],[البخر  AJD]])</f>
        <v>0</v>
      </c>
      <c r="AE225" s="44"/>
      <c r="AF225" s="45"/>
      <c r="AG225" s="45"/>
      <c r="AH225" s="6"/>
      <c r="AI225" s="45"/>
      <c r="AJ225" s="45">
        <f>TABL1234[[#This Row],[(A/B TOT) AJD]]-TABL1234[[#This Row],[BER_ IN]]</f>
        <v>0</v>
      </c>
      <c r="AK225" s="45"/>
      <c r="AL225" s="45"/>
      <c r="AM225" s="32"/>
      <c r="AN225" s="32">
        <f>TABL1234[[#This Row],[ (RESV. STORGE) SER]]/10</f>
        <v>0</v>
      </c>
      <c r="AO225" s="68"/>
      <c r="AP225" s="68">
        <f>TABL1234[[#This Row],[(A/S TOT) AJD]]-TABL1234[[#This Row],[SER_ IN]]</f>
        <v>0</v>
      </c>
    </row>
    <row r="226" spans="1:42" ht="18.75" x14ac:dyDescent="0.25">
      <c r="A226" s="2">
        <v>46612</v>
      </c>
      <c r="B226" s="41"/>
      <c r="C226" s="41"/>
      <c r="D226" s="41"/>
      <c r="E226" s="28"/>
      <c r="F226" s="41"/>
      <c r="G226" s="39"/>
      <c r="H226" s="28">
        <f t="shared" si="6"/>
        <v>103</v>
      </c>
      <c r="I226" s="39"/>
      <c r="J226" s="39"/>
      <c r="K226" s="28">
        <f>TABL1234[[#This Row],[خط (T/B  TOT) SAR]]+TABL1234[[#This Row],[خط (S/S  TOT) SAR2]]</f>
        <v>0</v>
      </c>
      <c r="L226" s="41"/>
      <c r="M226" s="42"/>
      <c r="N226" s="42"/>
      <c r="O226" s="39"/>
      <c r="P226" s="3">
        <f>TABL1234[[#This Row],[خط (S/S  TOT) SAR2]]-TABL1234[[#This Row],[(S/S TOT) AJD]]</f>
        <v>0</v>
      </c>
      <c r="Q226" s="39"/>
      <c r="R226" s="3">
        <f>TABL1234[[#This Row],[خط (T/B  TOT) SAR]]-TABL1234[[#This Row],[(T/B TOT) AJD]]</f>
        <v>0</v>
      </c>
      <c r="S226" s="3">
        <f>TABL1234[[#This Row],[الفرق بين بداية ونهاية خط  T/B]]+TABL1234[[#This Row],[الفرق بين بداية ونهاية خط  S/S]]</f>
        <v>0</v>
      </c>
      <c r="T226" s="3">
        <f>TABL1234[[#This Row],[(S/S TOT) AJD]]+TABL1234[[#This Row],[(T/B TOT) AJD]]</f>
        <v>0</v>
      </c>
      <c r="U226" s="41"/>
      <c r="V226" s="41"/>
      <c r="W226" s="3">
        <f>TABL1234[[#This Row],[(A/B TOT) AJD]]+TABL1234[[#This Row],[(A/S TOT) AJD]]</f>
        <v>0</v>
      </c>
      <c r="X226" s="3">
        <f>TABL1234[[#This Row],[( S/S+T/B) AJD]]-TABL1234[[#This Row],[(A/B + A/S) AJD]]</f>
        <v>0</v>
      </c>
      <c r="Y226" s="41"/>
      <c r="Z226" s="43"/>
      <c r="AA226" s="3">
        <f>TABL1234[[#This Row],[(RESV. STORGE) AJD]]/10</f>
        <v>0</v>
      </c>
      <c r="AB226" s="3">
        <f t="shared" si="7"/>
        <v>0</v>
      </c>
      <c r="AC226" s="5"/>
      <c r="AD226" s="39">
        <f>TABL1234[[#This Row],[( S/S+T/B) AJD]]-(TABL1234[[#This Row],[(A/B + A/S) AJD]]+(TABL1234[[#This Row],[(STORGE DIFF.) AJD]]*1000)+TABL1234[[#This Row],[البخر  AJD]])</f>
        <v>0</v>
      </c>
      <c r="AE226" s="41"/>
      <c r="AF226" s="43"/>
      <c r="AG226" s="43"/>
      <c r="AH226" s="6"/>
      <c r="AI226" s="43"/>
      <c r="AJ226" s="43">
        <f>TABL1234[[#This Row],[(A/B TOT) AJD]]-TABL1234[[#This Row],[BER_ IN]]</f>
        <v>0</v>
      </c>
      <c r="AK226" s="43"/>
      <c r="AL226" s="43"/>
      <c r="AM226" s="32"/>
      <c r="AN226" s="32">
        <f>TABL1234[[#This Row],[ (RESV. STORGE) SER]]/10</f>
        <v>0</v>
      </c>
      <c r="AO226" s="68"/>
      <c r="AP226" s="68">
        <f>TABL1234[[#This Row],[(A/S TOT) AJD]]-TABL1234[[#This Row],[SER_ IN]]</f>
        <v>0</v>
      </c>
    </row>
    <row r="227" spans="1:42" ht="18.75" x14ac:dyDescent="0.25">
      <c r="A227" s="2">
        <v>46613</v>
      </c>
      <c r="B227" s="44"/>
      <c r="C227" s="44"/>
      <c r="D227" s="44"/>
      <c r="E227" s="28"/>
      <c r="F227" s="44"/>
      <c r="G227" s="40"/>
      <c r="H227" s="28">
        <f t="shared" si="6"/>
        <v>103</v>
      </c>
      <c r="I227" s="40"/>
      <c r="J227" s="44"/>
      <c r="K227" s="28">
        <f>TABL1234[[#This Row],[خط (T/B  TOT) SAR]]+TABL1234[[#This Row],[خط (S/S  TOT) SAR2]]</f>
        <v>0</v>
      </c>
      <c r="L227" s="45"/>
      <c r="M227" s="46"/>
      <c r="N227" s="46"/>
      <c r="O227" s="40"/>
      <c r="P227" s="3">
        <f>TABL1234[[#This Row],[خط (S/S  TOT) SAR2]]-TABL1234[[#This Row],[(S/S TOT) AJD]]</f>
        <v>0</v>
      </c>
      <c r="Q227" s="40"/>
      <c r="R227" s="3">
        <f>TABL1234[[#This Row],[خط (T/B  TOT) SAR]]-TABL1234[[#This Row],[(T/B TOT) AJD]]</f>
        <v>0</v>
      </c>
      <c r="S227" s="3">
        <f>TABL1234[[#This Row],[الفرق بين بداية ونهاية خط  T/B]]+TABL1234[[#This Row],[الفرق بين بداية ونهاية خط  S/S]]</f>
        <v>0</v>
      </c>
      <c r="T227" s="3">
        <f>TABL1234[[#This Row],[(S/S TOT) AJD]]+TABL1234[[#This Row],[(T/B TOT) AJD]]</f>
        <v>0</v>
      </c>
      <c r="U227" s="44"/>
      <c r="V227" s="44"/>
      <c r="W227" s="3">
        <f>TABL1234[[#This Row],[(A/B TOT) AJD]]+TABL1234[[#This Row],[(A/S TOT) AJD]]</f>
        <v>0</v>
      </c>
      <c r="X227" s="3">
        <f>TABL1234[[#This Row],[( S/S+T/B) AJD]]-TABL1234[[#This Row],[(A/B + A/S) AJD]]</f>
        <v>0</v>
      </c>
      <c r="Y227" s="44"/>
      <c r="Z227" s="45"/>
      <c r="AA227" s="3">
        <f>TABL1234[[#This Row],[(RESV. STORGE) AJD]]/10</f>
        <v>0</v>
      </c>
      <c r="AB227" s="3">
        <f t="shared" si="7"/>
        <v>0</v>
      </c>
      <c r="AC227" s="5"/>
      <c r="AD227" s="40">
        <f>TABL1234[[#This Row],[( S/S+T/B) AJD]]-(TABL1234[[#This Row],[(A/B + A/S) AJD]]+(TABL1234[[#This Row],[(STORGE DIFF.) AJD]]*1000)+TABL1234[[#This Row],[البخر  AJD]])</f>
        <v>0</v>
      </c>
      <c r="AE227" s="44"/>
      <c r="AF227" s="45"/>
      <c r="AG227" s="45"/>
      <c r="AH227" s="6"/>
      <c r="AI227" s="45"/>
      <c r="AJ227" s="45">
        <f>TABL1234[[#This Row],[(A/B TOT) AJD]]-TABL1234[[#This Row],[BER_ IN]]</f>
        <v>0</v>
      </c>
      <c r="AK227" s="45"/>
      <c r="AL227" s="45"/>
      <c r="AM227" s="32"/>
      <c r="AN227" s="32">
        <f>TABL1234[[#This Row],[ (RESV. STORGE) SER]]/10</f>
        <v>0</v>
      </c>
      <c r="AO227" s="68"/>
      <c r="AP227" s="68">
        <f>TABL1234[[#This Row],[(A/S TOT) AJD]]-TABL1234[[#This Row],[SER_ IN]]</f>
        <v>0</v>
      </c>
    </row>
    <row r="228" spans="1:42" ht="18.75" x14ac:dyDescent="0.25">
      <c r="A228" s="2">
        <v>46614</v>
      </c>
      <c r="B228" s="41"/>
      <c r="C228" s="41"/>
      <c r="D228" s="41"/>
      <c r="E228" s="28"/>
      <c r="F228" s="41"/>
      <c r="G228" s="39"/>
      <c r="H228" s="28">
        <f t="shared" si="6"/>
        <v>103</v>
      </c>
      <c r="I228" s="39"/>
      <c r="J228" s="39"/>
      <c r="K228" s="28">
        <f>TABL1234[[#This Row],[خط (T/B  TOT) SAR]]+TABL1234[[#This Row],[خط (S/S  TOT) SAR2]]</f>
        <v>0</v>
      </c>
      <c r="L228" s="41"/>
      <c r="M228" s="42"/>
      <c r="N228" s="42"/>
      <c r="O228" s="39"/>
      <c r="P228" s="3">
        <f>TABL1234[[#This Row],[خط (S/S  TOT) SAR2]]-TABL1234[[#This Row],[(S/S TOT) AJD]]</f>
        <v>0</v>
      </c>
      <c r="Q228" s="39"/>
      <c r="R228" s="3">
        <f>TABL1234[[#This Row],[خط (T/B  TOT) SAR]]-TABL1234[[#This Row],[(T/B TOT) AJD]]</f>
        <v>0</v>
      </c>
      <c r="S228" s="3">
        <f>TABL1234[[#This Row],[الفرق بين بداية ونهاية خط  T/B]]+TABL1234[[#This Row],[الفرق بين بداية ونهاية خط  S/S]]</f>
        <v>0</v>
      </c>
      <c r="T228" s="3">
        <f>TABL1234[[#This Row],[(S/S TOT) AJD]]+TABL1234[[#This Row],[(T/B TOT) AJD]]</f>
        <v>0</v>
      </c>
      <c r="U228" s="41"/>
      <c r="V228" s="41"/>
      <c r="W228" s="3">
        <f>TABL1234[[#This Row],[(A/B TOT) AJD]]+TABL1234[[#This Row],[(A/S TOT) AJD]]</f>
        <v>0</v>
      </c>
      <c r="X228" s="3">
        <f>TABL1234[[#This Row],[( S/S+T/B) AJD]]-TABL1234[[#This Row],[(A/B + A/S) AJD]]</f>
        <v>0</v>
      </c>
      <c r="Y228" s="41"/>
      <c r="Z228" s="43"/>
      <c r="AA228" s="3">
        <f>TABL1234[[#This Row],[(RESV. STORGE) AJD]]/10</f>
        <v>0</v>
      </c>
      <c r="AB228" s="3">
        <f t="shared" si="7"/>
        <v>0</v>
      </c>
      <c r="AC228" s="5"/>
      <c r="AD228" s="39">
        <f>TABL1234[[#This Row],[( S/S+T/B) AJD]]-(TABL1234[[#This Row],[(A/B + A/S) AJD]]+(TABL1234[[#This Row],[(STORGE DIFF.) AJD]]*1000)+TABL1234[[#This Row],[البخر  AJD]])</f>
        <v>0</v>
      </c>
      <c r="AE228" s="41"/>
      <c r="AF228" s="43"/>
      <c r="AG228" s="43"/>
      <c r="AH228" s="6"/>
      <c r="AI228" s="43"/>
      <c r="AJ228" s="43">
        <f>TABL1234[[#This Row],[(A/B TOT) AJD]]-TABL1234[[#This Row],[BER_ IN]]</f>
        <v>0</v>
      </c>
      <c r="AK228" s="43"/>
      <c r="AL228" s="43"/>
      <c r="AM228" s="32"/>
      <c r="AN228" s="32">
        <f>TABL1234[[#This Row],[ (RESV. STORGE) SER]]/10</f>
        <v>0</v>
      </c>
      <c r="AO228" s="68"/>
      <c r="AP228" s="68">
        <f>TABL1234[[#This Row],[(A/S TOT) AJD]]-TABL1234[[#This Row],[SER_ IN]]</f>
        <v>0</v>
      </c>
    </row>
    <row r="229" spans="1:42" ht="18.75" x14ac:dyDescent="0.25">
      <c r="A229" s="2">
        <v>46615</v>
      </c>
      <c r="B229" s="44"/>
      <c r="C229" s="44"/>
      <c r="D229" s="44"/>
      <c r="E229" s="28"/>
      <c r="F229" s="44"/>
      <c r="G229" s="40"/>
      <c r="H229" s="28">
        <f t="shared" si="6"/>
        <v>103</v>
      </c>
      <c r="I229" s="40"/>
      <c r="J229" s="44"/>
      <c r="K229" s="28">
        <f>TABL1234[[#This Row],[خط (T/B  TOT) SAR]]+TABL1234[[#This Row],[خط (S/S  TOT) SAR2]]</f>
        <v>0</v>
      </c>
      <c r="L229" s="45"/>
      <c r="M229" s="46"/>
      <c r="N229" s="46"/>
      <c r="O229" s="40"/>
      <c r="P229" s="3">
        <f>TABL1234[[#This Row],[خط (S/S  TOT) SAR2]]-TABL1234[[#This Row],[(S/S TOT) AJD]]</f>
        <v>0</v>
      </c>
      <c r="Q229" s="40"/>
      <c r="R229" s="3">
        <f>TABL1234[[#This Row],[خط (T/B  TOT) SAR]]-TABL1234[[#This Row],[(T/B TOT) AJD]]</f>
        <v>0</v>
      </c>
      <c r="S229" s="3">
        <f>TABL1234[[#This Row],[الفرق بين بداية ونهاية خط  T/B]]+TABL1234[[#This Row],[الفرق بين بداية ونهاية خط  S/S]]</f>
        <v>0</v>
      </c>
      <c r="T229" s="3">
        <f>TABL1234[[#This Row],[(S/S TOT) AJD]]+TABL1234[[#This Row],[(T/B TOT) AJD]]</f>
        <v>0</v>
      </c>
      <c r="U229" s="44"/>
      <c r="V229" s="44"/>
      <c r="W229" s="3">
        <f>TABL1234[[#This Row],[(A/B TOT) AJD]]+TABL1234[[#This Row],[(A/S TOT) AJD]]</f>
        <v>0</v>
      </c>
      <c r="X229" s="3">
        <f>TABL1234[[#This Row],[( S/S+T/B) AJD]]-TABL1234[[#This Row],[(A/B + A/S) AJD]]</f>
        <v>0</v>
      </c>
      <c r="Y229" s="44"/>
      <c r="Z229" s="45"/>
      <c r="AA229" s="3">
        <f>TABL1234[[#This Row],[(RESV. STORGE) AJD]]/10</f>
        <v>0</v>
      </c>
      <c r="AB229" s="3">
        <f t="shared" si="7"/>
        <v>0</v>
      </c>
      <c r="AC229" s="5"/>
      <c r="AD229" s="40">
        <f>TABL1234[[#This Row],[( S/S+T/B) AJD]]-(TABL1234[[#This Row],[(A/B + A/S) AJD]]+(TABL1234[[#This Row],[(STORGE DIFF.) AJD]]*1000)+TABL1234[[#This Row],[البخر  AJD]])</f>
        <v>0</v>
      </c>
      <c r="AE229" s="44"/>
      <c r="AF229" s="45"/>
      <c r="AG229" s="45"/>
      <c r="AH229" s="6"/>
      <c r="AI229" s="45"/>
      <c r="AJ229" s="45">
        <f>TABL1234[[#This Row],[(A/B TOT) AJD]]-TABL1234[[#This Row],[BER_ IN]]</f>
        <v>0</v>
      </c>
      <c r="AK229" s="45"/>
      <c r="AL229" s="45"/>
      <c r="AM229" s="32"/>
      <c r="AN229" s="32">
        <f>TABL1234[[#This Row],[ (RESV. STORGE) SER]]/10</f>
        <v>0</v>
      </c>
      <c r="AO229" s="68"/>
      <c r="AP229" s="68">
        <f>TABL1234[[#This Row],[(A/S TOT) AJD]]-TABL1234[[#This Row],[SER_ IN]]</f>
        <v>0</v>
      </c>
    </row>
    <row r="230" spans="1:42" ht="18.75" x14ac:dyDescent="0.25">
      <c r="A230" s="2">
        <v>46616</v>
      </c>
      <c r="B230" s="41"/>
      <c r="C230" s="41"/>
      <c r="D230" s="41"/>
      <c r="E230" s="28"/>
      <c r="F230" s="41"/>
      <c r="G230" s="39"/>
      <c r="H230" s="28">
        <f t="shared" si="6"/>
        <v>103</v>
      </c>
      <c r="I230" s="39"/>
      <c r="J230" s="39"/>
      <c r="K230" s="28">
        <f>TABL1234[[#This Row],[خط (T/B  TOT) SAR]]+TABL1234[[#This Row],[خط (S/S  TOT) SAR2]]</f>
        <v>0</v>
      </c>
      <c r="L230" s="41"/>
      <c r="M230" s="42"/>
      <c r="N230" s="42"/>
      <c r="O230" s="39"/>
      <c r="P230" s="3">
        <f>TABL1234[[#This Row],[خط (S/S  TOT) SAR2]]-TABL1234[[#This Row],[(S/S TOT) AJD]]</f>
        <v>0</v>
      </c>
      <c r="Q230" s="39"/>
      <c r="R230" s="3">
        <f>TABL1234[[#This Row],[خط (T/B  TOT) SAR]]-TABL1234[[#This Row],[(T/B TOT) AJD]]</f>
        <v>0</v>
      </c>
      <c r="S230" s="3">
        <f>TABL1234[[#This Row],[الفرق بين بداية ونهاية خط  T/B]]+TABL1234[[#This Row],[الفرق بين بداية ونهاية خط  S/S]]</f>
        <v>0</v>
      </c>
      <c r="T230" s="3">
        <f>TABL1234[[#This Row],[(S/S TOT) AJD]]+TABL1234[[#This Row],[(T/B TOT) AJD]]</f>
        <v>0</v>
      </c>
      <c r="U230" s="41"/>
      <c r="V230" s="41"/>
      <c r="W230" s="3">
        <f>TABL1234[[#This Row],[(A/B TOT) AJD]]+TABL1234[[#This Row],[(A/S TOT) AJD]]</f>
        <v>0</v>
      </c>
      <c r="X230" s="3">
        <f>TABL1234[[#This Row],[( S/S+T/B) AJD]]-TABL1234[[#This Row],[(A/B + A/S) AJD]]</f>
        <v>0</v>
      </c>
      <c r="Y230" s="41"/>
      <c r="Z230" s="43"/>
      <c r="AA230" s="3">
        <f>TABL1234[[#This Row],[(RESV. STORGE) AJD]]/10</f>
        <v>0</v>
      </c>
      <c r="AB230" s="3">
        <f t="shared" si="7"/>
        <v>0</v>
      </c>
      <c r="AC230" s="5"/>
      <c r="AD230" s="39">
        <f>TABL1234[[#This Row],[( S/S+T/B) AJD]]-(TABL1234[[#This Row],[(A/B + A/S) AJD]]+(TABL1234[[#This Row],[(STORGE DIFF.) AJD]]*1000)+TABL1234[[#This Row],[البخر  AJD]])</f>
        <v>0</v>
      </c>
      <c r="AE230" s="41"/>
      <c r="AF230" s="43"/>
      <c r="AG230" s="43"/>
      <c r="AH230" s="6"/>
      <c r="AI230" s="43"/>
      <c r="AJ230" s="43">
        <f>TABL1234[[#This Row],[(A/B TOT) AJD]]-TABL1234[[#This Row],[BER_ IN]]</f>
        <v>0</v>
      </c>
      <c r="AK230" s="43"/>
      <c r="AL230" s="43"/>
      <c r="AM230" s="32"/>
      <c r="AN230" s="32">
        <f>TABL1234[[#This Row],[ (RESV. STORGE) SER]]/10</f>
        <v>0</v>
      </c>
      <c r="AO230" s="68"/>
      <c r="AP230" s="68">
        <f>TABL1234[[#This Row],[(A/S TOT) AJD]]-TABL1234[[#This Row],[SER_ IN]]</f>
        <v>0</v>
      </c>
    </row>
    <row r="231" spans="1:42" ht="18.75" x14ac:dyDescent="0.25">
      <c r="A231" s="2">
        <v>46617</v>
      </c>
      <c r="B231" s="44"/>
      <c r="C231" s="44"/>
      <c r="D231" s="44"/>
      <c r="E231" s="28"/>
      <c r="F231" s="44"/>
      <c r="G231" s="40"/>
      <c r="H231" s="28">
        <f t="shared" si="6"/>
        <v>103</v>
      </c>
      <c r="I231" s="40"/>
      <c r="J231" s="44"/>
      <c r="K231" s="28">
        <f>TABL1234[[#This Row],[خط (T/B  TOT) SAR]]+TABL1234[[#This Row],[خط (S/S  TOT) SAR2]]</f>
        <v>0</v>
      </c>
      <c r="L231" s="45"/>
      <c r="M231" s="46"/>
      <c r="N231" s="46"/>
      <c r="O231" s="40"/>
      <c r="P231" s="3">
        <f>TABL1234[[#This Row],[خط (S/S  TOT) SAR2]]-TABL1234[[#This Row],[(S/S TOT) AJD]]</f>
        <v>0</v>
      </c>
      <c r="Q231" s="40"/>
      <c r="R231" s="3">
        <f>TABL1234[[#This Row],[خط (T/B  TOT) SAR]]-TABL1234[[#This Row],[(T/B TOT) AJD]]</f>
        <v>0</v>
      </c>
      <c r="S231" s="3">
        <f>TABL1234[[#This Row],[الفرق بين بداية ونهاية خط  T/B]]+TABL1234[[#This Row],[الفرق بين بداية ونهاية خط  S/S]]</f>
        <v>0</v>
      </c>
      <c r="T231" s="3">
        <f>TABL1234[[#This Row],[(S/S TOT) AJD]]+TABL1234[[#This Row],[(T/B TOT) AJD]]</f>
        <v>0</v>
      </c>
      <c r="U231" s="44"/>
      <c r="V231" s="44"/>
      <c r="W231" s="3">
        <f>TABL1234[[#This Row],[(A/B TOT) AJD]]+TABL1234[[#This Row],[(A/S TOT) AJD]]</f>
        <v>0</v>
      </c>
      <c r="X231" s="3">
        <f>TABL1234[[#This Row],[( S/S+T/B) AJD]]-TABL1234[[#This Row],[(A/B + A/S) AJD]]</f>
        <v>0</v>
      </c>
      <c r="Y231" s="44"/>
      <c r="Z231" s="45"/>
      <c r="AA231" s="3">
        <f>TABL1234[[#This Row],[(RESV. STORGE) AJD]]/10</f>
        <v>0</v>
      </c>
      <c r="AB231" s="3">
        <f t="shared" si="7"/>
        <v>0</v>
      </c>
      <c r="AC231" s="5"/>
      <c r="AD231" s="40">
        <f>TABL1234[[#This Row],[( S/S+T/B) AJD]]-(TABL1234[[#This Row],[(A/B + A/S) AJD]]+(TABL1234[[#This Row],[(STORGE DIFF.) AJD]]*1000)+TABL1234[[#This Row],[البخر  AJD]])</f>
        <v>0</v>
      </c>
      <c r="AE231" s="44"/>
      <c r="AF231" s="45"/>
      <c r="AG231" s="45"/>
      <c r="AH231" s="6"/>
      <c r="AI231" s="45"/>
      <c r="AJ231" s="45">
        <f>TABL1234[[#This Row],[(A/B TOT) AJD]]-TABL1234[[#This Row],[BER_ IN]]</f>
        <v>0</v>
      </c>
      <c r="AK231" s="45"/>
      <c r="AL231" s="45"/>
      <c r="AM231" s="32"/>
      <c r="AN231" s="32">
        <f>TABL1234[[#This Row],[ (RESV. STORGE) SER]]/10</f>
        <v>0</v>
      </c>
      <c r="AO231" s="68"/>
      <c r="AP231" s="68">
        <f>TABL1234[[#This Row],[(A/S TOT) AJD]]-TABL1234[[#This Row],[SER_ IN]]</f>
        <v>0</v>
      </c>
    </row>
    <row r="232" spans="1:42" ht="18.75" x14ac:dyDescent="0.25">
      <c r="A232" s="2">
        <v>46618</v>
      </c>
      <c r="B232" s="41"/>
      <c r="C232" s="41"/>
      <c r="D232" s="41"/>
      <c r="E232" s="28"/>
      <c r="F232" s="41"/>
      <c r="G232" s="39"/>
      <c r="H232" s="28">
        <f t="shared" si="6"/>
        <v>103</v>
      </c>
      <c r="I232" s="72"/>
      <c r="J232" s="39"/>
      <c r="K232" s="28">
        <f>TABL1234[[#This Row],[خط (T/B  TOT) SAR]]+TABL1234[[#This Row],[خط (S/S  TOT) SAR2]]</f>
        <v>0</v>
      </c>
      <c r="L232" s="41"/>
      <c r="M232" s="42"/>
      <c r="N232" s="42"/>
      <c r="O232" s="39"/>
      <c r="P232" s="3">
        <f>TABL1234[[#This Row],[خط (S/S  TOT) SAR2]]-TABL1234[[#This Row],[(S/S TOT) AJD]]</f>
        <v>0</v>
      </c>
      <c r="Q232" s="39"/>
      <c r="R232" s="3">
        <f>TABL1234[[#This Row],[خط (T/B  TOT) SAR]]-TABL1234[[#This Row],[(T/B TOT) AJD]]</f>
        <v>0</v>
      </c>
      <c r="S232" s="3">
        <f>TABL1234[[#This Row],[الفرق بين بداية ونهاية خط  T/B]]+TABL1234[[#This Row],[الفرق بين بداية ونهاية خط  S/S]]</f>
        <v>0</v>
      </c>
      <c r="T232" s="3">
        <f>TABL1234[[#This Row],[(S/S TOT) AJD]]+TABL1234[[#This Row],[(T/B TOT) AJD]]</f>
        <v>0</v>
      </c>
      <c r="U232" s="41"/>
      <c r="V232" s="41"/>
      <c r="W232" s="3">
        <f>TABL1234[[#This Row],[(A/B TOT) AJD]]+TABL1234[[#This Row],[(A/S TOT) AJD]]</f>
        <v>0</v>
      </c>
      <c r="X232" s="3">
        <f>TABL1234[[#This Row],[( S/S+T/B) AJD]]-TABL1234[[#This Row],[(A/B + A/S) AJD]]</f>
        <v>0</v>
      </c>
      <c r="Y232" s="41"/>
      <c r="Z232" s="43"/>
      <c r="AA232" s="3">
        <f>TABL1234[[#This Row],[(RESV. STORGE) AJD]]/10</f>
        <v>0</v>
      </c>
      <c r="AB232" s="3">
        <f t="shared" si="7"/>
        <v>0</v>
      </c>
      <c r="AC232" s="5"/>
      <c r="AD232" s="39">
        <f>TABL1234[[#This Row],[( S/S+T/B) AJD]]-(TABL1234[[#This Row],[(A/B + A/S) AJD]]+(TABL1234[[#This Row],[(STORGE DIFF.) AJD]]*1000)+TABL1234[[#This Row],[البخر  AJD]])</f>
        <v>0</v>
      </c>
      <c r="AE232" s="41"/>
      <c r="AF232" s="43"/>
      <c r="AG232" s="43"/>
      <c r="AH232" s="6"/>
      <c r="AI232" s="43"/>
      <c r="AJ232" s="43">
        <f>TABL1234[[#This Row],[(A/B TOT) AJD]]-TABL1234[[#This Row],[BER_ IN]]</f>
        <v>0</v>
      </c>
      <c r="AK232" s="43"/>
      <c r="AL232" s="43"/>
      <c r="AM232" s="32"/>
      <c r="AN232" s="32">
        <f>TABL1234[[#This Row],[ (RESV. STORGE) SER]]/10</f>
        <v>0</v>
      </c>
      <c r="AO232" s="68"/>
      <c r="AP232" s="68">
        <f>TABL1234[[#This Row],[(A/S TOT) AJD]]-TABL1234[[#This Row],[SER_ IN]]</f>
        <v>0</v>
      </c>
    </row>
    <row r="233" spans="1:42" ht="18.75" x14ac:dyDescent="0.25">
      <c r="A233" s="2">
        <v>46619</v>
      </c>
      <c r="B233" s="44"/>
      <c r="C233" s="44"/>
      <c r="D233" s="44"/>
      <c r="E233" s="28"/>
      <c r="F233" s="44"/>
      <c r="G233" s="40"/>
      <c r="H233" s="28">
        <f t="shared" si="6"/>
        <v>103</v>
      </c>
      <c r="I233" s="40"/>
      <c r="J233" s="44"/>
      <c r="K233" s="28">
        <f>TABL1234[[#This Row],[خط (T/B  TOT) SAR]]+TABL1234[[#This Row],[خط (S/S  TOT) SAR2]]</f>
        <v>0</v>
      </c>
      <c r="L233" s="45"/>
      <c r="M233" s="46"/>
      <c r="N233" s="46"/>
      <c r="O233" s="40"/>
      <c r="P233" s="3">
        <f>TABL1234[[#This Row],[خط (S/S  TOT) SAR2]]-TABL1234[[#This Row],[(S/S TOT) AJD]]</f>
        <v>0</v>
      </c>
      <c r="Q233" s="40"/>
      <c r="R233" s="3">
        <f>TABL1234[[#This Row],[خط (T/B  TOT) SAR]]-TABL1234[[#This Row],[(T/B TOT) AJD]]</f>
        <v>0</v>
      </c>
      <c r="S233" s="3">
        <f>TABL1234[[#This Row],[الفرق بين بداية ونهاية خط  T/B]]+TABL1234[[#This Row],[الفرق بين بداية ونهاية خط  S/S]]</f>
        <v>0</v>
      </c>
      <c r="T233" s="3">
        <f>TABL1234[[#This Row],[(S/S TOT) AJD]]+TABL1234[[#This Row],[(T/B TOT) AJD]]</f>
        <v>0</v>
      </c>
      <c r="U233" s="44"/>
      <c r="V233" s="44"/>
      <c r="W233" s="3">
        <f>TABL1234[[#This Row],[(A/B TOT) AJD]]+TABL1234[[#This Row],[(A/S TOT) AJD]]</f>
        <v>0</v>
      </c>
      <c r="X233" s="3">
        <f>TABL1234[[#This Row],[( S/S+T/B) AJD]]-TABL1234[[#This Row],[(A/B + A/S) AJD]]</f>
        <v>0</v>
      </c>
      <c r="Y233" s="44"/>
      <c r="Z233" s="45"/>
      <c r="AA233" s="3">
        <f>TABL1234[[#This Row],[(RESV. STORGE) AJD]]/10</f>
        <v>0</v>
      </c>
      <c r="AB233" s="3">
        <f t="shared" si="7"/>
        <v>0</v>
      </c>
      <c r="AC233" s="5"/>
      <c r="AD233" s="40">
        <f>TABL1234[[#This Row],[( S/S+T/B) AJD]]-(TABL1234[[#This Row],[(A/B + A/S) AJD]]+(TABL1234[[#This Row],[(STORGE DIFF.) AJD]]*1000)+TABL1234[[#This Row],[البخر  AJD]])</f>
        <v>0</v>
      </c>
      <c r="AE233" s="44"/>
      <c r="AF233" s="45"/>
      <c r="AG233" s="45"/>
      <c r="AH233" s="6"/>
      <c r="AI233" s="45"/>
      <c r="AJ233" s="45">
        <f>TABL1234[[#This Row],[(A/B TOT) AJD]]-TABL1234[[#This Row],[BER_ IN]]</f>
        <v>0</v>
      </c>
      <c r="AK233" s="45"/>
      <c r="AL233" s="45"/>
      <c r="AM233" s="32"/>
      <c r="AN233" s="32">
        <f>TABL1234[[#This Row],[ (RESV. STORGE) SER]]/10</f>
        <v>0</v>
      </c>
      <c r="AO233" s="68"/>
      <c r="AP233" s="68">
        <f>TABL1234[[#This Row],[(A/S TOT) AJD]]-TABL1234[[#This Row],[SER_ IN]]</f>
        <v>0</v>
      </c>
    </row>
    <row r="234" spans="1:42" ht="18.75" x14ac:dyDescent="0.25">
      <c r="A234" s="2">
        <v>46620</v>
      </c>
      <c r="B234" s="41"/>
      <c r="C234" s="41"/>
      <c r="D234" s="41"/>
      <c r="E234" s="28"/>
      <c r="F234" s="41"/>
      <c r="G234" s="39"/>
      <c r="H234" s="28">
        <f t="shared" si="6"/>
        <v>103</v>
      </c>
      <c r="I234" s="39"/>
      <c r="J234" s="39"/>
      <c r="K234" s="28">
        <f>TABL1234[[#This Row],[خط (T/B  TOT) SAR]]+TABL1234[[#This Row],[خط (S/S  TOT) SAR2]]</f>
        <v>0</v>
      </c>
      <c r="L234" s="41"/>
      <c r="M234" s="42"/>
      <c r="N234" s="42"/>
      <c r="O234" s="39"/>
      <c r="P234" s="3">
        <f>TABL1234[[#This Row],[خط (S/S  TOT) SAR2]]-TABL1234[[#This Row],[(S/S TOT) AJD]]</f>
        <v>0</v>
      </c>
      <c r="Q234" s="39"/>
      <c r="R234" s="3">
        <f>TABL1234[[#This Row],[خط (T/B  TOT) SAR]]-TABL1234[[#This Row],[(T/B TOT) AJD]]</f>
        <v>0</v>
      </c>
      <c r="S234" s="3">
        <f>TABL1234[[#This Row],[الفرق بين بداية ونهاية خط  T/B]]+TABL1234[[#This Row],[الفرق بين بداية ونهاية خط  S/S]]</f>
        <v>0</v>
      </c>
      <c r="T234" s="3">
        <f>TABL1234[[#This Row],[(S/S TOT) AJD]]+TABL1234[[#This Row],[(T/B TOT) AJD]]</f>
        <v>0</v>
      </c>
      <c r="U234" s="41"/>
      <c r="V234" s="41"/>
      <c r="W234" s="3">
        <f>TABL1234[[#This Row],[(A/B TOT) AJD]]+TABL1234[[#This Row],[(A/S TOT) AJD]]</f>
        <v>0</v>
      </c>
      <c r="X234" s="3">
        <f>TABL1234[[#This Row],[( S/S+T/B) AJD]]-TABL1234[[#This Row],[(A/B + A/S) AJD]]</f>
        <v>0</v>
      </c>
      <c r="Y234" s="41"/>
      <c r="Z234" s="43"/>
      <c r="AA234" s="3">
        <f>TABL1234[[#This Row],[(RESV. STORGE) AJD]]/10</f>
        <v>0</v>
      </c>
      <c r="AB234" s="3">
        <f t="shared" si="7"/>
        <v>0</v>
      </c>
      <c r="AC234" s="5"/>
      <c r="AD234" s="39">
        <f>TABL1234[[#This Row],[( S/S+T/B) AJD]]-(TABL1234[[#This Row],[(A/B + A/S) AJD]]+(TABL1234[[#This Row],[(STORGE DIFF.) AJD]]*1000)+TABL1234[[#This Row],[البخر  AJD]])</f>
        <v>0</v>
      </c>
      <c r="AE234" s="41"/>
      <c r="AF234" s="43"/>
      <c r="AG234" s="43"/>
      <c r="AH234" s="6"/>
      <c r="AI234" s="43"/>
      <c r="AJ234" s="43">
        <f>TABL1234[[#This Row],[(A/B TOT) AJD]]-TABL1234[[#This Row],[BER_ IN]]</f>
        <v>0</v>
      </c>
      <c r="AK234" s="43"/>
      <c r="AL234" s="43"/>
      <c r="AM234" s="32"/>
      <c r="AN234" s="32">
        <f>TABL1234[[#This Row],[ (RESV. STORGE) SER]]/10</f>
        <v>0</v>
      </c>
      <c r="AO234" s="68"/>
      <c r="AP234" s="68">
        <f>TABL1234[[#This Row],[(A/S TOT) AJD]]-TABL1234[[#This Row],[SER_ IN]]</f>
        <v>0</v>
      </c>
    </row>
    <row r="235" spans="1:42" ht="18.75" x14ac:dyDescent="0.25">
      <c r="A235" s="2">
        <v>46621</v>
      </c>
      <c r="B235" s="44"/>
      <c r="C235" s="44"/>
      <c r="D235" s="44"/>
      <c r="E235" s="28"/>
      <c r="F235" s="44"/>
      <c r="G235" s="40"/>
      <c r="H235" s="28">
        <f t="shared" si="6"/>
        <v>103</v>
      </c>
      <c r="I235" s="40"/>
      <c r="J235" s="44"/>
      <c r="K235" s="28">
        <f>TABL1234[[#This Row],[خط (T/B  TOT) SAR]]+TABL1234[[#This Row],[خط (S/S  TOT) SAR2]]</f>
        <v>0</v>
      </c>
      <c r="L235" s="45"/>
      <c r="M235" s="46"/>
      <c r="N235" s="46"/>
      <c r="O235" s="40"/>
      <c r="P235" s="3">
        <f>TABL1234[[#This Row],[خط (S/S  TOT) SAR2]]-TABL1234[[#This Row],[(S/S TOT) AJD]]</f>
        <v>0</v>
      </c>
      <c r="Q235" s="40"/>
      <c r="R235" s="3">
        <f>TABL1234[[#This Row],[خط (T/B  TOT) SAR]]-TABL1234[[#This Row],[(T/B TOT) AJD]]</f>
        <v>0</v>
      </c>
      <c r="S235" s="3">
        <f>TABL1234[[#This Row],[الفرق بين بداية ونهاية خط  T/B]]+TABL1234[[#This Row],[الفرق بين بداية ونهاية خط  S/S]]</f>
        <v>0</v>
      </c>
      <c r="T235" s="3">
        <f>TABL1234[[#This Row],[(S/S TOT) AJD]]+TABL1234[[#This Row],[(T/B TOT) AJD]]</f>
        <v>0</v>
      </c>
      <c r="U235" s="44"/>
      <c r="V235" s="44"/>
      <c r="W235" s="3">
        <f>TABL1234[[#This Row],[(A/B TOT) AJD]]+TABL1234[[#This Row],[(A/S TOT) AJD]]</f>
        <v>0</v>
      </c>
      <c r="X235" s="3">
        <f>TABL1234[[#This Row],[( S/S+T/B) AJD]]-TABL1234[[#This Row],[(A/B + A/S) AJD]]</f>
        <v>0</v>
      </c>
      <c r="Y235" s="44"/>
      <c r="Z235" s="45"/>
      <c r="AA235" s="3">
        <f>TABL1234[[#This Row],[(RESV. STORGE) AJD]]/10</f>
        <v>0</v>
      </c>
      <c r="AB235" s="3">
        <f t="shared" si="7"/>
        <v>0</v>
      </c>
      <c r="AC235" s="5"/>
      <c r="AD235" s="40">
        <f>TABL1234[[#This Row],[( S/S+T/B) AJD]]-(TABL1234[[#This Row],[(A/B + A/S) AJD]]+(TABL1234[[#This Row],[(STORGE DIFF.) AJD]]*1000)+TABL1234[[#This Row],[البخر  AJD]])</f>
        <v>0</v>
      </c>
      <c r="AE235" s="44"/>
      <c r="AF235" s="45"/>
      <c r="AG235" s="45"/>
      <c r="AH235" s="6"/>
      <c r="AI235" s="45"/>
      <c r="AJ235" s="45">
        <f>TABL1234[[#This Row],[(A/B TOT) AJD]]-TABL1234[[#This Row],[BER_ IN]]</f>
        <v>0</v>
      </c>
      <c r="AK235" s="45"/>
      <c r="AL235" s="45"/>
      <c r="AM235" s="32"/>
      <c r="AN235" s="32">
        <f>TABL1234[[#This Row],[ (RESV. STORGE) SER]]/10</f>
        <v>0</v>
      </c>
      <c r="AO235" s="68"/>
      <c r="AP235" s="68">
        <f>TABL1234[[#This Row],[(A/S TOT) AJD]]-TABL1234[[#This Row],[SER_ IN]]</f>
        <v>0</v>
      </c>
    </row>
    <row r="236" spans="1:42" ht="18.75" x14ac:dyDescent="0.25">
      <c r="A236" s="2">
        <v>46622</v>
      </c>
      <c r="B236" s="41"/>
      <c r="C236" s="41"/>
      <c r="D236" s="41"/>
      <c r="E236" s="28"/>
      <c r="F236" s="41"/>
      <c r="G236" s="39"/>
      <c r="H236" s="28">
        <f t="shared" si="6"/>
        <v>103</v>
      </c>
      <c r="I236" s="39"/>
      <c r="J236" s="39"/>
      <c r="K236" s="28">
        <f>TABL1234[[#This Row],[خط (T/B  TOT) SAR]]+TABL1234[[#This Row],[خط (S/S  TOT) SAR2]]</f>
        <v>0</v>
      </c>
      <c r="L236" s="41"/>
      <c r="M236" s="42"/>
      <c r="N236" s="42"/>
      <c r="O236" s="39"/>
      <c r="P236" s="3">
        <f>TABL1234[[#This Row],[خط (S/S  TOT) SAR2]]-TABL1234[[#This Row],[(S/S TOT) AJD]]</f>
        <v>0</v>
      </c>
      <c r="Q236" s="39"/>
      <c r="R236" s="3">
        <f>TABL1234[[#This Row],[خط (T/B  TOT) SAR]]-TABL1234[[#This Row],[(T/B TOT) AJD]]</f>
        <v>0</v>
      </c>
      <c r="S236" s="3">
        <f>TABL1234[[#This Row],[الفرق بين بداية ونهاية خط  T/B]]+TABL1234[[#This Row],[الفرق بين بداية ونهاية خط  S/S]]</f>
        <v>0</v>
      </c>
      <c r="T236" s="3">
        <f>TABL1234[[#This Row],[(S/S TOT) AJD]]+TABL1234[[#This Row],[(T/B TOT) AJD]]</f>
        <v>0</v>
      </c>
      <c r="U236" s="41"/>
      <c r="V236" s="41"/>
      <c r="W236" s="3">
        <f>TABL1234[[#This Row],[(A/B TOT) AJD]]+TABL1234[[#This Row],[(A/S TOT) AJD]]</f>
        <v>0</v>
      </c>
      <c r="X236" s="3">
        <f>TABL1234[[#This Row],[( S/S+T/B) AJD]]-TABL1234[[#This Row],[(A/B + A/S) AJD]]</f>
        <v>0</v>
      </c>
      <c r="Y236" s="41"/>
      <c r="Z236" s="43"/>
      <c r="AA236" s="3">
        <f>TABL1234[[#This Row],[(RESV. STORGE) AJD]]/10</f>
        <v>0</v>
      </c>
      <c r="AB236" s="3">
        <f t="shared" si="7"/>
        <v>0</v>
      </c>
      <c r="AC236" s="5"/>
      <c r="AD236" s="39">
        <f>TABL1234[[#This Row],[( S/S+T/B) AJD]]-(TABL1234[[#This Row],[(A/B + A/S) AJD]]+(TABL1234[[#This Row],[(STORGE DIFF.) AJD]]*1000)+TABL1234[[#This Row],[البخر  AJD]])</f>
        <v>0</v>
      </c>
      <c r="AE236" s="41"/>
      <c r="AF236" s="43"/>
      <c r="AG236" s="43"/>
      <c r="AH236" s="6"/>
      <c r="AI236" s="43"/>
      <c r="AJ236" s="43">
        <f>TABL1234[[#This Row],[(A/B TOT) AJD]]-TABL1234[[#This Row],[BER_ IN]]</f>
        <v>0</v>
      </c>
      <c r="AK236" s="43"/>
      <c r="AL236" s="43"/>
      <c r="AM236" s="32"/>
      <c r="AN236" s="32">
        <f>TABL1234[[#This Row],[ (RESV. STORGE) SER]]/10</f>
        <v>0</v>
      </c>
      <c r="AO236" s="68"/>
      <c r="AP236" s="68">
        <f>TABL1234[[#This Row],[(A/S TOT) AJD]]-TABL1234[[#This Row],[SER_ IN]]</f>
        <v>0</v>
      </c>
    </row>
    <row r="237" spans="1:42" ht="18.75" x14ac:dyDescent="0.25">
      <c r="A237" s="2">
        <v>46623</v>
      </c>
      <c r="B237" s="44"/>
      <c r="C237" s="44"/>
      <c r="D237" s="44"/>
      <c r="E237" s="28"/>
      <c r="F237" s="44"/>
      <c r="G237" s="40"/>
      <c r="H237" s="28">
        <f t="shared" si="6"/>
        <v>103</v>
      </c>
      <c r="I237" s="40"/>
      <c r="J237" s="44"/>
      <c r="K237" s="28">
        <f>TABL1234[[#This Row],[خط (T/B  TOT) SAR]]+TABL1234[[#This Row],[خط (S/S  TOT) SAR2]]</f>
        <v>0</v>
      </c>
      <c r="L237" s="45"/>
      <c r="M237" s="46"/>
      <c r="N237" s="46"/>
      <c r="O237" s="40"/>
      <c r="P237" s="3">
        <f>TABL1234[[#This Row],[خط (S/S  TOT) SAR2]]-TABL1234[[#This Row],[(S/S TOT) AJD]]</f>
        <v>0</v>
      </c>
      <c r="Q237" s="40"/>
      <c r="R237" s="3">
        <f>TABL1234[[#This Row],[خط (T/B  TOT) SAR]]-TABL1234[[#This Row],[(T/B TOT) AJD]]</f>
        <v>0</v>
      </c>
      <c r="S237" s="3">
        <f>TABL1234[[#This Row],[الفرق بين بداية ونهاية خط  T/B]]+TABL1234[[#This Row],[الفرق بين بداية ونهاية خط  S/S]]</f>
        <v>0</v>
      </c>
      <c r="T237" s="3">
        <f>TABL1234[[#This Row],[(S/S TOT) AJD]]+TABL1234[[#This Row],[(T/B TOT) AJD]]</f>
        <v>0</v>
      </c>
      <c r="U237" s="44"/>
      <c r="V237" s="44"/>
      <c r="W237" s="3">
        <f>TABL1234[[#This Row],[(A/B TOT) AJD]]+TABL1234[[#This Row],[(A/S TOT) AJD]]</f>
        <v>0</v>
      </c>
      <c r="X237" s="3">
        <f>TABL1234[[#This Row],[( S/S+T/B) AJD]]-TABL1234[[#This Row],[(A/B + A/S) AJD]]</f>
        <v>0</v>
      </c>
      <c r="Y237" s="44"/>
      <c r="Z237" s="45"/>
      <c r="AA237" s="3">
        <f>TABL1234[[#This Row],[(RESV. STORGE) AJD]]/10</f>
        <v>0</v>
      </c>
      <c r="AB237" s="3">
        <f t="shared" si="7"/>
        <v>0</v>
      </c>
      <c r="AC237" s="5"/>
      <c r="AD237" s="40">
        <f>TABL1234[[#This Row],[( S/S+T/B) AJD]]-(TABL1234[[#This Row],[(A/B + A/S) AJD]]+(TABL1234[[#This Row],[(STORGE DIFF.) AJD]]*1000)+TABL1234[[#This Row],[البخر  AJD]])</f>
        <v>0</v>
      </c>
      <c r="AE237" s="44"/>
      <c r="AF237" s="45"/>
      <c r="AG237" s="45"/>
      <c r="AH237" s="6"/>
      <c r="AI237" s="45"/>
      <c r="AJ237" s="45">
        <f>TABL1234[[#This Row],[(A/B TOT) AJD]]-TABL1234[[#This Row],[BER_ IN]]</f>
        <v>0</v>
      </c>
      <c r="AK237" s="45"/>
      <c r="AL237" s="45"/>
      <c r="AM237" s="32"/>
      <c r="AN237" s="32">
        <f>TABL1234[[#This Row],[ (RESV. STORGE) SER]]/10</f>
        <v>0</v>
      </c>
      <c r="AO237" s="68"/>
      <c r="AP237" s="68">
        <f>TABL1234[[#This Row],[(A/S TOT) AJD]]-TABL1234[[#This Row],[SER_ IN]]</f>
        <v>0</v>
      </c>
    </row>
    <row r="238" spans="1:42" ht="18.75" x14ac:dyDescent="0.25">
      <c r="A238" s="2">
        <v>46624</v>
      </c>
      <c r="B238" s="41"/>
      <c r="C238" s="41"/>
      <c r="D238" s="41"/>
      <c r="E238" s="28"/>
      <c r="F238" s="41"/>
      <c r="G238" s="39"/>
      <c r="H238" s="28">
        <f t="shared" si="6"/>
        <v>103</v>
      </c>
      <c r="I238" s="39"/>
      <c r="J238" s="39"/>
      <c r="K238" s="28">
        <f>TABL1234[[#This Row],[خط (T/B  TOT) SAR]]+TABL1234[[#This Row],[خط (S/S  TOT) SAR2]]</f>
        <v>0</v>
      </c>
      <c r="L238" s="41"/>
      <c r="M238" s="42"/>
      <c r="N238" s="42"/>
      <c r="O238" s="39"/>
      <c r="P238" s="3">
        <f>TABL1234[[#This Row],[خط (S/S  TOT) SAR2]]-TABL1234[[#This Row],[(S/S TOT) AJD]]</f>
        <v>0</v>
      </c>
      <c r="Q238" s="39"/>
      <c r="R238" s="3">
        <f>TABL1234[[#This Row],[خط (T/B  TOT) SAR]]-TABL1234[[#This Row],[(T/B TOT) AJD]]</f>
        <v>0</v>
      </c>
      <c r="S238" s="3">
        <f>TABL1234[[#This Row],[الفرق بين بداية ونهاية خط  T/B]]+TABL1234[[#This Row],[الفرق بين بداية ونهاية خط  S/S]]</f>
        <v>0</v>
      </c>
      <c r="T238" s="3">
        <f>TABL1234[[#This Row],[(S/S TOT) AJD]]+TABL1234[[#This Row],[(T/B TOT) AJD]]</f>
        <v>0</v>
      </c>
      <c r="U238" s="41"/>
      <c r="V238" s="41"/>
      <c r="W238" s="3">
        <f>TABL1234[[#This Row],[(A/B TOT) AJD]]+TABL1234[[#This Row],[(A/S TOT) AJD]]</f>
        <v>0</v>
      </c>
      <c r="X238" s="3">
        <f>TABL1234[[#This Row],[( S/S+T/B) AJD]]-TABL1234[[#This Row],[(A/B + A/S) AJD]]</f>
        <v>0</v>
      </c>
      <c r="Y238" s="41"/>
      <c r="Z238" s="43"/>
      <c r="AA238" s="3">
        <f>TABL1234[[#This Row],[(RESV. STORGE) AJD]]/10</f>
        <v>0</v>
      </c>
      <c r="AB238" s="3">
        <f t="shared" si="7"/>
        <v>0</v>
      </c>
      <c r="AC238" s="5"/>
      <c r="AD238" s="39">
        <f>TABL1234[[#This Row],[( S/S+T/B) AJD]]-(TABL1234[[#This Row],[(A/B + A/S) AJD]]+(TABL1234[[#This Row],[(STORGE DIFF.) AJD]]*1000)+TABL1234[[#This Row],[البخر  AJD]])</f>
        <v>0</v>
      </c>
      <c r="AE238" s="41"/>
      <c r="AF238" s="43"/>
      <c r="AG238" s="43"/>
      <c r="AH238" s="6"/>
      <c r="AI238" s="43"/>
      <c r="AJ238" s="43">
        <f>TABL1234[[#This Row],[(A/B TOT) AJD]]-TABL1234[[#This Row],[BER_ IN]]</f>
        <v>0</v>
      </c>
      <c r="AK238" s="43"/>
      <c r="AL238" s="43"/>
      <c r="AM238" s="32"/>
      <c r="AN238" s="32">
        <f>TABL1234[[#This Row],[ (RESV. STORGE) SER]]/10</f>
        <v>0</v>
      </c>
      <c r="AO238" s="68"/>
      <c r="AP238" s="68">
        <f>TABL1234[[#This Row],[(A/S TOT) AJD]]-TABL1234[[#This Row],[SER_ IN]]</f>
        <v>0</v>
      </c>
    </row>
    <row r="239" spans="1:42" ht="18.75" x14ac:dyDescent="0.25">
      <c r="A239" s="2">
        <v>46625</v>
      </c>
      <c r="B239" s="44"/>
      <c r="C239" s="44"/>
      <c r="D239" s="44"/>
      <c r="E239" s="28"/>
      <c r="F239" s="44"/>
      <c r="G239" s="40"/>
      <c r="H239" s="28">
        <f t="shared" si="6"/>
        <v>103</v>
      </c>
      <c r="I239" s="40"/>
      <c r="J239" s="44"/>
      <c r="K239" s="28">
        <f>TABL1234[[#This Row],[خط (T/B  TOT) SAR]]+TABL1234[[#This Row],[خط (S/S  TOT) SAR2]]</f>
        <v>0</v>
      </c>
      <c r="L239" s="45"/>
      <c r="M239" s="46"/>
      <c r="N239" s="46"/>
      <c r="O239" s="40"/>
      <c r="P239" s="3">
        <f>TABL1234[[#This Row],[خط (S/S  TOT) SAR2]]-TABL1234[[#This Row],[(S/S TOT) AJD]]</f>
        <v>0</v>
      </c>
      <c r="Q239" s="40"/>
      <c r="R239" s="3">
        <f>TABL1234[[#This Row],[خط (T/B  TOT) SAR]]-TABL1234[[#This Row],[(T/B TOT) AJD]]</f>
        <v>0</v>
      </c>
      <c r="S239" s="3">
        <f>TABL1234[[#This Row],[الفرق بين بداية ونهاية خط  T/B]]+TABL1234[[#This Row],[الفرق بين بداية ونهاية خط  S/S]]</f>
        <v>0</v>
      </c>
      <c r="T239" s="3">
        <f>TABL1234[[#This Row],[(S/S TOT) AJD]]+TABL1234[[#This Row],[(T/B TOT) AJD]]</f>
        <v>0</v>
      </c>
      <c r="U239" s="44"/>
      <c r="V239" s="44"/>
      <c r="W239" s="3">
        <f>TABL1234[[#This Row],[(A/B TOT) AJD]]+TABL1234[[#This Row],[(A/S TOT) AJD]]</f>
        <v>0</v>
      </c>
      <c r="X239" s="3">
        <f>TABL1234[[#This Row],[( S/S+T/B) AJD]]-TABL1234[[#This Row],[(A/B + A/S) AJD]]</f>
        <v>0</v>
      </c>
      <c r="Y239" s="44"/>
      <c r="Z239" s="45"/>
      <c r="AA239" s="3">
        <f>TABL1234[[#This Row],[(RESV. STORGE) AJD]]/10</f>
        <v>0</v>
      </c>
      <c r="AB239" s="3">
        <f t="shared" si="7"/>
        <v>0</v>
      </c>
      <c r="AC239" s="5"/>
      <c r="AD239" s="40">
        <f>TABL1234[[#This Row],[( S/S+T/B) AJD]]-(TABL1234[[#This Row],[(A/B + A/S) AJD]]+(TABL1234[[#This Row],[(STORGE DIFF.) AJD]]*1000)+TABL1234[[#This Row],[البخر  AJD]])</f>
        <v>0</v>
      </c>
      <c r="AE239" s="44"/>
      <c r="AF239" s="45"/>
      <c r="AG239" s="45"/>
      <c r="AH239" s="6"/>
      <c r="AI239" s="45"/>
      <c r="AJ239" s="45">
        <f>TABL1234[[#This Row],[(A/B TOT) AJD]]-TABL1234[[#This Row],[BER_ IN]]</f>
        <v>0</v>
      </c>
      <c r="AK239" s="45"/>
      <c r="AL239" s="45"/>
      <c r="AM239" s="32"/>
      <c r="AN239" s="32">
        <f>TABL1234[[#This Row],[ (RESV. STORGE) SER]]/10</f>
        <v>0</v>
      </c>
      <c r="AO239" s="68"/>
      <c r="AP239" s="68">
        <f>TABL1234[[#This Row],[(A/S TOT) AJD]]-TABL1234[[#This Row],[SER_ IN]]</f>
        <v>0</v>
      </c>
    </row>
    <row r="240" spans="1:42" ht="18.75" x14ac:dyDescent="0.25">
      <c r="A240" s="2">
        <v>46626</v>
      </c>
      <c r="B240" s="41"/>
      <c r="C240" s="41"/>
      <c r="D240" s="41"/>
      <c r="E240" s="28"/>
      <c r="F240" s="41"/>
      <c r="G240" s="39"/>
      <c r="H240" s="28">
        <f t="shared" si="6"/>
        <v>103</v>
      </c>
      <c r="I240" s="39"/>
      <c r="J240" s="39"/>
      <c r="K240" s="28">
        <f>TABL1234[[#This Row],[خط (T/B  TOT) SAR]]+TABL1234[[#This Row],[خط (S/S  TOT) SAR2]]</f>
        <v>0</v>
      </c>
      <c r="L240" s="41"/>
      <c r="M240" s="42"/>
      <c r="N240" s="42"/>
      <c r="O240" s="39"/>
      <c r="P240" s="3">
        <f>TABL1234[[#This Row],[خط (S/S  TOT) SAR2]]-TABL1234[[#This Row],[(S/S TOT) AJD]]</f>
        <v>0</v>
      </c>
      <c r="Q240" s="39"/>
      <c r="R240" s="3">
        <f>TABL1234[[#This Row],[خط (T/B  TOT) SAR]]-TABL1234[[#This Row],[(T/B TOT) AJD]]</f>
        <v>0</v>
      </c>
      <c r="S240" s="3">
        <f>TABL1234[[#This Row],[الفرق بين بداية ونهاية خط  T/B]]+TABL1234[[#This Row],[الفرق بين بداية ونهاية خط  S/S]]</f>
        <v>0</v>
      </c>
      <c r="T240" s="3">
        <f>TABL1234[[#This Row],[(S/S TOT) AJD]]+TABL1234[[#This Row],[(T/B TOT) AJD]]</f>
        <v>0</v>
      </c>
      <c r="U240" s="41"/>
      <c r="V240" s="41"/>
      <c r="W240" s="3">
        <f>TABL1234[[#This Row],[(A/B TOT) AJD]]+TABL1234[[#This Row],[(A/S TOT) AJD]]</f>
        <v>0</v>
      </c>
      <c r="X240" s="3">
        <f>TABL1234[[#This Row],[( S/S+T/B) AJD]]-TABL1234[[#This Row],[(A/B + A/S) AJD]]</f>
        <v>0</v>
      </c>
      <c r="Y240" s="41"/>
      <c r="Z240" s="43"/>
      <c r="AA240" s="3">
        <f>TABL1234[[#This Row],[(RESV. STORGE) AJD]]/10</f>
        <v>0</v>
      </c>
      <c r="AB240" s="3">
        <f t="shared" si="7"/>
        <v>0</v>
      </c>
      <c r="AC240" s="5"/>
      <c r="AD240" s="39">
        <f>TABL1234[[#This Row],[( S/S+T/B) AJD]]-(TABL1234[[#This Row],[(A/B + A/S) AJD]]+(TABL1234[[#This Row],[(STORGE DIFF.) AJD]]*1000)+TABL1234[[#This Row],[البخر  AJD]])</f>
        <v>0</v>
      </c>
      <c r="AE240" s="41"/>
      <c r="AF240" s="43"/>
      <c r="AG240" s="43"/>
      <c r="AH240" s="6"/>
      <c r="AI240" s="43"/>
      <c r="AJ240" s="43">
        <f>TABL1234[[#This Row],[(A/B TOT) AJD]]-TABL1234[[#This Row],[BER_ IN]]</f>
        <v>0</v>
      </c>
      <c r="AK240" s="43"/>
      <c r="AL240" s="43"/>
      <c r="AM240" s="32"/>
      <c r="AN240" s="32">
        <f>TABL1234[[#This Row],[ (RESV. STORGE) SER]]/10</f>
        <v>0</v>
      </c>
      <c r="AO240" s="68"/>
      <c r="AP240" s="68">
        <f>TABL1234[[#This Row],[(A/S TOT) AJD]]-TABL1234[[#This Row],[SER_ IN]]</f>
        <v>0</v>
      </c>
    </row>
    <row r="241" spans="1:42" ht="18.75" x14ac:dyDescent="0.25">
      <c r="A241" s="2">
        <v>46627</v>
      </c>
      <c r="B241" s="44"/>
      <c r="C241" s="44"/>
      <c r="D241" s="44"/>
      <c r="E241" s="28"/>
      <c r="F241" s="44"/>
      <c r="G241" s="40"/>
      <c r="H241" s="28">
        <f t="shared" si="6"/>
        <v>103</v>
      </c>
      <c r="I241" s="40"/>
      <c r="J241" s="44"/>
      <c r="K241" s="28">
        <f>TABL1234[[#This Row],[خط (T/B  TOT) SAR]]+TABL1234[[#This Row],[خط (S/S  TOT) SAR2]]</f>
        <v>0</v>
      </c>
      <c r="L241" s="45"/>
      <c r="M241" s="46"/>
      <c r="N241" s="46"/>
      <c r="O241" s="40"/>
      <c r="P241" s="3">
        <f>TABL1234[[#This Row],[خط (S/S  TOT) SAR2]]-TABL1234[[#This Row],[(S/S TOT) AJD]]</f>
        <v>0</v>
      </c>
      <c r="Q241" s="40"/>
      <c r="R241" s="3">
        <f>TABL1234[[#This Row],[خط (T/B  TOT) SAR]]-TABL1234[[#This Row],[(T/B TOT) AJD]]</f>
        <v>0</v>
      </c>
      <c r="S241" s="3">
        <f>TABL1234[[#This Row],[الفرق بين بداية ونهاية خط  T/B]]+TABL1234[[#This Row],[الفرق بين بداية ونهاية خط  S/S]]</f>
        <v>0</v>
      </c>
      <c r="T241" s="3">
        <f>TABL1234[[#This Row],[(S/S TOT) AJD]]+TABL1234[[#This Row],[(T/B TOT) AJD]]</f>
        <v>0</v>
      </c>
      <c r="U241" s="44"/>
      <c r="V241" s="44"/>
      <c r="W241" s="3">
        <f>TABL1234[[#This Row],[(A/B TOT) AJD]]+TABL1234[[#This Row],[(A/S TOT) AJD]]</f>
        <v>0</v>
      </c>
      <c r="X241" s="3">
        <f>TABL1234[[#This Row],[( S/S+T/B) AJD]]-TABL1234[[#This Row],[(A/B + A/S) AJD]]</f>
        <v>0</v>
      </c>
      <c r="Y241" s="44"/>
      <c r="Z241" s="45"/>
      <c r="AA241" s="3">
        <f>TABL1234[[#This Row],[(RESV. STORGE) AJD]]/10</f>
        <v>0</v>
      </c>
      <c r="AB241" s="3">
        <f t="shared" si="7"/>
        <v>0</v>
      </c>
      <c r="AC241" s="5"/>
      <c r="AD241" s="40">
        <f>TABL1234[[#This Row],[( S/S+T/B) AJD]]-(TABL1234[[#This Row],[(A/B + A/S) AJD]]+(TABL1234[[#This Row],[(STORGE DIFF.) AJD]]*1000)+TABL1234[[#This Row],[البخر  AJD]])</f>
        <v>0</v>
      </c>
      <c r="AE241" s="44"/>
      <c r="AF241" s="45"/>
      <c r="AG241" s="45"/>
      <c r="AH241" s="6"/>
      <c r="AI241" s="45"/>
      <c r="AJ241" s="45">
        <f>TABL1234[[#This Row],[(A/B TOT) AJD]]-TABL1234[[#This Row],[BER_ IN]]</f>
        <v>0</v>
      </c>
      <c r="AK241" s="45"/>
      <c r="AL241" s="45"/>
      <c r="AM241" s="32"/>
      <c r="AN241" s="32">
        <f>TABL1234[[#This Row],[ (RESV. STORGE) SER]]/10</f>
        <v>0</v>
      </c>
      <c r="AO241" s="68"/>
      <c r="AP241" s="68">
        <f>TABL1234[[#This Row],[(A/S TOT) AJD]]-TABL1234[[#This Row],[SER_ IN]]</f>
        <v>0</v>
      </c>
    </row>
    <row r="242" spans="1:42" ht="18.75" x14ac:dyDescent="0.25">
      <c r="A242" s="2">
        <v>46628</v>
      </c>
      <c r="B242" s="41"/>
      <c r="C242" s="41"/>
      <c r="D242" s="41"/>
      <c r="E242" s="28"/>
      <c r="F242" s="41"/>
      <c r="G242" s="39"/>
      <c r="H242" s="28">
        <f t="shared" si="6"/>
        <v>103</v>
      </c>
      <c r="I242" s="39"/>
      <c r="J242" s="39"/>
      <c r="K242" s="28">
        <f>TABL1234[[#This Row],[خط (T/B  TOT) SAR]]+TABL1234[[#This Row],[خط (S/S  TOT) SAR2]]</f>
        <v>0</v>
      </c>
      <c r="L242" s="41"/>
      <c r="M242" s="42"/>
      <c r="N242" s="42"/>
      <c r="O242" s="39"/>
      <c r="P242" s="3">
        <f>TABL1234[[#This Row],[خط (S/S  TOT) SAR2]]-TABL1234[[#This Row],[(S/S TOT) AJD]]</f>
        <v>0</v>
      </c>
      <c r="Q242" s="39"/>
      <c r="R242" s="3">
        <f>TABL1234[[#This Row],[خط (T/B  TOT) SAR]]-TABL1234[[#This Row],[(T/B TOT) AJD]]</f>
        <v>0</v>
      </c>
      <c r="S242" s="3">
        <f>TABL1234[[#This Row],[الفرق بين بداية ونهاية خط  T/B]]+TABL1234[[#This Row],[الفرق بين بداية ونهاية خط  S/S]]</f>
        <v>0</v>
      </c>
      <c r="T242" s="3">
        <f>TABL1234[[#This Row],[(S/S TOT) AJD]]+TABL1234[[#This Row],[(T/B TOT) AJD]]</f>
        <v>0</v>
      </c>
      <c r="U242" s="41"/>
      <c r="V242" s="41"/>
      <c r="W242" s="3">
        <f>TABL1234[[#This Row],[(A/B TOT) AJD]]+TABL1234[[#This Row],[(A/S TOT) AJD]]</f>
        <v>0</v>
      </c>
      <c r="X242" s="3">
        <f>TABL1234[[#This Row],[( S/S+T/B) AJD]]-TABL1234[[#This Row],[(A/B + A/S) AJD]]</f>
        <v>0</v>
      </c>
      <c r="Y242" s="41"/>
      <c r="Z242" s="43"/>
      <c r="AA242" s="3">
        <f>TABL1234[[#This Row],[(RESV. STORGE) AJD]]/10</f>
        <v>0</v>
      </c>
      <c r="AB242" s="3">
        <f t="shared" si="7"/>
        <v>0</v>
      </c>
      <c r="AC242" s="5"/>
      <c r="AD242" s="39">
        <f>TABL1234[[#This Row],[( S/S+T/B) AJD]]-(TABL1234[[#This Row],[(A/B + A/S) AJD]]+(TABL1234[[#This Row],[(STORGE DIFF.) AJD]]*1000)+TABL1234[[#This Row],[البخر  AJD]])</f>
        <v>0</v>
      </c>
      <c r="AE242" s="41"/>
      <c r="AF242" s="43"/>
      <c r="AG242" s="43"/>
      <c r="AH242" s="6"/>
      <c r="AI242" s="43"/>
      <c r="AJ242" s="43">
        <f>TABL1234[[#This Row],[(A/B TOT) AJD]]-TABL1234[[#This Row],[BER_ IN]]</f>
        <v>0</v>
      </c>
      <c r="AK242" s="43"/>
      <c r="AL242" s="43"/>
      <c r="AM242" s="32"/>
      <c r="AN242" s="32">
        <f>TABL1234[[#This Row],[ (RESV. STORGE) SER]]/10</f>
        <v>0</v>
      </c>
      <c r="AO242" s="68"/>
      <c r="AP242" s="68">
        <f>TABL1234[[#This Row],[(A/S TOT) AJD]]-TABL1234[[#This Row],[SER_ IN]]</f>
        <v>0</v>
      </c>
    </row>
    <row r="243" spans="1:42" ht="18.75" x14ac:dyDescent="0.25">
      <c r="A243" s="2">
        <v>46629</v>
      </c>
      <c r="B243" s="44"/>
      <c r="C243" s="44"/>
      <c r="D243" s="44"/>
      <c r="E243" s="28"/>
      <c r="F243" s="44"/>
      <c r="G243" s="40"/>
      <c r="H243" s="28">
        <f t="shared" si="6"/>
        <v>103</v>
      </c>
      <c r="I243" s="40"/>
      <c r="J243" s="44"/>
      <c r="K243" s="28">
        <f>TABL1234[[#This Row],[خط (T/B  TOT) SAR]]+TABL1234[[#This Row],[خط (S/S  TOT) SAR2]]</f>
        <v>0</v>
      </c>
      <c r="L243" s="45"/>
      <c r="M243" s="46"/>
      <c r="N243" s="46"/>
      <c r="O243" s="40"/>
      <c r="P243" s="3">
        <f>TABL1234[[#This Row],[خط (S/S  TOT) SAR2]]-TABL1234[[#This Row],[(S/S TOT) AJD]]</f>
        <v>0</v>
      </c>
      <c r="Q243" s="40"/>
      <c r="R243" s="3">
        <f>TABL1234[[#This Row],[خط (T/B  TOT) SAR]]-TABL1234[[#This Row],[(T/B TOT) AJD]]</f>
        <v>0</v>
      </c>
      <c r="S243" s="3">
        <f>TABL1234[[#This Row],[الفرق بين بداية ونهاية خط  T/B]]+TABL1234[[#This Row],[الفرق بين بداية ونهاية خط  S/S]]</f>
        <v>0</v>
      </c>
      <c r="T243" s="3">
        <f>TABL1234[[#This Row],[(S/S TOT) AJD]]+TABL1234[[#This Row],[(T/B TOT) AJD]]</f>
        <v>0</v>
      </c>
      <c r="U243" s="44"/>
      <c r="V243" s="44"/>
      <c r="W243" s="3">
        <f>TABL1234[[#This Row],[(A/B TOT) AJD]]+TABL1234[[#This Row],[(A/S TOT) AJD]]</f>
        <v>0</v>
      </c>
      <c r="X243" s="3">
        <f>TABL1234[[#This Row],[( S/S+T/B) AJD]]-TABL1234[[#This Row],[(A/B + A/S) AJD]]</f>
        <v>0</v>
      </c>
      <c r="Y243" s="44"/>
      <c r="Z243" s="45"/>
      <c r="AA243" s="3">
        <f>TABL1234[[#This Row],[(RESV. STORGE) AJD]]/10</f>
        <v>0</v>
      </c>
      <c r="AB243" s="3">
        <f t="shared" si="7"/>
        <v>0</v>
      </c>
      <c r="AC243" s="5"/>
      <c r="AD243" s="70">
        <f>TABL1234[[#This Row],[( S/S+T/B) AJD]]-(TABL1234[[#This Row],[(A/B + A/S) AJD]]+(TABL1234[[#This Row],[(STORGE DIFF.) AJD]]*1000)+TABL1234[[#This Row],[البخر  AJD]])</f>
        <v>0</v>
      </c>
      <c r="AE243" s="44"/>
      <c r="AF243" s="45"/>
      <c r="AG243" s="45"/>
      <c r="AH243" s="6"/>
      <c r="AI243" s="45"/>
      <c r="AJ243" s="91">
        <f>TABL1234[[#This Row],[(A/B TOT) AJD]]-TABL1234[[#This Row],[BER_ IN]]</f>
        <v>0</v>
      </c>
      <c r="AK243" s="45"/>
      <c r="AL243" s="45"/>
      <c r="AM243" s="32"/>
      <c r="AN243" s="32">
        <f>TABL1234[[#This Row],[ (RESV. STORGE) SER]]/10</f>
        <v>0</v>
      </c>
      <c r="AO243" s="68"/>
      <c r="AP243" s="68">
        <f>TABL1234[[#This Row],[(A/S TOT) AJD]]-TABL1234[[#This Row],[SER_ IN]]</f>
        <v>0</v>
      </c>
    </row>
    <row r="244" spans="1:42" ht="18.75" x14ac:dyDescent="0.25">
      <c r="A244" s="2">
        <v>46630</v>
      </c>
      <c r="B244" s="41"/>
      <c r="C244" s="41"/>
      <c r="D244" s="41"/>
      <c r="E244" s="28"/>
      <c r="F244" s="41"/>
      <c r="G244" s="39"/>
      <c r="H244" s="28">
        <f t="shared" si="6"/>
        <v>103</v>
      </c>
      <c r="I244" s="39"/>
      <c r="J244" s="39"/>
      <c r="K244" s="28">
        <f>TABL1234[[#This Row],[خط (T/B  TOT) SAR]]+TABL1234[[#This Row],[خط (S/S  TOT) SAR2]]</f>
        <v>0</v>
      </c>
      <c r="L244" s="41"/>
      <c r="M244" s="42"/>
      <c r="N244" s="42"/>
      <c r="O244" s="39"/>
      <c r="P244" s="3">
        <f>TABL1234[[#This Row],[خط (S/S  TOT) SAR2]]-TABL1234[[#This Row],[(S/S TOT) AJD]]</f>
        <v>0</v>
      </c>
      <c r="Q244" s="39"/>
      <c r="R244" s="3">
        <f>TABL1234[[#This Row],[خط (T/B  TOT) SAR]]-TABL1234[[#This Row],[(T/B TOT) AJD]]</f>
        <v>0</v>
      </c>
      <c r="S244" s="3">
        <f>TABL1234[[#This Row],[الفرق بين بداية ونهاية خط  T/B]]+TABL1234[[#This Row],[الفرق بين بداية ونهاية خط  S/S]]</f>
        <v>0</v>
      </c>
      <c r="T244" s="3">
        <f>TABL1234[[#This Row],[(S/S TOT) AJD]]+TABL1234[[#This Row],[(T/B TOT) AJD]]</f>
        <v>0</v>
      </c>
      <c r="U244" s="41"/>
      <c r="V244" s="41"/>
      <c r="W244" s="3">
        <f>TABL1234[[#This Row],[(A/B TOT) AJD]]+TABL1234[[#This Row],[(A/S TOT) AJD]]</f>
        <v>0</v>
      </c>
      <c r="X244" s="3">
        <f>TABL1234[[#This Row],[( S/S+T/B) AJD]]-TABL1234[[#This Row],[(A/B + A/S) AJD]]</f>
        <v>0</v>
      </c>
      <c r="Y244" s="41"/>
      <c r="Z244" s="43"/>
      <c r="AA244" s="3">
        <f>TABL1234[[#This Row],[(RESV. STORGE) AJD]]/10</f>
        <v>0</v>
      </c>
      <c r="AB244" s="3">
        <f t="shared" si="7"/>
        <v>0</v>
      </c>
      <c r="AC244" s="5"/>
      <c r="AD244" s="39">
        <f>TABL1234[[#This Row],[( S/S+T/B) AJD]]-(TABL1234[[#This Row],[(A/B + A/S) AJD]]+(TABL1234[[#This Row],[(STORGE DIFF.) AJD]]*1000)+TABL1234[[#This Row],[البخر  AJD]])</f>
        <v>0</v>
      </c>
      <c r="AE244" s="41"/>
      <c r="AF244" s="43"/>
      <c r="AG244" s="43"/>
      <c r="AH244" s="6"/>
      <c r="AI244" s="43"/>
      <c r="AJ244" s="43">
        <f>TABL1234[[#This Row],[(A/B TOT) AJD]]-TABL1234[[#This Row],[BER_ IN]]</f>
        <v>0</v>
      </c>
      <c r="AK244" s="43"/>
      <c r="AL244" s="43"/>
      <c r="AM244" s="32"/>
      <c r="AN244" s="32">
        <f>TABL1234[[#This Row],[ (RESV. STORGE) SER]]/10</f>
        <v>0</v>
      </c>
      <c r="AO244" s="68"/>
      <c r="AP244" s="68">
        <f>TABL1234[[#This Row],[(A/S TOT) AJD]]-TABL1234[[#This Row],[SER_ IN]]</f>
        <v>0</v>
      </c>
    </row>
    <row r="245" spans="1:42" ht="18.75" x14ac:dyDescent="0.25">
      <c r="A245" s="2">
        <v>46631</v>
      </c>
      <c r="B245" s="41"/>
      <c r="C245" s="41"/>
      <c r="D245" s="41"/>
      <c r="E245" s="35"/>
      <c r="F245" s="41"/>
      <c r="G245" s="39"/>
      <c r="H245" s="34">
        <f t="shared" si="6"/>
        <v>103</v>
      </c>
      <c r="I245" s="39"/>
      <c r="J245" s="39"/>
      <c r="K245" s="34">
        <f>TABL1234[[#This Row],[خط (T/B  TOT) SAR]]+TABL1234[[#This Row],[خط (S/S  TOT) SAR2]]</f>
        <v>0</v>
      </c>
      <c r="L245" s="41"/>
      <c r="M245" s="42"/>
      <c r="N245" s="42"/>
      <c r="O245" s="39"/>
      <c r="P245" s="14">
        <f>TABL1234[[#This Row],[خط (S/S  TOT) SAR2]]-TABL1234[[#This Row],[(S/S TOT) AJD]]</f>
        <v>0</v>
      </c>
      <c r="Q245" s="39"/>
      <c r="R245" s="14">
        <f>TABL1234[[#This Row],[خط (T/B  TOT) SAR]]-TABL1234[[#This Row],[(T/B TOT) AJD]]</f>
        <v>0</v>
      </c>
      <c r="S245" s="14">
        <f>TABL1234[[#This Row],[الفرق بين بداية ونهاية خط  T/B]]+TABL1234[[#This Row],[الفرق بين بداية ونهاية خط  S/S]]</f>
        <v>0</v>
      </c>
      <c r="T245" s="9">
        <f>TABL1234[[#This Row],[(S/S TOT) AJD]]+TABL1234[[#This Row],[(T/B TOT) AJD]]</f>
        <v>0</v>
      </c>
      <c r="U245" s="41"/>
      <c r="V245" s="41"/>
      <c r="W245" s="9">
        <f>TABL1234[[#This Row],[(A/B TOT) AJD]]+TABL1234[[#This Row],[(A/S TOT) AJD]]</f>
        <v>0</v>
      </c>
      <c r="X245" s="9">
        <f>TABL1234[[#This Row],[( S/S+T/B) AJD]]-TABL1234[[#This Row],[(A/B + A/S) AJD]]</f>
        <v>0</v>
      </c>
      <c r="Y245" s="41"/>
      <c r="Z245" s="43"/>
      <c r="AA245" s="3">
        <f>TABL1234[[#This Row],[(RESV. STORGE) AJD]]/10</f>
        <v>0</v>
      </c>
      <c r="AB245" s="3">
        <f t="shared" si="7"/>
        <v>0</v>
      </c>
      <c r="AC245" s="5"/>
      <c r="AD245" s="39">
        <f>TABL1234[[#This Row],[( S/S+T/B) AJD]]-(TABL1234[[#This Row],[(A/B + A/S) AJD]]+(TABL1234[[#This Row],[(STORGE DIFF.) AJD]]*1000)+TABL1234[[#This Row],[البخر  AJD]])</f>
        <v>0</v>
      </c>
      <c r="AE245" s="41"/>
      <c r="AF245" s="43"/>
      <c r="AG245" s="43"/>
      <c r="AH245" s="6"/>
      <c r="AI245" s="43"/>
      <c r="AJ245" s="43">
        <f>TABL1234[[#This Row],[(A/B TOT) AJD]]-TABL1234[[#This Row],[BER_ IN]]</f>
        <v>0</v>
      </c>
      <c r="AK245" s="43"/>
      <c r="AL245" s="43"/>
      <c r="AM245" s="32"/>
      <c r="AN245" s="32">
        <f>TABL1234[[#This Row],[ (RESV. STORGE) SER]]/10</f>
        <v>0</v>
      </c>
      <c r="AO245" s="68"/>
      <c r="AP245" s="68">
        <f>TABL1234[[#This Row],[(A/S TOT) AJD]]-TABL1234[[#This Row],[SER_ IN]]</f>
        <v>0</v>
      </c>
    </row>
    <row r="246" spans="1:42" ht="18.75" x14ac:dyDescent="0.25">
      <c r="A246" s="2">
        <v>46632</v>
      </c>
      <c r="B246" s="44"/>
      <c r="C246" s="44"/>
      <c r="D246" s="44"/>
      <c r="E246" s="35"/>
      <c r="F246" s="44"/>
      <c r="G246" s="40"/>
      <c r="H246" s="34">
        <f t="shared" si="6"/>
        <v>103</v>
      </c>
      <c r="I246" s="40"/>
      <c r="J246" s="44"/>
      <c r="K246" s="34">
        <f>TABL1234[[#This Row],[خط (T/B  TOT) SAR]]+TABL1234[[#This Row],[خط (S/S  TOT) SAR2]]</f>
        <v>0</v>
      </c>
      <c r="L246" s="45"/>
      <c r="M246" s="46"/>
      <c r="N246" s="46"/>
      <c r="O246" s="40"/>
      <c r="P246" s="14">
        <f>TABL1234[[#This Row],[خط (S/S  TOT) SAR2]]-TABL1234[[#This Row],[(S/S TOT) AJD]]</f>
        <v>0</v>
      </c>
      <c r="Q246" s="40"/>
      <c r="R246" s="14">
        <f>TABL1234[[#This Row],[خط (T/B  TOT) SAR]]-TABL1234[[#This Row],[(T/B TOT) AJD]]</f>
        <v>0</v>
      </c>
      <c r="S246" s="14">
        <f>TABL1234[[#This Row],[الفرق بين بداية ونهاية خط  T/B]]+TABL1234[[#This Row],[الفرق بين بداية ونهاية خط  S/S]]</f>
        <v>0</v>
      </c>
      <c r="T246" s="9">
        <f>TABL1234[[#This Row],[(S/S TOT) AJD]]+TABL1234[[#This Row],[(T/B TOT) AJD]]</f>
        <v>0</v>
      </c>
      <c r="U246" s="44"/>
      <c r="V246" s="44"/>
      <c r="W246" s="9">
        <f>TABL1234[[#This Row],[(A/B TOT) AJD]]+TABL1234[[#This Row],[(A/S TOT) AJD]]</f>
        <v>0</v>
      </c>
      <c r="X246" s="9">
        <f>TABL1234[[#This Row],[( S/S+T/B) AJD]]-TABL1234[[#This Row],[(A/B + A/S) AJD]]</f>
        <v>0</v>
      </c>
      <c r="Y246" s="44"/>
      <c r="Z246" s="45"/>
      <c r="AA246" s="3">
        <f>TABL1234[[#This Row],[(RESV. STORGE) AJD]]/10</f>
        <v>0</v>
      </c>
      <c r="AB246" s="3">
        <f t="shared" si="7"/>
        <v>0</v>
      </c>
      <c r="AC246" s="5"/>
      <c r="AD246" s="40">
        <f>TABL1234[[#This Row],[( S/S+T/B) AJD]]-(TABL1234[[#This Row],[(A/B + A/S) AJD]]+(TABL1234[[#This Row],[(STORGE DIFF.) AJD]]*1000)+TABL1234[[#This Row],[البخر  AJD]])</f>
        <v>0</v>
      </c>
      <c r="AE246" s="44"/>
      <c r="AF246" s="45"/>
      <c r="AG246" s="45"/>
      <c r="AH246" s="6"/>
      <c r="AI246" s="45"/>
      <c r="AJ246" s="45">
        <f>TABL1234[[#This Row],[(A/B TOT) AJD]]-TABL1234[[#This Row],[BER_ IN]]</f>
        <v>0</v>
      </c>
      <c r="AK246" s="45"/>
      <c r="AL246" s="45"/>
      <c r="AM246" s="32"/>
      <c r="AN246" s="32">
        <f>TABL1234[[#This Row],[ (RESV. STORGE) SER]]/10</f>
        <v>0</v>
      </c>
      <c r="AO246" s="68"/>
      <c r="AP246" s="68">
        <f>TABL1234[[#This Row],[(A/S TOT) AJD]]-TABL1234[[#This Row],[SER_ IN]]</f>
        <v>0</v>
      </c>
    </row>
    <row r="247" spans="1:42" ht="18.75" x14ac:dyDescent="0.25">
      <c r="A247" s="2">
        <v>46633</v>
      </c>
      <c r="B247" s="41"/>
      <c r="C247" s="41"/>
      <c r="D247" s="41"/>
      <c r="E247" s="35"/>
      <c r="F247" s="41"/>
      <c r="G247" s="39"/>
      <c r="H247" s="34">
        <f t="shared" si="6"/>
        <v>103</v>
      </c>
      <c r="I247" s="39"/>
      <c r="J247" s="39"/>
      <c r="K247" s="34">
        <f>TABL1234[[#This Row],[خط (T/B  TOT) SAR]]+TABL1234[[#This Row],[خط (S/S  TOT) SAR2]]</f>
        <v>0</v>
      </c>
      <c r="L247" s="41"/>
      <c r="M247" s="42"/>
      <c r="N247" s="42"/>
      <c r="O247" s="39"/>
      <c r="P247" s="14">
        <f>TABL1234[[#This Row],[خط (S/S  TOT) SAR2]]-TABL1234[[#This Row],[(S/S TOT) AJD]]</f>
        <v>0</v>
      </c>
      <c r="Q247" s="39"/>
      <c r="R247" s="14">
        <f>TABL1234[[#This Row],[خط (T/B  TOT) SAR]]-TABL1234[[#This Row],[(T/B TOT) AJD]]</f>
        <v>0</v>
      </c>
      <c r="S247" s="14">
        <f>TABL1234[[#This Row],[الفرق بين بداية ونهاية خط  T/B]]+TABL1234[[#This Row],[الفرق بين بداية ونهاية خط  S/S]]</f>
        <v>0</v>
      </c>
      <c r="T247" s="9">
        <f>TABL1234[[#This Row],[(S/S TOT) AJD]]+TABL1234[[#This Row],[(T/B TOT) AJD]]</f>
        <v>0</v>
      </c>
      <c r="U247" s="41"/>
      <c r="V247" s="41"/>
      <c r="W247" s="9">
        <f>TABL1234[[#This Row],[(A/B TOT) AJD]]+TABL1234[[#This Row],[(A/S TOT) AJD]]</f>
        <v>0</v>
      </c>
      <c r="X247" s="9">
        <f>TABL1234[[#This Row],[( S/S+T/B) AJD]]-TABL1234[[#This Row],[(A/B + A/S) AJD]]</f>
        <v>0</v>
      </c>
      <c r="Y247" s="41"/>
      <c r="Z247" s="43"/>
      <c r="AA247" s="3">
        <f>TABL1234[[#This Row],[(RESV. STORGE) AJD]]/10</f>
        <v>0</v>
      </c>
      <c r="AB247" s="3">
        <f t="shared" si="7"/>
        <v>0</v>
      </c>
      <c r="AC247" s="5"/>
      <c r="AD247" s="39">
        <f>TABL1234[[#This Row],[( S/S+T/B) AJD]]-(TABL1234[[#This Row],[(A/B + A/S) AJD]]+(TABL1234[[#This Row],[(STORGE DIFF.) AJD]]*1000)+TABL1234[[#This Row],[البخر  AJD]])</f>
        <v>0</v>
      </c>
      <c r="AE247" s="41"/>
      <c r="AF247" s="43"/>
      <c r="AG247" s="43"/>
      <c r="AH247" s="6"/>
      <c r="AI247" s="43"/>
      <c r="AJ247" s="43">
        <f>TABL1234[[#This Row],[(A/B TOT) AJD]]-TABL1234[[#This Row],[BER_ IN]]</f>
        <v>0</v>
      </c>
      <c r="AK247" s="43"/>
      <c r="AL247" s="43"/>
      <c r="AM247" s="32"/>
      <c r="AN247" s="32">
        <f>TABL1234[[#This Row],[ (RESV. STORGE) SER]]/10</f>
        <v>0</v>
      </c>
      <c r="AO247" s="68"/>
      <c r="AP247" s="68">
        <f>TABL1234[[#This Row],[(A/S TOT) AJD]]-TABL1234[[#This Row],[SER_ IN]]</f>
        <v>0</v>
      </c>
    </row>
    <row r="248" spans="1:42" ht="18.75" x14ac:dyDescent="0.25">
      <c r="A248" s="2">
        <v>46634</v>
      </c>
      <c r="B248" s="44"/>
      <c r="C248" s="44"/>
      <c r="D248" s="44"/>
      <c r="E248" s="35"/>
      <c r="F248" s="44"/>
      <c r="G248" s="40"/>
      <c r="H248" s="34">
        <f t="shared" si="6"/>
        <v>103</v>
      </c>
      <c r="I248" s="40"/>
      <c r="J248" s="44"/>
      <c r="K248" s="34">
        <f>TABL1234[[#This Row],[خط (T/B  TOT) SAR]]+TABL1234[[#This Row],[خط (S/S  TOT) SAR2]]</f>
        <v>0</v>
      </c>
      <c r="L248" s="45"/>
      <c r="M248" s="46"/>
      <c r="N248" s="46"/>
      <c r="O248" s="40"/>
      <c r="P248" s="14">
        <f>TABL1234[[#This Row],[خط (S/S  TOT) SAR2]]-TABL1234[[#This Row],[(S/S TOT) AJD]]</f>
        <v>0</v>
      </c>
      <c r="Q248" s="40"/>
      <c r="R248" s="14">
        <f>TABL1234[[#This Row],[خط (T/B  TOT) SAR]]-TABL1234[[#This Row],[(T/B TOT) AJD]]</f>
        <v>0</v>
      </c>
      <c r="S248" s="14">
        <f>TABL1234[[#This Row],[الفرق بين بداية ونهاية خط  T/B]]+TABL1234[[#This Row],[الفرق بين بداية ونهاية خط  S/S]]</f>
        <v>0</v>
      </c>
      <c r="T248" s="9">
        <f>TABL1234[[#This Row],[(S/S TOT) AJD]]+TABL1234[[#This Row],[(T/B TOT) AJD]]</f>
        <v>0</v>
      </c>
      <c r="U248" s="44"/>
      <c r="V248" s="44"/>
      <c r="W248" s="9">
        <f>TABL1234[[#This Row],[(A/B TOT) AJD]]+TABL1234[[#This Row],[(A/S TOT) AJD]]</f>
        <v>0</v>
      </c>
      <c r="X248" s="9">
        <f>TABL1234[[#This Row],[( S/S+T/B) AJD]]-TABL1234[[#This Row],[(A/B + A/S) AJD]]</f>
        <v>0</v>
      </c>
      <c r="Y248" s="44"/>
      <c r="Z248" s="45"/>
      <c r="AA248" s="3">
        <f>TABL1234[[#This Row],[(RESV. STORGE) AJD]]/10</f>
        <v>0</v>
      </c>
      <c r="AB248" s="3">
        <f t="shared" si="7"/>
        <v>0</v>
      </c>
      <c r="AC248" s="5"/>
      <c r="AD248" s="40">
        <f>TABL1234[[#This Row],[( S/S+T/B) AJD]]-(TABL1234[[#This Row],[(A/B + A/S) AJD]]+(TABL1234[[#This Row],[(STORGE DIFF.) AJD]]*1000)+TABL1234[[#This Row],[البخر  AJD]])</f>
        <v>0</v>
      </c>
      <c r="AE248" s="44"/>
      <c r="AF248" s="45"/>
      <c r="AG248" s="45"/>
      <c r="AH248" s="6"/>
      <c r="AI248" s="45"/>
      <c r="AJ248" s="45">
        <f>TABL1234[[#This Row],[(A/B TOT) AJD]]-TABL1234[[#This Row],[BER_ IN]]</f>
        <v>0</v>
      </c>
      <c r="AK248" s="45"/>
      <c r="AL248" s="45"/>
      <c r="AM248" s="32"/>
      <c r="AN248" s="32">
        <f>TABL1234[[#This Row],[ (RESV. STORGE) SER]]/10</f>
        <v>0</v>
      </c>
      <c r="AO248" s="68"/>
      <c r="AP248" s="68">
        <f>TABL1234[[#This Row],[(A/S TOT) AJD]]-TABL1234[[#This Row],[SER_ IN]]</f>
        <v>0</v>
      </c>
    </row>
    <row r="249" spans="1:42" ht="18.75" x14ac:dyDescent="0.25">
      <c r="A249" s="2">
        <v>46635</v>
      </c>
      <c r="B249" s="41"/>
      <c r="C249" s="41"/>
      <c r="D249" s="41"/>
      <c r="E249" s="35"/>
      <c r="F249" s="41"/>
      <c r="G249" s="39"/>
      <c r="H249" s="34">
        <f t="shared" si="6"/>
        <v>103</v>
      </c>
      <c r="I249" s="39"/>
      <c r="J249" s="39"/>
      <c r="K249" s="34">
        <f>TABL1234[[#This Row],[خط (T/B  TOT) SAR]]+TABL1234[[#This Row],[خط (S/S  TOT) SAR2]]</f>
        <v>0</v>
      </c>
      <c r="L249" s="41"/>
      <c r="M249" s="42"/>
      <c r="N249" s="42"/>
      <c r="O249" s="39"/>
      <c r="P249" s="14">
        <f>TABL1234[[#This Row],[خط (S/S  TOT) SAR2]]-TABL1234[[#This Row],[(S/S TOT) AJD]]</f>
        <v>0</v>
      </c>
      <c r="Q249" s="39"/>
      <c r="R249" s="14">
        <f>TABL1234[[#This Row],[خط (T/B  TOT) SAR]]-TABL1234[[#This Row],[(T/B TOT) AJD]]</f>
        <v>0</v>
      </c>
      <c r="S249" s="14">
        <f>TABL1234[[#This Row],[الفرق بين بداية ونهاية خط  T/B]]+TABL1234[[#This Row],[الفرق بين بداية ونهاية خط  S/S]]</f>
        <v>0</v>
      </c>
      <c r="T249" s="9">
        <f>TABL1234[[#This Row],[(S/S TOT) AJD]]+TABL1234[[#This Row],[(T/B TOT) AJD]]</f>
        <v>0</v>
      </c>
      <c r="U249" s="41"/>
      <c r="V249" s="41"/>
      <c r="W249" s="9">
        <f>TABL1234[[#This Row],[(A/B TOT) AJD]]+TABL1234[[#This Row],[(A/S TOT) AJD]]</f>
        <v>0</v>
      </c>
      <c r="X249" s="9">
        <f>TABL1234[[#This Row],[( S/S+T/B) AJD]]-TABL1234[[#This Row],[(A/B + A/S) AJD]]</f>
        <v>0</v>
      </c>
      <c r="Y249" s="41"/>
      <c r="Z249" s="43"/>
      <c r="AA249" s="3">
        <f>TABL1234[[#This Row],[(RESV. STORGE) AJD]]/10</f>
        <v>0</v>
      </c>
      <c r="AB249" s="3">
        <f t="shared" si="7"/>
        <v>0</v>
      </c>
      <c r="AC249" s="5"/>
      <c r="AD249" s="39">
        <f>TABL1234[[#This Row],[( S/S+T/B) AJD]]-(TABL1234[[#This Row],[(A/B + A/S) AJD]]+(TABL1234[[#This Row],[(STORGE DIFF.) AJD]]*1000)+TABL1234[[#This Row],[البخر  AJD]])</f>
        <v>0</v>
      </c>
      <c r="AE249" s="41"/>
      <c r="AF249" s="43"/>
      <c r="AG249" s="43"/>
      <c r="AH249" s="6"/>
      <c r="AI249" s="43"/>
      <c r="AJ249" s="43">
        <f>TABL1234[[#This Row],[(A/B TOT) AJD]]-TABL1234[[#This Row],[BER_ IN]]</f>
        <v>0</v>
      </c>
      <c r="AK249" s="43"/>
      <c r="AL249" s="43"/>
      <c r="AM249" s="32"/>
      <c r="AN249" s="32">
        <f>TABL1234[[#This Row],[ (RESV. STORGE) SER]]/10</f>
        <v>0</v>
      </c>
      <c r="AO249" s="68"/>
      <c r="AP249" s="68">
        <f>TABL1234[[#This Row],[(A/S TOT) AJD]]-TABL1234[[#This Row],[SER_ IN]]</f>
        <v>0</v>
      </c>
    </row>
    <row r="250" spans="1:42" ht="18.75" x14ac:dyDescent="0.25">
      <c r="A250" s="2">
        <v>46636</v>
      </c>
      <c r="B250" s="44"/>
      <c r="C250" s="44"/>
      <c r="D250" s="44"/>
      <c r="E250" s="35"/>
      <c r="F250" s="44"/>
      <c r="G250" s="40"/>
      <c r="H250" s="28">
        <f t="shared" si="6"/>
        <v>103</v>
      </c>
      <c r="I250" s="40"/>
      <c r="J250" s="44"/>
      <c r="K250" s="28">
        <f>TABL1234[[#This Row],[خط (T/B  TOT) SAR]]+TABL1234[[#This Row],[خط (S/S  TOT) SAR2]]</f>
        <v>0</v>
      </c>
      <c r="L250" s="45"/>
      <c r="M250" s="46"/>
      <c r="N250" s="46"/>
      <c r="O250" s="40"/>
      <c r="P250" s="9">
        <f>TABL1234[[#This Row],[خط (S/S  TOT) SAR2]]-TABL1234[[#This Row],[(S/S TOT) AJD]]</f>
        <v>0</v>
      </c>
      <c r="Q250" s="40"/>
      <c r="R250" s="9">
        <f>TABL1234[[#This Row],[خط (T/B  TOT) SAR]]-TABL1234[[#This Row],[(T/B TOT) AJD]]</f>
        <v>0</v>
      </c>
      <c r="S250" s="9">
        <f>TABL1234[[#This Row],[الفرق بين بداية ونهاية خط  T/B]]+TABL1234[[#This Row],[الفرق بين بداية ونهاية خط  S/S]]</f>
        <v>0</v>
      </c>
      <c r="T250" s="9">
        <f>TABL1234[[#This Row],[(S/S TOT) AJD]]+TABL1234[[#This Row],[(T/B TOT) AJD]]</f>
        <v>0</v>
      </c>
      <c r="U250" s="44"/>
      <c r="V250" s="44"/>
      <c r="W250" s="9">
        <f>TABL1234[[#This Row],[(A/B TOT) AJD]]+TABL1234[[#This Row],[(A/S TOT) AJD]]</f>
        <v>0</v>
      </c>
      <c r="X250" s="9">
        <f>TABL1234[[#This Row],[( S/S+T/B) AJD]]-TABL1234[[#This Row],[(A/B + A/S) AJD]]</f>
        <v>0</v>
      </c>
      <c r="Y250" s="44"/>
      <c r="Z250" s="45"/>
      <c r="AA250" s="3">
        <f>TABL1234[[#This Row],[(RESV. STORGE) AJD]]/10</f>
        <v>0</v>
      </c>
      <c r="AB250" s="3">
        <f t="shared" si="7"/>
        <v>0</v>
      </c>
      <c r="AC250" s="5"/>
      <c r="AD250" s="40">
        <f>TABL1234[[#This Row],[( S/S+T/B) AJD]]-(TABL1234[[#This Row],[(A/B + A/S) AJD]]+(TABL1234[[#This Row],[(STORGE DIFF.) AJD]]*1000)+TABL1234[[#This Row],[البخر  AJD]])</f>
        <v>0</v>
      </c>
      <c r="AE250" s="44"/>
      <c r="AF250" s="45"/>
      <c r="AG250" s="45"/>
      <c r="AH250" s="6"/>
      <c r="AI250" s="45"/>
      <c r="AJ250" s="45">
        <f>TABL1234[[#This Row],[(A/B TOT) AJD]]-TABL1234[[#This Row],[BER_ IN]]</f>
        <v>0</v>
      </c>
      <c r="AK250" s="45"/>
      <c r="AL250" s="45"/>
      <c r="AM250" s="32"/>
      <c r="AN250" s="32">
        <f>TABL1234[[#This Row],[ (RESV. STORGE) SER]]/10</f>
        <v>0</v>
      </c>
      <c r="AO250" s="68"/>
      <c r="AP250" s="68">
        <f>TABL1234[[#This Row],[(A/S TOT) AJD]]-TABL1234[[#This Row],[SER_ IN]]</f>
        <v>0</v>
      </c>
    </row>
    <row r="251" spans="1:42" ht="18.75" x14ac:dyDescent="0.25">
      <c r="A251" s="2">
        <v>46637</v>
      </c>
      <c r="B251" s="41"/>
      <c r="C251" s="41"/>
      <c r="D251" s="41"/>
      <c r="E251" s="35"/>
      <c r="F251" s="41"/>
      <c r="G251" s="39"/>
      <c r="H251" s="28">
        <f t="shared" si="6"/>
        <v>103</v>
      </c>
      <c r="I251" s="39"/>
      <c r="J251" s="39"/>
      <c r="K251" s="28">
        <f>TABL1234[[#This Row],[خط (T/B  TOT) SAR]]+TABL1234[[#This Row],[خط (S/S  TOT) SAR2]]</f>
        <v>0</v>
      </c>
      <c r="L251" s="41"/>
      <c r="M251" s="42"/>
      <c r="N251" s="42"/>
      <c r="O251" s="39"/>
      <c r="P251" s="9">
        <f>TABL1234[[#This Row],[خط (S/S  TOT) SAR2]]-TABL1234[[#This Row],[(S/S TOT) AJD]]</f>
        <v>0</v>
      </c>
      <c r="Q251" s="39"/>
      <c r="R251" s="9">
        <f>TABL1234[[#This Row],[خط (T/B  TOT) SAR]]-TABL1234[[#This Row],[(T/B TOT) AJD]]</f>
        <v>0</v>
      </c>
      <c r="S251" s="9">
        <f>TABL1234[[#This Row],[الفرق بين بداية ونهاية خط  T/B]]+TABL1234[[#This Row],[الفرق بين بداية ونهاية خط  S/S]]</f>
        <v>0</v>
      </c>
      <c r="T251" s="9">
        <f>TABL1234[[#This Row],[(S/S TOT) AJD]]+TABL1234[[#This Row],[(T/B TOT) AJD]]</f>
        <v>0</v>
      </c>
      <c r="U251" s="41"/>
      <c r="V251" s="41"/>
      <c r="W251" s="9">
        <f>TABL1234[[#This Row],[(A/B TOT) AJD]]+TABL1234[[#This Row],[(A/S TOT) AJD]]</f>
        <v>0</v>
      </c>
      <c r="X251" s="9">
        <f>TABL1234[[#This Row],[( S/S+T/B) AJD]]-TABL1234[[#This Row],[(A/B + A/S) AJD]]</f>
        <v>0</v>
      </c>
      <c r="Y251" s="41"/>
      <c r="Z251" s="43"/>
      <c r="AA251" s="3">
        <f>TABL1234[[#This Row],[(RESV. STORGE) AJD]]/10</f>
        <v>0</v>
      </c>
      <c r="AB251" s="3">
        <f t="shared" si="7"/>
        <v>0</v>
      </c>
      <c r="AC251" s="5"/>
      <c r="AD251" s="39">
        <f>TABL1234[[#This Row],[( S/S+T/B) AJD]]-(TABL1234[[#This Row],[(A/B + A/S) AJD]]+(TABL1234[[#This Row],[(STORGE DIFF.) AJD]]*1000)+TABL1234[[#This Row],[البخر  AJD]])</f>
        <v>0</v>
      </c>
      <c r="AE251" s="41"/>
      <c r="AF251" s="43"/>
      <c r="AG251" s="43"/>
      <c r="AH251" s="6"/>
      <c r="AI251" s="43"/>
      <c r="AJ251" s="43">
        <f>TABL1234[[#This Row],[(A/B TOT) AJD]]-TABL1234[[#This Row],[BER_ IN]]</f>
        <v>0</v>
      </c>
      <c r="AK251" s="43"/>
      <c r="AL251" s="43"/>
      <c r="AM251" s="32"/>
      <c r="AN251" s="32">
        <f>TABL1234[[#This Row],[ (RESV. STORGE) SER]]/10</f>
        <v>0</v>
      </c>
      <c r="AO251" s="68"/>
      <c r="AP251" s="68">
        <f>TABL1234[[#This Row],[(A/S TOT) AJD]]-TABL1234[[#This Row],[SER_ IN]]</f>
        <v>0</v>
      </c>
    </row>
    <row r="252" spans="1:42" ht="18.75" x14ac:dyDescent="0.25">
      <c r="A252" s="2">
        <v>46638</v>
      </c>
      <c r="B252" s="44"/>
      <c r="C252" s="44"/>
      <c r="D252" s="44"/>
      <c r="E252" s="35"/>
      <c r="F252" s="44"/>
      <c r="G252" s="40"/>
      <c r="H252" s="28">
        <f t="shared" si="6"/>
        <v>103</v>
      </c>
      <c r="I252" s="40"/>
      <c r="J252" s="44"/>
      <c r="K252" s="28">
        <f>TABL1234[[#This Row],[خط (T/B  TOT) SAR]]+TABL1234[[#This Row],[خط (S/S  TOT) SAR2]]</f>
        <v>0</v>
      </c>
      <c r="L252" s="45"/>
      <c r="M252" s="46"/>
      <c r="N252" s="46"/>
      <c r="O252" s="40"/>
      <c r="P252" s="9">
        <f>TABL1234[[#This Row],[خط (S/S  TOT) SAR2]]-TABL1234[[#This Row],[(S/S TOT) AJD]]</f>
        <v>0</v>
      </c>
      <c r="Q252" s="40"/>
      <c r="R252" s="9">
        <f>TABL1234[[#This Row],[خط (T/B  TOT) SAR]]-TABL1234[[#This Row],[(T/B TOT) AJD]]</f>
        <v>0</v>
      </c>
      <c r="S252" s="9">
        <f>TABL1234[[#This Row],[الفرق بين بداية ونهاية خط  T/B]]+TABL1234[[#This Row],[الفرق بين بداية ونهاية خط  S/S]]</f>
        <v>0</v>
      </c>
      <c r="T252" s="9">
        <f>TABL1234[[#This Row],[(S/S TOT) AJD]]+TABL1234[[#This Row],[(T/B TOT) AJD]]</f>
        <v>0</v>
      </c>
      <c r="U252" s="44"/>
      <c r="V252" s="44"/>
      <c r="W252" s="9">
        <f>TABL1234[[#This Row],[(A/B TOT) AJD]]+TABL1234[[#This Row],[(A/S TOT) AJD]]</f>
        <v>0</v>
      </c>
      <c r="X252" s="9">
        <f>TABL1234[[#This Row],[( S/S+T/B) AJD]]-TABL1234[[#This Row],[(A/B + A/S) AJD]]</f>
        <v>0</v>
      </c>
      <c r="Y252" s="44"/>
      <c r="Z252" s="45"/>
      <c r="AA252" s="3">
        <f>TABL1234[[#This Row],[(RESV. STORGE) AJD]]/10</f>
        <v>0</v>
      </c>
      <c r="AB252" s="3">
        <f t="shared" si="7"/>
        <v>0</v>
      </c>
      <c r="AC252" s="5"/>
      <c r="AD252" s="40">
        <f>TABL1234[[#This Row],[( S/S+T/B) AJD]]-(TABL1234[[#This Row],[(A/B + A/S) AJD]]+(TABL1234[[#This Row],[(STORGE DIFF.) AJD]]*1000)+TABL1234[[#This Row],[البخر  AJD]])</f>
        <v>0</v>
      </c>
      <c r="AE252" s="44"/>
      <c r="AF252" s="45"/>
      <c r="AG252" s="45"/>
      <c r="AH252" s="6"/>
      <c r="AI252" s="45"/>
      <c r="AJ252" s="45">
        <f>TABL1234[[#This Row],[(A/B TOT) AJD]]-TABL1234[[#This Row],[BER_ IN]]</f>
        <v>0</v>
      </c>
      <c r="AK252" s="45"/>
      <c r="AL252" s="45"/>
      <c r="AM252" s="32"/>
      <c r="AN252" s="32">
        <f>TABL1234[[#This Row],[ (RESV. STORGE) SER]]/10</f>
        <v>0</v>
      </c>
      <c r="AO252" s="68"/>
      <c r="AP252" s="68">
        <f>TABL1234[[#This Row],[(A/S TOT) AJD]]-TABL1234[[#This Row],[SER_ IN]]</f>
        <v>0</v>
      </c>
    </row>
    <row r="253" spans="1:42" ht="18.75" x14ac:dyDescent="0.25">
      <c r="A253" s="2">
        <v>46639</v>
      </c>
      <c r="B253" s="41"/>
      <c r="C253" s="41"/>
      <c r="D253" s="41"/>
      <c r="E253" s="35"/>
      <c r="F253" s="41"/>
      <c r="G253" s="39"/>
      <c r="H253" s="28">
        <f t="shared" si="6"/>
        <v>103</v>
      </c>
      <c r="I253" s="39"/>
      <c r="J253" s="39"/>
      <c r="K253" s="28">
        <f>TABL1234[[#This Row],[خط (T/B  TOT) SAR]]+TABL1234[[#This Row],[خط (S/S  TOT) SAR2]]</f>
        <v>0</v>
      </c>
      <c r="L253" s="41"/>
      <c r="M253" s="42"/>
      <c r="N253" s="42"/>
      <c r="O253" s="39"/>
      <c r="P253" s="9">
        <f>TABL1234[[#This Row],[خط (S/S  TOT) SAR2]]-TABL1234[[#This Row],[(S/S TOT) AJD]]</f>
        <v>0</v>
      </c>
      <c r="Q253" s="39"/>
      <c r="R253" s="9">
        <f>TABL1234[[#This Row],[خط (T/B  TOT) SAR]]-TABL1234[[#This Row],[(T/B TOT) AJD]]</f>
        <v>0</v>
      </c>
      <c r="S253" s="9">
        <f>TABL1234[[#This Row],[الفرق بين بداية ونهاية خط  T/B]]+TABL1234[[#This Row],[الفرق بين بداية ونهاية خط  S/S]]</f>
        <v>0</v>
      </c>
      <c r="T253" s="9">
        <f>TABL1234[[#This Row],[(S/S TOT) AJD]]+TABL1234[[#This Row],[(T/B TOT) AJD]]</f>
        <v>0</v>
      </c>
      <c r="U253" s="41"/>
      <c r="V253" s="41"/>
      <c r="W253" s="9">
        <f>TABL1234[[#This Row],[(A/B TOT) AJD]]+TABL1234[[#This Row],[(A/S TOT) AJD]]</f>
        <v>0</v>
      </c>
      <c r="X253" s="9">
        <f>TABL1234[[#This Row],[( S/S+T/B) AJD]]-TABL1234[[#This Row],[(A/B + A/S) AJD]]</f>
        <v>0</v>
      </c>
      <c r="Y253" s="41"/>
      <c r="Z253" s="43"/>
      <c r="AA253" s="3">
        <f>TABL1234[[#This Row],[(RESV. STORGE) AJD]]/10</f>
        <v>0</v>
      </c>
      <c r="AB253" s="3">
        <f t="shared" si="7"/>
        <v>0</v>
      </c>
      <c r="AC253" s="5"/>
      <c r="AD253" s="39">
        <f>TABL1234[[#This Row],[( S/S+T/B) AJD]]-(TABL1234[[#This Row],[(A/B + A/S) AJD]]+(TABL1234[[#This Row],[(STORGE DIFF.) AJD]]*1000)+TABL1234[[#This Row],[البخر  AJD]])</f>
        <v>0</v>
      </c>
      <c r="AE253" s="41"/>
      <c r="AF253" s="43"/>
      <c r="AG253" s="43"/>
      <c r="AH253" s="6"/>
      <c r="AI253" s="43"/>
      <c r="AJ253" s="43">
        <f>TABL1234[[#This Row],[(A/B TOT) AJD]]-TABL1234[[#This Row],[BER_ IN]]</f>
        <v>0</v>
      </c>
      <c r="AK253" s="43"/>
      <c r="AL253" s="43"/>
      <c r="AM253" s="32"/>
      <c r="AN253" s="32">
        <f>TABL1234[[#This Row],[ (RESV. STORGE) SER]]/10</f>
        <v>0</v>
      </c>
      <c r="AO253" s="68"/>
      <c r="AP253" s="68">
        <f>TABL1234[[#This Row],[(A/S TOT) AJD]]-TABL1234[[#This Row],[SER_ IN]]</f>
        <v>0</v>
      </c>
    </row>
    <row r="254" spans="1:42" ht="18.75" x14ac:dyDescent="0.25">
      <c r="A254" s="2">
        <v>46640</v>
      </c>
      <c r="B254" s="44"/>
      <c r="C254" s="44"/>
      <c r="D254" s="44"/>
      <c r="E254" s="35"/>
      <c r="F254" s="44"/>
      <c r="G254" s="40"/>
      <c r="H254" s="28">
        <f t="shared" si="6"/>
        <v>103</v>
      </c>
      <c r="I254" s="40"/>
      <c r="J254" s="44"/>
      <c r="K254" s="28">
        <f>TABL1234[[#This Row],[خط (T/B  TOT) SAR]]+TABL1234[[#This Row],[خط (S/S  TOT) SAR2]]</f>
        <v>0</v>
      </c>
      <c r="L254" s="45"/>
      <c r="M254" s="46"/>
      <c r="N254" s="46"/>
      <c r="O254" s="40"/>
      <c r="P254" s="9">
        <f>TABL1234[[#This Row],[خط (S/S  TOT) SAR2]]-TABL1234[[#This Row],[(S/S TOT) AJD]]</f>
        <v>0</v>
      </c>
      <c r="Q254" s="40"/>
      <c r="R254" s="9">
        <f>TABL1234[[#This Row],[خط (T/B  TOT) SAR]]-TABL1234[[#This Row],[(T/B TOT) AJD]]</f>
        <v>0</v>
      </c>
      <c r="S254" s="9">
        <f>TABL1234[[#This Row],[الفرق بين بداية ونهاية خط  T/B]]+TABL1234[[#This Row],[الفرق بين بداية ونهاية خط  S/S]]</f>
        <v>0</v>
      </c>
      <c r="T254" s="9">
        <f>TABL1234[[#This Row],[(S/S TOT) AJD]]+TABL1234[[#This Row],[(T/B TOT) AJD]]</f>
        <v>0</v>
      </c>
      <c r="U254" s="44"/>
      <c r="V254" s="44"/>
      <c r="W254" s="9">
        <f>TABL1234[[#This Row],[(A/B TOT) AJD]]+TABL1234[[#This Row],[(A/S TOT) AJD]]</f>
        <v>0</v>
      </c>
      <c r="X254" s="9">
        <f>TABL1234[[#This Row],[( S/S+T/B) AJD]]-TABL1234[[#This Row],[(A/B + A/S) AJD]]</f>
        <v>0</v>
      </c>
      <c r="Y254" s="44"/>
      <c r="Z254" s="45"/>
      <c r="AA254" s="3">
        <f>TABL1234[[#This Row],[(RESV. STORGE) AJD]]/10</f>
        <v>0</v>
      </c>
      <c r="AB254" s="3">
        <f t="shared" si="7"/>
        <v>0</v>
      </c>
      <c r="AC254" s="5"/>
      <c r="AD254" s="40">
        <f>TABL1234[[#This Row],[( S/S+T/B) AJD]]-(TABL1234[[#This Row],[(A/B + A/S) AJD]]+(TABL1234[[#This Row],[(STORGE DIFF.) AJD]]*1000)+TABL1234[[#This Row],[البخر  AJD]])</f>
        <v>0</v>
      </c>
      <c r="AE254" s="44"/>
      <c r="AF254" s="45"/>
      <c r="AG254" s="45"/>
      <c r="AH254" s="6"/>
      <c r="AI254" s="45"/>
      <c r="AJ254" s="45">
        <f>TABL1234[[#This Row],[(A/B TOT) AJD]]-TABL1234[[#This Row],[BER_ IN]]</f>
        <v>0</v>
      </c>
      <c r="AK254" s="45"/>
      <c r="AL254" s="45"/>
      <c r="AM254" s="32"/>
      <c r="AN254" s="32">
        <f>TABL1234[[#This Row],[ (RESV. STORGE) SER]]/10</f>
        <v>0</v>
      </c>
      <c r="AO254" s="68"/>
      <c r="AP254" s="68">
        <f>TABL1234[[#This Row],[(A/S TOT) AJD]]-TABL1234[[#This Row],[SER_ IN]]</f>
        <v>0</v>
      </c>
    </row>
    <row r="255" spans="1:42" ht="18.75" x14ac:dyDescent="0.25">
      <c r="A255" s="2">
        <v>46641</v>
      </c>
      <c r="B255" s="41"/>
      <c r="C255" s="41"/>
      <c r="D255" s="41"/>
      <c r="E255" s="35"/>
      <c r="F255" s="41"/>
      <c r="G255" s="39"/>
      <c r="H255" s="28">
        <f t="shared" si="6"/>
        <v>103</v>
      </c>
      <c r="I255" s="39"/>
      <c r="J255" s="39"/>
      <c r="K255" s="28">
        <f>TABL1234[[#This Row],[خط (T/B  TOT) SAR]]+TABL1234[[#This Row],[خط (S/S  TOT) SAR2]]</f>
        <v>0</v>
      </c>
      <c r="L255" s="41"/>
      <c r="M255" s="42"/>
      <c r="N255" s="42"/>
      <c r="O255" s="39"/>
      <c r="P255" s="9">
        <f>TABL1234[[#This Row],[خط (S/S  TOT) SAR2]]-TABL1234[[#This Row],[(S/S TOT) AJD]]</f>
        <v>0</v>
      </c>
      <c r="Q255" s="39"/>
      <c r="R255" s="9">
        <f>TABL1234[[#This Row],[خط (T/B  TOT) SAR]]-TABL1234[[#This Row],[(T/B TOT) AJD]]</f>
        <v>0</v>
      </c>
      <c r="S255" s="9">
        <f>TABL1234[[#This Row],[الفرق بين بداية ونهاية خط  T/B]]+TABL1234[[#This Row],[الفرق بين بداية ونهاية خط  S/S]]</f>
        <v>0</v>
      </c>
      <c r="T255" s="9">
        <f>TABL1234[[#This Row],[(S/S TOT) AJD]]+TABL1234[[#This Row],[(T/B TOT) AJD]]</f>
        <v>0</v>
      </c>
      <c r="U255" s="41"/>
      <c r="V255" s="41"/>
      <c r="W255" s="9">
        <f>TABL1234[[#This Row],[(A/B TOT) AJD]]+TABL1234[[#This Row],[(A/S TOT) AJD]]</f>
        <v>0</v>
      </c>
      <c r="X255" s="9">
        <f>TABL1234[[#This Row],[( S/S+T/B) AJD]]-TABL1234[[#This Row],[(A/B + A/S) AJD]]</f>
        <v>0</v>
      </c>
      <c r="Y255" s="41"/>
      <c r="Z255" s="43"/>
      <c r="AA255" s="3">
        <f>TABL1234[[#This Row],[(RESV. STORGE) AJD]]/10</f>
        <v>0</v>
      </c>
      <c r="AB255" s="3">
        <f t="shared" si="7"/>
        <v>0</v>
      </c>
      <c r="AC255" s="5"/>
      <c r="AD255" s="39">
        <f>TABL1234[[#This Row],[( S/S+T/B) AJD]]-(TABL1234[[#This Row],[(A/B + A/S) AJD]]+(TABL1234[[#This Row],[(STORGE DIFF.) AJD]]*1000)+TABL1234[[#This Row],[البخر  AJD]])</f>
        <v>0</v>
      </c>
      <c r="AE255" s="41"/>
      <c r="AF255" s="43"/>
      <c r="AG255" s="43"/>
      <c r="AH255" s="6"/>
      <c r="AI255" s="43"/>
      <c r="AJ255" s="43">
        <f>TABL1234[[#This Row],[(A/B TOT) AJD]]-TABL1234[[#This Row],[BER_ IN]]</f>
        <v>0</v>
      </c>
      <c r="AK255" s="43"/>
      <c r="AL255" s="43"/>
      <c r="AM255" s="32"/>
      <c r="AN255" s="32">
        <f>TABL1234[[#This Row],[ (RESV. STORGE) SER]]/10</f>
        <v>0</v>
      </c>
      <c r="AO255" s="68"/>
      <c r="AP255" s="68">
        <f>TABL1234[[#This Row],[(A/S TOT) AJD]]-TABL1234[[#This Row],[SER_ IN]]</f>
        <v>0</v>
      </c>
    </row>
    <row r="256" spans="1:42" ht="18.75" x14ac:dyDescent="0.25">
      <c r="A256" s="2">
        <v>46642</v>
      </c>
      <c r="B256" s="44"/>
      <c r="C256" s="44"/>
      <c r="D256" s="44"/>
      <c r="E256" s="35"/>
      <c r="F256" s="44"/>
      <c r="G256" s="40"/>
      <c r="H256" s="28">
        <f t="shared" si="6"/>
        <v>103</v>
      </c>
      <c r="I256" s="40"/>
      <c r="J256" s="44"/>
      <c r="K256" s="28">
        <f>TABL1234[[#This Row],[خط (T/B  TOT) SAR]]+TABL1234[[#This Row],[خط (S/S  TOT) SAR2]]</f>
        <v>0</v>
      </c>
      <c r="L256" s="45"/>
      <c r="M256" s="46"/>
      <c r="N256" s="46"/>
      <c r="O256" s="40"/>
      <c r="P256" s="9">
        <f>TABL1234[[#This Row],[خط (S/S  TOT) SAR2]]-TABL1234[[#This Row],[(S/S TOT) AJD]]</f>
        <v>0</v>
      </c>
      <c r="Q256" s="40"/>
      <c r="R256" s="9">
        <f>TABL1234[[#This Row],[خط (T/B  TOT) SAR]]-TABL1234[[#This Row],[(T/B TOT) AJD]]</f>
        <v>0</v>
      </c>
      <c r="S256" s="9">
        <f>TABL1234[[#This Row],[الفرق بين بداية ونهاية خط  T/B]]+TABL1234[[#This Row],[الفرق بين بداية ونهاية خط  S/S]]</f>
        <v>0</v>
      </c>
      <c r="T256" s="9">
        <f>TABL1234[[#This Row],[(S/S TOT) AJD]]+TABL1234[[#This Row],[(T/B TOT) AJD]]</f>
        <v>0</v>
      </c>
      <c r="U256" s="44"/>
      <c r="V256" s="44"/>
      <c r="W256" s="9">
        <f>TABL1234[[#This Row],[(A/B TOT) AJD]]+TABL1234[[#This Row],[(A/S TOT) AJD]]</f>
        <v>0</v>
      </c>
      <c r="X256" s="9">
        <f>TABL1234[[#This Row],[( S/S+T/B) AJD]]-TABL1234[[#This Row],[(A/B + A/S) AJD]]</f>
        <v>0</v>
      </c>
      <c r="Y256" s="44"/>
      <c r="Z256" s="45"/>
      <c r="AA256" s="3">
        <f>TABL1234[[#This Row],[(RESV. STORGE) AJD]]/10</f>
        <v>0</v>
      </c>
      <c r="AB256" s="3">
        <f t="shared" si="7"/>
        <v>0</v>
      </c>
      <c r="AC256" s="5"/>
      <c r="AD256" s="40">
        <f>TABL1234[[#This Row],[( S/S+T/B) AJD]]-(TABL1234[[#This Row],[(A/B + A/S) AJD]]+(TABL1234[[#This Row],[(STORGE DIFF.) AJD]]*1000)+TABL1234[[#This Row],[البخر  AJD]])</f>
        <v>0</v>
      </c>
      <c r="AE256" s="44"/>
      <c r="AF256" s="45"/>
      <c r="AG256" s="45"/>
      <c r="AH256" s="6"/>
      <c r="AI256" s="45"/>
      <c r="AJ256" s="45">
        <f>TABL1234[[#This Row],[(A/B TOT) AJD]]-TABL1234[[#This Row],[BER_ IN]]</f>
        <v>0</v>
      </c>
      <c r="AK256" s="45"/>
      <c r="AL256" s="45"/>
      <c r="AM256" s="32"/>
      <c r="AN256" s="32">
        <f>TABL1234[[#This Row],[ (RESV. STORGE) SER]]/10</f>
        <v>0</v>
      </c>
      <c r="AO256" s="68"/>
      <c r="AP256" s="68">
        <f>TABL1234[[#This Row],[(A/S TOT) AJD]]-TABL1234[[#This Row],[SER_ IN]]</f>
        <v>0</v>
      </c>
    </row>
    <row r="257" spans="1:42" ht="18.75" x14ac:dyDescent="0.25">
      <c r="A257" s="2">
        <v>46643</v>
      </c>
      <c r="B257" s="41"/>
      <c r="C257" s="41"/>
      <c r="D257" s="41"/>
      <c r="E257" s="35"/>
      <c r="F257" s="41"/>
      <c r="G257" s="39"/>
      <c r="H257" s="28">
        <f t="shared" si="6"/>
        <v>103</v>
      </c>
      <c r="I257" s="39"/>
      <c r="J257" s="39"/>
      <c r="K257" s="28">
        <f>TABL1234[[#This Row],[خط (T/B  TOT) SAR]]+TABL1234[[#This Row],[خط (S/S  TOT) SAR2]]</f>
        <v>0</v>
      </c>
      <c r="L257" s="41"/>
      <c r="M257" s="42"/>
      <c r="N257" s="42"/>
      <c r="O257" s="39"/>
      <c r="P257" s="9">
        <f>TABL1234[[#This Row],[خط (S/S  TOT) SAR2]]-TABL1234[[#This Row],[(S/S TOT) AJD]]</f>
        <v>0</v>
      </c>
      <c r="Q257" s="39"/>
      <c r="R257" s="9">
        <f>TABL1234[[#This Row],[خط (T/B  TOT) SAR]]-TABL1234[[#This Row],[(T/B TOT) AJD]]</f>
        <v>0</v>
      </c>
      <c r="S257" s="9">
        <f>TABL1234[[#This Row],[الفرق بين بداية ونهاية خط  T/B]]+TABL1234[[#This Row],[الفرق بين بداية ونهاية خط  S/S]]</f>
        <v>0</v>
      </c>
      <c r="T257" s="9">
        <f>TABL1234[[#This Row],[(S/S TOT) AJD]]+TABL1234[[#This Row],[(T/B TOT) AJD]]</f>
        <v>0</v>
      </c>
      <c r="U257" s="41"/>
      <c r="V257" s="41"/>
      <c r="W257" s="9">
        <f>TABL1234[[#This Row],[(A/B TOT) AJD]]+TABL1234[[#This Row],[(A/S TOT) AJD]]</f>
        <v>0</v>
      </c>
      <c r="X257" s="9">
        <f>TABL1234[[#This Row],[( S/S+T/B) AJD]]-TABL1234[[#This Row],[(A/B + A/S) AJD]]</f>
        <v>0</v>
      </c>
      <c r="Y257" s="41"/>
      <c r="Z257" s="43"/>
      <c r="AA257" s="3">
        <f>TABL1234[[#This Row],[(RESV. STORGE) AJD]]/10</f>
        <v>0</v>
      </c>
      <c r="AB257" s="3">
        <f t="shared" si="7"/>
        <v>0</v>
      </c>
      <c r="AC257" s="5"/>
      <c r="AD257" s="39">
        <f>TABL1234[[#This Row],[( S/S+T/B) AJD]]-(TABL1234[[#This Row],[(A/B + A/S) AJD]]+(TABL1234[[#This Row],[(STORGE DIFF.) AJD]]*1000)+TABL1234[[#This Row],[البخر  AJD]])</f>
        <v>0</v>
      </c>
      <c r="AE257" s="41"/>
      <c r="AF257" s="43"/>
      <c r="AG257" s="43"/>
      <c r="AH257" s="6"/>
      <c r="AI257" s="43"/>
      <c r="AJ257" s="43">
        <f>TABL1234[[#This Row],[(A/B TOT) AJD]]-TABL1234[[#This Row],[BER_ IN]]</f>
        <v>0</v>
      </c>
      <c r="AK257" s="43"/>
      <c r="AL257" s="43"/>
      <c r="AM257" s="32"/>
      <c r="AN257" s="32">
        <f>TABL1234[[#This Row],[ (RESV. STORGE) SER]]/10</f>
        <v>0</v>
      </c>
      <c r="AO257" s="68"/>
      <c r="AP257" s="68">
        <f>TABL1234[[#This Row],[(A/S TOT) AJD]]-TABL1234[[#This Row],[SER_ IN]]</f>
        <v>0</v>
      </c>
    </row>
    <row r="258" spans="1:42" ht="18.75" x14ac:dyDescent="0.25">
      <c r="A258" s="2">
        <v>46644</v>
      </c>
      <c r="B258" s="44"/>
      <c r="C258" s="44"/>
      <c r="D258" s="44"/>
      <c r="E258" s="35"/>
      <c r="F258" s="44"/>
      <c r="G258" s="40"/>
      <c r="H258" s="28">
        <f t="shared" ref="H258:H321" si="8">103-F258</f>
        <v>103</v>
      </c>
      <c r="I258" s="40"/>
      <c r="J258" s="44"/>
      <c r="K258" s="28">
        <f>TABL1234[[#This Row],[خط (T/B  TOT) SAR]]+TABL1234[[#This Row],[خط (S/S  TOT) SAR2]]</f>
        <v>0</v>
      </c>
      <c r="L258" s="45"/>
      <c r="M258" s="46"/>
      <c r="N258" s="46"/>
      <c r="O258" s="40"/>
      <c r="P258" s="9">
        <f>TABL1234[[#This Row],[خط (S/S  TOT) SAR2]]-TABL1234[[#This Row],[(S/S TOT) AJD]]</f>
        <v>0</v>
      </c>
      <c r="Q258" s="40"/>
      <c r="R258" s="9">
        <f>TABL1234[[#This Row],[خط (T/B  TOT) SAR]]-TABL1234[[#This Row],[(T/B TOT) AJD]]</f>
        <v>0</v>
      </c>
      <c r="S258" s="9">
        <f>TABL1234[[#This Row],[الفرق بين بداية ونهاية خط  T/B]]+TABL1234[[#This Row],[الفرق بين بداية ونهاية خط  S/S]]</f>
        <v>0</v>
      </c>
      <c r="T258" s="9">
        <f>TABL1234[[#This Row],[(S/S TOT) AJD]]+TABL1234[[#This Row],[(T/B TOT) AJD]]</f>
        <v>0</v>
      </c>
      <c r="U258" s="44"/>
      <c r="V258" s="44"/>
      <c r="W258" s="9">
        <f>TABL1234[[#This Row],[(A/B TOT) AJD]]+TABL1234[[#This Row],[(A/S TOT) AJD]]</f>
        <v>0</v>
      </c>
      <c r="X258" s="9">
        <f>TABL1234[[#This Row],[( S/S+T/B) AJD]]-TABL1234[[#This Row],[(A/B + A/S) AJD]]</f>
        <v>0</v>
      </c>
      <c r="Y258" s="44"/>
      <c r="Z258" s="45"/>
      <c r="AA258" s="3">
        <f>TABL1234[[#This Row],[(RESV. STORGE) AJD]]/10</f>
        <v>0</v>
      </c>
      <c r="AB258" s="3">
        <f t="shared" si="7"/>
        <v>0</v>
      </c>
      <c r="AC258" s="5"/>
      <c r="AD258" s="40">
        <f>TABL1234[[#This Row],[( S/S+T/B) AJD]]-(TABL1234[[#This Row],[(A/B + A/S) AJD]]+(TABL1234[[#This Row],[(STORGE DIFF.) AJD]]*1000)+TABL1234[[#This Row],[البخر  AJD]])</f>
        <v>0</v>
      </c>
      <c r="AE258" s="44"/>
      <c r="AF258" s="45"/>
      <c r="AG258" s="45"/>
      <c r="AH258" s="6"/>
      <c r="AI258" s="45"/>
      <c r="AJ258" s="45">
        <f>TABL1234[[#This Row],[(A/B TOT) AJD]]-TABL1234[[#This Row],[BER_ IN]]</f>
        <v>0</v>
      </c>
      <c r="AK258" s="45"/>
      <c r="AL258" s="45"/>
      <c r="AM258" s="32"/>
      <c r="AN258" s="32">
        <f>TABL1234[[#This Row],[ (RESV. STORGE) SER]]/10</f>
        <v>0</v>
      </c>
      <c r="AO258" s="68"/>
      <c r="AP258" s="68">
        <f>TABL1234[[#This Row],[(A/S TOT) AJD]]-TABL1234[[#This Row],[SER_ IN]]</f>
        <v>0</v>
      </c>
    </row>
    <row r="259" spans="1:42" ht="18.75" x14ac:dyDescent="0.25">
      <c r="A259" s="2">
        <v>46645</v>
      </c>
      <c r="B259" s="41"/>
      <c r="C259" s="41"/>
      <c r="D259" s="41"/>
      <c r="E259" s="35"/>
      <c r="F259" s="41"/>
      <c r="G259" s="39"/>
      <c r="H259" s="28">
        <f t="shared" si="8"/>
        <v>103</v>
      </c>
      <c r="I259" s="39"/>
      <c r="J259" s="39"/>
      <c r="K259" s="28">
        <f>TABL1234[[#This Row],[خط (T/B  TOT) SAR]]+TABL1234[[#This Row],[خط (S/S  TOT) SAR2]]</f>
        <v>0</v>
      </c>
      <c r="L259" s="41"/>
      <c r="M259" s="42"/>
      <c r="N259" s="42"/>
      <c r="O259" s="39"/>
      <c r="P259" s="9">
        <f>TABL1234[[#This Row],[خط (S/S  TOT) SAR2]]-TABL1234[[#This Row],[(S/S TOT) AJD]]</f>
        <v>0</v>
      </c>
      <c r="Q259" s="39"/>
      <c r="R259" s="9">
        <f>TABL1234[[#This Row],[خط (T/B  TOT) SAR]]-TABL1234[[#This Row],[(T/B TOT) AJD]]</f>
        <v>0</v>
      </c>
      <c r="S259" s="9">
        <f>TABL1234[[#This Row],[الفرق بين بداية ونهاية خط  T/B]]+TABL1234[[#This Row],[الفرق بين بداية ونهاية خط  S/S]]</f>
        <v>0</v>
      </c>
      <c r="T259" s="9">
        <f>TABL1234[[#This Row],[(S/S TOT) AJD]]+TABL1234[[#This Row],[(T/B TOT) AJD]]</f>
        <v>0</v>
      </c>
      <c r="U259" s="41"/>
      <c r="V259" s="41"/>
      <c r="W259" s="9">
        <f>TABL1234[[#This Row],[(A/B TOT) AJD]]+TABL1234[[#This Row],[(A/S TOT) AJD]]</f>
        <v>0</v>
      </c>
      <c r="X259" s="9">
        <f>TABL1234[[#This Row],[( S/S+T/B) AJD]]-TABL1234[[#This Row],[(A/B + A/S) AJD]]</f>
        <v>0</v>
      </c>
      <c r="Y259" s="41"/>
      <c r="Z259" s="43"/>
      <c r="AA259" s="3">
        <f>TABL1234[[#This Row],[(RESV. STORGE) AJD]]/10</f>
        <v>0</v>
      </c>
      <c r="AB259" s="3">
        <f t="shared" si="7"/>
        <v>0</v>
      </c>
      <c r="AC259" s="5"/>
      <c r="AD259" s="39">
        <f>TABL1234[[#This Row],[( S/S+T/B) AJD]]-(TABL1234[[#This Row],[(A/B + A/S) AJD]]+(TABL1234[[#This Row],[(STORGE DIFF.) AJD]]*1000)+TABL1234[[#This Row],[البخر  AJD]])</f>
        <v>0</v>
      </c>
      <c r="AE259" s="41"/>
      <c r="AF259" s="43"/>
      <c r="AG259" s="43"/>
      <c r="AH259" s="6"/>
      <c r="AI259" s="43"/>
      <c r="AJ259" s="43">
        <f>TABL1234[[#This Row],[(A/B TOT) AJD]]-TABL1234[[#This Row],[BER_ IN]]</f>
        <v>0</v>
      </c>
      <c r="AK259" s="43"/>
      <c r="AL259" s="43"/>
      <c r="AM259" s="32"/>
      <c r="AN259" s="32">
        <f>TABL1234[[#This Row],[ (RESV. STORGE) SER]]/10</f>
        <v>0</v>
      </c>
      <c r="AO259" s="68"/>
      <c r="AP259" s="68">
        <f>TABL1234[[#This Row],[(A/S TOT) AJD]]-TABL1234[[#This Row],[SER_ IN]]</f>
        <v>0</v>
      </c>
    </row>
    <row r="260" spans="1:42" ht="18.75" x14ac:dyDescent="0.25">
      <c r="A260" s="2">
        <v>46646</v>
      </c>
      <c r="B260" s="44"/>
      <c r="C260" s="44"/>
      <c r="D260" s="44"/>
      <c r="E260" s="35"/>
      <c r="F260" s="44"/>
      <c r="G260" s="40"/>
      <c r="H260" s="28">
        <f t="shared" si="8"/>
        <v>103</v>
      </c>
      <c r="I260" s="40"/>
      <c r="J260" s="44"/>
      <c r="K260" s="28">
        <f>TABL1234[[#This Row],[خط (T/B  TOT) SAR]]+TABL1234[[#This Row],[خط (S/S  TOT) SAR2]]</f>
        <v>0</v>
      </c>
      <c r="L260" s="45"/>
      <c r="M260" s="46"/>
      <c r="N260" s="46"/>
      <c r="O260" s="40"/>
      <c r="P260" s="9">
        <f>TABL1234[[#This Row],[خط (S/S  TOT) SAR2]]-TABL1234[[#This Row],[(S/S TOT) AJD]]</f>
        <v>0</v>
      </c>
      <c r="Q260" s="40"/>
      <c r="R260" s="9">
        <f>TABL1234[[#This Row],[خط (T/B  TOT) SAR]]-TABL1234[[#This Row],[(T/B TOT) AJD]]</f>
        <v>0</v>
      </c>
      <c r="S260" s="9">
        <f>TABL1234[[#This Row],[الفرق بين بداية ونهاية خط  T/B]]+TABL1234[[#This Row],[الفرق بين بداية ونهاية خط  S/S]]</f>
        <v>0</v>
      </c>
      <c r="T260" s="9">
        <f>TABL1234[[#This Row],[(S/S TOT) AJD]]+TABL1234[[#This Row],[(T/B TOT) AJD]]</f>
        <v>0</v>
      </c>
      <c r="U260" s="44"/>
      <c r="V260" s="44"/>
      <c r="W260" s="9">
        <f>TABL1234[[#This Row],[(A/B TOT) AJD]]+TABL1234[[#This Row],[(A/S TOT) AJD]]</f>
        <v>0</v>
      </c>
      <c r="X260" s="9">
        <f>TABL1234[[#This Row],[( S/S+T/B) AJD]]-TABL1234[[#This Row],[(A/B + A/S) AJD]]</f>
        <v>0</v>
      </c>
      <c r="Y260" s="44"/>
      <c r="Z260" s="45"/>
      <c r="AA260" s="3">
        <f>TABL1234[[#This Row],[(RESV. STORGE) AJD]]/10</f>
        <v>0</v>
      </c>
      <c r="AB260" s="3">
        <f t="shared" ref="AB260:AB323" si="9">(Z260-Z259)/1000</f>
        <v>0</v>
      </c>
      <c r="AC260" s="5"/>
      <c r="AD260" s="40">
        <f>TABL1234[[#This Row],[( S/S+T/B) AJD]]-(TABL1234[[#This Row],[(A/B + A/S) AJD]]+(TABL1234[[#This Row],[(STORGE DIFF.) AJD]]*1000)+TABL1234[[#This Row],[البخر  AJD]])</f>
        <v>0</v>
      </c>
      <c r="AE260" s="44"/>
      <c r="AF260" s="45"/>
      <c r="AG260" s="45"/>
      <c r="AH260" s="6"/>
      <c r="AI260" s="45"/>
      <c r="AJ260" s="45">
        <f>TABL1234[[#This Row],[(A/B TOT) AJD]]-TABL1234[[#This Row],[BER_ IN]]</f>
        <v>0</v>
      </c>
      <c r="AK260" s="45"/>
      <c r="AL260" s="45"/>
      <c r="AM260" s="32"/>
      <c r="AN260" s="32">
        <f>TABL1234[[#This Row],[ (RESV. STORGE) SER]]/10</f>
        <v>0</v>
      </c>
      <c r="AO260" s="68"/>
      <c r="AP260" s="68">
        <f>TABL1234[[#This Row],[(A/S TOT) AJD]]-TABL1234[[#This Row],[SER_ IN]]</f>
        <v>0</v>
      </c>
    </row>
    <row r="261" spans="1:42" ht="18.75" x14ac:dyDescent="0.25">
      <c r="A261" s="2">
        <v>46647</v>
      </c>
      <c r="B261" s="41"/>
      <c r="C261" s="41"/>
      <c r="D261" s="41"/>
      <c r="E261" s="35"/>
      <c r="F261" s="41"/>
      <c r="G261" s="39"/>
      <c r="H261" s="28">
        <f t="shared" si="8"/>
        <v>103</v>
      </c>
      <c r="I261" s="39"/>
      <c r="J261" s="39"/>
      <c r="K261" s="28">
        <f>TABL1234[[#This Row],[خط (T/B  TOT) SAR]]+TABL1234[[#This Row],[خط (S/S  TOT) SAR2]]</f>
        <v>0</v>
      </c>
      <c r="L261" s="41"/>
      <c r="M261" s="42"/>
      <c r="N261" s="42"/>
      <c r="O261" s="39"/>
      <c r="P261" s="9">
        <f>TABL1234[[#This Row],[خط (S/S  TOT) SAR2]]-TABL1234[[#This Row],[(S/S TOT) AJD]]</f>
        <v>0</v>
      </c>
      <c r="Q261" s="39"/>
      <c r="R261" s="9">
        <f>TABL1234[[#This Row],[خط (T/B  TOT) SAR]]-TABL1234[[#This Row],[(T/B TOT) AJD]]</f>
        <v>0</v>
      </c>
      <c r="S261" s="9">
        <f>TABL1234[[#This Row],[الفرق بين بداية ونهاية خط  T/B]]+TABL1234[[#This Row],[الفرق بين بداية ونهاية خط  S/S]]</f>
        <v>0</v>
      </c>
      <c r="T261" s="9">
        <f>TABL1234[[#This Row],[(S/S TOT) AJD]]+TABL1234[[#This Row],[(T/B TOT) AJD]]</f>
        <v>0</v>
      </c>
      <c r="U261" s="41"/>
      <c r="V261" s="41"/>
      <c r="W261" s="9">
        <f>TABL1234[[#This Row],[(A/B TOT) AJD]]+TABL1234[[#This Row],[(A/S TOT) AJD]]</f>
        <v>0</v>
      </c>
      <c r="X261" s="9">
        <f>TABL1234[[#This Row],[( S/S+T/B) AJD]]-TABL1234[[#This Row],[(A/B + A/S) AJD]]</f>
        <v>0</v>
      </c>
      <c r="Y261" s="41"/>
      <c r="Z261" s="43"/>
      <c r="AA261" s="3">
        <f>TABL1234[[#This Row],[(RESV. STORGE) AJD]]/10</f>
        <v>0</v>
      </c>
      <c r="AB261" s="3">
        <f t="shared" si="9"/>
        <v>0</v>
      </c>
      <c r="AC261" s="5"/>
      <c r="AD261" s="39">
        <f>TABL1234[[#This Row],[( S/S+T/B) AJD]]-(TABL1234[[#This Row],[(A/B + A/S) AJD]]+(TABL1234[[#This Row],[(STORGE DIFF.) AJD]]*1000)+TABL1234[[#This Row],[البخر  AJD]])</f>
        <v>0</v>
      </c>
      <c r="AE261" s="41"/>
      <c r="AF261" s="43"/>
      <c r="AG261" s="43"/>
      <c r="AH261" s="6"/>
      <c r="AI261" s="43"/>
      <c r="AJ261" s="43">
        <f>TABL1234[[#This Row],[(A/B TOT) AJD]]-TABL1234[[#This Row],[BER_ IN]]</f>
        <v>0</v>
      </c>
      <c r="AK261" s="43"/>
      <c r="AL261" s="43"/>
      <c r="AM261" s="32"/>
      <c r="AN261" s="32">
        <f>TABL1234[[#This Row],[ (RESV. STORGE) SER]]/10</f>
        <v>0</v>
      </c>
      <c r="AO261" s="68"/>
      <c r="AP261" s="68">
        <f>TABL1234[[#This Row],[(A/S TOT) AJD]]-TABL1234[[#This Row],[SER_ IN]]</f>
        <v>0</v>
      </c>
    </row>
    <row r="262" spans="1:42" ht="18.75" x14ac:dyDescent="0.25">
      <c r="A262" s="2">
        <v>46648</v>
      </c>
      <c r="B262" s="44"/>
      <c r="C262" s="44"/>
      <c r="D262" s="44"/>
      <c r="E262" s="35"/>
      <c r="F262" s="44"/>
      <c r="G262" s="40"/>
      <c r="H262" s="28">
        <f t="shared" si="8"/>
        <v>103</v>
      </c>
      <c r="I262" s="40"/>
      <c r="J262" s="44"/>
      <c r="K262" s="28">
        <f>TABL1234[[#This Row],[خط (T/B  TOT) SAR]]+TABL1234[[#This Row],[خط (S/S  TOT) SAR2]]</f>
        <v>0</v>
      </c>
      <c r="L262" s="45"/>
      <c r="M262" s="46"/>
      <c r="N262" s="46"/>
      <c r="O262" s="40"/>
      <c r="P262" s="9">
        <f>TABL1234[[#This Row],[خط (S/S  TOT) SAR2]]-TABL1234[[#This Row],[(S/S TOT) AJD]]</f>
        <v>0</v>
      </c>
      <c r="Q262" s="40"/>
      <c r="R262" s="9">
        <f>TABL1234[[#This Row],[خط (T/B  TOT) SAR]]-TABL1234[[#This Row],[(T/B TOT) AJD]]</f>
        <v>0</v>
      </c>
      <c r="S262" s="9">
        <f>TABL1234[[#This Row],[الفرق بين بداية ونهاية خط  T/B]]+TABL1234[[#This Row],[الفرق بين بداية ونهاية خط  S/S]]</f>
        <v>0</v>
      </c>
      <c r="T262" s="9">
        <f>TABL1234[[#This Row],[(S/S TOT) AJD]]+TABL1234[[#This Row],[(T/B TOT) AJD]]</f>
        <v>0</v>
      </c>
      <c r="U262" s="44"/>
      <c r="V262" s="44"/>
      <c r="W262" s="9">
        <f>TABL1234[[#This Row],[(A/B TOT) AJD]]+TABL1234[[#This Row],[(A/S TOT) AJD]]</f>
        <v>0</v>
      </c>
      <c r="X262" s="9">
        <f>TABL1234[[#This Row],[( S/S+T/B) AJD]]-TABL1234[[#This Row],[(A/B + A/S) AJD]]</f>
        <v>0</v>
      </c>
      <c r="Y262" s="44"/>
      <c r="Z262" s="45"/>
      <c r="AA262" s="3">
        <f>TABL1234[[#This Row],[(RESV. STORGE) AJD]]/10</f>
        <v>0</v>
      </c>
      <c r="AB262" s="3">
        <f t="shared" si="9"/>
        <v>0</v>
      </c>
      <c r="AC262" s="5"/>
      <c r="AD262" s="40">
        <f>TABL1234[[#This Row],[( S/S+T/B) AJD]]-(TABL1234[[#This Row],[(A/B + A/S) AJD]]+(TABL1234[[#This Row],[(STORGE DIFF.) AJD]]*1000)+TABL1234[[#This Row],[البخر  AJD]])</f>
        <v>0</v>
      </c>
      <c r="AE262" s="44"/>
      <c r="AF262" s="45"/>
      <c r="AG262" s="45"/>
      <c r="AH262" s="6"/>
      <c r="AI262" s="45"/>
      <c r="AJ262" s="45">
        <f>TABL1234[[#This Row],[(A/B TOT) AJD]]-TABL1234[[#This Row],[BER_ IN]]</f>
        <v>0</v>
      </c>
      <c r="AK262" s="45"/>
      <c r="AL262" s="45"/>
      <c r="AM262" s="32"/>
      <c r="AN262" s="32">
        <f>TABL1234[[#This Row],[ (RESV. STORGE) SER]]/10</f>
        <v>0</v>
      </c>
      <c r="AO262" s="68"/>
      <c r="AP262" s="68">
        <f>TABL1234[[#This Row],[(A/S TOT) AJD]]-TABL1234[[#This Row],[SER_ IN]]</f>
        <v>0</v>
      </c>
    </row>
    <row r="263" spans="1:42" ht="18.75" x14ac:dyDescent="0.25">
      <c r="A263" s="2">
        <v>46649</v>
      </c>
      <c r="B263" s="41"/>
      <c r="C263" s="41"/>
      <c r="D263" s="41"/>
      <c r="E263" s="35"/>
      <c r="F263" s="41"/>
      <c r="G263" s="39"/>
      <c r="H263" s="28">
        <f t="shared" si="8"/>
        <v>103</v>
      </c>
      <c r="I263" s="39"/>
      <c r="J263" s="39"/>
      <c r="K263" s="28">
        <f>TABL1234[[#This Row],[خط (T/B  TOT) SAR]]+TABL1234[[#This Row],[خط (S/S  TOT) SAR2]]</f>
        <v>0</v>
      </c>
      <c r="L263" s="41"/>
      <c r="M263" s="42"/>
      <c r="N263" s="42"/>
      <c r="O263" s="39"/>
      <c r="P263" s="9">
        <f>TABL1234[[#This Row],[خط (S/S  TOT) SAR2]]-TABL1234[[#This Row],[(S/S TOT) AJD]]</f>
        <v>0</v>
      </c>
      <c r="Q263" s="39"/>
      <c r="R263" s="9">
        <f>TABL1234[[#This Row],[خط (T/B  TOT) SAR]]-TABL1234[[#This Row],[(T/B TOT) AJD]]</f>
        <v>0</v>
      </c>
      <c r="S263" s="9">
        <f>TABL1234[[#This Row],[الفرق بين بداية ونهاية خط  T/B]]+TABL1234[[#This Row],[الفرق بين بداية ونهاية خط  S/S]]</f>
        <v>0</v>
      </c>
      <c r="T263" s="9">
        <f>TABL1234[[#This Row],[(S/S TOT) AJD]]+TABL1234[[#This Row],[(T/B TOT) AJD]]</f>
        <v>0</v>
      </c>
      <c r="U263" s="41"/>
      <c r="V263" s="41"/>
      <c r="W263" s="9">
        <f>TABL1234[[#This Row],[(A/B TOT) AJD]]+TABL1234[[#This Row],[(A/S TOT) AJD]]</f>
        <v>0</v>
      </c>
      <c r="X263" s="9">
        <f>TABL1234[[#This Row],[( S/S+T/B) AJD]]-TABL1234[[#This Row],[(A/B + A/S) AJD]]</f>
        <v>0</v>
      </c>
      <c r="Y263" s="41"/>
      <c r="Z263" s="43"/>
      <c r="AA263" s="3">
        <f>TABL1234[[#This Row],[(RESV. STORGE) AJD]]/10</f>
        <v>0</v>
      </c>
      <c r="AB263" s="3">
        <f t="shared" si="9"/>
        <v>0</v>
      </c>
      <c r="AC263" s="5"/>
      <c r="AD263" s="39">
        <f>TABL1234[[#This Row],[( S/S+T/B) AJD]]-(TABL1234[[#This Row],[(A/B + A/S) AJD]]+(TABL1234[[#This Row],[(STORGE DIFF.) AJD]]*1000)+TABL1234[[#This Row],[البخر  AJD]])</f>
        <v>0</v>
      </c>
      <c r="AE263" s="41"/>
      <c r="AF263" s="43"/>
      <c r="AG263" s="43"/>
      <c r="AH263" s="6"/>
      <c r="AI263" s="43"/>
      <c r="AJ263" s="43">
        <f>TABL1234[[#This Row],[(A/B TOT) AJD]]-TABL1234[[#This Row],[BER_ IN]]</f>
        <v>0</v>
      </c>
      <c r="AK263" s="43"/>
      <c r="AL263" s="43"/>
      <c r="AM263" s="32"/>
      <c r="AN263" s="32">
        <f>TABL1234[[#This Row],[ (RESV. STORGE) SER]]/10</f>
        <v>0</v>
      </c>
      <c r="AO263" s="68"/>
      <c r="AP263" s="68">
        <f>TABL1234[[#This Row],[(A/S TOT) AJD]]-TABL1234[[#This Row],[SER_ IN]]</f>
        <v>0</v>
      </c>
    </row>
    <row r="264" spans="1:42" ht="18.75" x14ac:dyDescent="0.25">
      <c r="A264" s="2">
        <v>46650</v>
      </c>
      <c r="B264" s="44"/>
      <c r="C264" s="44"/>
      <c r="D264" s="44"/>
      <c r="E264" s="35"/>
      <c r="F264" s="44"/>
      <c r="G264" s="40"/>
      <c r="H264" s="28">
        <f t="shared" si="8"/>
        <v>103</v>
      </c>
      <c r="I264" s="40"/>
      <c r="J264" s="44"/>
      <c r="K264" s="28">
        <f>TABL1234[[#This Row],[خط (T/B  TOT) SAR]]+TABL1234[[#This Row],[خط (S/S  TOT) SAR2]]</f>
        <v>0</v>
      </c>
      <c r="L264" s="45"/>
      <c r="M264" s="46"/>
      <c r="N264" s="46"/>
      <c r="O264" s="40"/>
      <c r="P264" s="9">
        <f>TABL1234[[#This Row],[خط (S/S  TOT) SAR2]]-TABL1234[[#This Row],[(S/S TOT) AJD]]</f>
        <v>0</v>
      </c>
      <c r="Q264" s="40"/>
      <c r="R264" s="9">
        <f>TABL1234[[#This Row],[خط (T/B  TOT) SAR]]-TABL1234[[#This Row],[(T/B TOT) AJD]]</f>
        <v>0</v>
      </c>
      <c r="S264" s="9">
        <f>TABL1234[[#This Row],[الفرق بين بداية ونهاية خط  T/B]]+TABL1234[[#This Row],[الفرق بين بداية ونهاية خط  S/S]]</f>
        <v>0</v>
      </c>
      <c r="T264" s="9">
        <f>TABL1234[[#This Row],[(S/S TOT) AJD]]+TABL1234[[#This Row],[(T/B TOT) AJD]]</f>
        <v>0</v>
      </c>
      <c r="U264" s="44"/>
      <c r="V264" s="44"/>
      <c r="W264" s="9">
        <f>TABL1234[[#This Row],[(A/B TOT) AJD]]+TABL1234[[#This Row],[(A/S TOT) AJD]]</f>
        <v>0</v>
      </c>
      <c r="X264" s="9">
        <f>TABL1234[[#This Row],[( S/S+T/B) AJD]]-TABL1234[[#This Row],[(A/B + A/S) AJD]]</f>
        <v>0</v>
      </c>
      <c r="Y264" s="44"/>
      <c r="Z264" s="45"/>
      <c r="AA264" s="3">
        <f>TABL1234[[#This Row],[(RESV. STORGE) AJD]]/10</f>
        <v>0</v>
      </c>
      <c r="AB264" s="3">
        <f t="shared" si="9"/>
        <v>0</v>
      </c>
      <c r="AC264" s="5"/>
      <c r="AD264" s="40">
        <f>TABL1234[[#This Row],[( S/S+T/B) AJD]]-(TABL1234[[#This Row],[(A/B + A/S) AJD]]+(TABL1234[[#This Row],[(STORGE DIFF.) AJD]]*1000)+TABL1234[[#This Row],[البخر  AJD]])</f>
        <v>0</v>
      </c>
      <c r="AE264" s="44"/>
      <c r="AF264" s="45"/>
      <c r="AG264" s="45"/>
      <c r="AH264" s="6"/>
      <c r="AI264" s="45"/>
      <c r="AJ264" s="45">
        <f>TABL1234[[#This Row],[(A/B TOT) AJD]]-TABL1234[[#This Row],[BER_ IN]]</f>
        <v>0</v>
      </c>
      <c r="AK264" s="45"/>
      <c r="AL264" s="45"/>
      <c r="AM264" s="32"/>
      <c r="AN264" s="32">
        <f>TABL1234[[#This Row],[ (RESV. STORGE) SER]]/10</f>
        <v>0</v>
      </c>
      <c r="AO264" s="68"/>
      <c r="AP264" s="68">
        <f>TABL1234[[#This Row],[(A/S TOT) AJD]]-TABL1234[[#This Row],[SER_ IN]]</f>
        <v>0</v>
      </c>
    </row>
    <row r="265" spans="1:42" ht="18.75" x14ac:dyDescent="0.25">
      <c r="A265" s="2">
        <v>46651</v>
      </c>
      <c r="B265" s="41"/>
      <c r="C265" s="41"/>
      <c r="D265" s="41"/>
      <c r="E265" s="35"/>
      <c r="F265" s="41"/>
      <c r="G265" s="39"/>
      <c r="H265" s="28">
        <f t="shared" si="8"/>
        <v>103</v>
      </c>
      <c r="I265" s="39"/>
      <c r="J265" s="39"/>
      <c r="K265" s="28">
        <f>TABL1234[[#This Row],[خط (T/B  TOT) SAR]]+TABL1234[[#This Row],[خط (S/S  TOT) SAR2]]</f>
        <v>0</v>
      </c>
      <c r="L265" s="41"/>
      <c r="M265" s="42"/>
      <c r="N265" s="42"/>
      <c r="O265" s="39"/>
      <c r="P265" s="9">
        <f>TABL1234[[#This Row],[خط (S/S  TOT) SAR2]]-TABL1234[[#This Row],[(S/S TOT) AJD]]</f>
        <v>0</v>
      </c>
      <c r="Q265" s="39"/>
      <c r="R265" s="9">
        <f>TABL1234[[#This Row],[خط (T/B  TOT) SAR]]-TABL1234[[#This Row],[(T/B TOT) AJD]]</f>
        <v>0</v>
      </c>
      <c r="S265" s="9">
        <f>TABL1234[[#This Row],[الفرق بين بداية ونهاية خط  T/B]]+TABL1234[[#This Row],[الفرق بين بداية ونهاية خط  S/S]]</f>
        <v>0</v>
      </c>
      <c r="T265" s="9">
        <f>TABL1234[[#This Row],[(S/S TOT) AJD]]+TABL1234[[#This Row],[(T/B TOT) AJD]]</f>
        <v>0</v>
      </c>
      <c r="U265" s="41"/>
      <c r="V265" s="41"/>
      <c r="W265" s="9">
        <f>TABL1234[[#This Row],[(A/B TOT) AJD]]+TABL1234[[#This Row],[(A/S TOT) AJD]]</f>
        <v>0</v>
      </c>
      <c r="X265" s="9">
        <f>TABL1234[[#This Row],[( S/S+T/B) AJD]]-TABL1234[[#This Row],[(A/B + A/S) AJD]]</f>
        <v>0</v>
      </c>
      <c r="Y265" s="41"/>
      <c r="Z265" s="43"/>
      <c r="AA265" s="3">
        <f>TABL1234[[#This Row],[(RESV. STORGE) AJD]]/10</f>
        <v>0</v>
      </c>
      <c r="AB265" s="3">
        <f t="shared" si="9"/>
        <v>0</v>
      </c>
      <c r="AC265" s="5"/>
      <c r="AD265" s="39">
        <f>TABL1234[[#This Row],[( S/S+T/B) AJD]]-(TABL1234[[#This Row],[(A/B + A/S) AJD]]+(TABL1234[[#This Row],[(STORGE DIFF.) AJD]]*1000)+TABL1234[[#This Row],[البخر  AJD]])</f>
        <v>0</v>
      </c>
      <c r="AE265" s="41"/>
      <c r="AF265" s="43"/>
      <c r="AG265" s="43"/>
      <c r="AH265" s="6"/>
      <c r="AI265" s="43"/>
      <c r="AJ265" s="43">
        <f>TABL1234[[#This Row],[(A/B TOT) AJD]]-TABL1234[[#This Row],[BER_ IN]]</f>
        <v>0</v>
      </c>
      <c r="AK265" s="43"/>
      <c r="AL265" s="43"/>
      <c r="AM265" s="32"/>
      <c r="AN265" s="32">
        <f>TABL1234[[#This Row],[ (RESV. STORGE) SER]]/10</f>
        <v>0</v>
      </c>
      <c r="AO265" s="68"/>
      <c r="AP265" s="68">
        <f>TABL1234[[#This Row],[(A/S TOT) AJD]]-TABL1234[[#This Row],[SER_ IN]]</f>
        <v>0</v>
      </c>
    </row>
    <row r="266" spans="1:42" ht="18.75" x14ac:dyDescent="0.25">
      <c r="A266" s="2">
        <v>46652</v>
      </c>
      <c r="B266" s="44"/>
      <c r="C266" s="44"/>
      <c r="D266" s="44"/>
      <c r="E266" s="35"/>
      <c r="F266" s="44"/>
      <c r="G266" s="40"/>
      <c r="H266" s="28">
        <f t="shared" si="8"/>
        <v>103</v>
      </c>
      <c r="I266" s="40"/>
      <c r="J266" s="44"/>
      <c r="K266" s="28">
        <f>TABL1234[[#This Row],[خط (T/B  TOT) SAR]]+TABL1234[[#This Row],[خط (S/S  TOT) SAR2]]</f>
        <v>0</v>
      </c>
      <c r="L266" s="45"/>
      <c r="M266" s="46"/>
      <c r="N266" s="46"/>
      <c r="O266" s="40"/>
      <c r="P266" s="9">
        <f>TABL1234[[#This Row],[خط (S/S  TOT) SAR2]]-TABL1234[[#This Row],[(S/S TOT) AJD]]</f>
        <v>0</v>
      </c>
      <c r="Q266" s="40"/>
      <c r="R266" s="9">
        <f>TABL1234[[#This Row],[خط (T/B  TOT) SAR]]-TABL1234[[#This Row],[(T/B TOT) AJD]]</f>
        <v>0</v>
      </c>
      <c r="S266" s="9">
        <f>TABL1234[[#This Row],[الفرق بين بداية ونهاية خط  T/B]]+TABL1234[[#This Row],[الفرق بين بداية ونهاية خط  S/S]]</f>
        <v>0</v>
      </c>
      <c r="T266" s="9">
        <f>TABL1234[[#This Row],[(S/S TOT) AJD]]+TABL1234[[#This Row],[(T/B TOT) AJD]]</f>
        <v>0</v>
      </c>
      <c r="U266" s="44"/>
      <c r="V266" s="44"/>
      <c r="W266" s="9">
        <f>TABL1234[[#This Row],[(A/B TOT) AJD]]+TABL1234[[#This Row],[(A/S TOT) AJD]]</f>
        <v>0</v>
      </c>
      <c r="X266" s="9">
        <f>TABL1234[[#This Row],[( S/S+T/B) AJD]]-TABL1234[[#This Row],[(A/B + A/S) AJD]]</f>
        <v>0</v>
      </c>
      <c r="Y266" s="44"/>
      <c r="Z266" s="45"/>
      <c r="AA266" s="3">
        <f>TABL1234[[#This Row],[(RESV. STORGE) AJD]]/10</f>
        <v>0</v>
      </c>
      <c r="AB266" s="3">
        <f t="shared" si="9"/>
        <v>0</v>
      </c>
      <c r="AC266" s="5"/>
      <c r="AD266" s="40">
        <f>TABL1234[[#This Row],[( S/S+T/B) AJD]]-(TABL1234[[#This Row],[(A/B + A/S) AJD]]+(TABL1234[[#This Row],[(STORGE DIFF.) AJD]]*1000)+TABL1234[[#This Row],[البخر  AJD]])</f>
        <v>0</v>
      </c>
      <c r="AE266" s="44"/>
      <c r="AF266" s="45"/>
      <c r="AG266" s="45"/>
      <c r="AH266" s="6"/>
      <c r="AI266" s="45"/>
      <c r="AJ266" s="45">
        <f>TABL1234[[#This Row],[(A/B TOT) AJD]]-TABL1234[[#This Row],[BER_ IN]]</f>
        <v>0</v>
      </c>
      <c r="AK266" s="45"/>
      <c r="AL266" s="45"/>
      <c r="AM266" s="32"/>
      <c r="AN266" s="32">
        <f>TABL1234[[#This Row],[ (RESV. STORGE) SER]]/10</f>
        <v>0</v>
      </c>
      <c r="AO266" s="68"/>
      <c r="AP266" s="68">
        <f>TABL1234[[#This Row],[(A/S TOT) AJD]]-TABL1234[[#This Row],[SER_ IN]]</f>
        <v>0</v>
      </c>
    </row>
    <row r="267" spans="1:42" ht="18.75" x14ac:dyDescent="0.25">
      <c r="A267" s="2">
        <v>46653</v>
      </c>
      <c r="B267" s="41"/>
      <c r="C267" s="41"/>
      <c r="D267" s="41"/>
      <c r="E267" s="35"/>
      <c r="F267" s="41"/>
      <c r="G267" s="39"/>
      <c r="H267" s="28">
        <f t="shared" si="8"/>
        <v>103</v>
      </c>
      <c r="I267" s="39"/>
      <c r="J267" s="39"/>
      <c r="K267" s="28">
        <f>TABL1234[[#This Row],[خط (T/B  TOT) SAR]]+TABL1234[[#This Row],[خط (S/S  TOT) SAR2]]</f>
        <v>0</v>
      </c>
      <c r="L267" s="41"/>
      <c r="M267" s="42"/>
      <c r="N267" s="42"/>
      <c r="O267" s="39"/>
      <c r="P267" s="9">
        <f>TABL1234[[#This Row],[خط (S/S  TOT) SAR2]]-TABL1234[[#This Row],[(S/S TOT) AJD]]</f>
        <v>0</v>
      </c>
      <c r="Q267" s="39"/>
      <c r="R267" s="9">
        <f>TABL1234[[#This Row],[خط (T/B  TOT) SAR]]-TABL1234[[#This Row],[(T/B TOT) AJD]]</f>
        <v>0</v>
      </c>
      <c r="S267" s="9">
        <f>TABL1234[[#This Row],[الفرق بين بداية ونهاية خط  T/B]]+TABL1234[[#This Row],[الفرق بين بداية ونهاية خط  S/S]]</f>
        <v>0</v>
      </c>
      <c r="T267" s="9">
        <f>TABL1234[[#This Row],[(S/S TOT) AJD]]+TABL1234[[#This Row],[(T/B TOT) AJD]]</f>
        <v>0</v>
      </c>
      <c r="U267" s="41"/>
      <c r="V267" s="41"/>
      <c r="W267" s="9">
        <f>TABL1234[[#This Row],[(A/B TOT) AJD]]+TABL1234[[#This Row],[(A/S TOT) AJD]]</f>
        <v>0</v>
      </c>
      <c r="X267" s="9">
        <f>TABL1234[[#This Row],[( S/S+T/B) AJD]]-TABL1234[[#This Row],[(A/B + A/S) AJD]]</f>
        <v>0</v>
      </c>
      <c r="Y267" s="41"/>
      <c r="Z267" s="43"/>
      <c r="AA267" s="3">
        <f>TABL1234[[#This Row],[(RESV. STORGE) AJD]]/10</f>
        <v>0</v>
      </c>
      <c r="AB267" s="3">
        <f t="shared" si="9"/>
        <v>0</v>
      </c>
      <c r="AC267" s="5"/>
      <c r="AD267" s="39">
        <f>TABL1234[[#This Row],[( S/S+T/B) AJD]]-(TABL1234[[#This Row],[(A/B + A/S) AJD]]+(TABL1234[[#This Row],[(STORGE DIFF.) AJD]]*1000)+TABL1234[[#This Row],[البخر  AJD]])</f>
        <v>0</v>
      </c>
      <c r="AE267" s="41"/>
      <c r="AF267" s="43"/>
      <c r="AG267" s="43"/>
      <c r="AH267" s="6"/>
      <c r="AI267" s="43"/>
      <c r="AJ267" s="43">
        <f>TABL1234[[#This Row],[(A/B TOT) AJD]]-TABL1234[[#This Row],[BER_ IN]]</f>
        <v>0</v>
      </c>
      <c r="AK267" s="43"/>
      <c r="AL267" s="43"/>
      <c r="AM267" s="32"/>
      <c r="AN267" s="32">
        <f>TABL1234[[#This Row],[ (RESV. STORGE) SER]]/10</f>
        <v>0</v>
      </c>
      <c r="AO267" s="68"/>
      <c r="AP267" s="68">
        <f>TABL1234[[#This Row],[(A/S TOT) AJD]]-TABL1234[[#This Row],[SER_ IN]]</f>
        <v>0</v>
      </c>
    </row>
    <row r="268" spans="1:42" ht="18.75" x14ac:dyDescent="0.25">
      <c r="A268" s="2">
        <v>46654</v>
      </c>
      <c r="B268" s="44"/>
      <c r="C268" s="44"/>
      <c r="D268" s="44"/>
      <c r="E268" s="35"/>
      <c r="F268" s="44"/>
      <c r="G268" s="40"/>
      <c r="H268" s="28">
        <f t="shared" si="8"/>
        <v>103</v>
      </c>
      <c r="I268" s="40"/>
      <c r="J268" s="44"/>
      <c r="K268" s="28">
        <f>TABL1234[[#This Row],[خط (T/B  TOT) SAR]]+TABL1234[[#This Row],[خط (S/S  TOT) SAR2]]</f>
        <v>0</v>
      </c>
      <c r="L268" s="45"/>
      <c r="M268" s="46"/>
      <c r="N268" s="46"/>
      <c r="O268" s="40"/>
      <c r="P268" s="9">
        <f>TABL1234[[#This Row],[خط (S/S  TOT) SAR2]]-TABL1234[[#This Row],[(S/S TOT) AJD]]</f>
        <v>0</v>
      </c>
      <c r="Q268" s="40"/>
      <c r="R268" s="9">
        <f>TABL1234[[#This Row],[خط (T/B  TOT) SAR]]-TABL1234[[#This Row],[(T/B TOT) AJD]]</f>
        <v>0</v>
      </c>
      <c r="S268" s="9">
        <f>TABL1234[[#This Row],[الفرق بين بداية ونهاية خط  T/B]]+TABL1234[[#This Row],[الفرق بين بداية ونهاية خط  S/S]]</f>
        <v>0</v>
      </c>
      <c r="T268" s="9">
        <f>TABL1234[[#This Row],[(S/S TOT) AJD]]+TABL1234[[#This Row],[(T/B TOT) AJD]]</f>
        <v>0</v>
      </c>
      <c r="U268" s="44"/>
      <c r="V268" s="44"/>
      <c r="W268" s="9">
        <f>TABL1234[[#This Row],[(A/B TOT) AJD]]+TABL1234[[#This Row],[(A/S TOT) AJD]]</f>
        <v>0</v>
      </c>
      <c r="X268" s="9">
        <f>TABL1234[[#This Row],[( S/S+T/B) AJD]]-TABL1234[[#This Row],[(A/B + A/S) AJD]]</f>
        <v>0</v>
      </c>
      <c r="Y268" s="44"/>
      <c r="Z268" s="45"/>
      <c r="AA268" s="3">
        <f>TABL1234[[#This Row],[(RESV. STORGE) AJD]]/10</f>
        <v>0</v>
      </c>
      <c r="AB268" s="3">
        <f t="shared" si="9"/>
        <v>0</v>
      </c>
      <c r="AC268" s="5"/>
      <c r="AD268" s="40">
        <f>TABL1234[[#This Row],[( S/S+T/B) AJD]]-(TABL1234[[#This Row],[(A/B + A/S) AJD]]+(TABL1234[[#This Row],[(STORGE DIFF.) AJD]]*1000)+TABL1234[[#This Row],[البخر  AJD]])</f>
        <v>0</v>
      </c>
      <c r="AE268" s="44"/>
      <c r="AF268" s="45"/>
      <c r="AG268" s="45"/>
      <c r="AH268" s="6"/>
      <c r="AI268" s="45"/>
      <c r="AJ268" s="45">
        <f>TABL1234[[#This Row],[(A/B TOT) AJD]]-TABL1234[[#This Row],[BER_ IN]]</f>
        <v>0</v>
      </c>
      <c r="AK268" s="45"/>
      <c r="AL268" s="45"/>
      <c r="AM268" s="32"/>
      <c r="AN268" s="32">
        <f>TABL1234[[#This Row],[ (RESV. STORGE) SER]]/10</f>
        <v>0</v>
      </c>
      <c r="AO268" s="68"/>
      <c r="AP268" s="68">
        <f>TABL1234[[#This Row],[(A/S TOT) AJD]]-TABL1234[[#This Row],[SER_ IN]]</f>
        <v>0</v>
      </c>
    </row>
    <row r="269" spans="1:42" ht="18.75" x14ac:dyDescent="0.25">
      <c r="A269" s="2">
        <v>46655</v>
      </c>
      <c r="B269" s="41"/>
      <c r="C269" s="41"/>
      <c r="D269" s="41"/>
      <c r="E269" s="35"/>
      <c r="F269" s="41"/>
      <c r="G269" s="39"/>
      <c r="H269" s="28">
        <f t="shared" si="8"/>
        <v>103</v>
      </c>
      <c r="I269" s="39"/>
      <c r="J269" s="39"/>
      <c r="K269" s="28">
        <f>TABL1234[[#This Row],[خط (T/B  TOT) SAR]]+TABL1234[[#This Row],[خط (S/S  TOT) SAR2]]</f>
        <v>0</v>
      </c>
      <c r="L269" s="41"/>
      <c r="M269" s="42"/>
      <c r="N269" s="42"/>
      <c r="O269" s="39"/>
      <c r="P269" s="9">
        <f>TABL1234[[#This Row],[خط (S/S  TOT) SAR2]]-TABL1234[[#This Row],[(S/S TOT) AJD]]</f>
        <v>0</v>
      </c>
      <c r="Q269" s="39"/>
      <c r="R269" s="9">
        <f>TABL1234[[#This Row],[خط (T/B  TOT) SAR]]-TABL1234[[#This Row],[(T/B TOT) AJD]]</f>
        <v>0</v>
      </c>
      <c r="S269" s="9">
        <f>TABL1234[[#This Row],[الفرق بين بداية ونهاية خط  T/B]]+TABL1234[[#This Row],[الفرق بين بداية ونهاية خط  S/S]]</f>
        <v>0</v>
      </c>
      <c r="T269" s="9">
        <f>TABL1234[[#This Row],[(S/S TOT) AJD]]+TABL1234[[#This Row],[(T/B TOT) AJD]]</f>
        <v>0</v>
      </c>
      <c r="U269" s="41"/>
      <c r="V269" s="41"/>
      <c r="W269" s="9">
        <f>TABL1234[[#This Row],[(A/B TOT) AJD]]+TABL1234[[#This Row],[(A/S TOT) AJD]]</f>
        <v>0</v>
      </c>
      <c r="X269" s="9">
        <f>TABL1234[[#This Row],[( S/S+T/B) AJD]]-TABL1234[[#This Row],[(A/B + A/S) AJD]]</f>
        <v>0</v>
      </c>
      <c r="Y269" s="41"/>
      <c r="Z269" s="43"/>
      <c r="AA269" s="3">
        <f>TABL1234[[#This Row],[(RESV. STORGE) AJD]]/10</f>
        <v>0</v>
      </c>
      <c r="AB269" s="3">
        <f t="shared" si="9"/>
        <v>0</v>
      </c>
      <c r="AC269" s="5"/>
      <c r="AD269" s="39">
        <f>TABL1234[[#This Row],[( S/S+T/B) AJD]]-(TABL1234[[#This Row],[(A/B + A/S) AJD]]+(TABL1234[[#This Row],[(STORGE DIFF.) AJD]]*1000)+TABL1234[[#This Row],[البخر  AJD]])</f>
        <v>0</v>
      </c>
      <c r="AE269" s="41"/>
      <c r="AF269" s="43"/>
      <c r="AG269" s="43"/>
      <c r="AH269" s="6"/>
      <c r="AI269" s="43"/>
      <c r="AJ269" s="43">
        <f>TABL1234[[#This Row],[(A/B TOT) AJD]]-TABL1234[[#This Row],[BER_ IN]]</f>
        <v>0</v>
      </c>
      <c r="AK269" s="43"/>
      <c r="AL269" s="43"/>
      <c r="AM269" s="32"/>
      <c r="AN269" s="32">
        <f>TABL1234[[#This Row],[ (RESV. STORGE) SER]]/10</f>
        <v>0</v>
      </c>
      <c r="AO269" s="68"/>
      <c r="AP269" s="68">
        <f>TABL1234[[#This Row],[(A/S TOT) AJD]]-TABL1234[[#This Row],[SER_ IN]]</f>
        <v>0</v>
      </c>
    </row>
    <row r="270" spans="1:42" ht="18.75" x14ac:dyDescent="0.25">
      <c r="A270" s="2">
        <v>46656</v>
      </c>
      <c r="B270" s="44"/>
      <c r="C270" s="44"/>
      <c r="D270" s="44"/>
      <c r="E270" s="35"/>
      <c r="F270" s="44"/>
      <c r="G270" s="40"/>
      <c r="H270" s="28">
        <f t="shared" si="8"/>
        <v>103</v>
      </c>
      <c r="I270" s="40"/>
      <c r="J270" s="44"/>
      <c r="K270" s="28">
        <f>TABL1234[[#This Row],[خط (T/B  TOT) SAR]]+TABL1234[[#This Row],[خط (S/S  TOT) SAR2]]</f>
        <v>0</v>
      </c>
      <c r="L270" s="45"/>
      <c r="M270" s="46"/>
      <c r="N270" s="46"/>
      <c r="O270" s="40"/>
      <c r="P270" s="9">
        <f>TABL1234[[#This Row],[خط (S/S  TOT) SAR2]]-TABL1234[[#This Row],[(S/S TOT) AJD]]</f>
        <v>0</v>
      </c>
      <c r="Q270" s="40"/>
      <c r="R270" s="9">
        <f>TABL1234[[#This Row],[خط (T/B  TOT) SAR]]-TABL1234[[#This Row],[(T/B TOT) AJD]]</f>
        <v>0</v>
      </c>
      <c r="S270" s="9">
        <f>TABL1234[[#This Row],[الفرق بين بداية ونهاية خط  T/B]]+TABL1234[[#This Row],[الفرق بين بداية ونهاية خط  S/S]]</f>
        <v>0</v>
      </c>
      <c r="T270" s="9">
        <f>TABL1234[[#This Row],[(S/S TOT) AJD]]+TABL1234[[#This Row],[(T/B TOT) AJD]]</f>
        <v>0</v>
      </c>
      <c r="U270" s="44"/>
      <c r="V270" s="44"/>
      <c r="W270" s="9">
        <f>TABL1234[[#This Row],[(A/B TOT) AJD]]+TABL1234[[#This Row],[(A/S TOT) AJD]]</f>
        <v>0</v>
      </c>
      <c r="X270" s="9">
        <f>TABL1234[[#This Row],[( S/S+T/B) AJD]]-TABL1234[[#This Row],[(A/B + A/S) AJD]]</f>
        <v>0</v>
      </c>
      <c r="Y270" s="44"/>
      <c r="Z270" s="45"/>
      <c r="AA270" s="3">
        <f>TABL1234[[#This Row],[(RESV. STORGE) AJD]]/10</f>
        <v>0</v>
      </c>
      <c r="AB270" s="3">
        <f t="shared" si="9"/>
        <v>0</v>
      </c>
      <c r="AC270" s="5"/>
      <c r="AD270" s="40">
        <f>TABL1234[[#This Row],[( S/S+T/B) AJD]]-(TABL1234[[#This Row],[(A/B + A/S) AJD]]+(TABL1234[[#This Row],[(STORGE DIFF.) AJD]]*1000)+TABL1234[[#This Row],[البخر  AJD]])</f>
        <v>0</v>
      </c>
      <c r="AE270" s="44"/>
      <c r="AF270" s="45"/>
      <c r="AG270" s="45"/>
      <c r="AH270" s="6"/>
      <c r="AI270" s="45"/>
      <c r="AJ270" s="45">
        <f>TABL1234[[#This Row],[(A/B TOT) AJD]]-TABL1234[[#This Row],[BER_ IN]]</f>
        <v>0</v>
      </c>
      <c r="AK270" s="45"/>
      <c r="AL270" s="45"/>
      <c r="AM270" s="32"/>
      <c r="AN270" s="32">
        <f>TABL1234[[#This Row],[ (RESV. STORGE) SER]]/10</f>
        <v>0</v>
      </c>
      <c r="AO270" s="68"/>
      <c r="AP270" s="68">
        <f>TABL1234[[#This Row],[(A/S TOT) AJD]]-TABL1234[[#This Row],[SER_ IN]]</f>
        <v>0</v>
      </c>
    </row>
    <row r="271" spans="1:42" ht="18.75" x14ac:dyDescent="0.25">
      <c r="A271" s="2">
        <v>46657</v>
      </c>
      <c r="B271" s="28"/>
      <c r="C271" s="28"/>
      <c r="D271" s="28"/>
      <c r="E271" s="35"/>
      <c r="F271" s="41"/>
      <c r="G271" s="39"/>
      <c r="H271" s="28">
        <f t="shared" si="8"/>
        <v>103</v>
      </c>
      <c r="I271" s="28"/>
      <c r="J271" s="28"/>
      <c r="K271" s="28">
        <f>TABL1234[[#This Row],[خط (T/B  TOT) SAR]]+TABL1234[[#This Row],[خط (S/S  TOT) SAR2]]</f>
        <v>0</v>
      </c>
      <c r="L271" s="41"/>
      <c r="M271" s="42"/>
      <c r="N271" s="42"/>
      <c r="O271" s="39"/>
      <c r="P271" s="9">
        <f>TABL1234[[#This Row],[خط (S/S  TOT) SAR2]]-TABL1234[[#This Row],[(S/S TOT) AJD]]</f>
        <v>0</v>
      </c>
      <c r="Q271" s="9"/>
      <c r="R271" s="9">
        <f>TABL1234[[#This Row],[خط (T/B  TOT) SAR]]-TABL1234[[#This Row],[(T/B TOT) AJD]]</f>
        <v>0</v>
      </c>
      <c r="S271" s="9">
        <f>TABL1234[[#This Row],[الفرق بين بداية ونهاية خط  T/B]]+TABL1234[[#This Row],[الفرق بين بداية ونهاية خط  S/S]]</f>
        <v>0</v>
      </c>
      <c r="T271" s="9">
        <f>TABL1234[[#This Row],[(S/S TOT) AJD]]+TABL1234[[#This Row],[(T/B TOT) AJD]]</f>
        <v>0</v>
      </c>
      <c r="U271" s="41"/>
      <c r="V271" s="41"/>
      <c r="W271" s="9">
        <f>TABL1234[[#This Row],[(A/B TOT) AJD]]+TABL1234[[#This Row],[(A/S TOT) AJD]]</f>
        <v>0</v>
      </c>
      <c r="X271" s="9">
        <f>TABL1234[[#This Row],[( S/S+T/B) AJD]]-TABL1234[[#This Row],[(A/B + A/S) AJD]]</f>
        <v>0</v>
      </c>
      <c r="Y271" s="41"/>
      <c r="Z271" s="43"/>
      <c r="AA271" s="3">
        <f>TABL1234[[#This Row],[(RESV. STORGE) AJD]]/10</f>
        <v>0</v>
      </c>
      <c r="AB271" s="3">
        <f t="shared" si="9"/>
        <v>0</v>
      </c>
      <c r="AC271" s="5"/>
      <c r="AD271" s="39">
        <f>TABL1234[[#This Row],[( S/S+T/B) AJD]]-(TABL1234[[#This Row],[(A/B + A/S) AJD]]+(TABL1234[[#This Row],[(STORGE DIFF.) AJD]]*1000)+TABL1234[[#This Row],[البخر  AJD]])</f>
        <v>0</v>
      </c>
      <c r="AE271" s="41"/>
      <c r="AF271" s="43"/>
      <c r="AG271" s="43"/>
      <c r="AH271" s="6"/>
      <c r="AI271" s="43"/>
      <c r="AJ271" s="43">
        <f>TABL1234[[#This Row],[(A/B TOT) AJD]]-TABL1234[[#This Row],[BER_ IN]]</f>
        <v>0</v>
      </c>
      <c r="AK271" s="43"/>
      <c r="AL271" s="43"/>
      <c r="AM271" s="32"/>
      <c r="AN271" s="32">
        <f>TABL1234[[#This Row],[ (RESV. STORGE) SER]]/10</f>
        <v>0</v>
      </c>
      <c r="AO271" s="68"/>
      <c r="AP271" s="68">
        <f>TABL1234[[#This Row],[(A/S TOT) AJD]]-TABL1234[[#This Row],[SER_ IN]]</f>
        <v>0</v>
      </c>
    </row>
    <row r="272" spans="1:42" ht="18.75" x14ac:dyDescent="0.25">
      <c r="A272" s="2">
        <v>46658</v>
      </c>
      <c r="B272" s="28"/>
      <c r="C272" s="28"/>
      <c r="D272" s="28"/>
      <c r="E272" s="35"/>
      <c r="F272" s="44"/>
      <c r="G272" s="40"/>
      <c r="H272" s="28">
        <f t="shared" si="8"/>
        <v>103</v>
      </c>
      <c r="I272" s="28"/>
      <c r="J272" s="28"/>
      <c r="K272" s="28">
        <f>TABL1234[[#This Row],[خط (T/B  TOT) SAR]]+TABL1234[[#This Row],[خط (S/S  TOT) SAR2]]</f>
        <v>0</v>
      </c>
      <c r="L272" s="45"/>
      <c r="M272" s="46"/>
      <c r="N272" s="46"/>
      <c r="O272" s="9"/>
      <c r="P272" s="9">
        <f>TABL1234[[#This Row],[خط (S/S  TOT) SAR2]]-TABL1234[[#This Row],[(S/S TOT) AJD]]</f>
        <v>0</v>
      </c>
      <c r="Q272" s="9"/>
      <c r="R272" s="9">
        <f>TABL1234[[#This Row],[خط (T/B  TOT) SAR]]-TABL1234[[#This Row],[(T/B TOT) AJD]]</f>
        <v>0</v>
      </c>
      <c r="S272" s="9">
        <f>TABL1234[[#This Row],[الفرق بين بداية ونهاية خط  T/B]]+TABL1234[[#This Row],[الفرق بين بداية ونهاية خط  S/S]]</f>
        <v>0</v>
      </c>
      <c r="T272" s="9">
        <f>TABL1234[[#This Row],[(S/S TOT) AJD]]+TABL1234[[#This Row],[(T/B TOT) AJD]]</f>
        <v>0</v>
      </c>
      <c r="U272" s="9"/>
      <c r="V272" s="9"/>
      <c r="W272" s="9">
        <f>TABL1234[[#This Row],[(A/B TOT) AJD]]+TABL1234[[#This Row],[(A/S TOT) AJD]]</f>
        <v>0</v>
      </c>
      <c r="X272" s="9">
        <f>TABL1234[[#This Row],[( S/S+T/B) AJD]]-TABL1234[[#This Row],[(A/B + A/S) AJD]]</f>
        <v>0</v>
      </c>
      <c r="Y272" s="18"/>
      <c r="Z272" s="9"/>
      <c r="AA272" s="3">
        <f>TABL1234[[#This Row],[(RESV. STORGE) AJD]]/10</f>
        <v>0</v>
      </c>
      <c r="AB272" s="3">
        <f t="shared" si="9"/>
        <v>0</v>
      </c>
      <c r="AC272" s="5"/>
      <c r="AD272" s="40">
        <f>TABL1234[[#This Row],[( S/S+T/B) AJD]]-(TABL1234[[#This Row],[(A/B + A/S) AJD]]+(TABL1234[[#This Row],[(STORGE DIFF.) AJD]]*1000)+TABL1234[[#This Row],[البخر  AJD]])</f>
        <v>0</v>
      </c>
      <c r="AE272" s="44"/>
      <c r="AF272" s="45"/>
      <c r="AG272" s="45"/>
      <c r="AH272" s="6"/>
      <c r="AI272" s="6"/>
      <c r="AJ272" s="33">
        <f>TABL1234[[#This Row],[(A/B TOT) AJD]]-TABL1234[[#This Row],[BER_ IN]]</f>
        <v>0</v>
      </c>
      <c r="AK272" s="6"/>
      <c r="AL272" s="6"/>
      <c r="AM272" s="32"/>
      <c r="AN272" s="32">
        <f>TABL1234[[#This Row],[ (RESV. STORGE) SER]]/10</f>
        <v>0</v>
      </c>
      <c r="AO272" s="68"/>
      <c r="AP272" s="68">
        <f>TABL1234[[#This Row],[(A/S TOT) AJD]]-TABL1234[[#This Row],[SER_ IN]]</f>
        <v>0</v>
      </c>
    </row>
    <row r="273" spans="1:42" ht="18.75" x14ac:dyDescent="0.25">
      <c r="A273" s="2">
        <v>46659</v>
      </c>
      <c r="B273" s="28"/>
      <c r="C273" s="28"/>
      <c r="D273" s="28"/>
      <c r="E273" s="35"/>
      <c r="F273" s="28"/>
      <c r="G273" s="28"/>
      <c r="H273" s="28">
        <f t="shared" si="8"/>
        <v>103</v>
      </c>
      <c r="I273" s="28"/>
      <c r="J273" s="28"/>
      <c r="K273" s="28">
        <f>TABL1234[[#This Row],[خط (T/B  TOT) SAR]]+TABL1234[[#This Row],[خط (S/S  TOT) SAR2]]</f>
        <v>0</v>
      </c>
      <c r="L273" s="28"/>
      <c r="M273" s="29"/>
      <c r="N273" s="30"/>
      <c r="O273" s="9"/>
      <c r="P273" s="9">
        <f>TABL1234[[#This Row],[خط (S/S  TOT) SAR2]]-TABL1234[[#This Row],[(S/S TOT) AJD]]</f>
        <v>0</v>
      </c>
      <c r="Q273" s="9"/>
      <c r="R273" s="9">
        <f>TABL1234[[#This Row],[خط (T/B  TOT) SAR]]-TABL1234[[#This Row],[(T/B TOT) AJD]]</f>
        <v>0</v>
      </c>
      <c r="S273" s="9">
        <f>TABL1234[[#This Row],[الفرق بين بداية ونهاية خط  T/B]]+TABL1234[[#This Row],[الفرق بين بداية ونهاية خط  S/S]]</f>
        <v>0</v>
      </c>
      <c r="T273" s="9">
        <f>TABL1234[[#This Row],[(S/S TOT) AJD]]+TABL1234[[#This Row],[(T/B TOT) AJD]]</f>
        <v>0</v>
      </c>
      <c r="U273" s="9"/>
      <c r="V273" s="9"/>
      <c r="W273" s="9">
        <f>TABL1234[[#This Row],[(A/B TOT) AJD]]+TABL1234[[#This Row],[(A/S TOT) AJD]]</f>
        <v>0</v>
      </c>
      <c r="X273" s="9">
        <f>TABL1234[[#This Row],[( S/S+T/B) AJD]]-TABL1234[[#This Row],[(A/B + A/S) AJD]]</f>
        <v>0</v>
      </c>
      <c r="Y273" s="18"/>
      <c r="Z273" s="9"/>
      <c r="AA273" s="3">
        <f>TABL1234[[#This Row],[(RESV. STORGE) AJD]]/10</f>
        <v>0</v>
      </c>
      <c r="AB273" s="3">
        <f t="shared" si="9"/>
        <v>0</v>
      </c>
      <c r="AC273" s="5"/>
      <c r="AD273" s="39">
        <f>TABL1234[[#This Row],[( S/S+T/B) AJD]]-(TABL1234[[#This Row],[(A/B + A/S) AJD]]+(TABL1234[[#This Row],[(STORGE DIFF.) AJD]]*1000)+TABL1234[[#This Row],[البخر  AJD]])</f>
        <v>0</v>
      </c>
      <c r="AE273" s="41"/>
      <c r="AF273" s="43"/>
      <c r="AG273" s="43"/>
      <c r="AH273" s="6"/>
      <c r="AI273" s="6"/>
      <c r="AJ273" s="33">
        <f>TABL1234[[#This Row],[(A/B TOT) AJD]]-TABL1234[[#This Row],[BER_ IN]]</f>
        <v>0</v>
      </c>
      <c r="AK273" s="6"/>
      <c r="AL273" s="6"/>
      <c r="AM273" s="32"/>
      <c r="AN273" s="32">
        <f>TABL1234[[#This Row],[ (RESV. STORGE) SER]]/10</f>
        <v>0</v>
      </c>
      <c r="AO273" s="68"/>
      <c r="AP273" s="68">
        <f>TABL1234[[#This Row],[(A/S TOT) AJD]]-TABL1234[[#This Row],[SER_ IN]]</f>
        <v>0</v>
      </c>
    </row>
    <row r="274" spans="1:42" ht="18.75" x14ac:dyDescent="0.25">
      <c r="A274" s="2">
        <v>46660</v>
      </c>
      <c r="B274" s="28"/>
      <c r="C274" s="28"/>
      <c r="D274" s="28"/>
      <c r="E274" s="35"/>
      <c r="F274" s="28"/>
      <c r="G274" s="28"/>
      <c r="H274" s="28">
        <f t="shared" si="8"/>
        <v>103</v>
      </c>
      <c r="I274" s="28"/>
      <c r="J274" s="28"/>
      <c r="K274" s="28">
        <f>TABL1234[[#This Row],[خط (T/B  TOT) SAR]]+TABL1234[[#This Row],[خط (S/S  TOT) SAR2]]</f>
        <v>0</v>
      </c>
      <c r="L274" s="28"/>
      <c r="M274" s="29"/>
      <c r="N274" s="30"/>
      <c r="O274" s="9"/>
      <c r="P274" s="9">
        <f>TABL1234[[#This Row],[خط (S/S  TOT) SAR2]]-TABL1234[[#This Row],[(S/S TOT) AJD]]</f>
        <v>0</v>
      </c>
      <c r="Q274" s="9"/>
      <c r="R274" s="9">
        <f>TABL1234[[#This Row],[خط (T/B  TOT) SAR]]-TABL1234[[#This Row],[(T/B TOT) AJD]]</f>
        <v>0</v>
      </c>
      <c r="S274" s="9">
        <f>TABL1234[[#This Row],[الفرق بين بداية ونهاية خط  T/B]]+TABL1234[[#This Row],[الفرق بين بداية ونهاية خط  S/S]]</f>
        <v>0</v>
      </c>
      <c r="T274" s="9">
        <f>TABL1234[[#This Row],[(S/S TOT) AJD]]+TABL1234[[#This Row],[(T/B TOT) AJD]]</f>
        <v>0</v>
      </c>
      <c r="U274" s="9"/>
      <c r="V274" s="9"/>
      <c r="W274" s="9">
        <f>TABL1234[[#This Row],[(A/B TOT) AJD]]+TABL1234[[#This Row],[(A/S TOT) AJD]]</f>
        <v>0</v>
      </c>
      <c r="X274" s="9">
        <f>TABL1234[[#This Row],[( S/S+T/B) AJD]]-TABL1234[[#This Row],[(A/B + A/S) AJD]]</f>
        <v>0</v>
      </c>
      <c r="Y274" s="18"/>
      <c r="Z274" s="9"/>
      <c r="AA274" s="3">
        <f>TABL1234[[#This Row],[(RESV. STORGE) AJD]]/10</f>
        <v>0</v>
      </c>
      <c r="AB274" s="3">
        <f t="shared" si="9"/>
        <v>0</v>
      </c>
      <c r="AC274" s="5"/>
      <c r="AD274" s="6">
        <f>TABL1234[[#This Row],[( S/S+T/B) AJD]]-(TABL1234[[#This Row],[(A/B + A/S) AJD]]+(TABL1234[[#This Row],[(STORGE DIFF.) AJD]]*1000)+TABL1234[[#This Row],[البخر  AJD]])</f>
        <v>0</v>
      </c>
      <c r="AE274" s="33"/>
      <c r="AF274" s="6"/>
      <c r="AG274" s="6"/>
      <c r="AH274" s="6"/>
      <c r="AI274" s="6"/>
      <c r="AJ274" s="33">
        <f>TABL1234[[#This Row],[(A/B TOT) AJD]]-TABL1234[[#This Row],[BER_ IN]]</f>
        <v>0</v>
      </c>
      <c r="AK274" s="6"/>
      <c r="AL274" s="6"/>
      <c r="AM274" s="32"/>
      <c r="AN274" s="32">
        <f>TABL1234[[#This Row],[ (RESV. STORGE) SER]]/10</f>
        <v>0</v>
      </c>
      <c r="AO274" s="68"/>
      <c r="AP274" s="68">
        <f>TABL1234[[#This Row],[(A/S TOT) AJD]]-TABL1234[[#This Row],[SER_ IN]]</f>
        <v>0</v>
      </c>
    </row>
    <row r="275" spans="1:42" ht="18.75" x14ac:dyDescent="0.25">
      <c r="A275" s="2">
        <v>46661</v>
      </c>
      <c r="B275" s="28"/>
      <c r="C275" s="28"/>
      <c r="D275" s="28"/>
      <c r="E275" s="28"/>
      <c r="F275" s="28"/>
      <c r="G275" s="28"/>
      <c r="H275" s="28">
        <f t="shared" si="8"/>
        <v>103</v>
      </c>
      <c r="I275" s="28"/>
      <c r="J275" s="28"/>
      <c r="K275" s="28">
        <f>TABL1234[[#This Row],[خط (T/B  TOT) SAR]]+TABL1234[[#This Row],[خط (S/S  TOT) SAR2]]</f>
        <v>0</v>
      </c>
      <c r="L275" s="28"/>
      <c r="M275" s="29"/>
      <c r="N275" s="30"/>
      <c r="O275" s="14"/>
      <c r="P275" s="9">
        <f>TABL1234[[#This Row],[خط (S/S  TOT) SAR2]]-TABL1234[[#This Row],[(S/S TOT) AJD]]</f>
        <v>0</v>
      </c>
      <c r="Q275" s="14"/>
      <c r="R275" s="9">
        <f>TABL1234[[#This Row],[خط (T/B  TOT) SAR]]-TABL1234[[#This Row],[(T/B TOT) AJD]]</f>
        <v>0</v>
      </c>
      <c r="S275" s="9">
        <f>TABL1234[[#This Row],[الفرق بين بداية ونهاية خط  T/B]]+TABL1234[[#This Row],[الفرق بين بداية ونهاية خط  S/S]]</f>
        <v>0</v>
      </c>
      <c r="T275" s="9">
        <f>TABL1234[[#This Row],[(S/S TOT) AJD]]+TABL1234[[#This Row],[(T/B TOT) AJD]]</f>
        <v>0</v>
      </c>
      <c r="U275" s="14"/>
      <c r="V275" s="14"/>
      <c r="W275" s="9">
        <f>TABL1234[[#This Row],[(A/B TOT) AJD]]+TABL1234[[#This Row],[(A/S TOT) AJD]]</f>
        <v>0</v>
      </c>
      <c r="X275" s="9">
        <f>TABL1234[[#This Row],[( S/S+T/B) AJD]]-TABL1234[[#This Row],[(A/B + A/S) AJD]]</f>
        <v>0</v>
      </c>
      <c r="Y275" s="18"/>
      <c r="Z275" s="9"/>
      <c r="AA275" s="3">
        <f>TABL1234[[#This Row],[(RESV. STORGE) AJD]]/10</f>
        <v>0</v>
      </c>
      <c r="AB275" s="3">
        <f t="shared" si="9"/>
        <v>0</v>
      </c>
      <c r="AC275" s="5"/>
      <c r="AD275" s="6">
        <f>TABL1234[[#This Row],[( S/S+T/B) AJD]]-(TABL1234[[#This Row],[(A/B + A/S) AJD]]+(TABL1234[[#This Row],[(STORGE DIFF.) AJD]]*1000)+TABL1234[[#This Row],[البخر  AJD]])</f>
        <v>0</v>
      </c>
      <c r="AE275" s="33"/>
      <c r="AF275" s="6"/>
      <c r="AG275" s="6"/>
      <c r="AH275" s="6"/>
      <c r="AI275" s="6"/>
      <c r="AJ275" s="33">
        <f>TABL1234[[#This Row],[(A/B TOT) AJD]]-TABL1234[[#This Row],[BER_ IN]]</f>
        <v>0</v>
      </c>
      <c r="AK275" s="6"/>
      <c r="AL275" s="6"/>
      <c r="AM275" s="32"/>
      <c r="AN275" s="32">
        <f>TABL1234[[#This Row],[ (RESV. STORGE) SER]]/10</f>
        <v>0</v>
      </c>
      <c r="AO275" s="68"/>
      <c r="AP275" s="68">
        <f>TABL1234[[#This Row],[(A/S TOT) AJD]]-TABL1234[[#This Row],[SER_ IN]]</f>
        <v>0</v>
      </c>
    </row>
    <row r="276" spans="1:42" ht="18.75" x14ac:dyDescent="0.25">
      <c r="A276" s="2">
        <v>46662</v>
      </c>
      <c r="B276" s="28"/>
      <c r="C276" s="28"/>
      <c r="D276" s="28"/>
      <c r="E276" s="28"/>
      <c r="F276" s="28"/>
      <c r="G276" s="28"/>
      <c r="H276" s="28">
        <f t="shared" si="8"/>
        <v>103</v>
      </c>
      <c r="I276" s="28"/>
      <c r="J276" s="28"/>
      <c r="K276" s="28">
        <f>TABL1234[[#This Row],[خط (T/B  TOT) SAR]]+TABL1234[[#This Row],[خط (S/S  TOT) SAR2]]</f>
        <v>0</v>
      </c>
      <c r="L276" s="28"/>
      <c r="M276" s="29"/>
      <c r="N276" s="30"/>
      <c r="O276" s="14"/>
      <c r="P276" s="9">
        <f>TABL1234[[#This Row],[خط (S/S  TOT) SAR2]]-TABL1234[[#This Row],[(S/S TOT) AJD]]</f>
        <v>0</v>
      </c>
      <c r="Q276" s="14"/>
      <c r="R276" s="9">
        <f>TABL1234[[#This Row],[خط (T/B  TOT) SAR]]-TABL1234[[#This Row],[(T/B TOT) AJD]]</f>
        <v>0</v>
      </c>
      <c r="S276" s="9">
        <f>TABL1234[[#This Row],[الفرق بين بداية ونهاية خط  T/B]]+TABL1234[[#This Row],[الفرق بين بداية ونهاية خط  S/S]]</f>
        <v>0</v>
      </c>
      <c r="T276" s="9">
        <f>TABL1234[[#This Row],[(S/S TOT) AJD]]+TABL1234[[#This Row],[(T/B TOT) AJD]]</f>
        <v>0</v>
      </c>
      <c r="U276" s="14"/>
      <c r="V276" s="14"/>
      <c r="W276" s="9">
        <f>TABL1234[[#This Row],[(A/B TOT) AJD]]+TABL1234[[#This Row],[(A/S TOT) AJD]]</f>
        <v>0</v>
      </c>
      <c r="X276" s="9">
        <f>TABL1234[[#This Row],[( S/S+T/B) AJD]]-TABL1234[[#This Row],[(A/B + A/S) AJD]]</f>
        <v>0</v>
      </c>
      <c r="Y276" s="18"/>
      <c r="Z276" s="9"/>
      <c r="AA276" s="3">
        <f>TABL1234[[#This Row],[(RESV. STORGE) AJD]]/10</f>
        <v>0</v>
      </c>
      <c r="AB276" s="3">
        <f t="shared" si="9"/>
        <v>0</v>
      </c>
      <c r="AC276" s="5"/>
      <c r="AD276" s="6">
        <f>TABL1234[[#This Row],[( S/S+T/B) AJD]]-(TABL1234[[#This Row],[(A/B + A/S) AJD]]+(TABL1234[[#This Row],[(STORGE DIFF.) AJD]]*1000)+TABL1234[[#This Row],[البخر  AJD]])</f>
        <v>0</v>
      </c>
      <c r="AE276" s="33"/>
      <c r="AF276" s="6"/>
      <c r="AG276" s="6"/>
      <c r="AH276" s="6"/>
      <c r="AI276" s="6"/>
      <c r="AJ276" s="33">
        <f>TABL1234[[#This Row],[(A/B TOT) AJD]]-TABL1234[[#This Row],[BER_ IN]]</f>
        <v>0</v>
      </c>
      <c r="AK276" s="6"/>
      <c r="AL276" s="6"/>
      <c r="AM276" s="32"/>
      <c r="AN276" s="32">
        <f>TABL1234[[#This Row],[ (RESV. STORGE) SER]]/10</f>
        <v>0</v>
      </c>
      <c r="AO276" s="68"/>
      <c r="AP276" s="68">
        <f>TABL1234[[#This Row],[(A/S TOT) AJD]]-TABL1234[[#This Row],[SER_ IN]]</f>
        <v>0</v>
      </c>
    </row>
    <row r="277" spans="1:42" ht="18.75" x14ac:dyDescent="0.25">
      <c r="A277" s="2">
        <v>46663</v>
      </c>
      <c r="B277" s="28"/>
      <c r="C277" s="28"/>
      <c r="D277" s="35"/>
      <c r="E277" s="28"/>
      <c r="F277" s="28"/>
      <c r="G277" s="28"/>
      <c r="H277" s="28">
        <f t="shared" si="8"/>
        <v>103</v>
      </c>
      <c r="I277" s="28"/>
      <c r="J277" s="28"/>
      <c r="K277" s="28">
        <f>TABL1234[[#This Row],[خط (T/B  TOT) SAR]]+TABL1234[[#This Row],[خط (S/S  TOT) SAR2]]</f>
        <v>0</v>
      </c>
      <c r="L277" s="28"/>
      <c r="M277" s="29"/>
      <c r="N277" s="30"/>
      <c r="O277" s="14"/>
      <c r="P277" s="9">
        <f>TABL1234[[#This Row],[خط (S/S  TOT) SAR2]]-TABL1234[[#This Row],[(S/S TOT) AJD]]</f>
        <v>0</v>
      </c>
      <c r="Q277" s="14"/>
      <c r="R277" s="9">
        <f>TABL1234[[#This Row],[خط (T/B  TOT) SAR]]-TABL1234[[#This Row],[(T/B TOT) AJD]]</f>
        <v>0</v>
      </c>
      <c r="S277" s="9">
        <f>TABL1234[[#This Row],[الفرق بين بداية ونهاية خط  T/B]]+TABL1234[[#This Row],[الفرق بين بداية ونهاية خط  S/S]]</f>
        <v>0</v>
      </c>
      <c r="T277" s="9">
        <f>TABL1234[[#This Row],[(S/S TOT) AJD]]+TABL1234[[#This Row],[(T/B TOT) AJD]]</f>
        <v>0</v>
      </c>
      <c r="U277" s="14"/>
      <c r="V277" s="14"/>
      <c r="W277" s="9">
        <f>TABL1234[[#This Row],[(A/B TOT) AJD]]+TABL1234[[#This Row],[(A/S TOT) AJD]]</f>
        <v>0</v>
      </c>
      <c r="X277" s="9">
        <f>TABL1234[[#This Row],[( S/S+T/B) AJD]]-TABL1234[[#This Row],[(A/B + A/S) AJD]]</f>
        <v>0</v>
      </c>
      <c r="Y277" s="18"/>
      <c r="Z277" s="9"/>
      <c r="AA277" s="3">
        <f>TABL1234[[#This Row],[(RESV. STORGE) AJD]]/10</f>
        <v>0</v>
      </c>
      <c r="AB277" s="3">
        <f t="shared" si="9"/>
        <v>0</v>
      </c>
      <c r="AC277" s="5"/>
      <c r="AD277" s="6">
        <f>TABL1234[[#This Row],[( S/S+T/B) AJD]]-(TABL1234[[#This Row],[(A/B + A/S) AJD]]+(TABL1234[[#This Row],[(STORGE DIFF.) AJD]]*1000)+TABL1234[[#This Row],[البخر  AJD]])</f>
        <v>0</v>
      </c>
      <c r="AE277" s="33"/>
      <c r="AF277" s="6"/>
      <c r="AG277" s="6"/>
      <c r="AH277" s="6"/>
      <c r="AI277" s="6"/>
      <c r="AJ277" s="33">
        <f>TABL1234[[#This Row],[(A/B TOT) AJD]]-TABL1234[[#This Row],[BER_ IN]]</f>
        <v>0</v>
      </c>
      <c r="AK277" s="6"/>
      <c r="AL277" s="6"/>
      <c r="AM277" s="32"/>
      <c r="AN277" s="32">
        <f>TABL1234[[#This Row],[ (RESV. STORGE) SER]]/10</f>
        <v>0</v>
      </c>
      <c r="AO277" s="68"/>
      <c r="AP277" s="68">
        <f>TABL1234[[#This Row],[(A/S TOT) AJD]]-TABL1234[[#This Row],[SER_ IN]]</f>
        <v>0</v>
      </c>
    </row>
    <row r="278" spans="1:42" ht="18.75" x14ac:dyDescent="0.25">
      <c r="A278" s="2">
        <v>46664</v>
      </c>
      <c r="B278" s="28"/>
      <c r="C278" s="28"/>
      <c r="D278" s="35"/>
      <c r="E278" s="28"/>
      <c r="F278" s="28"/>
      <c r="G278" s="28"/>
      <c r="H278" s="28">
        <f t="shared" si="8"/>
        <v>103</v>
      </c>
      <c r="I278" s="28"/>
      <c r="J278" s="28"/>
      <c r="K278" s="28">
        <f>TABL1234[[#This Row],[خط (T/B  TOT) SAR]]+TABL1234[[#This Row],[خط (S/S  TOT) SAR2]]</f>
        <v>0</v>
      </c>
      <c r="L278" s="28"/>
      <c r="M278" s="29"/>
      <c r="N278" s="30"/>
      <c r="O278" s="14"/>
      <c r="P278" s="9">
        <f>TABL1234[[#This Row],[خط (S/S  TOT) SAR2]]-TABL1234[[#This Row],[(S/S TOT) AJD]]</f>
        <v>0</v>
      </c>
      <c r="Q278" s="14"/>
      <c r="R278" s="9">
        <f>TABL1234[[#This Row],[خط (T/B  TOT) SAR]]-TABL1234[[#This Row],[(T/B TOT) AJD]]</f>
        <v>0</v>
      </c>
      <c r="S278" s="9">
        <f>TABL1234[[#This Row],[الفرق بين بداية ونهاية خط  T/B]]+TABL1234[[#This Row],[الفرق بين بداية ونهاية خط  S/S]]</f>
        <v>0</v>
      </c>
      <c r="T278" s="9">
        <f>TABL1234[[#This Row],[(S/S TOT) AJD]]+TABL1234[[#This Row],[(T/B TOT) AJD]]</f>
        <v>0</v>
      </c>
      <c r="U278" s="14"/>
      <c r="V278" s="14"/>
      <c r="W278" s="9">
        <f>TABL1234[[#This Row],[(A/B TOT) AJD]]+TABL1234[[#This Row],[(A/S TOT) AJD]]</f>
        <v>0</v>
      </c>
      <c r="X278" s="9">
        <f>TABL1234[[#This Row],[( S/S+T/B) AJD]]-TABL1234[[#This Row],[(A/B + A/S) AJD]]</f>
        <v>0</v>
      </c>
      <c r="Y278" s="18"/>
      <c r="Z278" s="9"/>
      <c r="AA278" s="3">
        <f>TABL1234[[#This Row],[(RESV. STORGE) AJD]]/10</f>
        <v>0</v>
      </c>
      <c r="AB278" s="3">
        <f t="shared" si="9"/>
        <v>0</v>
      </c>
      <c r="AC278" s="5"/>
      <c r="AD278" s="6">
        <f>TABL1234[[#This Row],[( S/S+T/B) AJD]]-(TABL1234[[#This Row],[(A/B + A/S) AJD]]+(TABL1234[[#This Row],[(STORGE DIFF.) AJD]]*1000)+TABL1234[[#This Row],[البخر  AJD]])</f>
        <v>0</v>
      </c>
      <c r="AE278" s="33"/>
      <c r="AF278" s="6"/>
      <c r="AG278" s="6"/>
      <c r="AH278" s="6"/>
      <c r="AI278" s="6"/>
      <c r="AJ278" s="33">
        <f>TABL1234[[#This Row],[(A/B TOT) AJD]]-TABL1234[[#This Row],[BER_ IN]]</f>
        <v>0</v>
      </c>
      <c r="AK278" s="6"/>
      <c r="AL278" s="6"/>
      <c r="AM278" s="32"/>
      <c r="AN278" s="32">
        <f>TABL1234[[#This Row],[ (RESV. STORGE) SER]]/10</f>
        <v>0</v>
      </c>
      <c r="AO278" s="68"/>
      <c r="AP278" s="68">
        <f>TABL1234[[#This Row],[(A/S TOT) AJD]]-TABL1234[[#This Row],[SER_ IN]]</f>
        <v>0</v>
      </c>
    </row>
    <row r="279" spans="1:42" ht="18.75" x14ac:dyDescent="0.25">
      <c r="A279" s="2">
        <v>46665</v>
      </c>
      <c r="B279" s="28"/>
      <c r="C279" s="28"/>
      <c r="D279" s="35"/>
      <c r="E279" s="28"/>
      <c r="F279" s="28"/>
      <c r="G279" s="28"/>
      <c r="H279" s="28">
        <f t="shared" si="8"/>
        <v>103</v>
      </c>
      <c r="I279" s="28"/>
      <c r="J279" s="28"/>
      <c r="K279" s="28">
        <f>TABL1234[[#This Row],[خط (T/B  TOT) SAR]]+TABL1234[[#This Row],[خط (S/S  TOT) SAR2]]</f>
        <v>0</v>
      </c>
      <c r="L279" s="28"/>
      <c r="M279" s="29"/>
      <c r="N279" s="30"/>
      <c r="O279" s="14"/>
      <c r="P279" s="9">
        <f>TABL1234[[#This Row],[خط (S/S  TOT) SAR2]]-TABL1234[[#This Row],[(S/S TOT) AJD]]</f>
        <v>0</v>
      </c>
      <c r="Q279" s="14"/>
      <c r="R279" s="9">
        <f>TABL1234[[#This Row],[خط (T/B  TOT) SAR]]-TABL1234[[#This Row],[(T/B TOT) AJD]]</f>
        <v>0</v>
      </c>
      <c r="S279" s="9">
        <f>TABL1234[[#This Row],[الفرق بين بداية ونهاية خط  T/B]]+TABL1234[[#This Row],[الفرق بين بداية ونهاية خط  S/S]]</f>
        <v>0</v>
      </c>
      <c r="T279" s="9">
        <f>TABL1234[[#This Row],[(S/S TOT) AJD]]+TABL1234[[#This Row],[(T/B TOT) AJD]]</f>
        <v>0</v>
      </c>
      <c r="U279" s="14"/>
      <c r="V279" s="14"/>
      <c r="W279" s="9">
        <f>TABL1234[[#This Row],[(A/B TOT) AJD]]+TABL1234[[#This Row],[(A/S TOT) AJD]]</f>
        <v>0</v>
      </c>
      <c r="X279" s="9">
        <f>TABL1234[[#This Row],[( S/S+T/B) AJD]]-TABL1234[[#This Row],[(A/B + A/S) AJD]]</f>
        <v>0</v>
      </c>
      <c r="Y279" s="18"/>
      <c r="Z279" s="9"/>
      <c r="AA279" s="3">
        <f>TABL1234[[#This Row],[(RESV. STORGE) AJD]]/10</f>
        <v>0</v>
      </c>
      <c r="AB279" s="3">
        <f t="shared" si="9"/>
        <v>0</v>
      </c>
      <c r="AC279" s="5"/>
      <c r="AD279" s="6">
        <f>TABL1234[[#This Row],[( S/S+T/B) AJD]]-(TABL1234[[#This Row],[(A/B + A/S) AJD]]+(TABL1234[[#This Row],[(STORGE DIFF.) AJD]]*1000)+TABL1234[[#This Row],[البخر  AJD]])</f>
        <v>0</v>
      </c>
      <c r="AE279" s="33"/>
      <c r="AF279" s="6"/>
      <c r="AG279" s="6"/>
      <c r="AH279" s="6"/>
      <c r="AI279" s="6"/>
      <c r="AJ279" s="33">
        <f>TABL1234[[#This Row],[(A/B TOT) AJD]]-TABL1234[[#This Row],[BER_ IN]]</f>
        <v>0</v>
      </c>
      <c r="AK279" s="6"/>
      <c r="AL279" s="6"/>
      <c r="AM279" s="32"/>
      <c r="AN279" s="32">
        <f>TABL1234[[#This Row],[ (RESV. STORGE) SER]]/10</f>
        <v>0</v>
      </c>
      <c r="AO279" s="68"/>
      <c r="AP279" s="68">
        <f>TABL1234[[#This Row],[(A/S TOT) AJD]]-TABL1234[[#This Row],[SER_ IN]]</f>
        <v>0</v>
      </c>
    </row>
    <row r="280" spans="1:42" ht="18.75" x14ac:dyDescent="0.25">
      <c r="A280" s="2">
        <v>46666</v>
      </c>
      <c r="B280" s="28"/>
      <c r="C280" s="28"/>
      <c r="D280" s="35"/>
      <c r="E280" s="28"/>
      <c r="F280" s="28"/>
      <c r="G280" s="28"/>
      <c r="H280" s="28">
        <f t="shared" si="8"/>
        <v>103</v>
      </c>
      <c r="I280" s="28"/>
      <c r="J280" s="28"/>
      <c r="K280" s="28">
        <f>TABL1234[[#This Row],[خط (T/B  TOT) SAR]]+TABL1234[[#This Row],[خط (S/S  TOT) SAR2]]</f>
        <v>0</v>
      </c>
      <c r="L280" s="28"/>
      <c r="M280" s="29"/>
      <c r="N280" s="30"/>
      <c r="O280" s="14"/>
      <c r="P280" s="9">
        <f>TABL1234[[#This Row],[خط (S/S  TOT) SAR2]]-TABL1234[[#This Row],[(S/S TOT) AJD]]</f>
        <v>0</v>
      </c>
      <c r="Q280" s="14"/>
      <c r="R280" s="9">
        <f>TABL1234[[#This Row],[خط (T/B  TOT) SAR]]-TABL1234[[#This Row],[(T/B TOT) AJD]]</f>
        <v>0</v>
      </c>
      <c r="S280" s="9">
        <f>TABL1234[[#This Row],[الفرق بين بداية ونهاية خط  T/B]]+TABL1234[[#This Row],[الفرق بين بداية ونهاية خط  S/S]]</f>
        <v>0</v>
      </c>
      <c r="T280" s="9">
        <f>TABL1234[[#This Row],[(S/S TOT) AJD]]+TABL1234[[#This Row],[(T/B TOT) AJD]]</f>
        <v>0</v>
      </c>
      <c r="U280" s="14"/>
      <c r="V280" s="14"/>
      <c r="W280" s="9">
        <f>TABL1234[[#This Row],[(A/B TOT) AJD]]+TABL1234[[#This Row],[(A/S TOT) AJD]]</f>
        <v>0</v>
      </c>
      <c r="X280" s="9">
        <f>TABL1234[[#This Row],[( S/S+T/B) AJD]]-TABL1234[[#This Row],[(A/B + A/S) AJD]]</f>
        <v>0</v>
      </c>
      <c r="Y280" s="18"/>
      <c r="Z280" s="9"/>
      <c r="AA280" s="3">
        <f>TABL1234[[#This Row],[(RESV. STORGE) AJD]]/10</f>
        <v>0</v>
      </c>
      <c r="AB280" s="3">
        <f t="shared" si="9"/>
        <v>0</v>
      </c>
      <c r="AC280" s="5"/>
      <c r="AD280" s="6">
        <f>TABL1234[[#This Row],[( S/S+T/B) AJD]]-(TABL1234[[#This Row],[(A/B + A/S) AJD]]+(TABL1234[[#This Row],[(STORGE DIFF.) AJD]]*1000)+TABL1234[[#This Row],[البخر  AJD]])</f>
        <v>0</v>
      </c>
      <c r="AE280" s="33"/>
      <c r="AF280" s="6"/>
      <c r="AG280" s="6"/>
      <c r="AH280" s="6"/>
      <c r="AI280" s="6"/>
      <c r="AJ280" s="33">
        <f>TABL1234[[#This Row],[(A/B TOT) AJD]]-TABL1234[[#This Row],[BER_ IN]]</f>
        <v>0</v>
      </c>
      <c r="AK280" s="6"/>
      <c r="AL280" s="6"/>
      <c r="AM280" s="32"/>
      <c r="AN280" s="32">
        <f>TABL1234[[#This Row],[ (RESV. STORGE) SER]]/10</f>
        <v>0</v>
      </c>
      <c r="AO280" s="68"/>
      <c r="AP280" s="68">
        <f>TABL1234[[#This Row],[(A/S TOT) AJD]]-TABL1234[[#This Row],[SER_ IN]]</f>
        <v>0</v>
      </c>
    </row>
    <row r="281" spans="1:42" ht="18.75" x14ac:dyDescent="0.25">
      <c r="A281" s="2">
        <v>46667</v>
      </c>
      <c r="B281" s="28"/>
      <c r="C281" s="28"/>
      <c r="D281" s="35"/>
      <c r="E281" s="28"/>
      <c r="F281" s="28"/>
      <c r="G281" s="28"/>
      <c r="H281" s="28">
        <f t="shared" si="8"/>
        <v>103</v>
      </c>
      <c r="I281" s="28"/>
      <c r="J281" s="28"/>
      <c r="K281" s="28">
        <f>TABL1234[[#This Row],[خط (T/B  TOT) SAR]]+TABL1234[[#This Row],[خط (S/S  TOT) SAR2]]</f>
        <v>0</v>
      </c>
      <c r="L281" s="28"/>
      <c r="M281" s="29"/>
      <c r="N281" s="30"/>
      <c r="O281" s="14"/>
      <c r="P281" s="9">
        <f>TABL1234[[#This Row],[خط (S/S  TOT) SAR2]]-TABL1234[[#This Row],[(S/S TOT) AJD]]</f>
        <v>0</v>
      </c>
      <c r="Q281" s="14"/>
      <c r="R281" s="9">
        <f>TABL1234[[#This Row],[خط (T/B  TOT) SAR]]-TABL1234[[#This Row],[(T/B TOT) AJD]]</f>
        <v>0</v>
      </c>
      <c r="S281" s="9">
        <f>TABL1234[[#This Row],[الفرق بين بداية ونهاية خط  T/B]]+TABL1234[[#This Row],[الفرق بين بداية ونهاية خط  S/S]]</f>
        <v>0</v>
      </c>
      <c r="T281" s="9">
        <f>TABL1234[[#This Row],[(S/S TOT) AJD]]+TABL1234[[#This Row],[(T/B TOT) AJD]]</f>
        <v>0</v>
      </c>
      <c r="U281" s="14"/>
      <c r="V281" s="14"/>
      <c r="W281" s="9">
        <f>TABL1234[[#This Row],[(A/B TOT) AJD]]+TABL1234[[#This Row],[(A/S TOT) AJD]]</f>
        <v>0</v>
      </c>
      <c r="X281" s="9">
        <f>TABL1234[[#This Row],[( S/S+T/B) AJD]]-TABL1234[[#This Row],[(A/B + A/S) AJD]]</f>
        <v>0</v>
      </c>
      <c r="Y281" s="18"/>
      <c r="Z281" s="9"/>
      <c r="AA281" s="3">
        <f>TABL1234[[#This Row],[(RESV. STORGE) AJD]]/10</f>
        <v>0</v>
      </c>
      <c r="AB281" s="3">
        <f t="shared" si="9"/>
        <v>0</v>
      </c>
      <c r="AC281" s="5"/>
      <c r="AD281" s="6">
        <f>TABL1234[[#This Row],[( S/S+T/B) AJD]]-(TABL1234[[#This Row],[(A/B + A/S) AJD]]+(TABL1234[[#This Row],[(STORGE DIFF.) AJD]]*1000)+TABL1234[[#This Row],[البخر  AJD]])</f>
        <v>0</v>
      </c>
      <c r="AE281" s="33"/>
      <c r="AF281" s="6"/>
      <c r="AG281" s="6"/>
      <c r="AH281" s="6"/>
      <c r="AI281" s="6"/>
      <c r="AJ281" s="33">
        <f>TABL1234[[#This Row],[(A/B TOT) AJD]]-TABL1234[[#This Row],[BER_ IN]]</f>
        <v>0</v>
      </c>
      <c r="AK281" s="6"/>
      <c r="AL281" s="6"/>
      <c r="AM281" s="32"/>
      <c r="AN281" s="32">
        <f>TABL1234[[#This Row],[ (RESV. STORGE) SER]]/10</f>
        <v>0</v>
      </c>
      <c r="AO281" s="68"/>
      <c r="AP281" s="68">
        <f>TABL1234[[#This Row],[(A/S TOT) AJD]]-TABL1234[[#This Row],[SER_ IN]]</f>
        <v>0</v>
      </c>
    </row>
    <row r="282" spans="1:42" ht="18.75" x14ac:dyDescent="0.25">
      <c r="A282" s="2">
        <v>46668</v>
      </c>
      <c r="B282" s="28"/>
      <c r="C282" s="28"/>
      <c r="D282" s="35"/>
      <c r="E282" s="28"/>
      <c r="F282" s="28"/>
      <c r="G282" s="28"/>
      <c r="H282" s="28">
        <f t="shared" si="8"/>
        <v>103</v>
      </c>
      <c r="I282" s="28"/>
      <c r="J282" s="28"/>
      <c r="K282" s="28">
        <f>TABL1234[[#This Row],[خط (T/B  TOT) SAR]]+TABL1234[[#This Row],[خط (S/S  TOT) SAR2]]</f>
        <v>0</v>
      </c>
      <c r="L282" s="28"/>
      <c r="M282" s="29"/>
      <c r="N282" s="30"/>
      <c r="O282" s="14"/>
      <c r="P282" s="9">
        <f>TABL1234[[#This Row],[خط (S/S  TOT) SAR2]]-TABL1234[[#This Row],[(S/S TOT) AJD]]</f>
        <v>0</v>
      </c>
      <c r="Q282" s="14"/>
      <c r="R282" s="9">
        <f>TABL1234[[#This Row],[خط (T/B  TOT) SAR]]-TABL1234[[#This Row],[(T/B TOT) AJD]]</f>
        <v>0</v>
      </c>
      <c r="S282" s="9">
        <f>TABL1234[[#This Row],[الفرق بين بداية ونهاية خط  T/B]]+TABL1234[[#This Row],[الفرق بين بداية ونهاية خط  S/S]]</f>
        <v>0</v>
      </c>
      <c r="T282" s="9">
        <f>TABL1234[[#This Row],[(S/S TOT) AJD]]+TABL1234[[#This Row],[(T/B TOT) AJD]]</f>
        <v>0</v>
      </c>
      <c r="U282" s="14"/>
      <c r="V282" s="14"/>
      <c r="W282" s="9">
        <f>TABL1234[[#This Row],[(A/B TOT) AJD]]+TABL1234[[#This Row],[(A/S TOT) AJD]]</f>
        <v>0</v>
      </c>
      <c r="X282" s="9">
        <f>TABL1234[[#This Row],[( S/S+T/B) AJD]]-TABL1234[[#This Row],[(A/B + A/S) AJD]]</f>
        <v>0</v>
      </c>
      <c r="Y282" s="18"/>
      <c r="Z282" s="9"/>
      <c r="AA282" s="3">
        <f>TABL1234[[#This Row],[(RESV. STORGE) AJD]]/10</f>
        <v>0</v>
      </c>
      <c r="AB282" s="3">
        <f t="shared" si="9"/>
        <v>0</v>
      </c>
      <c r="AC282" s="5"/>
      <c r="AD282" s="6">
        <f>TABL1234[[#This Row],[( S/S+T/B) AJD]]-(TABL1234[[#This Row],[(A/B + A/S) AJD]]+(TABL1234[[#This Row],[(STORGE DIFF.) AJD]]*1000)+TABL1234[[#This Row],[البخر  AJD]])</f>
        <v>0</v>
      </c>
      <c r="AE282" s="33"/>
      <c r="AF282" s="6"/>
      <c r="AG282" s="6"/>
      <c r="AH282" s="6"/>
      <c r="AI282" s="6"/>
      <c r="AJ282" s="33">
        <f>TABL1234[[#This Row],[(A/B TOT) AJD]]-TABL1234[[#This Row],[BER_ IN]]</f>
        <v>0</v>
      </c>
      <c r="AK282" s="6"/>
      <c r="AL282" s="6"/>
      <c r="AM282" s="32"/>
      <c r="AN282" s="32">
        <f>TABL1234[[#This Row],[ (RESV. STORGE) SER]]/10</f>
        <v>0</v>
      </c>
      <c r="AO282" s="68"/>
      <c r="AP282" s="68">
        <f>TABL1234[[#This Row],[(A/S TOT) AJD]]-TABL1234[[#This Row],[SER_ IN]]</f>
        <v>0</v>
      </c>
    </row>
    <row r="283" spans="1:42" ht="18.75" x14ac:dyDescent="0.25">
      <c r="A283" s="2">
        <v>46669</v>
      </c>
      <c r="B283" s="28"/>
      <c r="C283" s="28"/>
      <c r="D283" s="35"/>
      <c r="E283" s="28"/>
      <c r="F283" s="28"/>
      <c r="G283" s="28"/>
      <c r="H283" s="28">
        <f t="shared" si="8"/>
        <v>103</v>
      </c>
      <c r="I283" s="28"/>
      <c r="J283" s="28"/>
      <c r="K283" s="28">
        <f>TABL1234[[#This Row],[خط (T/B  TOT) SAR]]+TABL1234[[#This Row],[خط (S/S  TOT) SAR2]]</f>
        <v>0</v>
      </c>
      <c r="L283" s="28"/>
      <c r="M283" s="29"/>
      <c r="N283" s="30"/>
      <c r="O283" s="14"/>
      <c r="P283" s="9">
        <f>TABL1234[[#This Row],[خط (S/S  TOT) SAR2]]-TABL1234[[#This Row],[(S/S TOT) AJD]]</f>
        <v>0</v>
      </c>
      <c r="Q283" s="14"/>
      <c r="R283" s="9">
        <f>TABL1234[[#This Row],[خط (T/B  TOT) SAR]]-TABL1234[[#This Row],[(T/B TOT) AJD]]</f>
        <v>0</v>
      </c>
      <c r="S283" s="9">
        <f>TABL1234[[#This Row],[الفرق بين بداية ونهاية خط  T/B]]+TABL1234[[#This Row],[الفرق بين بداية ونهاية خط  S/S]]</f>
        <v>0</v>
      </c>
      <c r="T283" s="9">
        <f>TABL1234[[#This Row],[(S/S TOT) AJD]]+TABL1234[[#This Row],[(T/B TOT) AJD]]</f>
        <v>0</v>
      </c>
      <c r="U283" s="14"/>
      <c r="V283" s="14"/>
      <c r="W283" s="9">
        <f>TABL1234[[#This Row],[(A/B TOT) AJD]]+TABL1234[[#This Row],[(A/S TOT) AJD]]</f>
        <v>0</v>
      </c>
      <c r="X283" s="9">
        <f>TABL1234[[#This Row],[( S/S+T/B) AJD]]-TABL1234[[#This Row],[(A/B + A/S) AJD]]</f>
        <v>0</v>
      </c>
      <c r="Y283" s="18"/>
      <c r="Z283" s="9"/>
      <c r="AA283" s="3">
        <f>TABL1234[[#This Row],[(RESV. STORGE) AJD]]/10</f>
        <v>0</v>
      </c>
      <c r="AB283" s="3">
        <f t="shared" si="9"/>
        <v>0</v>
      </c>
      <c r="AC283" s="5"/>
      <c r="AD283" s="6">
        <f>TABL1234[[#This Row],[( S/S+T/B) AJD]]-(TABL1234[[#This Row],[(A/B + A/S) AJD]]+(TABL1234[[#This Row],[(STORGE DIFF.) AJD]]*1000)+TABL1234[[#This Row],[البخر  AJD]])</f>
        <v>0</v>
      </c>
      <c r="AE283" s="33"/>
      <c r="AF283" s="6"/>
      <c r="AG283" s="6"/>
      <c r="AH283" s="6"/>
      <c r="AI283" s="6"/>
      <c r="AJ283" s="33">
        <f>TABL1234[[#This Row],[(A/B TOT) AJD]]-TABL1234[[#This Row],[BER_ IN]]</f>
        <v>0</v>
      </c>
      <c r="AK283" s="6"/>
      <c r="AL283" s="6"/>
      <c r="AM283" s="32"/>
      <c r="AN283" s="32">
        <f>TABL1234[[#This Row],[ (RESV. STORGE) SER]]/10</f>
        <v>0</v>
      </c>
      <c r="AO283" s="68"/>
      <c r="AP283" s="68">
        <f>TABL1234[[#This Row],[(A/S TOT) AJD]]-TABL1234[[#This Row],[SER_ IN]]</f>
        <v>0</v>
      </c>
    </row>
    <row r="284" spans="1:42" ht="18.75" x14ac:dyDescent="0.25">
      <c r="A284" s="2">
        <v>46670</v>
      </c>
      <c r="B284" s="28"/>
      <c r="C284" s="28"/>
      <c r="D284" s="35"/>
      <c r="E284" s="28"/>
      <c r="F284" s="28"/>
      <c r="G284" s="28"/>
      <c r="H284" s="28">
        <f t="shared" si="8"/>
        <v>103</v>
      </c>
      <c r="I284" s="28"/>
      <c r="J284" s="28"/>
      <c r="K284" s="28">
        <f>TABL1234[[#This Row],[خط (T/B  TOT) SAR]]+TABL1234[[#This Row],[خط (S/S  TOT) SAR2]]</f>
        <v>0</v>
      </c>
      <c r="L284" s="28"/>
      <c r="M284" s="29"/>
      <c r="N284" s="30"/>
      <c r="O284" s="14"/>
      <c r="P284" s="9">
        <f>TABL1234[[#This Row],[خط (S/S  TOT) SAR2]]-TABL1234[[#This Row],[(S/S TOT) AJD]]</f>
        <v>0</v>
      </c>
      <c r="Q284" s="14"/>
      <c r="R284" s="9">
        <f>TABL1234[[#This Row],[خط (T/B  TOT) SAR]]-TABL1234[[#This Row],[(T/B TOT) AJD]]</f>
        <v>0</v>
      </c>
      <c r="S284" s="9">
        <f>TABL1234[[#This Row],[الفرق بين بداية ونهاية خط  T/B]]+TABL1234[[#This Row],[الفرق بين بداية ونهاية خط  S/S]]</f>
        <v>0</v>
      </c>
      <c r="T284" s="9">
        <f>TABL1234[[#This Row],[(S/S TOT) AJD]]+TABL1234[[#This Row],[(T/B TOT) AJD]]</f>
        <v>0</v>
      </c>
      <c r="U284" s="14"/>
      <c r="V284" s="14"/>
      <c r="W284" s="9">
        <f>TABL1234[[#This Row],[(A/B TOT) AJD]]+TABL1234[[#This Row],[(A/S TOT) AJD]]</f>
        <v>0</v>
      </c>
      <c r="X284" s="9">
        <f>TABL1234[[#This Row],[( S/S+T/B) AJD]]-TABL1234[[#This Row],[(A/B + A/S) AJD]]</f>
        <v>0</v>
      </c>
      <c r="Y284" s="18"/>
      <c r="Z284" s="9"/>
      <c r="AA284" s="3">
        <f>TABL1234[[#This Row],[(RESV. STORGE) AJD]]/10</f>
        <v>0</v>
      </c>
      <c r="AB284" s="3">
        <f t="shared" si="9"/>
        <v>0</v>
      </c>
      <c r="AC284" s="5"/>
      <c r="AD284" s="6">
        <f>TABL1234[[#This Row],[( S/S+T/B) AJD]]-(TABL1234[[#This Row],[(A/B + A/S) AJD]]+(TABL1234[[#This Row],[(STORGE DIFF.) AJD]]*1000)+TABL1234[[#This Row],[البخر  AJD]])</f>
        <v>0</v>
      </c>
      <c r="AE284" s="33"/>
      <c r="AF284" s="6"/>
      <c r="AG284" s="6"/>
      <c r="AH284" s="6"/>
      <c r="AI284" s="6"/>
      <c r="AJ284" s="33">
        <f>TABL1234[[#This Row],[(A/B TOT) AJD]]-TABL1234[[#This Row],[BER_ IN]]</f>
        <v>0</v>
      </c>
      <c r="AK284" s="6"/>
      <c r="AL284" s="6"/>
      <c r="AM284" s="32"/>
      <c r="AN284" s="32">
        <f>TABL1234[[#This Row],[ (RESV. STORGE) SER]]/10</f>
        <v>0</v>
      </c>
      <c r="AO284" s="68"/>
      <c r="AP284" s="68">
        <f>TABL1234[[#This Row],[(A/S TOT) AJD]]-TABL1234[[#This Row],[SER_ IN]]</f>
        <v>0</v>
      </c>
    </row>
    <row r="285" spans="1:42" ht="18.75" x14ac:dyDescent="0.25">
      <c r="A285" s="2">
        <v>46671</v>
      </c>
      <c r="B285" s="28"/>
      <c r="C285" s="28"/>
      <c r="D285" s="35"/>
      <c r="E285" s="28"/>
      <c r="F285" s="28"/>
      <c r="G285" s="28"/>
      <c r="H285" s="28">
        <f t="shared" si="8"/>
        <v>103</v>
      </c>
      <c r="I285" s="28"/>
      <c r="J285" s="28"/>
      <c r="K285" s="28">
        <f>TABL1234[[#This Row],[خط (T/B  TOT) SAR]]+TABL1234[[#This Row],[خط (S/S  TOT) SAR2]]</f>
        <v>0</v>
      </c>
      <c r="L285" s="28"/>
      <c r="M285" s="29"/>
      <c r="N285" s="30"/>
      <c r="O285" s="14"/>
      <c r="P285" s="9">
        <f>TABL1234[[#This Row],[خط (S/S  TOT) SAR2]]-TABL1234[[#This Row],[(S/S TOT) AJD]]</f>
        <v>0</v>
      </c>
      <c r="Q285" s="14"/>
      <c r="R285" s="9">
        <f>TABL1234[[#This Row],[خط (T/B  TOT) SAR]]-TABL1234[[#This Row],[(T/B TOT) AJD]]</f>
        <v>0</v>
      </c>
      <c r="S285" s="9">
        <f>TABL1234[[#This Row],[الفرق بين بداية ونهاية خط  T/B]]+TABL1234[[#This Row],[الفرق بين بداية ونهاية خط  S/S]]</f>
        <v>0</v>
      </c>
      <c r="T285" s="9">
        <f>TABL1234[[#This Row],[(S/S TOT) AJD]]+TABL1234[[#This Row],[(T/B TOT) AJD]]</f>
        <v>0</v>
      </c>
      <c r="U285" s="14"/>
      <c r="V285" s="14"/>
      <c r="W285" s="9">
        <f>TABL1234[[#This Row],[(A/B TOT) AJD]]+TABL1234[[#This Row],[(A/S TOT) AJD]]</f>
        <v>0</v>
      </c>
      <c r="X285" s="9">
        <f>TABL1234[[#This Row],[( S/S+T/B) AJD]]-TABL1234[[#This Row],[(A/B + A/S) AJD]]</f>
        <v>0</v>
      </c>
      <c r="Y285" s="18"/>
      <c r="Z285" s="9"/>
      <c r="AA285" s="3">
        <f>TABL1234[[#This Row],[(RESV. STORGE) AJD]]/10</f>
        <v>0</v>
      </c>
      <c r="AB285" s="3">
        <f t="shared" si="9"/>
        <v>0</v>
      </c>
      <c r="AC285" s="5"/>
      <c r="AD285" s="6">
        <f>TABL1234[[#This Row],[( S/S+T/B) AJD]]-(TABL1234[[#This Row],[(A/B + A/S) AJD]]+(TABL1234[[#This Row],[(STORGE DIFF.) AJD]]*1000)+TABL1234[[#This Row],[البخر  AJD]])</f>
        <v>0</v>
      </c>
      <c r="AE285" s="33"/>
      <c r="AF285" s="6"/>
      <c r="AG285" s="6"/>
      <c r="AH285" s="6"/>
      <c r="AI285" s="6"/>
      <c r="AJ285" s="33">
        <f>TABL1234[[#This Row],[(A/B TOT) AJD]]-TABL1234[[#This Row],[BER_ IN]]</f>
        <v>0</v>
      </c>
      <c r="AK285" s="6"/>
      <c r="AL285" s="6"/>
      <c r="AM285" s="32"/>
      <c r="AN285" s="32">
        <f>TABL1234[[#This Row],[ (RESV. STORGE) SER]]/10</f>
        <v>0</v>
      </c>
      <c r="AO285" s="68"/>
      <c r="AP285" s="68">
        <f>TABL1234[[#This Row],[(A/S TOT) AJD]]-TABL1234[[#This Row],[SER_ IN]]</f>
        <v>0</v>
      </c>
    </row>
    <row r="286" spans="1:42" ht="18.75" x14ac:dyDescent="0.25">
      <c r="A286" s="2">
        <v>46672</v>
      </c>
      <c r="B286" s="28"/>
      <c r="C286" s="28"/>
      <c r="D286" s="35"/>
      <c r="E286" s="28"/>
      <c r="F286" s="28"/>
      <c r="G286" s="28"/>
      <c r="H286" s="28">
        <f t="shared" si="8"/>
        <v>103</v>
      </c>
      <c r="I286" s="28"/>
      <c r="J286" s="28"/>
      <c r="K286" s="28">
        <f>TABL1234[[#This Row],[خط (T/B  TOT) SAR]]+TABL1234[[#This Row],[خط (S/S  TOT) SAR2]]</f>
        <v>0</v>
      </c>
      <c r="L286" s="28"/>
      <c r="M286" s="29"/>
      <c r="N286" s="30"/>
      <c r="O286" s="14"/>
      <c r="P286" s="9">
        <f>TABL1234[[#This Row],[خط (S/S  TOT) SAR2]]-TABL1234[[#This Row],[(S/S TOT) AJD]]</f>
        <v>0</v>
      </c>
      <c r="Q286" s="14"/>
      <c r="R286" s="9">
        <f>TABL1234[[#This Row],[خط (T/B  TOT) SAR]]-TABL1234[[#This Row],[(T/B TOT) AJD]]</f>
        <v>0</v>
      </c>
      <c r="S286" s="9">
        <f>TABL1234[[#This Row],[الفرق بين بداية ونهاية خط  T/B]]+TABL1234[[#This Row],[الفرق بين بداية ونهاية خط  S/S]]</f>
        <v>0</v>
      </c>
      <c r="T286" s="9">
        <f>TABL1234[[#This Row],[(S/S TOT) AJD]]+TABL1234[[#This Row],[(T/B TOT) AJD]]</f>
        <v>0</v>
      </c>
      <c r="U286" s="14"/>
      <c r="V286" s="14"/>
      <c r="W286" s="9">
        <f>TABL1234[[#This Row],[(A/B TOT) AJD]]+TABL1234[[#This Row],[(A/S TOT) AJD]]</f>
        <v>0</v>
      </c>
      <c r="X286" s="9">
        <f>TABL1234[[#This Row],[( S/S+T/B) AJD]]-TABL1234[[#This Row],[(A/B + A/S) AJD]]</f>
        <v>0</v>
      </c>
      <c r="Y286" s="18"/>
      <c r="Z286" s="9"/>
      <c r="AA286" s="3">
        <f>TABL1234[[#This Row],[(RESV. STORGE) AJD]]/10</f>
        <v>0</v>
      </c>
      <c r="AB286" s="3">
        <f t="shared" si="9"/>
        <v>0</v>
      </c>
      <c r="AC286" s="5"/>
      <c r="AD286" s="6">
        <f>TABL1234[[#This Row],[( S/S+T/B) AJD]]-(TABL1234[[#This Row],[(A/B + A/S) AJD]]+(TABL1234[[#This Row],[(STORGE DIFF.) AJD]]*1000)+TABL1234[[#This Row],[البخر  AJD]])</f>
        <v>0</v>
      </c>
      <c r="AE286" s="33"/>
      <c r="AF286" s="6"/>
      <c r="AG286" s="6"/>
      <c r="AH286" s="6"/>
      <c r="AI286" s="6"/>
      <c r="AJ286" s="33">
        <f>TABL1234[[#This Row],[(A/B TOT) AJD]]-TABL1234[[#This Row],[BER_ IN]]</f>
        <v>0</v>
      </c>
      <c r="AK286" s="6"/>
      <c r="AL286" s="6"/>
      <c r="AM286" s="32"/>
      <c r="AN286" s="32">
        <f>TABL1234[[#This Row],[ (RESV. STORGE) SER]]/10</f>
        <v>0</v>
      </c>
      <c r="AO286" s="68"/>
      <c r="AP286" s="68">
        <f>TABL1234[[#This Row],[(A/S TOT) AJD]]-TABL1234[[#This Row],[SER_ IN]]</f>
        <v>0</v>
      </c>
    </row>
    <row r="287" spans="1:42" ht="18.75" x14ac:dyDescent="0.25">
      <c r="A287" s="2">
        <v>46673</v>
      </c>
      <c r="B287" s="28"/>
      <c r="C287" s="28"/>
      <c r="D287" s="35"/>
      <c r="E287" s="28"/>
      <c r="F287" s="28"/>
      <c r="G287" s="28"/>
      <c r="H287" s="28">
        <f t="shared" si="8"/>
        <v>103</v>
      </c>
      <c r="I287" s="28"/>
      <c r="J287" s="28"/>
      <c r="K287" s="28">
        <f>TABL1234[[#This Row],[خط (T/B  TOT) SAR]]+TABL1234[[#This Row],[خط (S/S  TOT) SAR2]]</f>
        <v>0</v>
      </c>
      <c r="L287" s="28"/>
      <c r="M287" s="29"/>
      <c r="N287" s="30"/>
      <c r="O287" s="14"/>
      <c r="P287" s="9">
        <f>TABL1234[[#This Row],[خط (S/S  TOT) SAR2]]-TABL1234[[#This Row],[(S/S TOT) AJD]]</f>
        <v>0</v>
      </c>
      <c r="Q287" s="14"/>
      <c r="R287" s="9">
        <f>TABL1234[[#This Row],[خط (T/B  TOT) SAR]]-TABL1234[[#This Row],[(T/B TOT) AJD]]</f>
        <v>0</v>
      </c>
      <c r="S287" s="9">
        <f>TABL1234[[#This Row],[الفرق بين بداية ونهاية خط  T/B]]+TABL1234[[#This Row],[الفرق بين بداية ونهاية خط  S/S]]</f>
        <v>0</v>
      </c>
      <c r="T287" s="9">
        <f>TABL1234[[#This Row],[(S/S TOT) AJD]]+TABL1234[[#This Row],[(T/B TOT) AJD]]</f>
        <v>0</v>
      </c>
      <c r="U287" s="14"/>
      <c r="V287" s="14"/>
      <c r="W287" s="9">
        <f>TABL1234[[#This Row],[(A/B TOT) AJD]]+TABL1234[[#This Row],[(A/S TOT) AJD]]</f>
        <v>0</v>
      </c>
      <c r="X287" s="9">
        <f>TABL1234[[#This Row],[( S/S+T/B) AJD]]-TABL1234[[#This Row],[(A/B + A/S) AJD]]</f>
        <v>0</v>
      </c>
      <c r="Y287" s="18"/>
      <c r="Z287" s="9"/>
      <c r="AA287" s="3">
        <f>TABL1234[[#This Row],[(RESV. STORGE) AJD]]/10</f>
        <v>0</v>
      </c>
      <c r="AB287" s="3">
        <f t="shared" si="9"/>
        <v>0</v>
      </c>
      <c r="AC287" s="5"/>
      <c r="AD287" s="6">
        <f>TABL1234[[#This Row],[( S/S+T/B) AJD]]-(TABL1234[[#This Row],[(A/B + A/S) AJD]]+(TABL1234[[#This Row],[(STORGE DIFF.) AJD]]*1000)+TABL1234[[#This Row],[البخر  AJD]])</f>
        <v>0</v>
      </c>
      <c r="AE287" s="33"/>
      <c r="AF287" s="6"/>
      <c r="AG287" s="6"/>
      <c r="AH287" s="6"/>
      <c r="AI287" s="6"/>
      <c r="AJ287" s="33">
        <f>TABL1234[[#This Row],[(A/B TOT) AJD]]-TABL1234[[#This Row],[BER_ IN]]</f>
        <v>0</v>
      </c>
      <c r="AK287" s="6"/>
      <c r="AL287" s="6"/>
      <c r="AM287" s="32"/>
      <c r="AN287" s="32">
        <f>TABL1234[[#This Row],[ (RESV. STORGE) SER]]/10</f>
        <v>0</v>
      </c>
      <c r="AO287" s="68"/>
      <c r="AP287" s="68">
        <f>TABL1234[[#This Row],[(A/S TOT) AJD]]-TABL1234[[#This Row],[SER_ IN]]</f>
        <v>0</v>
      </c>
    </row>
    <row r="288" spans="1:42" ht="18.75" x14ac:dyDescent="0.25">
      <c r="A288" s="2">
        <v>46674</v>
      </c>
      <c r="B288" s="28"/>
      <c r="C288" s="28"/>
      <c r="D288" s="35"/>
      <c r="E288" s="28"/>
      <c r="F288" s="28"/>
      <c r="G288" s="28"/>
      <c r="H288" s="28">
        <f t="shared" si="8"/>
        <v>103</v>
      </c>
      <c r="I288" s="28"/>
      <c r="J288" s="28"/>
      <c r="K288" s="28">
        <f>TABL1234[[#This Row],[خط (T/B  TOT) SAR]]+TABL1234[[#This Row],[خط (S/S  TOT) SAR2]]</f>
        <v>0</v>
      </c>
      <c r="L288" s="28"/>
      <c r="M288" s="29"/>
      <c r="N288" s="30"/>
      <c r="O288" s="14"/>
      <c r="P288" s="9">
        <f>TABL1234[[#This Row],[خط (S/S  TOT) SAR2]]-TABL1234[[#This Row],[(S/S TOT) AJD]]</f>
        <v>0</v>
      </c>
      <c r="Q288" s="14"/>
      <c r="R288" s="9">
        <f>TABL1234[[#This Row],[خط (T/B  TOT) SAR]]-TABL1234[[#This Row],[(T/B TOT) AJD]]</f>
        <v>0</v>
      </c>
      <c r="S288" s="9">
        <f>TABL1234[[#This Row],[الفرق بين بداية ونهاية خط  T/B]]+TABL1234[[#This Row],[الفرق بين بداية ونهاية خط  S/S]]</f>
        <v>0</v>
      </c>
      <c r="T288" s="9">
        <f>TABL1234[[#This Row],[(S/S TOT) AJD]]+TABL1234[[#This Row],[(T/B TOT) AJD]]</f>
        <v>0</v>
      </c>
      <c r="U288" s="14"/>
      <c r="V288" s="14"/>
      <c r="W288" s="9">
        <f>TABL1234[[#This Row],[(A/B TOT) AJD]]+TABL1234[[#This Row],[(A/S TOT) AJD]]</f>
        <v>0</v>
      </c>
      <c r="X288" s="9">
        <f>TABL1234[[#This Row],[( S/S+T/B) AJD]]-TABL1234[[#This Row],[(A/B + A/S) AJD]]</f>
        <v>0</v>
      </c>
      <c r="Y288" s="18"/>
      <c r="Z288" s="9"/>
      <c r="AA288" s="3">
        <f>TABL1234[[#This Row],[(RESV. STORGE) AJD]]/10</f>
        <v>0</v>
      </c>
      <c r="AB288" s="3">
        <f t="shared" si="9"/>
        <v>0</v>
      </c>
      <c r="AC288" s="5"/>
      <c r="AD288" s="6">
        <f>TABL1234[[#This Row],[( S/S+T/B) AJD]]-(TABL1234[[#This Row],[(A/B + A/S) AJD]]+(TABL1234[[#This Row],[(STORGE DIFF.) AJD]]*1000)+TABL1234[[#This Row],[البخر  AJD]])</f>
        <v>0</v>
      </c>
      <c r="AE288" s="33"/>
      <c r="AF288" s="6"/>
      <c r="AG288" s="6"/>
      <c r="AH288" s="6"/>
      <c r="AI288" s="6"/>
      <c r="AJ288" s="33">
        <f>TABL1234[[#This Row],[(A/B TOT) AJD]]-TABL1234[[#This Row],[BER_ IN]]</f>
        <v>0</v>
      </c>
      <c r="AK288" s="6"/>
      <c r="AL288" s="6"/>
      <c r="AM288" s="32"/>
      <c r="AN288" s="32">
        <f>TABL1234[[#This Row],[ (RESV. STORGE) SER]]/10</f>
        <v>0</v>
      </c>
      <c r="AO288" s="68"/>
      <c r="AP288" s="68">
        <f>TABL1234[[#This Row],[(A/S TOT) AJD]]-TABL1234[[#This Row],[SER_ IN]]</f>
        <v>0</v>
      </c>
    </row>
    <row r="289" spans="1:42" ht="18.75" x14ac:dyDescent="0.25">
      <c r="A289" s="2">
        <v>46675</v>
      </c>
      <c r="B289" s="28"/>
      <c r="C289" s="28"/>
      <c r="D289" s="35"/>
      <c r="E289" s="28"/>
      <c r="F289" s="28"/>
      <c r="G289" s="28"/>
      <c r="H289" s="28">
        <f t="shared" si="8"/>
        <v>103</v>
      </c>
      <c r="I289" s="28"/>
      <c r="J289" s="28"/>
      <c r="K289" s="28">
        <f>TABL1234[[#This Row],[خط (T/B  TOT) SAR]]+TABL1234[[#This Row],[خط (S/S  TOT) SAR2]]</f>
        <v>0</v>
      </c>
      <c r="L289" s="28"/>
      <c r="M289" s="29"/>
      <c r="N289" s="30"/>
      <c r="O289" s="14"/>
      <c r="P289" s="9">
        <f>TABL1234[[#This Row],[خط (S/S  TOT) SAR2]]-TABL1234[[#This Row],[(S/S TOT) AJD]]</f>
        <v>0</v>
      </c>
      <c r="Q289" s="14"/>
      <c r="R289" s="9">
        <f>TABL1234[[#This Row],[خط (T/B  TOT) SAR]]-TABL1234[[#This Row],[(T/B TOT) AJD]]</f>
        <v>0</v>
      </c>
      <c r="S289" s="9">
        <f>TABL1234[[#This Row],[الفرق بين بداية ونهاية خط  T/B]]+TABL1234[[#This Row],[الفرق بين بداية ونهاية خط  S/S]]</f>
        <v>0</v>
      </c>
      <c r="T289" s="9">
        <f>TABL1234[[#This Row],[(S/S TOT) AJD]]+TABL1234[[#This Row],[(T/B TOT) AJD]]</f>
        <v>0</v>
      </c>
      <c r="U289" s="14"/>
      <c r="V289" s="14"/>
      <c r="W289" s="9">
        <f>TABL1234[[#This Row],[(A/B TOT) AJD]]+TABL1234[[#This Row],[(A/S TOT) AJD]]</f>
        <v>0</v>
      </c>
      <c r="X289" s="9">
        <f>TABL1234[[#This Row],[( S/S+T/B) AJD]]-TABL1234[[#This Row],[(A/B + A/S) AJD]]</f>
        <v>0</v>
      </c>
      <c r="Y289" s="18"/>
      <c r="Z289" s="9"/>
      <c r="AA289" s="3">
        <f>TABL1234[[#This Row],[(RESV. STORGE) AJD]]/10</f>
        <v>0</v>
      </c>
      <c r="AB289" s="3">
        <f t="shared" si="9"/>
        <v>0</v>
      </c>
      <c r="AC289" s="5"/>
      <c r="AD289" s="6">
        <f>TABL1234[[#This Row],[( S/S+T/B) AJD]]-(TABL1234[[#This Row],[(A/B + A/S) AJD]]+(TABL1234[[#This Row],[(STORGE DIFF.) AJD]]*1000)+TABL1234[[#This Row],[البخر  AJD]])</f>
        <v>0</v>
      </c>
      <c r="AE289" s="33"/>
      <c r="AF289" s="6"/>
      <c r="AG289" s="6"/>
      <c r="AH289" s="6"/>
      <c r="AI289" s="6"/>
      <c r="AJ289" s="33">
        <f>TABL1234[[#This Row],[(A/B TOT) AJD]]-TABL1234[[#This Row],[BER_ IN]]</f>
        <v>0</v>
      </c>
      <c r="AK289" s="6"/>
      <c r="AL289" s="6"/>
      <c r="AM289" s="32"/>
      <c r="AN289" s="32">
        <f>TABL1234[[#This Row],[ (RESV. STORGE) SER]]/10</f>
        <v>0</v>
      </c>
      <c r="AO289" s="68"/>
      <c r="AP289" s="68">
        <f>TABL1234[[#This Row],[(A/S TOT) AJD]]-TABL1234[[#This Row],[SER_ IN]]</f>
        <v>0</v>
      </c>
    </row>
    <row r="290" spans="1:42" ht="18.75" x14ac:dyDescent="0.25">
      <c r="A290" s="2">
        <v>46676</v>
      </c>
      <c r="B290" s="28"/>
      <c r="C290" s="28"/>
      <c r="D290" s="35"/>
      <c r="E290" s="28"/>
      <c r="F290" s="28"/>
      <c r="G290" s="28"/>
      <c r="H290" s="28">
        <f t="shared" si="8"/>
        <v>103</v>
      </c>
      <c r="I290" s="28"/>
      <c r="J290" s="28"/>
      <c r="K290" s="28">
        <f>TABL1234[[#This Row],[خط (T/B  TOT) SAR]]+TABL1234[[#This Row],[خط (S/S  TOT) SAR2]]</f>
        <v>0</v>
      </c>
      <c r="L290" s="28"/>
      <c r="M290" s="29"/>
      <c r="N290" s="30"/>
      <c r="O290" s="14"/>
      <c r="P290" s="9">
        <f>TABL1234[[#This Row],[خط (S/S  TOT) SAR2]]-TABL1234[[#This Row],[(S/S TOT) AJD]]</f>
        <v>0</v>
      </c>
      <c r="Q290" s="14"/>
      <c r="R290" s="9">
        <f>TABL1234[[#This Row],[خط (T/B  TOT) SAR]]-TABL1234[[#This Row],[(T/B TOT) AJD]]</f>
        <v>0</v>
      </c>
      <c r="S290" s="9">
        <f>TABL1234[[#This Row],[الفرق بين بداية ونهاية خط  T/B]]+TABL1234[[#This Row],[الفرق بين بداية ونهاية خط  S/S]]</f>
        <v>0</v>
      </c>
      <c r="T290" s="9">
        <f>TABL1234[[#This Row],[(S/S TOT) AJD]]+TABL1234[[#This Row],[(T/B TOT) AJD]]</f>
        <v>0</v>
      </c>
      <c r="U290" s="14"/>
      <c r="V290" s="14"/>
      <c r="W290" s="9">
        <f>TABL1234[[#This Row],[(A/B TOT) AJD]]+TABL1234[[#This Row],[(A/S TOT) AJD]]</f>
        <v>0</v>
      </c>
      <c r="X290" s="9">
        <f>TABL1234[[#This Row],[( S/S+T/B) AJD]]-TABL1234[[#This Row],[(A/B + A/S) AJD]]</f>
        <v>0</v>
      </c>
      <c r="Y290" s="18"/>
      <c r="Z290" s="9"/>
      <c r="AA290" s="3">
        <f>TABL1234[[#This Row],[(RESV. STORGE) AJD]]/10</f>
        <v>0</v>
      </c>
      <c r="AB290" s="3">
        <f t="shared" si="9"/>
        <v>0</v>
      </c>
      <c r="AC290" s="5"/>
      <c r="AD290" s="6">
        <f>TABL1234[[#This Row],[( S/S+T/B) AJD]]-(TABL1234[[#This Row],[(A/B + A/S) AJD]]+(TABL1234[[#This Row],[(STORGE DIFF.) AJD]]*1000)+TABL1234[[#This Row],[البخر  AJD]])</f>
        <v>0</v>
      </c>
      <c r="AE290" s="33"/>
      <c r="AF290" s="6"/>
      <c r="AG290" s="6"/>
      <c r="AH290" s="6"/>
      <c r="AI290" s="6"/>
      <c r="AJ290" s="33">
        <f>TABL1234[[#This Row],[(A/B TOT) AJD]]-TABL1234[[#This Row],[BER_ IN]]</f>
        <v>0</v>
      </c>
      <c r="AK290" s="6"/>
      <c r="AL290" s="6"/>
      <c r="AM290" s="32"/>
      <c r="AN290" s="32">
        <f>TABL1234[[#This Row],[ (RESV. STORGE) SER]]/10</f>
        <v>0</v>
      </c>
      <c r="AO290" s="68"/>
      <c r="AP290" s="68">
        <f>TABL1234[[#This Row],[(A/S TOT) AJD]]-TABL1234[[#This Row],[SER_ IN]]</f>
        <v>0</v>
      </c>
    </row>
    <row r="291" spans="1:42" ht="18.75" x14ac:dyDescent="0.25">
      <c r="A291" s="2">
        <v>46677</v>
      </c>
      <c r="B291" s="28"/>
      <c r="C291" s="28"/>
      <c r="D291" s="28"/>
      <c r="E291" s="28"/>
      <c r="F291" s="28"/>
      <c r="G291" s="28"/>
      <c r="H291" s="28">
        <f t="shared" si="8"/>
        <v>103</v>
      </c>
      <c r="I291" s="28"/>
      <c r="J291" s="28"/>
      <c r="K291" s="28">
        <f>TABL1234[[#This Row],[خط (T/B  TOT) SAR]]+TABL1234[[#This Row],[خط (S/S  TOT) SAR2]]</f>
        <v>0</v>
      </c>
      <c r="L291" s="28"/>
      <c r="M291" s="29"/>
      <c r="N291" s="30"/>
      <c r="O291" s="14"/>
      <c r="P291" s="9">
        <f>TABL1234[[#This Row],[خط (S/S  TOT) SAR2]]-TABL1234[[#This Row],[(S/S TOT) AJD]]</f>
        <v>0</v>
      </c>
      <c r="Q291" s="14"/>
      <c r="R291" s="9">
        <f>TABL1234[[#This Row],[خط (T/B  TOT) SAR]]-TABL1234[[#This Row],[(T/B TOT) AJD]]</f>
        <v>0</v>
      </c>
      <c r="S291" s="9">
        <f>TABL1234[[#This Row],[الفرق بين بداية ونهاية خط  T/B]]+TABL1234[[#This Row],[الفرق بين بداية ونهاية خط  S/S]]</f>
        <v>0</v>
      </c>
      <c r="T291" s="9">
        <f>TABL1234[[#This Row],[(S/S TOT) AJD]]+TABL1234[[#This Row],[(T/B TOT) AJD]]</f>
        <v>0</v>
      </c>
      <c r="U291" s="14"/>
      <c r="V291" s="14"/>
      <c r="W291" s="9">
        <f>TABL1234[[#This Row],[(A/B TOT) AJD]]+TABL1234[[#This Row],[(A/S TOT) AJD]]</f>
        <v>0</v>
      </c>
      <c r="X291" s="9">
        <f>TABL1234[[#This Row],[( S/S+T/B) AJD]]-TABL1234[[#This Row],[(A/B + A/S) AJD]]</f>
        <v>0</v>
      </c>
      <c r="Y291" s="18"/>
      <c r="Z291" s="9"/>
      <c r="AA291" s="3">
        <f>TABL1234[[#This Row],[(RESV. STORGE) AJD]]/10</f>
        <v>0</v>
      </c>
      <c r="AB291" s="3">
        <f t="shared" si="9"/>
        <v>0</v>
      </c>
      <c r="AC291" s="5"/>
      <c r="AD291" s="6">
        <f>TABL1234[[#This Row],[( S/S+T/B) AJD]]-(TABL1234[[#This Row],[(A/B + A/S) AJD]]+(TABL1234[[#This Row],[(STORGE DIFF.) AJD]]*1000)+TABL1234[[#This Row],[البخر  AJD]])</f>
        <v>0</v>
      </c>
      <c r="AE291" s="33"/>
      <c r="AF291" s="6"/>
      <c r="AG291" s="6"/>
      <c r="AH291" s="6"/>
      <c r="AI291" s="6"/>
      <c r="AJ291" s="33">
        <f>TABL1234[[#This Row],[(A/B TOT) AJD]]-TABL1234[[#This Row],[BER_ IN]]</f>
        <v>0</v>
      </c>
      <c r="AK291" s="6"/>
      <c r="AL291" s="6"/>
      <c r="AM291" s="32"/>
      <c r="AN291" s="32">
        <f>TABL1234[[#This Row],[ (RESV. STORGE) SER]]/10</f>
        <v>0</v>
      </c>
      <c r="AO291" s="68"/>
      <c r="AP291" s="68">
        <f>TABL1234[[#This Row],[(A/S TOT) AJD]]-TABL1234[[#This Row],[SER_ IN]]</f>
        <v>0</v>
      </c>
    </row>
    <row r="292" spans="1:42" ht="18.75" x14ac:dyDescent="0.25">
      <c r="A292" s="2">
        <v>46678</v>
      </c>
      <c r="B292" s="28"/>
      <c r="C292" s="28"/>
      <c r="D292" s="28"/>
      <c r="E292" s="28"/>
      <c r="F292" s="28"/>
      <c r="G292" s="28"/>
      <c r="H292" s="28">
        <f t="shared" si="8"/>
        <v>103</v>
      </c>
      <c r="I292" s="28"/>
      <c r="J292" s="28"/>
      <c r="K292" s="28">
        <f>TABL1234[[#This Row],[خط (T/B  TOT) SAR]]+TABL1234[[#This Row],[خط (S/S  TOT) SAR2]]</f>
        <v>0</v>
      </c>
      <c r="L292" s="28"/>
      <c r="M292" s="29"/>
      <c r="N292" s="30"/>
      <c r="O292" s="9"/>
      <c r="P292" s="9">
        <f>TABL1234[[#This Row],[خط (S/S  TOT) SAR2]]-TABL1234[[#This Row],[(S/S TOT) AJD]]</f>
        <v>0</v>
      </c>
      <c r="Q292" s="9"/>
      <c r="R292" s="9">
        <f>TABL1234[[#This Row],[خط (T/B  TOT) SAR]]-TABL1234[[#This Row],[(T/B TOT) AJD]]</f>
        <v>0</v>
      </c>
      <c r="S292" s="9">
        <f>TABL1234[[#This Row],[الفرق بين بداية ونهاية خط  T/B]]+TABL1234[[#This Row],[الفرق بين بداية ونهاية خط  S/S]]</f>
        <v>0</v>
      </c>
      <c r="T292" s="9">
        <f>TABL1234[[#This Row],[(S/S TOT) AJD]]+TABL1234[[#This Row],[(T/B TOT) AJD]]</f>
        <v>0</v>
      </c>
      <c r="U292" s="9"/>
      <c r="V292" s="9"/>
      <c r="W292" s="9">
        <f>TABL1234[[#This Row],[(A/B TOT) AJD]]+TABL1234[[#This Row],[(A/S TOT) AJD]]</f>
        <v>0</v>
      </c>
      <c r="X292" s="9">
        <f>TABL1234[[#This Row],[( S/S+T/B) AJD]]-TABL1234[[#This Row],[(A/B + A/S) AJD]]</f>
        <v>0</v>
      </c>
      <c r="Y292" s="18"/>
      <c r="Z292" s="9"/>
      <c r="AA292" s="3">
        <f>TABL1234[[#This Row],[(RESV. STORGE) AJD]]/10</f>
        <v>0</v>
      </c>
      <c r="AB292" s="3">
        <f t="shared" si="9"/>
        <v>0</v>
      </c>
      <c r="AC292" s="5"/>
      <c r="AD292" s="6">
        <f>TABL1234[[#This Row],[( S/S+T/B) AJD]]-(TABL1234[[#This Row],[(A/B + A/S) AJD]]+(TABL1234[[#This Row],[(STORGE DIFF.) AJD]]*1000)+TABL1234[[#This Row],[البخر  AJD]])</f>
        <v>0</v>
      </c>
      <c r="AE292" s="33"/>
      <c r="AF292" s="6"/>
      <c r="AG292" s="6"/>
      <c r="AH292" s="6"/>
      <c r="AI292" s="6"/>
      <c r="AJ292" s="33">
        <f>TABL1234[[#This Row],[(A/B TOT) AJD]]-TABL1234[[#This Row],[BER_ IN]]</f>
        <v>0</v>
      </c>
      <c r="AK292" s="6"/>
      <c r="AL292" s="6"/>
      <c r="AM292" s="32"/>
      <c r="AN292" s="32">
        <f>TABL1234[[#This Row],[ (RESV. STORGE) SER]]/10</f>
        <v>0</v>
      </c>
      <c r="AO292" s="68"/>
      <c r="AP292" s="68">
        <f>TABL1234[[#This Row],[(A/S TOT) AJD]]-TABL1234[[#This Row],[SER_ IN]]</f>
        <v>0</v>
      </c>
    </row>
    <row r="293" spans="1:42" ht="18.75" x14ac:dyDescent="0.25">
      <c r="A293" s="2">
        <v>46679</v>
      </c>
      <c r="B293" s="28"/>
      <c r="C293" s="28"/>
      <c r="D293" s="28"/>
      <c r="E293" s="28"/>
      <c r="F293" s="28"/>
      <c r="G293" s="28"/>
      <c r="H293" s="28">
        <f t="shared" si="8"/>
        <v>103</v>
      </c>
      <c r="I293" s="28"/>
      <c r="J293" s="28"/>
      <c r="K293" s="28">
        <f>TABL1234[[#This Row],[خط (T/B  TOT) SAR]]+TABL1234[[#This Row],[خط (S/S  TOT) SAR2]]</f>
        <v>0</v>
      </c>
      <c r="L293" s="28"/>
      <c r="M293" s="29"/>
      <c r="N293" s="30"/>
      <c r="O293" s="9"/>
      <c r="P293" s="9">
        <f>TABL1234[[#This Row],[خط (S/S  TOT) SAR2]]-TABL1234[[#This Row],[(S/S TOT) AJD]]</f>
        <v>0</v>
      </c>
      <c r="Q293" s="9"/>
      <c r="R293" s="9">
        <f>TABL1234[[#This Row],[خط (T/B  TOT) SAR]]-TABL1234[[#This Row],[(T/B TOT) AJD]]</f>
        <v>0</v>
      </c>
      <c r="S293" s="9">
        <f>TABL1234[[#This Row],[الفرق بين بداية ونهاية خط  T/B]]+TABL1234[[#This Row],[الفرق بين بداية ونهاية خط  S/S]]</f>
        <v>0</v>
      </c>
      <c r="T293" s="9">
        <f>TABL1234[[#This Row],[(S/S TOT) AJD]]+TABL1234[[#This Row],[(T/B TOT) AJD]]</f>
        <v>0</v>
      </c>
      <c r="U293" s="9"/>
      <c r="V293" s="9"/>
      <c r="W293" s="9">
        <f>TABL1234[[#This Row],[(A/B TOT) AJD]]+TABL1234[[#This Row],[(A/S TOT) AJD]]</f>
        <v>0</v>
      </c>
      <c r="X293" s="9">
        <f>TABL1234[[#This Row],[( S/S+T/B) AJD]]-TABL1234[[#This Row],[(A/B + A/S) AJD]]</f>
        <v>0</v>
      </c>
      <c r="Y293" s="18"/>
      <c r="Z293" s="9"/>
      <c r="AA293" s="3">
        <f>TABL1234[[#This Row],[(RESV. STORGE) AJD]]/10</f>
        <v>0</v>
      </c>
      <c r="AB293" s="3">
        <f t="shared" si="9"/>
        <v>0</v>
      </c>
      <c r="AC293" s="5"/>
      <c r="AD293" s="6">
        <f>TABL1234[[#This Row],[( S/S+T/B) AJD]]-(TABL1234[[#This Row],[(A/B + A/S) AJD]]+(TABL1234[[#This Row],[(STORGE DIFF.) AJD]]*1000)+TABL1234[[#This Row],[البخر  AJD]])</f>
        <v>0</v>
      </c>
      <c r="AE293" s="33"/>
      <c r="AF293" s="6"/>
      <c r="AG293" s="6"/>
      <c r="AH293" s="6"/>
      <c r="AI293" s="6"/>
      <c r="AJ293" s="33">
        <f>TABL1234[[#This Row],[(A/B TOT) AJD]]-TABL1234[[#This Row],[BER_ IN]]</f>
        <v>0</v>
      </c>
      <c r="AK293" s="6"/>
      <c r="AL293" s="6"/>
      <c r="AM293" s="32"/>
      <c r="AN293" s="32">
        <f>TABL1234[[#This Row],[ (RESV. STORGE) SER]]/10</f>
        <v>0</v>
      </c>
      <c r="AO293" s="68"/>
      <c r="AP293" s="68">
        <f>TABL1234[[#This Row],[(A/S TOT) AJD]]-TABL1234[[#This Row],[SER_ IN]]</f>
        <v>0</v>
      </c>
    </row>
    <row r="294" spans="1:42" ht="18.75" x14ac:dyDescent="0.25">
      <c r="A294" s="2">
        <v>46680</v>
      </c>
      <c r="B294" s="28"/>
      <c r="C294" s="28"/>
      <c r="D294" s="28"/>
      <c r="E294" s="28"/>
      <c r="F294" s="28"/>
      <c r="G294" s="28"/>
      <c r="H294" s="28">
        <f t="shared" si="8"/>
        <v>103</v>
      </c>
      <c r="I294" s="28"/>
      <c r="J294" s="28"/>
      <c r="K294" s="28">
        <f>TABL1234[[#This Row],[خط (T/B  TOT) SAR]]+TABL1234[[#This Row],[خط (S/S  TOT) SAR2]]</f>
        <v>0</v>
      </c>
      <c r="L294" s="28"/>
      <c r="M294" s="29"/>
      <c r="N294" s="30"/>
      <c r="O294" s="9"/>
      <c r="P294" s="9">
        <f>TABL1234[[#This Row],[خط (S/S  TOT) SAR2]]-TABL1234[[#This Row],[(S/S TOT) AJD]]</f>
        <v>0</v>
      </c>
      <c r="Q294" s="9"/>
      <c r="R294" s="9">
        <f>TABL1234[[#This Row],[خط (T/B  TOT) SAR]]-TABL1234[[#This Row],[(T/B TOT) AJD]]</f>
        <v>0</v>
      </c>
      <c r="S294" s="9">
        <f>TABL1234[[#This Row],[الفرق بين بداية ونهاية خط  T/B]]+TABL1234[[#This Row],[الفرق بين بداية ونهاية خط  S/S]]</f>
        <v>0</v>
      </c>
      <c r="T294" s="9">
        <f>TABL1234[[#This Row],[(S/S TOT) AJD]]+TABL1234[[#This Row],[(T/B TOT) AJD]]</f>
        <v>0</v>
      </c>
      <c r="U294" s="9"/>
      <c r="V294" s="9"/>
      <c r="W294" s="9">
        <f>TABL1234[[#This Row],[(A/B TOT) AJD]]+TABL1234[[#This Row],[(A/S TOT) AJD]]</f>
        <v>0</v>
      </c>
      <c r="X294" s="9">
        <f>TABL1234[[#This Row],[( S/S+T/B) AJD]]-TABL1234[[#This Row],[(A/B + A/S) AJD]]</f>
        <v>0</v>
      </c>
      <c r="Y294" s="18"/>
      <c r="Z294" s="9"/>
      <c r="AA294" s="3">
        <f>TABL1234[[#This Row],[(RESV. STORGE) AJD]]/10</f>
        <v>0</v>
      </c>
      <c r="AB294" s="3">
        <f t="shared" si="9"/>
        <v>0</v>
      </c>
      <c r="AC294" s="5"/>
      <c r="AD294" s="6">
        <f>TABL1234[[#This Row],[( S/S+T/B) AJD]]-(TABL1234[[#This Row],[(A/B + A/S) AJD]]+(TABL1234[[#This Row],[(STORGE DIFF.) AJD]]*1000)+TABL1234[[#This Row],[البخر  AJD]])</f>
        <v>0</v>
      </c>
      <c r="AE294" s="33"/>
      <c r="AF294" s="6"/>
      <c r="AG294" s="6"/>
      <c r="AH294" s="6"/>
      <c r="AI294" s="6"/>
      <c r="AJ294" s="33">
        <f>TABL1234[[#This Row],[(A/B TOT) AJD]]-TABL1234[[#This Row],[BER_ IN]]</f>
        <v>0</v>
      </c>
      <c r="AK294" s="6"/>
      <c r="AL294" s="6"/>
      <c r="AM294" s="32"/>
      <c r="AN294" s="32">
        <f>TABL1234[[#This Row],[ (RESV. STORGE) SER]]/10</f>
        <v>0</v>
      </c>
      <c r="AO294" s="68"/>
      <c r="AP294" s="68">
        <f>TABL1234[[#This Row],[(A/S TOT) AJD]]-TABL1234[[#This Row],[SER_ IN]]</f>
        <v>0</v>
      </c>
    </row>
    <row r="295" spans="1:42" ht="18.75" x14ac:dyDescent="0.25">
      <c r="A295" s="2">
        <v>46681</v>
      </c>
      <c r="B295" s="28"/>
      <c r="C295" s="28"/>
      <c r="D295" s="28"/>
      <c r="E295" s="28"/>
      <c r="F295" s="28"/>
      <c r="G295" s="28"/>
      <c r="H295" s="28">
        <f t="shared" si="8"/>
        <v>103</v>
      </c>
      <c r="I295" s="28"/>
      <c r="J295" s="28"/>
      <c r="K295" s="28">
        <f>TABL1234[[#This Row],[خط (T/B  TOT) SAR]]+TABL1234[[#This Row],[خط (S/S  TOT) SAR2]]</f>
        <v>0</v>
      </c>
      <c r="L295" s="28"/>
      <c r="M295" s="29"/>
      <c r="N295" s="30"/>
      <c r="O295" s="9"/>
      <c r="P295" s="9">
        <f>TABL1234[[#This Row],[خط (S/S  TOT) SAR2]]-TABL1234[[#This Row],[(S/S TOT) AJD]]</f>
        <v>0</v>
      </c>
      <c r="Q295" s="9"/>
      <c r="R295" s="9">
        <f>TABL1234[[#This Row],[خط (T/B  TOT) SAR]]-TABL1234[[#This Row],[(T/B TOT) AJD]]</f>
        <v>0</v>
      </c>
      <c r="S295" s="9">
        <f>TABL1234[[#This Row],[الفرق بين بداية ونهاية خط  T/B]]+TABL1234[[#This Row],[الفرق بين بداية ونهاية خط  S/S]]</f>
        <v>0</v>
      </c>
      <c r="T295" s="9">
        <f>TABL1234[[#This Row],[(S/S TOT) AJD]]+TABL1234[[#This Row],[(T/B TOT) AJD]]</f>
        <v>0</v>
      </c>
      <c r="U295" s="9"/>
      <c r="V295" s="9"/>
      <c r="W295" s="9">
        <f>TABL1234[[#This Row],[(A/B TOT) AJD]]+TABL1234[[#This Row],[(A/S TOT) AJD]]</f>
        <v>0</v>
      </c>
      <c r="X295" s="9">
        <f>TABL1234[[#This Row],[( S/S+T/B) AJD]]-TABL1234[[#This Row],[(A/B + A/S) AJD]]</f>
        <v>0</v>
      </c>
      <c r="Y295" s="18"/>
      <c r="Z295" s="9"/>
      <c r="AA295" s="3">
        <f>TABL1234[[#This Row],[(RESV. STORGE) AJD]]/10</f>
        <v>0</v>
      </c>
      <c r="AB295" s="3">
        <f t="shared" si="9"/>
        <v>0</v>
      </c>
      <c r="AC295" s="5"/>
      <c r="AD295" s="6">
        <f>TABL1234[[#This Row],[( S/S+T/B) AJD]]-(TABL1234[[#This Row],[(A/B + A/S) AJD]]+(TABL1234[[#This Row],[(STORGE DIFF.) AJD]]*1000)+TABL1234[[#This Row],[البخر  AJD]])</f>
        <v>0</v>
      </c>
      <c r="AE295" s="33"/>
      <c r="AF295" s="6"/>
      <c r="AG295" s="6"/>
      <c r="AH295" s="6"/>
      <c r="AI295" s="6"/>
      <c r="AJ295" s="33">
        <f>TABL1234[[#This Row],[(A/B TOT) AJD]]-TABL1234[[#This Row],[BER_ IN]]</f>
        <v>0</v>
      </c>
      <c r="AK295" s="6"/>
      <c r="AL295" s="6"/>
      <c r="AM295" s="32"/>
      <c r="AN295" s="32">
        <f>TABL1234[[#This Row],[ (RESV. STORGE) SER]]/10</f>
        <v>0</v>
      </c>
      <c r="AO295" s="68"/>
      <c r="AP295" s="68">
        <f>TABL1234[[#This Row],[(A/S TOT) AJD]]-TABL1234[[#This Row],[SER_ IN]]</f>
        <v>0</v>
      </c>
    </row>
    <row r="296" spans="1:42" ht="18.75" x14ac:dyDescent="0.25">
      <c r="A296" s="2">
        <v>46682</v>
      </c>
      <c r="B296" s="28"/>
      <c r="C296" s="28"/>
      <c r="D296" s="28"/>
      <c r="E296" s="28"/>
      <c r="F296" s="28"/>
      <c r="G296" s="28"/>
      <c r="H296" s="28">
        <f t="shared" si="8"/>
        <v>103</v>
      </c>
      <c r="I296" s="28"/>
      <c r="J296" s="28"/>
      <c r="K296" s="28">
        <f>TABL1234[[#This Row],[خط (T/B  TOT) SAR]]+TABL1234[[#This Row],[خط (S/S  TOT) SAR2]]</f>
        <v>0</v>
      </c>
      <c r="L296" s="28"/>
      <c r="M296" s="29"/>
      <c r="N296" s="30"/>
      <c r="O296" s="9"/>
      <c r="P296" s="9">
        <f>TABL1234[[#This Row],[خط (S/S  TOT) SAR2]]-TABL1234[[#This Row],[(S/S TOT) AJD]]</f>
        <v>0</v>
      </c>
      <c r="Q296" s="9"/>
      <c r="R296" s="9">
        <f>TABL1234[[#This Row],[خط (T/B  TOT) SAR]]-TABL1234[[#This Row],[(T/B TOT) AJD]]</f>
        <v>0</v>
      </c>
      <c r="S296" s="9">
        <f>TABL1234[[#This Row],[الفرق بين بداية ونهاية خط  T/B]]+TABL1234[[#This Row],[الفرق بين بداية ونهاية خط  S/S]]</f>
        <v>0</v>
      </c>
      <c r="T296" s="9">
        <f>TABL1234[[#This Row],[(S/S TOT) AJD]]+TABL1234[[#This Row],[(T/B TOT) AJD]]</f>
        <v>0</v>
      </c>
      <c r="U296" s="9"/>
      <c r="V296" s="9"/>
      <c r="W296" s="9">
        <f>TABL1234[[#This Row],[(A/B TOT) AJD]]+TABL1234[[#This Row],[(A/S TOT) AJD]]</f>
        <v>0</v>
      </c>
      <c r="X296" s="9">
        <f>TABL1234[[#This Row],[( S/S+T/B) AJD]]-TABL1234[[#This Row],[(A/B + A/S) AJD]]</f>
        <v>0</v>
      </c>
      <c r="Y296" s="18"/>
      <c r="Z296" s="9"/>
      <c r="AA296" s="3">
        <f>TABL1234[[#This Row],[(RESV. STORGE) AJD]]/10</f>
        <v>0</v>
      </c>
      <c r="AB296" s="3">
        <f t="shared" si="9"/>
        <v>0</v>
      </c>
      <c r="AC296" s="5"/>
      <c r="AD296" s="6">
        <f>TABL1234[[#This Row],[( S/S+T/B) AJD]]-(TABL1234[[#This Row],[(A/B + A/S) AJD]]+(TABL1234[[#This Row],[(STORGE DIFF.) AJD]]*1000)+TABL1234[[#This Row],[البخر  AJD]])</f>
        <v>0</v>
      </c>
      <c r="AE296" s="33"/>
      <c r="AF296" s="6"/>
      <c r="AG296" s="6"/>
      <c r="AH296" s="6"/>
      <c r="AI296" s="6"/>
      <c r="AJ296" s="33">
        <f>TABL1234[[#This Row],[(A/B TOT) AJD]]-TABL1234[[#This Row],[BER_ IN]]</f>
        <v>0</v>
      </c>
      <c r="AK296" s="6"/>
      <c r="AL296" s="6"/>
      <c r="AM296" s="32"/>
      <c r="AN296" s="32">
        <f>TABL1234[[#This Row],[ (RESV. STORGE) SER]]/10</f>
        <v>0</v>
      </c>
      <c r="AO296" s="68"/>
      <c r="AP296" s="68">
        <f>TABL1234[[#This Row],[(A/S TOT) AJD]]-TABL1234[[#This Row],[SER_ IN]]</f>
        <v>0</v>
      </c>
    </row>
    <row r="297" spans="1:42" ht="18.75" x14ac:dyDescent="0.25">
      <c r="A297" s="2">
        <v>46683</v>
      </c>
      <c r="B297" s="28"/>
      <c r="C297" s="28"/>
      <c r="D297" s="28"/>
      <c r="E297" s="28"/>
      <c r="F297" s="28"/>
      <c r="G297" s="28"/>
      <c r="H297" s="28">
        <f t="shared" si="8"/>
        <v>103</v>
      </c>
      <c r="I297" s="28"/>
      <c r="J297" s="28"/>
      <c r="K297" s="28">
        <f>TABL1234[[#This Row],[خط (T/B  TOT) SAR]]+TABL1234[[#This Row],[خط (S/S  TOT) SAR2]]</f>
        <v>0</v>
      </c>
      <c r="L297" s="28"/>
      <c r="M297" s="29"/>
      <c r="N297" s="30"/>
      <c r="O297" s="9"/>
      <c r="P297" s="9">
        <f>TABL1234[[#This Row],[خط (S/S  TOT) SAR2]]-TABL1234[[#This Row],[(S/S TOT) AJD]]</f>
        <v>0</v>
      </c>
      <c r="Q297" s="9"/>
      <c r="R297" s="9">
        <f>TABL1234[[#This Row],[خط (T/B  TOT) SAR]]-TABL1234[[#This Row],[(T/B TOT) AJD]]</f>
        <v>0</v>
      </c>
      <c r="S297" s="9">
        <f>TABL1234[[#This Row],[الفرق بين بداية ونهاية خط  T/B]]+TABL1234[[#This Row],[الفرق بين بداية ونهاية خط  S/S]]</f>
        <v>0</v>
      </c>
      <c r="T297" s="9">
        <f>TABL1234[[#This Row],[(S/S TOT) AJD]]+TABL1234[[#This Row],[(T/B TOT) AJD]]</f>
        <v>0</v>
      </c>
      <c r="U297" s="9"/>
      <c r="V297" s="9"/>
      <c r="W297" s="9">
        <f>TABL1234[[#This Row],[(A/B TOT) AJD]]+TABL1234[[#This Row],[(A/S TOT) AJD]]</f>
        <v>0</v>
      </c>
      <c r="X297" s="9">
        <f>TABL1234[[#This Row],[( S/S+T/B) AJD]]-TABL1234[[#This Row],[(A/B + A/S) AJD]]</f>
        <v>0</v>
      </c>
      <c r="Y297" s="18"/>
      <c r="Z297" s="9"/>
      <c r="AA297" s="3">
        <f>TABL1234[[#This Row],[(RESV. STORGE) AJD]]/10</f>
        <v>0</v>
      </c>
      <c r="AB297" s="3">
        <f t="shared" si="9"/>
        <v>0</v>
      </c>
      <c r="AC297" s="5"/>
      <c r="AD297" s="6">
        <f>TABL1234[[#This Row],[( S/S+T/B) AJD]]-(TABL1234[[#This Row],[(A/B + A/S) AJD]]+(TABL1234[[#This Row],[(STORGE DIFF.) AJD]]*1000)+TABL1234[[#This Row],[البخر  AJD]])</f>
        <v>0</v>
      </c>
      <c r="AE297" s="33"/>
      <c r="AF297" s="6"/>
      <c r="AG297" s="6"/>
      <c r="AH297" s="6"/>
      <c r="AI297" s="6"/>
      <c r="AJ297" s="33">
        <f>TABL1234[[#This Row],[(A/B TOT) AJD]]-TABL1234[[#This Row],[BER_ IN]]</f>
        <v>0</v>
      </c>
      <c r="AK297" s="6"/>
      <c r="AL297" s="6"/>
      <c r="AM297" s="32"/>
      <c r="AN297" s="32">
        <f>TABL1234[[#This Row],[ (RESV. STORGE) SER]]/10</f>
        <v>0</v>
      </c>
      <c r="AO297" s="68"/>
      <c r="AP297" s="68">
        <f>TABL1234[[#This Row],[(A/S TOT) AJD]]-TABL1234[[#This Row],[SER_ IN]]</f>
        <v>0</v>
      </c>
    </row>
    <row r="298" spans="1:42" ht="18.75" x14ac:dyDescent="0.25">
      <c r="A298" s="2">
        <v>46684</v>
      </c>
      <c r="B298" s="28"/>
      <c r="C298" s="28"/>
      <c r="D298" s="28"/>
      <c r="E298" s="28"/>
      <c r="F298" s="28"/>
      <c r="G298" s="28"/>
      <c r="H298" s="28">
        <f t="shared" si="8"/>
        <v>103</v>
      </c>
      <c r="I298" s="28"/>
      <c r="J298" s="28"/>
      <c r="K298" s="28">
        <f>TABL1234[[#This Row],[خط (T/B  TOT) SAR]]+TABL1234[[#This Row],[خط (S/S  TOT) SAR2]]</f>
        <v>0</v>
      </c>
      <c r="L298" s="28"/>
      <c r="M298" s="29"/>
      <c r="N298" s="30"/>
      <c r="O298" s="9"/>
      <c r="P298" s="9">
        <f>TABL1234[[#This Row],[خط (S/S  TOT) SAR2]]-TABL1234[[#This Row],[(S/S TOT) AJD]]</f>
        <v>0</v>
      </c>
      <c r="Q298" s="9"/>
      <c r="R298" s="9">
        <f>TABL1234[[#This Row],[خط (T/B  TOT) SAR]]-TABL1234[[#This Row],[(T/B TOT) AJD]]</f>
        <v>0</v>
      </c>
      <c r="S298" s="9">
        <f>TABL1234[[#This Row],[الفرق بين بداية ونهاية خط  T/B]]+TABL1234[[#This Row],[الفرق بين بداية ونهاية خط  S/S]]</f>
        <v>0</v>
      </c>
      <c r="T298" s="9">
        <f>TABL1234[[#This Row],[(S/S TOT) AJD]]+TABL1234[[#This Row],[(T/B TOT) AJD]]</f>
        <v>0</v>
      </c>
      <c r="U298" s="9"/>
      <c r="V298" s="9"/>
      <c r="W298" s="9">
        <f>TABL1234[[#This Row],[(A/B TOT) AJD]]+TABL1234[[#This Row],[(A/S TOT) AJD]]</f>
        <v>0</v>
      </c>
      <c r="X298" s="9">
        <f>TABL1234[[#This Row],[( S/S+T/B) AJD]]-TABL1234[[#This Row],[(A/B + A/S) AJD]]</f>
        <v>0</v>
      </c>
      <c r="Y298" s="18"/>
      <c r="Z298" s="9"/>
      <c r="AA298" s="3">
        <f>TABL1234[[#This Row],[(RESV. STORGE) AJD]]/10</f>
        <v>0</v>
      </c>
      <c r="AB298" s="3">
        <f t="shared" si="9"/>
        <v>0</v>
      </c>
      <c r="AC298" s="5"/>
      <c r="AD298" s="6">
        <f>TABL1234[[#This Row],[( S/S+T/B) AJD]]-(TABL1234[[#This Row],[(A/B + A/S) AJD]]+(TABL1234[[#This Row],[(STORGE DIFF.) AJD]]*1000)+TABL1234[[#This Row],[البخر  AJD]])</f>
        <v>0</v>
      </c>
      <c r="AE298" s="33"/>
      <c r="AF298" s="6"/>
      <c r="AG298" s="6"/>
      <c r="AH298" s="6"/>
      <c r="AI298" s="6"/>
      <c r="AJ298" s="33">
        <f>TABL1234[[#This Row],[(A/B TOT) AJD]]-TABL1234[[#This Row],[BER_ IN]]</f>
        <v>0</v>
      </c>
      <c r="AK298" s="6"/>
      <c r="AL298" s="6"/>
      <c r="AM298" s="32"/>
      <c r="AN298" s="32">
        <f>TABL1234[[#This Row],[ (RESV. STORGE) SER]]/10</f>
        <v>0</v>
      </c>
      <c r="AO298" s="68"/>
      <c r="AP298" s="68">
        <f>TABL1234[[#This Row],[(A/S TOT) AJD]]-TABL1234[[#This Row],[SER_ IN]]</f>
        <v>0</v>
      </c>
    </row>
    <row r="299" spans="1:42" ht="18.75" x14ac:dyDescent="0.25">
      <c r="A299" s="2">
        <v>46685</v>
      </c>
      <c r="B299" s="28"/>
      <c r="C299" s="28"/>
      <c r="D299" s="28"/>
      <c r="E299" s="28"/>
      <c r="F299" s="28"/>
      <c r="G299" s="28"/>
      <c r="H299" s="28">
        <f t="shared" si="8"/>
        <v>103</v>
      </c>
      <c r="I299" s="28"/>
      <c r="J299" s="28"/>
      <c r="K299" s="28">
        <f>TABL1234[[#This Row],[خط (T/B  TOT) SAR]]+TABL1234[[#This Row],[خط (S/S  TOT) SAR2]]</f>
        <v>0</v>
      </c>
      <c r="L299" s="28"/>
      <c r="M299" s="29"/>
      <c r="N299" s="30"/>
      <c r="O299" s="9"/>
      <c r="P299" s="9">
        <f>TABL1234[[#This Row],[خط (S/S  TOT) SAR2]]-TABL1234[[#This Row],[(S/S TOT) AJD]]</f>
        <v>0</v>
      </c>
      <c r="Q299" s="9"/>
      <c r="R299" s="9">
        <f>TABL1234[[#This Row],[خط (T/B  TOT) SAR]]-TABL1234[[#This Row],[(T/B TOT) AJD]]</f>
        <v>0</v>
      </c>
      <c r="S299" s="9">
        <f>TABL1234[[#This Row],[الفرق بين بداية ونهاية خط  T/B]]+TABL1234[[#This Row],[الفرق بين بداية ونهاية خط  S/S]]</f>
        <v>0</v>
      </c>
      <c r="T299" s="9">
        <f>TABL1234[[#This Row],[(S/S TOT) AJD]]+TABL1234[[#This Row],[(T/B TOT) AJD]]</f>
        <v>0</v>
      </c>
      <c r="U299" s="9"/>
      <c r="V299" s="9"/>
      <c r="W299" s="9">
        <f>TABL1234[[#This Row],[(A/B TOT) AJD]]+TABL1234[[#This Row],[(A/S TOT) AJD]]</f>
        <v>0</v>
      </c>
      <c r="X299" s="9">
        <f>TABL1234[[#This Row],[( S/S+T/B) AJD]]-TABL1234[[#This Row],[(A/B + A/S) AJD]]</f>
        <v>0</v>
      </c>
      <c r="Y299" s="18"/>
      <c r="Z299" s="9"/>
      <c r="AA299" s="3">
        <f>TABL1234[[#This Row],[(RESV. STORGE) AJD]]/10</f>
        <v>0</v>
      </c>
      <c r="AB299" s="3">
        <f t="shared" si="9"/>
        <v>0</v>
      </c>
      <c r="AC299" s="5"/>
      <c r="AD299" s="6">
        <f>TABL1234[[#This Row],[( S/S+T/B) AJD]]-(TABL1234[[#This Row],[(A/B + A/S) AJD]]+(TABL1234[[#This Row],[(STORGE DIFF.) AJD]]*1000)+TABL1234[[#This Row],[البخر  AJD]])</f>
        <v>0</v>
      </c>
      <c r="AE299" s="33"/>
      <c r="AF299" s="6"/>
      <c r="AG299" s="6"/>
      <c r="AH299" s="6"/>
      <c r="AI299" s="6"/>
      <c r="AJ299" s="33">
        <f>TABL1234[[#This Row],[(A/B TOT) AJD]]-TABL1234[[#This Row],[BER_ IN]]</f>
        <v>0</v>
      </c>
      <c r="AK299" s="6"/>
      <c r="AL299" s="6"/>
      <c r="AM299" s="32"/>
      <c r="AN299" s="32">
        <f>TABL1234[[#This Row],[ (RESV. STORGE) SER]]/10</f>
        <v>0</v>
      </c>
      <c r="AO299" s="68"/>
      <c r="AP299" s="68">
        <f>TABL1234[[#This Row],[(A/S TOT) AJD]]-TABL1234[[#This Row],[SER_ IN]]</f>
        <v>0</v>
      </c>
    </row>
    <row r="300" spans="1:42" ht="18.75" x14ac:dyDescent="0.25">
      <c r="A300" s="2">
        <v>46686</v>
      </c>
      <c r="B300" s="28"/>
      <c r="C300" s="28"/>
      <c r="D300" s="28"/>
      <c r="E300" s="28"/>
      <c r="F300" s="28"/>
      <c r="G300" s="28"/>
      <c r="H300" s="28">
        <f t="shared" si="8"/>
        <v>103</v>
      </c>
      <c r="I300" s="28"/>
      <c r="J300" s="28"/>
      <c r="K300" s="28">
        <f>TABL1234[[#This Row],[خط (T/B  TOT) SAR]]+TABL1234[[#This Row],[خط (S/S  TOT) SAR2]]</f>
        <v>0</v>
      </c>
      <c r="L300" s="28"/>
      <c r="M300" s="29"/>
      <c r="N300" s="30"/>
      <c r="O300" s="9"/>
      <c r="P300" s="9">
        <f>TABL1234[[#This Row],[خط (S/S  TOT) SAR2]]-TABL1234[[#This Row],[(S/S TOT) AJD]]</f>
        <v>0</v>
      </c>
      <c r="Q300" s="9"/>
      <c r="R300" s="9">
        <f>TABL1234[[#This Row],[خط (T/B  TOT) SAR]]-TABL1234[[#This Row],[(T/B TOT) AJD]]</f>
        <v>0</v>
      </c>
      <c r="S300" s="9">
        <f>TABL1234[[#This Row],[الفرق بين بداية ونهاية خط  T/B]]+TABL1234[[#This Row],[الفرق بين بداية ونهاية خط  S/S]]</f>
        <v>0</v>
      </c>
      <c r="T300" s="9">
        <f>TABL1234[[#This Row],[(S/S TOT) AJD]]+TABL1234[[#This Row],[(T/B TOT) AJD]]</f>
        <v>0</v>
      </c>
      <c r="U300" s="9"/>
      <c r="V300" s="9"/>
      <c r="W300" s="9">
        <f>TABL1234[[#This Row],[(A/B TOT) AJD]]+TABL1234[[#This Row],[(A/S TOT) AJD]]</f>
        <v>0</v>
      </c>
      <c r="X300" s="9">
        <f>TABL1234[[#This Row],[( S/S+T/B) AJD]]-TABL1234[[#This Row],[(A/B + A/S) AJD]]</f>
        <v>0</v>
      </c>
      <c r="Y300" s="18"/>
      <c r="Z300" s="9"/>
      <c r="AA300" s="3">
        <f>TABL1234[[#This Row],[(RESV. STORGE) AJD]]/10</f>
        <v>0</v>
      </c>
      <c r="AB300" s="3">
        <f t="shared" si="9"/>
        <v>0</v>
      </c>
      <c r="AC300" s="5"/>
      <c r="AD300" s="6">
        <f>TABL1234[[#This Row],[( S/S+T/B) AJD]]-(TABL1234[[#This Row],[(A/B + A/S) AJD]]+(TABL1234[[#This Row],[(STORGE DIFF.) AJD]]*1000)+TABL1234[[#This Row],[البخر  AJD]])</f>
        <v>0</v>
      </c>
      <c r="AE300" s="33"/>
      <c r="AF300" s="6"/>
      <c r="AG300" s="6"/>
      <c r="AH300" s="6"/>
      <c r="AI300" s="6"/>
      <c r="AJ300" s="33">
        <f>TABL1234[[#This Row],[(A/B TOT) AJD]]-TABL1234[[#This Row],[BER_ IN]]</f>
        <v>0</v>
      </c>
      <c r="AK300" s="6"/>
      <c r="AL300" s="6"/>
      <c r="AM300" s="32"/>
      <c r="AN300" s="32">
        <f>TABL1234[[#This Row],[ (RESV. STORGE) SER]]/10</f>
        <v>0</v>
      </c>
      <c r="AO300" s="68"/>
      <c r="AP300" s="68">
        <f>TABL1234[[#This Row],[(A/S TOT) AJD]]-TABL1234[[#This Row],[SER_ IN]]</f>
        <v>0</v>
      </c>
    </row>
    <row r="301" spans="1:42" ht="18.75" x14ac:dyDescent="0.25">
      <c r="A301" s="2">
        <v>46687</v>
      </c>
      <c r="B301" s="28"/>
      <c r="C301" s="28"/>
      <c r="D301" s="28"/>
      <c r="E301" s="28"/>
      <c r="F301" s="28"/>
      <c r="G301" s="28"/>
      <c r="H301" s="28">
        <f t="shared" si="8"/>
        <v>103</v>
      </c>
      <c r="I301" s="28"/>
      <c r="J301" s="28"/>
      <c r="K301" s="28">
        <f>TABL1234[[#This Row],[خط (T/B  TOT) SAR]]+TABL1234[[#This Row],[خط (S/S  TOT) SAR2]]</f>
        <v>0</v>
      </c>
      <c r="L301" s="28"/>
      <c r="M301" s="29"/>
      <c r="N301" s="30"/>
      <c r="O301" s="9"/>
      <c r="P301" s="9">
        <f>TABL1234[[#This Row],[خط (S/S  TOT) SAR2]]-TABL1234[[#This Row],[(S/S TOT) AJD]]</f>
        <v>0</v>
      </c>
      <c r="Q301" s="9"/>
      <c r="R301" s="9">
        <f>TABL1234[[#This Row],[خط (T/B  TOT) SAR]]-TABL1234[[#This Row],[(T/B TOT) AJD]]</f>
        <v>0</v>
      </c>
      <c r="S301" s="9">
        <f>TABL1234[[#This Row],[الفرق بين بداية ونهاية خط  T/B]]+TABL1234[[#This Row],[الفرق بين بداية ونهاية خط  S/S]]</f>
        <v>0</v>
      </c>
      <c r="T301" s="9">
        <f>TABL1234[[#This Row],[(S/S TOT) AJD]]+TABL1234[[#This Row],[(T/B TOT) AJD]]</f>
        <v>0</v>
      </c>
      <c r="U301" s="9"/>
      <c r="V301" s="9"/>
      <c r="W301" s="9">
        <f>TABL1234[[#This Row],[(A/B TOT) AJD]]+TABL1234[[#This Row],[(A/S TOT) AJD]]</f>
        <v>0</v>
      </c>
      <c r="X301" s="9">
        <f>TABL1234[[#This Row],[( S/S+T/B) AJD]]-TABL1234[[#This Row],[(A/B + A/S) AJD]]</f>
        <v>0</v>
      </c>
      <c r="Y301" s="18"/>
      <c r="Z301" s="9"/>
      <c r="AA301" s="3">
        <f>TABL1234[[#This Row],[(RESV. STORGE) AJD]]/10</f>
        <v>0</v>
      </c>
      <c r="AB301" s="3">
        <f t="shared" si="9"/>
        <v>0</v>
      </c>
      <c r="AC301" s="5"/>
      <c r="AD301" s="6">
        <f>TABL1234[[#This Row],[( S/S+T/B) AJD]]-(TABL1234[[#This Row],[(A/B + A/S) AJD]]+(TABL1234[[#This Row],[(STORGE DIFF.) AJD]]*1000)+TABL1234[[#This Row],[البخر  AJD]])</f>
        <v>0</v>
      </c>
      <c r="AE301" s="33"/>
      <c r="AF301" s="6"/>
      <c r="AG301" s="6"/>
      <c r="AH301" s="6"/>
      <c r="AI301" s="6"/>
      <c r="AJ301" s="33">
        <f>TABL1234[[#This Row],[(A/B TOT) AJD]]-TABL1234[[#This Row],[BER_ IN]]</f>
        <v>0</v>
      </c>
      <c r="AK301" s="6"/>
      <c r="AL301" s="6"/>
      <c r="AM301" s="32"/>
      <c r="AN301" s="32">
        <f>TABL1234[[#This Row],[ (RESV. STORGE) SER]]/10</f>
        <v>0</v>
      </c>
      <c r="AO301" s="68"/>
      <c r="AP301" s="68">
        <f>TABL1234[[#This Row],[(A/S TOT) AJD]]-TABL1234[[#This Row],[SER_ IN]]</f>
        <v>0</v>
      </c>
    </row>
    <row r="302" spans="1:42" ht="18.75" x14ac:dyDescent="0.25">
      <c r="A302" s="2">
        <v>46688</v>
      </c>
      <c r="B302" s="28"/>
      <c r="C302" s="28"/>
      <c r="D302" s="28"/>
      <c r="E302" s="28"/>
      <c r="F302" s="28"/>
      <c r="G302" s="28"/>
      <c r="H302" s="28">
        <f t="shared" si="8"/>
        <v>103</v>
      </c>
      <c r="I302" s="28"/>
      <c r="J302" s="28"/>
      <c r="K302" s="28">
        <f>TABL1234[[#This Row],[خط (T/B  TOT) SAR]]+TABL1234[[#This Row],[خط (S/S  TOT) SAR2]]</f>
        <v>0</v>
      </c>
      <c r="L302" s="28"/>
      <c r="M302" s="29"/>
      <c r="N302" s="30"/>
      <c r="O302" s="9"/>
      <c r="P302" s="9">
        <f>TABL1234[[#This Row],[خط (S/S  TOT) SAR2]]-TABL1234[[#This Row],[(S/S TOT) AJD]]</f>
        <v>0</v>
      </c>
      <c r="Q302" s="9"/>
      <c r="R302" s="9">
        <f>TABL1234[[#This Row],[خط (T/B  TOT) SAR]]-TABL1234[[#This Row],[(T/B TOT) AJD]]</f>
        <v>0</v>
      </c>
      <c r="S302" s="9">
        <f>TABL1234[[#This Row],[الفرق بين بداية ونهاية خط  T/B]]+TABL1234[[#This Row],[الفرق بين بداية ونهاية خط  S/S]]</f>
        <v>0</v>
      </c>
      <c r="T302" s="9">
        <f>TABL1234[[#This Row],[(S/S TOT) AJD]]+TABL1234[[#This Row],[(T/B TOT) AJD]]</f>
        <v>0</v>
      </c>
      <c r="U302" s="9"/>
      <c r="V302" s="9"/>
      <c r="W302" s="9">
        <f>TABL1234[[#This Row],[(A/B TOT) AJD]]+TABL1234[[#This Row],[(A/S TOT) AJD]]</f>
        <v>0</v>
      </c>
      <c r="X302" s="9">
        <f>TABL1234[[#This Row],[( S/S+T/B) AJD]]-TABL1234[[#This Row],[(A/B + A/S) AJD]]</f>
        <v>0</v>
      </c>
      <c r="Y302" s="18"/>
      <c r="Z302" s="9"/>
      <c r="AA302" s="3">
        <f>TABL1234[[#This Row],[(RESV. STORGE) AJD]]/10</f>
        <v>0</v>
      </c>
      <c r="AB302" s="3">
        <f t="shared" si="9"/>
        <v>0</v>
      </c>
      <c r="AC302" s="5"/>
      <c r="AD302" s="6">
        <f>TABL1234[[#This Row],[( S/S+T/B) AJD]]-(TABL1234[[#This Row],[(A/B + A/S) AJD]]+(TABL1234[[#This Row],[(STORGE DIFF.) AJD]]*1000)+TABL1234[[#This Row],[البخر  AJD]])</f>
        <v>0</v>
      </c>
      <c r="AE302" s="33"/>
      <c r="AF302" s="6"/>
      <c r="AG302" s="6"/>
      <c r="AH302" s="6"/>
      <c r="AI302" s="6"/>
      <c r="AJ302" s="33">
        <f>TABL1234[[#This Row],[(A/B TOT) AJD]]-TABL1234[[#This Row],[BER_ IN]]</f>
        <v>0</v>
      </c>
      <c r="AK302" s="6"/>
      <c r="AL302" s="6"/>
      <c r="AM302" s="32"/>
      <c r="AN302" s="32">
        <f>TABL1234[[#This Row],[ (RESV. STORGE) SER]]/10</f>
        <v>0</v>
      </c>
      <c r="AO302" s="68"/>
      <c r="AP302" s="68">
        <f>TABL1234[[#This Row],[(A/S TOT) AJD]]-TABL1234[[#This Row],[SER_ IN]]</f>
        <v>0</v>
      </c>
    </row>
    <row r="303" spans="1:42" ht="18.75" x14ac:dyDescent="0.25">
      <c r="A303" s="2">
        <v>46689</v>
      </c>
      <c r="B303" s="28"/>
      <c r="C303" s="28"/>
      <c r="D303" s="28"/>
      <c r="E303" s="28"/>
      <c r="F303" s="28"/>
      <c r="G303" s="28"/>
      <c r="H303" s="28">
        <f t="shared" si="8"/>
        <v>103</v>
      </c>
      <c r="I303" s="28"/>
      <c r="J303" s="28"/>
      <c r="K303" s="28">
        <f>TABL1234[[#This Row],[خط (T/B  TOT) SAR]]+TABL1234[[#This Row],[خط (S/S  TOT) SAR2]]</f>
        <v>0</v>
      </c>
      <c r="L303" s="28"/>
      <c r="M303" s="29"/>
      <c r="N303" s="30"/>
      <c r="O303" s="9"/>
      <c r="P303" s="9">
        <f>TABL1234[[#This Row],[خط (S/S  TOT) SAR2]]-TABL1234[[#This Row],[(S/S TOT) AJD]]</f>
        <v>0</v>
      </c>
      <c r="Q303" s="9"/>
      <c r="R303" s="9">
        <f>TABL1234[[#This Row],[خط (T/B  TOT) SAR]]-TABL1234[[#This Row],[(T/B TOT) AJD]]</f>
        <v>0</v>
      </c>
      <c r="S303" s="9">
        <f>TABL1234[[#This Row],[الفرق بين بداية ونهاية خط  T/B]]+TABL1234[[#This Row],[الفرق بين بداية ونهاية خط  S/S]]</f>
        <v>0</v>
      </c>
      <c r="T303" s="9">
        <f>TABL1234[[#This Row],[(S/S TOT) AJD]]+TABL1234[[#This Row],[(T/B TOT) AJD]]</f>
        <v>0</v>
      </c>
      <c r="U303" s="9"/>
      <c r="V303" s="9"/>
      <c r="W303" s="9">
        <f>TABL1234[[#This Row],[(A/B TOT) AJD]]+TABL1234[[#This Row],[(A/S TOT) AJD]]</f>
        <v>0</v>
      </c>
      <c r="X303" s="9">
        <f>TABL1234[[#This Row],[( S/S+T/B) AJD]]-TABL1234[[#This Row],[(A/B + A/S) AJD]]</f>
        <v>0</v>
      </c>
      <c r="Y303" s="18"/>
      <c r="Z303" s="9"/>
      <c r="AA303" s="3">
        <f>TABL1234[[#This Row],[(RESV. STORGE) AJD]]/10</f>
        <v>0</v>
      </c>
      <c r="AB303" s="3">
        <f t="shared" si="9"/>
        <v>0</v>
      </c>
      <c r="AC303" s="5"/>
      <c r="AD303" s="6">
        <f>TABL1234[[#This Row],[( S/S+T/B) AJD]]-(TABL1234[[#This Row],[(A/B + A/S) AJD]]+(TABL1234[[#This Row],[(STORGE DIFF.) AJD]]*1000)+TABL1234[[#This Row],[البخر  AJD]])</f>
        <v>0</v>
      </c>
      <c r="AE303" s="33"/>
      <c r="AF303" s="6"/>
      <c r="AG303" s="6"/>
      <c r="AH303" s="6"/>
      <c r="AI303" s="6"/>
      <c r="AJ303" s="33">
        <f>TABL1234[[#This Row],[(A/B TOT) AJD]]-TABL1234[[#This Row],[BER_ IN]]</f>
        <v>0</v>
      </c>
      <c r="AK303" s="6"/>
      <c r="AL303" s="6"/>
      <c r="AM303" s="32"/>
      <c r="AN303" s="32">
        <f>TABL1234[[#This Row],[ (RESV. STORGE) SER]]/10</f>
        <v>0</v>
      </c>
      <c r="AO303" s="68"/>
      <c r="AP303" s="68">
        <f>TABL1234[[#This Row],[(A/S TOT) AJD]]-TABL1234[[#This Row],[SER_ IN]]</f>
        <v>0</v>
      </c>
    </row>
    <row r="304" spans="1:42" ht="18.75" x14ac:dyDescent="0.25">
      <c r="A304" s="2">
        <v>46690</v>
      </c>
      <c r="B304" s="28"/>
      <c r="C304" s="28"/>
      <c r="D304" s="28"/>
      <c r="E304" s="28"/>
      <c r="F304" s="28"/>
      <c r="G304" s="28"/>
      <c r="H304" s="28">
        <f t="shared" si="8"/>
        <v>103</v>
      </c>
      <c r="I304" s="28"/>
      <c r="J304" s="28"/>
      <c r="K304" s="28">
        <f>TABL1234[[#This Row],[خط (T/B  TOT) SAR]]+TABL1234[[#This Row],[خط (S/S  TOT) SAR2]]</f>
        <v>0</v>
      </c>
      <c r="L304" s="28"/>
      <c r="M304" s="29"/>
      <c r="N304" s="30"/>
      <c r="O304" s="9"/>
      <c r="P304" s="9">
        <f>TABL1234[[#This Row],[خط (S/S  TOT) SAR2]]-TABL1234[[#This Row],[(S/S TOT) AJD]]</f>
        <v>0</v>
      </c>
      <c r="Q304" s="9"/>
      <c r="R304" s="9">
        <f>TABL1234[[#This Row],[خط (T/B  TOT) SAR]]-TABL1234[[#This Row],[(T/B TOT) AJD]]</f>
        <v>0</v>
      </c>
      <c r="S304" s="9">
        <f>TABL1234[[#This Row],[الفرق بين بداية ونهاية خط  T/B]]+TABL1234[[#This Row],[الفرق بين بداية ونهاية خط  S/S]]</f>
        <v>0</v>
      </c>
      <c r="T304" s="9">
        <f>TABL1234[[#This Row],[(S/S TOT) AJD]]+TABL1234[[#This Row],[(T/B TOT) AJD]]</f>
        <v>0</v>
      </c>
      <c r="U304" s="9"/>
      <c r="V304" s="9"/>
      <c r="W304" s="9">
        <f>TABL1234[[#This Row],[(A/B TOT) AJD]]+TABL1234[[#This Row],[(A/S TOT) AJD]]</f>
        <v>0</v>
      </c>
      <c r="X304" s="9">
        <f>TABL1234[[#This Row],[( S/S+T/B) AJD]]-TABL1234[[#This Row],[(A/B + A/S) AJD]]</f>
        <v>0</v>
      </c>
      <c r="Y304" s="18"/>
      <c r="Z304" s="9"/>
      <c r="AA304" s="3">
        <f>TABL1234[[#This Row],[(RESV. STORGE) AJD]]/10</f>
        <v>0</v>
      </c>
      <c r="AB304" s="3">
        <f t="shared" si="9"/>
        <v>0</v>
      </c>
      <c r="AC304" s="5"/>
      <c r="AD304" s="6">
        <f>TABL1234[[#This Row],[( S/S+T/B) AJD]]-(TABL1234[[#This Row],[(A/B + A/S) AJD]]+(TABL1234[[#This Row],[(STORGE DIFF.) AJD]]*1000)+TABL1234[[#This Row],[البخر  AJD]])</f>
        <v>0</v>
      </c>
      <c r="AE304" s="33"/>
      <c r="AF304" s="6"/>
      <c r="AG304" s="6"/>
      <c r="AH304" s="6"/>
      <c r="AI304" s="6"/>
      <c r="AJ304" s="33">
        <f>TABL1234[[#This Row],[(A/B TOT) AJD]]-TABL1234[[#This Row],[BER_ IN]]</f>
        <v>0</v>
      </c>
      <c r="AK304" s="6"/>
      <c r="AL304" s="6"/>
      <c r="AM304" s="32"/>
      <c r="AN304" s="32">
        <f>TABL1234[[#This Row],[ (RESV. STORGE) SER]]/10</f>
        <v>0</v>
      </c>
      <c r="AO304" s="68"/>
      <c r="AP304" s="68">
        <f>TABL1234[[#This Row],[(A/S TOT) AJD]]-TABL1234[[#This Row],[SER_ IN]]</f>
        <v>0</v>
      </c>
    </row>
    <row r="305" spans="1:42" ht="18.75" x14ac:dyDescent="0.25">
      <c r="A305" s="2">
        <v>46691</v>
      </c>
      <c r="B305" s="28"/>
      <c r="C305" s="28"/>
      <c r="D305" s="28"/>
      <c r="E305" s="28"/>
      <c r="F305" s="28"/>
      <c r="G305" s="28"/>
      <c r="H305" s="28">
        <f t="shared" si="8"/>
        <v>103</v>
      </c>
      <c r="I305" s="28"/>
      <c r="J305" s="28"/>
      <c r="K305" s="28">
        <f>TABL1234[[#This Row],[خط (T/B  TOT) SAR]]+TABL1234[[#This Row],[خط (S/S  TOT) SAR2]]</f>
        <v>0</v>
      </c>
      <c r="L305" s="28"/>
      <c r="M305" s="29"/>
      <c r="N305" s="30"/>
      <c r="O305" s="9"/>
      <c r="P305" s="9">
        <f>TABL1234[[#This Row],[خط (S/S  TOT) SAR2]]-TABL1234[[#This Row],[(S/S TOT) AJD]]</f>
        <v>0</v>
      </c>
      <c r="Q305" s="9"/>
      <c r="R305" s="9">
        <f>TABL1234[[#This Row],[خط (T/B  TOT) SAR]]-TABL1234[[#This Row],[(T/B TOT) AJD]]</f>
        <v>0</v>
      </c>
      <c r="S305" s="9">
        <f>TABL1234[[#This Row],[الفرق بين بداية ونهاية خط  T/B]]+TABL1234[[#This Row],[الفرق بين بداية ونهاية خط  S/S]]</f>
        <v>0</v>
      </c>
      <c r="T305" s="9">
        <f>TABL1234[[#This Row],[(S/S TOT) AJD]]+TABL1234[[#This Row],[(T/B TOT) AJD]]</f>
        <v>0</v>
      </c>
      <c r="U305" s="9"/>
      <c r="V305" s="9"/>
      <c r="W305" s="9">
        <f>TABL1234[[#This Row],[(A/B TOT) AJD]]+TABL1234[[#This Row],[(A/S TOT) AJD]]</f>
        <v>0</v>
      </c>
      <c r="X305" s="9">
        <f>TABL1234[[#This Row],[( S/S+T/B) AJD]]-TABL1234[[#This Row],[(A/B + A/S) AJD]]</f>
        <v>0</v>
      </c>
      <c r="Y305" s="18"/>
      <c r="Z305" s="9"/>
      <c r="AA305" s="3">
        <f>TABL1234[[#This Row],[(RESV. STORGE) AJD]]/10</f>
        <v>0</v>
      </c>
      <c r="AB305" s="3">
        <f t="shared" si="9"/>
        <v>0</v>
      </c>
      <c r="AC305" s="5"/>
      <c r="AD305" s="6">
        <f>TABL1234[[#This Row],[( S/S+T/B) AJD]]-(TABL1234[[#This Row],[(A/B + A/S) AJD]]+(TABL1234[[#This Row],[(STORGE DIFF.) AJD]]*1000)+TABL1234[[#This Row],[البخر  AJD]])</f>
        <v>0</v>
      </c>
      <c r="AE305" s="33"/>
      <c r="AF305" s="6"/>
      <c r="AG305" s="6"/>
      <c r="AH305" s="6"/>
      <c r="AI305" s="6"/>
      <c r="AJ305" s="33">
        <f>TABL1234[[#This Row],[(A/B TOT) AJD]]-TABL1234[[#This Row],[BER_ IN]]</f>
        <v>0</v>
      </c>
      <c r="AK305" s="6"/>
      <c r="AL305" s="6"/>
      <c r="AM305" s="32"/>
      <c r="AN305" s="32">
        <f>TABL1234[[#This Row],[ (RESV. STORGE) SER]]/10</f>
        <v>0</v>
      </c>
      <c r="AO305" s="68"/>
      <c r="AP305" s="68">
        <f>TABL1234[[#This Row],[(A/S TOT) AJD]]-TABL1234[[#This Row],[SER_ IN]]</f>
        <v>0</v>
      </c>
    </row>
    <row r="306" spans="1:42" ht="18.75" x14ac:dyDescent="0.25">
      <c r="A306" s="2">
        <v>46692</v>
      </c>
      <c r="B306" s="28"/>
      <c r="C306" s="28"/>
      <c r="D306" s="28"/>
      <c r="E306" s="28"/>
      <c r="F306" s="28"/>
      <c r="G306" s="28"/>
      <c r="H306" s="28">
        <f t="shared" si="8"/>
        <v>103</v>
      </c>
      <c r="I306" s="28"/>
      <c r="J306" s="28"/>
      <c r="K306" s="28">
        <f>TABL1234[[#This Row],[خط (T/B  TOT) SAR]]+TABL1234[[#This Row],[خط (S/S  TOT) SAR2]]</f>
        <v>0</v>
      </c>
      <c r="L306" s="28"/>
      <c r="M306" s="29"/>
      <c r="N306" s="30"/>
      <c r="O306" s="39"/>
      <c r="P306" s="9">
        <f>TABL1234[[#This Row],[خط (S/S  TOT) SAR2]]-TABL1234[[#This Row],[(S/S TOT) AJD]]</f>
        <v>0</v>
      </c>
      <c r="Q306" s="9"/>
      <c r="R306" s="9">
        <f>TABL1234[[#This Row],[خط (T/B  TOT) SAR]]-TABL1234[[#This Row],[(T/B TOT) AJD]]</f>
        <v>0</v>
      </c>
      <c r="S306" s="9">
        <f>TABL1234[[#This Row],[الفرق بين بداية ونهاية خط  T/B]]+TABL1234[[#This Row],[الفرق بين بداية ونهاية خط  S/S]]</f>
        <v>0</v>
      </c>
      <c r="T306" s="9">
        <f>TABL1234[[#This Row],[(S/S TOT) AJD]]+TABL1234[[#This Row],[(T/B TOT) AJD]]</f>
        <v>0</v>
      </c>
      <c r="U306" s="9"/>
      <c r="V306" s="9"/>
      <c r="W306" s="9">
        <f>TABL1234[[#This Row],[(A/B TOT) AJD]]+TABL1234[[#This Row],[(A/S TOT) AJD]]</f>
        <v>0</v>
      </c>
      <c r="X306" s="9">
        <f>TABL1234[[#This Row],[( S/S+T/B) AJD]]-TABL1234[[#This Row],[(A/B + A/S) AJD]]</f>
        <v>0</v>
      </c>
      <c r="Y306" s="18"/>
      <c r="Z306" s="9"/>
      <c r="AA306" s="3">
        <f>TABL1234[[#This Row],[(RESV. STORGE) AJD]]/10</f>
        <v>0</v>
      </c>
      <c r="AB306" s="3">
        <f t="shared" si="9"/>
        <v>0</v>
      </c>
      <c r="AC306" s="5"/>
      <c r="AD306" s="6">
        <f>TABL1234[[#This Row],[( S/S+T/B) AJD]]-(TABL1234[[#This Row],[(A/B + A/S) AJD]]+(TABL1234[[#This Row],[(STORGE DIFF.) AJD]]*1000)+TABL1234[[#This Row],[البخر  AJD]])</f>
        <v>0</v>
      </c>
      <c r="AE306" s="33"/>
      <c r="AF306" s="6"/>
      <c r="AG306" s="6"/>
      <c r="AH306" s="6"/>
      <c r="AI306" s="6"/>
      <c r="AJ306" s="33">
        <f>TABL1234[[#This Row],[(A/B TOT) AJD]]-TABL1234[[#This Row],[BER_ IN]]</f>
        <v>0</v>
      </c>
      <c r="AK306" s="6"/>
      <c r="AL306" s="6"/>
      <c r="AM306" s="32"/>
      <c r="AN306" s="32">
        <f>TABL1234[[#This Row],[ (RESV. STORGE) SER]]/10</f>
        <v>0</v>
      </c>
      <c r="AO306" s="68"/>
      <c r="AP306" s="68">
        <f>TABL1234[[#This Row],[(A/S TOT) AJD]]-TABL1234[[#This Row],[SER_ IN]]</f>
        <v>0</v>
      </c>
    </row>
    <row r="307" spans="1:42" ht="18.75" x14ac:dyDescent="0.25">
      <c r="A307" s="2">
        <v>46693</v>
      </c>
      <c r="B307" s="28"/>
      <c r="C307" s="28"/>
      <c r="D307" s="28"/>
      <c r="E307" s="28"/>
      <c r="F307" s="28"/>
      <c r="G307" s="28"/>
      <c r="H307" s="28">
        <f t="shared" si="8"/>
        <v>103</v>
      </c>
      <c r="I307" s="28"/>
      <c r="J307" s="28"/>
      <c r="K307" s="28">
        <f>TABL1234[[#This Row],[خط (T/B  TOT) SAR]]+TABL1234[[#This Row],[خط (S/S  TOT) SAR2]]</f>
        <v>0</v>
      </c>
      <c r="L307" s="28"/>
      <c r="M307" s="29"/>
      <c r="N307" s="30"/>
      <c r="O307" s="40"/>
      <c r="P307" s="9">
        <f>TABL1234[[#This Row],[خط (S/S  TOT) SAR2]]-TABL1234[[#This Row],[(S/S TOT) AJD]]</f>
        <v>0</v>
      </c>
      <c r="Q307" s="9"/>
      <c r="R307" s="9">
        <f>TABL1234[[#This Row],[خط (T/B  TOT) SAR]]-TABL1234[[#This Row],[(T/B TOT) AJD]]</f>
        <v>0</v>
      </c>
      <c r="S307" s="9">
        <f>TABL1234[[#This Row],[الفرق بين بداية ونهاية خط  T/B]]+TABL1234[[#This Row],[الفرق بين بداية ونهاية خط  S/S]]</f>
        <v>0</v>
      </c>
      <c r="T307" s="9">
        <f>TABL1234[[#This Row],[(S/S TOT) AJD]]+TABL1234[[#This Row],[(T/B TOT) AJD]]</f>
        <v>0</v>
      </c>
      <c r="U307" s="9"/>
      <c r="V307" s="9"/>
      <c r="W307" s="9">
        <f>TABL1234[[#This Row],[(A/B TOT) AJD]]+TABL1234[[#This Row],[(A/S TOT) AJD]]</f>
        <v>0</v>
      </c>
      <c r="X307" s="9">
        <f>TABL1234[[#This Row],[( S/S+T/B) AJD]]-TABL1234[[#This Row],[(A/B + A/S) AJD]]</f>
        <v>0</v>
      </c>
      <c r="Y307" s="18"/>
      <c r="Z307" s="9"/>
      <c r="AA307" s="3">
        <f>TABL1234[[#This Row],[(RESV. STORGE) AJD]]/10</f>
        <v>0</v>
      </c>
      <c r="AB307" s="3">
        <f t="shared" si="9"/>
        <v>0</v>
      </c>
      <c r="AC307" s="5"/>
      <c r="AD307" s="6">
        <f>TABL1234[[#This Row],[( S/S+T/B) AJD]]-(TABL1234[[#This Row],[(A/B + A/S) AJD]]+(TABL1234[[#This Row],[(STORGE DIFF.) AJD]]*1000)+TABL1234[[#This Row],[البخر  AJD]])</f>
        <v>0</v>
      </c>
      <c r="AE307" s="33"/>
      <c r="AF307" s="6"/>
      <c r="AG307" s="6"/>
      <c r="AH307" s="6"/>
      <c r="AI307" s="6"/>
      <c r="AJ307" s="33">
        <f>TABL1234[[#This Row],[(A/B TOT) AJD]]-TABL1234[[#This Row],[BER_ IN]]</f>
        <v>0</v>
      </c>
      <c r="AK307" s="6"/>
      <c r="AL307" s="6"/>
      <c r="AM307" s="32"/>
      <c r="AN307" s="32">
        <f>TABL1234[[#This Row],[ (RESV. STORGE) SER]]/10</f>
        <v>0</v>
      </c>
      <c r="AO307" s="68"/>
      <c r="AP307" s="68">
        <f>TABL1234[[#This Row],[(A/S TOT) AJD]]-TABL1234[[#This Row],[SER_ IN]]</f>
        <v>0</v>
      </c>
    </row>
    <row r="308" spans="1:42" ht="18.75" x14ac:dyDescent="0.25">
      <c r="A308" s="2">
        <v>46694</v>
      </c>
      <c r="B308" s="28"/>
      <c r="C308" s="28"/>
      <c r="D308" s="28"/>
      <c r="E308" s="28"/>
      <c r="F308" s="28"/>
      <c r="G308" s="28"/>
      <c r="H308" s="28">
        <f t="shared" si="8"/>
        <v>103</v>
      </c>
      <c r="I308" s="28"/>
      <c r="J308" s="28"/>
      <c r="K308" s="28">
        <f>TABL1234[[#This Row],[خط (T/B  TOT) SAR]]+TABL1234[[#This Row],[خط (S/S  TOT) SAR2]]</f>
        <v>0</v>
      </c>
      <c r="L308" s="28"/>
      <c r="M308" s="29"/>
      <c r="N308" s="30"/>
      <c r="O308" s="39"/>
      <c r="P308" s="9">
        <f>TABL1234[[#This Row],[خط (S/S  TOT) SAR2]]-TABL1234[[#This Row],[(S/S TOT) AJD]]</f>
        <v>0</v>
      </c>
      <c r="Q308" s="9"/>
      <c r="R308" s="9">
        <f>TABL1234[[#This Row],[خط (T/B  TOT) SAR]]-TABL1234[[#This Row],[(T/B TOT) AJD]]</f>
        <v>0</v>
      </c>
      <c r="S308" s="9">
        <f>TABL1234[[#This Row],[الفرق بين بداية ونهاية خط  T/B]]+TABL1234[[#This Row],[الفرق بين بداية ونهاية خط  S/S]]</f>
        <v>0</v>
      </c>
      <c r="T308" s="9">
        <f>TABL1234[[#This Row],[(S/S TOT) AJD]]+TABL1234[[#This Row],[(T/B TOT) AJD]]</f>
        <v>0</v>
      </c>
      <c r="U308" s="9"/>
      <c r="V308" s="9"/>
      <c r="W308" s="9">
        <f>TABL1234[[#This Row],[(A/B TOT) AJD]]+TABL1234[[#This Row],[(A/S TOT) AJD]]</f>
        <v>0</v>
      </c>
      <c r="X308" s="9">
        <f>TABL1234[[#This Row],[( S/S+T/B) AJD]]-TABL1234[[#This Row],[(A/B + A/S) AJD]]</f>
        <v>0</v>
      </c>
      <c r="Y308" s="18"/>
      <c r="Z308" s="9"/>
      <c r="AA308" s="3">
        <f>TABL1234[[#This Row],[(RESV. STORGE) AJD]]/10</f>
        <v>0</v>
      </c>
      <c r="AB308" s="3">
        <f t="shared" si="9"/>
        <v>0</v>
      </c>
      <c r="AC308" s="5"/>
      <c r="AD308" s="6">
        <f>TABL1234[[#This Row],[( S/S+T/B) AJD]]-(TABL1234[[#This Row],[(A/B + A/S) AJD]]+(TABL1234[[#This Row],[(STORGE DIFF.) AJD]]*1000)+TABL1234[[#This Row],[البخر  AJD]])</f>
        <v>0</v>
      </c>
      <c r="AE308" s="33"/>
      <c r="AF308" s="6"/>
      <c r="AG308" s="6"/>
      <c r="AH308" s="6"/>
      <c r="AI308" s="6"/>
      <c r="AJ308" s="33">
        <f>TABL1234[[#This Row],[(A/B TOT) AJD]]-TABL1234[[#This Row],[BER_ IN]]</f>
        <v>0</v>
      </c>
      <c r="AK308" s="6"/>
      <c r="AL308" s="6"/>
      <c r="AM308" s="32"/>
      <c r="AN308" s="32">
        <f>TABL1234[[#This Row],[ (RESV. STORGE) SER]]/10</f>
        <v>0</v>
      </c>
      <c r="AO308" s="68"/>
      <c r="AP308" s="68">
        <f>TABL1234[[#This Row],[(A/S TOT) AJD]]-TABL1234[[#This Row],[SER_ IN]]</f>
        <v>0</v>
      </c>
    </row>
    <row r="309" spans="1:42" ht="18.75" x14ac:dyDescent="0.25">
      <c r="A309" s="2">
        <v>46695</v>
      </c>
      <c r="B309" s="28"/>
      <c r="C309" s="28"/>
      <c r="D309" s="28"/>
      <c r="E309" s="28"/>
      <c r="F309" s="28"/>
      <c r="G309" s="28"/>
      <c r="H309" s="28">
        <f t="shared" si="8"/>
        <v>103</v>
      </c>
      <c r="I309" s="28"/>
      <c r="J309" s="28"/>
      <c r="K309" s="28">
        <f>TABL1234[[#This Row],[خط (T/B  TOT) SAR]]+TABL1234[[#This Row],[خط (S/S  TOT) SAR2]]</f>
        <v>0</v>
      </c>
      <c r="L309" s="28"/>
      <c r="M309" s="29"/>
      <c r="N309" s="30"/>
      <c r="O309" s="40"/>
      <c r="P309" s="9">
        <f>TABL1234[[#This Row],[خط (S/S  TOT) SAR2]]-TABL1234[[#This Row],[(S/S TOT) AJD]]</f>
        <v>0</v>
      </c>
      <c r="Q309" s="9"/>
      <c r="R309" s="9">
        <f>TABL1234[[#This Row],[خط (T/B  TOT) SAR]]-TABL1234[[#This Row],[(T/B TOT) AJD]]</f>
        <v>0</v>
      </c>
      <c r="S309" s="9">
        <f>TABL1234[[#This Row],[الفرق بين بداية ونهاية خط  T/B]]+TABL1234[[#This Row],[الفرق بين بداية ونهاية خط  S/S]]</f>
        <v>0</v>
      </c>
      <c r="T309" s="9">
        <f>TABL1234[[#This Row],[(S/S TOT) AJD]]+TABL1234[[#This Row],[(T/B TOT) AJD]]</f>
        <v>0</v>
      </c>
      <c r="U309" s="9"/>
      <c r="V309" s="9"/>
      <c r="W309" s="9">
        <f>TABL1234[[#This Row],[(A/B TOT) AJD]]+TABL1234[[#This Row],[(A/S TOT) AJD]]</f>
        <v>0</v>
      </c>
      <c r="X309" s="9">
        <f>TABL1234[[#This Row],[( S/S+T/B) AJD]]-TABL1234[[#This Row],[(A/B + A/S) AJD]]</f>
        <v>0</v>
      </c>
      <c r="Y309" s="18"/>
      <c r="Z309" s="9"/>
      <c r="AA309" s="3">
        <f>TABL1234[[#This Row],[(RESV. STORGE) AJD]]/10</f>
        <v>0</v>
      </c>
      <c r="AB309" s="3">
        <f t="shared" si="9"/>
        <v>0</v>
      </c>
      <c r="AC309" s="5"/>
      <c r="AD309" s="6">
        <f>TABL1234[[#This Row],[( S/S+T/B) AJD]]-(TABL1234[[#This Row],[(A/B + A/S) AJD]]+(TABL1234[[#This Row],[(STORGE DIFF.) AJD]]*1000)+TABL1234[[#This Row],[البخر  AJD]])</f>
        <v>0</v>
      </c>
      <c r="AE309" s="33"/>
      <c r="AF309" s="6"/>
      <c r="AG309" s="6"/>
      <c r="AH309" s="6"/>
      <c r="AI309" s="6"/>
      <c r="AJ309" s="33">
        <f>TABL1234[[#This Row],[(A/B TOT) AJD]]-TABL1234[[#This Row],[BER_ IN]]</f>
        <v>0</v>
      </c>
      <c r="AK309" s="6"/>
      <c r="AL309" s="6"/>
      <c r="AM309" s="32"/>
      <c r="AN309" s="32">
        <f>TABL1234[[#This Row],[ (RESV. STORGE) SER]]/10</f>
        <v>0</v>
      </c>
      <c r="AO309" s="68"/>
      <c r="AP309" s="68">
        <f>TABL1234[[#This Row],[(A/S TOT) AJD]]-TABL1234[[#This Row],[SER_ IN]]</f>
        <v>0</v>
      </c>
    </row>
    <row r="310" spans="1:42" ht="18.75" x14ac:dyDescent="0.25">
      <c r="A310" s="2">
        <v>46696</v>
      </c>
      <c r="B310" s="28"/>
      <c r="C310" s="28"/>
      <c r="D310" s="28"/>
      <c r="E310" s="28"/>
      <c r="F310" s="28"/>
      <c r="G310" s="28"/>
      <c r="H310" s="28">
        <f t="shared" si="8"/>
        <v>103</v>
      </c>
      <c r="I310" s="28"/>
      <c r="J310" s="28"/>
      <c r="K310" s="28">
        <f>TABL1234[[#This Row],[خط (T/B  TOT) SAR]]+TABL1234[[#This Row],[خط (S/S  TOT) SAR2]]</f>
        <v>0</v>
      </c>
      <c r="L310" s="28"/>
      <c r="M310" s="29"/>
      <c r="N310" s="30"/>
      <c r="O310" s="39"/>
      <c r="P310" s="9">
        <f>TABL1234[[#This Row],[خط (S/S  TOT) SAR2]]-TABL1234[[#This Row],[(S/S TOT) AJD]]</f>
        <v>0</v>
      </c>
      <c r="Q310" s="9"/>
      <c r="R310" s="9">
        <f>TABL1234[[#This Row],[خط (T/B  TOT) SAR]]-TABL1234[[#This Row],[(T/B TOT) AJD]]</f>
        <v>0</v>
      </c>
      <c r="S310" s="9">
        <f>TABL1234[[#This Row],[الفرق بين بداية ونهاية خط  T/B]]+TABL1234[[#This Row],[الفرق بين بداية ونهاية خط  S/S]]</f>
        <v>0</v>
      </c>
      <c r="T310" s="9">
        <f>TABL1234[[#This Row],[(S/S TOT) AJD]]+TABL1234[[#This Row],[(T/B TOT) AJD]]</f>
        <v>0</v>
      </c>
      <c r="U310" s="9"/>
      <c r="V310" s="9"/>
      <c r="W310" s="9">
        <f>TABL1234[[#This Row],[(A/B TOT) AJD]]+TABL1234[[#This Row],[(A/S TOT) AJD]]</f>
        <v>0</v>
      </c>
      <c r="X310" s="9">
        <f>TABL1234[[#This Row],[( S/S+T/B) AJD]]-TABL1234[[#This Row],[(A/B + A/S) AJD]]</f>
        <v>0</v>
      </c>
      <c r="Y310" s="18"/>
      <c r="Z310" s="9"/>
      <c r="AA310" s="3">
        <f>TABL1234[[#This Row],[(RESV. STORGE) AJD]]/10</f>
        <v>0</v>
      </c>
      <c r="AB310" s="3">
        <f t="shared" si="9"/>
        <v>0</v>
      </c>
      <c r="AC310" s="5"/>
      <c r="AD310" s="6">
        <f>TABL1234[[#This Row],[( S/S+T/B) AJD]]-(TABL1234[[#This Row],[(A/B + A/S) AJD]]+(TABL1234[[#This Row],[(STORGE DIFF.) AJD]]*1000)+TABL1234[[#This Row],[البخر  AJD]])</f>
        <v>0</v>
      </c>
      <c r="AE310" s="33"/>
      <c r="AF310" s="6"/>
      <c r="AG310" s="6"/>
      <c r="AH310" s="6"/>
      <c r="AI310" s="6"/>
      <c r="AJ310" s="33">
        <f>TABL1234[[#This Row],[(A/B TOT) AJD]]-TABL1234[[#This Row],[BER_ IN]]</f>
        <v>0</v>
      </c>
      <c r="AK310" s="6"/>
      <c r="AL310" s="6"/>
      <c r="AM310" s="32"/>
      <c r="AN310" s="32">
        <f>TABL1234[[#This Row],[ (RESV. STORGE) SER]]/10</f>
        <v>0</v>
      </c>
      <c r="AO310" s="68"/>
      <c r="AP310" s="68">
        <f>TABL1234[[#This Row],[(A/S TOT) AJD]]-TABL1234[[#This Row],[SER_ IN]]</f>
        <v>0</v>
      </c>
    </row>
    <row r="311" spans="1:42" ht="18.75" x14ac:dyDescent="0.25">
      <c r="A311" s="2">
        <v>46697</v>
      </c>
      <c r="B311" s="28"/>
      <c r="C311" s="28"/>
      <c r="D311" s="28"/>
      <c r="E311" s="28"/>
      <c r="F311" s="28"/>
      <c r="G311" s="28"/>
      <c r="H311" s="28">
        <f t="shared" si="8"/>
        <v>103</v>
      </c>
      <c r="I311" s="28"/>
      <c r="J311" s="28"/>
      <c r="K311" s="28">
        <f>TABL1234[[#This Row],[خط (T/B  TOT) SAR]]+TABL1234[[#This Row],[خط (S/S  TOT) SAR2]]</f>
        <v>0</v>
      </c>
      <c r="L311" s="28"/>
      <c r="M311" s="29"/>
      <c r="N311" s="30"/>
      <c r="O311" s="40"/>
      <c r="P311" s="9">
        <f>TABL1234[[#This Row],[خط (S/S  TOT) SAR2]]-TABL1234[[#This Row],[(S/S TOT) AJD]]</f>
        <v>0</v>
      </c>
      <c r="Q311" s="9"/>
      <c r="R311" s="9">
        <f>TABL1234[[#This Row],[خط (T/B  TOT) SAR]]-TABL1234[[#This Row],[(T/B TOT) AJD]]</f>
        <v>0</v>
      </c>
      <c r="S311" s="9">
        <f>TABL1234[[#This Row],[الفرق بين بداية ونهاية خط  T/B]]+TABL1234[[#This Row],[الفرق بين بداية ونهاية خط  S/S]]</f>
        <v>0</v>
      </c>
      <c r="T311" s="9">
        <f>TABL1234[[#This Row],[(S/S TOT) AJD]]+TABL1234[[#This Row],[(T/B TOT) AJD]]</f>
        <v>0</v>
      </c>
      <c r="U311" s="9"/>
      <c r="V311" s="9"/>
      <c r="W311" s="9">
        <f>TABL1234[[#This Row],[(A/B TOT) AJD]]+TABL1234[[#This Row],[(A/S TOT) AJD]]</f>
        <v>0</v>
      </c>
      <c r="X311" s="9">
        <f>TABL1234[[#This Row],[( S/S+T/B) AJD]]-TABL1234[[#This Row],[(A/B + A/S) AJD]]</f>
        <v>0</v>
      </c>
      <c r="Y311" s="18"/>
      <c r="Z311" s="9"/>
      <c r="AA311" s="3">
        <f>TABL1234[[#This Row],[(RESV. STORGE) AJD]]/10</f>
        <v>0</v>
      </c>
      <c r="AB311" s="3">
        <f t="shared" si="9"/>
        <v>0</v>
      </c>
      <c r="AC311" s="5"/>
      <c r="AD311" s="6">
        <f>TABL1234[[#This Row],[( S/S+T/B) AJD]]-(TABL1234[[#This Row],[(A/B + A/S) AJD]]+(TABL1234[[#This Row],[(STORGE DIFF.) AJD]]*1000)+TABL1234[[#This Row],[البخر  AJD]])</f>
        <v>0</v>
      </c>
      <c r="AE311" s="33"/>
      <c r="AF311" s="6"/>
      <c r="AG311" s="6"/>
      <c r="AH311" s="6"/>
      <c r="AI311" s="6"/>
      <c r="AJ311" s="33">
        <f>TABL1234[[#This Row],[(A/B TOT) AJD]]-TABL1234[[#This Row],[BER_ IN]]</f>
        <v>0</v>
      </c>
      <c r="AK311" s="6"/>
      <c r="AL311" s="6"/>
      <c r="AM311" s="32"/>
      <c r="AN311" s="32">
        <f>TABL1234[[#This Row],[ (RESV. STORGE) SER]]/10</f>
        <v>0</v>
      </c>
      <c r="AO311" s="68"/>
      <c r="AP311" s="68">
        <f>TABL1234[[#This Row],[(A/S TOT) AJD]]-TABL1234[[#This Row],[SER_ IN]]</f>
        <v>0</v>
      </c>
    </row>
    <row r="312" spans="1:42" ht="18.75" x14ac:dyDescent="0.25">
      <c r="A312" s="2">
        <v>46698</v>
      </c>
      <c r="B312" s="28"/>
      <c r="C312" s="28"/>
      <c r="D312" s="28"/>
      <c r="E312" s="28"/>
      <c r="F312" s="28"/>
      <c r="G312" s="28"/>
      <c r="H312" s="28">
        <f t="shared" si="8"/>
        <v>103</v>
      </c>
      <c r="I312" s="28"/>
      <c r="J312" s="28"/>
      <c r="K312" s="28">
        <f>TABL1234[[#This Row],[خط (T/B  TOT) SAR]]+TABL1234[[#This Row],[خط (S/S  TOT) SAR2]]</f>
        <v>0</v>
      </c>
      <c r="L312" s="28"/>
      <c r="M312" s="29"/>
      <c r="N312" s="30"/>
      <c r="O312" s="39"/>
      <c r="P312" s="9">
        <f>TABL1234[[#This Row],[خط (S/S  TOT) SAR2]]-TABL1234[[#This Row],[(S/S TOT) AJD]]</f>
        <v>0</v>
      </c>
      <c r="Q312" s="9"/>
      <c r="R312" s="9">
        <f>TABL1234[[#This Row],[خط (T/B  TOT) SAR]]-TABL1234[[#This Row],[(T/B TOT) AJD]]</f>
        <v>0</v>
      </c>
      <c r="S312" s="9">
        <f>TABL1234[[#This Row],[الفرق بين بداية ونهاية خط  T/B]]+TABL1234[[#This Row],[الفرق بين بداية ونهاية خط  S/S]]</f>
        <v>0</v>
      </c>
      <c r="T312" s="9">
        <f>TABL1234[[#This Row],[(S/S TOT) AJD]]+TABL1234[[#This Row],[(T/B TOT) AJD]]</f>
        <v>0</v>
      </c>
      <c r="U312" s="9"/>
      <c r="V312" s="9"/>
      <c r="W312" s="9">
        <f>TABL1234[[#This Row],[(A/B TOT) AJD]]+TABL1234[[#This Row],[(A/S TOT) AJD]]</f>
        <v>0</v>
      </c>
      <c r="X312" s="9">
        <f>TABL1234[[#This Row],[( S/S+T/B) AJD]]-TABL1234[[#This Row],[(A/B + A/S) AJD]]</f>
        <v>0</v>
      </c>
      <c r="Y312" s="18"/>
      <c r="Z312" s="9"/>
      <c r="AA312" s="3">
        <f>TABL1234[[#This Row],[(RESV. STORGE) AJD]]/10</f>
        <v>0</v>
      </c>
      <c r="AB312" s="3">
        <f t="shared" si="9"/>
        <v>0</v>
      </c>
      <c r="AC312" s="5"/>
      <c r="AD312" s="6">
        <f>TABL1234[[#This Row],[( S/S+T/B) AJD]]-(TABL1234[[#This Row],[(A/B + A/S) AJD]]+(TABL1234[[#This Row],[(STORGE DIFF.) AJD]]*1000)+TABL1234[[#This Row],[البخر  AJD]])</f>
        <v>0</v>
      </c>
      <c r="AE312" s="33"/>
      <c r="AF312" s="6"/>
      <c r="AG312" s="6"/>
      <c r="AH312" s="6"/>
      <c r="AI312" s="6"/>
      <c r="AJ312" s="33">
        <f>TABL1234[[#This Row],[(A/B TOT) AJD]]-TABL1234[[#This Row],[BER_ IN]]</f>
        <v>0</v>
      </c>
      <c r="AK312" s="6"/>
      <c r="AL312" s="6"/>
      <c r="AM312" s="32"/>
      <c r="AN312" s="32">
        <f>TABL1234[[#This Row],[ (RESV. STORGE) SER]]/10</f>
        <v>0</v>
      </c>
      <c r="AO312" s="68"/>
      <c r="AP312" s="68">
        <f>TABL1234[[#This Row],[(A/S TOT) AJD]]-TABL1234[[#This Row],[SER_ IN]]</f>
        <v>0</v>
      </c>
    </row>
    <row r="313" spans="1:42" ht="18.75" x14ac:dyDescent="0.25">
      <c r="A313" s="2">
        <v>46699</v>
      </c>
      <c r="B313" s="28"/>
      <c r="C313" s="28"/>
      <c r="D313" s="28"/>
      <c r="E313" s="28"/>
      <c r="F313" s="28"/>
      <c r="G313" s="28"/>
      <c r="H313" s="28">
        <f t="shared" si="8"/>
        <v>103</v>
      </c>
      <c r="I313" s="28"/>
      <c r="J313" s="28"/>
      <c r="K313" s="28">
        <f>TABL1234[[#This Row],[خط (T/B  TOT) SAR]]+TABL1234[[#This Row],[خط (S/S  TOT) SAR2]]</f>
        <v>0</v>
      </c>
      <c r="L313" s="28"/>
      <c r="M313" s="29"/>
      <c r="N313" s="30"/>
      <c r="O313" s="40"/>
      <c r="P313" s="9">
        <f>TABL1234[[#This Row],[خط (S/S  TOT) SAR2]]-TABL1234[[#This Row],[(S/S TOT) AJD]]</f>
        <v>0</v>
      </c>
      <c r="Q313" s="9"/>
      <c r="R313" s="9">
        <f>TABL1234[[#This Row],[خط (T/B  TOT) SAR]]-TABL1234[[#This Row],[(T/B TOT) AJD]]</f>
        <v>0</v>
      </c>
      <c r="S313" s="9">
        <f>TABL1234[[#This Row],[الفرق بين بداية ونهاية خط  T/B]]+TABL1234[[#This Row],[الفرق بين بداية ونهاية خط  S/S]]</f>
        <v>0</v>
      </c>
      <c r="T313" s="9">
        <f>TABL1234[[#This Row],[(S/S TOT) AJD]]+TABL1234[[#This Row],[(T/B TOT) AJD]]</f>
        <v>0</v>
      </c>
      <c r="U313" s="9"/>
      <c r="V313" s="9"/>
      <c r="W313" s="9">
        <f>TABL1234[[#This Row],[(A/B TOT) AJD]]+TABL1234[[#This Row],[(A/S TOT) AJD]]</f>
        <v>0</v>
      </c>
      <c r="X313" s="9">
        <f>TABL1234[[#This Row],[( S/S+T/B) AJD]]-TABL1234[[#This Row],[(A/B + A/S) AJD]]</f>
        <v>0</v>
      </c>
      <c r="Y313" s="18"/>
      <c r="Z313" s="9"/>
      <c r="AA313" s="3">
        <f>TABL1234[[#This Row],[(RESV. STORGE) AJD]]/10</f>
        <v>0</v>
      </c>
      <c r="AB313" s="3">
        <f t="shared" si="9"/>
        <v>0</v>
      </c>
      <c r="AC313" s="5"/>
      <c r="AD313" s="6">
        <f>TABL1234[[#This Row],[( S/S+T/B) AJD]]-(TABL1234[[#This Row],[(A/B + A/S) AJD]]+(TABL1234[[#This Row],[(STORGE DIFF.) AJD]]*1000)+TABL1234[[#This Row],[البخر  AJD]])</f>
        <v>0</v>
      </c>
      <c r="AE313" s="33"/>
      <c r="AF313" s="6"/>
      <c r="AG313" s="6"/>
      <c r="AH313" s="6"/>
      <c r="AI313" s="6"/>
      <c r="AJ313" s="33">
        <f>TABL1234[[#This Row],[(A/B TOT) AJD]]-TABL1234[[#This Row],[BER_ IN]]</f>
        <v>0</v>
      </c>
      <c r="AK313" s="6"/>
      <c r="AL313" s="6"/>
      <c r="AM313" s="32"/>
      <c r="AN313" s="32">
        <f>TABL1234[[#This Row],[ (RESV. STORGE) SER]]/10</f>
        <v>0</v>
      </c>
      <c r="AO313" s="68"/>
      <c r="AP313" s="68">
        <f>TABL1234[[#This Row],[(A/S TOT) AJD]]-TABL1234[[#This Row],[SER_ IN]]</f>
        <v>0</v>
      </c>
    </row>
    <row r="314" spans="1:42" ht="18.75" x14ac:dyDescent="0.25">
      <c r="A314" s="2">
        <v>46700</v>
      </c>
      <c r="B314" s="28"/>
      <c r="C314" s="28"/>
      <c r="D314" s="28"/>
      <c r="E314" s="28"/>
      <c r="F314" s="28"/>
      <c r="G314" s="28"/>
      <c r="H314" s="28">
        <f t="shared" si="8"/>
        <v>103</v>
      </c>
      <c r="I314" s="28"/>
      <c r="J314" s="28"/>
      <c r="K314" s="28">
        <f>TABL1234[[#This Row],[خط (T/B  TOT) SAR]]+TABL1234[[#This Row],[خط (S/S  TOT) SAR2]]</f>
        <v>0</v>
      </c>
      <c r="L314" s="28"/>
      <c r="M314" s="29"/>
      <c r="N314" s="30"/>
      <c r="O314" s="39"/>
      <c r="P314" s="9">
        <f>TABL1234[[#This Row],[خط (S/S  TOT) SAR2]]-TABL1234[[#This Row],[(S/S TOT) AJD]]</f>
        <v>0</v>
      </c>
      <c r="Q314" s="9"/>
      <c r="R314" s="9">
        <f>TABL1234[[#This Row],[خط (T/B  TOT) SAR]]-TABL1234[[#This Row],[(T/B TOT) AJD]]</f>
        <v>0</v>
      </c>
      <c r="S314" s="9">
        <f>TABL1234[[#This Row],[الفرق بين بداية ونهاية خط  T/B]]+TABL1234[[#This Row],[الفرق بين بداية ونهاية خط  S/S]]</f>
        <v>0</v>
      </c>
      <c r="T314" s="9">
        <f>TABL1234[[#This Row],[(S/S TOT) AJD]]+TABL1234[[#This Row],[(T/B TOT) AJD]]</f>
        <v>0</v>
      </c>
      <c r="U314" s="9"/>
      <c r="V314" s="9"/>
      <c r="W314" s="9">
        <f>TABL1234[[#This Row],[(A/B TOT) AJD]]+TABL1234[[#This Row],[(A/S TOT) AJD]]</f>
        <v>0</v>
      </c>
      <c r="X314" s="9">
        <f>TABL1234[[#This Row],[( S/S+T/B) AJD]]-TABL1234[[#This Row],[(A/B + A/S) AJD]]</f>
        <v>0</v>
      </c>
      <c r="Y314" s="18"/>
      <c r="Z314" s="9"/>
      <c r="AA314" s="3">
        <f>TABL1234[[#This Row],[(RESV. STORGE) AJD]]/10</f>
        <v>0</v>
      </c>
      <c r="AB314" s="3">
        <f t="shared" si="9"/>
        <v>0</v>
      </c>
      <c r="AC314" s="5"/>
      <c r="AD314" s="6">
        <f>TABL1234[[#This Row],[( S/S+T/B) AJD]]-(TABL1234[[#This Row],[(A/B + A/S) AJD]]+(TABL1234[[#This Row],[(STORGE DIFF.) AJD]]*1000)+TABL1234[[#This Row],[البخر  AJD]])</f>
        <v>0</v>
      </c>
      <c r="AE314" s="33"/>
      <c r="AF314" s="6"/>
      <c r="AG314" s="6"/>
      <c r="AH314" s="6"/>
      <c r="AI314" s="6"/>
      <c r="AJ314" s="33">
        <f>TABL1234[[#This Row],[(A/B TOT) AJD]]-TABL1234[[#This Row],[BER_ IN]]</f>
        <v>0</v>
      </c>
      <c r="AK314" s="6"/>
      <c r="AL314" s="6"/>
      <c r="AM314" s="32"/>
      <c r="AN314" s="32">
        <f>TABL1234[[#This Row],[ (RESV. STORGE) SER]]/10</f>
        <v>0</v>
      </c>
      <c r="AO314" s="68"/>
      <c r="AP314" s="68">
        <f>TABL1234[[#This Row],[(A/S TOT) AJD]]-TABL1234[[#This Row],[SER_ IN]]</f>
        <v>0</v>
      </c>
    </row>
    <row r="315" spans="1:42" ht="18.75" x14ac:dyDescent="0.25">
      <c r="A315" s="2">
        <v>46701</v>
      </c>
      <c r="B315" s="28"/>
      <c r="C315" s="28"/>
      <c r="D315" s="28"/>
      <c r="E315" s="28"/>
      <c r="F315" s="28"/>
      <c r="G315" s="28"/>
      <c r="H315" s="28">
        <f t="shared" si="8"/>
        <v>103</v>
      </c>
      <c r="I315" s="28"/>
      <c r="J315" s="28"/>
      <c r="K315" s="28">
        <f>TABL1234[[#This Row],[خط (T/B  TOT) SAR]]+TABL1234[[#This Row],[خط (S/S  TOT) SAR2]]</f>
        <v>0</v>
      </c>
      <c r="L315" s="28"/>
      <c r="M315" s="29"/>
      <c r="N315" s="30"/>
      <c r="O315" s="40"/>
      <c r="P315" s="9">
        <f>TABL1234[[#This Row],[خط (S/S  TOT) SAR2]]-TABL1234[[#This Row],[(S/S TOT) AJD]]</f>
        <v>0</v>
      </c>
      <c r="Q315" s="9"/>
      <c r="R315" s="9">
        <f>TABL1234[[#This Row],[خط (T/B  TOT) SAR]]-TABL1234[[#This Row],[(T/B TOT) AJD]]</f>
        <v>0</v>
      </c>
      <c r="S315" s="9">
        <f>TABL1234[[#This Row],[الفرق بين بداية ونهاية خط  T/B]]+TABL1234[[#This Row],[الفرق بين بداية ونهاية خط  S/S]]</f>
        <v>0</v>
      </c>
      <c r="T315" s="9">
        <f>TABL1234[[#This Row],[(S/S TOT) AJD]]+TABL1234[[#This Row],[(T/B TOT) AJD]]</f>
        <v>0</v>
      </c>
      <c r="U315" s="9"/>
      <c r="V315" s="9"/>
      <c r="W315" s="9">
        <f>TABL1234[[#This Row],[(A/B TOT) AJD]]+TABL1234[[#This Row],[(A/S TOT) AJD]]</f>
        <v>0</v>
      </c>
      <c r="X315" s="9">
        <f>TABL1234[[#This Row],[( S/S+T/B) AJD]]-TABL1234[[#This Row],[(A/B + A/S) AJD]]</f>
        <v>0</v>
      </c>
      <c r="Y315" s="18"/>
      <c r="Z315" s="9"/>
      <c r="AA315" s="3">
        <f>TABL1234[[#This Row],[(RESV. STORGE) AJD]]/10</f>
        <v>0</v>
      </c>
      <c r="AB315" s="3">
        <f t="shared" si="9"/>
        <v>0</v>
      </c>
      <c r="AC315" s="5"/>
      <c r="AD315" s="6">
        <f>TABL1234[[#This Row],[( S/S+T/B) AJD]]-(TABL1234[[#This Row],[(A/B + A/S) AJD]]+(TABL1234[[#This Row],[(STORGE DIFF.) AJD]]*1000)+TABL1234[[#This Row],[البخر  AJD]])</f>
        <v>0</v>
      </c>
      <c r="AE315" s="33"/>
      <c r="AF315" s="6"/>
      <c r="AG315" s="6"/>
      <c r="AH315" s="6"/>
      <c r="AI315" s="6"/>
      <c r="AJ315" s="33">
        <f>TABL1234[[#This Row],[(A/B TOT) AJD]]-TABL1234[[#This Row],[BER_ IN]]</f>
        <v>0</v>
      </c>
      <c r="AK315" s="6"/>
      <c r="AL315" s="6"/>
      <c r="AM315" s="32"/>
      <c r="AN315" s="32">
        <f>TABL1234[[#This Row],[ (RESV. STORGE) SER]]/10</f>
        <v>0</v>
      </c>
      <c r="AO315" s="68"/>
      <c r="AP315" s="68">
        <f>TABL1234[[#This Row],[(A/S TOT) AJD]]-TABL1234[[#This Row],[SER_ IN]]</f>
        <v>0</v>
      </c>
    </row>
    <row r="316" spans="1:42" ht="18.75" x14ac:dyDescent="0.25">
      <c r="A316" s="2">
        <v>46702</v>
      </c>
      <c r="B316" s="28"/>
      <c r="C316" s="28"/>
      <c r="D316" s="28"/>
      <c r="E316" s="28"/>
      <c r="F316" s="28"/>
      <c r="G316" s="28"/>
      <c r="H316" s="28">
        <f t="shared" si="8"/>
        <v>103</v>
      </c>
      <c r="I316" s="28"/>
      <c r="J316" s="28"/>
      <c r="K316" s="28">
        <f>TABL1234[[#This Row],[خط (T/B  TOT) SAR]]+TABL1234[[#This Row],[خط (S/S  TOT) SAR2]]</f>
        <v>0</v>
      </c>
      <c r="L316" s="28"/>
      <c r="M316" s="29"/>
      <c r="N316" s="30"/>
      <c r="O316" s="39"/>
      <c r="P316" s="9">
        <f>TABL1234[[#This Row],[خط (S/S  TOT) SAR2]]-TABL1234[[#This Row],[(S/S TOT) AJD]]</f>
        <v>0</v>
      </c>
      <c r="Q316" s="9"/>
      <c r="R316" s="9">
        <f>TABL1234[[#This Row],[خط (T/B  TOT) SAR]]-TABL1234[[#This Row],[(T/B TOT) AJD]]</f>
        <v>0</v>
      </c>
      <c r="S316" s="9">
        <f>TABL1234[[#This Row],[الفرق بين بداية ونهاية خط  T/B]]+TABL1234[[#This Row],[الفرق بين بداية ونهاية خط  S/S]]</f>
        <v>0</v>
      </c>
      <c r="T316" s="9">
        <f>TABL1234[[#This Row],[(S/S TOT) AJD]]+TABL1234[[#This Row],[(T/B TOT) AJD]]</f>
        <v>0</v>
      </c>
      <c r="U316" s="9"/>
      <c r="V316" s="9"/>
      <c r="W316" s="9">
        <f>TABL1234[[#This Row],[(A/B TOT) AJD]]+TABL1234[[#This Row],[(A/S TOT) AJD]]</f>
        <v>0</v>
      </c>
      <c r="X316" s="9">
        <f>TABL1234[[#This Row],[( S/S+T/B) AJD]]-TABL1234[[#This Row],[(A/B + A/S) AJD]]</f>
        <v>0</v>
      </c>
      <c r="Y316" s="18"/>
      <c r="Z316" s="9"/>
      <c r="AA316" s="3">
        <f>TABL1234[[#This Row],[(RESV. STORGE) AJD]]/10</f>
        <v>0</v>
      </c>
      <c r="AB316" s="3">
        <f t="shared" si="9"/>
        <v>0</v>
      </c>
      <c r="AC316" s="5"/>
      <c r="AD316" s="6">
        <f>TABL1234[[#This Row],[( S/S+T/B) AJD]]-(TABL1234[[#This Row],[(A/B + A/S) AJD]]+(TABL1234[[#This Row],[(STORGE DIFF.) AJD]]*1000)+TABL1234[[#This Row],[البخر  AJD]])</f>
        <v>0</v>
      </c>
      <c r="AE316" s="33"/>
      <c r="AF316" s="6"/>
      <c r="AG316" s="6"/>
      <c r="AH316" s="6"/>
      <c r="AI316" s="6"/>
      <c r="AJ316" s="33">
        <f>TABL1234[[#This Row],[(A/B TOT) AJD]]-TABL1234[[#This Row],[BER_ IN]]</f>
        <v>0</v>
      </c>
      <c r="AK316" s="6"/>
      <c r="AL316" s="6"/>
      <c r="AM316" s="32"/>
      <c r="AN316" s="32">
        <f>TABL1234[[#This Row],[ (RESV. STORGE) SER]]/10</f>
        <v>0</v>
      </c>
      <c r="AO316" s="68"/>
      <c r="AP316" s="68">
        <f>TABL1234[[#This Row],[(A/S TOT) AJD]]-TABL1234[[#This Row],[SER_ IN]]</f>
        <v>0</v>
      </c>
    </row>
    <row r="317" spans="1:42" ht="18.75" x14ac:dyDescent="0.25">
      <c r="A317" s="2">
        <v>46703</v>
      </c>
      <c r="B317" s="28"/>
      <c r="C317" s="28"/>
      <c r="D317" s="28"/>
      <c r="E317" s="28"/>
      <c r="F317" s="28"/>
      <c r="G317" s="28"/>
      <c r="H317" s="28">
        <f t="shared" si="8"/>
        <v>103</v>
      </c>
      <c r="I317" s="28"/>
      <c r="J317" s="28"/>
      <c r="K317" s="28">
        <f>TABL1234[[#This Row],[خط (T/B  TOT) SAR]]+TABL1234[[#This Row],[خط (S/S  TOT) SAR2]]</f>
        <v>0</v>
      </c>
      <c r="L317" s="28"/>
      <c r="M317" s="29"/>
      <c r="N317" s="30"/>
      <c r="O317" s="40"/>
      <c r="P317" s="9">
        <f>TABL1234[[#This Row],[خط (S/S  TOT) SAR2]]-TABL1234[[#This Row],[(S/S TOT) AJD]]</f>
        <v>0</v>
      </c>
      <c r="Q317" s="9"/>
      <c r="R317" s="9">
        <f>TABL1234[[#This Row],[خط (T/B  TOT) SAR]]-TABL1234[[#This Row],[(T/B TOT) AJD]]</f>
        <v>0</v>
      </c>
      <c r="S317" s="9">
        <f>TABL1234[[#This Row],[الفرق بين بداية ونهاية خط  T/B]]+TABL1234[[#This Row],[الفرق بين بداية ونهاية خط  S/S]]</f>
        <v>0</v>
      </c>
      <c r="T317" s="9">
        <f>TABL1234[[#This Row],[(S/S TOT) AJD]]+TABL1234[[#This Row],[(T/B TOT) AJD]]</f>
        <v>0</v>
      </c>
      <c r="U317" s="9"/>
      <c r="V317" s="9"/>
      <c r="W317" s="9">
        <f>TABL1234[[#This Row],[(A/B TOT) AJD]]+TABL1234[[#This Row],[(A/S TOT) AJD]]</f>
        <v>0</v>
      </c>
      <c r="X317" s="9">
        <f>TABL1234[[#This Row],[( S/S+T/B) AJD]]-TABL1234[[#This Row],[(A/B + A/S) AJD]]</f>
        <v>0</v>
      </c>
      <c r="Y317" s="18"/>
      <c r="Z317" s="9"/>
      <c r="AA317" s="3">
        <f>TABL1234[[#This Row],[(RESV. STORGE) AJD]]/10</f>
        <v>0</v>
      </c>
      <c r="AB317" s="3">
        <f t="shared" si="9"/>
        <v>0</v>
      </c>
      <c r="AC317" s="5"/>
      <c r="AD317" s="6">
        <f>TABL1234[[#This Row],[( S/S+T/B) AJD]]-(TABL1234[[#This Row],[(A/B + A/S) AJD]]+(TABL1234[[#This Row],[(STORGE DIFF.) AJD]]*1000)+TABL1234[[#This Row],[البخر  AJD]])</f>
        <v>0</v>
      </c>
      <c r="AE317" s="33"/>
      <c r="AF317" s="6"/>
      <c r="AG317" s="6"/>
      <c r="AH317" s="6"/>
      <c r="AI317" s="6"/>
      <c r="AJ317" s="33">
        <f>TABL1234[[#This Row],[(A/B TOT) AJD]]-TABL1234[[#This Row],[BER_ IN]]</f>
        <v>0</v>
      </c>
      <c r="AK317" s="6"/>
      <c r="AL317" s="6"/>
      <c r="AM317" s="32"/>
      <c r="AN317" s="32">
        <f>TABL1234[[#This Row],[ (RESV. STORGE) SER]]/10</f>
        <v>0</v>
      </c>
      <c r="AO317" s="68"/>
      <c r="AP317" s="68">
        <f>TABL1234[[#This Row],[(A/S TOT) AJD]]-TABL1234[[#This Row],[SER_ IN]]</f>
        <v>0</v>
      </c>
    </row>
    <row r="318" spans="1:42" ht="18.75" x14ac:dyDescent="0.25">
      <c r="A318" s="2">
        <v>46704</v>
      </c>
      <c r="B318" s="28"/>
      <c r="C318" s="28"/>
      <c r="D318" s="28"/>
      <c r="E318" s="28"/>
      <c r="F318" s="28"/>
      <c r="G318" s="28"/>
      <c r="H318" s="28">
        <f t="shared" si="8"/>
        <v>103</v>
      </c>
      <c r="I318" s="28"/>
      <c r="J318" s="28"/>
      <c r="K318" s="28">
        <f>TABL1234[[#This Row],[خط (T/B  TOT) SAR]]+TABL1234[[#This Row],[خط (S/S  TOT) SAR2]]</f>
        <v>0</v>
      </c>
      <c r="L318" s="28"/>
      <c r="M318" s="29"/>
      <c r="N318" s="30"/>
      <c r="O318" s="39"/>
      <c r="P318" s="9">
        <f>TABL1234[[#This Row],[خط (S/S  TOT) SAR2]]-TABL1234[[#This Row],[(S/S TOT) AJD]]</f>
        <v>0</v>
      </c>
      <c r="Q318" s="9"/>
      <c r="R318" s="9">
        <f>TABL1234[[#This Row],[خط (T/B  TOT) SAR]]-TABL1234[[#This Row],[(T/B TOT) AJD]]</f>
        <v>0</v>
      </c>
      <c r="S318" s="9">
        <f>TABL1234[[#This Row],[الفرق بين بداية ونهاية خط  T/B]]+TABL1234[[#This Row],[الفرق بين بداية ونهاية خط  S/S]]</f>
        <v>0</v>
      </c>
      <c r="T318" s="9">
        <f>TABL1234[[#This Row],[(S/S TOT) AJD]]+TABL1234[[#This Row],[(T/B TOT) AJD]]</f>
        <v>0</v>
      </c>
      <c r="U318" s="9"/>
      <c r="V318" s="9"/>
      <c r="W318" s="9">
        <f>TABL1234[[#This Row],[(A/B TOT) AJD]]+TABL1234[[#This Row],[(A/S TOT) AJD]]</f>
        <v>0</v>
      </c>
      <c r="X318" s="9">
        <f>TABL1234[[#This Row],[( S/S+T/B) AJD]]-TABL1234[[#This Row],[(A/B + A/S) AJD]]</f>
        <v>0</v>
      </c>
      <c r="Y318" s="18"/>
      <c r="Z318" s="9"/>
      <c r="AA318" s="3">
        <f>TABL1234[[#This Row],[(RESV. STORGE) AJD]]/10</f>
        <v>0</v>
      </c>
      <c r="AB318" s="3">
        <f t="shared" si="9"/>
        <v>0</v>
      </c>
      <c r="AC318" s="5"/>
      <c r="AD318" s="6">
        <f>TABL1234[[#This Row],[( S/S+T/B) AJD]]-(TABL1234[[#This Row],[(A/B + A/S) AJD]]+(TABL1234[[#This Row],[(STORGE DIFF.) AJD]]*1000)+TABL1234[[#This Row],[البخر  AJD]])</f>
        <v>0</v>
      </c>
      <c r="AE318" s="33"/>
      <c r="AF318" s="6"/>
      <c r="AG318" s="6"/>
      <c r="AH318" s="6"/>
      <c r="AI318" s="6"/>
      <c r="AJ318" s="33">
        <f>TABL1234[[#This Row],[(A/B TOT) AJD]]-TABL1234[[#This Row],[BER_ IN]]</f>
        <v>0</v>
      </c>
      <c r="AK318" s="6"/>
      <c r="AL318" s="6"/>
      <c r="AM318" s="32"/>
      <c r="AN318" s="32">
        <f>TABL1234[[#This Row],[ (RESV. STORGE) SER]]/10</f>
        <v>0</v>
      </c>
      <c r="AO318" s="68"/>
      <c r="AP318" s="68">
        <f>TABL1234[[#This Row],[(A/S TOT) AJD]]-TABL1234[[#This Row],[SER_ IN]]</f>
        <v>0</v>
      </c>
    </row>
    <row r="319" spans="1:42" ht="18.75" x14ac:dyDescent="0.25">
      <c r="A319" s="2">
        <v>46705</v>
      </c>
      <c r="B319" s="28"/>
      <c r="C319" s="28"/>
      <c r="D319" s="28"/>
      <c r="E319" s="28"/>
      <c r="F319" s="28"/>
      <c r="G319" s="28"/>
      <c r="H319" s="28">
        <f t="shared" si="8"/>
        <v>103</v>
      </c>
      <c r="I319" s="28"/>
      <c r="J319" s="28"/>
      <c r="K319" s="28">
        <f>TABL1234[[#This Row],[خط (T/B  TOT) SAR]]+TABL1234[[#This Row],[خط (S/S  TOT) SAR2]]</f>
        <v>0</v>
      </c>
      <c r="L319" s="28"/>
      <c r="M319" s="29"/>
      <c r="N319" s="30"/>
      <c r="O319" s="40"/>
      <c r="P319" s="9">
        <f>TABL1234[[#This Row],[خط (S/S  TOT) SAR2]]-TABL1234[[#This Row],[(S/S TOT) AJD]]</f>
        <v>0</v>
      </c>
      <c r="Q319" s="9"/>
      <c r="R319" s="9">
        <f>TABL1234[[#This Row],[خط (T/B  TOT) SAR]]-TABL1234[[#This Row],[(T/B TOT) AJD]]</f>
        <v>0</v>
      </c>
      <c r="S319" s="9">
        <f>TABL1234[[#This Row],[الفرق بين بداية ونهاية خط  T/B]]+TABL1234[[#This Row],[الفرق بين بداية ونهاية خط  S/S]]</f>
        <v>0</v>
      </c>
      <c r="T319" s="9">
        <f>TABL1234[[#This Row],[(S/S TOT) AJD]]+TABL1234[[#This Row],[(T/B TOT) AJD]]</f>
        <v>0</v>
      </c>
      <c r="U319" s="9"/>
      <c r="V319" s="9"/>
      <c r="W319" s="9">
        <f>TABL1234[[#This Row],[(A/B TOT) AJD]]+TABL1234[[#This Row],[(A/S TOT) AJD]]</f>
        <v>0</v>
      </c>
      <c r="X319" s="9">
        <f>TABL1234[[#This Row],[( S/S+T/B) AJD]]-TABL1234[[#This Row],[(A/B + A/S) AJD]]</f>
        <v>0</v>
      </c>
      <c r="Y319" s="18"/>
      <c r="Z319" s="9"/>
      <c r="AA319" s="3">
        <f>TABL1234[[#This Row],[(RESV. STORGE) AJD]]/10</f>
        <v>0</v>
      </c>
      <c r="AB319" s="3">
        <f t="shared" si="9"/>
        <v>0</v>
      </c>
      <c r="AC319" s="5"/>
      <c r="AD319" s="6">
        <f>TABL1234[[#This Row],[( S/S+T/B) AJD]]-(TABL1234[[#This Row],[(A/B + A/S) AJD]]+(TABL1234[[#This Row],[(STORGE DIFF.) AJD]]*1000)+TABL1234[[#This Row],[البخر  AJD]])</f>
        <v>0</v>
      </c>
      <c r="AE319" s="33"/>
      <c r="AF319" s="6"/>
      <c r="AG319" s="6"/>
      <c r="AH319" s="6"/>
      <c r="AI319" s="6"/>
      <c r="AJ319" s="33">
        <f>TABL1234[[#This Row],[(A/B TOT) AJD]]-TABL1234[[#This Row],[BER_ IN]]</f>
        <v>0</v>
      </c>
      <c r="AK319" s="6"/>
      <c r="AL319" s="6"/>
      <c r="AM319" s="32"/>
      <c r="AN319" s="32">
        <f>TABL1234[[#This Row],[ (RESV. STORGE) SER]]/10</f>
        <v>0</v>
      </c>
      <c r="AO319" s="68"/>
      <c r="AP319" s="68">
        <f>TABL1234[[#This Row],[(A/S TOT) AJD]]-TABL1234[[#This Row],[SER_ IN]]</f>
        <v>0</v>
      </c>
    </row>
    <row r="320" spans="1:42" ht="18.75" x14ac:dyDescent="0.25">
      <c r="A320" s="2">
        <v>46706</v>
      </c>
      <c r="B320" s="28"/>
      <c r="C320" s="28"/>
      <c r="D320" s="28"/>
      <c r="E320" s="28"/>
      <c r="F320" s="28"/>
      <c r="G320" s="28"/>
      <c r="H320" s="28">
        <f t="shared" si="8"/>
        <v>103</v>
      </c>
      <c r="I320" s="28"/>
      <c r="J320" s="28"/>
      <c r="K320" s="28">
        <f>TABL1234[[#This Row],[خط (T/B  TOT) SAR]]+TABL1234[[#This Row],[خط (S/S  TOT) SAR2]]</f>
        <v>0</v>
      </c>
      <c r="L320" s="28"/>
      <c r="M320" s="29"/>
      <c r="N320" s="30"/>
      <c r="O320" s="39"/>
      <c r="P320" s="9">
        <f>TABL1234[[#This Row],[خط (S/S  TOT) SAR2]]-TABL1234[[#This Row],[(S/S TOT) AJD]]</f>
        <v>0</v>
      </c>
      <c r="Q320" s="9"/>
      <c r="R320" s="9">
        <f>TABL1234[[#This Row],[خط (T/B  TOT) SAR]]-TABL1234[[#This Row],[(T/B TOT) AJD]]</f>
        <v>0</v>
      </c>
      <c r="S320" s="9">
        <f>TABL1234[[#This Row],[الفرق بين بداية ونهاية خط  T/B]]+TABL1234[[#This Row],[الفرق بين بداية ونهاية خط  S/S]]</f>
        <v>0</v>
      </c>
      <c r="T320" s="9">
        <f>TABL1234[[#This Row],[(S/S TOT) AJD]]+TABL1234[[#This Row],[(T/B TOT) AJD]]</f>
        <v>0</v>
      </c>
      <c r="U320" s="9"/>
      <c r="V320" s="9"/>
      <c r="W320" s="9">
        <f>TABL1234[[#This Row],[(A/B TOT) AJD]]+TABL1234[[#This Row],[(A/S TOT) AJD]]</f>
        <v>0</v>
      </c>
      <c r="X320" s="9">
        <f>TABL1234[[#This Row],[( S/S+T/B) AJD]]-TABL1234[[#This Row],[(A/B + A/S) AJD]]</f>
        <v>0</v>
      </c>
      <c r="Y320" s="18"/>
      <c r="Z320" s="9"/>
      <c r="AA320" s="3">
        <f>TABL1234[[#This Row],[(RESV. STORGE) AJD]]/10</f>
        <v>0</v>
      </c>
      <c r="AB320" s="3">
        <f t="shared" si="9"/>
        <v>0</v>
      </c>
      <c r="AC320" s="5"/>
      <c r="AD320" s="6">
        <f>TABL1234[[#This Row],[( S/S+T/B) AJD]]-(TABL1234[[#This Row],[(A/B + A/S) AJD]]+(TABL1234[[#This Row],[(STORGE DIFF.) AJD]]*1000)+TABL1234[[#This Row],[البخر  AJD]])</f>
        <v>0</v>
      </c>
      <c r="AE320" s="33"/>
      <c r="AF320" s="6"/>
      <c r="AG320" s="6"/>
      <c r="AH320" s="6"/>
      <c r="AI320" s="6"/>
      <c r="AJ320" s="33">
        <f>TABL1234[[#This Row],[(A/B TOT) AJD]]-TABL1234[[#This Row],[BER_ IN]]</f>
        <v>0</v>
      </c>
      <c r="AK320" s="6"/>
      <c r="AL320" s="6"/>
      <c r="AM320" s="32"/>
      <c r="AN320" s="32">
        <f>TABL1234[[#This Row],[ (RESV. STORGE) SER]]/10</f>
        <v>0</v>
      </c>
      <c r="AO320" s="68"/>
      <c r="AP320" s="68">
        <f>TABL1234[[#This Row],[(A/S TOT) AJD]]-TABL1234[[#This Row],[SER_ IN]]</f>
        <v>0</v>
      </c>
    </row>
    <row r="321" spans="1:42" ht="18.75" x14ac:dyDescent="0.25">
      <c r="A321" s="2">
        <v>46707</v>
      </c>
      <c r="B321" s="28"/>
      <c r="C321" s="28"/>
      <c r="D321" s="28"/>
      <c r="E321" s="28"/>
      <c r="F321" s="28"/>
      <c r="G321" s="28"/>
      <c r="H321" s="28">
        <f t="shared" si="8"/>
        <v>103</v>
      </c>
      <c r="I321" s="28"/>
      <c r="J321" s="28"/>
      <c r="K321" s="28">
        <f>TABL1234[[#This Row],[خط (T/B  TOT) SAR]]+TABL1234[[#This Row],[خط (S/S  TOT) SAR2]]</f>
        <v>0</v>
      </c>
      <c r="L321" s="28"/>
      <c r="M321" s="29"/>
      <c r="N321" s="30"/>
      <c r="O321" s="40"/>
      <c r="P321" s="9">
        <f>TABL1234[[#This Row],[خط (S/S  TOT) SAR2]]-TABL1234[[#This Row],[(S/S TOT) AJD]]</f>
        <v>0</v>
      </c>
      <c r="Q321" s="9"/>
      <c r="R321" s="9">
        <f>TABL1234[[#This Row],[خط (T/B  TOT) SAR]]-TABL1234[[#This Row],[(T/B TOT) AJD]]</f>
        <v>0</v>
      </c>
      <c r="S321" s="9">
        <f>TABL1234[[#This Row],[الفرق بين بداية ونهاية خط  T/B]]+TABL1234[[#This Row],[الفرق بين بداية ونهاية خط  S/S]]</f>
        <v>0</v>
      </c>
      <c r="T321" s="9">
        <f>TABL1234[[#This Row],[(S/S TOT) AJD]]+TABL1234[[#This Row],[(T/B TOT) AJD]]</f>
        <v>0</v>
      </c>
      <c r="U321" s="9"/>
      <c r="V321" s="9"/>
      <c r="W321" s="9">
        <f>TABL1234[[#This Row],[(A/B TOT) AJD]]+TABL1234[[#This Row],[(A/S TOT) AJD]]</f>
        <v>0</v>
      </c>
      <c r="X321" s="9">
        <f>TABL1234[[#This Row],[( S/S+T/B) AJD]]-TABL1234[[#This Row],[(A/B + A/S) AJD]]</f>
        <v>0</v>
      </c>
      <c r="Y321" s="18"/>
      <c r="Z321" s="9"/>
      <c r="AA321" s="3">
        <f>TABL1234[[#This Row],[(RESV. STORGE) AJD]]/10</f>
        <v>0</v>
      </c>
      <c r="AB321" s="3">
        <f t="shared" si="9"/>
        <v>0</v>
      </c>
      <c r="AC321" s="5"/>
      <c r="AD321" s="6">
        <f>TABL1234[[#This Row],[( S/S+T/B) AJD]]-(TABL1234[[#This Row],[(A/B + A/S) AJD]]+(TABL1234[[#This Row],[(STORGE DIFF.) AJD]]*1000)+TABL1234[[#This Row],[البخر  AJD]])</f>
        <v>0</v>
      </c>
      <c r="AE321" s="33"/>
      <c r="AF321" s="6"/>
      <c r="AG321" s="6"/>
      <c r="AH321" s="6"/>
      <c r="AI321" s="6"/>
      <c r="AJ321" s="33">
        <f>TABL1234[[#This Row],[(A/B TOT) AJD]]-TABL1234[[#This Row],[BER_ IN]]</f>
        <v>0</v>
      </c>
      <c r="AK321" s="6"/>
      <c r="AL321" s="6"/>
      <c r="AM321" s="32"/>
      <c r="AN321" s="32">
        <f>TABL1234[[#This Row],[ (RESV. STORGE) SER]]/10</f>
        <v>0</v>
      </c>
      <c r="AO321" s="68"/>
      <c r="AP321" s="68">
        <f>TABL1234[[#This Row],[(A/S TOT) AJD]]-TABL1234[[#This Row],[SER_ IN]]</f>
        <v>0</v>
      </c>
    </row>
    <row r="322" spans="1:42" ht="18.75" x14ac:dyDescent="0.25">
      <c r="A322" s="2">
        <v>46708</v>
      </c>
      <c r="B322" s="28"/>
      <c r="C322" s="28"/>
      <c r="D322" s="28"/>
      <c r="E322" s="28"/>
      <c r="F322" s="28"/>
      <c r="G322" s="28"/>
      <c r="H322" s="28">
        <f t="shared" ref="H322:H366" si="10">103-F322</f>
        <v>103</v>
      </c>
      <c r="I322" s="28"/>
      <c r="J322" s="28"/>
      <c r="K322" s="28">
        <f>TABL1234[[#This Row],[خط (T/B  TOT) SAR]]+TABL1234[[#This Row],[خط (S/S  TOT) SAR2]]</f>
        <v>0</v>
      </c>
      <c r="L322" s="28"/>
      <c r="M322" s="29"/>
      <c r="N322" s="30"/>
      <c r="O322" s="39"/>
      <c r="P322" s="9">
        <f>TABL1234[[#This Row],[خط (S/S  TOT) SAR2]]-TABL1234[[#This Row],[(S/S TOT) AJD]]</f>
        <v>0</v>
      </c>
      <c r="Q322" s="9"/>
      <c r="R322" s="9">
        <f>TABL1234[[#This Row],[خط (T/B  TOT) SAR]]-TABL1234[[#This Row],[(T/B TOT) AJD]]</f>
        <v>0</v>
      </c>
      <c r="S322" s="9">
        <f>TABL1234[[#This Row],[الفرق بين بداية ونهاية خط  T/B]]+TABL1234[[#This Row],[الفرق بين بداية ونهاية خط  S/S]]</f>
        <v>0</v>
      </c>
      <c r="T322" s="9">
        <f>TABL1234[[#This Row],[(S/S TOT) AJD]]+TABL1234[[#This Row],[(T/B TOT) AJD]]</f>
        <v>0</v>
      </c>
      <c r="U322" s="9"/>
      <c r="V322" s="9"/>
      <c r="W322" s="9">
        <f>TABL1234[[#This Row],[(A/B TOT) AJD]]+TABL1234[[#This Row],[(A/S TOT) AJD]]</f>
        <v>0</v>
      </c>
      <c r="X322" s="9">
        <f>TABL1234[[#This Row],[( S/S+T/B) AJD]]-TABL1234[[#This Row],[(A/B + A/S) AJD]]</f>
        <v>0</v>
      </c>
      <c r="Y322" s="18"/>
      <c r="Z322" s="9"/>
      <c r="AA322" s="3">
        <f>TABL1234[[#This Row],[(RESV. STORGE) AJD]]/10</f>
        <v>0</v>
      </c>
      <c r="AB322" s="3">
        <f t="shared" si="9"/>
        <v>0</v>
      </c>
      <c r="AC322" s="5"/>
      <c r="AD322" s="6">
        <f>TABL1234[[#This Row],[( S/S+T/B) AJD]]-(TABL1234[[#This Row],[(A/B + A/S) AJD]]+(TABL1234[[#This Row],[(STORGE DIFF.) AJD]]*1000)+TABL1234[[#This Row],[البخر  AJD]])</f>
        <v>0</v>
      </c>
      <c r="AE322" s="33"/>
      <c r="AF322" s="6"/>
      <c r="AG322" s="6"/>
      <c r="AH322" s="6"/>
      <c r="AI322" s="6"/>
      <c r="AJ322" s="33">
        <f>TABL1234[[#This Row],[(A/B TOT) AJD]]-TABL1234[[#This Row],[BER_ IN]]</f>
        <v>0</v>
      </c>
      <c r="AK322" s="6"/>
      <c r="AL322" s="6"/>
      <c r="AM322" s="32"/>
      <c r="AN322" s="32">
        <f>TABL1234[[#This Row],[ (RESV. STORGE) SER]]/10</f>
        <v>0</v>
      </c>
      <c r="AO322" s="68"/>
      <c r="AP322" s="68">
        <f>TABL1234[[#This Row],[(A/S TOT) AJD]]-TABL1234[[#This Row],[SER_ IN]]</f>
        <v>0</v>
      </c>
    </row>
    <row r="323" spans="1:42" ht="18.75" x14ac:dyDescent="0.25">
      <c r="A323" s="2">
        <v>46709</v>
      </c>
      <c r="B323" s="28"/>
      <c r="C323" s="28"/>
      <c r="D323" s="28"/>
      <c r="E323" s="28"/>
      <c r="F323" s="28"/>
      <c r="G323" s="28"/>
      <c r="H323" s="28">
        <f t="shared" si="10"/>
        <v>103</v>
      </c>
      <c r="I323" s="28"/>
      <c r="J323" s="28"/>
      <c r="K323" s="28">
        <f>TABL1234[[#This Row],[خط (T/B  TOT) SAR]]+TABL1234[[#This Row],[خط (S/S  TOT) SAR2]]</f>
        <v>0</v>
      </c>
      <c r="L323" s="28"/>
      <c r="M323" s="29"/>
      <c r="N323" s="30"/>
      <c r="O323" s="40"/>
      <c r="P323" s="9">
        <f>TABL1234[[#This Row],[خط (S/S  TOT) SAR2]]-TABL1234[[#This Row],[(S/S TOT) AJD]]</f>
        <v>0</v>
      </c>
      <c r="Q323" s="9"/>
      <c r="R323" s="9">
        <f>TABL1234[[#This Row],[خط (T/B  TOT) SAR]]-TABL1234[[#This Row],[(T/B TOT) AJD]]</f>
        <v>0</v>
      </c>
      <c r="S323" s="9">
        <f>TABL1234[[#This Row],[الفرق بين بداية ونهاية خط  T/B]]+TABL1234[[#This Row],[الفرق بين بداية ونهاية خط  S/S]]</f>
        <v>0</v>
      </c>
      <c r="T323" s="9">
        <f>TABL1234[[#This Row],[(S/S TOT) AJD]]+TABL1234[[#This Row],[(T/B TOT) AJD]]</f>
        <v>0</v>
      </c>
      <c r="U323" s="9"/>
      <c r="V323" s="9"/>
      <c r="W323" s="9">
        <f>TABL1234[[#This Row],[(A/B TOT) AJD]]+TABL1234[[#This Row],[(A/S TOT) AJD]]</f>
        <v>0</v>
      </c>
      <c r="X323" s="9">
        <f>TABL1234[[#This Row],[( S/S+T/B) AJD]]-TABL1234[[#This Row],[(A/B + A/S) AJD]]</f>
        <v>0</v>
      </c>
      <c r="Y323" s="18"/>
      <c r="Z323" s="9"/>
      <c r="AA323" s="3">
        <f>TABL1234[[#This Row],[(RESV. STORGE) AJD]]/10</f>
        <v>0</v>
      </c>
      <c r="AB323" s="3">
        <f t="shared" si="9"/>
        <v>0</v>
      </c>
      <c r="AC323" s="5"/>
      <c r="AD323" s="6">
        <f>TABL1234[[#This Row],[( S/S+T/B) AJD]]-(TABL1234[[#This Row],[(A/B + A/S) AJD]]+(TABL1234[[#This Row],[(STORGE DIFF.) AJD]]*1000)+TABL1234[[#This Row],[البخر  AJD]])</f>
        <v>0</v>
      </c>
      <c r="AE323" s="33"/>
      <c r="AF323" s="6"/>
      <c r="AG323" s="6"/>
      <c r="AH323" s="6"/>
      <c r="AI323" s="6"/>
      <c r="AJ323" s="33">
        <f>TABL1234[[#This Row],[(A/B TOT) AJD]]-TABL1234[[#This Row],[BER_ IN]]</f>
        <v>0</v>
      </c>
      <c r="AK323" s="6"/>
      <c r="AL323" s="6"/>
      <c r="AM323" s="32"/>
      <c r="AN323" s="32">
        <f>TABL1234[[#This Row],[ (RESV. STORGE) SER]]/10</f>
        <v>0</v>
      </c>
      <c r="AO323" s="68"/>
      <c r="AP323" s="68">
        <f>TABL1234[[#This Row],[(A/S TOT) AJD]]-TABL1234[[#This Row],[SER_ IN]]</f>
        <v>0</v>
      </c>
    </row>
    <row r="324" spans="1:42" ht="18.75" x14ac:dyDescent="0.25">
      <c r="A324" s="2">
        <v>46710</v>
      </c>
      <c r="B324" s="28"/>
      <c r="C324" s="28"/>
      <c r="D324" s="28"/>
      <c r="E324" s="28"/>
      <c r="F324" s="28"/>
      <c r="G324" s="28"/>
      <c r="H324" s="28">
        <f t="shared" si="10"/>
        <v>103</v>
      </c>
      <c r="I324" s="28"/>
      <c r="J324" s="28"/>
      <c r="K324" s="28">
        <f>TABL1234[[#This Row],[خط (T/B  TOT) SAR]]+TABL1234[[#This Row],[خط (S/S  TOT) SAR2]]</f>
        <v>0</v>
      </c>
      <c r="L324" s="28"/>
      <c r="M324" s="29"/>
      <c r="N324" s="30"/>
      <c r="O324" s="39"/>
      <c r="P324" s="9">
        <f>TABL1234[[#This Row],[خط (S/S  TOT) SAR2]]-TABL1234[[#This Row],[(S/S TOT) AJD]]</f>
        <v>0</v>
      </c>
      <c r="Q324" s="9"/>
      <c r="R324" s="9">
        <f>TABL1234[[#This Row],[خط (T/B  TOT) SAR]]-TABL1234[[#This Row],[(T/B TOT) AJD]]</f>
        <v>0</v>
      </c>
      <c r="S324" s="9">
        <f>TABL1234[[#This Row],[الفرق بين بداية ونهاية خط  T/B]]+TABL1234[[#This Row],[الفرق بين بداية ونهاية خط  S/S]]</f>
        <v>0</v>
      </c>
      <c r="T324" s="9">
        <f>TABL1234[[#This Row],[(S/S TOT) AJD]]+TABL1234[[#This Row],[(T/B TOT) AJD]]</f>
        <v>0</v>
      </c>
      <c r="U324" s="9"/>
      <c r="V324" s="9"/>
      <c r="W324" s="9">
        <f>TABL1234[[#This Row],[(A/B TOT) AJD]]+TABL1234[[#This Row],[(A/S TOT) AJD]]</f>
        <v>0</v>
      </c>
      <c r="X324" s="9">
        <f>TABL1234[[#This Row],[( S/S+T/B) AJD]]-TABL1234[[#This Row],[(A/B + A/S) AJD]]</f>
        <v>0</v>
      </c>
      <c r="Y324" s="18"/>
      <c r="Z324" s="9"/>
      <c r="AA324" s="3">
        <f>TABL1234[[#This Row],[(RESV. STORGE) AJD]]/10</f>
        <v>0</v>
      </c>
      <c r="AB324" s="3">
        <f t="shared" ref="AB324:AB366" si="11">(Z324-Z323)/1000</f>
        <v>0</v>
      </c>
      <c r="AC324" s="5"/>
      <c r="AD324" s="6">
        <f>TABL1234[[#This Row],[( S/S+T/B) AJD]]-(TABL1234[[#This Row],[(A/B + A/S) AJD]]+(TABL1234[[#This Row],[(STORGE DIFF.) AJD]]*1000)+TABL1234[[#This Row],[البخر  AJD]])</f>
        <v>0</v>
      </c>
      <c r="AE324" s="33"/>
      <c r="AF324" s="6"/>
      <c r="AG324" s="6"/>
      <c r="AH324" s="6"/>
      <c r="AI324" s="6"/>
      <c r="AJ324" s="33">
        <f>TABL1234[[#This Row],[(A/B TOT) AJD]]-TABL1234[[#This Row],[BER_ IN]]</f>
        <v>0</v>
      </c>
      <c r="AK324" s="6"/>
      <c r="AL324" s="6"/>
      <c r="AM324" s="32"/>
      <c r="AN324" s="32">
        <f>TABL1234[[#This Row],[ (RESV. STORGE) SER]]/10</f>
        <v>0</v>
      </c>
      <c r="AO324" s="68"/>
      <c r="AP324" s="68">
        <f>TABL1234[[#This Row],[(A/S TOT) AJD]]-TABL1234[[#This Row],[SER_ IN]]</f>
        <v>0</v>
      </c>
    </row>
    <row r="325" spans="1:42" ht="18.75" x14ac:dyDescent="0.25">
      <c r="A325" s="2">
        <v>46711</v>
      </c>
      <c r="B325" s="28"/>
      <c r="C325" s="28"/>
      <c r="D325" s="28"/>
      <c r="E325" s="28"/>
      <c r="F325" s="28"/>
      <c r="G325" s="28"/>
      <c r="H325" s="28">
        <f t="shared" si="10"/>
        <v>103</v>
      </c>
      <c r="I325" s="28"/>
      <c r="J325" s="28"/>
      <c r="K325" s="28">
        <f>TABL1234[[#This Row],[خط (T/B  TOT) SAR]]+TABL1234[[#This Row],[خط (S/S  TOT) SAR2]]</f>
        <v>0</v>
      </c>
      <c r="L325" s="28"/>
      <c r="M325" s="29"/>
      <c r="N325" s="30"/>
      <c r="O325" s="40"/>
      <c r="P325" s="9">
        <f>TABL1234[[#This Row],[خط (S/S  TOT) SAR2]]-TABL1234[[#This Row],[(S/S TOT) AJD]]</f>
        <v>0</v>
      </c>
      <c r="Q325" s="9"/>
      <c r="R325" s="9">
        <f>TABL1234[[#This Row],[خط (T/B  TOT) SAR]]-TABL1234[[#This Row],[(T/B TOT) AJD]]</f>
        <v>0</v>
      </c>
      <c r="S325" s="9">
        <f>TABL1234[[#This Row],[الفرق بين بداية ونهاية خط  T/B]]+TABL1234[[#This Row],[الفرق بين بداية ونهاية خط  S/S]]</f>
        <v>0</v>
      </c>
      <c r="T325" s="9">
        <f>TABL1234[[#This Row],[(S/S TOT) AJD]]+TABL1234[[#This Row],[(T/B TOT) AJD]]</f>
        <v>0</v>
      </c>
      <c r="U325" s="9"/>
      <c r="V325" s="9"/>
      <c r="W325" s="9">
        <f>TABL1234[[#This Row],[(A/B TOT) AJD]]+TABL1234[[#This Row],[(A/S TOT) AJD]]</f>
        <v>0</v>
      </c>
      <c r="X325" s="9">
        <f>TABL1234[[#This Row],[( S/S+T/B) AJD]]-TABL1234[[#This Row],[(A/B + A/S) AJD]]</f>
        <v>0</v>
      </c>
      <c r="Y325" s="18"/>
      <c r="Z325" s="9"/>
      <c r="AA325" s="3">
        <f>TABL1234[[#This Row],[(RESV. STORGE) AJD]]/10</f>
        <v>0</v>
      </c>
      <c r="AB325" s="3">
        <f t="shared" si="11"/>
        <v>0</v>
      </c>
      <c r="AC325" s="5"/>
      <c r="AD325" s="6">
        <f>TABL1234[[#This Row],[( S/S+T/B) AJD]]-(TABL1234[[#This Row],[(A/B + A/S) AJD]]+(TABL1234[[#This Row],[(STORGE DIFF.) AJD]]*1000)+TABL1234[[#This Row],[البخر  AJD]])</f>
        <v>0</v>
      </c>
      <c r="AE325" s="33"/>
      <c r="AF325" s="6"/>
      <c r="AG325" s="6"/>
      <c r="AH325" s="6"/>
      <c r="AI325" s="6"/>
      <c r="AJ325" s="33">
        <f>TABL1234[[#This Row],[(A/B TOT) AJD]]-TABL1234[[#This Row],[BER_ IN]]</f>
        <v>0</v>
      </c>
      <c r="AK325" s="6"/>
      <c r="AL325" s="6"/>
      <c r="AM325" s="32"/>
      <c r="AN325" s="32">
        <f>TABL1234[[#This Row],[ (RESV. STORGE) SER]]/10</f>
        <v>0</v>
      </c>
      <c r="AO325" s="68"/>
      <c r="AP325" s="68">
        <f>TABL1234[[#This Row],[(A/S TOT) AJD]]-TABL1234[[#This Row],[SER_ IN]]</f>
        <v>0</v>
      </c>
    </row>
    <row r="326" spans="1:42" ht="18.75" x14ac:dyDescent="0.25">
      <c r="A326" s="2">
        <v>46712</v>
      </c>
      <c r="B326" s="28"/>
      <c r="C326" s="28"/>
      <c r="D326" s="28"/>
      <c r="E326" s="28"/>
      <c r="F326" s="28"/>
      <c r="G326" s="28"/>
      <c r="H326" s="28">
        <f t="shared" si="10"/>
        <v>103</v>
      </c>
      <c r="I326" s="28"/>
      <c r="J326" s="28"/>
      <c r="K326" s="28">
        <f>TABL1234[[#This Row],[خط (T/B  TOT) SAR]]+TABL1234[[#This Row],[خط (S/S  TOT) SAR2]]</f>
        <v>0</v>
      </c>
      <c r="L326" s="28"/>
      <c r="M326" s="29"/>
      <c r="N326" s="30"/>
      <c r="O326" s="39"/>
      <c r="P326" s="9">
        <f>TABL1234[[#This Row],[خط (S/S  TOT) SAR2]]-TABL1234[[#This Row],[(S/S TOT) AJD]]</f>
        <v>0</v>
      </c>
      <c r="Q326" s="9"/>
      <c r="R326" s="9">
        <f>TABL1234[[#This Row],[خط (T/B  TOT) SAR]]-TABL1234[[#This Row],[(T/B TOT) AJD]]</f>
        <v>0</v>
      </c>
      <c r="S326" s="9">
        <f>TABL1234[[#This Row],[الفرق بين بداية ونهاية خط  T/B]]+TABL1234[[#This Row],[الفرق بين بداية ونهاية خط  S/S]]</f>
        <v>0</v>
      </c>
      <c r="T326" s="9">
        <f>TABL1234[[#This Row],[(S/S TOT) AJD]]+TABL1234[[#This Row],[(T/B TOT) AJD]]</f>
        <v>0</v>
      </c>
      <c r="U326" s="9"/>
      <c r="V326" s="9"/>
      <c r="W326" s="9">
        <f>TABL1234[[#This Row],[(A/B TOT) AJD]]+TABL1234[[#This Row],[(A/S TOT) AJD]]</f>
        <v>0</v>
      </c>
      <c r="X326" s="9">
        <f>TABL1234[[#This Row],[( S/S+T/B) AJD]]-TABL1234[[#This Row],[(A/B + A/S) AJD]]</f>
        <v>0</v>
      </c>
      <c r="Y326" s="18"/>
      <c r="Z326" s="9"/>
      <c r="AA326" s="3">
        <f>TABL1234[[#This Row],[(RESV. STORGE) AJD]]/10</f>
        <v>0</v>
      </c>
      <c r="AB326" s="3">
        <f t="shared" si="11"/>
        <v>0</v>
      </c>
      <c r="AC326" s="5"/>
      <c r="AD326" s="6">
        <f>TABL1234[[#This Row],[( S/S+T/B) AJD]]-(TABL1234[[#This Row],[(A/B + A/S) AJD]]+(TABL1234[[#This Row],[(STORGE DIFF.) AJD]]*1000)+TABL1234[[#This Row],[البخر  AJD]])</f>
        <v>0</v>
      </c>
      <c r="AE326" s="33"/>
      <c r="AF326" s="6"/>
      <c r="AG326" s="6"/>
      <c r="AH326" s="6"/>
      <c r="AI326" s="6"/>
      <c r="AJ326" s="33">
        <f>TABL1234[[#This Row],[(A/B TOT) AJD]]-TABL1234[[#This Row],[BER_ IN]]</f>
        <v>0</v>
      </c>
      <c r="AK326" s="6"/>
      <c r="AL326" s="6"/>
      <c r="AM326" s="32"/>
      <c r="AN326" s="32">
        <f>TABL1234[[#This Row],[ (RESV. STORGE) SER]]/10</f>
        <v>0</v>
      </c>
      <c r="AO326" s="68"/>
      <c r="AP326" s="68">
        <f>TABL1234[[#This Row],[(A/S TOT) AJD]]-TABL1234[[#This Row],[SER_ IN]]</f>
        <v>0</v>
      </c>
    </row>
    <row r="327" spans="1:42" ht="18.75" x14ac:dyDescent="0.25">
      <c r="A327" s="2">
        <v>46713</v>
      </c>
      <c r="B327" s="28"/>
      <c r="C327" s="28"/>
      <c r="D327" s="28"/>
      <c r="E327" s="28"/>
      <c r="F327" s="28"/>
      <c r="G327" s="28"/>
      <c r="H327" s="28">
        <f t="shared" si="10"/>
        <v>103</v>
      </c>
      <c r="I327" s="28"/>
      <c r="J327" s="28"/>
      <c r="K327" s="28">
        <f>TABL1234[[#This Row],[خط (T/B  TOT) SAR]]+TABL1234[[#This Row],[خط (S/S  TOT) SAR2]]</f>
        <v>0</v>
      </c>
      <c r="L327" s="28"/>
      <c r="M327" s="29"/>
      <c r="N327" s="30"/>
      <c r="O327" s="40"/>
      <c r="P327" s="9">
        <f>TABL1234[[#This Row],[خط (S/S  TOT) SAR2]]-TABL1234[[#This Row],[(S/S TOT) AJD]]</f>
        <v>0</v>
      </c>
      <c r="Q327" s="9"/>
      <c r="R327" s="9">
        <f>TABL1234[[#This Row],[خط (T/B  TOT) SAR]]-TABL1234[[#This Row],[(T/B TOT) AJD]]</f>
        <v>0</v>
      </c>
      <c r="S327" s="9">
        <f>TABL1234[[#This Row],[الفرق بين بداية ونهاية خط  T/B]]+TABL1234[[#This Row],[الفرق بين بداية ونهاية خط  S/S]]</f>
        <v>0</v>
      </c>
      <c r="T327" s="9">
        <f>TABL1234[[#This Row],[(S/S TOT) AJD]]+TABL1234[[#This Row],[(T/B TOT) AJD]]</f>
        <v>0</v>
      </c>
      <c r="U327" s="9"/>
      <c r="V327" s="9"/>
      <c r="W327" s="9">
        <f>TABL1234[[#This Row],[(A/B TOT) AJD]]+TABL1234[[#This Row],[(A/S TOT) AJD]]</f>
        <v>0</v>
      </c>
      <c r="X327" s="9">
        <f>TABL1234[[#This Row],[( S/S+T/B) AJD]]-TABL1234[[#This Row],[(A/B + A/S) AJD]]</f>
        <v>0</v>
      </c>
      <c r="Y327" s="18"/>
      <c r="Z327" s="9"/>
      <c r="AA327" s="3">
        <f>TABL1234[[#This Row],[(RESV. STORGE) AJD]]/10</f>
        <v>0</v>
      </c>
      <c r="AB327" s="3">
        <f t="shared" si="11"/>
        <v>0</v>
      </c>
      <c r="AC327" s="5"/>
      <c r="AD327" s="6">
        <f>TABL1234[[#This Row],[( S/S+T/B) AJD]]-(TABL1234[[#This Row],[(A/B + A/S) AJD]]+(TABL1234[[#This Row],[(STORGE DIFF.) AJD]]*1000)+TABL1234[[#This Row],[البخر  AJD]])</f>
        <v>0</v>
      </c>
      <c r="AE327" s="33"/>
      <c r="AF327" s="6"/>
      <c r="AG327" s="6"/>
      <c r="AH327" s="6"/>
      <c r="AI327" s="6"/>
      <c r="AJ327" s="33">
        <f>TABL1234[[#This Row],[(A/B TOT) AJD]]-TABL1234[[#This Row],[BER_ IN]]</f>
        <v>0</v>
      </c>
      <c r="AK327" s="6"/>
      <c r="AL327" s="6"/>
      <c r="AM327" s="32"/>
      <c r="AN327" s="32">
        <f>TABL1234[[#This Row],[ (RESV. STORGE) SER]]/10</f>
        <v>0</v>
      </c>
      <c r="AO327" s="68"/>
      <c r="AP327" s="68">
        <f>TABL1234[[#This Row],[(A/S TOT) AJD]]-TABL1234[[#This Row],[SER_ IN]]</f>
        <v>0</v>
      </c>
    </row>
    <row r="328" spans="1:42" ht="18.75" x14ac:dyDescent="0.25">
      <c r="A328" s="2">
        <v>46714</v>
      </c>
      <c r="B328" s="28"/>
      <c r="C328" s="28"/>
      <c r="D328" s="28"/>
      <c r="E328" s="28"/>
      <c r="F328" s="28"/>
      <c r="G328" s="28"/>
      <c r="H328" s="28">
        <f t="shared" si="10"/>
        <v>103</v>
      </c>
      <c r="I328" s="28"/>
      <c r="J328" s="28"/>
      <c r="K328" s="28">
        <f>TABL1234[[#This Row],[خط (T/B  TOT) SAR]]+TABL1234[[#This Row],[خط (S/S  TOT) SAR2]]</f>
        <v>0</v>
      </c>
      <c r="L328" s="28"/>
      <c r="M328" s="29"/>
      <c r="N328" s="30"/>
      <c r="O328" s="39"/>
      <c r="P328" s="9">
        <f>TABL1234[[#This Row],[خط (S/S  TOT) SAR2]]-TABL1234[[#This Row],[(S/S TOT) AJD]]</f>
        <v>0</v>
      </c>
      <c r="Q328" s="9"/>
      <c r="R328" s="9">
        <f>TABL1234[[#This Row],[خط (T/B  TOT) SAR]]-TABL1234[[#This Row],[(T/B TOT) AJD]]</f>
        <v>0</v>
      </c>
      <c r="S328" s="9">
        <f>TABL1234[[#This Row],[الفرق بين بداية ونهاية خط  T/B]]+TABL1234[[#This Row],[الفرق بين بداية ونهاية خط  S/S]]</f>
        <v>0</v>
      </c>
      <c r="T328" s="9">
        <f>TABL1234[[#This Row],[(S/S TOT) AJD]]+TABL1234[[#This Row],[(T/B TOT) AJD]]</f>
        <v>0</v>
      </c>
      <c r="U328" s="9"/>
      <c r="V328" s="9"/>
      <c r="W328" s="9">
        <f>TABL1234[[#This Row],[(A/B TOT) AJD]]+TABL1234[[#This Row],[(A/S TOT) AJD]]</f>
        <v>0</v>
      </c>
      <c r="X328" s="9">
        <f>TABL1234[[#This Row],[( S/S+T/B) AJD]]-TABL1234[[#This Row],[(A/B + A/S) AJD]]</f>
        <v>0</v>
      </c>
      <c r="Y328" s="18"/>
      <c r="Z328" s="9"/>
      <c r="AA328" s="3">
        <f>TABL1234[[#This Row],[(RESV. STORGE) AJD]]/10</f>
        <v>0</v>
      </c>
      <c r="AB328" s="3">
        <f t="shared" si="11"/>
        <v>0</v>
      </c>
      <c r="AC328" s="5"/>
      <c r="AD328" s="6">
        <f>TABL1234[[#This Row],[( S/S+T/B) AJD]]-(TABL1234[[#This Row],[(A/B + A/S) AJD]]+(TABL1234[[#This Row],[(STORGE DIFF.) AJD]]*1000)+TABL1234[[#This Row],[البخر  AJD]])</f>
        <v>0</v>
      </c>
      <c r="AE328" s="33"/>
      <c r="AF328" s="6"/>
      <c r="AG328" s="6"/>
      <c r="AH328" s="6"/>
      <c r="AI328" s="6"/>
      <c r="AJ328" s="33">
        <f>TABL1234[[#This Row],[(A/B TOT) AJD]]-TABL1234[[#This Row],[BER_ IN]]</f>
        <v>0</v>
      </c>
      <c r="AK328" s="6"/>
      <c r="AL328" s="6"/>
      <c r="AM328" s="32"/>
      <c r="AN328" s="32">
        <f>TABL1234[[#This Row],[ (RESV. STORGE) SER]]/10</f>
        <v>0</v>
      </c>
      <c r="AO328" s="68"/>
      <c r="AP328" s="68">
        <f>TABL1234[[#This Row],[(A/S TOT) AJD]]-TABL1234[[#This Row],[SER_ IN]]</f>
        <v>0</v>
      </c>
    </row>
    <row r="329" spans="1:42" ht="18.75" x14ac:dyDescent="0.25">
      <c r="A329" s="2">
        <v>46715</v>
      </c>
      <c r="B329" s="28"/>
      <c r="C329" s="28"/>
      <c r="D329" s="28"/>
      <c r="E329" s="28"/>
      <c r="F329" s="28"/>
      <c r="G329" s="28"/>
      <c r="H329" s="28">
        <f t="shared" si="10"/>
        <v>103</v>
      </c>
      <c r="I329" s="28"/>
      <c r="J329" s="28"/>
      <c r="K329" s="28">
        <f>TABL1234[[#This Row],[خط (T/B  TOT) SAR]]+TABL1234[[#This Row],[خط (S/S  TOT) SAR2]]</f>
        <v>0</v>
      </c>
      <c r="L329" s="28"/>
      <c r="M329" s="29"/>
      <c r="N329" s="30"/>
      <c r="O329" s="40"/>
      <c r="P329" s="9">
        <f>TABL1234[[#This Row],[خط (S/S  TOT) SAR2]]-TABL1234[[#This Row],[(S/S TOT) AJD]]</f>
        <v>0</v>
      </c>
      <c r="Q329" s="9"/>
      <c r="R329" s="9">
        <f>TABL1234[[#This Row],[خط (T/B  TOT) SAR]]-TABL1234[[#This Row],[(T/B TOT) AJD]]</f>
        <v>0</v>
      </c>
      <c r="S329" s="9">
        <f>TABL1234[[#This Row],[الفرق بين بداية ونهاية خط  T/B]]+TABL1234[[#This Row],[الفرق بين بداية ونهاية خط  S/S]]</f>
        <v>0</v>
      </c>
      <c r="T329" s="9">
        <f>TABL1234[[#This Row],[(S/S TOT) AJD]]+TABL1234[[#This Row],[(T/B TOT) AJD]]</f>
        <v>0</v>
      </c>
      <c r="U329" s="9"/>
      <c r="V329" s="9"/>
      <c r="W329" s="9">
        <f>TABL1234[[#This Row],[(A/B TOT) AJD]]+TABL1234[[#This Row],[(A/S TOT) AJD]]</f>
        <v>0</v>
      </c>
      <c r="X329" s="9">
        <f>TABL1234[[#This Row],[( S/S+T/B) AJD]]-TABL1234[[#This Row],[(A/B + A/S) AJD]]</f>
        <v>0</v>
      </c>
      <c r="Y329" s="18"/>
      <c r="Z329" s="9"/>
      <c r="AA329" s="3">
        <f>TABL1234[[#This Row],[(RESV. STORGE) AJD]]/10</f>
        <v>0</v>
      </c>
      <c r="AB329" s="3">
        <f t="shared" si="11"/>
        <v>0</v>
      </c>
      <c r="AC329" s="5"/>
      <c r="AD329" s="6">
        <f>TABL1234[[#This Row],[( S/S+T/B) AJD]]-(TABL1234[[#This Row],[(A/B + A/S) AJD]]+(TABL1234[[#This Row],[(STORGE DIFF.) AJD]]*1000)+TABL1234[[#This Row],[البخر  AJD]])</f>
        <v>0</v>
      </c>
      <c r="AE329" s="33"/>
      <c r="AF329" s="6"/>
      <c r="AG329" s="6"/>
      <c r="AH329" s="6"/>
      <c r="AI329" s="6"/>
      <c r="AJ329" s="33">
        <f>TABL1234[[#This Row],[(A/B TOT) AJD]]-TABL1234[[#This Row],[BER_ IN]]</f>
        <v>0</v>
      </c>
      <c r="AK329" s="6"/>
      <c r="AL329" s="6"/>
      <c r="AM329" s="32"/>
      <c r="AN329" s="32">
        <f>TABL1234[[#This Row],[ (RESV. STORGE) SER]]/10</f>
        <v>0</v>
      </c>
      <c r="AO329" s="68"/>
      <c r="AP329" s="68">
        <f>TABL1234[[#This Row],[(A/S TOT) AJD]]-TABL1234[[#This Row],[SER_ IN]]</f>
        <v>0</v>
      </c>
    </row>
    <row r="330" spans="1:42" ht="18.75" x14ac:dyDescent="0.25">
      <c r="A330" s="2">
        <v>46716</v>
      </c>
      <c r="B330" s="28"/>
      <c r="C330" s="28"/>
      <c r="D330" s="28"/>
      <c r="E330" s="28"/>
      <c r="F330" s="28"/>
      <c r="G330" s="28"/>
      <c r="H330" s="28">
        <f t="shared" si="10"/>
        <v>103</v>
      </c>
      <c r="I330" s="28"/>
      <c r="J330" s="28"/>
      <c r="K330" s="28">
        <f>TABL1234[[#This Row],[خط (T/B  TOT) SAR]]+TABL1234[[#This Row],[خط (S/S  TOT) SAR2]]</f>
        <v>0</v>
      </c>
      <c r="L330" s="28"/>
      <c r="M330" s="29"/>
      <c r="N330" s="30"/>
      <c r="O330" s="39"/>
      <c r="P330" s="9">
        <f>TABL1234[[#This Row],[خط (S/S  TOT) SAR2]]-TABL1234[[#This Row],[(S/S TOT) AJD]]</f>
        <v>0</v>
      </c>
      <c r="Q330" s="9"/>
      <c r="R330" s="9">
        <f>TABL1234[[#This Row],[خط (T/B  TOT) SAR]]-TABL1234[[#This Row],[(T/B TOT) AJD]]</f>
        <v>0</v>
      </c>
      <c r="S330" s="9">
        <f>TABL1234[[#This Row],[الفرق بين بداية ونهاية خط  T/B]]+TABL1234[[#This Row],[الفرق بين بداية ونهاية خط  S/S]]</f>
        <v>0</v>
      </c>
      <c r="T330" s="9">
        <f>TABL1234[[#This Row],[(S/S TOT) AJD]]+TABL1234[[#This Row],[(T/B TOT) AJD]]</f>
        <v>0</v>
      </c>
      <c r="U330" s="9"/>
      <c r="V330" s="9"/>
      <c r="W330" s="9">
        <f>TABL1234[[#This Row],[(A/B TOT) AJD]]+TABL1234[[#This Row],[(A/S TOT) AJD]]</f>
        <v>0</v>
      </c>
      <c r="X330" s="9">
        <f>TABL1234[[#This Row],[( S/S+T/B) AJD]]-TABL1234[[#This Row],[(A/B + A/S) AJD]]</f>
        <v>0</v>
      </c>
      <c r="Y330" s="18"/>
      <c r="Z330" s="9"/>
      <c r="AA330" s="3">
        <f>TABL1234[[#This Row],[(RESV. STORGE) AJD]]/10</f>
        <v>0</v>
      </c>
      <c r="AB330" s="3">
        <f t="shared" si="11"/>
        <v>0</v>
      </c>
      <c r="AC330" s="5"/>
      <c r="AD330" s="6">
        <f>TABL1234[[#This Row],[( S/S+T/B) AJD]]-(TABL1234[[#This Row],[(A/B + A/S) AJD]]+(TABL1234[[#This Row],[(STORGE DIFF.) AJD]]*1000)+TABL1234[[#This Row],[البخر  AJD]])</f>
        <v>0</v>
      </c>
      <c r="AE330" s="33"/>
      <c r="AF330" s="6"/>
      <c r="AG330" s="6"/>
      <c r="AH330" s="6"/>
      <c r="AI330" s="6"/>
      <c r="AJ330" s="33">
        <f>TABL1234[[#This Row],[(A/B TOT) AJD]]-TABL1234[[#This Row],[BER_ IN]]</f>
        <v>0</v>
      </c>
      <c r="AK330" s="6"/>
      <c r="AL330" s="6"/>
      <c r="AM330" s="32"/>
      <c r="AN330" s="32">
        <f>TABL1234[[#This Row],[ (RESV. STORGE) SER]]/10</f>
        <v>0</v>
      </c>
      <c r="AO330" s="68"/>
      <c r="AP330" s="68">
        <f>TABL1234[[#This Row],[(A/S TOT) AJD]]-TABL1234[[#This Row],[SER_ IN]]</f>
        <v>0</v>
      </c>
    </row>
    <row r="331" spans="1:42" ht="18.75" x14ac:dyDescent="0.25">
      <c r="A331" s="2">
        <v>46717</v>
      </c>
      <c r="B331" s="28"/>
      <c r="C331" s="28"/>
      <c r="D331" s="28"/>
      <c r="E331" s="28"/>
      <c r="F331" s="28"/>
      <c r="G331" s="28"/>
      <c r="H331" s="28">
        <f t="shared" si="10"/>
        <v>103</v>
      </c>
      <c r="I331" s="28"/>
      <c r="J331" s="28"/>
      <c r="K331" s="28">
        <f>TABL1234[[#This Row],[خط (T/B  TOT) SAR]]+TABL1234[[#This Row],[خط (S/S  TOT) SAR2]]</f>
        <v>0</v>
      </c>
      <c r="L331" s="28"/>
      <c r="M331" s="29"/>
      <c r="N331" s="30"/>
      <c r="O331" s="40"/>
      <c r="P331" s="9">
        <f>TABL1234[[#This Row],[خط (S/S  TOT) SAR2]]-TABL1234[[#This Row],[(S/S TOT) AJD]]</f>
        <v>0</v>
      </c>
      <c r="Q331" s="9"/>
      <c r="R331" s="9">
        <f>TABL1234[[#This Row],[خط (T/B  TOT) SAR]]-TABL1234[[#This Row],[(T/B TOT) AJD]]</f>
        <v>0</v>
      </c>
      <c r="S331" s="9">
        <f>TABL1234[[#This Row],[الفرق بين بداية ونهاية خط  T/B]]+TABL1234[[#This Row],[الفرق بين بداية ونهاية خط  S/S]]</f>
        <v>0</v>
      </c>
      <c r="T331" s="9">
        <f>TABL1234[[#This Row],[(S/S TOT) AJD]]+TABL1234[[#This Row],[(T/B TOT) AJD]]</f>
        <v>0</v>
      </c>
      <c r="U331" s="9"/>
      <c r="V331" s="9"/>
      <c r="W331" s="9">
        <f>TABL1234[[#This Row],[(A/B TOT) AJD]]+TABL1234[[#This Row],[(A/S TOT) AJD]]</f>
        <v>0</v>
      </c>
      <c r="X331" s="9">
        <f>TABL1234[[#This Row],[( S/S+T/B) AJD]]-TABL1234[[#This Row],[(A/B + A/S) AJD]]</f>
        <v>0</v>
      </c>
      <c r="Y331" s="18"/>
      <c r="Z331" s="9"/>
      <c r="AA331" s="3">
        <f>TABL1234[[#This Row],[(RESV. STORGE) AJD]]/10</f>
        <v>0</v>
      </c>
      <c r="AB331" s="3">
        <f t="shared" si="11"/>
        <v>0</v>
      </c>
      <c r="AC331" s="5"/>
      <c r="AD331" s="6">
        <f>TABL1234[[#This Row],[( S/S+T/B) AJD]]-(TABL1234[[#This Row],[(A/B + A/S) AJD]]+(TABL1234[[#This Row],[(STORGE DIFF.) AJD]]*1000)+TABL1234[[#This Row],[البخر  AJD]])</f>
        <v>0</v>
      </c>
      <c r="AE331" s="33"/>
      <c r="AF331" s="6"/>
      <c r="AG331" s="6"/>
      <c r="AH331" s="6"/>
      <c r="AI331" s="6"/>
      <c r="AJ331" s="33">
        <f>TABL1234[[#This Row],[(A/B TOT) AJD]]-TABL1234[[#This Row],[BER_ IN]]</f>
        <v>0</v>
      </c>
      <c r="AK331" s="6"/>
      <c r="AL331" s="6"/>
      <c r="AM331" s="32"/>
      <c r="AN331" s="32">
        <f>TABL1234[[#This Row],[ (RESV. STORGE) SER]]/10</f>
        <v>0</v>
      </c>
      <c r="AO331" s="68"/>
      <c r="AP331" s="68">
        <f>TABL1234[[#This Row],[(A/S TOT) AJD]]-TABL1234[[#This Row],[SER_ IN]]</f>
        <v>0</v>
      </c>
    </row>
    <row r="332" spans="1:42" ht="18.75" x14ac:dyDescent="0.25">
      <c r="A332" s="2">
        <v>46718</v>
      </c>
      <c r="B332" s="28"/>
      <c r="C332" s="28"/>
      <c r="D332" s="28"/>
      <c r="E332" s="28"/>
      <c r="F332" s="28"/>
      <c r="G332" s="28"/>
      <c r="H332" s="28">
        <f t="shared" si="10"/>
        <v>103</v>
      </c>
      <c r="I332" s="28"/>
      <c r="J332" s="28"/>
      <c r="K332" s="28">
        <f>TABL1234[[#This Row],[خط (T/B  TOT) SAR]]+TABL1234[[#This Row],[خط (S/S  TOT) SAR2]]</f>
        <v>0</v>
      </c>
      <c r="L332" s="28"/>
      <c r="M332" s="29"/>
      <c r="N332" s="30"/>
      <c r="O332" s="39"/>
      <c r="P332" s="9">
        <f>TABL1234[[#This Row],[خط (S/S  TOT) SAR2]]-TABL1234[[#This Row],[(S/S TOT) AJD]]</f>
        <v>0</v>
      </c>
      <c r="Q332" s="9"/>
      <c r="R332" s="9">
        <f>TABL1234[[#This Row],[خط (T/B  TOT) SAR]]-TABL1234[[#This Row],[(T/B TOT) AJD]]</f>
        <v>0</v>
      </c>
      <c r="S332" s="9">
        <f>TABL1234[[#This Row],[الفرق بين بداية ونهاية خط  T/B]]+TABL1234[[#This Row],[الفرق بين بداية ونهاية خط  S/S]]</f>
        <v>0</v>
      </c>
      <c r="T332" s="9">
        <f>TABL1234[[#This Row],[(S/S TOT) AJD]]+TABL1234[[#This Row],[(T/B TOT) AJD]]</f>
        <v>0</v>
      </c>
      <c r="U332" s="9"/>
      <c r="V332" s="9"/>
      <c r="W332" s="9">
        <f>TABL1234[[#This Row],[(A/B TOT) AJD]]+TABL1234[[#This Row],[(A/S TOT) AJD]]</f>
        <v>0</v>
      </c>
      <c r="X332" s="9">
        <f>TABL1234[[#This Row],[( S/S+T/B) AJD]]-TABL1234[[#This Row],[(A/B + A/S) AJD]]</f>
        <v>0</v>
      </c>
      <c r="Y332" s="18"/>
      <c r="Z332" s="9"/>
      <c r="AA332" s="3">
        <f>TABL1234[[#This Row],[(RESV. STORGE) AJD]]/10</f>
        <v>0</v>
      </c>
      <c r="AB332" s="3">
        <f t="shared" si="11"/>
        <v>0</v>
      </c>
      <c r="AC332" s="5"/>
      <c r="AD332" s="6">
        <f>TABL1234[[#This Row],[( S/S+T/B) AJD]]-(TABL1234[[#This Row],[(A/B + A/S) AJD]]+(TABL1234[[#This Row],[(STORGE DIFF.) AJD]]*1000)+TABL1234[[#This Row],[البخر  AJD]])</f>
        <v>0</v>
      </c>
      <c r="AE332" s="33"/>
      <c r="AF332" s="6"/>
      <c r="AG332" s="6"/>
      <c r="AH332" s="6"/>
      <c r="AI332" s="6"/>
      <c r="AJ332" s="33">
        <f>TABL1234[[#This Row],[(A/B TOT) AJD]]-TABL1234[[#This Row],[BER_ IN]]</f>
        <v>0</v>
      </c>
      <c r="AK332" s="6"/>
      <c r="AL332" s="6"/>
      <c r="AM332" s="32"/>
      <c r="AN332" s="32">
        <f>TABL1234[[#This Row],[ (RESV. STORGE) SER]]/10</f>
        <v>0</v>
      </c>
      <c r="AO332" s="68"/>
      <c r="AP332" s="68">
        <f>TABL1234[[#This Row],[(A/S TOT) AJD]]-TABL1234[[#This Row],[SER_ IN]]</f>
        <v>0</v>
      </c>
    </row>
    <row r="333" spans="1:42" ht="18.75" x14ac:dyDescent="0.25">
      <c r="A333" s="2">
        <v>46719</v>
      </c>
      <c r="B333" s="28"/>
      <c r="C333" s="28"/>
      <c r="D333" s="28"/>
      <c r="E333" s="28"/>
      <c r="F333" s="28"/>
      <c r="G333" s="28"/>
      <c r="H333" s="28">
        <f t="shared" si="10"/>
        <v>103</v>
      </c>
      <c r="I333" s="28"/>
      <c r="J333" s="28"/>
      <c r="K333" s="28">
        <f>TABL1234[[#This Row],[خط (T/B  TOT) SAR]]+TABL1234[[#This Row],[خط (S/S  TOT) SAR2]]</f>
        <v>0</v>
      </c>
      <c r="L333" s="28"/>
      <c r="M333" s="29"/>
      <c r="N333" s="30"/>
      <c r="O333" s="40"/>
      <c r="P333" s="9">
        <f>TABL1234[[#This Row],[خط (S/S  TOT) SAR2]]-TABL1234[[#This Row],[(S/S TOT) AJD]]</f>
        <v>0</v>
      </c>
      <c r="Q333" s="9"/>
      <c r="R333" s="9">
        <f>TABL1234[[#This Row],[خط (T/B  TOT) SAR]]-TABL1234[[#This Row],[(T/B TOT) AJD]]</f>
        <v>0</v>
      </c>
      <c r="S333" s="9">
        <f>TABL1234[[#This Row],[الفرق بين بداية ونهاية خط  T/B]]+TABL1234[[#This Row],[الفرق بين بداية ونهاية خط  S/S]]</f>
        <v>0</v>
      </c>
      <c r="T333" s="9">
        <f>TABL1234[[#This Row],[(S/S TOT) AJD]]+TABL1234[[#This Row],[(T/B TOT) AJD]]</f>
        <v>0</v>
      </c>
      <c r="U333" s="9"/>
      <c r="V333" s="9"/>
      <c r="W333" s="9">
        <f>TABL1234[[#This Row],[(A/B TOT) AJD]]+TABL1234[[#This Row],[(A/S TOT) AJD]]</f>
        <v>0</v>
      </c>
      <c r="X333" s="9">
        <f>TABL1234[[#This Row],[( S/S+T/B) AJD]]-TABL1234[[#This Row],[(A/B + A/S) AJD]]</f>
        <v>0</v>
      </c>
      <c r="Y333" s="18"/>
      <c r="Z333" s="9"/>
      <c r="AA333" s="3">
        <f>TABL1234[[#This Row],[(RESV. STORGE) AJD]]/10</f>
        <v>0</v>
      </c>
      <c r="AB333" s="3">
        <f t="shared" si="11"/>
        <v>0</v>
      </c>
      <c r="AC333" s="5"/>
      <c r="AD333" s="6">
        <f>TABL1234[[#This Row],[( S/S+T/B) AJD]]-(TABL1234[[#This Row],[(A/B + A/S) AJD]]+(TABL1234[[#This Row],[(STORGE DIFF.) AJD]]*1000)+TABL1234[[#This Row],[البخر  AJD]])</f>
        <v>0</v>
      </c>
      <c r="AE333" s="33"/>
      <c r="AF333" s="6"/>
      <c r="AG333" s="6"/>
      <c r="AH333" s="6"/>
      <c r="AI333" s="6"/>
      <c r="AJ333" s="33">
        <f>TABL1234[[#This Row],[(A/B TOT) AJD]]-TABL1234[[#This Row],[BER_ IN]]</f>
        <v>0</v>
      </c>
      <c r="AK333" s="6"/>
      <c r="AL333" s="6"/>
      <c r="AM333" s="32"/>
      <c r="AN333" s="32">
        <f>TABL1234[[#This Row],[ (RESV. STORGE) SER]]/10</f>
        <v>0</v>
      </c>
      <c r="AO333" s="68"/>
      <c r="AP333" s="68">
        <f>TABL1234[[#This Row],[(A/S TOT) AJD]]-TABL1234[[#This Row],[SER_ IN]]</f>
        <v>0</v>
      </c>
    </row>
    <row r="334" spans="1:42" ht="18.75" x14ac:dyDescent="0.25">
      <c r="A334" s="2">
        <v>46720</v>
      </c>
      <c r="B334" s="28"/>
      <c r="C334" s="28"/>
      <c r="D334" s="28"/>
      <c r="E334" s="28"/>
      <c r="F334" s="28"/>
      <c r="G334" s="28"/>
      <c r="H334" s="28">
        <f t="shared" si="10"/>
        <v>103</v>
      </c>
      <c r="I334" s="28"/>
      <c r="J334" s="28"/>
      <c r="K334" s="28">
        <f>TABL1234[[#This Row],[خط (T/B  TOT) SAR]]+TABL1234[[#This Row],[خط (S/S  TOT) SAR2]]</f>
        <v>0</v>
      </c>
      <c r="L334" s="28"/>
      <c r="M334" s="29"/>
      <c r="N334" s="30"/>
      <c r="O334" s="39"/>
      <c r="P334" s="9">
        <f>TABL1234[[#This Row],[خط (S/S  TOT) SAR2]]-TABL1234[[#This Row],[(S/S TOT) AJD]]</f>
        <v>0</v>
      </c>
      <c r="Q334" s="9"/>
      <c r="R334" s="9">
        <f>TABL1234[[#This Row],[خط (T/B  TOT) SAR]]-TABL1234[[#This Row],[(T/B TOT) AJD]]</f>
        <v>0</v>
      </c>
      <c r="S334" s="9">
        <f>TABL1234[[#This Row],[الفرق بين بداية ونهاية خط  T/B]]+TABL1234[[#This Row],[الفرق بين بداية ونهاية خط  S/S]]</f>
        <v>0</v>
      </c>
      <c r="T334" s="9">
        <f>TABL1234[[#This Row],[(S/S TOT) AJD]]+TABL1234[[#This Row],[(T/B TOT) AJD]]</f>
        <v>0</v>
      </c>
      <c r="U334" s="9"/>
      <c r="V334" s="9"/>
      <c r="W334" s="9">
        <f>TABL1234[[#This Row],[(A/B TOT) AJD]]+TABL1234[[#This Row],[(A/S TOT) AJD]]</f>
        <v>0</v>
      </c>
      <c r="X334" s="9">
        <f>TABL1234[[#This Row],[( S/S+T/B) AJD]]-TABL1234[[#This Row],[(A/B + A/S) AJD]]</f>
        <v>0</v>
      </c>
      <c r="Y334" s="18"/>
      <c r="Z334" s="9"/>
      <c r="AA334" s="3">
        <f>TABL1234[[#This Row],[(RESV. STORGE) AJD]]/10</f>
        <v>0</v>
      </c>
      <c r="AB334" s="3">
        <f t="shared" si="11"/>
        <v>0</v>
      </c>
      <c r="AC334" s="5"/>
      <c r="AD334" s="6">
        <f>TABL1234[[#This Row],[( S/S+T/B) AJD]]-(TABL1234[[#This Row],[(A/B + A/S) AJD]]+(TABL1234[[#This Row],[(STORGE DIFF.) AJD]]*1000)+TABL1234[[#This Row],[البخر  AJD]])</f>
        <v>0</v>
      </c>
      <c r="AE334" s="33"/>
      <c r="AF334" s="6"/>
      <c r="AG334" s="6"/>
      <c r="AH334" s="6"/>
      <c r="AI334" s="6"/>
      <c r="AJ334" s="33">
        <f>TABL1234[[#This Row],[(A/B TOT) AJD]]-TABL1234[[#This Row],[BER_ IN]]</f>
        <v>0</v>
      </c>
      <c r="AK334" s="6"/>
      <c r="AL334" s="6"/>
      <c r="AM334" s="32"/>
      <c r="AN334" s="32">
        <f>TABL1234[[#This Row],[ (RESV. STORGE) SER]]/10</f>
        <v>0</v>
      </c>
      <c r="AO334" s="68"/>
      <c r="AP334" s="68">
        <f>TABL1234[[#This Row],[(A/S TOT) AJD]]-TABL1234[[#This Row],[SER_ IN]]</f>
        <v>0</v>
      </c>
    </row>
    <row r="335" spans="1:42" ht="18.75" x14ac:dyDescent="0.25">
      <c r="A335" s="2">
        <v>46721</v>
      </c>
      <c r="B335" s="28"/>
      <c r="C335" s="28"/>
      <c r="D335" s="28"/>
      <c r="E335" s="28"/>
      <c r="F335" s="28"/>
      <c r="G335" s="28"/>
      <c r="H335" s="28">
        <f t="shared" si="10"/>
        <v>103</v>
      </c>
      <c r="I335" s="28"/>
      <c r="J335" s="28"/>
      <c r="K335" s="28">
        <f>TABL1234[[#This Row],[خط (T/B  TOT) SAR]]+TABL1234[[#This Row],[خط (S/S  TOT) SAR2]]</f>
        <v>0</v>
      </c>
      <c r="L335" s="28"/>
      <c r="M335" s="29"/>
      <c r="N335" s="30"/>
      <c r="O335" s="40"/>
      <c r="P335" s="9">
        <f>TABL1234[[#This Row],[خط (S/S  TOT) SAR2]]-TABL1234[[#This Row],[(S/S TOT) AJD]]</f>
        <v>0</v>
      </c>
      <c r="Q335" s="9"/>
      <c r="R335" s="9">
        <f>TABL1234[[#This Row],[خط (T/B  TOT) SAR]]-TABL1234[[#This Row],[(T/B TOT) AJD]]</f>
        <v>0</v>
      </c>
      <c r="S335" s="9">
        <f>TABL1234[[#This Row],[الفرق بين بداية ونهاية خط  T/B]]+TABL1234[[#This Row],[الفرق بين بداية ونهاية خط  S/S]]</f>
        <v>0</v>
      </c>
      <c r="T335" s="9">
        <f>TABL1234[[#This Row],[(S/S TOT) AJD]]+TABL1234[[#This Row],[(T/B TOT) AJD]]</f>
        <v>0</v>
      </c>
      <c r="U335" s="9"/>
      <c r="V335" s="9"/>
      <c r="W335" s="9">
        <f>TABL1234[[#This Row],[(A/B TOT) AJD]]+TABL1234[[#This Row],[(A/S TOT) AJD]]</f>
        <v>0</v>
      </c>
      <c r="X335" s="9">
        <f>TABL1234[[#This Row],[( S/S+T/B) AJD]]-TABL1234[[#This Row],[(A/B + A/S) AJD]]</f>
        <v>0</v>
      </c>
      <c r="Y335" s="18"/>
      <c r="Z335" s="9"/>
      <c r="AA335" s="3">
        <f>TABL1234[[#This Row],[(RESV. STORGE) AJD]]/10</f>
        <v>0</v>
      </c>
      <c r="AB335" s="3">
        <f t="shared" si="11"/>
        <v>0</v>
      </c>
      <c r="AC335" s="5"/>
      <c r="AD335" s="6">
        <f>TABL1234[[#This Row],[( S/S+T/B) AJD]]-(TABL1234[[#This Row],[(A/B + A/S) AJD]]+(TABL1234[[#This Row],[(STORGE DIFF.) AJD]]*1000)+TABL1234[[#This Row],[البخر  AJD]])</f>
        <v>0</v>
      </c>
      <c r="AE335" s="33"/>
      <c r="AF335" s="6"/>
      <c r="AG335" s="6"/>
      <c r="AH335" s="6"/>
      <c r="AI335" s="6"/>
      <c r="AJ335" s="33">
        <f>TABL1234[[#This Row],[(A/B TOT) AJD]]-TABL1234[[#This Row],[BER_ IN]]</f>
        <v>0</v>
      </c>
      <c r="AK335" s="6"/>
      <c r="AL335" s="6"/>
      <c r="AM335" s="32"/>
      <c r="AN335" s="32">
        <f>TABL1234[[#This Row],[ (RESV. STORGE) SER]]/10</f>
        <v>0</v>
      </c>
      <c r="AO335" s="68"/>
      <c r="AP335" s="68">
        <f>TABL1234[[#This Row],[(A/S TOT) AJD]]-TABL1234[[#This Row],[SER_ IN]]</f>
        <v>0</v>
      </c>
    </row>
    <row r="336" spans="1:42" ht="18.75" x14ac:dyDescent="0.25">
      <c r="A336" s="2">
        <v>46722</v>
      </c>
      <c r="B336" s="41"/>
      <c r="C336" s="41"/>
      <c r="D336" s="41"/>
      <c r="E336" s="41"/>
      <c r="F336" s="41"/>
      <c r="G336" s="39"/>
      <c r="H336" s="41">
        <f t="shared" si="10"/>
        <v>103</v>
      </c>
      <c r="I336" s="39"/>
      <c r="J336" s="39"/>
      <c r="K336" s="28">
        <f>TABL1234[[#This Row],[خط (T/B  TOT) SAR]]+TABL1234[[#This Row],[خط (S/S  TOT) SAR2]]</f>
        <v>0</v>
      </c>
      <c r="L336" s="41"/>
      <c r="M336" s="42"/>
      <c r="N336" s="42"/>
      <c r="O336" s="39"/>
      <c r="P336" s="9">
        <f>TABL1234[[#This Row],[خط (S/S  TOT) SAR2]]-TABL1234[[#This Row],[(S/S TOT) AJD]]</f>
        <v>0</v>
      </c>
      <c r="Q336" s="39"/>
      <c r="R336" s="9">
        <f>TABL1234[[#This Row],[خط (T/B  TOT) SAR]]-TABL1234[[#This Row],[(T/B TOT) AJD]]</f>
        <v>0</v>
      </c>
      <c r="S336" s="9">
        <f>TABL1234[[#This Row],[الفرق بين بداية ونهاية خط  T/B]]+TABL1234[[#This Row],[الفرق بين بداية ونهاية خط  S/S]]</f>
        <v>0</v>
      </c>
      <c r="T336" s="9">
        <f>TABL1234[[#This Row],[(S/S TOT) AJD]]+TABL1234[[#This Row],[(T/B TOT) AJD]]</f>
        <v>0</v>
      </c>
      <c r="U336" s="41"/>
      <c r="V336" s="41"/>
      <c r="W336" s="9">
        <f>TABL1234[[#This Row],[(A/B TOT) AJD]]+TABL1234[[#This Row],[(A/S TOT) AJD]]</f>
        <v>0</v>
      </c>
      <c r="X336" s="9">
        <f>TABL1234[[#This Row],[( S/S+T/B) AJD]]-TABL1234[[#This Row],[(A/B + A/S) AJD]]</f>
        <v>0</v>
      </c>
      <c r="Y336" s="41"/>
      <c r="Z336" s="43"/>
      <c r="AA336" s="3">
        <f>TABL1234[[#This Row],[(RESV. STORGE) AJD]]/10</f>
        <v>0</v>
      </c>
      <c r="AB336" s="3">
        <f t="shared" si="11"/>
        <v>0</v>
      </c>
      <c r="AC336" s="5"/>
      <c r="AD336" s="39">
        <f>TABL1234[[#This Row],[( S/S+T/B) AJD]]-(TABL1234[[#This Row],[(A/B + A/S) AJD]]+(TABL1234[[#This Row],[(STORGE DIFF.) AJD]]*1000)+TABL1234[[#This Row],[البخر  AJD]])</f>
        <v>0</v>
      </c>
      <c r="AE336" s="41"/>
      <c r="AF336" s="43"/>
      <c r="AG336" s="43"/>
      <c r="AH336" s="6"/>
      <c r="AI336" s="43"/>
      <c r="AJ336" s="43">
        <f>TABL1234[[#This Row],[(A/B TOT) AJD]]-TABL1234[[#This Row],[BER_ IN]]</f>
        <v>0</v>
      </c>
      <c r="AK336" s="43"/>
      <c r="AL336" s="43"/>
      <c r="AM336" s="32"/>
      <c r="AN336" s="32">
        <f>TABL1234[[#This Row],[ (RESV. STORGE) SER]]/10</f>
        <v>0</v>
      </c>
      <c r="AO336" s="68"/>
      <c r="AP336" s="68">
        <f>TABL1234[[#This Row],[(A/S TOT) AJD]]-TABL1234[[#This Row],[SER_ IN]]</f>
        <v>0</v>
      </c>
    </row>
    <row r="337" spans="1:42" ht="18.75" x14ac:dyDescent="0.25">
      <c r="A337" s="2">
        <v>46723</v>
      </c>
      <c r="B337" s="44"/>
      <c r="C337" s="44"/>
      <c r="D337" s="44"/>
      <c r="E337" s="44"/>
      <c r="F337" s="44"/>
      <c r="G337" s="40"/>
      <c r="H337" s="44">
        <f t="shared" si="10"/>
        <v>103</v>
      </c>
      <c r="I337" s="40"/>
      <c r="J337" s="44"/>
      <c r="K337" s="28">
        <f>TABL1234[[#This Row],[خط (T/B  TOT) SAR]]+TABL1234[[#This Row],[خط (S/S  TOT) SAR2]]</f>
        <v>0</v>
      </c>
      <c r="L337" s="45"/>
      <c r="M337" s="46"/>
      <c r="N337" s="46"/>
      <c r="O337" s="40"/>
      <c r="P337" s="9">
        <f>TABL1234[[#This Row],[خط (S/S  TOT) SAR2]]-TABL1234[[#This Row],[(S/S TOT) AJD]]</f>
        <v>0</v>
      </c>
      <c r="Q337" s="40"/>
      <c r="R337" s="9">
        <f>TABL1234[[#This Row],[خط (T/B  TOT) SAR]]-TABL1234[[#This Row],[(T/B TOT) AJD]]</f>
        <v>0</v>
      </c>
      <c r="S337" s="9">
        <f>TABL1234[[#This Row],[الفرق بين بداية ونهاية خط  T/B]]+TABL1234[[#This Row],[الفرق بين بداية ونهاية خط  S/S]]</f>
        <v>0</v>
      </c>
      <c r="T337" s="9">
        <f>TABL1234[[#This Row],[(S/S TOT) AJD]]+TABL1234[[#This Row],[(T/B TOT) AJD]]</f>
        <v>0</v>
      </c>
      <c r="U337" s="44"/>
      <c r="V337" s="44"/>
      <c r="W337" s="9">
        <f>TABL1234[[#This Row],[(A/B TOT) AJD]]+TABL1234[[#This Row],[(A/S TOT) AJD]]</f>
        <v>0</v>
      </c>
      <c r="X337" s="9">
        <f>TABL1234[[#This Row],[( S/S+T/B) AJD]]-TABL1234[[#This Row],[(A/B + A/S) AJD]]</f>
        <v>0</v>
      </c>
      <c r="Y337" s="44"/>
      <c r="Z337" s="45"/>
      <c r="AA337" s="3">
        <f>TABL1234[[#This Row],[(RESV. STORGE) AJD]]/10</f>
        <v>0</v>
      </c>
      <c r="AB337" s="3">
        <f t="shared" si="11"/>
        <v>0</v>
      </c>
      <c r="AC337" s="5"/>
      <c r="AD337" s="40">
        <f>TABL1234[[#This Row],[( S/S+T/B) AJD]]-(TABL1234[[#This Row],[(A/B + A/S) AJD]]+(TABL1234[[#This Row],[(STORGE DIFF.) AJD]]*1000)+TABL1234[[#This Row],[البخر  AJD]])</f>
        <v>0</v>
      </c>
      <c r="AE337" s="44"/>
      <c r="AF337" s="45"/>
      <c r="AG337" s="45"/>
      <c r="AH337" s="6"/>
      <c r="AI337" s="45"/>
      <c r="AJ337" s="45">
        <f>TABL1234[[#This Row],[(A/B TOT) AJD]]-TABL1234[[#This Row],[BER_ IN]]</f>
        <v>0</v>
      </c>
      <c r="AK337" s="45"/>
      <c r="AL337" s="45"/>
      <c r="AM337" s="32"/>
      <c r="AN337" s="32">
        <f>TABL1234[[#This Row],[ (RESV. STORGE) SER]]/10</f>
        <v>0</v>
      </c>
      <c r="AO337" s="68"/>
      <c r="AP337" s="68">
        <f>TABL1234[[#This Row],[(A/S TOT) AJD]]-TABL1234[[#This Row],[SER_ IN]]</f>
        <v>0</v>
      </c>
    </row>
    <row r="338" spans="1:42" ht="18.75" x14ac:dyDescent="0.25">
      <c r="A338" s="2">
        <v>46724</v>
      </c>
      <c r="B338" s="41"/>
      <c r="C338" s="41"/>
      <c r="D338" s="41"/>
      <c r="E338" s="41"/>
      <c r="F338" s="41"/>
      <c r="G338" s="39"/>
      <c r="H338" s="41">
        <f t="shared" si="10"/>
        <v>103</v>
      </c>
      <c r="I338" s="39"/>
      <c r="J338" s="39"/>
      <c r="K338" s="28">
        <f>TABL1234[[#This Row],[خط (T/B  TOT) SAR]]+TABL1234[[#This Row],[خط (S/S  TOT) SAR2]]</f>
        <v>0</v>
      </c>
      <c r="L338" s="41"/>
      <c r="M338" s="42"/>
      <c r="N338" s="42"/>
      <c r="O338" s="39"/>
      <c r="P338" s="9">
        <f>TABL1234[[#This Row],[خط (S/S  TOT) SAR2]]-TABL1234[[#This Row],[(S/S TOT) AJD]]</f>
        <v>0</v>
      </c>
      <c r="Q338" s="39"/>
      <c r="R338" s="9">
        <f>TABL1234[[#This Row],[خط (T/B  TOT) SAR]]-TABL1234[[#This Row],[(T/B TOT) AJD]]</f>
        <v>0</v>
      </c>
      <c r="S338" s="9">
        <f>TABL1234[[#This Row],[الفرق بين بداية ونهاية خط  T/B]]+TABL1234[[#This Row],[الفرق بين بداية ونهاية خط  S/S]]</f>
        <v>0</v>
      </c>
      <c r="T338" s="9">
        <f>TABL1234[[#This Row],[(S/S TOT) AJD]]+TABL1234[[#This Row],[(T/B TOT) AJD]]</f>
        <v>0</v>
      </c>
      <c r="U338" s="41"/>
      <c r="V338" s="41"/>
      <c r="W338" s="9">
        <f>TABL1234[[#This Row],[(A/B TOT) AJD]]+TABL1234[[#This Row],[(A/S TOT) AJD]]</f>
        <v>0</v>
      </c>
      <c r="X338" s="9">
        <f>TABL1234[[#This Row],[( S/S+T/B) AJD]]-TABL1234[[#This Row],[(A/B + A/S) AJD]]</f>
        <v>0</v>
      </c>
      <c r="Y338" s="41"/>
      <c r="Z338" s="43"/>
      <c r="AA338" s="3">
        <f>TABL1234[[#This Row],[(RESV. STORGE) AJD]]/10</f>
        <v>0</v>
      </c>
      <c r="AB338" s="3">
        <f t="shared" si="11"/>
        <v>0</v>
      </c>
      <c r="AC338" s="5"/>
      <c r="AD338" s="39">
        <f>TABL1234[[#This Row],[( S/S+T/B) AJD]]-(TABL1234[[#This Row],[(A/B + A/S) AJD]]+(TABL1234[[#This Row],[(STORGE DIFF.) AJD]]*1000)+TABL1234[[#This Row],[البخر  AJD]])</f>
        <v>0</v>
      </c>
      <c r="AE338" s="41"/>
      <c r="AF338" s="43"/>
      <c r="AG338" s="43"/>
      <c r="AH338" s="6"/>
      <c r="AI338" s="43"/>
      <c r="AJ338" s="43">
        <f>TABL1234[[#This Row],[(A/B TOT) AJD]]-TABL1234[[#This Row],[BER_ IN]]</f>
        <v>0</v>
      </c>
      <c r="AK338" s="43"/>
      <c r="AL338" s="43"/>
      <c r="AM338" s="32"/>
      <c r="AN338" s="32">
        <f>TABL1234[[#This Row],[ (RESV. STORGE) SER]]/10</f>
        <v>0</v>
      </c>
      <c r="AO338" s="68"/>
      <c r="AP338" s="68">
        <f>TABL1234[[#This Row],[(A/S TOT) AJD]]-TABL1234[[#This Row],[SER_ IN]]</f>
        <v>0</v>
      </c>
    </row>
    <row r="339" spans="1:42" ht="18.75" x14ac:dyDescent="0.25">
      <c r="A339" s="2">
        <v>46725</v>
      </c>
      <c r="B339" s="44"/>
      <c r="C339" s="44"/>
      <c r="D339" s="44"/>
      <c r="E339" s="44"/>
      <c r="F339" s="44"/>
      <c r="G339" s="40"/>
      <c r="H339" s="44">
        <f t="shared" si="10"/>
        <v>103</v>
      </c>
      <c r="I339" s="40"/>
      <c r="J339" s="44"/>
      <c r="K339" s="28">
        <f>TABL1234[[#This Row],[خط (T/B  TOT) SAR]]+TABL1234[[#This Row],[خط (S/S  TOT) SAR2]]</f>
        <v>0</v>
      </c>
      <c r="L339" s="45"/>
      <c r="M339" s="46"/>
      <c r="N339" s="46"/>
      <c r="O339" s="40"/>
      <c r="P339" s="9">
        <f>TABL1234[[#This Row],[خط (S/S  TOT) SAR2]]-TABL1234[[#This Row],[(S/S TOT) AJD]]</f>
        <v>0</v>
      </c>
      <c r="Q339" s="40"/>
      <c r="R339" s="9">
        <f>TABL1234[[#This Row],[خط (T/B  TOT) SAR]]-TABL1234[[#This Row],[(T/B TOT) AJD]]</f>
        <v>0</v>
      </c>
      <c r="S339" s="9">
        <f>TABL1234[[#This Row],[الفرق بين بداية ونهاية خط  T/B]]+TABL1234[[#This Row],[الفرق بين بداية ونهاية خط  S/S]]</f>
        <v>0</v>
      </c>
      <c r="T339" s="9">
        <f>TABL1234[[#This Row],[(S/S TOT) AJD]]+TABL1234[[#This Row],[(T/B TOT) AJD]]</f>
        <v>0</v>
      </c>
      <c r="U339" s="44"/>
      <c r="V339" s="47"/>
      <c r="W339" s="9">
        <f>TABL1234[[#This Row],[(A/B TOT) AJD]]+TABL1234[[#This Row],[(A/S TOT) AJD]]</f>
        <v>0</v>
      </c>
      <c r="X339" s="9">
        <f>TABL1234[[#This Row],[( S/S+T/B) AJD]]-TABL1234[[#This Row],[(A/B + A/S) AJD]]</f>
        <v>0</v>
      </c>
      <c r="Y339" s="44"/>
      <c r="Z339" s="45"/>
      <c r="AA339" s="3">
        <f>TABL1234[[#This Row],[(RESV. STORGE) AJD]]/10</f>
        <v>0</v>
      </c>
      <c r="AB339" s="3">
        <f t="shared" si="11"/>
        <v>0</v>
      </c>
      <c r="AC339" s="5"/>
      <c r="AD339" s="40">
        <f>TABL1234[[#This Row],[( S/S+T/B) AJD]]-(TABL1234[[#This Row],[(A/B + A/S) AJD]]+(TABL1234[[#This Row],[(STORGE DIFF.) AJD]]*1000)+TABL1234[[#This Row],[البخر  AJD]])</f>
        <v>0</v>
      </c>
      <c r="AE339" s="44"/>
      <c r="AF339" s="45"/>
      <c r="AG339" s="45"/>
      <c r="AH339" s="6"/>
      <c r="AI339" s="45"/>
      <c r="AJ339" s="45">
        <f>TABL1234[[#This Row],[(A/B TOT) AJD]]-TABL1234[[#This Row],[BER_ IN]]</f>
        <v>0</v>
      </c>
      <c r="AK339" s="45"/>
      <c r="AL339" s="45"/>
      <c r="AM339" s="32"/>
      <c r="AN339" s="32">
        <f>TABL1234[[#This Row],[ (RESV. STORGE) SER]]/10</f>
        <v>0</v>
      </c>
      <c r="AO339" s="68"/>
      <c r="AP339" s="68">
        <f>TABL1234[[#This Row],[(A/S TOT) AJD]]-TABL1234[[#This Row],[SER_ IN]]</f>
        <v>0</v>
      </c>
    </row>
    <row r="340" spans="1:42" ht="18.75" x14ac:dyDescent="0.25">
      <c r="A340" s="2">
        <v>46726</v>
      </c>
      <c r="B340" s="41"/>
      <c r="C340" s="41"/>
      <c r="D340" s="41"/>
      <c r="E340" s="41"/>
      <c r="F340" s="41"/>
      <c r="G340" s="39"/>
      <c r="H340" s="41">
        <f t="shared" si="10"/>
        <v>103</v>
      </c>
      <c r="I340" s="39"/>
      <c r="J340" s="39"/>
      <c r="K340" s="28">
        <f>TABL1234[[#This Row],[خط (T/B  TOT) SAR]]+TABL1234[[#This Row],[خط (S/S  TOT) SAR2]]</f>
        <v>0</v>
      </c>
      <c r="L340" s="41"/>
      <c r="M340" s="42"/>
      <c r="N340" s="42"/>
      <c r="O340" s="39"/>
      <c r="P340" s="9">
        <f>TABL1234[[#This Row],[خط (S/S  TOT) SAR2]]-TABL1234[[#This Row],[(S/S TOT) AJD]]</f>
        <v>0</v>
      </c>
      <c r="Q340" s="39"/>
      <c r="R340" s="9">
        <f>TABL1234[[#This Row],[خط (T/B  TOT) SAR]]-TABL1234[[#This Row],[(T/B TOT) AJD]]</f>
        <v>0</v>
      </c>
      <c r="S340" s="9">
        <f>TABL1234[[#This Row],[الفرق بين بداية ونهاية خط  T/B]]+TABL1234[[#This Row],[الفرق بين بداية ونهاية خط  S/S]]</f>
        <v>0</v>
      </c>
      <c r="T340" s="9">
        <f>TABL1234[[#This Row],[(S/S TOT) AJD]]+TABL1234[[#This Row],[(T/B TOT) AJD]]</f>
        <v>0</v>
      </c>
      <c r="U340" s="41"/>
      <c r="V340" s="41"/>
      <c r="W340" s="9">
        <f>TABL1234[[#This Row],[(A/B TOT) AJD]]+TABL1234[[#This Row],[(A/S TOT) AJD]]</f>
        <v>0</v>
      </c>
      <c r="X340" s="9">
        <f>TABL1234[[#This Row],[( S/S+T/B) AJD]]-TABL1234[[#This Row],[(A/B + A/S) AJD]]</f>
        <v>0</v>
      </c>
      <c r="Y340" s="41"/>
      <c r="Z340" s="43"/>
      <c r="AA340" s="3">
        <f>TABL1234[[#This Row],[(RESV. STORGE) AJD]]/10</f>
        <v>0</v>
      </c>
      <c r="AB340" s="3">
        <f t="shared" si="11"/>
        <v>0</v>
      </c>
      <c r="AC340" s="5"/>
      <c r="AD340" s="39">
        <f>TABL1234[[#This Row],[( S/S+T/B) AJD]]-(TABL1234[[#This Row],[(A/B + A/S) AJD]]+(TABL1234[[#This Row],[(STORGE DIFF.) AJD]]*1000)+TABL1234[[#This Row],[البخر  AJD]])</f>
        <v>0</v>
      </c>
      <c r="AE340" s="41"/>
      <c r="AF340" s="43"/>
      <c r="AG340" s="43"/>
      <c r="AH340" s="6"/>
      <c r="AI340" s="43"/>
      <c r="AJ340" s="43">
        <f>TABL1234[[#This Row],[(A/B TOT) AJD]]-TABL1234[[#This Row],[BER_ IN]]</f>
        <v>0</v>
      </c>
      <c r="AK340" s="43"/>
      <c r="AL340" s="43"/>
      <c r="AM340" s="32"/>
      <c r="AN340" s="32">
        <f>TABL1234[[#This Row],[ (RESV. STORGE) SER]]/10</f>
        <v>0</v>
      </c>
      <c r="AO340" s="68"/>
      <c r="AP340" s="68">
        <f>TABL1234[[#This Row],[(A/S TOT) AJD]]-TABL1234[[#This Row],[SER_ IN]]</f>
        <v>0</v>
      </c>
    </row>
    <row r="341" spans="1:42" ht="18.75" x14ac:dyDescent="0.25">
      <c r="A341" s="2">
        <v>46727</v>
      </c>
      <c r="B341" s="44"/>
      <c r="C341" s="44"/>
      <c r="D341" s="44"/>
      <c r="E341" s="44"/>
      <c r="F341" s="44"/>
      <c r="G341" s="40"/>
      <c r="H341" s="44">
        <f t="shared" si="10"/>
        <v>103</v>
      </c>
      <c r="I341" s="40"/>
      <c r="J341" s="44"/>
      <c r="K341" s="28">
        <f>TABL1234[[#This Row],[خط (T/B  TOT) SAR]]+TABL1234[[#This Row],[خط (S/S  TOT) SAR2]]</f>
        <v>0</v>
      </c>
      <c r="L341" s="45"/>
      <c r="M341" s="46"/>
      <c r="N341" s="46"/>
      <c r="O341" s="40"/>
      <c r="P341" s="9">
        <f>TABL1234[[#This Row],[خط (S/S  TOT) SAR2]]-TABL1234[[#This Row],[(S/S TOT) AJD]]</f>
        <v>0</v>
      </c>
      <c r="Q341" s="40"/>
      <c r="R341" s="9">
        <f>TABL1234[[#This Row],[خط (T/B  TOT) SAR]]-TABL1234[[#This Row],[(T/B TOT) AJD]]</f>
        <v>0</v>
      </c>
      <c r="S341" s="9">
        <f>TABL1234[[#This Row],[الفرق بين بداية ونهاية خط  T/B]]+TABL1234[[#This Row],[الفرق بين بداية ونهاية خط  S/S]]</f>
        <v>0</v>
      </c>
      <c r="T341" s="9">
        <f>TABL1234[[#This Row],[(S/S TOT) AJD]]+TABL1234[[#This Row],[(T/B TOT) AJD]]</f>
        <v>0</v>
      </c>
      <c r="U341" s="44"/>
      <c r="V341" s="44"/>
      <c r="W341" s="9">
        <f>TABL1234[[#This Row],[(A/B TOT) AJD]]+TABL1234[[#This Row],[(A/S TOT) AJD]]</f>
        <v>0</v>
      </c>
      <c r="X341" s="9">
        <f>TABL1234[[#This Row],[( S/S+T/B) AJD]]-TABL1234[[#This Row],[(A/B + A/S) AJD]]</f>
        <v>0</v>
      </c>
      <c r="Y341" s="44"/>
      <c r="Z341" s="45"/>
      <c r="AA341" s="3">
        <f>TABL1234[[#This Row],[(RESV. STORGE) AJD]]/10</f>
        <v>0</v>
      </c>
      <c r="AB341" s="3">
        <f t="shared" si="11"/>
        <v>0</v>
      </c>
      <c r="AC341" s="5"/>
      <c r="AD341" s="40">
        <f>TABL1234[[#This Row],[( S/S+T/B) AJD]]-(TABL1234[[#This Row],[(A/B + A/S) AJD]]+(TABL1234[[#This Row],[(STORGE DIFF.) AJD]]*1000)+TABL1234[[#This Row],[البخر  AJD]])</f>
        <v>0</v>
      </c>
      <c r="AE341" s="44"/>
      <c r="AF341" s="45"/>
      <c r="AG341" s="45"/>
      <c r="AH341" s="6"/>
      <c r="AI341" s="45"/>
      <c r="AJ341" s="45">
        <f>TABL1234[[#This Row],[(A/B TOT) AJD]]-TABL1234[[#This Row],[BER_ IN]]</f>
        <v>0</v>
      </c>
      <c r="AK341" s="45"/>
      <c r="AL341" s="45"/>
      <c r="AM341" s="32"/>
      <c r="AN341" s="32">
        <f>TABL1234[[#This Row],[ (RESV. STORGE) SER]]/10</f>
        <v>0</v>
      </c>
      <c r="AO341" s="68"/>
      <c r="AP341" s="68">
        <f>TABL1234[[#This Row],[(A/S TOT) AJD]]-TABL1234[[#This Row],[SER_ IN]]</f>
        <v>0</v>
      </c>
    </row>
    <row r="342" spans="1:42" ht="18.75" x14ac:dyDescent="0.25">
      <c r="A342" s="2">
        <v>46728</v>
      </c>
      <c r="B342" s="41"/>
      <c r="C342" s="41"/>
      <c r="D342" s="41"/>
      <c r="E342" s="41"/>
      <c r="F342" s="41"/>
      <c r="G342" s="39"/>
      <c r="H342" s="41">
        <f t="shared" si="10"/>
        <v>103</v>
      </c>
      <c r="I342" s="39"/>
      <c r="J342" s="39"/>
      <c r="K342" s="28">
        <f>TABL1234[[#This Row],[خط (T/B  TOT) SAR]]+TABL1234[[#This Row],[خط (S/S  TOT) SAR2]]</f>
        <v>0</v>
      </c>
      <c r="L342" s="41"/>
      <c r="M342" s="42"/>
      <c r="N342" s="42"/>
      <c r="O342" s="39"/>
      <c r="P342" s="9">
        <f>TABL1234[[#This Row],[خط (S/S  TOT) SAR2]]-TABL1234[[#This Row],[(S/S TOT) AJD]]</f>
        <v>0</v>
      </c>
      <c r="Q342" s="39"/>
      <c r="R342" s="9">
        <f>TABL1234[[#This Row],[خط (T/B  TOT) SAR]]-TABL1234[[#This Row],[(T/B TOT) AJD]]</f>
        <v>0</v>
      </c>
      <c r="S342" s="9">
        <f>TABL1234[[#This Row],[الفرق بين بداية ونهاية خط  T/B]]+TABL1234[[#This Row],[الفرق بين بداية ونهاية خط  S/S]]</f>
        <v>0</v>
      </c>
      <c r="T342" s="9">
        <f>TABL1234[[#This Row],[(S/S TOT) AJD]]+TABL1234[[#This Row],[(T/B TOT) AJD]]</f>
        <v>0</v>
      </c>
      <c r="U342" s="41"/>
      <c r="V342" s="41"/>
      <c r="W342" s="9">
        <f>TABL1234[[#This Row],[(A/B TOT) AJD]]+TABL1234[[#This Row],[(A/S TOT) AJD]]</f>
        <v>0</v>
      </c>
      <c r="X342" s="9">
        <f>TABL1234[[#This Row],[( S/S+T/B) AJD]]-TABL1234[[#This Row],[(A/B + A/S) AJD]]</f>
        <v>0</v>
      </c>
      <c r="Y342" s="41"/>
      <c r="Z342" s="43"/>
      <c r="AA342" s="3">
        <f>TABL1234[[#This Row],[(RESV. STORGE) AJD]]/10</f>
        <v>0</v>
      </c>
      <c r="AB342" s="3">
        <f t="shared" si="11"/>
        <v>0</v>
      </c>
      <c r="AC342" s="5"/>
      <c r="AD342" s="39">
        <f>TABL1234[[#This Row],[( S/S+T/B) AJD]]-(TABL1234[[#This Row],[(A/B + A/S) AJD]]+(TABL1234[[#This Row],[(STORGE DIFF.) AJD]]*1000)+TABL1234[[#This Row],[البخر  AJD]])</f>
        <v>0</v>
      </c>
      <c r="AE342" s="41"/>
      <c r="AF342" s="43"/>
      <c r="AG342" s="43"/>
      <c r="AH342" s="6"/>
      <c r="AI342" s="43"/>
      <c r="AJ342" s="43">
        <f>TABL1234[[#This Row],[(A/B TOT) AJD]]-TABL1234[[#This Row],[BER_ IN]]</f>
        <v>0</v>
      </c>
      <c r="AK342" s="43"/>
      <c r="AL342" s="43"/>
      <c r="AM342" s="32"/>
      <c r="AN342" s="32">
        <f>TABL1234[[#This Row],[ (RESV. STORGE) SER]]/10</f>
        <v>0</v>
      </c>
      <c r="AO342" s="68"/>
      <c r="AP342" s="68">
        <f>TABL1234[[#This Row],[(A/S TOT) AJD]]-TABL1234[[#This Row],[SER_ IN]]</f>
        <v>0</v>
      </c>
    </row>
    <row r="343" spans="1:42" ht="18.75" x14ac:dyDescent="0.25">
      <c r="A343" s="2">
        <v>46729</v>
      </c>
      <c r="B343" s="44"/>
      <c r="C343" s="44"/>
      <c r="D343" s="44"/>
      <c r="E343" s="44"/>
      <c r="F343" s="44"/>
      <c r="G343" s="40"/>
      <c r="H343" s="44">
        <f t="shared" si="10"/>
        <v>103</v>
      </c>
      <c r="I343" s="40"/>
      <c r="J343" s="44"/>
      <c r="K343" s="28">
        <f>TABL1234[[#This Row],[خط (T/B  TOT) SAR]]+TABL1234[[#This Row],[خط (S/S  TOT) SAR2]]</f>
        <v>0</v>
      </c>
      <c r="L343" s="45"/>
      <c r="M343" s="46"/>
      <c r="N343" s="46"/>
      <c r="O343" s="40"/>
      <c r="P343" s="9">
        <f>TABL1234[[#This Row],[خط (S/S  TOT) SAR2]]-TABL1234[[#This Row],[(S/S TOT) AJD]]</f>
        <v>0</v>
      </c>
      <c r="Q343" s="40"/>
      <c r="R343" s="9">
        <f>TABL1234[[#This Row],[خط (T/B  TOT) SAR]]-TABL1234[[#This Row],[(T/B TOT) AJD]]</f>
        <v>0</v>
      </c>
      <c r="S343" s="9">
        <f>TABL1234[[#This Row],[الفرق بين بداية ونهاية خط  T/B]]+TABL1234[[#This Row],[الفرق بين بداية ونهاية خط  S/S]]</f>
        <v>0</v>
      </c>
      <c r="T343" s="9">
        <f>TABL1234[[#This Row],[(S/S TOT) AJD]]+TABL1234[[#This Row],[(T/B TOT) AJD]]</f>
        <v>0</v>
      </c>
      <c r="U343" s="44"/>
      <c r="V343" s="44"/>
      <c r="W343" s="9">
        <f>TABL1234[[#This Row],[(A/B TOT) AJD]]+TABL1234[[#This Row],[(A/S TOT) AJD]]</f>
        <v>0</v>
      </c>
      <c r="X343" s="9">
        <f>TABL1234[[#This Row],[( S/S+T/B) AJD]]-TABL1234[[#This Row],[(A/B + A/S) AJD]]</f>
        <v>0</v>
      </c>
      <c r="Y343" s="44"/>
      <c r="Z343" s="45"/>
      <c r="AA343" s="3">
        <f>TABL1234[[#This Row],[(RESV. STORGE) AJD]]/10</f>
        <v>0</v>
      </c>
      <c r="AB343" s="3">
        <f t="shared" si="11"/>
        <v>0</v>
      </c>
      <c r="AC343" s="5"/>
      <c r="AD343" s="40">
        <f>TABL1234[[#This Row],[( S/S+T/B) AJD]]-(TABL1234[[#This Row],[(A/B + A/S) AJD]]+(TABL1234[[#This Row],[(STORGE DIFF.) AJD]]*1000)+TABL1234[[#This Row],[البخر  AJD]])</f>
        <v>0</v>
      </c>
      <c r="AE343" s="44"/>
      <c r="AF343" s="45"/>
      <c r="AG343" s="45"/>
      <c r="AH343" s="6"/>
      <c r="AI343" s="45"/>
      <c r="AJ343" s="45">
        <f>TABL1234[[#This Row],[(A/B TOT) AJD]]-TABL1234[[#This Row],[BER_ IN]]</f>
        <v>0</v>
      </c>
      <c r="AK343" s="45"/>
      <c r="AL343" s="45"/>
      <c r="AM343" s="32"/>
      <c r="AN343" s="32">
        <f>TABL1234[[#This Row],[ (RESV. STORGE) SER]]/10</f>
        <v>0</v>
      </c>
      <c r="AO343" s="68"/>
      <c r="AP343" s="68">
        <f>TABL1234[[#This Row],[(A/S TOT) AJD]]-TABL1234[[#This Row],[SER_ IN]]</f>
        <v>0</v>
      </c>
    </row>
    <row r="344" spans="1:42" ht="18.75" x14ac:dyDescent="0.25">
      <c r="A344" s="2">
        <v>46730</v>
      </c>
      <c r="B344" s="41"/>
      <c r="C344" s="41"/>
      <c r="D344" s="41"/>
      <c r="E344" s="41"/>
      <c r="F344" s="41"/>
      <c r="G344" s="39"/>
      <c r="H344" s="41">
        <f t="shared" si="10"/>
        <v>103</v>
      </c>
      <c r="I344" s="39"/>
      <c r="J344" s="39"/>
      <c r="K344" s="28">
        <f>TABL1234[[#This Row],[خط (T/B  TOT) SAR]]+TABL1234[[#This Row],[خط (S/S  TOT) SAR2]]</f>
        <v>0</v>
      </c>
      <c r="L344" s="41"/>
      <c r="M344" s="42"/>
      <c r="N344" s="42"/>
      <c r="O344" s="39"/>
      <c r="P344" s="9">
        <f>TABL1234[[#This Row],[خط (S/S  TOT) SAR2]]-TABL1234[[#This Row],[(S/S TOT) AJD]]</f>
        <v>0</v>
      </c>
      <c r="Q344" s="39"/>
      <c r="R344" s="9">
        <f>TABL1234[[#This Row],[خط (T/B  TOT) SAR]]-TABL1234[[#This Row],[(T/B TOT) AJD]]</f>
        <v>0</v>
      </c>
      <c r="S344" s="9">
        <f>TABL1234[[#This Row],[الفرق بين بداية ونهاية خط  T/B]]+TABL1234[[#This Row],[الفرق بين بداية ونهاية خط  S/S]]</f>
        <v>0</v>
      </c>
      <c r="T344" s="9">
        <f>TABL1234[[#This Row],[(S/S TOT) AJD]]+TABL1234[[#This Row],[(T/B TOT) AJD]]</f>
        <v>0</v>
      </c>
      <c r="U344" s="41"/>
      <c r="V344" s="41"/>
      <c r="W344" s="9">
        <f>TABL1234[[#This Row],[(A/B TOT) AJD]]+TABL1234[[#This Row],[(A/S TOT) AJD]]</f>
        <v>0</v>
      </c>
      <c r="X344" s="9">
        <f>TABL1234[[#This Row],[( S/S+T/B) AJD]]-TABL1234[[#This Row],[(A/B + A/S) AJD]]</f>
        <v>0</v>
      </c>
      <c r="Y344" s="41"/>
      <c r="Z344" s="43"/>
      <c r="AA344" s="3">
        <f>TABL1234[[#This Row],[(RESV. STORGE) AJD]]/10</f>
        <v>0</v>
      </c>
      <c r="AB344" s="3">
        <f t="shared" si="11"/>
        <v>0</v>
      </c>
      <c r="AC344" s="5"/>
      <c r="AD344" s="39">
        <f>TABL1234[[#This Row],[( S/S+T/B) AJD]]-(TABL1234[[#This Row],[(A/B + A/S) AJD]]+(TABL1234[[#This Row],[(STORGE DIFF.) AJD]]*1000)+TABL1234[[#This Row],[البخر  AJD]])</f>
        <v>0</v>
      </c>
      <c r="AE344" s="41"/>
      <c r="AF344" s="43"/>
      <c r="AG344" s="43"/>
      <c r="AH344" s="6"/>
      <c r="AI344" s="43"/>
      <c r="AJ344" s="43">
        <f>TABL1234[[#This Row],[(A/B TOT) AJD]]-TABL1234[[#This Row],[BER_ IN]]</f>
        <v>0</v>
      </c>
      <c r="AK344" s="43"/>
      <c r="AL344" s="43"/>
      <c r="AM344" s="32"/>
      <c r="AN344" s="32">
        <f>TABL1234[[#This Row],[ (RESV. STORGE) SER]]/10</f>
        <v>0</v>
      </c>
      <c r="AO344" s="68"/>
      <c r="AP344" s="68">
        <f>TABL1234[[#This Row],[(A/S TOT) AJD]]-TABL1234[[#This Row],[SER_ IN]]</f>
        <v>0</v>
      </c>
    </row>
    <row r="345" spans="1:42" ht="18.75" x14ac:dyDescent="0.25">
      <c r="A345" s="2">
        <v>46731</v>
      </c>
      <c r="B345" s="44"/>
      <c r="C345" s="44"/>
      <c r="D345" s="44"/>
      <c r="E345" s="44"/>
      <c r="F345" s="44"/>
      <c r="G345" s="40"/>
      <c r="H345" s="44">
        <f t="shared" si="10"/>
        <v>103</v>
      </c>
      <c r="I345" s="40"/>
      <c r="J345" s="44"/>
      <c r="K345" s="28">
        <f>TABL1234[[#This Row],[خط (T/B  TOT) SAR]]+TABL1234[[#This Row],[خط (S/S  TOT) SAR2]]</f>
        <v>0</v>
      </c>
      <c r="L345" s="45"/>
      <c r="M345" s="46"/>
      <c r="N345" s="46"/>
      <c r="O345" s="40"/>
      <c r="P345" s="9">
        <f>TABL1234[[#This Row],[خط (S/S  TOT) SAR2]]-TABL1234[[#This Row],[(S/S TOT) AJD]]</f>
        <v>0</v>
      </c>
      <c r="Q345" s="40"/>
      <c r="R345" s="9">
        <f>TABL1234[[#This Row],[خط (T/B  TOT) SAR]]-TABL1234[[#This Row],[(T/B TOT) AJD]]</f>
        <v>0</v>
      </c>
      <c r="S345" s="9">
        <f>TABL1234[[#This Row],[الفرق بين بداية ونهاية خط  T/B]]+TABL1234[[#This Row],[الفرق بين بداية ونهاية خط  S/S]]</f>
        <v>0</v>
      </c>
      <c r="T345" s="9">
        <f>TABL1234[[#This Row],[(S/S TOT) AJD]]+TABL1234[[#This Row],[(T/B TOT) AJD]]</f>
        <v>0</v>
      </c>
      <c r="U345" s="44"/>
      <c r="V345" s="44"/>
      <c r="W345" s="9">
        <f>TABL1234[[#This Row],[(A/B TOT) AJD]]+TABL1234[[#This Row],[(A/S TOT) AJD]]</f>
        <v>0</v>
      </c>
      <c r="X345" s="9">
        <f>TABL1234[[#This Row],[( S/S+T/B) AJD]]-TABL1234[[#This Row],[(A/B + A/S) AJD]]</f>
        <v>0</v>
      </c>
      <c r="Y345" s="44"/>
      <c r="Z345" s="45"/>
      <c r="AA345" s="3">
        <f>TABL1234[[#This Row],[(RESV. STORGE) AJD]]/10</f>
        <v>0</v>
      </c>
      <c r="AB345" s="3">
        <f t="shared" si="11"/>
        <v>0</v>
      </c>
      <c r="AC345" s="5"/>
      <c r="AD345" s="40">
        <f>TABL1234[[#This Row],[( S/S+T/B) AJD]]-(TABL1234[[#This Row],[(A/B + A/S) AJD]]+(TABL1234[[#This Row],[(STORGE DIFF.) AJD]]*1000)+TABL1234[[#This Row],[البخر  AJD]])</f>
        <v>0</v>
      </c>
      <c r="AE345" s="44"/>
      <c r="AF345" s="45"/>
      <c r="AG345" s="45"/>
      <c r="AH345" s="6"/>
      <c r="AI345" s="45"/>
      <c r="AJ345" s="45">
        <f>TABL1234[[#This Row],[(A/B TOT) AJD]]-TABL1234[[#This Row],[BER_ IN]]</f>
        <v>0</v>
      </c>
      <c r="AK345" s="45"/>
      <c r="AL345" s="45"/>
      <c r="AM345" s="32"/>
      <c r="AN345" s="32">
        <f>TABL1234[[#This Row],[ (RESV. STORGE) SER]]/10</f>
        <v>0</v>
      </c>
      <c r="AO345" s="68"/>
      <c r="AP345" s="68">
        <f>TABL1234[[#This Row],[(A/S TOT) AJD]]-TABL1234[[#This Row],[SER_ IN]]</f>
        <v>0</v>
      </c>
    </row>
    <row r="346" spans="1:42" ht="18.75" x14ac:dyDescent="0.25">
      <c r="A346" s="2">
        <v>46732</v>
      </c>
      <c r="B346" s="41"/>
      <c r="C346" s="41"/>
      <c r="D346" s="41"/>
      <c r="E346" s="41"/>
      <c r="F346" s="41"/>
      <c r="G346" s="39"/>
      <c r="H346" s="41">
        <f t="shared" si="10"/>
        <v>103</v>
      </c>
      <c r="I346" s="39"/>
      <c r="J346" s="39"/>
      <c r="K346" s="28">
        <f>TABL1234[[#This Row],[خط (T/B  TOT) SAR]]+TABL1234[[#This Row],[خط (S/S  TOT) SAR2]]</f>
        <v>0</v>
      </c>
      <c r="L346" s="41"/>
      <c r="M346" s="42"/>
      <c r="N346" s="42"/>
      <c r="O346" s="39"/>
      <c r="P346" s="9">
        <f>TABL1234[[#This Row],[خط (S/S  TOT) SAR2]]-TABL1234[[#This Row],[(S/S TOT) AJD]]</f>
        <v>0</v>
      </c>
      <c r="Q346" s="39"/>
      <c r="R346" s="9">
        <f>TABL1234[[#This Row],[خط (T/B  TOT) SAR]]-TABL1234[[#This Row],[(T/B TOT) AJD]]</f>
        <v>0</v>
      </c>
      <c r="S346" s="9">
        <f>TABL1234[[#This Row],[الفرق بين بداية ونهاية خط  T/B]]+TABL1234[[#This Row],[الفرق بين بداية ونهاية خط  S/S]]</f>
        <v>0</v>
      </c>
      <c r="T346" s="9">
        <f>TABL1234[[#This Row],[(S/S TOT) AJD]]+TABL1234[[#This Row],[(T/B TOT) AJD]]</f>
        <v>0</v>
      </c>
      <c r="U346" s="41"/>
      <c r="V346" s="41"/>
      <c r="W346" s="9">
        <f>TABL1234[[#This Row],[(A/B TOT) AJD]]+TABL1234[[#This Row],[(A/S TOT) AJD]]</f>
        <v>0</v>
      </c>
      <c r="X346" s="9">
        <f>TABL1234[[#This Row],[( S/S+T/B) AJD]]-TABL1234[[#This Row],[(A/B + A/S) AJD]]</f>
        <v>0</v>
      </c>
      <c r="Y346" s="41"/>
      <c r="Z346" s="43"/>
      <c r="AA346" s="3">
        <f>TABL1234[[#This Row],[(RESV. STORGE) AJD]]/10</f>
        <v>0</v>
      </c>
      <c r="AB346" s="3">
        <f t="shared" si="11"/>
        <v>0</v>
      </c>
      <c r="AC346" s="5"/>
      <c r="AD346" s="39">
        <f>TABL1234[[#This Row],[( S/S+T/B) AJD]]-(TABL1234[[#This Row],[(A/B + A/S) AJD]]+(TABL1234[[#This Row],[(STORGE DIFF.) AJD]]*1000)+TABL1234[[#This Row],[البخر  AJD]])</f>
        <v>0</v>
      </c>
      <c r="AE346" s="41"/>
      <c r="AF346" s="43"/>
      <c r="AG346" s="48"/>
      <c r="AH346" s="6"/>
      <c r="AI346" s="43"/>
      <c r="AJ346" s="48">
        <f>TABL1234[[#This Row],[(A/B TOT) AJD]]-TABL1234[[#This Row],[BER_ IN]]</f>
        <v>0</v>
      </c>
      <c r="AK346" s="43"/>
      <c r="AL346" s="43"/>
      <c r="AM346" s="32"/>
      <c r="AN346" s="32">
        <f>TABL1234[[#This Row],[ (RESV. STORGE) SER]]/10</f>
        <v>0</v>
      </c>
      <c r="AO346" s="68"/>
      <c r="AP346" s="68">
        <f>TABL1234[[#This Row],[(A/S TOT) AJD]]-TABL1234[[#This Row],[SER_ IN]]</f>
        <v>0</v>
      </c>
    </row>
    <row r="347" spans="1:42" ht="18.75" x14ac:dyDescent="0.25">
      <c r="A347" s="2">
        <v>46733</v>
      </c>
      <c r="B347" s="44"/>
      <c r="C347" s="44"/>
      <c r="D347" s="44"/>
      <c r="E347" s="44"/>
      <c r="F347" s="44"/>
      <c r="G347" s="40"/>
      <c r="H347" s="44">
        <f t="shared" si="10"/>
        <v>103</v>
      </c>
      <c r="I347" s="40"/>
      <c r="J347" s="44"/>
      <c r="K347" s="28">
        <f>TABL1234[[#This Row],[خط (T/B  TOT) SAR]]+TABL1234[[#This Row],[خط (S/S  TOT) SAR2]]</f>
        <v>0</v>
      </c>
      <c r="L347" s="45"/>
      <c r="M347" s="46"/>
      <c r="N347" s="46"/>
      <c r="O347" s="40"/>
      <c r="P347" s="9">
        <f>TABL1234[[#This Row],[خط (S/S  TOT) SAR2]]-TABL1234[[#This Row],[(S/S TOT) AJD]]</f>
        <v>0</v>
      </c>
      <c r="Q347" s="40"/>
      <c r="R347" s="9">
        <f>TABL1234[[#This Row],[خط (T/B  TOT) SAR]]-TABL1234[[#This Row],[(T/B TOT) AJD]]</f>
        <v>0</v>
      </c>
      <c r="S347" s="9">
        <f>TABL1234[[#This Row],[الفرق بين بداية ونهاية خط  T/B]]+TABL1234[[#This Row],[الفرق بين بداية ونهاية خط  S/S]]</f>
        <v>0</v>
      </c>
      <c r="T347" s="9">
        <f>TABL1234[[#This Row],[(S/S TOT) AJD]]+TABL1234[[#This Row],[(T/B TOT) AJD]]</f>
        <v>0</v>
      </c>
      <c r="U347" s="44"/>
      <c r="V347" s="44"/>
      <c r="W347" s="9">
        <f>TABL1234[[#This Row],[(A/B TOT) AJD]]+TABL1234[[#This Row],[(A/S TOT) AJD]]</f>
        <v>0</v>
      </c>
      <c r="X347" s="9">
        <f>TABL1234[[#This Row],[( S/S+T/B) AJD]]-TABL1234[[#This Row],[(A/B + A/S) AJD]]</f>
        <v>0</v>
      </c>
      <c r="Y347" s="44"/>
      <c r="Z347" s="45"/>
      <c r="AA347" s="3">
        <f>TABL1234[[#This Row],[(RESV. STORGE) AJD]]/10</f>
        <v>0</v>
      </c>
      <c r="AB347" s="3">
        <f t="shared" si="11"/>
        <v>0</v>
      </c>
      <c r="AC347" s="5"/>
      <c r="AD347" s="40">
        <f>TABL1234[[#This Row],[( S/S+T/B) AJD]]-(TABL1234[[#This Row],[(A/B + A/S) AJD]]+(TABL1234[[#This Row],[(STORGE DIFF.) AJD]]*1000)+TABL1234[[#This Row],[البخر  AJD]])</f>
        <v>0</v>
      </c>
      <c r="AE347" s="44"/>
      <c r="AF347" s="45"/>
      <c r="AG347" s="45"/>
      <c r="AH347" s="6"/>
      <c r="AI347" s="45"/>
      <c r="AJ347" s="45">
        <f>TABL1234[[#This Row],[(A/B TOT) AJD]]-TABL1234[[#This Row],[BER_ IN]]</f>
        <v>0</v>
      </c>
      <c r="AK347" s="45"/>
      <c r="AL347" s="45"/>
      <c r="AM347" s="32"/>
      <c r="AN347" s="32">
        <f>TABL1234[[#This Row],[ (RESV. STORGE) SER]]/10</f>
        <v>0</v>
      </c>
      <c r="AO347" s="68"/>
      <c r="AP347" s="68">
        <f>TABL1234[[#This Row],[(A/S TOT) AJD]]-TABL1234[[#This Row],[SER_ IN]]</f>
        <v>0</v>
      </c>
    </row>
    <row r="348" spans="1:42" ht="18.75" x14ac:dyDescent="0.25">
      <c r="A348" s="2">
        <v>46734</v>
      </c>
      <c r="B348" s="41"/>
      <c r="C348" s="41"/>
      <c r="D348" s="41"/>
      <c r="E348" s="41"/>
      <c r="F348" s="41"/>
      <c r="G348" s="39"/>
      <c r="H348" s="41">
        <f t="shared" si="10"/>
        <v>103</v>
      </c>
      <c r="I348" s="39"/>
      <c r="J348" s="39"/>
      <c r="K348" s="28">
        <f>TABL1234[[#This Row],[خط (T/B  TOT) SAR]]+TABL1234[[#This Row],[خط (S/S  TOT) SAR2]]</f>
        <v>0</v>
      </c>
      <c r="L348" s="41"/>
      <c r="M348" s="42"/>
      <c r="N348" s="42"/>
      <c r="O348" s="39"/>
      <c r="P348" s="9">
        <f>TABL1234[[#This Row],[خط (S/S  TOT) SAR2]]-TABL1234[[#This Row],[(S/S TOT) AJD]]</f>
        <v>0</v>
      </c>
      <c r="Q348" s="39"/>
      <c r="R348" s="9">
        <f>TABL1234[[#This Row],[خط (T/B  TOT) SAR]]-TABL1234[[#This Row],[(T/B TOT) AJD]]</f>
        <v>0</v>
      </c>
      <c r="S348" s="9">
        <f>TABL1234[[#This Row],[الفرق بين بداية ونهاية خط  T/B]]+TABL1234[[#This Row],[الفرق بين بداية ونهاية خط  S/S]]</f>
        <v>0</v>
      </c>
      <c r="T348" s="9">
        <f>TABL1234[[#This Row],[(S/S TOT) AJD]]+TABL1234[[#This Row],[(T/B TOT) AJD]]</f>
        <v>0</v>
      </c>
      <c r="U348" s="41"/>
      <c r="V348" s="41"/>
      <c r="W348" s="9">
        <f>TABL1234[[#This Row],[(A/B TOT) AJD]]+TABL1234[[#This Row],[(A/S TOT) AJD]]</f>
        <v>0</v>
      </c>
      <c r="X348" s="9">
        <f>TABL1234[[#This Row],[( S/S+T/B) AJD]]-TABL1234[[#This Row],[(A/B + A/S) AJD]]</f>
        <v>0</v>
      </c>
      <c r="Y348" s="41"/>
      <c r="Z348" s="43"/>
      <c r="AA348" s="3">
        <f>TABL1234[[#This Row],[(RESV. STORGE) AJD]]/10</f>
        <v>0</v>
      </c>
      <c r="AB348" s="3">
        <f t="shared" si="11"/>
        <v>0</v>
      </c>
      <c r="AC348" s="5"/>
      <c r="AD348" s="39">
        <f>TABL1234[[#This Row],[( S/S+T/B) AJD]]-(TABL1234[[#This Row],[(A/B + A/S) AJD]]+(TABL1234[[#This Row],[(STORGE DIFF.) AJD]]*1000)+TABL1234[[#This Row],[البخر  AJD]])</f>
        <v>0</v>
      </c>
      <c r="AE348" s="41"/>
      <c r="AF348" s="43"/>
      <c r="AG348" s="43"/>
      <c r="AH348" s="6"/>
      <c r="AI348" s="43"/>
      <c r="AJ348" s="43">
        <f>TABL1234[[#This Row],[(A/B TOT) AJD]]-TABL1234[[#This Row],[BER_ IN]]</f>
        <v>0</v>
      </c>
      <c r="AK348" s="43"/>
      <c r="AL348" s="43"/>
      <c r="AM348" s="32"/>
      <c r="AN348" s="32">
        <f>TABL1234[[#This Row],[ (RESV. STORGE) SER]]/10</f>
        <v>0</v>
      </c>
      <c r="AO348" s="68"/>
      <c r="AP348" s="68">
        <f>TABL1234[[#This Row],[(A/S TOT) AJD]]-TABL1234[[#This Row],[SER_ IN]]</f>
        <v>0</v>
      </c>
    </row>
    <row r="349" spans="1:42" ht="18.75" x14ac:dyDescent="0.25">
      <c r="A349" s="2">
        <v>46735</v>
      </c>
      <c r="B349" s="44"/>
      <c r="C349" s="44"/>
      <c r="D349" s="44"/>
      <c r="E349" s="44"/>
      <c r="F349" s="44"/>
      <c r="G349" s="40"/>
      <c r="H349" s="44">
        <f t="shared" si="10"/>
        <v>103</v>
      </c>
      <c r="I349" s="40"/>
      <c r="J349" s="44"/>
      <c r="K349" s="28">
        <f>TABL1234[[#This Row],[خط (T/B  TOT) SAR]]+TABL1234[[#This Row],[خط (S/S  TOT) SAR2]]</f>
        <v>0</v>
      </c>
      <c r="L349" s="45"/>
      <c r="M349" s="46"/>
      <c r="N349" s="46"/>
      <c r="O349" s="40"/>
      <c r="P349" s="9">
        <f>TABL1234[[#This Row],[خط (S/S  TOT) SAR2]]-TABL1234[[#This Row],[(S/S TOT) AJD]]</f>
        <v>0</v>
      </c>
      <c r="Q349" s="40"/>
      <c r="R349" s="9">
        <f>TABL1234[[#This Row],[خط (T/B  TOT) SAR]]-TABL1234[[#This Row],[(T/B TOT) AJD]]</f>
        <v>0</v>
      </c>
      <c r="S349" s="9">
        <f>TABL1234[[#This Row],[الفرق بين بداية ونهاية خط  T/B]]+TABL1234[[#This Row],[الفرق بين بداية ونهاية خط  S/S]]</f>
        <v>0</v>
      </c>
      <c r="T349" s="9">
        <f>TABL1234[[#This Row],[(S/S TOT) AJD]]+TABL1234[[#This Row],[(T/B TOT) AJD]]</f>
        <v>0</v>
      </c>
      <c r="U349" s="44"/>
      <c r="V349" s="44"/>
      <c r="W349" s="9">
        <f>TABL1234[[#This Row],[(A/B TOT) AJD]]+TABL1234[[#This Row],[(A/S TOT) AJD]]</f>
        <v>0</v>
      </c>
      <c r="X349" s="9">
        <f>TABL1234[[#This Row],[( S/S+T/B) AJD]]-TABL1234[[#This Row],[(A/B + A/S) AJD]]</f>
        <v>0</v>
      </c>
      <c r="Y349" s="44"/>
      <c r="Z349" s="45"/>
      <c r="AA349" s="3">
        <f>TABL1234[[#This Row],[(RESV. STORGE) AJD]]/10</f>
        <v>0</v>
      </c>
      <c r="AB349" s="3">
        <f t="shared" si="11"/>
        <v>0</v>
      </c>
      <c r="AC349" s="5"/>
      <c r="AD349" s="40">
        <f>TABL1234[[#This Row],[( S/S+T/B) AJD]]-(TABL1234[[#This Row],[(A/B + A/S) AJD]]+(TABL1234[[#This Row],[(STORGE DIFF.) AJD]]*1000)+TABL1234[[#This Row],[البخر  AJD]])</f>
        <v>0</v>
      </c>
      <c r="AE349" s="44"/>
      <c r="AF349" s="45"/>
      <c r="AG349" s="45"/>
      <c r="AH349" s="6"/>
      <c r="AI349" s="45"/>
      <c r="AJ349" s="45">
        <f>TABL1234[[#This Row],[(A/B TOT) AJD]]-TABL1234[[#This Row],[BER_ IN]]</f>
        <v>0</v>
      </c>
      <c r="AK349" s="45"/>
      <c r="AL349" s="45"/>
      <c r="AM349" s="32"/>
      <c r="AN349" s="32">
        <f>TABL1234[[#This Row],[ (RESV. STORGE) SER]]/10</f>
        <v>0</v>
      </c>
      <c r="AO349" s="68"/>
      <c r="AP349" s="68">
        <f>TABL1234[[#This Row],[(A/S TOT) AJD]]-TABL1234[[#This Row],[SER_ IN]]</f>
        <v>0</v>
      </c>
    </row>
    <row r="350" spans="1:42" ht="18.75" x14ac:dyDescent="0.25">
      <c r="A350" s="2">
        <v>46736</v>
      </c>
      <c r="B350" s="41"/>
      <c r="C350" s="41"/>
      <c r="D350" s="41"/>
      <c r="E350" s="41"/>
      <c r="F350" s="41"/>
      <c r="G350" s="39"/>
      <c r="H350" s="41">
        <f t="shared" si="10"/>
        <v>103</v>
      </c>
      <c r="I350" s="39"/>
      <c r="J350" s="39"/>
      <c r="K350" s="28">
        <f>TABL1234[[#This Row],[خط (T/B  TOT) SAR]]+TABL1234[[#This Row],[خط (S/S  TOT) SAR2]]</f>
        <v>0</v>
      </c>
      <c r="L350" s="41"/>
      <c r="M350" s="42"/>
      <c r="N350" s="42"/>
      <c r="O350" s="39"/>
      <c r="P350" s="9">
        <f>TABL1234[[#This Row],[خط (S/S  TOT) SAR2]]-TABL1234[[#This Row],[(S/S TOT) AJD]]</f>
        <v>0</v>
      </c>
      <c r="Q350" s="39"/>
      <c r="R350" s="9">
        <f>TABL1234[[#This Row],[خط (T/B  TOT) SAR]]-TABL1234[[#This Row],[(T/B TOT) AJD]]</f>
        <v>0</v>
      </c>
      <c r="S350" s="9">
        <f>TABL1234[[#This Row],[الفرق بين بداية ونهاية خط  T/B]]+TABL1234[[#This Row],[الفرق بين بداية ونهاية خط  S/S]]</f>
        <v>0</v>
      </c>
      <c r="T350" s="9">
        <f>TABL1234[[#This Row],[(S/S TOT) AJD]]+TABL1234[[#This Row],[(T/B TOT) AJD]]</f>
        <v>0</v>
      </c>
      <c r="U350" s="41"/>
      <c r="V350" s="41"/>
      <c r="W350" s="9">
        <f>TABL1234[[#This Row],[(A/B TOT) AJD]]+TABL1234[[#This Row],[(A/S TOT) AJD]]</f>
        <v>0</v>
      </c>
      <c r="X350" s="9">
        <f>TABL1234[[#This Row],[( S/S+T/B) AJD]]-TABL1234[[#This Row],[(A/B + A/S) AJD]]</f>
        <v>0</v>
      </c>
      <c r="Y350" s="41"/>
      <c r="Z350" s="43"/>
      <c r="AA350" s="3">
        <f>TABL1234[[#This Row],[(RESV. STORGE) AJD]]/10</f>
        <v>0</v>
      </c>
      <c r="AB350" s="3">
        <f t="shared" si="11"/>
        <v>0</v>
      </c>
      <c r="AC350" s="5"/>
      <c r="AD350" s="39">
        <f>TABL1234[[#This Row],[( S/S+T/B) AJD]]-(TABL1234[[#This Row],[(A/B + A/S) AJD]]+(TABL1234[[#This Row],[(STORGE DIFF.) AJD]]*1000)+TABL1234[[#This Row],[البخر  AJD]])</f>
        <v>0</v>
      </c>
      <c r="AE350" s="41"/>
      <c r="AF350" s="43"/>
      <c r="AG350" s="43"/>
      <c r="AH350" s="6"/>
      <c r="AI350" s="43"/>
      <c r="AJ350" s="43">
        <f>TABL1234[[#This Row],[(A/B TOT) AJD]]-TABL1234[[#This Row],[BER_ IN]]</f>
        <v>0</v>
      </c>
      <c r="AK350" s="43"/>
      <c r="AL350" s="43"/>
      <c r="AM350" s="32"/>
      <c r="AN350" s="32">
        <f>TABL1234[[#This Row],[ (RESV. STORGE) SER]]/10</f>
        <v>0</v>
      </c>
      <c r="AO350" s="68"/>
      <c r="AP350" s="68">
        <f>TABL1234[[#This Row],[(A/S TOT) AJD]]-TABL1234[[#This Row],[SER_ IN]]</f>
        <v>0</v>
      </c>
    </row>
    <row r="351" spans="1:42" ht="18.75" x14ac:dyDescent="0.25">
      <c r="A351" s="2">
        <v>46737</v>
      </c>
      <c r="B351" s="44"/>
      <c r="C351" s="44"/>
      <c r="D351" s="44"/>
      <c r="E351" s="44"/>
      <c r="F351" s="44"/>
      <c r="G351" s="40"/>
      <c r="H351" s="44">
        <f t="shared" si="10"/>
        <v>103</v>
      </c>
      <c r="I351" s="40"/>
      <c r="J351" s="44"/>
      <c r="K351" s="28">
        <f>TABL1234[[#This Row],[خط (T/B  TOT) SAR]]+TABL1234[[#This Row],[خط (S/S  TOT) SAR2]]</f>
        <v>0</v>
      </c>
      <c r="L351" s="45"/>
      <c r="M351" s="46"/>
      <c r="N351" s="46"/>
      <c r="O351" s="40"/>
      <c r="P351" s="9">
        <f>TABL1234[[#This Row],[خط (S/S  TOT) SAR2]]-TABL1234[[#This Row],[(S/S TOT) AJD]]</f>
        <v>0</v>
      </c>
      <c r="Q351" s="40"/>
      <c r="R351" s="9">
        <f>TABL1234[[#This Row],[خط (T/B  TOT) SAR]]-TABL1234[[#This Row],[(T/B TOT) AJD]]</f>
        <v>0</v>
      </c>
      <c r="S351" s="9">
        <f>TABL1234[[#This Row],[الفرق بين بداية ونهاية خط  T/B]]+TABL1234[[#This Row],[الفرق بين بداية ونهاية خط  S/S]]</f>
        <v>0</v>
      </c>
      <c r="T351" s="9">
        <f>TABL1234[[#This Row],[(S/S TOT) AJD]]+TABL1234[[#This Row],[(T/B TOT) AJD]]</f>
        <v>0</v>
      </c>
      <c r="U351" s="44"/>
      <c r="V351" s="44"/>
      <c r="W351" s="9">
        <f>TABL1234[[#This Row],[(A/B TOT) AJD]]+TABL1234[[#This Row],[(A/S TOT) AJD]]</f>
        <v>0</v>
      </c>
      <c r="X351" s="9">
        <f>TABL1234[[#This Row],[( S/S+T/B) AJD]]-TABL1234[[#This Row],[(A/B + A/S) AJD]]</f>
        <v>0</v>
      </c>
      <c r="Y351" s="44"/>
      <c r="Z351" s="45"/>
      <c r="AA351" s="3">
        <f>TABL1234[[#This Row],[(RESV. STORGE) AJD]]/10</f>
        <v>0</v>
      </c>
      <c r="AB351" s="3">
        <f t="shared" si="11"/>
        <v>0</v>
      </c>
      <c r="AC351" s="5"/>
      <c r="AD351" s="40">
        <f>TABL1234[[#This Row],[( S/S+T/B) AJD]]-(TABL1234[[#This Row],[(A/B + A/S) AJD]]+(TABL1234[[#This Row],[(STORGE DIFF.) AJD]]*1000)+TABL1234[[#This Row],[البخر  AJD]])</f>
        <v>0</v>
      </c>
      <c r="AE351" s="44"/>
      <c r="AF351" s="45"/>
      <c r="AG351" s="45"/>
      <c r="AH351" s="6"/>
      <c r="AI351" s="45"/>
      <c r="AJ351" s="45">
        <f>TABL1234[[#This Row],[(A/B TOT) AJD]]-TABL1234[[#This Row],[BER_ IN]]</f>
        <v>0</v>
      </c>
      <c r="AK351" s="45"/>
      <c r="AL351" s="45"/>
      <c r="AM351" s="32"/>
      <c r="AN351" s="32">
        <f>TABL1234[[#This Row],[ (RESV. STORGE) SER]]/10</f>
        <v>0</v>
      </c>
      <c r="AO351" s="68"/>
      <c r="AP351" s="68">
        <f>TABL1234[[#This Row],[(A/S TOT) AJD]]-TABL1234[[#This Row],[SER_ IN]]</f>
        <v>0</v>
      </c>
    </row>
    <row r="352" spans="1:42" ht="18.75" x14ac:dyDescent="0.25">
      <c r="A352" s="2">
        <v>46738</v>
      </c>
      <c r="B352" s="41"/>
      <c r="C352" s="41"/>
      <c r="D352" s="41"/>
      <c r="E352" s="41"/>
      <c r="F352" s="41"/>
      <c r="G352" s="39"/>
      <c r="H352" s="41">
        <f t="shared" si="10"/>
        <v>103</v>
      </c>
      <c r="I352" s="39"/>
      <c r="J352" s="39"/>
      <c r="K352" s="28">
        <f>TABL1234[[#This Row],[خط (T/B  TOT) SAR]]+TABL1234[[#This Row],[خط (S/S  TOT) SAR2]]</f>
        <v>0</v>
      </c>
      <c r="L352" s="41"/>
      <c r="M352" s="42"/>
      <c r="N352" s="42"/>
      <c r="O352" s="39"/>
      <c r="P352" s="9">
        <f>TABL1234[[#This Row],[خط (S/S  TOT) SAR2]]-TABL1234[[#This Row],[(S/S TOT) AJD]]</f>
        <v>0</v>
      </c>
      <c r="Q352" s="39"/>
      <c r="R352" s="9">
        <f>TABL1234[[#This Row],[خط (T/B  TOT) SAR]]-TABL1234[[#This Row],[(T/B TOT) AJD]]</f>
        <v>0</v>
      </c>
      <c r="S352" s="9">
        <f>TABL1234[[#This Row],[الفرق بين بداية ونهاية خط  T/B]]+TABL1234[[#This Row],[الفرق بين بداية ونهاية خط  S/S]]</f>
        <v>0</v>
      </c>
      <c r="T352" s="9">
        <f>TABL1234[[#This Row],[(S/S TOT) AJD]]+TABL1234[[#This Row],[(T/B TOT) AJD]]</f>
        <v>0</v>
      </c>
      <c r="U352" s="41"/>
      <c r="V352" s="41"/>
      <c r="W352" s="9">
        <f>TABL1234[[#This Row],[(A/B TOT) AJD]]+TABL1234[[#This Row],[(A/S TOT) AJD]]</f>
        <v>0</v>
      </c>
      <c r="X352" s="9">
        <f>TABL1234[[#This Row],[( S/S+T/B) AJD]]-TABL1234[[#This Row],[(A/B + A/S) AJD]]</f>
        <v>0</v>
      </c>
      <c r="Y352" s="41"/>
      <c r="Z352" s="43"/>
      <c r="AA352" s="3">
        <f>TABL1234[[#This Row],[(RESV. STORGE) AJD]]/10</f>
        <v>0</v>
      </c>
      <c r="AB352" s="3">
        <f t="shared" si="11"/>
        <v>0</v>
      </c>
      <c r="AC352" s="5"/>
      <c r="AD352" s="39">
        <f>TABL1234[[#This Row],[( S/S+T/B) AJD]]-(TABL1234[[#This Row],[(A/B + A/S) AJD]]+(TABL1234[[#This Row],[(STORGE DIFF.) AJD]]*1000)+TABL1234[[#This Row],[البخر  AJD]])</f>
        <v>0</v>
      </c>
      <c r="AE352" s="41"/>
      <c r="AF352" s="43"/>
      <c r="AG352" s="43"/>
      <c r="AH352" s="6"/>
      <c r="AI352" s="43"/>
      <c r="AJ352" s="43">
        <f>TABL1234[[#This Row],[(A/B TOT) AJD]]-TABL1234[[#This Row],[BER_ IN]]</f>
        <v>0</v>
      </c>
      <c r="AK352" s="43"/>
      <c r="AL352" s="43"/>
      <c r="AM352" s="32"/>
      <c r="AN352" s="32">
        <f>TABL1234[[#This Row],[ (RESV. STORGE) SER]]/10</f>
        <v>0</v>
      </c>
      <c r="AO352" s="68"/>
      <c r="AP352" s="68">
        <f>TABL1234[[#This Row],[(A/S TOT) AJD]]-TABL1234[[#This Row],[SER_ IN]]</f>
        <v>0</v>
      </c>
    </row>
    <row r="353" spans="1:42" ht="18.75" x14ac:dyDescent="0.25">
      <c r="A353" s="2">
        <v>46739</v>
      </c>
      <c r="B353" s="44"/>
      <c r="C353" s="44"/>
      <c r="D353" s="44"/>
      <c r="E353" s="44"/>
      <c r="F353" s="44"/>
      <c r="G353" s="40"/>
      <c r="H353" s="44">
        <f t="shared" si="10"/>
        <v>103</v>
      </c>
      <c r="I353" s="40"/>
      <c r="J353" s="44"/>
      <c r="K353" s="28">
        <f>TABL1234[[#This Row],[خط (T/B  TOT) SAR]]+TABL1234[[#This Row],[خط (S/S  TOT) SAR2]]</f>
        <v>0</v>
      </c>
      <c r="L353" s="45"/>
      <c r="M353" s="46"/>
      <c r="N353" s="46"/>
      <c r="O353" s="40"/>
      <c r="P353" s="9">
        <f>TABL1234[[#This Row],[خط (S/S  TOT) SAR2]]-TABL1234[[#This Row],[(S/S TOT) AJD]]</f>
        <v>0</v>
      </c>
      <c r="Q353" s="40"/>
      <c r="R353" s="9">
        <f>TABL1234[[#This Row],[خط (T/B  TOT) SAR]]-TABL1234[[#This Row],[(T/B TOT) AJD]]</f>
        <v>0</v>
      </c>
      <c r="S353" s="9">
        <f>TABL1234[[#This Row],[الفرق بين بداية ونهاية خط  T/B]]+TABL1234[[#This Row],[الفرق بين بداية ونهاية خط  S/S]]</f>
        <v>0</v>
      </c>
      <c r="T353" s="9">
        <f>TABL1234[[#This Row],[(S/S TOT) AJD]]+TABL1234[[#This Row],[(T/B TOT) AJD]]</f>
        <v>0</v>
      </c>
      <c r="U353" s="44"/>
      <c r="V353" s="44"/>
      <c r="W353" s="9">
        <f>TABL1234[[#This Row],[(A/B TOT) AJD]]+TABL1234[[#This Row],[(A/S TOT) AJD]]</f>
        <v>0</v>
      </c>
      <c r="X353" s="9">
        <f>TABL1234[[#This Row],[( S/S+T/B) AJD]]-TABL1234[[#This Row],[(A/B + A/S) AJD]]</f>
        <v>0</v>
      </c>
      <c r="Y353" s="44"/>
      <c r="Z353" s="45"/>
      <c r="AA353" s="3">
        <f>TABL1234[[#This Row],[(RESV. STORGE) AJD]]/10</f>
        <v>0</v>
      </c>
      <c r="AB353" s="3">
        <f t="shared" si="11"/>
        <v>0</v>
      </c>
      <c r="AC353" s="5"/>
      <c r="AD353" s="40">
        <f>TABL1234[[#This Row],[( S/S+T/B) AJD]]-(TABL1234[[#This Row],[(A/B + A/S) AJD]]+(TABL1234[[#This Row],[(STORGE DIFF.) AJD]]*1000)+TABL1234[[#This Row],[البخر  AJD]])</f>
        <v>0</v>
      </c>
      <c r="AE353" s="44"/>
      <c r="AF353" s="45"/>
      <c r="AG353" s="45"/>
      <c r="AH353" s="6"/>
      <c r="AI353" s="45"/>
      <c r="AJ353" s="45">
        <f>TABL1234[[#This Row],[(A/B TOT) AJD]]-TABL1234[[#This Row],[BER_ IN]]</f>
        <v>0</v>
      </c>
      <c r="AK353" s="45"/>
      <c r="AL353" s="45"/>
      <c r="AM353" s="32"/>
      <c r="AN353" s="32">
        <f>TABL1234[[#This Row],[ (RESV. STORGE) SER]]/10</f>
        <v>0</v>
      </c>
      <c r="AO353" s="68"/>
      <c r="AP353" s="68">
        <f>TABL1234[[#This Row],[(A/S TOT) AJD]]-TABL1234[[#This Row],[SER_ IN]]</f>
        <v>0</v>
      </c>
    </row>
    <row r="354" spans="1:42" ht="18.75" x14ac:dyDescent="0.25">
      <c r="A354" s="2">
        <v>46740</v>
      </c>
      <c r="B354" s="41"/>
      <c r="C354" s="41"/>
      <c r="D354" s="41"/>
      <c r="E354" s="41"/>
      <c r="F354" s="41"/>
      <c r="G354" s="39"/>
      <c r="H354" s="41">
        <f t="shared" si="10"/>
        <v>103</v>
      </c>
      <c r="I354" s="39"/>
      <c r="J354" s="39"/>
      <c r="K354" s="28">
        <f>TABL1234[[#This Row],[خط (T/B  TOT) SAR]]+TABL1234[[#This Row],[خط (S/S  TOT) SAR2]]</f>
        <v>0</v>
      </c>
      <c r="L354" s="41"/>
      <c r="M354" s="42"/>
      <c r="N354" s="42"/>
      <c r="O354" s="39"/>
      <c r="P354" s="9">
        <f>TABL1234[[#This Row],[خط (S/S  TOT) SAR2]]-TABL1234[[#This Row],[(S/S TOT) AJD]]</f>
        <v>0</v>
      </c>
      <c r="Q354" s="39"/>
      <c r="R354" s="9">
        <f>TABL1234[[#This Row],[خط (T/B  TOT) SAR]]-TABL1234[[#This Row],[(T/B TOT) AJD]]</f>
        <v>0</v>
      </c>
      <c r="S354" s="9">
        <f>TABL1234[[#This Row],[الفرق بين بداية ونهاية خط  T/B]]+TABL1234[[#This Row],[الفرق بين بداية ونهاية خط  S/S]]</f>
        <v>0</v>
      </c>
      <c r="T354" s="9">
        <f>TABL1234[[#This Row],[(S/S TOT) AJD]]+TABL1234[[#This Row],[(T/B TOT) AJD]]</f>
        <v>0</v>
      </c>
      <c r="U354" s="41"/>
      <c r="V354" s="41"/>
      <c r="W354" s="9">
        <f>TABL1234[[#This Row],[(A/B TOT) AJD]]+TABL1234[[#This Row],[(A/S TOT) AJD]]</f>
        <v>0</v>
      </c>
      <c r="X354" s="9">
        <f>TABL1234[[#This Row],[( S/S+T/B) AJD]]-TABL1234[[#This Row],[(A/B + A/S) AJD]]</f>
        <v>0</v>
      </c>
      <c r="Y354" s="41"/>
      <c r="Z354" s="43"/>
      <c r="AA354" s="3">
        <f>TABL1234[[#This Row],[(RESV. STORGE) AJD]]/10</f>
        <v>0</v>
      </c>
      <c r="AB354" s="3">
        <f t="shared" si="11"/>
        <v>0</v>
      </c>
      <c r="AC354" s="5"/>
      <c r="AD354" s="39">
        <f>TABL1234[[#This Row],[( S/S+T/B) AJD]]-(TABL1234[[#This Row],[(A/B + A/S) AJD]]+(TABL1234[[#This Row],[(STORGE DIFF.) AJD]]*1000)+TABL1234[[#This Row],[البخر  AJD]])</f>
        <v>0</v>
      </c>
      <c r="AE354" s="41"/>
      <c r="AF354" s="43"/>
      <c r="AG354" s="43"/>
      <c r="AH354" s="6"/>
      <c r="AI354" s="43"/>
      <c r="AJ354" s="43">
        <f>TABL1234[[#This Row],[(A/B TOT) AJD]]-TABL1234[[#This Row],[BER_ IN]]</f>
        <v>0</v>
      </c>
      <c r="AK354" s="43"/>
      <c r="AL354" s="43"/>
      <c r="AM354" s="32"/>
      <c r="AN354" s="32">
        <f>TABL1234[[#This Row],[ (RESV. STORGE) SER]]/10</f>
        <v>0</v>
      </c>
      <c r="AO354" s="68"/>
      <c r="AP354" s="68">
        <f>TABL1234[[#This Row],[(A/S TOT) AJD]]-TABL1234[[#This Row],[SER_ IN]]</f>
        <v>0</v>
      </c>
    </row>
    <row r="355" spans="1:42" ht="18.75" x14ac:dyDescent="0.25">
      <c r="A355" s="2">
        <v>46741</v>
      </c>
      <c r="B355" s="44"/>
      <c r="C355" s="44"/>
      <c r="D355" s="44"/>
      <c r="E355" s="44"/>
      <c r="F355" s="44"/>
      <c r="G355" s="40"/>
      <c r="H355" s="44">
        <f t="shared" si="10"/>
        <v>103</v>
      </c>
      <c r="I355" s="40"/>
      <c r="J355" s="44"/>
      <c r="K355" s="28">
        <f>TABL1234[[#This Row],[خط (T/B  TOT) SAR]]+TABL1234[[#This Row],[خط (S/S  TOT) SAR2]]</f>
        <v>0</v>
      </c>
      <c r="L355" s="45"/>
      <c r="M355" s="46"/>
      <c r="N355" s="46"/>
      <c r="O355" s="40"/>
      <c r="P355" s="9">
        <f>TABL1234[[#This Row],[خط (S/S  TOT) SAR2]]-TABL1234[[#This Row],[(S/S TOT) AJD]]</f>
        <v>0</v>
      </c>
      <c r="Q355" s="40"/>
      <c r="R355" s="9">
        <f>TABL1234[[#This Row],[خط (T/B  TOT) SAR]]-TABL1234[[#This Row],[(T/B TOT) AJD]]</f>
        <v>0</v>
      </c>
      <c r="S355" s="9">
        <f>TABL1234[[#This Row],[الفرق بين بداية ونهاية خط  T/B]]+TABL1234[[#This Row],[الفرق بين بداية ونهاية خط  S/S]]</f>
        <v>0</v>
      </c>
      <c r="T355" s="9">
        <f>TABL1234[[#This Row],[(S/S TOT) AJD]]+TABL1234[[#This Row],[(T/B TOT) AJD]]</f>
        <v>0</v>
      </c>
      <c r="U355" s="44"/>
      <c r="V355" s="44"/>
      <c r="W355" s="9">
        <f>TABL1234[[#This Row],[(A/B TOT) AJD]]+TABL1234[[#This Row],[(A/S TOT) AJD]]</f>
        <v>0</v>
      </c>
      <c r="X355" s="9">
        <f>TABL1234[[#This Row],[( S/S+T/B) AJD]]-TABL1234[[#This Row],[(A/B + A/S) AJD]]</f>
        <v>0</v>
      </c>
      <c r="Y355" s="44"/>
      <c r="Z355" s="45"/>
      <c r="AA355" s="3">
        <f>TABL1234[[#This Row],[(RESV. STORGE) AJD]]/10</f>
        <v>0</v>
      </c>
      <c r="AB355" s="3">
        <f t="shared" si="11"/>
        <v>0</v>
      </c>
      <c r="AC355" s="5"/>
      <c r="AD355" s="40">
        <f>TABL1234[[#This Row],[( S/S+T/B) AJD]]-(TABL1234[[#This Row],[(A/B + A/S) AJD]]+(TABL1234[[#This Row],[(STORGE DIFF.) AJD]]*1000)+TABL1234[[#This Row],[البخر  AJD]])</f>
        <v>0</v>
      </c>
      <c r="AE355" s="44"/>
      <c r="AF355" s="45"/>
      <c r="AG355" s="45"/>
      <c r="AH355" s="6"/>
      <c r="AI355" s="45"/>
      <c r="AJ355" s="45">
        <f>TABL1234[[#This Row],[(A/B TOT) AJD]]-TABL1234[[#This Row],[BER_ IN]]</f>
        <v>0</v>
      </c>
      <c r="AK355" s="45"/>
      <c r="AL355" s="45"/>
      <c r="AM355" s="32"/>
      <c r="AN355" s="32">
        <f>TABL1234[[#This Row],[ (RESV. STORGE) SER]]/10</f>
        <v>0</v>
      </c>
      <c r="AO355" s="68"/>
      <c r="AP355" s="68">
        <f>TABL1234[[#This Row],[(A/S TOT) AJD]]-TABL1234[[#This Row],[SER_ IN]]</f>
        <v>0</v>
      </c>
    </row>
    <row r="356" spans="1:42" ht="18.75" x14ac:dyDescent="0.25">
      <c r="A356" s="2">
        <v>46742</v>
      </c>
      <c r="B356" s="41"/>
      <c r="C356" s="41"/>
      <c r="D356" s="41"/>
      <c r="E356" s="41"/>
      <c r="F356" s="41"/>
      <c r="G356" s="39"/>
      <c r="H356" s="41">
        <f t="shared" si="10"/>
        <v>103</v>
      </c>
      <c r="I356" s="39"/>
      <c r="J356" s="39"/>
      <c r="K356" s="28">
        <f>TABL1234[[#This Row],[خط (T/B  TOT) SAR]]+TABL1234[[#This Row],[خط (S/S  TOT) SAR2]]</f>
        <v>0</v>
      </c>
      <c r="L356" s="41"/>
      <c r="M356" s="42"/>
      <c r="N356" s="42"/>
      <c r="O356" s="39"/>
      <c r="P356" s="9">
        <f>TABL1234[[#This Row],[خط (S/S  TOT) SAR2]]-TABL1234[[#This Row],[(S/S TOT) AJD]]</f>
        <v>0</v>
      </c>
      <c r="Q356" s="39"/>
      <c r="R356" s="9">
        <f>TABL1234[[#This Row],[خط (T/B  TOT) SAR]]-TABL1234[[#This Row],[(T/B TOT) AJD]]</f>
        <v>0</v>
      </c>
      <c r="S356" s="9">
        <f>TABL1234[[#This Row],[الفرق بين بداية ونهاية خط  T/B]]+TABL1234[[#This Row],[الفرق بين بداية ونهاية خط  S/S]]</f>
        <v>0</v>
      </c>
      <c r="T356" s="9">
        <f>TABL1234[[#This Row],[(S/S TOT) AJD]]+TABL1234[[#This Row],[(T/B TOT) AJD]]</f>
        <v>0</v>
      </c>
      <c r="U356" s="41"/>
      <c r="V356" s="41"/>
      <c r="W356" s="9">
        <f>TABL1234[[#This Row],[(A/B TOT) AJD]]+TABL1234[[#This Row],[(A/S TOT) AJD]]</f>
        <v>0</v>
      </c>
      <c r="X356" s="9">
        <f>TABL1234[[#This Row],[( S/S+T/B) AJD]]-TABL1234[[#This Row],[(A/B + A/S) AJD]]</f>
        <v>0</v>
      </c>
      <c r="Y356" s="41"/>
      <c r="Z356" s="43"/>
      <c r="AA356" s="3">
        <f>TABL1234[[#This Row],[(RESV. STORGE) AJD]]/10</f>
        <v>0</v>
      </c>
      <c r="AB356" s="3">
        <f t="shared" si="11"/>
        <v>0</v>
      </c>
      <c r="AC356" s="5"/>
      <c r="AD356" s="39">
        <f>TABL1234[[#This Row],[( S/S+T/B) AJD]]-(TABL1234[[#This Row],[(A/B + A/S) AJD]]+(TABL1234[[#This Row],[(STORGE DIFF.) AJD]]*1000)+TABL1234[[#This Row],[البخر  AJD]])</f>
        <v>0</v>
      </c>
      <c r="AE356" s="41"/>
      <c r="AF356" s="43"/>
      <c r="AG356" s="43"/>
      <c r="AH356" s="6"/>
      <c r="AI356" s="43"/>
      <c r="AJ356" s="43">
        <f>TABL1234[[#This Row],[(A/B TOT) AJD]]-TABL1234[[#This Row],[BER_ IN]]</f>
        <v>0</v>
      </c>
      <c r="AK356" s="43"/>
      <c r="AL356" s="43"/>
      <c r="AM356" s="32"/>
      <c r="AN356" s="32">
        <f>TABL1234[[#This Row],[ (RESV. STORGE) SER]]/10</f>
        <v>0</v>
      </c>
      <c r="AO356" s="68"/>
      <c r="AP356" s="68">
        <f>TABL1234[[#This Row],[(A/S TOT) AJD]]-TABL1234[[#This Row],[SER_ IN]]</f>
        <v>0</v>
      </c>
    </row>
    <row r="357" spans="1:42" ht="18.75" x14ac:dyDescent="0.25">
      <c r="A357" s="2">
        <v>46743</v>
      </c>
      <c r="B357" s="44"/>
      <c r="C357" s="44"/>
      <c r="D357" s="44"/>
      <c r="E357" s="44"/>
      <c r="F357" s="44"/>
      <c r="G357" s="40"/>
      <c r="H357" s="44">
        <f t="shared" si="10"/>
        <v>103</v>
      </c>
      <c r="I357" s="40"/>
      <c r="J357" s="44"/>
      <c r="K357" s="28">
        <f>TABL1234[[#This Row],[خط (T/B  TOT) SAR]]+TABL1234[[#This Row],[خط (S/S  TOT) SAR2]]</f>
        <v>0</v>
      </c>
      <c r="L357" s="45"/>
      <c r="M357" s="46"/>
      <c r="N357" s="46"/>
      <c r="O357" s="40"/>
      <c r="P357" s="9">
        <f>TABL1234[[#This Row],[خط (S/S  TOT) SAR2]]-TABL1234[[#This Row],[(S/S TOT) AJD]]</f>
        <v>0</v>
      </c>
      <c r="Q357" s="40"/>
      <c r="R357" s="9">
        <f>TABL1234[[#This Row],[خط (T/B  TOT) SAR]]-TABL1234[[#This Row],[(T/B TOT) AJD]]</f>
        <v>0</v>
      </c>
      <c r="S357" s="9">
        <f>TABL1234[[#This Row],[الفرق بين بداية ونهاية خط  T/B]]+TABL1234[[#This Row],[الفرق بين بداية ونهاية خط  S/S]]</f>
        <v>0</v>
      </c>
      <c r="T357" s="9">
        <f>TABL1234[[#This Row],[(S/S TOT) AJD]]+TABL1234[[#This Row],[(T/B TOT) AJD]]</f>
        <v>0</v>
      </c>
      <c r="U357" s="44"/>
      <c r="V357" s="44"/>
      <c r="W357" s="9">
        <f>TABL1234[[#This Row],[(A/B TOT) AJD]]+TABL1234[[#This Row],[(A/S TOT) AJD]]</f>
        <v>0</v>
      </c>
      <c r="X357" s="9">
        <f>TABL1234[[#This Row],[( S/S+T/B) AJD]]-TABL1234[[#This Row],[(A/B + A/S) AJD]]</f>
        <v>0</v>
      </c>
      <c r="Y357" s="44"/>
      <c r="Z357" s="45"/>
      <c r="AA357" s="3">
        <f>TABL1234[[#This Row],[(RESV. STORGE) AJD]]/10</f>
        <v>0</v>
      </c>
      <c r="AB357" s="3">
        <f t="shared" si="11"/>
        <v>0</v>
      </c>
      <c r="AC357" s="5"/>
      <c r="AD357" s="40">
        <f>TABL1234[[#This Row],[( S/S+T/B) AJD]]-(TABL1234[[#This Row],[(A/B + A/S) AJD]]+(TABL1234[[#This Row],[(STORGE DIFF.) AJD]]*1000)+TABL1234[[#This Row],[البخر  AJD]])</f>
        <v>0</v>
      </c>
      <c r="AE357" s="44"/>
      <c r="AF357" s="45"/>
      <c r="AG357" s="45"/>
      <c r="AH357" s="6"/>
      <c r="AI357" s="45"/>
      <c r="AJ357" s="45">
        <f>TABL1234[[#This Row],[(A/B TOT) AJD]]-TABL1234[[#This Row],[BER_ IN]]</f>
        <v>0</v>
      </c>
      <c r="AK357" s="45"/>
      <c r="AL357" s="45"/>
      <c r="AM357" s="32"/>
      <c r="AN357" s="32">
        <f>TABL1234[[#This Row],[ (RESV. STORGE) SER]]/10</f>
        <v>0</v>
      </c>
      <c r="AO357" s="68"/>
      <c r="AP357" s="68">
        <f>TABL1234[[#This Row],[(A/S TOT) AJD]]-TABL1234[[#This Row],[SER_ IN]]</f>
        <v>0</v>
      </c>
    </row>
    <row r="358" spans="1:42" ht="18.75" x14ac:dyDescent="0.25">
      <c r="A358" s="2">
        <v>46744</v>
      </c>
      <c r="B358" s="41"/>
      <c r="C358" s="41"/>
      <c r="D358" s="41"/>
      <c r="E358" s="41"/>
      <c r="F358" s="41"/>
      <c r="G358" s="39"/>
      <c r="H358" s="41">
        <f t="shared" si="10"/>
        <v>103</v>
      </c>
      <c r="I358" s="39"/>
      <c r="J358" s="39"/>
      <c r="K358" s="28">
        <f>TABL1234[[#This Row],[خط (T/B  TOT) SAR]]+TABL1234[[#This Row],[خط (S/S  TOT) SAR2]]</f>
        <v>0</v>
      </c>
      <c r="L358" s="41"/>
      <c r="M358" s="42"/>
      <c r="N358" s="42"/>
      <c r="O358" s="39"/>
      <c r="P358" s="9">
        <f>TABL1234[[#This Row],[خط (S/S  TOT) SAR2]]-TABL1234[[#This Row],[(S/S TOT) AJD]]</f>
        <v>0</v>
      </c>
      <c r="Q358" s="39"/>
      <c r="R358" s="9">
        <f>TABL1234[[#This Row],[خط (T/B  TOT) SAR]]-TABL1234[[#This Row],[(T/B TOT) AJD]]</f>
        <v>0</v>
      </c>
      <c r="S358" s="9">
        <f>TABL1234[[#This Row],[الفرق بين بداية ونهاية خط  T/B]]+TABL1234[[#This Row],[الفرق بين بداية ونهاية خط  S/S]]</f>
        <v>0</v>
      </c>
      <c r="T358" s="9">
        <f>TABL1234[[#This Row],[(S/S TOT) AJD]]+TABL1234[[#This Row],[(T/B TOT) AJD]]</f>
        <v>0</v>
      </c>
      <c r="U358" s="41"/>
      <c r="V358" s="41"/>
      <c r="W358" s="9">
        <f>TABL1234[[#This Row],[(A/B TOT) AJD]]+TABL1234[[#This Row],[(A/S TOT) AJD]]</f>
        <v>0</v>
      </c>
      <c r="X358" s="9">
        <f>TABL1234[[#This Row],[( S/S+T/B) AJD]]-TABL1234[[#This Row],[(A/B + A/S) AJD]]</f>
        <v>0</v>
      </c>
      <c r="Y358" s="41"/>
      <c r="Z358" s="43"/>
      <c r="AA358" s="3">
        <f>TABL1234[[#This Row],[(RESV. STORGE) AJD]]/10</f>
        <v>0</v>
      </c>
      <c r="AB358" s="3">
        <f t="shared" si="11"/>
        <v>0</v>
      </c>
      <c r="AC358" s="5"/>
      <c r="AD358" s="39">
        <f>TABL1234[[#This Row],[( S/S+T/B) AJD]]-(TABL1234[[#This Row],[(A/B + A/S) AJD]]+(TABL1234[[#This Row],[(STORGE DIFF.) AJD]]*1000)+TABL1234[[#This Row],[البخر  AJD]])</f>
        <v>0</v>
      </c>
      <c r="AE358" s="41"/>
      <c r="AF358" s="43"/>
      <c r="AG358" s="43"/>
      <c r="AH358" s="6"/>
      <c r="AI358" s="43"/>
      <c r="AJ358" s="43">
        <f>TABL1234[[#This Row],[(A/B TOT) AJD]]-TABL1234[[#This Row],[BER_ IN]]</f>
        <v>0</v>
      </c>
      <c r="AK358" s="43"/>
      <c r="AL358" s="43"/>
      <c r="AM358" s="32"/>
      <c r="AN358" s="32">
        <f>TABL1234[[#This Row],[ (RESV. STORGE) SER]]/10</f>
        <v>0</v>
      </c>
      <c r="AO358" s="68"/>
      <c r="AP358" s="68">
        <f>TABL1234[[#This Row],[(A/S TOT) AJD]]-TABL1234[[#This Row],[SER_ IN]]</f>
        <v>0</v>
      </c>
    </row>
    <row r="359" spans="1:42" ht="18.75" x14ac:dyDescent="0.25">
      <c r="A359" s="2">
        <v>46745</v>
      </c>
      <c r="B359" s="44"/>
      <c r="C359" s="44"/>
      <c r="D359" s="44"/>
      <c r="E359" s="44"/>
      <c r="F359" s="44"/>
      <c r="G359" s="40"/>
      <c r="H359" s="44">
        <f t="shared" si="10"/>
        <v>103</v>
      </c>
      <c r="I359" s="40"/>
      <c r="J359" s="44"/>
      <c r="K359" s="28">
        <f>TABL1234[[#This Row],[خط (T/B  TOT) SAR]]+TABL1234[[#This Row],[خط (S/S  TOT) SAR2]]</f>
        <v>0</v>
      </c>
      <c r="L359" s="45"/>
      <c r="M359" s="46"/>
      <c r="N359" s="46"/>
      <c r="O359" s="40"/>
      <c r="P359" s="9">
        <f>TABL1234[[#This Row],[خط (S/S  TOT) SAR2]]-TABL1234[[#This Row],[(S/S TOT) AJD]]</f>
        <v>0</v>
      </c>
      <c r="Q359" s="40"/>
      <c r="R359" s="9">
        <f>TABL1234[[#This Row],[خط (T/B  TOT) SAR]]-TABL1234[[#This Row],[(T/B TOT) AJD]]</f>
        <v>0</v>
      </c>
      <c r="S359" s="9">
        <f>TABL1234[[#This Row],[الفرق بين بداية ونهاية خط  T/B]]+TABL1234[[#This Row],[الفرق بين بداية ونهاية خط  S/S]]</f>
        <v>0</v>
      </c>
      <c r="T359" s="9">
        <f>TABL1234[[#This Row],[(S/S TOT) AJD]]+TABL1234[[#This Row],[(T/B TOT) AJD]]</f>
        <v>0</v>
      </c>
      <c r="U359" s="44"/>
      <c r="V359" s="44"/>
      <c r="W359" s="9">
        <f>TABL1234[[#This Row],[(A/B TOT) AJD]]+TABL1234[[#This Row],[(A/S TOT) AJD]]</f>
        <v>0</v>
      </c>
      <c r="X359" s="9">
        <f>TABL1234[[#This Row],[( S/S+T/B) AJD]]-TABL1234[[#This Row],[(A/B + A/S) AJD]]</f>
        <v>0</v>
      </c>
      <c r="Y359" s="44"/>
      <c r="Z359" s="45"/>
      <c r="AA359" s="3">
        <f>TABL1234[[#This Row],[(RESV. STORGE) AJD]]/10</f>
        <v>0</v>
      </c>
      <c r="AB359" s="3">
        <f t="shared" si="11"/>
        <v>0</v>
      </c>
      <c r="AC359" s="5"/>
      <c r="AD359" s="40">
        <f>TABL1234[[#This Row],[( S/S+T/B) AJD]]-(TABL1234[[#This Row],[(A/B + A/S) AJD]]+(TABL1234[[#This Row],[(STORGE DIFF.) AJD]]*1000)+TABL1234[[#This Row],[البخر  AJD]])</f>
        <v>0</v>
      </c>
      <c r="AE359" s="44"/>
      <c r="AF359" s="45"/>
      <c r="AG359" s="45"/>
      <c r="AH359" s="6"/>
      <c r="AI359" s="45"/>
      <c r="AJ359" s="45">
        <f>TABL1234[[#This Row],[(A/B TOT) AJD]]-TABL1234[[#This Row],[BER_ IN]]</f>
        <v>0</v>
      </c>
      <c r="AK359" s="45"/>
      <c r="AL359" s="45"/>
      <c r="AM359" s="32"/>
      <c r="AN359" s="32">
        <f>TABL1234[[#This Row],[ (RESV. STORGE) SER]]/10</f>
        <v>0</v>
      </c>
      <c r="AO359" s="68"/>
      <c r="AP359" s="68">
        <f>TABL1234[[#This Row],[(A/S TOT) AJD]]-TABL1234[[#This Row],[SER_ IN]]</f>
        <v>0</v>
      </c>
    </row>
    <row r="360" spans="1:42" ht="18.75" x14ac:dyDescent="0.25">
      <c r="A360" s="2">
        <v>46746</v>
      </c>
      <c r="B360" s="41"/>
      <c r="C360" s="41"/>
      <c r="D360" s="41"/>
      <c r="E360" s="41"/>
      <c r="F360" s="41"/>
      <c r="G360" s="39"/>
      <c r="H360" s="41">
        <f t="shared" si="10"/>
        <v>103</v>
      </c>
      <c r="I360" s="39"/>
      <c r="J360" s="39"/>
      <c r="K360" s="28">
        <f>TABL1234[[#This Row],[خط (T/B  TOT) SAR]]+TABL1234[[#This Row],[خط (S/S  TOT) SAR2]]</f>
        <v>0</v>
      </c>
      <c r="L360" s="41"/>
      <c r="M360" s="42"/>
      <c r="N360" s="42"/>
      <c r="O360" s="39"/>
      <c r="P360" s="9">
        <f>TABL1234[[#This Row],[خط (S/S  TOT) SAR2]]-TABL1234[[#This Row],[(S/S TOT) AJD]]</f>
        <v>0</v>
      </c>
      <c r="Q360" s="39"/>
      <c r="R360" s="9">
        <f>TABL1234[[#This Row],[خط (T/B  TOT) SAR]]-TABL1234[[#This Row],[(T/B TOT) AJD]]</f>
        <v>0</v>
      </c>
      <c r="S360" s="9">
        <f>TABL1234[[#This Row],[الفرق بين بداية ونهاية خط  T/B]]+TABL1234[[#This Row],[الفرق بين بداية ونهاية خط  S/S]]</f>
        <v>0</v>
      </c>
      <c r="T360" s="9">
        <f>TABL1234[[#This Row],[(S/S TOT) AJD]]+TABL1234[[#This Row],[(T/B TOT) AJD]]</f>
        <v>0</v>
      </c>
      <c r="U360" s="41"/>
      <c r="V360" s="41"/>
      <c r="W360" s="9">
        <f>TABL1234[[#This Row],[(A/B TOT) AJD]]+TABL1234[[#This Row],[(A/S TOT) AJD]]</f>
        <v>0</v>
      </c>
      <c r="X360" s="9">
        <f>TABL1234[[#This Row],[( S/S+T/B) AJD]]-TABL1234[[#This Row],[(A/B + A/S) AJD]]</f>
        <v>0</v>
      </c>
      <c r="Y360" s="41"/>
      <c r="Z360" s="43"/>
      <c r="AA360" s="3">
        <f>TABL1234[[#This Row],[(RESV. STORGE) AJD]]/10</f>
        <v>0</v>
      </c>
      <c r="AB360" s="3">
        <f t="shared" si="11"/>
        <v>0</v>
      </c>
      <c r="AC360" s="5"/>
      <c r="AD360" s="39">
        <f>TABL1234[[#This Row],[( S/S+T/B) AJD]]-(TABL1234[[#This Row],[(A/B + A/S) AJD]]+(TABL1234[[#This Row],[(STORGE DIFF.) AJD]]*1000)+TABL1234[[#This Row],[البخر  AJD]])</f>
        <v>0</v>
      </c>
      <c r="AE360" s="41"/>
      <c r="AF360" s="43"/>
      <c r="AG360" s="43"/>
      <c r="AH360" s="6"/>
      <c r="AI360" s="43"/>
      <c r="AJ360" s="43">
        <f>TABL1234[[#This Row],[(A/B TOT) AJD]]-TABL1234[[#This Row],[BER_ IN]]</f>
        <v>0</v>
      </c>
      <c r="AK360" s="43"/>
      <c r="AL360" s="43"/>
      <c r="AM360" s="32"/>
      <c r="AN360" s="32">
        <f>TABL1234[[#This Row],[ (RESV. STORGE) SER]]/10</f>
        <v>0</v>
      </c>
      <c r="AO360" s="68"/>
      <c r="AP360" s="68">
        <f>TABL1234[[#This Row],[(A/S TOT) AJD]]-TABL1234[[#This Row],[SER_ IN]]</f>
        <v>0</v>
      </c>
    </row>
    <row r="361" spans="1:42" ht="18.75" x14ac:dyDescent="0.25">
      <c r="A361" s="2">
        <v>46747</v>
      </c>
      <c r="B361" s="44"/>
      <c r="C361" s="44"/>
      <c r="D361" s="44"/>
      <c r="E361" s="44"/>
      <c r="F361" s="44"/>
      <c r="G361" s="40"/>
      <c r="H361" s="44">
        <f t="shared" si="10"/>
        <v>103</v>
      </c>
      <c r="I361" s="40"/>
      <c r="J361" s="44"/>
      <c r="K361" s="28">
        <f>TABL1234[[#This Row],[خط (T/B  TOT) SAR]]+TABL1234[[#This Row],[خط (S/S  TOT) SAR2]]</f>
        <v>0</v>
      </c>
      <c r="L361" s="45"/>
      <c r="M361" s="46"/>
      <c r="N361" s="46"/>
      <c r="O361" s="40"/>
      <c r="P361" s="9">
        <f>TABL1234[[#This Row],[خط (S/S  TOT) SAR2]]-TABL1234[[#This Row],[(S/S TOT) AJD]]</f>
        <v>0</v>
      </c>
      <c r="Q361" s="40"/>
      <c r="R361" s="9">
        <f>TABL1234[[#This Row],[خط (T/B  TOT) SAR]]-TABL1234[[#This Row],[(T/B TOT) AJD]]</f>
        <v>0</v>
      </c>
      <c r="S361" s="9">
        <f>TABL1234[[#This Row],[الفرق بين بداية ونهاية خط  T/B]]+TABL1234[[#This Row],[الفرق بين بداية ونهاية خط  S/S]]</f>
        <v>0</v>
      </c>
      <c r="T361" s="9">
        <f>TABL1234[[#This Row],[(S/S TOT) AJD]]+TABL1234[[#This Row],[(T/B TOT) AJD]]</f>
        <v>0</v>
      </c>
      <c r="U361" s="44"/>
      <c r="V361" s="44"/>
      <c r="W361" s="9">
        <f>TABL1234[[#This Row],[(A/B TOT) AJD]]+TABL1234[[#This Row],[(A/S TOT) AJD]]</f>
        <v>0</v>
      </c>
      <c r="X361" s="9">
        <f>TABL1234[[#This Row],[( S/S+T/B) AJD]]-TABL1234[[#This Row],[(A/B + A/S) AJD]]</f>
        <v>0</v>
      </c>
      <c r="Y361" s="44"/>
      <c r="Z361" s="45"/>
      <c r="AA361" s="3">
        <f>TABL1234[[#This Row],[(RESV. STORGE) AJD]]/10</f>
        <v>0</v>
      </c>
      <c r="AB361" s="3">
        <f t="shared" si="11"/>
        <v>0</v>
      </c>
      <c r="AC361" s="5"/>
      <c r="AD361" s="40">
        <f>TABL1234[[#This Row],[( S/S+T/B) AJD]]-(TABL1234[[#This Row],[(A/B + A/S) AJD]]+(TABL1234[[#This Row],[(STORGE DIFF.) AJD]]*1000)+TABL1234[[#This Row],[البخر  AJD]])</f>
        <v>0</v>
      </c>
      <c r="AE361" s="44"/>
      <c r="AF361" s="45"/>
      <c r="AG361" s="45"/>
      <c r="AH361" s="6"/>
      <c r="AI361" s="45"/>
      <c r="AJ361" s="45">
        <f>TABL1234[[#This Row],[(A/B TOT) AJD]]-TABL1234[[#This Row],[BER_ IN]]</f>
        <v>0</v>
      </c>
      <c r="AK361" s="45"/>
      <c r="AL361" s="45"/>
      <c r="AM361" s="32"/>
      <c r="AN361" s="32">
        <f>TABL1234[[#This Row],[ (RESV. STORGE) SER]]/10</f>
        <v>0</v>
      </c>
      <c r="AO361" s="68"/>
      <c r="AP361" s="68">
        <f>TABL1234[[#This Row],[(A/S TOT) AJD]]-TABL1234[[#This Row],[SER_ IN]]</f>
        <v>0</v>
      </c>
    </row>
    <row r="362" spans="1:42" ht="18.75" x14ac:dyDescent="0.25">
      <c r="A362" s="2">
        <v>46748</v>
      </c>
      <c r="B362" s="41"/>
      <c r="C362" s="41"/>
      <c r="D362" s="41"/>
      <c r="E362" s="41"/>
      <c r="F362" s="41"/>
      <c r="G362" s="39"/>
      <c r="H362" s="41">
        <f t="shared" si="10"/>
        <v>103</v>
      </c>
      <c r="I362" s="39"/>
      <c r="J362" s="39"/>
      <c r="K362" s="28">
        <f>TABL1234[[#This Row],[خط (T/B  TOT) SAR]]+TABL1234[[#This Row],[خط (S/S  TOT) SAR2]]</f>
        <v>0</v>
      </c>
      <c r="L362" s="41"/>
      <c r="M362" s="42"/>
      <c r="N362" s="42"/>
      <c r="O362" s="39"/>
      <c r="P362" s="9">
        <f>TABL1234[[#This Row],[خط (S/S  TOT) SAR2]]-TABL1234[[#This Row],[(S/S TOT) AJD]]</f>
        <v>0</v>
      </c>
      <c r="Q362" s="39"/>
      <c r="R362" s="9">
        <f>TABL1234[[#This Row],[خط (T/B  TOT) SAR]]-TABL1234[[#This Row],[(T/B TOT) AJD]]</f>
        <v>0</v>
      </c>
      <c r="S362" s="9">
        <f>TABL1234[[#This Row],[الفرق بين بداية ونهاية خط  T/B]]+TABL1234[[#This Row],[الفرق بين بداية ونهاية خط  S/S]]</f>
        <v>0</v>
      </c>
      <c r="T362" s="9">
        <f>TABL1234[[#This Row],[(S/S TOT) AJD]]+TABL1234[[#This Row],[(T/B TOT) AJD]]</f>
        <v>0</v>
      </c>
      <c r="U362" s="41"/>
      <c r="V362" s="41"/>
      <c r="W362" s="9">
        <f>TABL1234[[#This Row],[(A/B TOT) AJD]]+TABL1234[[#This Row],[(A/S TOT) AJD]]</f>
        <v>0</v>
      </c>
      <c r="X362" s="9">
        <f>TABL1234[[#This Row],[( S/S+T/B) AJD]]-TABL1234[[#This Row],[(A/B + A/S) AJD]]</f>
        <v>0</v>
      </c>
      <c r="Y362" s="41"/>
      <c r="Z362" s="43"/>
      <c r="AA362" s="3">
        <f>TABL1234[[#This Row],[(RESV. STORGE) AJD]]/10</f>
        <v>0</v>
      </c>
      <c r="AB362" s="3">
        <f t="shared" si="11"/>
        <v>0</v>
      </c>
      <c r="AC362" s="5"/>
      <c r="AD362" s="39">
        <f>TABL1234[[#This Row],[( S/S+T/B) AJD]]-(TABL1234[[#This Row],[(A/B + A/S) AJD]]+(TABL1234[[#This Row],[(STORGE DIFF.) AJD]]*1000)+TABL1234[[#This Row],[البخر  AJD]])</f>
        <v>0</v>
      </c>
      <c r="AE362" s="41"/>
      <c r="AF362" s="43"/>
      <c r="AG362" s="43"/>
      <c r="AH362" s="6"/>
      <c r="AI362" s="43"/>
      <c r="AJ362" s="43">
        <f>TABL1234[[#This Row],[(A/B TOT) AJD]]-TABL1234[[#This Row],[BER_ IN]]</f>
        <v>0</v>
      </c>
      <c r="AK362" s="43"/>
      <c r="AL362" s="43"/>
      <c r="AM362" s="32"/>
      <c r="AN362" s="32">
        <f>TABL1234[[#This Row],[ (RESV. STORGE) SER]]/10</f>
        <v>0</v>
      </c>
      <c r="AO362" s="68"/>
      <c r="AP362" s="68">
        <f>TABL1234[[#This Row],[(A/S TOT) AJD]]-TABL1234[[#This Row],[SER_ IN]]</f>
        <v>0</v>
      </c>
    </row>
    <row r="363" spans="1:42" ht="18.75" x14ac:dyDescent="0.25">
      <c r="A363" s="2">
        <v>46749</v>
      </c>
      <c r="B363" s="44"/>
      <c r="C363" s="44"/>
      <c r="D363" s="44"/>
      <c r="E363" s="44"/>
      <c r="F363" s="44"/>
      <c r="G363" s="40"/>
      <c r="H363" s="44">
        <f t="shared" si="10"/>
        <v>103</v>
      </c>
      <c r="I363" s="40"/>
      <c r="J363" s="44"/>
      <c r="K363" s="28">
        <f>TABL1234[[#This Row],[خط (T/B  TOT) SAR]]+TABL1234[[#This Row],[خط (S/S  TOT) SAR2]]</f>
        <v>0</v>
      </c>
      <c r="L363" s="45"/>
      <c r="M363" s="46"/>
      <c r="N363" s="46"/>
      <c r="O363" s="40"/>
      <c r="P363" s="9">
        <f>TABL1234[[#This Row],[خط (S/S  TOT) SAR2]]-TABL1234[[#This Row],[(S/S TOT) AJD]]</f>
        <v>0</v>
      </c>
      <c r="Q363" s="40"/>
      <c r="R363" s="9">
        <f>TABL1234[[#This Row],[خط (T/B  TOT) SAR]]-TABL1234[[#This Row],[(T/B TOT) AJD]]</f>
        <v>0</v>
      </c>
      <c r="S363" s="9">
        <f>TABL1234[[#This Row],[الفرق بين بداية ونهاية خط  T/B]]+TABL1234[[#This Row],[الفرق بين بداية ونهاية خط  S/S]]</f>
        <v>0</v>
      </c>
      <c r="T363" s="9">
        <f>TABL1234[[#This Row],[(S/S TOT) AJD]]+TABL1234[[#This Row],[(T/B TOT) AJD]]</f>
        <v>0</v>
      </c>
      <c r="U363" s="44"/>
      <c r="V363" s="44"/>
      <c r="W363" s="9">
        <f>TABL1234[[#This Row],[(A/B TOT) AJD]]+TABL1234[[#This Row],[(A/S TOT) AJD]]</f>
        <v>0</v>
      </c>
      <c r="X363" s="9">
        <f>TABL1234[[#This Row],[( S/S+T/B) AJD]]-TABL1234[[#This Row],[(A/B + A/S) AJD]]</f>
        <v>0</v>
      </c>
      <c r="Y363" s="44"/>
      <c r="Z363" s="45"/>
      <c r="AA363" s="3">
        <f>TABL1234[[#This Row],[(RESV. STORGE) AJD]]/10</f>
        <v>0</v>
      </c>
      <c r="AB363" s="3">
        <f t="shared" si="11"/>
        <v>0</v>
      </c>
      <c r="AC363" s="5"/>
      <c r="AD363" s="40">
        <f>TABL1234[[#This Row],[( S/S+T/B) AJD]]-(TABL1234[[#This Row],[(A/B + A/S) AJD]]+(TABL1234[[#This Row],[(STORGE DIFF.) AJD]]*1000)+TABL1234[[#This Row],[البخر  AJD]])</f>
        <v>0</v>
      </c>
      <c r="AE363" s="44"/>
      <c r="AF363" s="45"/>
      <c r="AG363" s="45"/>
      <c r="AH363" s="6"/>
      <c r="AI363" s="45"/>
      <c r="AJ363" s="45">
        <f>TABL1234[[#This Row],[(A/B TOT) AJD]]-TABL1234[[#This Row],[BER_ IN]]</f>
        <v>0</v>
      </c>
      <c r="AK363" s="45"/>
      <c r="AL363" s="45"/>
      <c r="AM363" s="32"/>
      <c r="AN363" s="32">
        <f>TABL1234[[#This Row],[ (RESV. STORGE) SER]]/10</f>
        <v>0</v>
      </c>
      <c r="AO363" s="68"/>
      <c r="AP363" s="68">
        <f>TABL1234[[#This Row],[(A/S TOT) AJD]]-TABL1234[[#This Row],[SER_ IN]]</f>
        <v>0</v>
      </c>
    </row>
    <row r="364" spans="1:42" ht="18.75" x14ac:dyDescent="0.25">
      <c r="A364" s="2">
        <v>46750</v>
      </c>
      <c r="B364" s="41"/>
      <c r="C364" s="41"/>
      <c r="D364" s="41"/>
      <c r="E364" s="41"/>
      <c r="F364" s="41"/>
      <c r="G364" s="39"/>
      <c r="H364" s="41">
        <f t="shared" si="10"/>
        <v>103</v>
      </c>
      <c r="I364" s="39"/>
      <c r="J364" s="39"/>
      <c r="K364" s="28">
        <f>TABL1234[[#This Row],[خط (T/B  TOT) SAR]]+TABL1234[[#This Row],[خط (S/S  TOT) SAR2]]</f>
        <v>0</v>
      </c>
      <c r="L364" s="41"/>
      <c r="M364" s="42"/>
      <c r="N364" s="42"/>
      <c r="O364" s="39"/>
      <c r="P364" s="9">
        <f>TABL1234[[#This Row],[خط (S/S  TOT) SAR2]]-TABL1234[[#This Row],[(S/S TOT) AJD]]</f>
        <v>0</v>
      </c>
      <c r="Q364" s="39"/>
      <c r="R364" s="9">
        <f>TABL1234[[#This Row],[خط (T/B  TOT) SAR]]-TABL1234[[#This Row],[(T/B TOT) AJD]]</f>
        <v>0</v>
      </c>
      <c r="S364" s="9">
        <f>TABL1234[[#This Row],[الفرق بين بداية ونهاية خط  T/B]]+TABL1234[[#This Row],[الفرق بين بداية ونهاية خط  S/S]]</f>
        <v>0</v>
      </c>
      <c r="T364" s="9">
        <f>TABL1234[[#This Row],[(S/S TOT) AJD]]+TABL1234[[#This Row],[(T/B TOT) AJD]]</f>
        <v>0</v>
      </c>
      <c r="U364" s="41"/>
      <c r="V364" s="41"/>
      <c r="W364" s="9">
        <f>TABL1234[[#This Row],[(A/B TOT) AJD]]+TABL1234[[#This Row],[(A/S TOT) AJD]]</f>
        <v>0</v>
      </c>
      <c r="X364" s="9">
        <f>TABL1234[[#This Row],[( S/S+T/B) AJD]]-TABL1234[[#This Row],[(A/B + A/S) AJD]]</f>
        <v>0</v>
      </c>
      <c r="Y364" s="41"/>
      <c r="Z364" s="43"/>
      <c r="AA364" s="3">
        <f>TABL1234[[#This Row],[(RESV. STORGE) AJD]]/10</f>
        <v>0</v>
      </c>
      <c r="AB364" s="3">
        <f t="shared" si="11"/>
        <v>0</v>
      </c>
      <c r="AC364" s="5"/>
      <c r="AD364" s="39">
        <f>TABL1234[[#This Row],[( S/S+T/B) AJD]]-(TABL1234[[#This Row],[(A/B + A/S) AJD]]+(TABL1234[[#This Row],[(STORGE DIFF.) AJD]]*1000)+TABL1234[[#This Row],[البخر  AJD]])</f>
        <v>0</v>
      </c>
      <c r="AE364" s="41"/>
      <c r="AF364" s="43"/>
      <c r="AG364" s="43"/>
      <c r="AH364" s="6"/>
      <c r="AI364" s="43"/>
      <c r="AJ364" s="43">
        <f>TABL1234[[#This Row],[(A/B TOT) AJD]]-TABL1234[[#This Row],[BER_ IN]]</f>
        <v>0</v>
      </c>
      <c r="AK364" s="43"/>
      <c r="AL364" s="43"/>
      <c r="AM364" s="32"/>
      <c r="AN364" s="32">
        <f>TABL1234[[#This Row],[ (RESV. STORGE) SER]]/10</f>
        <v>0</v>
      </c>
      <c r="AO364" s="68"/>
      <c r="AP364" s="68">
        <f>TABL1234[[#This Row],[(A/S TOT) AJD]]-TABL1234[[#This Row],[SER_ IN]]</f>
        <v>0</v>
      </c>
    </row>
    <row r="365" spans="1:42" ht="18.75" x14ac:dyDescent="0.25">
      <c r="A365" s="2">
        <v>46751</v>
      </c>
      <c r="B365" s="44"/>
      <c r="C365" s="44"/>
      <c r="D365" s="44"/>
      <c r="E365" s="44"/>
      <c r="F365" s="44"/>
      <c r="G365" s="40"/>
      <c r="H365" s="44">
        <f t="shared" si="10"/>
        <v>103</v>
      </c>
      <c r="I365" s="40"/>
      <c r="J365" s="44"/>
      <c r="K365" s="28">
        <f>TABL1234[[#This Row],[خط (T/B  TOT) SAR]]+TABL1234[[#This Row],[خط (S/S  TOT) SAR2]]</f>
        <v>0</v>
      </c>
      <c r="L365" s="45"/>
      <c r="M365" s="46"/>
      <c r="N365" s="46"/>
      <c r="O365" s="40"/>
      <c r="P365" s="9">
        <f>TABL1234[[#This Row],[خط (S/S  TOT) SAR2]]-TABL1234[[#This Row],[(S/S TOT) AJD]]</f>
        <v>0</v>
      </c>
      <c r="Q365" s="40"/>
      <c r="R365" s="9">
        <f>TABL1234[[#This Row],[خط (T/B  TOT) SAR]]-TABL1234[[#This Row],[(T/B TOT) AJD]]</f>
        <v>0</v>
      </c>
      <c r="S365" s="9">
        <f>TABL1234[[#This Row],[الفرق بين بداية ونهاية خط  T/B]]+TABL1234[[#This Row],[الفرق بين بداية ونهاية خط  S/S]]</f>
        <v>0</v>
      </c>
      <c r="T365" s="9">
        <f>TABL1234[[#This Row],[(S/S TOT) AJD]]+TABL1234[[#This Row],[(T/B TOT) AJD]]</f>
        <v>0</v>
      </c>
      <c r="U365" s="44"/>
      <c r="V365" s="44"/>
      <c r="W365" s="9">
        <f>TABL1234[[#This Row],[(A/B TOT) AJD]]+TABL1234[[#This Row],[(A/S TOT) AJD]]</f>
        <v>0</v>
      </c>
      <c r="X365" s="9">
        <f>TABL1234[[#This Row],[( S/S+T/B) AJD]]-TABL1234[[#This Row],[(A/B + A/S) AJD]]</f>
        <v>0</v>
      </c>
      <c r="Y365" s="44"/>
      <c r="Z365" s="45"/>
      <c r="AA365" s="3">
        <f>TABL1234[[#This Row],[(RESV. STORGE) AJD]]/10</f>
        <v>0</v>
      </c>
      <c r="AB365" s="3">
        <f t="shared" si="11"/>
        <v>0</v>
      </c>
      <c r="AC365" s="5"/>
      <c r="AD365" s="50">
        <f>TABL1234[[#This Row],[( S/S+T/B) AJD]]-(TABL1234[[#This Row],[(A/B + A/S) AJD]]+(TABL1234[[#This Row],[(STORGE DIFF.) AJD]]*1000)+TABL1234[[#This Row],[البخر  AJD]])</f>
        <v>0</v>
      </c>
      <c r="AE365" s="44"/>
      <c r="AF365" s="45"/>
      <c r="AG365" s="45"/>
      <c r="AH365" s="6"/>
      <c r="AI365" s="45"/>
      <c r="AJ365" s="92">
        <f>TABL1234[[#This Row],[(A/B TOT) AJD]]-TABL1234[[#This Row],[BER_ IN]]</f>
        <v>0</v>
      </c>
      <c r="AK365" s="45"/>
      <c r="AL365" s="45"/>
      <c r="AM365" s="32"/>
      <c r="AN365" s="32">
        <f>TABL1234[[#This Row],[ (RESV. STORGE) SER]]/10</f>
        <v>0</v>
      </c>
      <c r="AO365" s="68"/>
      <c r="AP365" s="68">
        <f>TABL1234[[#This Row],[(A/S TOT) AJD]]-TABL1234[[#This Row],[SER_ IN]]</f>
        <v>0</v>
      </c>
    </row>
    <row r="366" spans="1:42" ht="18.75" x14ac:dyDescent="0.25">
      <c r="A366" s="2">
        <v>46752</v>
      </c>
      <c r="B366" s="41"/>
      <c r="C366" s="41"/>
      <c r="D366" s="41"/>
      <c r="E366" s="41"/>
      <c r="F366" s="41"/>
      <c r="G366" s="39"/>
      <c r="H366" s="41">
        <f t="shared" si="10"/>
        <v>103</v>
      </c>
      <c r="I366" s="39"/>
      <c r="J366" s="39"/>
      <c r="K366" s="51">
        <f>TABL1234[[#This Row],[خط (T/B  TOT) SAR]]+TABL1234[[#This Row],[خط (S/S  TOT) SAR2]]</f>
        <v>0</v>
      </c>
      <c r="L366" s="41"/>
      <c r="M366" s="42"/>
      <c r="N366" s="42"/>
      <c r="O366" s="39"/>
      <c r="P366" s="19">
        <f>TABL1234[[#This Row],[خط (S/S  TOT) SAR2]]-TABL1234[[#This Row],[(S/S TOT) AJD]]</f>
        <v>0</v>
      </c>
      <c r="Q366" s="39"/>
      <c r="R366" s="19">
        <f>TABL1234[[#This Row],[خط (T/B  TOT) SAR]]-TABL1234[[#This Row],[(T/B TOT) AJD]]</f>
        <v>0</v>
      </c>
      <c r="S366" s="19">
        <f>TABL1234[[#This Row],[الفرق بين بداية ونهاية خط  T/B]]+TABL1234[[#This Row],[الفرق بين بداية ونهاية خط  S/S]]</f>
        <v>0</v>
      </c>
      <c r="T366" s="19">
        <f>TABL1234[[#This Row],[(S/S TOT) AJD]]+TABL1234[[#This Row],[(T/B TOT) AJD]]</f>
        <v>0</v>
      </c>
      <c r="U366" s="41"/>
      <c r="V366" s="41"/>
      <c r="W366" s="19">
        <f>TABL1234[[#This Row],[(A/B TOT) AJD]]+TABL1234[[#This Row],[(A/S TOT) AJD]]</f>
        <v>0</v>
      </c>
      <c r="X366" s="19">
        <f>TABL1234[[#This Row],[( S/S+T/B) AJD]]-TABL1234[[#This Row],[(A/B + A/S) AJD]]</f>
        <v>0</v>
      </c>
      <c r="Y366" s="41"/>
      <c r="Z366" s="43"/>
      <c r="AA366" s="3">
        <f>TABL1234[[#This Row],[(RESV. STORGE) AJD]]/10</f>
        <v>0</v>
      </c>
      <c r="AB366" s="3">
        <f t="shared" si="11"/>
        <v>0</v>
      </c>
      <c r="AC366" s="5"/>
      <c r="AD366" s="50">
        <f>TABL1234[[#This Row],[( S/S+T/B) AJD]]-(TABL1234[[#This Row],[(A/B + A/S) AJD]]+(TABL1234[[#This Row],[(STORGE DIFF.) AJD]]*1000)+TABL1234[[#This Row],[البخر  AJD]])</f>
        <v>0</v>
      </c>
      <c r="AE366" s="41"/>
      <c r="AF366" s="43"/>
      <c r="AG366" s="43"/>
      <c r="AH366" s="21"/>
      <c r="AI366" s="43"/>
      <c r="AJ366" s="43">
        <f>TABL1234[[#This Row],[(A/B TOT) AJD]]-TABL1234[[#This Row],[BER_ IN]]</f>
        <v>0</v>
      </c>
      <c r="AK366" s="43"/>
      <c r="AL366" s="43"/>
      <c r="AM366" s="32"/>
      <c r="AN366" s="32">
        <f>TABL1234[[#This Row],[ (RESV. STORGE) SER]]/10</f>
        <v>0</v>
      </c>
      <c r="AO366" s="83"/>
      <c r="AP366" s="83">
        <f>TABL1234[[#This Row],[(A/S TOT) AJD]]-TABL1234[[#This Row],[SER_ IN]]</f>
        <v>0</v>
      </c>
    </row>
    <row r="367" spans="1:42" x14ac:dyDescent="0.25">
      <c r="A367" s="73"/>
      <c r="B367" s="74"/>
      <c r="C367" s="61"/>
      <c r="D367" s="61"/>
      <c r="E367" s="61"/>
      <c r="F367" s="61"/>
      <c r="G367" s="61"/>
      <c r="H367" s="61"/>
      <c r="I367" s="62"/>
      <c r="J367" s="61"/>
      <c r="K367" s="62"/>
      <c r="L367" s="61"/>
      <c r="M367" s="63"/>
      <c r="N367" s="75"/>
      <c r="O367" s="52"/>
      <c r="P367" s="19"/>
      <c r="Q367" s="52"/>
      <c r="R367" s="19"/>
      <c r="S367" s="19"/>
      <c r="T367" s="19"/>
      <c r="U367" s="52"/>
      <c r="V367" s="52"/>
      <c r="W367" s="19"/>
      <c r="X367" s="19"/>
      <c r="Y367" s="53"/>
      <c r="Z367" s="52"/>
      <c r="AA367" s="19"/>
      <c r="AB367" s="19"/>
      <c r="AC367" s="65"/>
      <c r="AD367" s="21"/>
      <c r="AE367" s="52"/>
      <c r="AF367" s="20"/>
      <c r="AG367" s="19"/>
      <c r="AH367" s="19"/>
      <c r="AI367" s="19"/>
      <c r="AJ367" s="54"/>
      <c r="AK367" s="76"/>
      <c r="AL367" s="19"/>
      <c r="AM367" s="21"/>
      <c r="AN367" s="7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814C-E106-43D3-AF41-10A42B5979C1}">
  <dimension ref="A1:AP367"/>
  <sheetViews>
    <sheetView rightToLeft="1" workbookViewId="0">
      <selection activeCell="I6" sqref="I6"/>
    </sheetView>
  </sheetViews>
  <sheetFormatPr defaultRowHeight="15" x14ac:dyDescent="0.25"/>
  <cols>
    <col min="1" max="1" width="12.5" customWidth="1"/>
    <col min="2" max="2" width="7.875" style="56" customWidth="1"/>
    <col min="3" max="3" width="8.125" style="56" customWidth="1"/>
    <col min="4" max="4" width="7.75" style="56" customWidth="1"/>
    <col min="5" max="5" width="8.25" style="56" customWidth="1"/>
    <col min="6" max="6" width="8.125" style="56" customWidth="1"/>
    <col min="7" max="7" width="8" style="56" customWidth="1"/>
    <col min="8" max="8" width="7.25" style="56" customWidth="1"/>
    <col min="9" max="9" width="9.375" style="56" customWidth="1"/>
    <col min="10" max="11" width="10.625" style="56" customWidth="1"/>
    <col min="12" max="12" width="11.375" style="56" customWidth="1"/>
    <col min="13" max="13" width="10.625" style="57" customWidth="1"/>
    <col min="14" max="14" width="8.25" style="58" customWidth="1"/>
    <col min="15" max="15" width="10.375" style="7" customWidth="1"/>
    <col min="16" max="16" width="7.875" style="7" customWidth="1"/>
    <col min="17" max="17" width="8.875" style="7" customWidth="1"/>
    <col min="18" max="19" width="10.5" style="7" customWidth="1"/>
    <col min="20" max="20" width="9.75" style="7" customWidth="1"/>
    <col min="21" max="21" width="7" style="7" customWidth="1"/>
    <col min="22" max="22" width="6.875" style="7" customWidth="1"/>
    <col min="23" max="23" width="8.5" style="7" customWidth="1"/>
    <col min="24" max="24" width="11.125" style="7" customWidth="1"/>
    <col min="25" max="25" width="10.875" style="7" customWidth="1"/>
    <col min="26" max="27" width="9.125" style="7" customWidth="1"/>
    <col min="28" max="29" width="9.625" style="7" customWidth="1"/>
    <col min="30" max="30" width="15.75" style="7" customWidth="1"/>
    <col min="31" max="32" width="9.625" style="7" customWidth="1"/>
    <col min="33" max="33" width="11.25" style="7" customWidth="1"/>
    <col min="34" max="34" width="9.625" style="7" customWidth="1"/>
    <col min="35" max="35" width="14.25" style="7" customWidth="1"/>
    <col min="36" max="37" width="9.625" style="7" customWidth="1"/>
    <col min="38" max="38" width="14.5" style="7" customWidth="1"/>
    <col min="39" max="39" width="9.625" style="7" customWidth="1"/>
    <col min="40" max="40" width="11.625" style="7" customWidth="1"/>
  </cols>
  <sheetData>
    <row r="1" spans="1:42" s="27" customFormat="1" ht="55.5" customHeight="1" x14ac:dyDescent="0.2">
      <c r="A1" s="22" t="s">
        <v>0</v>
      </c>
      <c r="B1" s="23" t="s">
        <v>14</v>
      </c>
      <c r="C1" s="23" t="s">
        <v>15</v>
      </c>
      <c r="D1" s="23" t="s">
        <v>16</v>
      </c>
      <c r="E1" s="23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23</v>
      </c>
      <c r="L1" s="25" t="s">
        <v>24</v>
      </c>
      <c r="M1" s="25" t="s">
        <v>25</v>
      </c>
      <c r="N1" s="25" t="s">
        <v>26</v>
      </c>
      <c r="O1" s="26" t="s">
        <v>8</v>
      </c>
      <c r="P1" s="26" t="s">
        <v>9</v>
      </c>
      <c r="Q1" s="26" t="s">
        <v>10</v>
      </c>
      <c r="R1" s="26" t="s">
        <v>11</v>
      </c>
      <c r="S1" s="26" t="s">
        <v>27</v>
      </c>
      <c r="T1" s="26" t="s">
        <v>12</v>
      </c>
      <c r="U1" s="26" t="s">
        <v>1</v>
      </c>
      <c r="V1" s="26" t="s">
        <v>2</v>
      </c>
      <c r="W1" s="26" t="s">
        <v>3</v>
      </c>
      <c r="X1" s="26" t="s">
        <v>13</v>
      </c>
      <c r="Y1" s="26" t="s">
        <v>4</v>
      </c>
      <c r="Z1" s="26" t="s">
        <v>5</v>
      </c>
      <c r="AA1" s="26" t="s">
        <v>39</v>
      </c>
      <c r="AB1" s="26" t="s">
        <v>6</v>
      </c>
      <c r="AC1" s="26" t="s">
        <v>7</v>
      </c>
      <c r="AD1" s="26" t="s">
        <v>28</v>
      </c>
      <c r="AE1" s="1" t="s">
        <v>29</v>
      </c>
      <c r="AF1" s="1" t="s">
        <v>30</v>
      </c>
      <c r="AG1" s="1" t="s">
        <v>31</v>
      </c>
      <c r="AH1" s="1" t="s">
        <v>40</v>
      </c>
      <c r="AI1" s="1" t="s">
        <v>32</v>
      </c>
      <c r="AJ1" s="1" t="s">
        <v>33</v>
      </c>
      <c r="AK1" s="26" t="s">
        <v>34</v>
      </c>
      <c r="AL1" s="26" t="s">
        <v>35</v>
      </c>
      <c r="AM1" s="26" t="s">
        <v>36</v>
      </c>
      <c r="AN1" s="26" t="s">
        <v>41</v>
      </c>
      <c r="AO1" s="26" t="s">
        <v>37</v>
      </c>
      <c r="AP1" s="26" t="s">
        <v>38</v>
      </c>
    </row>
    <row r="2" spans="1:42" x14ac:dyDescent="0.25">
      <c r="A2" s="2">
        <v>46753</v>
      </c>
      <c r="B2" s="28"/>
      <c r="C2" s="28"/>
      <c r="D2" s="28"/>
      <c r="E2" s="28"/>
      <c r="F2" s="28"/>
      <c r="G2" s="28"/>
      <c r="H2" s="28"/>
      <c r="I2" s="28"/>
      <c r="J2" s="28"/>
      <c r="K2" s="28">
        <f>TABL12345[[#This Row],[خط (T/B  TOT) SAR]]+TABL12345[[#This Row],[خط (S/S  TOT) SAR2]]</f>
        <v>0</v>
      </c>
      <c r="L2" s="28"/>
      <c r="M2" s="29"/>
      <c r="N2" s="30"/>
      <c r="O2" s="3"/>
      <c r="P2" s="3">
        <f>TABL12345[[#This Row],[خط (S/S  TOT) SAR2]]-TABL12345[[#This Row],[(S/S TOT) AJD]]</f>
        <v>0</v>
      </c>
      <c r="Q2" s="3"/>
      <c r="R2" s="3">
        <f>TABL12345[[#This Row],[خط (T/B  TOT) SAR]]-TABL12345[[#This Row],[(T/B TOT) AJD]]</f>
        <v>0</v>
      </c>
      <c r="S2" s="3">
        <f>TABL12345[[#This Row],[الفرق بين بداية ونهاية خط  S/S]]+TABL12345[[#This Row],[الفرق بين بداية ونهاية خط  T/B]]</f>
        <v>0</v>
      </c>
      <c r="T2" s="3">
        <f t="shared" ref="T2:T65" si="0">O2+Q2</f>
        <v>0</v>
      </c>
      <c r="U2" s="3"/>
      <c r="V2" s="3"/>
      <c r="W2" s="3">
        <f t="shared" ref="W2:W65" si="1">U2+V2</f>
        <v>0</v>
      </c>
      <c r="X2" s="3">
        <f t="shared" ref="X2:X65" si="2">T2-W2</f>
        <v>0</v>
      </c>
      <c r="Y2" s="4"/>
      <c r="Z2" s="3"/>
      <c r="AA2" s="3">
        <f>TABL12345[[#This Row],[(RESV. STORGE) AJD]]/10</f>
        <v>0</v>
      </c>
      <c r="AB2" s="3">
        <v>-10</v>
      </c>
      <c r="AC2" s="5"/>
      <c r="AD2" s="5">
        <f>(TABL12345[[#This Row],[( S/S+T/B) AJD]]*1000)-((TABL12345[[#This Row],[(STORGE DIFF.) AJD]]*1000)+TABL12345[[#This Row],[البخر  AJD]]+(TABL12345[[#This Row],[(A/B + A/S) AJD]]*1000))</f>
        <v>10000</v>
      </c>
      <c r="AE2" s="5"/>
      <c r="AF2" s="31"/>
      <c r="AG2" s="5"/>
      <c r="AH2" s="5">
        <f>TABL12345[[#This Row],[ (RESV. STORGE) BER]]/10</f>
        <v>0</v>
      </c>
      <c r="AI2" s="5"/>
      <c r="AJ2" s="5">
        <f>TABL12345[[#This Row],[(A/B TOT) AJD]]-TABL12345[[#This Row],[BER_ IN]]</f>
        <v>0</v>
      </c>
      <c r="AK2" s="5"/>
      <c r="AL2" s="31"/>
      <c r="AM2" s="5"/>
      <c r="AN2" s="5">
        <f>TABL12345[[#This Row],[ (RESV. STORGE) SER]]/10</f>
        <v>0</v>
      </c>
      <c r="AO2" s="5"/>
      <c r="AP2" s="32">
        <f>TABL12345[[#This Row],[(A/S TOT) AJD]]-TABL12345[[#This Row],[SER_ IN]]</f>
        <v>0</v>
      </c>
    </row>
    <row r="3" spans="1:42" ht="18.75" x14ac:dyDescent="0.25">
      <c r="A3" s="2">
        <v>46754</v>
      </c>
      <c r="B3" s="44"/>
      <c r="C3" s="44"/>
      <c r="D3" s="44"/>
      <c r="E3" s="44"/>
      <c r="F3" s="44"/>
      <c r="G3" s="40"/>
      <c r="H3" s="44"/>
      <c r="I3" s="40"/>
      <c r="J3" s="44"/>
      <c r="K3" s="28">
        <f>TABL12345[[#This Row],[خط (T/B  TOT) SAR]]+TABL12345[[#This Row],[خط (S/S  TOT) SAR2]]</f>
        <v>0</v>
      </c>
      <c r="L3" s="45"/>
      <c r="M3" s="46"/>
      <c r="N3" s="46"/>
      <c r="O3" s="40"/>
      <c r="P3" s="3">
        <f>TABL12345[[#This Row],[خط (S/S  TOT) SAR2]]-TABL12345[[#This Row],[(S/S TOT) AJD]]</f>
        <v>0</v>
      </c>
      <c r="Q3" s="40"/>
      <c r="R3" s="3">
        <f>TABL12345[[#This Row],[خط (T/B  TOT) SAR]]-TABL12345[[#This Row],[(T/B TOT) AJD]]</f>
        <v>0</v>
      </c>
      <c r="S3" s="3">
        <f>TABL12345[[#This Row],[الفرق بين بداية ونهاية خط  S/S]]+TABL12345[[#This Row],[الفرق بين بداية ونهاية خط  T/B]]</f>
        <v>0</v>
      </c>
      <c r="T3" s="3">
        <f t="shared" si="0"/>
        <v>0</v>
      </c>
      <c r="U3" s="44"/>
      <c r="V3" s="44"/>
      <c r="W3" s="3">
        <f t="shared" si="1"/>
        <v>0</v>
      </c>
      <c r="X3" s="3">
        <f t="shared" si="2"/>
        <v>0</v>
      </c>
      <c r="Y3" s="44"/>
      <c r="Z3" s="45"/>
      <c r="AA3" s="3">
        <f>TABL12345[[#This Row],[(RESV. STORGE) AJD]]/10</f>
        <v>0</v>
      </c>
      <c r="AB3" s="45">
        <f>(Z3-Z2)/1000</f>
        <v>0</v>
      </c>
      <c r="AC3" s="5"/>
      <c r="AD3" s="40">
        <f>(TABL12345[[#This Row],[( S/S+T/B) AJD]]*1000)-((TABL12345[[#This Row],[(STORGE DIFF.) AJD]]*1000)+TABL12345[[#This Row],[البخر  AJD]]+(TABL12345[[#This Row],[(A/B + A/S) AJD]]*1000))</f>
        <v>0</v>
      </c>
      <c r="AE3" s="44"/>
      <c r="AF3" s="45"/>
      <c r="AG3" s="45"/>
      <c r="AH3" s="6">
        <f>TABL12345[[#This Row],[ (RESV. STORGE) BER]]/10</f>
        <v>0</v>
      </c>
      <c r="AI3" s="44"/>
      <c r="AJ3" s="45">
        <f>TABL12345[[#This Row],[(A/B TOT) AJD]]-TABL12345[[#This Row],[BER_ IN]]</f>
        <v>0</v>
      </c>
      <c r="AK3" s="45"/>
      <c r="AL3" s="45"/>
      <c r="AM3" s="32"/>
      <c r="AN3" s="32">
        <f>TABL12345[[#This Row],[ (RESV. STORGE) SER]]/10</f>
        <v>0</v>
      </c>
      <c r="AO3" s="68"/>
      <c r="AP3" s="68">
        <f>TABL12345[[#This Row],[(A/S TOT) AJD]]-TABL12345[[#This Row],[SER_ IN]]</f>
        <v>0</v>
      </c>
    </row>
    <row r="4" spans="1:42" ht="18.75" x14ac:dyDescent="0.25">
      <c r="A4" s="2">
        <v>46755</v>
      </c>
      <c r="B4" s="41"/>
      <c r="C4" s="41"/>
      <c r="D4" s="41"/>
      <c r="E4" s="41"/>
      <c r="F4" s="41"/>
      <c r="G4" s="39"/>
      <c r="H4" s="41"/>
      <c r="I4" s="39"/>
      <c r="J4" s="39"/>
      <c r="K4" s="28">
        <f>TABL12345[[#This Row],[خط (T/B  TOT) SAR]]+TABL12345[[#This Row],[خط (S/S  TOT) SAR2]]</f>
        <v>0</v>
      </c>
      <c r="L4" s="41"/>
      <c r="M4" s="42"/>
      <c r="N4" s="42"/>
      <c r="O4" s="39"/>
      <c r="P4" s="3">
        <f>TABL12345[[#This Row],[خط (S/S  TOT) SAR2]]-TABL12345[[#This Row],[(S/S TOT) AJD]]</f>
        <v>0</v>
      </c>
      <c r="Q4" s="39"/>
      <c r="R4" s="3">
        <f>TABL12345[[#This Row],[خط (T/B  TOT) SAR]]-TABL12345[[#This Row],[(T/B TOT) AJD]]</f>
        <v>0</v>
      </c>
      <c r="S4" s="3">
        <f>TABL12345[[#This Row],[الفرق بين بداية ونهاية خط  S/S]]+TABL12345[[#This Row],[الفرق بين بداية ونهاية خط  T/B]]</f>
        <v>0</v>
      </c>
      <c r="T4" s="3">
        <f t="shared" si="0"/>
        <v>0</v>
      </c>
      <c r="U4" s="41"/>
      <c r="V4" s="41"/>
      <c r="W4" s="3">
        <f t="shared" si="1"/>
        <v>0</v>
      </c>
      <c r="X4" s="3">
        <f t="shared" si="2"/>
        <v>0</v>
      </c>
      <c r="Y4" s="41"/>
      <c r="Z4" s="43"/>
      <c r="AA4" s="3">
        <f>TABL12345[[#This Row],[(RESV. STORGE) AJD]]/10</f>
        <v>0</v>
      </c>
      <c r="AB4" s="45">
        <f t="shared" ref="AB4:AB67" si="3">(Z4-Z3)/1000</f>
        <v>0</v>
      </c>
      <c r="AC4" s="5"/>
      <c r="AD4" s="39">
        <f>(TABL12345[[#This Row],[( S/S+T/B) AJD]]*1000)-((TABL12345[[#This Row],[(STORGE DIFF.) AJD]]*1000)+TABL12345[[#This Row],[البخر  AJD]]+(TABL12345[[#This Row],[(A/B + A/S) AJD]]*1000))</f>
        <v>0</v>
      </c>
      <c r="AE4" s="41"/>
      <c r="AF4" s="43"/>
      <c r="AG4" s="43"/>
      <c r="AH4" s="6">
        <f>TABL12345[[#This Row],[ (RESV. STORGE) BER]]/10</f>
        <v>0</v>
      </c>
      <c r="AI4" s="41"/>
      <c r="AJ4" s="43">
        <f>TABL12345[[#This Row],[(A/B TOT) AJD]]-TABL12345[[#This Row],[BER_ IN]]</f>
        <v>0</v>
      </c>
      <c r="AK4" s="43"/>
      <c r="AL4" s="43"/>
      <c r="AM4" s="32"/>
      <c r="AN4" s="32">
        <f>TABL12345[[#This Row],[ (RESV. STORGE) SER]]/10</f>
        <v>0</v>
      </c>
      <c r="AO4" s="68"/>
      <c r="AP4" s="68">
        <f>TABL12345[[#This Row],[(A/S TOT) AJD]]-TABL12345[[#This Row],[SER_ IN]]</f>
        <v>0</v>
      </c>
    </row>
    <row r="5" spans="1:42" ht="18.75" x14ac:dyDescent="0.25">
      <c r="A5" s="2">
        <v>46756</v>
      </c>
      <c r="B5" s="44"/>
      <c r="C5" s="44"/>
      <c r="D5" s="44"/>
      <c r="E5" s="44"/>
      <c r="F5" s="44"/>
      <c r="G5" s="40"/>
      <c r="H5" s="44"/>
      <c r="I5" s="40"/>
      <c r="J5" s="44"/>
      <c r="K5" s="28">
        <f>TABL12345[[#This Row],[خط (T/B  TOT) SAR]]+TABL12345[[#This Row],[خط (S/S  TOT) SAR2]]</f>
        <v>0</v>
      </c>
      <c r="L5" s="45"/>
      <c r="M5" s="46"/>
      <c r="N5" s="46"/>
      <c r="O5" s="40"/>
      <c r="P5" s="3">
        <f>TABL12345[[#This Row],[خط (S/S  TOT) SAR2]]-TABL12345[[#This Row],[(S/S TOT) AJD]]</f>
        <v>0</v>
      </c>
      <c r="Q5" s="40"/>
      <c r="R5" s="3">
        <f>TABL12345[[#This Row],[خط (T/B  TOT) SAR]]-TABL12345[[#This Row],[(T/B TOT) AJD]]</f>
        <v>0</v>
      </c>
      <c r="S5" s="3">
        <f>TABL12345[[#This Row],[الفرق بين بداية ونهاية خط  S/S]]+TABL12345[[#This Row],[الفرق بين بداية ونهاية خط  T/B]]</f>
        <v>0</v>
      </c>
      <c r="T5" s="3">
        <f t="shared" si="0"/>
        <v>0</v>
      </c>
      <c r="U5" s="44"/>
      <c r="V5" s="44"/>
      <c r="W5" s="3">
        <f t="shared" si="1"/>
        <v>0</v>
      </c>
      <c r="X5" s="3">
        <f t="shared" si="2"/>
        <v>0</v>
      </c>
      <c r="Y5" s="44"/>
      <c r="Z5" s="45"/>
      <c r="AA5" s="3">
        <f>TABL12345[[#This Row],[(RESV. STORGE) AJD]]/10</f>
        <v>0</v>
      </c>
      <c r="AB5" s="45">
        <f t="shared" si="3"/>
        <v>0</v>
      </c>
      <c r="AC5" s="5"/>
      <c r="AD5" s="40">
        <f>(TABL12345[[#This Row],[( S/S+T/B) AJD]]*1000)-((TABL12345[[#This Row],[(STORGE DIFF.) AJD]]*1000)+TABL12345[[#This Row],[البخر  AJD]]+(TABL12345[[#This Row],[(A/B + A/S) AJD]]*1000))</f>
        <v>0</v>
      </c>
      <c r="AE5" s="44"/>
      <c r="AF5" s="45"/>
      <c r="AG5" s="45"/>
      <c r="AH5" s="6">
        <f>TABL12345[[#This Row],[ (RESV. STORGE) BER]]/10</f>
        <v>0</v>
      </c>
      <c r="AI5" s="44"/>
      <c r="AJ5" s="45">
        <f>TABL12345[[#This Row],[(A/B TOT) AJD]]-TABL12345[[#This Row],[BER_ IN]]</f>
        <v>0</v>
      </c>
      <c r="AK5" s="45"/>
      <c r="AL5" s="45"/>
      <c r="AM5" s="32"/>
      <c r="AN5" s="32">
        <f>TABL12345[[#This Row],[ (RESV. STORGE) SER]]/10</f>
        <v>0</v>
      </c>
      <c r="AO5" s="68"/>
      <c r="AP5" s="68">
        <f>TABL12345[[#This Row],[(A/S TOT) AJD]]-TABL12345[[#This Row],[SER_ IN]]</f>
        <v>0</v>
      </c>
    </row>
    <row r="6" spans="1:42" ht="18.75" x14ac:dyDescent="0.25">
      <c r="A6" s="2">
        <v>46757</v>
      </c>
      <c r="B6" s="41"/>
      <c r="C6" s="41"/>
      <c r="D6" s="41"/>
      <c r="E6" s="41"/>
      <c r="F6" s="41"/>
      <c r="G6" s="39"/>
      <c r="H6" s="41"/>
      <c r="I6" s="39"/>
      <c r="J6" s="39"/>
      <c r="K6" s="28">
        <f>TABL12345[[#This Row],[خط (T/B  TOT) SAR]]+TABL12345[[#This Row],[خط (S/S  TOT) SAR2]]</f>
        <v>0</v>
      </c>
      <c r="L6" s="41"/>
      <c r="M6" s="42"/>
      <c r="N6" s="42"/>
      <c r="O6" s="39"/>
      <c r="P6" s="3">
        <f>TABL12345[[#This Row],[خط (S/S  TOT) SAR2]]-TABL12345[[#This Row],[(S/S TOT) AJD]]</f>
        <v>0</v>
      </c>
      <c r="Q6" s="39"/>
      <c r="R6" s="3">
        <f>TABL12345[[#This Row],[خط (T/B  TOT) SAR]]-TABL12345[[#This Row],[(T/B TOT) AJD]]</f>
        <v>0</v>
      </c>
      <c r="S6" s="3">
        <f>TABL12345[[#This Row],[الفرق بين بداية ونهاية خط  S/S]]+TABL12345[[#This Row],[الفرق بين بداية ونهاية خط  T/B]]</f>
        <v>0</v>
      </c>
      <c r="T6" s="3">
        <f t="shared" si="0"/>
        <v>0</v>
      </c>
      <c r="U6" s="41"/>
      <c r="V6" s="41"/>
      <c r="W6" s="3">
        <f t="shared" si="1"/>
        <v>0</v>
      </c>
      <c r="X6" s="3">
        <f t="shared" si="2"/>
        <v>0</v>
      </c>
      <c r="Y6" s="41"/>
      <c r="Z6" s="43"/>
      <c r="AA6" s="3">
        <f>TABL12345[[#This Row],[(RESV. STORGE) AJD]]/10</f>
        <v>0</v>
      </c>
      <c r="AB6" s="45">
        <f t="shared" si="3"/>
        <v>0</v>
      </c>
      <c r="AC6" s="5"/>
      <c r="AD6" s="39">
        <f>(TABL12345[[#This Row],[( S/S+T/B) AJD]]*1000)-((TABL12345[[#This Row],[(STORGE DIFF.) AJD]]*1000)+TABL12345[[#This Row],[البخر  AJD]]+(TABL12345[[#This Row],[(A/B + A/S) AJD]]*1000))</f>
        <v>0</v>
      </c>
      <c r="AE6" s="41"/>
      <c r="AF6" s="43"/>
      <c r="AG6" s="43"/>
      <c r="AH6" s="6">
        <f>TABL12345[[#This Row],[ (RESV. STORGE) BER]]/10</f>
        <v>0</v>
      </c>
      <c r="AI6" s="41"/>
      <c r="AJ6" s="43">
        <f>TABL12345[[#This Row],[(A/B TOT) AJD]]-TABL12345[[#This Row],[BER_ IN]]</f>
        <v>0</v>
      </c>
      <c r="AK6" s="43"/>
      <c r="AL6" s="43"/>
      <c r="AM6" s="32"/>
      <c r="AN6" s="32">
        <f>TABL12345[[#This Row],[ (RESV. STORGE) SER]]/10</f>
        <v>0</v>
      </c>
      <c r="AO6" s="68"/>
      <c r="AP6" s="68">
        <f>TABL12345[[#This Row],[(A/S TOT) AJD]]-TABL12345[[#This Row],[SER_ IN]]</f>
        <v>0</v>
      </c>
    </row>
    <row r="7" spans="1:42" ht="18.75" x14ac:dyDescent="0.25">
      <c r="A7" s="2">
        <v>46758</v>
      </c>
      <c r="B7" s="44"/>
      <c r="C7" s="44"/>
      <c r="D7" s="44"/>
      <c r="E7" s="44"/>
      <c r="F7" s="44"/>
      <c r="G7" s="40"/>
      <c r="H7" s="44"/>
      <c r="I7" s="40"/>
      <c r="J7" s="44"/>
      <c r="K7" s="28">
        <f>TABL12345[[#This Row],[خط (T/B  TOT) SAR]]+TABL12345[[#This Row],[خط (S/S  TOT) SAR2]]</f>
        <v>0</v>
      </c>
      <c r="L7" s="45"/>
      <c r="M7" s="46"/>
      <c r="N7" s="46"/>
      <c r="O7" s="40"/>
      <c r="P7" s="3">
        <f>TABL12345[[#This Row],[خط (S/S  TOT) SAR2]]-TABL12345[[#This Row],[(S/S TOT) AJD]]</f>
        <v>0</v>
      </c>
      <c r="Q7" s="40"/>
      <c r="R7" s="3">
        <f>TABL12345[[#This Row],[خط (T/B  TOT) SAR]]-TABL12345[[#This Row],[(T/B TOT) AJD]]</f>
        <v>0</v>
      </c>
      <c r="S7" s="3">
        <f>TABL12345[[#This Row],[الفرق بين بداية ونهاية خط  S/S]]+TABL12345[[#This Row],[الفرق بين بداية ونهاية خط  T/B]]</f>
        <v>0</v>
      </c>
      <c r="T7" s="3">
        <f t="shared" si="0"/>
        <v>0</v>
      </c>
      <c r="U7" s="44"/>
      <c r="V7" s="44"/>
      <c r="W7" s="3">
        <f t="shared" si="1"/>
        <v>0</v>
      </c>
      <c r="X7" s="3">
        <f t="shared" si="2"/>
        <v>0</v>
      </c>
      <c r="Y7" s="67"/>
      <c r="Z7" s="45"/>
      <c r="AA7" s="3">
        <f>TABL12345[[#This Row],[(RESV. STORGE) AJD]]/10</f>
        <v>0</v>
      </c>
      <c r="AB7" s="45">
        <f t="shared" si="3"/>
        <v>0</v>
      </c>
      <c r="AC7" s="5"/>
      <c r="AD7" s="40">
        <f>(TABL12345[[#This Row],[( S/S+T/B) AJD]]*1000)-((TABL12345[[#This Row],[(STORGE DIFF.) AJD]]*1000)+TABL12345[[#This Row],[البخر  AJD]]+(TABL12345[[#This Row],[(A/B + A/S) AJD]]*1000))</f>
        <v>0</v>
      </c>
      <c r="AE7" s="44"/>
      <c r="AF7" s="45"/>
      <c r="AG7" s="45"/>
      <c r="AH7" s="6">
        <f>TABL12345[[#This Row],[ (RESV. STORGE) BER]]/10</f>
        <v>0</v>
      </c>
      <c r="AI7" s="44"/>
      <c r="AJ7" s="45">
        <f>TABL12345[[#This Row],[(A/B TOT) AJD]]-TABL12345[[#This Row],[BER_ IN]]</f>
        <v>0</v>
      </c>
      <c r="AK7" s="45"/>
      <c r="AL7" s="45"/>
      <c r="AM7" s="32"/>
      <c r="AN7" s="32">
        <f>TABL12345[[#This Row],[ (RESV. STORGE) SER]]/10</f>
        <v>0</v>
      </c>
      <c r="AO7" s="68"/>
      <c r="AP7" s="68">
        <f>TABL12345[[#This Row],[(A/S TOT) AJD]]-TABL12345[[#This Row],[SER_ IN]]</f>
        <v>0</v>
      </c>
    </row>
    <row r="8" spans="1:42" ht="18.75" x14ac:dyDescent="0.25">
      <c r="A8" s="2">
        <v>46759</v>
      </c>
      <c r="B8" s="41"/>
      <c r="C8" s="41"/>
      <c r="D8" s="41"/>
      <c r="E8" s="41"/>
      <c r="F8" s="41"/>
      <c r="G8" s="39"/>
      <c r="H8" s="41"/>
      <c r="I8" s="39"/>
      <c r="J8" s="39"/>
      <c r="K8" s="28">
        <f>TABL12345[[#This Row],[خط (T/B  TOT) SAR]]+TABL12345[[#This Row],[خط (S/S  TOT) SAR2]]</f>
        <v>0</v>
      </c>
      <c r="L8" s="41"/>
      <c r="M8" s="42"/>
      <c r="N8" s="42"/>
      <c r="O8" s="39"/>
      <c r="P8" s="3">
        <f>TABL12345[[#This Row],[خط (S/S  TOT) SAR2]]-TABL12345[[#This Row],[(S/S TOT) AJD]]</f>
        <v>0</v>
      </c>
      <c r="Q8" s="39"/>
      <c r="R8" s="3">
        <f>TABL12345[[#This Row],[خط (T/B  TOT) SAR]]-TABL12345[[#This Row],[(T/B TOT) AJD]]</f>
        <v>0</v>
      </c>
      <c r="S8" s="3">
        <f>TABL12345[[#This Row],[الفرق بين بداية ونهاية خط  S/S]]+TABL12345[[#This Row],[الفرق بين بداية ونهاية خط  T/B]]</f>
        <v>0</v>
      </c>
      <c r="T8" s="3">
        <f t="shared" si="0"/>
        <v>0</v>
      </c>
      <c r="U8" s="41"/>
      <c r="V8" s="41"/>
      <c r="W8" s="3">
        <f t="shared" si="1"/>
        <v>0</v>
      </c>
      <c r="X8" s="3">
        <f t="shared" si="2"/>
        <v>0</v>
      </c>
      <c r="Y8" s="41"/>
      <c r="Z8" s="43"/>
      <c r="AA8" s="3">
        <f>TABL12345[[#This Row],[(RESV. STORGE) AJD]]/10</f>
        <v>0</v>
      </c>
      <c r="AB8" s="45">
        <f t="shared" si="3"/>
        <v>0</v>
      </c>
      <c r="AC8" s="5"/>
      <c r="AD8" s="39">
        <f>(TABL12345[[#This Row],[( S/S+T/B) AJD]]*1000)-((TABL12345[[#This Row],[(STORGE DIFF.) AJD]]*1000)+TABL12345[[#This Row],[البخر  AJD]]+(TABL12345[[#This Row],[(A/B + A/S) AJD]]*1000))</f>
        <v>0</v>
      </c>
      <c r="AE8" s="41"/>
      <c r="AF8" s="43"/>
      <c r="AG8" s="43"/>
      <c r="AH8" s="6">
        <f>TABL12345[[#This Row],[ (RESV. STORGE) BER]]/10</f>
        <v>0</v>
      </c>
      <c r="AI8" s="41"/>
      <c r="AJ8" s="43">
        <f>TABL12345[[#This Row],[(A/B TOT) AJD]]-TABL12345[[#This Row],[BER_ IN]]</f>
        <v>0</v>
      </c>
      <c r="AK8" s="43"/>
      <c r="AL8" s="43"/>
      <c r="AM8" s="32"/>
      <c r="AN8" s="32">
        <f>TABL12345[[#This Row],[ (RESV. STORGE) SER]]/10</f>
        <v>0</v>
      </c>
      <c r="AO8" s="68"/>
      <c r="AP8" s="68">
        <f>TABL12345[[#This Row],[(A/S TOT) AJD]]-TABL12345[[#This Row],[SER_ IN]]</f>
        <v>0</v>
      </c>
    </row>
    <row r="9" spans="1:42" ht="18.75" x14ac:dyDescent="0.25">
      <c r="A9" s="2">
        <v>46760</v>
      </c>
      <c r="B9" s="44"/>
      <c r="C9" s="44"/>
      <c r="D9" s="44"/>
      <c r="E9" s="44"/>
      <c r="F9" s="44"/>
      <c r="G9" s="40"/>
      <c r="H9" s="44"/>
      <c r="I9" s="40"/>
      <c r="J9" s="44"/>
      <c r="K9" s="28">
        <f>TABL12345[[#This Row],[خط (T/B  TOT) SAR]]+TABL12345[[#This Row],[خط (S/S  TOT) SAR2]]</f>
        <v>0</v>
      </c>
      <c r="L9" s="45"/>
      <c r="M9" s="46"/>
      <c r="N9" s="46"/>
      <c r="O9" s="40"/>
      <c r="P9" s="3">
        <f>TABL12345[[#This Row],[خط (S/S  TOT) SAR2]]-TABL12345[[#This Row],[(S/S TOT) AJD]]</f>
        <v>0</v>
      </c>
      <c r="Q9" s="40"/>
      <c r="R9" s="3">
        <f>TABL12345[[#This Row],[خط (T/B  TOT) SAR]]-TABL12345[[#This Row],[(T/B TOT) AJD]]</f>
        <v>0</v>
      </c>
      <c r="S9" s="3">
        <f>TABL12345[[#This Row],[الفرق بين بداية ونهاية خط  S/S]]+TABL12345[[#This Row],[الفرق بين بداية ونهاية خط  T/B]]</f>
        <v>0</v>
      </c>
      <c r="T9" s="3">
        <f t="shared" si="0"/>
        <v>0</v>
      </c>
      <c r="U9" s="44"/>
      <c r="V9" s="44"/>
      <c r="W9" s="3">
        <f t="shared" si="1"/>
        <v>0</v>
      </c>
      <c r="X9" s="3">
        <f t="shared" si="2"/>
        <v>0</v>
      </c>
      <c r="Y9" s="44"/>
      <c r="Z9" s="45"/>
      <c r="AA9" s="3">
        <f>TABL12345[[#This Row],[(RESV. STORGE) AJD]]/10</f>
        <v>0</v>
      </c>
      <c r="AB9" s="45">
        <f t="shared" si="3"/>
        <v>0</v>
      </c>
      <c r="AC9" s="5"/>
      <c r="AD9" s="40">
        <f>(TABL12345[[#This Row],[( S/S+T/B) AJD]]*1000)-((TABL12345[[#This Row],[(STORGE DIFF.) AJD]]*1000)+TABL12345[[#This Row],[البخر  AJD]]+(TABL12345[[#This Row],[(A/B + A/S) AJD]]*1000))</f>
        <v>0</v>
      </c>
      <c r="AE9" s="44"/>
      <c r="AF9" s="45"/>
      <c r="AG9" s="45"/>
      <c r="AH9" s="6">
        <f>TABL12345[[#This Row],[ (RESV. STORGE) BER]]/10</f>
        <v>0</v>
      </c>
      <c r="AI9" s="44"/>
      <c r="AJ9" s="45">
        <f>TABL12345[[#This Row],[(A/B TOT) AJD]]-TABL12345[[#This Row],[BER_ IN]]</f>
        <v>0</v>
      </c>
      <c r="AK9" s="45"/>
      <c r="AL9" s="45"/>
      <c r="AM9" s="32"/>
      <c r="AN9" s="32">
        <f>TABL12345[[#This Row],[ (RESV. STORGE) SER]]/10</f>
        <v>0</v>
      </c>
      <c r="AO9" s="68"/>
      <c r="AP9" s="68">
        <f>TABL12345[[#This Row],[(A/S TOT) AJD]]-TABL12345[[#This Row],[SER_ IN]]</f>
        <v>0</v>
      </c>
    </row>
    <row r="10" spans="1:42" ht="18.75" x14ac:dyDescent="0.25">
      <c r="A10" s="2">
        <v>46761</v>
      </c>
      <c r="B10" s="41"/>
      <c r="C10" s="41"/>
      <c r="D10" s="41"/>
      <c r="E10" s="41"/>
      <c r="F10" s="41"/>
      <c r="G10" s="39"/>
      <c r="H10" s="41"/>
      <c r="I10" s="39"/>
      <c r="J10" s="39"/>
      <c r="K10" s="28">
        <f>TABL12345[[#This Row],[خط (T/B  TOT) SAR]]+TABL12345[[#This Row],[خط (S/S  TOT) SAR2]]</f>
        <v>0</v>
      </c>
      <c r="L10" s="41"/>
      <c r="M10" s="42"/>
      <c r="N10" s="42"/>
      <c r="O10" s="39"/>
      <c r="P10" s="3">
        <f>TABL12345[[#This Row],[خط (S/S  TOT) SAR2]]-TABL12345[[#This Row],[(S/S TOT) AJD]]</f>
        <v>0</v>
      </c>
      <c r="Q10" s="39"/>
      <c r="R10" s="3">
        <f>TABL12345[[#This Row],[خط (T/B  TOT) SAR]]-TABL12345[[#This Row],[(T/B TOT) AJD]]</f>
        <v>0</v>
      </c>
      <c r="S10" s="3">
        <f>TABL12345[[#This Row],[الفرق بين بداية ونهاية خط  S/S]]+TABL12345[[#This Row],[الفرق بين بداية ونهاية خط  T/B]]</f>
        <v>0</v>
      </c>
      <c r="T10" s="3">
        <f t="shared" si="0"/>
        <v>0</v>
      </c>
      <c r="U10" s="41"/>
      <c r="V10" s="41"/>
      <c r="W10" s="3">
        <f t="shared" si="1"/>
        <v>0</v>
      </c>
      <c r="X10" s="3">
        <f t="shared" si="2"/>
        <v>0</v>
      </c>
      <c r="Y10" s="41"/>
      <c r="Z10" s="43"/>
      <c r="AA10" s="3">
        <f>TABL12345[[#This Row],[(RESV. STORGE) AJD]]/10</f>
        <v>0</v>
      </c>
      <c r="AB10" s="45">
        <f t="shared" si="3"/>
        <v>0</v>
      </c>
      <c r="AC10" s="5"/>
      <c r="AD10" s="39">
        <f>(TABL12345[[#This Row],[( S/S+T/B) AJD]]*1000)-((TABL12345[[#This Row],[(STORGE DIFF.) AJD]]*1000)+TABL12345[[#This Row],[البخر  AJD]]+(TABL12345[[#This Row],[(A/B + A/S) AJD]]*1000))</f>
        <v>0</v>
      </c>
      <c r="AE10" s="41"/>
      <c r="AF10" s="43"/>
      <c r="AG10" s="43"/>
      <c r="AH10" s="6">
        <f>TABL12345[[#This Row],[ (RESV. STORGE) BER]]/10</f>
        <v>0</v>
      </c>
      <c r="AI10" s="41"/>
      <c r="AJ10" s="43">
        <f>TABL12345[[#This Row],[(A/B TOT) AJD]]-TABL12345[[#This Row],[BER_ IN]]</f>
        <v>0</v>
      </c>
      <c r="AK10" s="43"/>
      <c r="AL10" s="43"/>
      <c r="AM10" s="32"/>
      <c r="AN10" s="32">
        <f>TABL12345[[#This Row],[ (RESV. STORGE) SER]]/10</f>
        <v>0</v>
      </c>
      <c r="AO10" s="68"/>
      <c r="AP10" s="68">
        <f>TABL12345[[#This Row],[(A/S TOT) AJD]]-TABL12345[[#This Row],[SER_ IN]]</f>
        <v>0</v>
      </c>
    </row>
    <row r="11" spans="1:42" ht="18.75" x14ac:dyDescent="0.25">
      <c r="A11" s="2">
        <v>46762</v>
      </c>
      <c r="B11" s="44"/>
      <c r="C11" s="44"/>
      <c r="D11" s="44"/>
      <c r="E11" s="44"/>
      <c r="F11" s="44"/>
      <c r="G11" s="40"/>
      <c r="H11" s="44"/>
      <c r="I11" s="40"/>
      <c r="J11" s="44"/>
      <c r="K11" s="28">
        <f>TABL12345[[#This Row],[خط (T/B  TOT) SAR]]+TABL12345[[#This Row],[خط (S/S  TOT) SAR2]]</f>
        <v>0</v>
      </c>
      <c r="L11" s="45"/>
      <c r="M11" s="46"/>
      <c r="N11" s="46"/>
      <c r="O11" s="40"/>
      <c r="P11" s="3">
        <f>TABL12345[[#This Row],[خط (S/S  TOT) SAR2]]-TABL12345[[#This Row],[(S/S TOT) AJD]]</f>
        <v>0</v>
      </c>
      <c r="Q11" s="40"/>
      <c r="R11" s="3">
        <f>TABL12345[[#This Row],[خط (T/B  TOT) SAR]]-TABL12345[[#This Row],[(T/B TOT) AJD]]</f>
        <v>0</v>
      </c>
      <c r="S11" s="3">
        <f>TABL12345[[#This Row],[الفرق بين بداية ونهاية خط  S/S]]+TABL12345[[#This Row],[الفرق بين بداية ونهاية خط  T/B]]</f>
        <v>0</v>
      </c>
      <c r="T11" s="3">
        <f t="shared" si="0"/>
        <v>0</v>
      </c>
      <c r="U11" s="44"/>
      <c r="V11" s="44"/>
      <c r="W11" s="3">
        <f t="shared" si="1"/>
        <v>0</v>
      </c>
      <c r="X11" s="3">
        <f t="shared" si="2"/>
        <v>0</v>
      </c>
      <c r="Y11" s="44"/>
      <c r="Z11" s="45"/>
      <c r="AA11" s="3">
        <f>TABL12345[[#This Row],[(RESV. STORGE) AJD]]/10</f>
        <v>0</v>
      </c>
      <c r="AB11" s="45">
        <f t="shared" si="3"/>
        <v>0</v>
      </c>
      <c r="AC11" s="5"/>
      <c r="AD11" s="40">
        <f>(TABL12345[[#This Row],[( S/S+T/B) AJD]]*1000)-((TABL12345[[#This Row],[(STORGE DIFF.) AJD]]*1000)+TABL12345[[#This Row],[البخر  AJD]]+(TABL12345[[#This Row],[(A/B + A/S) AJD]]*1000))</f>
        <v>0</v>
      </c>
      <c r="AE11" s="44"/>
      <c r="AF11" s="45"/>
      <c r="AG11" s="45"/>
      <c r="AH11" s="6">
        <f>TABL12345[[#This Row],[ (RESV. STORGE) BER]]/10</f>
        <v>0</v>
      </c>
      <c r="AI11" s="44"/>
      <c r="AJ11" s="45">
        <f>TABL12345[[#This Row],[(A/B TOT) AJD]]-TABL12345[[#This Row],[BER_ IN]]</f>
        <v>0</v>
      </c>
      <c r="AK11" s="45"/>
      <c r="AL11" s="45"/>
      <c r="AM11" s="32"/>
      <c r="AN11" s="32">
        <f>TABL12345[[#This Row],[ (RESV. STORGE) SER]]/10</f>
        <v>0</v>
      </c>
      <c r="AO11" s="68"/>
      <c r="AP11" s="68">
        <f>TABL12345[[#This Row],[(A/S TOT) AJD]]-TABL12345[[#This Row],[SER_ IN]]</f>
        <v>0</v>
      </c>
    </row>
    <row r="12" spans="1:42" ht="18.75" x14ac:dyDescent="0.25">
      <c r="A12" s="2">
        <v>46763</v>
      </c>
      <c r="B12" s="41"/>
      <c r="C12" s="41"/>
      <c r="D12" s="41"/>
      <c r="E12" s="41"/>
      <c r="F12" s="41"/>
      <c r="G12" s="39"/>
      <c r="H12" s="41"/>
      <c r="I12" s="39"/>
      <c r="J12" s="39"/>
      <c r="K12" s="28">
        <f>TABL12345[[#This Row],[خط (T/B  TOT) SAR]]+TABL12345[[#This Row],[خط (S/S  TOT) SAR2]]</f>
        <v>0</v>
      </c>
      <c r="L12" s="41"/>
      <c r="M12" s="42"/>
      <c r="N12" s="42"/>
      <c r="O12" s="39"/>
      <c r="P12" s="3">
        <f>TABL12345[[#This Row],[خط (S/S  TOT) SAR2]]-TABL12345[[#This Row],[(S/S TOT) AJD]]</f>
        <v>0</v>
      </c>
      <c r="Q12" s="39"/>
      <c r="R12" s="3">
        <f>TABL12345[[#This Row],[خط (T/B  TOT) SAR]]-TABL12345[[#This Row],[(T/B TOT) AJD]]</f>
        <v>0</v>
      </c>
      <c r="S12" s="3">
        <f>TABL12345[[#This Row],[الفرق بين بداية ونهاية خط  S/S]]+TABL12345[[#This Row],[الفرق بين بداية ونهاية خط  T/B]]</f>
        <v>0</v>
      </c>
      <c r="T12" s="3">
        <f t="shared" si="0"/>
        <v>0</v>
      </c>
      <c r="U12" s="41"/>
      <c r="V12" s="41"/>
      <c r="W12" s="3">
        <f t="shared" si="1"/>
        <v>0</v>
      </c>
      <c r="X12" s="3">
        <f t="shared" si="2"/>
        <v>0</v>
      </c>
      <c r="Y12" s="41"/>
      <c r="Z12" s="43"/>
      <c r="AA12" s="3">
        <f>TABL12345[[#This Row],[(RESV. STORGE) AJD]]/10</f>
        <v>0</v>
      </c>
      <c r="AB12" s="45">
        <f t="shared" si="3"/>
        <v>0</v>
      </c>
      <c r="AC12" s="5"/>
      <c r="AD12" s="39">
        <f>(TABL12345[[#This Row],[( S/S+T/B) AJD]]*1000)-((TABL12345[[#This Row],[(STORGE DIFF.) AJD]]*1000)+TABL12345[[#This Row],[البخر  AJD]]+(TABL12345[[#This Row],[(A/B + A/S) AJD]]*1000))</f>
        <v>0</v>
      </c>
      <c r="AE12" s="41"/>
      <c r="AF12" s="43"/>
      <c r="AG12" s="68"/>
      <c r="AH12" s="6">
        <f>TABL12345[[#This Row],[ (RESV. STORGE) BER]]/10</f>
        <v>0</v>
      </c>
      <c r="AI12" s="41"/>
      <c r="AJ12" s="68">
        <f>TABL12345[[#This Row],[(A/B TOT) AJD]]-TABL12345[[#This Row],[BER_ IN]]</f>
        <v>0</v>
      </c>
      <c r="AK12" s="43"/>
      <c r="AL12" s="43"/>
      <c r="AM12" s="32"/>
      <c r="AN12" s="32">
        <f>TABL12345[[#This Row],[ (RESV. STORGE) SER]]/10</f>
        <v>0</v>
      </c>
      <c r="AO12" s="68"/>
      <c r="AP12" s="68">
        <f>TABL12345[[#This Row],[(A/S TOT) AJD]]-TABL12345[[#This Row],[SER_ IN]]</f>
        <v>0</v>
      </c>
    </row>
    <row r="13" spans="1:42" ht="18.75" x14ac:dyDescent="0.25">
      <c r="A13" s="2">
        <v>46764</v>
      </c>
      <c r="B13" s="44"/>
      <c r="C13" s="44"/>
      <c r="D13" s="44"/>
      <c r="E13" s="44"/>
      <c r="F13" s="44"/>
      <c r="G13" s="40"/>
      <c r="H13" s="44"/>
      <c r="I13" s="40"/>
      <c r="J13" s="44"/>
      <c r="K13" s="28">
        <f>TABL12345[[#This Row],[خط (T/B  TOT) SAR]]+TABL12345[[#This Row],[خط (S/S  TOT) SAR2]]</f>
        <v>0</v>
      </c>
      <c r="L13" s="45"/>
      <c r="M13" s="46"/>
      <c r="N13" s="46"/>
      <c r="O13" s="40"/>
      <c r="P13" s="3">
        <f>TABL12345[[#This Row],[خط (S/S  TOT) SAR2]]-TABL12345[[#This Row],[(S/S TOT) AJD]]</f>
        <v>0</v>
      </c>
      <c r="Q13" s="40"/>
      <c r="R13" s="3">
        <f>TABL12345[[#This Row],[خط (T/B  TOT) SAR]]-TABL12345[[#This Row],[(T/B TOT) AJD]]</f>
        <v>0</v>
      </c>
      <c r="S13" s="3">
        <f>TABL12345[[#This Row],[الفرق بين بداية ونهاية خط  S/S]]+TABL12345[[#This Row],[الفرق بين بداية ونهاية خط  T/B]]</f>
        <v>0</v>
      </c>
      <c r="T13" s="3">
        <f t="shared" si="0"/>
        <v>0</v>
      </c>
      <c r="U13" s="44"/>
      <c r="V13" s="44"/>
      <c r="W13" s="3">
        <f t="shared" si="1"/>
        <v>0</v>
      </c>
      <c r="X13" s="3">
        <f t="shared" si="2"/>
        <v>0</v>
      </c>
      <c r="Y13" s="44"/>
      <c r="Z13" s="45"/>
      <c r="AA13" s="3">
        <f>TABL12345[[#This Row],[(RESV. STORGE) AJD]]/10</f>
        <v>0</v>
      </c>
      <c r="AB13" s="45">
        <f t="shared" si="3"/>
        <v>0</v>
      </c>
      <c r="AC13" s="5"/>
      <c r="AD13" s="40">
        <f>(TABL12345[[#This Row],[( S/S+T/B) AJD]]*1000)-((TABL12345[[#This Row],[(STORGE DIFF.) AJD]]*1000)+TABL12345[[#This Row],[البخر  AJD]]+(TABL12345[[#This Row],[(A/B + A/S) AJD]]*1000))</f>
        <v>0</v>
      </c>
      <c r="AE13" s="44"/>
      <c r="AF13" s="45"/>
      <c r="AG13" s="45"/>
      <c r="AH13" s="6">
        <f>TABL12345[[#This Row],[ (RESV. STORGE) BER]]/10</f>
        <v>0</v>
      </c>
      <c r="AI13" s="44"/>
      <c r="AJ13" s="45">
        <f>TABL12345[[#This Row],[(A/B TOT) AJD]]-TABL12345[[#This Row],[BER_ IN]]</f>
        <v>0</v>
      </c>
      <c r="AK13" s="45"/>
      <c r="AL13" s="45"/>
      <c r="AM13" s="32"/>
      <c r="AN13" s="32">
        <f>TABL12345[[#This Row],[ (RESV. STORGE) SER]]/10</f>
        <v>0</v>
      </c>
      <c r="AO13" s="68"/>
      <c r="AP13" s="68">
        <f>TABL12345[[#This Row],[(A/S TOT) AJD]]-TABL12345[[#This Row],[SER_ IN]]</f>
        <v>0</v>
      </c>
    </row>
    <row r="14" spans="1:42" ht="18.75" x14ac:dyDescent="0.25">
      <c r="A14" s="2">
        <v>46765</v>
      </c>
      <c r="B14" s="41"/>
      <c r="C14" s="41"/>
      <c r="D14" s="41"/>
      <c r="E14" s="41"/>
      <c r="F14" s="41"/>
      <c r="G14" s="39"/>
      <c r="H14" s="41"/>
      <c r="I14" s="39"/>
      <c r="J14" s="39"/>
      <c r="K14" s="28">
        <f>TABL12345[[#This Row],[خط (T/B  TOT) SAR]]+TABL12345[[#This Row],[خط (S/S  TOT) SAR2]]</f>
        <v>0</v>
      </c>
      <c r="L14" s="41"/>
      <c r="M14" s="42"/>
      <c r="N14" s="42"/>
      <c r="O14" s="39"/>
      <c r="P14" s="3">
        <f>TABL12345[[#This Row],[خط (S/S  TOT) SAR2]]-TABL12345[[#This Row],[(S/S TOT) AJD]]</f>
        <v>0</v>
      </c>
      <c r="Q14" s="39"/>
      <c r="R14" s="3">
        <f>TABL12345[[#This Row],[خط (T/B  TOT) SAR]]-TABL12345[[#This Row],[(T/B TOT) AJD]]</f>
        <v>0</v>
      </c>
      <c r="S14" s="3">
        <f>TABL12345[[#This Row],[الفرق بين بداية ونهاية خط  S/S]]+TABL12345[[#This Row],[الفرق بين بداية ونهاية خط  T/B]]</f>
        <v>0</v>
      </c>
      <c r="T14" s="3">
        <f t="shared" si="0"/>
        <v>0</v>
      </c>
      <c r="U14" s="41"/>
      <c r="V14" s="41"/>
      <c r="W14" s="3">
        <f t="shared" si="1"/>
        <v>0</v>
      </c>
      <c r="X14" s="3">
        <f t="shared" si="2"/>
        <v>0</v>
      </c>
      <c r="Y14" s="41"/>
      <c r="Z14" s="43"/>
      <c r="AA14" s="3">
        <f>TABL12345[[#This Row],[(RESV. STORGE) AJD]]/10</f>
        <v>0</v>
      </c>
      <c r="AB14" s="45">
        <f t="shared" si="3"/>
        <v>0</v>
      </c>
      <c r="AC14" s="5"/>
      <c r="AD14" s="39">
        <f>(TABL12345[[#This Row],[( S/S+T/B) AJD]]*1000)-((TABL12345[[#This Row],[(STORGE DIFF.) AJD]]*1000)+TABL12345[[#This Row],[البخر  AJD]]+(TABL12345[[#This Row],[(A/B + A/S) AJD]]*1000))</f>
        <v>0</v>
      </c>
      <c r="AE14" s="41"/>
      <c r="AF14" s="43"/>
      <c r="AG14" s="43"/>
      <c r="AH14" s="6">
        <f>TABL12345[[#This Row],[ (RESV. STORGE) BER]]/10</f>
        <v>0</v>
      </c>
      <c r="AI14" s="41"/>
      <c r="AJ14" s="43">
        <f>TABL12345[[#This Row],[(A/B TOT) AJD]]-TABL12345[[#This Row],[BER_ IN]]</f>
        <v>0</v>
      </c>
      <c r="AK14" s="43"/>
      <c r="AL14" s="43"/>
      <c r="AM14" s="32"/>
      <c r="AN14" s="32">
        <f>TABL12345[[#This Row],[ (RESV. STORGE) SER]]/10</f>
        <v>0</v>
      </c>
      <c r="AO14" s="68"/>
      <c r="AP14" s="68">
        <f>TABL12345[[#This Row],[(A/S TOT) AJD]]-TABL12345[[#This Row],[SER_ IN]]</f>
        <v>0</v>
      </c>
    </row>
    <row r="15" spans="1:42" ht="18.75" x14ac:dyDescent="0.25">
      <c r="A15" s="2">
        <v>46766</v>
      </c>
      <c r="B15" s="44"/>
      <c r="C15" s="44"/>
      <c r="D15" s="44"/>
      <c r="E15" s="44"/>
      <c r="F15" s="44"/>
      <c r="G15" s="40"/>
      <c r="H15" s="44"/>
      <c r="I15" s="40"/>
      <c r="J15" s="44"/>
      <c r="K15" s="28">
        <f>TABL12345[[#This Row],[خط (T/B  TOT) SAR]]+TABL12345[[#This Row],[خط (S/S  TOT) SAR2]]</f>
        <v>0</v>
      </c>
      <c r="L15" s="45"/>
      <c r="M15" s="46"/>
      <c r="N15" s="46"/>
      <c r="O15" s="40"/>
      <c r="P15" s="3">
        <f>TABL12345[[#This Row],[خط (S/S  TOT) SAR2]]-TABL12345[[#This Row],[(S/S TOT) AJD]]</f>
        <v>0</v>
      </c>
      <c r="Q15" s="40"/>
      <c r="R15" s="3">
        <f>TABL12345[[#This Row],[خط (T/B  TOT) SAR]]-TABL12345[[#This Row],[(T/B TOT) AJD]]</f>
        <v>0</v>
      </c>
      <c r="S15" s="3">
        <f>TABL12345[[#This Row],[الفرق بين بداية ونهاية خط  S/S]]+TABL12345[[#This Row],[الفرق بين بداية ونهاية خط  T/B]]</f>
        <v>0</v>
      </c>
      <c r="T15" s="3">
        <f t="shared" si="0"/>
        <v>0</v>
      </c>
      <c r="U15" s="44"/>
      <c r="V15" s="44"/>
      <c r="W15" s="3">
        <f t="shared" si="1"/>
        <v>0</v>
      </c>
      <c r="X15" s="3">
        <f t="shared" si="2"/>
        <v>0</v>
      </c>
      <c r="Y15" s="44"/>
      <c r="Z15" s="45"/>
      <c r="AA15" s="3">
        <f>TABL12345[[#This Row],[(RESV. STORGE) AJD]]/10</f>
        <v>0</v>
      </c>
      <c r="AB15" s="45">
        <f t="shared" si="3"/>
        <v>0</v>
      </c>
      <c r="AC15" s="5"/>
      <c r="AD15" s="40">
        <f>(TABL12345[[#This Row],[( S/S+T/B) AJD]]*1000)-((TABL12345[[#This Row],[(STORGE DIFF.) AJD]]*1000)+TABL12345[[#This Row],[البخر  AJD]]+(TABL12345[[#This Row],[(A/B + A/S) AJD]]*1000))</f>
        <v>0</v>
      </c>
      <c r="AE15" s="44"/>
      <c r="AF15" s="45"/>
      <c r="AG15" s="45"/>
      <c r="AH15" s="6">
        <f>TABL12345[[#This Row],[ (RESV. STORGE) BER]]/10</f>
        <v>0</v>
      </c>
      <c r="AI15" s="44"/>
      <c r="AJ15" s="45">
        <f>TABL12345[[#This Row],[(A/B TOT) AJD]]-TABL12345[[#This Row],[BER_ IN]]</f>
        <v>0</v>
      </c>
      <c r="AK15" s="45"/>
      <c r="AL15" s="45"/>
      <c r="AM15" s="32"/>
      <c r="AN15" s="32">
        <f>TABL12345[[#This Row],[ (RESV. STORGE) SER]]/10</f>
        <v>0</v>
      </c>
      <c r="AO15" s="68"/>
      <c r="AP15" s="68">
        <f>TABL12345[[#This Row],[(A/S TOT) AJD]]-TABL12345[[#This Row],[SER_ IN]]</f>
        <v>0</v>
      </c>
    </row>
    <row r="16" spans="1:42" ht="18.75" x14ac:dyDescent="0.25">
      <c r="A16" s="2">
        <v>46767</v>
      </c>
      <c r="B16" s="41"/>
      <c r="C16" s="41"/>
      <c r="D16" s="41"/>
      <c r="E16" s="41"/>
      <c r="F16" s="41"/>
      <c r="G16" s="39"/>
      <c r="H16" s="41"/>
      <c r="I16" s="39"/>
      <c r="J16" s="39"/>
      <c r="K16" s="28">
        <f>TABL12345[[#This Row],[خط (T/B  TOT) SAR]]+TABL12345[[#This Row],[خط (S/S  TOT) SAR2]]</f>
        <v>0</v>
      </c>
      <c r="L16" s="41"/>
      <c r="M16" s="42"/>
      <c r="N16" s="42"/>
      <c r="O16" s="39"/>
      <c r="P16" s="3">
        <f>TABL12345[[#This Row],[خط (S/S  TOT) SAR2]]-TABL12345[[#This Row],[(S/S TOT) AJD]]</f>
        <v>0</v>
      </c>
      <c r="Q16" s="39"/>
      <c r="R16" s="3">
        <f>TABL12345[[#This Row],[خط (T/B  TOT) SAR]]-TABL12345[[#This Row],[(T/B TOT) AJD]]</f>
        <v>0</v>
      </c>
      <c r="S16" s="3">
        <f>TABL12345[[#This Row],[الفرق بين بداية ونهاية خط  S/S]]+TABL12345[[#This Row],[الفرق بين بداية ونهاية خط  T/B]]</f>
        <v>0</v>
      </c>
      <c r="T16" s="3">
        <f t="shared" si="0"/>
        <v>0</v>
      </c>
      <c r="U16" s="41"/>
      <c r="V16" s="41"/>
      <c r="W16" s="3">
        <f t="shared" si="1"/>
        <v>0</v>
      </c>
      <c r="X16" s="3">
        <f t="shared" si="2"/>
        <v>0</v>
      </c>
      <c r="Y16" s="41"/>
      <c r="Z16" s="43"/>
      <c r="AA16" s="3">
        <f>TABL12345[[#This Row],[(RESV. STORGE) AJD]]/10</f>
        <v>0</v>
      </c>
      <c r="AB16" s="45">
        <f t="shared" si="3"/>
        <v>0</v>
      </c>
      <c r="AC16" s="5"/>
      <c r="AD16" s="39">
        <f>(TABL12345[[#This Row],[( S/S+T/B) AJD]]*1000)-((TABL12345[[#This Row],[(STORGE DIFF.) AJD]]*1000)+TABL12345[[#This Row],[البخر  AJD]]+(TABL12345[[#This Row],[(A/B + A/S) AJD]]*1000))</f>
        <v>0</v>
      </c>
      <c r="AE16" s="41"/>
      <c r="AF16" s="43"/>
      <c r="AG16" s="43"/>
      <c r="AH16" s="6">
        <f>TABL12345[[#This Row],[ (RESV. STORGE) BER]]/10</f>
        <v>0</v>
      </c>
      <c r="AI16" s="41"/>
      <c r="AJ16" s="43">
        <f>TABL12345[[#This Row],[(A/B TOT) AJD]]-TABL12345[[#This Row],[BER_ IN]]</f>
        <v>0</v>
      </c>
      <c r="AK16" s="43"/>
      <c r="AL16" s="43"/>
      <c r="AM16" s="32"/>
      <c r="AN16" s="32">
        <f>TABL12345[[#This Row],[ (RESV. STORGE) SER]]/10</f>
        <v>0</v>
      </c>
      <c r="AO16" s="68"/>
      <c r="AP16" s="68">
        <f>TABL12345[[#This Row],[(A/S TOT) AJD]]-TABL12345[[#This Row],[SER_ IN]]</f>
        <v>0</v>
      </c>
    </row>
    <row r="17" spans="1:42" ht="18.75" x14ac:dyDescent="0.25">
      <c r="A17" s="2">
        <v>46768</v>
      </c>
      <c r="B17" s="44"/>
      <c r="C17" s="44"/>
      <c r="D17" s="44"/>
      <c r="E17" s="44"/>
      <c r="F17" s="44"/>
      <c r="G17" s="40"/>
      <c r="H17" s="44"/>
      <c r="I17" s="40"/>
      <c r="J17" s="44"/>
      <c r="K17" s="28">
        <f>TABL12345[[#This Row],[خط (T/B  TOT) SAR]]+TABL12345[[#This Row],[خط (S/S  TOT) SAR2]]</f>
        <v>0</v>
      </c>
      <c r="L17" s="45"/>
      <c r="M17" s="46"/>
      <c r="N17" s="46"/>
      <c r="O17" s="40"/>
      <c r="P17" s="3">
        <f>TABL12345[[#This Row],[خط (S/S  TOT) SAR2]]-TABL12345[[#This Row],[(S/S TOT) AJD]]</f>
        <v>0</v>
      </c>
      <c r="Q17" s="40"/>
      <c r="R17" s="3">
        <f>TABL12345[[#This Row],[خط (T/B  TOT) SAR]]-TABL12345[[#This Row],[(T/B TOT) AJD]]</f>
        <v>0</v>
      </c>
      <c r="S17" s="3">
        <f>TABL12345[[#This Row],[الفرق بين بداية ونهاية خط  S/S]]+TABL12345[[#This Row],[الفرق بين بداية ونهاية خط  T/B]]</f>
        <v>0</v>
      </c>
      <c r="T17" s="3">
        <f t="shared" si="0"/>
        <v>0</v>
      </c>
      <c r="U17" s="44"/>
      <c r="V17" s="44"/>
      <c r="W17" s="3">
        <f t="shared" si="1"/>
        <v>0</v>
      </c>
      <c r="X17" s="3">
        <f t="shared" si="2"/>
        <v>0</v>
      </c>
      <c r="Y17" s="44"/>
      <c r="Z17" s="45"/>
      <c r="AA17" s="3">
        <f>TABL12345[[#This Row],[(RESV. STORGE) AJD]]/10</f>
        <v>0</v>
      </c>
      <c r="AB17" s="45">
        <f t="shared" si="3"/>
        <v>0</v>
      </c>
      <c r="AC17" s="5"/>
      <c r="AD17" s="40">
        <f>(TABL12345[[#This Row],[( S/S+T/B) AJD]]*1000)-((TABL12345[[#This Row],[(STORGE DIFF.) AJD]]*1000)+TABL12345[[#This Row],[البخر  AJD]]+(TABL12345[[#This Row],[(A/B + A/S) AJD]]*1000))</f>
        <v>0</v>
      </c>
      <c r="AE17" s="44"/>
      <c r="AF17" s="45"/>
      <c r="AG17" s="45"/>
      <c r="AH17" s="6">
        <f>TABL12345[[#This Row],[ (RESV. STORGE) BER]]/10</f>
        <v>0</v>
      </c>
      <c r="AI17" s="44"/>
      <c r="AJ17" s="45">
        <f>TABL12345[[#This Row],[(A/B TOT) AJD]]-TABL12345[[#This Row],[BER_ IN]]</f>
        <v>0</v>
      </c>
      <c r="AK17" s="45"/>
      <c r="AL17" s="45"/>
      <c r="AM17" s="32"/>
      <c r="AN17" s="32">
        <f>TABL12345[[#This Row],[ (RESV. STORGE) SER]]/10</f>
        <v>0</v>
      </c>
      <c r="AO17" s="68"/>
      <c r="AP17" s="68">
        <f>TABL12345[[#This Row],[(A/S TOT) AJD]]-TABL12345[[#This Row],[SER_ IN]]</f>
        <v>0</v>
      </c>
    </row>
    <row r="18" spans="1:42" ht="18.75" x14ac:dyDescent="0.25">
      <c r="A18" s="2">
        <v>46769</v>
      </c>
      <c r="B18" s="41"/>
      <c r="C18" s="41"/>
      <c r="D18" s="41"/>
      <c r="E18" s="41"/>
      <c r="F18" s="41"/>
      <c r="G18" s="39"/>
      <c r="H18" s="41"/>
      <c r="I18" s="39"/>
      <c r="J18" s="39"/>
      <c r="K18" s="28">
        <f>TABL12345[[#This Row],[خط (T/B  TOT) SAR]]+TABL12345[[#This Row],[خط (S/S  TOT) SAR2]]</f>
        <v>0</v>
      </c>
      <c r="L18" s="41"/>
      <c r="M18" s="42"/>
      <c r="N18" s="42"/>
      <c r="O18" s="39"/>
      <c r="P18" s="3">
        <f>TABL12345[[#This Row],[خط (S/S  TOT) SAR2]]-TABL12345[[#This Row],[(S/S TOT) AJD]]</f>
        <v>0</v>
      </c>
      <c r="Q18" s="39"/>
      <c r="R18" s="3">
        <f>TABL12345[[#This Row],[خط (T/B  TOT) SAR]]-TABL12345[[#This Row],[(T/B TOT) AJD]]</f>
        <v>0</v>
      </c>
      <c r="S18" s="3">
        <f>TABL12345[[#This Row],[الفرق بين بداية ونهاية خط  S/S]]+TABL12345[[#This Row],[الفرق بين بداية ونهاية خط  T/B]]</f>
        <v>0</v>
      </c>
      <c r="T18" s="3">
        <f t="shared" si="0"/>
        <v>0</v>
      </c>
      <c r="U18" s="41"/>
      <c r="V18" s="41"/>
      <c r="W18" s="3">
        <f t="shared" si="1"/>
        <v>0</v>
      </c>
      <c r="X18" s="3">
        <f t="shared" si="2"/>
        <v>0</v>
      </c>
      <c r="Y18" s="41"/>
      <c r="Z18" s="43"/>
      <c r="AA18" s="3">
        <f>TABL12345[[#This Row],[(RESV. STORGE) AJD]]/10</f>
        <v>0</v>
      </c>
      <c r="AB18" s="45">
        <f t="shared" si="3"/>
        <v>0</v>
      </c>
      <c r="AC18" s="5"/>
      <c r="AD18" s="39">
        <f>(TABL12345[[#This Row],[( S/S+T/B) AJD]]*1000)-((TABL12345[[#This Row],[(STORGE DIFF.) AJD]]*1000)+TABL12345[[#This Row],[البخر  AJD]]+(TABL12345[[#This Row],[(A/B + A/S) AJD]]*1000))</f>
        <v>0</v>
      </c>
      <c r="AE18" s="41"/>
      <c r="AF18" s="43"/>
      <c r="AG18" s="43"/>
      <c r="AH18" s="6">
        <f>TABL12345[[#This Row],[ (RESV. STORGE) BER]]/10</f>
        <v>0</v>
      </c>
      <c r="AI18" s="41"/>
      <c r="AJ18" s="43">
        <f>TABL12345[[#This Row],[(A/B TOT) AJD]]-TABL12345[[#This Row],[BER_ IN]]</f>
        <v>0</v>
      </c>
      <c r="AK18" s="43"/>
      <c r="AL18" s="43"/>
      <c r="AM18" s="32"/>
      <c r="AN18" s="32">
        <f>TABL12345[[#This Row],[ (RESV. STORGE) SER]]/10</f>
        <v>0</v>
      </c>
      <c r="AO18" s="68"/>
      <c r="AP18" s="68">
        <f>TABL12345[[#This Row],[(A/S TOT) AJD]]-TABL12345[[#This Row],[SER_ IN]]</f>
        <v>0</v>
      </c>
    </row>
    <row r="19" spans="1:42" ht="18.75" x14ac:dyDescent="0.25">
      <c r="A19" s="2">
        <v>46770</v>
      </c>
      <c r="B19" s="44"/>
      <c r="C19" s="44"/>
      <c r="D19" s="44"/>
      <c r="E19" s="44"/>
      <c r="F19" s="44"/>
      <c r="G19" s="40"/>
      <c r="H19" s="44"/>
      <c r="I19" s="40"/>
      <c r="J19" s="44"/>
      <c r="K19" s="28">
        <f>TABL12345[[#This Row],[خط (T/B  TOT) SAR]]+TABL12345[[#This Row],[خط (S/S  TOT) SAR2]]</f>
        <v>0</v>
      </c>
      <c r="L19" s="45"/>
      <c r="M19" s="46"/>
      <c r="N19" s="46"/>
      <c r="O19" s="40"/>
      <c r="P19" s="3">
        <f>TABL12345[[#This Row],[خط (S/S  TOT) SAR2]]-TABL12345[[#This Row],[(S/S TOT) AJD]]</f>
        <v>0</v>
      </c>
      <c r="Q19" s="40"/>
      <c r="R19" s="3">
        <f>TABL12345[[#This Row],[خط (T/B  TOT) SAR]]-TABL12345[[#This Row],[(T/B TOT) AJD]]</f>
        <v>0</v>
      </c>
      <c r="S19" s="3">
        <f>TABL12345[[#This Row],[الفرق بين بداية ونهاية خط  S/S]]+TABL12345[[#This Row],[الفرق بين بداية ونهاية خط  T/B]]</f>
        <v>0</v>
      </c>
      <c r="T19" s="3">
        <f t="shared" si="0"/>
        <v>0</v>
      </c>
      <c r="U19" s="44"/>
      <c r="V19" s="44"/>
      <c r="W19" s="3">
        <f t="shared" si="1"/>
        <v>0</v>
      </c>
      <c r="X19" s="3">
        <f t="shared" si="2"/>
        <v>0</v>
      </c>
      <c r="Y19" s="44"/>
      <c r="Z19" s="45"/>
      <c r="AA19" s="3">
        <f>TABL12345[[#This Row],[(RESV. STORGE) AJD]]/10</f>
        <v>0</v>
      </c>
      <c r="AB19" s="45">
        <f t="shared" si="3"/>
        <v>0</v>
      </c>
      <c r="AC19" s="5"/>
      <c r="AD19" s="40">
        <f>(TABL12345[[#This Row],[( S/S+T/B) AJD]]*1000)-((TABL12345[[#This Row],[(STORGE DIFF.) AJD]]*1000)+TABL12345[[#This Row],[البخر  AJD]]+(TABL12345[[#This Row],[(A/B + A/S) AJD]]*1000))</f>
        <v>0</v>
      </c>
      <c r="AE19" s="44"/>
      <c r="AF19" s="45"/>
      <c r="AG19" s="45"/>
      <c r="AH19" s="6">
        <f>TABL12345[[#This Row],[ (RESV. STORGE) BER]]/10</f>
        <v>0</v>
      </c>
      <c r="AI19" s="44"/>
      <c r="AJ19" s="45">
        <f>TABL12345[[#This Row],[(A/B TOT) AJD]]-TABL12345[[#This Row],[BER_ IN]]</f>
        <v>0</v>
      </c>
      <c r="AK19" s="45"/>
      <c r="AL19" s="45"/>
      <c r="AM19" s="32"/>
      <c r="AN19" s="32">
        <f>TABL12345[[#This Row],[ (RESV. STORGE) SER]]/10</f>
        <v>0</v>
      </c>
      <c r="AO19" s="68"/>
      <c r="AP19" s="68">
        <f>TABL12345[[#This Row],[(A/S TOT) AJD]]-TABL12345[[#This Row],[SER_ IN]]</f>
        <v>0</v>
      </c>
    </row>
    <row r="20" spans="1:42" ht="18.75" x14ac:dyDescent="0.25">
      <c r="A20" s="2">
        <v>46771</v>
      </c>
      <c r="B20" s="41"/>
      <c r="C20" s="41"/>
      <c r="D20" s="41"/>
      <c r="E20" s="41"/>
      <c r="F20" s="41"/>
      <c r="G20" s="39"/>
      <c r="H20" s="41"/>
      <c r="I20" s="39"/>
      <c r="J20" s="39"/>
      <c r="K20" s="28">
        <f>TABL12345[[#This Row],[خط (T/B  TOT) SAR]]+TABL12345[[#This Row],[خط (S/S  TOT) SAR2]]</f>
        <v>0</v>
      </c>
      <c r="L20" s="41"/>
      <c r="M20" s="42"/>
      <c r="N20" s="42"/>
      <c r="O20" s="39"/>
      <c r="P20" s="3">
        <f>TABL12345[[#This Row],[خط (S/S  TOT) SAR2]]-TABL12345[[#This Row],[(S/S TOT) AJD]]</f>
        <v>0</v>
      </c>
      <c r="Q20" s="39"/>
      <c r="R20" s="3">
        <f>TABL12345[[#This Row],[خط (T/B  TOT) SAR]]-TABL12345[[#This Row],[(T/B TOT) AJD]]</f>
        <v>0</v>
      </c>
      <c r="S20" s="3">
        <f>TABL12345[[#This Row],[الفرق بين بداية ونهاية خط  S/S]]+TABL12345[[#This Row],[الفرق بين بداية ونهاية خط  T/B]]</f>
        <v>0</v>
      </c>
      <c r="T20" s="3">
        <f t="shared" si="0"/>
        <v>0</v>
      </c>
      <c r="U20" s="41"/>
      <c r="V20" s="41"/>
      <c r="W20" s="3">
        <f t="shared" si="1"/>
        <v>0</v>
      </c>
      <c r="X20" s="3">
        <f t="shared" si="2"/>
        <v>0</v>
      </c>
      <c r="Y20" s="41"/>
      <c r="Z20" s="43"/>
      <c r="AA20" s="3">
        <f>TABL12345[[#This Row],[(RESV. STORGE) AJD]]/10</f>
        <v>0</v>
      </c>
      <c r="AB20" s="45">
        <f t="shared" si="3"/>
        <v>0</v>
      </c>
      <c r="AC20" s="5"/>
      <c r="AD20" s="39">
        <f>(TABL12345[[#This Row],[( S/S+T/B) AJD]]*1000)-((TABL12345[[#This Row],[(STORGE DIFF.) AJD]]*1000)+TABL12345[[#This Row],[البخر  AJD]]+(TABL12345[[#This Row],[(A/B + A/S) AJD]]*1000))</f>
        <v>0</v>
      </c>
      <c r="AE20" s="41"/>
      <c r="AF20" s="43"/>
      <c r="AG20" s="43"/>
      <c r="AH20" s="6">
        <f>TABL12345[[#This Row],[ (RESV. STORGE) BER]]/10</f>
        <v>0</v>
      </c>
      <c r="AI20" s="41"/>
      <c r="AJ20" s="43">
        <f>TABL12345[[#This Row],[(A/B TOT) AJD]]-TABL12345[[#This Row],[BER_ IN]]</f>
        <v>0</v>
      </c>
      <c r="AK20" s="43"/>
      <c r="AL20" s="43"/>
      <c r="AM20" s="32"/>
      <c r="AN20" s="32">
        <f>TABL12345[[#This Row],[ (RESV. STORGE) SER]]/10</f>
        <v>0</v>
      </c>
      <c r="AO20" s="68"/>
      <c r="AP20" s="68">
        <f>TABL12345[[#This Row],[(A/S TOT) AJD]]-TABL12345[[#This Row],[SER_ IN]]</f>
        <v>0</v>
      </c>
    </row>
    <row r="21" spans="1:42" ht="18.75" x14ac:dyDescent="0.25">
      <c r="A21" s="2">
        <v>46772</v>
      </c>
      <c r="B21" s="44"/>
      <c r="C21" s="44"/>
      <c r="D21" s="44"/>
      <c r="E21" s="44"/>
      <c r="F21" s="44"/>
      <c r="G21" s="40"/>
      <c r="H21" s="44"/>
      <c r="I21" s="40"/>
      <c r="J21" s="44"/>
      <c r="K21" s="28">
        <f>TABL12345[[#This Row],[خط (T/B  TOT) SAR]]+TABL12345[[#This Row],[خط (S/S  TOT) SAR2]]</f>
        <v>0</v>
      </c>
      <c r="L21" s="45"/>
      <c r="M21" s="46"/>
      <c r="N21" s="46"/>
      <c r="O21" s="40"/>
      <c r="P21" s="3">
        <f>TABL12345[[#This Row],[خط (S/S  TOT) SAR2]]-TABL12345[[#This Row],[(S/S TOT) AJD]]</f>
        <v>0</v>
      </c>
      <c r="Q21" s="40"/>
      <c r="R21" s="3">
        <f>TABL12345[[#This Row],[خط (T/B  TOT) SAR]]-TABL12345[[#This Row],[(T/B TOT) AJD]]</f>
        <v>0</v>
      </c>
      <c r="S21" s="3">
        <f>TABL12345[[#This Row],[الفرق بين بداية ونهاية خط  S/S]]+TABL12345[[#This Row],[الفرق بين بداية ونهاية خط  T/B]]</f>
        <v>0</v>
      </c>
      <c r="T21" s="3">
        <f t="shared" si="0"/>
        <v>0</v>
      </c>
      <c r="U21" s="44"/>
      <c r="V21" s="44"/>
      <c r="W21" s="3">
        <f t="shared" si="1"/>
        <v>0</v>
      </c>
      <c r="X21" s="3">
        <f t="shared" si="2"/>
        <v>0</v>
      </c>
      <c r="Y21" s="44"/>
      <c r="Z21" s="45"/>
      <c r="AA21" s="3">
        <f>TABL12345[[#This Row],[(RESV. STORGE) AJD]]/10</f>
        <v>0</v>
      </c>
      <c r="AB21" s="45">
        <f t="shared" si="3"/>
        <v>0</v>
      </c>
      <c r="AC21" s="5"/>
      <c r="AD21" s="40">
        <f>(TABL12345[[#This Row],[( S/S+T/B) AJD]]*1000)-((TABL12345[[#This Row],[(STORGE DIFF.) AJD]]*1000)+TABL12345[[#This Row],[البخر  AJD]]+(TABL12345[[#This Row],[(A/B + A/S) AJD]]*1000))</f>
        <v>0</v>
      </c>
      <c r="AE21" s="44"/>
      <c r="AF21" s="45"/>
      <c r="AG21" s="45"/>
      <c r="AH21" s="6">
        <f>TABL12345[[#This Row],[ (RESV. STORGE) BER]]/10</f>
        <v>0</v>
      </c>
      <c r="AI21" s="44"/>
      <c r="AJ21" s="45">
        <f>TABL12345[[#This Row],[(A/B TOT) AJD]]-TABL12345[[#This Row],[BER_ IN]]</f>
        <v>0</v>
      </c>
      <c r="AK21" s="45"/>
      <c r="AL21" s="45"/>
      <c r="AM21" s="32"/>
      <c r="AN21" s="32">
        <f>TABL12345[[#This Row],[ (RESV. STORGE) SER]]/10</f>
        <v>0</v>
      </c>
      <c r="AO21" s="68"/>
      <c r="AP21" s="68">
        <f>TABL12345[[#This Row],[(A/S TOT) AJD]]-TABL12345[[#This Row],[SER_ IN]]</f>
        <v>0</v>
      </c>
    </row>
    <row r="22" spans="1:42" ht="18.75" x14ac:dyDescent="0.25">
      <c r="A22" s="2">
        <v>46773</v>
      </c>
      <c r="B22" s="41"/>
      <c r="C22" s="41"/>
      <c r="D22" s="41"/>
      <c r="E22" s="41"/>
      <c r="F22" s="41"/>
      <c r="G22" s="39"/>
      <c r="H22" s="41"/>
      <c r="I22" s="39"/>
      <c r="J22" s="39"/>
      <c r="K22" s="28">
        <f>TABL12345[[#This Row],[خط (T/B  TOT) SAR]]+TABL12345[[#This Row],[خط (S/S  TOT) SAR2]]</f>
        <v>0</v>
      </c>
      <c r="L22" s="41"/>
      <c r="M22" s="42"/>
      <c r="N22" s="42"/>
      <c r="O22" s="39"/>
      <c r="P22" s="3">
        <f>TABL12345[[#This Row],[خط (S/S  TOT) SAR2]]-TABL12345[[#This Row],[(S/S TOT) AJD]]</f>
        <v>0</v>
      </c>
      <c r="Q22" s="39"/>
      <c r="R22" s="3">
        <f>TABL12345[[#This Row],[خط (T/B  TOT) SAR]]-TABL12345[[#This Row],[(T/B TOT) AJD]]</f>
        <v>0</v>
      </c>
      <c r="S22" s="3">
        <f>TABL12345[[#This Row],[الفرق بين بداية ونهاية خط  S/S]]+TABL12345[[#This Row],[الفرق بين بداية ونهاية خط  T/B]]</f>
        <v>0</v>
      </c>
      <c r="T22" s="3">
        <f t="shared" si="0"/>
        <v>0</v>
      </c>
      <c r="U22" s="41"/>
      <c r="V22" s="41"/>
      <c r="W22" s="3">
        <f t="shared" si="1"/>
        <v>0</v>
      </c>
      <c r="X22" s="3">
        <f t="shared" si="2"/>
        <v>0</v>
      </c>
      <c r="Y22" s="41"/>
      <c r="Z22" s="43"/>
      <c r="AA22" s="3">
        <f>TABL12345[[#This Row],[(RESV. STORGE) AJD]]/10</f>
        <v>0</v>
      </c>
      <c r="AB22" s="45">
        <f t="shared" si="3"/>
        <v>0</v>
      </c>
      <c r="AC22" s="5"/>
      <c r="AD22" s="39">
        <f>(TABL12345[[#This Row],[( S/S+T/B) AJD]]*1000)-((TABL12345[[#This Row],[(STORGE DIFF.) AJD]]*1000)+TABL12345[[#This Row],[البخر  AJD]]+(TABL12345[[#This Row],[(A/B + A/S) AJD]]*1000))</f>
        <v>0</v>
      </c>
      <c r="AE22" s="41"/>
      <c r="AF22" s="43"/>
      <c r="AG22" s="43"/>
      <c r="AH22" s="6">
        <f>TABL12345[[#This Row],[ (RESV. STORGE) BER]]/10</f>
        <v>0</v>
      </c>
      <c r="AI22" s="41"/>
      <c r="AJ22" s="43">
        <f>TABL12345[[#This Row],[(A/B TOT) AJD]]-TABL12345[[#This Row],[BER_ IN]]</f>
        <v>0</v>
      </c>
      <c r="AK22" s="43"/>
      <c r="AL22" s="43"/>
      <c r="AM22" s="32"/>
      <c r="AN22" s="32">
        <f>TABL12345[[#This Row],[ (RESV. STORGE) SER]]/10</f>
        <v>0</v>
      </c>
      <c r="AO22" s="68"/>
      <c r="AP22" s="68">
        <f>TABL12345[[#This Row],[(A/S TOT) AJD]]-TABL12345[[#This Row],[SER_ IN]]</f>
        <v>0</v>
      </c>
    </row>
    <row r="23" spans="1:42" ht="18.75" x14ac:dyDescent="0.25">
      <c r="A23" s="2">
        <v>46774</v>
      </c>
      <c r="B23" s="44"/>
      <c r="C23" s="44"/>
      <c r="D23" s="44"/>
      <c r="E23" s="44"/>
      <c r="F23" s="44"/>
      <c r="G23" s="40"/>
      <c r="H23" s="44"/>
      <c r="I23" s="40"/>
      <c r="J23" s="44"/>
      <c r="K23" s="28">
        <f>TABL12345[[#This Row],[خط (T/B  TOT) SAR]]+TABL12345[[#This Row],[خط (S/S  TOT) SAR2]]</f>
        <v>0</v>
      </c>
      <c r="L23" s="45"/>
      <c r="M23" s="46"/>
      <c r="N23" s="46"/>
      <c r="O23" s="40"/>
      <c r="P23" s="3">
        <f>TABL12345[[#This Row],[خط (S/S  TOT) SAR2]]-TABL12345[[#This Row],[(S/S TOT) AJD]]</f>
        <v>0</v>
      </c>
      <c r="Q23" s="40"/>
      <c r="R23" s="3">
        <f>TABL12345[[#This Row],[خط (T/B  TOT) SAR]]-TABL12345[[#This Row],[(T/B TOT) AJD]]</f>
        <v>0</v>
      </c>
      <c r="S23" s="3">
        <f>TABL12345[[#This Row],[الفرق بين بداية ونهاية خط  S/S]]+TABL12345[[#This Row],[الفرق بين بداية ونهاية خط  T/B]]</f>
        <v>0</v>
      </c>
      <c r="T23" s="3">
        <f t="shared" si="0"/>
        <v>0</v>
      </c>
      <c r="U23" s="44"/>
      <c r="V23" s="44"/>
      <c r="W23" s="3">
        <f t="shared" si="1"/>
        <v>0</v>
      </c>
      <c r="X23" s="3">
        <f t="shared" si="2"/>
        <v>0</v>
      </c>
      <c r="Y23" s="44"/>
      <c r="Z23" s="45"/>
      <c r="AA23" s="3">
        <f>TABL12345[[#This Row],[(RESV. STORGE) AJD]]/10</f>
        <v>0</v>
      </c>
      <c r="AB23" s="45">
        <f t="shared" si="3"/>
        <v>0</v>
      </c>
      <c r="AC23" s="5"/>
      <c r="AD23" s="40">
        <f>(TABL12345[[#This Row],[( S/S+T/B) AJD]]*1000)-((TABL12345[[#This Row],[(STORGE DIFF.) AJD]]*1000)+TABL12345[[#This Row],[البخر  AJD]]+(TABL12345[[#This Row],[(A/B + A/S) AJD]]*1000))</f>
        <v>0</v>
      </c>
      <c r="AE23" s="44"/>
      <c r="AF23" s="45"/>
      <c r="AG23" s="45"/>
      <c r="AH23" s="6">
        <f>TABL12345[[#This Row],[ (RESV. STORGE) BER]]/10</f>
        <v>0</v>
      </c>
      <c r="AI23" s="44"/>
      <c r="AJ23" s="45">
        <f>TABL12345[[#This Row],[(A/B TOT) AJD]]-TABL12345[[#This Row],[BER_ IN]]</f>
        <v>0</v>
      </c>
      <c r="AK23" s="45"/>
      <c r="AL23" s="45"/>
      <c r="AM23" s="32"/>
      <c r="AN23" s="32">
        <f>TABL12345[[#This Row],[ (RESV. STORGE) SER]]/10</f>
        <v>0</v>
      </c>
      <c r="AO23" s="68"/>
      <c r="AP23" s="68">
        <f>TABL12345[[#This Row],[(A/S TOT) AJD]]-TABL12345[[#This Row],[SER_ IN]]</f>
        <v>0</v>
      </c>
    </row>
    <row r="24" spans="1:42" ht="18.75" x14ac:dyDescent="0.25">
      <c r="A24" s="2">
        <v>46775</v>
      </c>
      <c r="B24" s="41"/>
      <c r="C24" s="41"/>
      <c r="D24" s="41"/>
      <c r="E24" s="41"/>
      <c r="F24" s="41"/>
      <c r="G24" s="39"/>
      <c r="H24" s="41"/>
      <c r="I24" s="39"/>
      <c r="J24" s="39"/>
      <c r="K24" s="28">
        <f>TABL12345[[#This Row],[خط (T/B  TOT) SAR]]+TABL12345[[#This Row],[خط (S/S  TOT) SAR2]]</f>
        <v>0</v>
      </c>
      <c r="L24" s="41"/>
      <c r="M24" s="42"/>
      <c r="N24" s="42"/>
      <c r="O24" s="39"/>
      <c r="P24" s="3">
        <f>TABL12345[[#This Row],[خط (S/S  TOT) SAR2]]-TABL12345[[#This Row],[(S/S TOT) AJD]]</f>
        <v>0</v>
      </c>
      <c r="Q24" s="39"/>
      <c r="R24" s="3">
        <f>TABL12345[[#This Row],[خط (T/B  TOT) SAR]]-TABL12345[[#This Row],[(T/B TOT) AJD]]</f>
        <v>0</v>
      </c>
      <c r="S24" s="3">
        <f>TABL12345[[#This Row],[الفرق بين بداية ونهاية خط  S/S]]+TABL12345[[#This Row],[الفرق بين بداية ونهاية خط  T/B]]</f>
        <v>0</v>
      </c>
      <c r="T24" s="3">
        <f t="shared" si="0"/>
        <v>0</v>
      </c>
      <c r="U24" s="41"/>
      <c r="V24" s="41"/>
      <c r="W24" s="3">
        <f t="shared" si="1"/>
        <v>0</v>
      </c>
      <c r="X24" s="3">
        <f t="shared" si="2"/>
        <v>0</v>
      </c>
      <c r="Y24" s="41"/>
      <c r="Z24" s="43"/>
      <c r="AA24" s="3">
        <f>TABL12345[[#This Row],[(RESV. STORGE) AJD]]/10</f>
        <v>0</v>
      </c>
      <c r="AB24" s="45">
        <f t="shared" si="3"/>
        <v>0</v>
      </c>
      <c r="AC24" s="5"/>
      <c r="AD24" s="39">
        <f>(TABL12345[[#This Row],[( S/S+T/B) AJD]]*1000)-((TABL12345[[#This Row],[(STORGE DIFF.) AJD]]*1000)+TABL12345[[#This Row],[البخر  AJD]]+(TABL12345[[#This Row],[(A/B + A/S) AJD]]*1000))</f>
        <v>0</v>
      </c>
      <c r="AE24" s="41"/>
      <c r="AF24" s="43"/>
      <c r="AG24" s="43"/>
      <c r="AH24" s="6">
        <f>TABL12345[[#This Row],[ (RESV. STORGE) BER]]/10</f>
        <v>0</v>
      </c>
      <c r="AI24" s="41"/>
      <c r="AJ24" s="43">
        <f>TABL12345[[#This Row],[(A/B TOT) AJD]]-TABL12345[[#This Row],[BER_ IN]]</f>
        <v>0</v>
      </c>
      <c r="AK24" s="43"/>
      <c r="AL24" s="43"/>
      <c r="AM24" s="32"/>
      <c r="AN24" s="32">
        <f>TABL12345[[#This Row],[ (RESV. STORGE) SER]]/10</f>
        <v>0</v>
      </c>
      <c r="AO24" s="68"/>
      <c r="AP24" s="68">
        <f>TABL12345[[#This Row],[(A/S TOT) AJD]]-TABL12345[[#This Row],[SER_ IN]]</f>
        <v>0</v>
      </c>
    </row>
    <row r="25" spans="1:42" ht="18.75" x14ac:dyDescent="0.25">
      <c r="A25" s="2">
        <v>46776</v>
      </c>
      <c r="B25" s="44"/>
      <c r="C25" s="44"/>
      <c r="D25" s="44"/>
      <c r="E25" s="44"/>
      <c r="F25" s="44"/>
      <c r="G25" s="40"/>
      <c r="H25" s="44"/>
      <c r="I25" s="40"/>
      <c r="J25" s="44"/>
      <c r="K25" s="28">
        <f>TABL12345[[#This Row],[خط (T/B  TOT) SAR]]+TABL12345[[#This Row],[خط (S/S  TOT) SAR2]]</f>
        <v>0</v>
      </c>
      <c r="L25" s="45"/>
      <c r="M25" s="46"/>
      <c r="N25" s="46"/>
      <c r="O25" s="40"/>
      <c r="P25" s="3">
        <f>TABL12345[[#This Row],[خط (S/S  TOT) SAR2]]-TABL12345[[#This Row],[(S/S TOT) AJD]]</f>
        <v>0</v>
      </c>
      <c r="Q25" s="40"/>
      <c r="R25" s="3">
        <f>TABL12345[[#This Row],[خط (T/B  TOT) SAR]]-TABL12345[[#This Row],[(T/B TOT) AJD]]</f>
        <v>0</v>
      </c>
      <c r="S25" s="3">
        <f>TABL12345[[#This Row],[الفرق بين بداية ونهاية خط  S/S]]+TABL12345[[#This Row],[الفرق بين بداية ونهاية خط  T/B]]</f>
        <v>0</v>
      </c>
      <c r="T25" s="3">
        <f t="shared" si="0"/>
        <v>0</v>
      </c>
      <c r="U25" s="44"/>
      <c r="V25" s="44"/>
      <c r="W25" s="3">
        <f t="shared" si="1"/>
        <v>0</v>
      </c>
      <c r="X25" s="3">
        <f t="shared" si="2"/>
        <v>0</v>
      </c>
      <c r="Y25" s="44"/>
      <c r="Z25" s="45"/>
      <c r="AA25" s="3">
        <f>TABL12345[[#This Row],[(RESV. STORGE) AJD]]/10</f>
        <v>0</v>
      </c>
      <c r="AB25" s="45">
        <f t="shared" si="3"/>
        <v>0</v>
      </c>
      <c r="AC25" s="5"/>
      <c r="AD25" s="40">
        <f>(TABL12345[[#This Row],[( S/S+T/B) AJD]]*1000)-((TABL12345[[#This Row],[(STORGE DIFF.) AJD]]*1000)+TABL12345[[#This Row],[البخر  AJD]]+(TABL12345[[#This Row],[(A/B + A/S) AJD]]*1000))</f>
        <v>0</v>
      </c>
      <c r="AE25" s="44"/>
      <c r="AF25" s="45"/>
      <c r="AG25" s="45"/>
      <c r="AH25" s="6">
        <f>TABL12345[[#This Row],[ (RESV. STORGE) BER]]/10</f>
        <v>0</v>
      </c>
      <c r="AI25" s="44"/>
      <c r="AJ25" s="45">
        <f>TABL12345[[#This Row],[(A/B TOT) AJD]]-TABL12345[[#This Row],[BER_ IN]]</f>
        <v>0</v>
      </c>
      <c r="AK25" s="45"/>
      <c r="AL25" s="45"/>
      <c r="AM25" s="32"/>
      <c r="AN25" s="32">
        <f>TABL12345[[#This Row],[ (RESV. STORGE) SER]]/10</f>
        <v>0</v>
      </c>
      <c r="AO25" s="68"/>
      <c r="AP25" s="68">
        <f>TABL12345[[#This Row],[(A/S TOT) AJD]]-TABL12345[[#This Row],[SER_ IN]]</f>
        <v>0</v>
      </c>
    </row>
    <row r="26" spans="1:42" ht="18.75" x14ac:dyDescent="0.25">
      <c r="A26" s="2">
        <v>46777</v>
      </c>
      <c r="B26" s="41"/>
      <c r="C26" s="41"/>
      <c r="D26" s="41"/>
      <c r="E26" s="41"/>
      <c r="F26" s="41"/>
      <c r="G26" s="39"/>
      <c r="H26" s="41"/>
      <c r="I26" s="39"/>
      <c r="J26" s="39"/>
      <c r="K26" s="28">
        <f>TABL12345[[#This Row],[خط (T/B  TOT) SAR]]+TABL12345[[#This Row],[خط (S/S  TOT) SAR2]]</f>
        <v>0</v>
      </c>
      <c r="L26" s="41"/>
      <c r="M26" s="42"/>
      <c r="N26" s="42"/>
      <c r="O26" s="39"/>
      <c r="P26" s="3">
        <f>TABL12345[[#This Row],[خط (S/S  TOT) SAR2]]-TABL12345[[#This Row],[(S/S TOT) AJD]]</f>
        <v>0</v>
      </c>
      <c r="Q26" s="39"/>
      <c r="R26" s="3">
        <f>TABL12345[[#This Row],[خط (T/B  TOT) SAR]]-TABL12345[[#This Row],[(T/B TOT) AJD]]</f>
        <v>0</v>
      </c>
      <c r="S26" s="3">
        <f>TABL12345[[#This Row],[الفرق بين بداية ونهاية خط  S/S]]+TABL12345[[#This Row],[الفرق بين بداية ونهاية خط  T/B]]</f>
        <v>0</v>
      </c>
      <c r="T26" s="3">
        <f t="shared" si="0"/>
        <v>0</v>
      </c>
      <c r="U26" s="41"/>
      <c r="V26" s="41"/>
      <c r="W26" s="3">
        <f t="shared" si="1"/>
        <v>0</v>
      </c>
      <c r="X26" s="3">
        <f t="shared" si="2"/>
        <v>0</v>
      </c>
      <c r="Y26" s="41"/>
      <c r="Z26" s="43"/>
      <c r="AA26" s="3">
        <f>TABL12345[[#This Row],[(RESV. STORGE) AJD]]/10</f>
        <v>0</v>
      </c>
      <c r="AB26" s="45">
        <f t="shared" si="3"/>
        <v>0</v>
      </c>
      <c r="AC26" s="5"/>
      <c r="AD26" s="39">
        <f>(TABL12345[[#This Row],[( S/S+T/B) AJD]]*1000)-((TABL12345[[#This Row],[(STORGE DIFF.) AJD]]*1000)+TABL12345[[#This Row],[البخر  AJD]]+(TABL12345[[#This Row],[(A/B + A/S) AJD]]*1000))</f>
        <v>0</v>
      </c>
      <c r="AE26" s="41"/>
      <c r="AF26" s="43"/>
      <c r="AG26" s="43"/>
      <c r="AH26" s="6">
        <f>TABL12345[[#This Row],[ (RESV. STORGE) BER]]/10</f>
        <v>0</v>
      </c>
      <c r="AI26" s="41"/>
      <c r="AJ26" s="43">
        <f>TABL12345[[#This Row],[(A/B TOT) AJD]]-TABL12345[[#This Row],[BER_ IN]]</f>
        <v>0</v>
      </c>
      <c r="AK26" s="43"/>
      <c r="AL26" s="43"/>
      <c r="AM26" s="32"/>
      <c r="AN26" s="32">
        <f>TABL12345[[#This Row],[ (RESV. STORGE) SER]]/10</f>
        <v>0</v>
      </c>
      <c r="AO26" s="68"/>
      <c r="AP26" s="68">
        <f>TABL12345[[#This Row],[(A/S TOT) AJD]]-TABL12345[[#This Row],[SER_ IN]]</f>
        <v>0</v>
      </c>
    </row>
    <row r="27" spans="1:42" ht="18.75" x14ac:dyDescent="0.25">
      <c r="A27" s="2">
        <v>46778</v>
      </c>
      <c r="B27" s="44"/>
      <c r="C27" s="44"/>
      <c r="D27" s="44"/>
      <c r="E27" s="44"/>
      <c r="F27" s="44"/>
      <c r="G27" s="40"/>
      <c r="H27" s="44"/>
      <c r="I27" s="40"/>
      <c r="J27" s="44"/>
      <c r="K27" s="28">
        <f>TABL12345[[#This Row],[خط (T/B  TOT) SAR]]+TABL12345[[#This Row],[خط (S/S  TOT) SAR2]]</f>
        <v>0</v>
      </c>
      <c r="L27" s="45"/>
      <c r="M27" s="46"/>
      <c r="N27" s="46"/>
      <c r="O27" s="40"/>
      <c r="P27" s="3">
        <f>TABL12345[[#This Row],[خط (S/S  TOT) SAR2]]-TABL12345[[#This Row],[(S/S TOT) AJD]]</f>
        <v>0</v>
      </c>
      <c r="Q27" s="40"/>
      <c r="R27" s="3">
        <f>TABL12345[[#This Row],[خط (T/B  TOT) SAR]]-TABL12345[[#This Row],[(T/B TOT) AJD]]</f>
        <v>0</v>
      </c>
      <c r="S27" s="3">
        <f>TABL12345[[#This Row],[الفرق بين بداية ونهاية خط  S/S]]+TABL12345[[#This Row],[الفرق بين بداية ونهاية خط  T/B]]</f>
        <v>0</v>
      </c>
      <c r="T27" s="3">
        <f t="shared" si="0"/>
        <v>0</v>
      </c>
      <c r="U27" s="44"/>
      <c r="V27" s="44"/>
      <c r="W27" s="3">
        <f t="shared" si="1"/>
        <v>0</v>
      </c>
      <c r="X27" s="3">
        <f t="shared" si="2"/>
        <v>0</v>
      </c>
      <c r="Y27" s="44"/>
      <c r="Z27" s="45"/>
      <c r="AA27" s="3">
        <f>TABL12345[[#This Row],[(RESV. STORGE) AJD]]/10</f>
        <v>0</v>
      </c>
      <c r="AB27" s="45">
        <f t="shared" si="3"/>
        <v>0</v>
      </c>
      <c r="AC27" s="5"/>
      <c r="AD27" s="40">
        <f>(TABL12345[[#This Row],[( S/S+T/B) AJD]]*1000)-((TABL12345[[#This Row],[(STORGE DIFF.) AJD]]*1000)+TABL12345[[#This Row],[البخر  AJD]]+(TABL12345[[#This Row],[(A/B + A/S) AJD]]*1000))</f>
        <v>0</v>
      </c>
      <c r="AE27" s="44"/>
      <c r="AF27" s="45"/>
      <c r="AG27" s="45"/>
      <c r="AH27" s="6">
        <f>TABL12345[[#This Row],[ (RESV. STORGE) BER]]/10</f>
        <v>0</v>
      </c>
      <c r="AI27" s="44"/>
      <c r="AJ27" s="45">
        <f>TABL12345[[#This Row],[(A/B TOT) AJD]]-TABL12345[[#This Row],[BER_ IN]]</f>
        <v>0</v>
      </c>
      <c r="AK27" s="45"/>
      <c r="AL27" s="45"/>
      <c r="AM27" s="32"/>
      <c r="AN27" s="32">
        <f>TABL12345[[#This Row],[ (RESV. STORGE) SER]]/10</f>
        <v>0</v>
      </c>
      <c r="AO27" s="68"/>
      <c r="AP27" s="68">
        <f>TABL12345[[#This Row],[(A/S TOT) AJD]]-TABL12345[[#This Row],[SER_ IN]]</f>
        <v>0</v>
      </c>
    </row>
    <row r="28" spans="1:42" ht="18.75" x14ac:dyDescent="0.25">
      <c r="A28" s="2">
        <v>46779</v>
      </c>
      <c r="B28" s="41"/>
      <c r="C28" s="41"/>
      <c r="D28" s="41"/>
      <c r="E28" s="41"/>
      <c r="F28" s="41"/>
      <c r="G28" s="39"/>
      <c r="H28" s="41"/>
      <c r="I28" s="39"/>
      <c r="J28" s="39"/>
      <c r="K28" s="28">
        <f>TABL12345[[#This Row],[خط (T/B  TOT) SAR]]+TABL12345[[#This Row],[خط (S/S  TOT) SAR2]]</f>
        <v>0</v>
      </c>
      <c r="L28" s="41"/>
      <c r="M28" s="42"/>
      <c r="N28" s="42"/>
      <c r="O28" s="39"/>
      <c r="P28" s="3">
        <f>TABL12345[[#This Row],[خط (S/S  TOT) SAR2]]-TABL12345[[#This Row],[(S/S TOT) AJD]]</f>
        <v>0</v>
      </c>
      <c r="Q28" s="39"/>
      <c r="R28" s="3">
        <f>TABL12345[[#This Row],[خط (T/B  TOT) SAR]]-TABL12345[[#This Row],[(T/B TOT) AJD]]</f>
        <v>0</v>
      </c>
      <c r="S28" s="3">
        <f>TABL12345[[#This Row],[الفرق بين بداية ونهاية خط  S/S]]+TABL12345[[#This Row],[الفرق بين بداية ونهاية خط  T/B]]</f>
        <v>0</v>
      </c>
      <c r="T28" s="3">
        <f t="shared" si="0"/>
        <v>0</v>
      </c>
      <c r="U28" s="41"/>
      <c r="V28" s="41"/>
      <c r="W28" s="3">
        <f t="shared" si="1"/>
        <v>0</v>
      </c>
      <c r="X28" s="3">
        <f t="shared" si="2"/>
        <v>0</v>
      </c>
      <c r="Y28" s="41"/>
      <c r="Z28" s="43"/>
      <c r="AA28" s="3">
        <f>TABL12345[[#This Row],[(RESV. STORGE) AJD]]/10</f>
        <v>0</v>
      </c>
      <c r="AB28" s="45">
        <f t="shared" si="3"/>
        <v>0</v>
      </c>
      <c r="AC28" s="5"/>
      <c r="AD28" s="39">
        <f>(TABL12345[[#This Row],[( S/S+T/B) AJD]]*1000)-((TABL12345[[#This Row],[(STORGE DIFF.) AJD]]*1000)+TABL12345[[#This Row],[البخر  AJD]]+(TABL12345[[#This Row],[(A/B + A/S) AJD]]*1000))</f>
        <v>0</v>
      </c>
      <c r="AE28" s="41"/>
      <c r="AF28" s="43"/>
      <c r="AG28" s="43"/>
      <c r="AH28" s="6">
        <f>TABL12345[[#This Row],[ (RESV. STORGE) BER]]/10</f>
        <v>0</v>
      </c>
      <c r="AI28" s="41"/>
      <c r="AJ28" s="43">
        <f>TABL12345[[#This Row],[(A/B TOT) AJD]]-TABL12345[[#This Row],[BER_ IN]]</f>
        <v>0</v>
      </c>
      <c r="AK28" s="43"/>
      <c r="AL28" s="43"/>
      <c r="AM28" s="32"/>
      <c r="AN28" s="32">
        <f>TABL12345[[#This Row],[ (RESV. STORGE) SER]]/10</f>
        <v>0</v>
      </c>
      <c r="AO28" s="68"/>
      <c r="AP28" s="68">
        <f>TABL12345[[#This Row],[(A/S TOT) AJD]]-TABL12345[[#This Row],[SER_ IN]]</f>
        <v>0</v>
      </c>
    </row>
    <row r="29" spans="1:42" ht="18.75" x14ac:dyDescent="0.25">
      <c r="A29" s="2">
        <v>46780</v>
      </c>
      <c r="B29" s="44"/>
      <c r="C29" s="44"/>
      <c r="D29" s="44"/>
      <c r="E29" s="44"/>
      <c r="F29" s="44"/>
      <c r="G29" s="40"/>
      <c r="H29" s="44"/>
      <c r="I29" s="40"/>
      <c r="J29" s="44"/>
      <c r="K29" s="28">
        <f>TABL12345[[#This Row],[خط (T/B  TOT) SAR]]+TABL12345[[#This Row],[خط (S/S  TOT) SAR2]]</f>
        <v>0</v>
      </c>
      <c r="L29" s="45"/>
      <c r="M29" s="46"/>
      <c r="N29" s="46"/>
      <c r="O29" s="40"/>
      <c r="P29" s="3">
        <f>TABL12345[[#This Row],[خط (S/S  TOT) SAR2]]-TABL12345[[#This Row],[(S/S TOT) AJD]]</f>
        <v>0</v>
      </c>
      <c r="Q29" s="40"/>
      <c r="R29" s="3">
        <f>TABL12345[[#This Row],[خط (T/B  TOT) SAR]]-TABL12345[[#This Row],[(T/B TOT) AJD]]</f>
        <v>0</v>
      </c>
      <c r="S29" s="3">
        <f>TABL12345[[#This Row],[الفرق بين بداية ونهاية خط  S/S]]+TABL12345[[#This Row],[الفرق بين بداية ونهاية خط  T/B]]</f>
        <v>0</v>
      </c>
      <c r="T29" s="3">
        <f t="shared" si="0"/>
        <v>0</v>
      </c>
      <c r="U29" s="44"/>
      <c r="V29" s="44"/>
      <c r="W29" s="3">
        <f t="shared" si="1"/>
        <v>0</v>
      </c>
      <c r="X29" s="3">
        <f t="shared" si="2"/>
        <v>0</v>
      </c>
      <c r="Y29" s="44"/>
      <c r="Z29" s="45"/>
      <c r="AA29" s="3">
        <f>TABL12345[[#This Row],[(RESV. STORGE) AJD]]/10</f>
        <v>0</v>
      </c>
      <c r="AB29" s="45">
        <f t="shared" si="3"/>
        <v>0</v>
      </c>
      <c r="AC29" s="5"/>
      <c r="AD29" s="40">
        <f>(TABL12345[[#This Row],[( S/S+T/B) AJD]]*1000)-((TABL12345[[#This Row],[(STORGE DIFF.) AJD]]*1000)+TABL12345[[#This Row],[البخر  AJD]]+(TABL12345[[#This Row],[(A/B + A/S) AJD]]*1000))</f>
        <v>0</v>
      </c>
      <c r="AE29" s="44"/>
      <c r="AF29" s="45"/>
      <c r="AG29" s="45"/>
      <c r="AH29" s="6">
        <f>TABL12345[[#This Row],[ (RESV. STORGE) BER]]/10</f>
        <v>0</v>
      </c>
      <c r="AI29" s="44"/>
      <c r="AJ29" s="45">
        <f>TABL12345[[#This Row],[(A/B TOT) AJD]]-TABL12345[[#This Row],[BER_ IN]]</f>
        <v>0</v>
      </c>
      <c r="AK29" s="45"/>
      <c r="AL29" s="45"/>
      <c r="AM29" s="32"/>
      <c r="AN29" s="32">
        <f>TABL12345[[#This Row],[ (RESV. STORGE) SER]]/10</f>
        <v>0</v>
      </c>
      <c r="AO29" s="68"/>
      <c r="AP29" s="68">
        <f>TABL12345[[#This Row],[(A/S TOT) AJD]]-TABL12345[[#This Row],[SER_ IN]]</f>
        <v>0</v>
      </c>
    </row>
    <row r="30" spans="1:42" ht="18.75" x14ac:dyDescent="0.25">
      <c r="A30" s="2">
        <v>46781</v>
      </c>
      <c r="B30" s="41"/>
      <c r="C30" s="41"/>
      <c r="D30" s="41"/>
      <c r="E30" s="41"/>
      <c r="F30" s="41"/>
      <c r="G30" s="39"/>
      <c r="H30" s="41"/>
      <c r="I30" s="39"/>
      <c r="J30" s="39"/>
      <c r="K30" s="28">
        <f>TABL12345[[#This Row],[خط (T/B  TOT) SAR]]+TABL12345[[#This Row],[خط (S/S  TOT) SAR2]]</f>
        <v>0</v>
      </c>
      <c r="L30" s="41"/>
      <c r="M30" s="42"/>
      <c r="N30" s="42"/>
      <c r="O30" s="39"/>
      <c r="P30" s="3">
        <f>TABL12345[[#This Row],[خط (S/S  TOT) SAR2]]-TABL12345[[#This Row],[(S/S TOT) AJD]]</f>
        <v>0</v>
      </c>
      <c r="Q30" s="39"/>
      <c r="R30" s="3">
        <f>TABL12345[[#This Row],[خط (T/B  TOT) SAR]]-TABL12345[[#This Row],[(T/B TOT) AJD]]</f>
        <v>0</v>
      </c>
      <c r="S30" s="3">
        <f>TABL12345[[#This Row],[الفرق بين بداية ونهاية خط  S/S]]+TABL12345[[#This Row],[الفرق بين بداية ونهاية خط  T/B]]</f>
        <v>0</v>
      </c>
      <c r="T30" s="3">
        <f t="shared" si="0"/>
        <v>0</v>
      </c>
      <c r="U30" s="41"/>
      <c r="V30" s="41"/>
      <c r="W30" s="3">
        <f t="shared" si="1"/>
        <v>0</v>
      </c>
      <c r="X30" s="3">
        <f t="shared" si="2"/>
        <v>0</v>
      </c>
      <c r="Y30" s="41"/>
      <c r="Z30" s="43"/>
      <c r="AA30" s="3">
        <f>TABL12345[[#This Row],[(RESV. STORGE) AJD]]/10</f>
        <v>0</v>
      </c>
      <c r="AB30" s="45">
        <f t="shared" si="3"/>
        <v>0</v>
      </c>
      <c r="AC30" s="5"/>
      <c r="AD30" s="39">
        <f>(TABL12345[[#This Row],[( S/S+T/B) AJD]]*1000)-((TABL12345[[#This Row],[(STORGE DIFF.) AJD]]*1000)+TABL12345[[#This Row],[البخر  AJD]]+(TABL12345[[#This Row],[(A/B + A/S) AJD]]*1000))</f>
        <v>0</v>
      </c>
      <c r="AE30" s="41"/>
      <c r="AF30" s="43"/>
      <c r="AG30" s="43"/>
      <c r="AH30" s="6">
        <f>TABL12345[[#This Row],[ (RESV. STORGE) BER]]/10</f>
        <v>0</v>
      </c>
      <c r="AI30" s="41"/>
      <c r="AJ30" s="43">
        <f>TABL12345[[#This Row],[(A/B TOT) AJD]]-TABL12345[[#This Row],[BER_ IN]]</f>
        <v>0</v>
      </c>
      <c r="AK30" s="43"/>
      <c r="AL30" s="43"/>
      <c r="AM30" s="32"/>
      <c r="AN30" s="32">
        <f>TABL12345[[#This Row],[ (RESV. STORGE) SER]]/10</f>
        <v>0</v>
      </c>
      <c r="AO30" s="68"/>
      <c r="AP30" s="68">
        <f>TABL12345[[#This Row],[(A/S TOT) AJD]]-TABL12345[[#This Row],[SER_ IN]]</f>
        <v>0</v>
      </c>
    </row>
    <row r="31" spans="1:42" ht="18.75" x14ac:dyDescent="0.25">
      <c r="A31" s="2">
        <v>46782</v>
      </c>
      <c r="B31" s="44"/>
      <c r="C31" s="44"/>
      <c r="D31" s="44"/>
      <c r="E31" s="44"/>
      <c r="F31" s="44"/>
      <c r="G31" s="40"/>
      <c r="H31" s="44"/>
      <c r="I31" s="40"/>
      <c r="J31" s="44"/>
      <c r="K31" s="28">
        <f>TABL12345[[#This Row],[خط (T/B  TOT) SAR]]+TABL12345[[#This Row],[خط (S/S  TOT) SAR2]]</f>
        <v>0</v>
      </c>
      <c r="L31" s="45"/>
      <c r="M31" s="46"/>
      <c r="N31" s="46"/>
      <c r="O31" s="40"/>
      <c r="P31" s="3">
        <f>TABL12345[[#This Row],[خط (S/S  TOT) SAR2]]-TABL12345[[#This Row],[(S/S TOT) AJD]]</f>
        <v>0</v>
      </c>
      <c r="Q31" s="40"/>
      <c r="R31" s="3">
        <f>TABL12345[[#This Row],[خط (T/B  TOT) SAR]]-TABL12345[[#This Row],[(T/B TOT) AJD]]</f>
        <v>0</v>
      </c>
      <c r="S31" s="3">
        <f>TABL12345[[#This Row],[الفرق بين بداية ونهاية خط  S/S]]+TABL12345[[#This Row],[الفرق بين بداية ونهاية خط  T/B]]</f>
        <v>0</v>
      </c>
      <c r="T31" s="3">
        <f t="shared" si="0"/>
        <v>0</v>
      </c>
      <c r="U31" s="44"/>
      <c r="V31" s="44"/>
      <c r="W31" s="3">
        <f t="shared" si="1"/>
        <v>0</v>
      </c>
      <c r="X31" s="3">
        <f t="shared" si="2"/>
        <v>0</v>
      </c>
      <c r="Y31" s="44"/>
      <c r="Z31" s="45"/>
      <c r="AA31" s="3">
        <f>TABL12345[[#This Row],[(RESV. STORGE) AJD]]/10</f>
        <v>0</v>
      </c>
      <c r="AB31" s="45">
        <f t="shared" si="3"/>
        <v>0</v>
      </c>
      <c r="AC31" s="5"/>
      <c r="AD31" s="70">
        <f>(TABL12345[[#This Row],[( S/S+T/B) AJD]]*1000)-((TABL12345[[#This Row],[(STORGE DIFF.) AJD]]*1000)+TABL12345[[#This Row],[البخر  AJD]]+(TABL12345[[#This Row],[(A/B + A/S) AJD]]*1000))</f>
        <v>0</v>
      </c>
      <c r="AE31" s="44"/>
      <c r="AF31" s="45"/>
      <c r="AG31" s="45"/>
      <c r="AH31" s="6">
        <f>TABL12345[[#This Row],[ (RESV. STORGE) BER]]/10</f>
        <v>0</v>
      </c>
      <c r="AI31" s="44"/>
      <c r="AJ31" s="91">
        <f>TABL12345[[#This Row],[(A/B TOT) AJD]]-TABL12345[[#This Row],[BER_ IN]]</f>
        <v>0</v>
      </c>
      <c r="AK31" s="45"/>
      <c r="AL31" s="45"/>
      <c r="AM31" s="32"/>
      <c r="AN31" s="32">
        <f>TABL12345[[#This Row],[ (RESV. STORGE) SER]]/10</f>
        <v>0</v>
      </c>
      <c r="AO31" s="68"/>
      <c r="AP31" s="68">
        <f>TABL12345[[#This Row],[(A/S TOT) AJD]]-TABL12345[[#This Row],[SER_ IN]]</f>
        <v>0</v>
      </c>
    </row>
    <row r="32" spans="1:42" ht="18.75" x14ac:dyDescent="0.25">
      <c r="A32" s="2">
        <v>46783</v>
      </c>
      <c r="B32" s="41"/>
      <c r="C32" s="41"/>
      <c r="D32" s="41"/>
      <c r="E32" s="41"/>
      <c r="F32" s="41"/>
      <c r="G32" s="39"/>
      <c r="H32" s="41"/>
      <c r="I32" s="39"/>
      <c r="J32" s="39"/>
      <c r="K32" s="28">
        <f>TABL12345[[#This Row],[خط (T/B  TOT) SAR]]+TABL12345[[#This Row],[خط (S/S  TOT) SAR2]]</f>
        <v>0</v>
      </c>
      <c r="L32" s="41"/>
      <c r="M32" s="42"/>
      <c r="N32" s="42"/>
      <c r="O32" s="39"/>
      <c r="P32" s="3">
        <f>TABL12345[[#This Row],[خط (S/S  TOT) SAR2]]-TABL12345[[#This Row],[(S/S TOT) AJD]]</f>
        <v>0</v>
      </c>
      <c r="Q32" s="39"/>
      <c r="R32" s="3">
        <f>TABL12345[[#This Row],[خط (T/B  TOT) SAR]]-TABL12345[[#This Row],[(T/B TOT) AJD]]</f>
        <v>0</v>
      </c>
      <c r="S32" s="3">
        <f>TABL12345[[#This Row],[الفرق بين بداية ونهاية خط  S/S]]+TABL12345[[#This Row],[الفرق بين بداية ونهاية خط  T/B]]</f>
        <v>0</v>
      </c>
      <c r="T32" s="3">
        <f t="shared" si="0"/>
        <v>0</v>
      </c>
      <c r="U32" s="41"/>
      <c r="V32" s="41"/>
      <c r="W32" s="3">
        <f t="shared" si="1"/>
        <v>0</v>
      </c>
      <c r="X32" s="3">
        <f t="shared" si="2"/>
        <v>0</v>
      </c>
      <c r="Y32" s="41"/>
      <c r="Z32" s="43"/>
      <c r="AA32" s="3">
        <f>TABL12345[[#This Row],[(RESV. STORGE) AJD]]/10</f>
        <v>0</v>
      </c>
      <c r="AB32" s="45">
        <f t="shared" si="3"/>
        <v>0</v>
      </c>
      <c r="AC32" s="5"/>
      <c r="AD32" s="39">
        <f>(TABL12345[[#This Row],[( S/S+T/B) AJD]]*1000)-((TABL12345[[#This Row],[(STORGE DIFF.) AJD]]*1000)+TABL12345[[#This Row],[البخر  AJD]]+(TABL12345[[#This Row],[(A/B + A/S) AJD]]*1000))</f>
        <v>0</v>
      </c>
      <c r="AE32" s="41"/>
      <c r="AF32" s="43"/>
      <c r="AG32" s="43"/>
      <c r="AH32" s="6">
        <f>TABL12345[[#This Row],[ (RESV. STORGE) BER]]/10</f>
        <v>0</v>
      </c>
      <c r="AI32" s="41"/>
      <c r="AJ32" s="43">
        <f>TABL12345[[#This Row],[(A/B TOT) AJD]]-TABL12345[[#This Row],[BER_ IN]]</f>
        <v>0</v>
      </c>
      <c r="AK32" s="43"/>
      <c r="AL32" s="43"/>
      <c r="AM32" s="32"/>
      <c r="AN32" s="32">
        <f>TABL12345[[#This Row],[ (RESV. STORGE) SER]]/10</f>
        <v>0</v>
      </c>
      <c r="AO32" s="68"/>
      <c r="AP32" s="68">
        <f>TABL12345[[#This Row],[(A/S TOT) AJD]]-TABL12345[[#This Row],[SER_ IN]]</f>
        <v>0</v>
      </c>
    </row>
    <row r="33" spans="1:42" ht="18.75" x14ac:dyDescent="0.25">
      <c r="A33" s="2">
        <v>46784</v>
      </c>
      <c r="B33" s="41"/>
      <c r="C33" s="41"/>
      <c r="D33" s="41"/>
      <c r="E33" s="44"/>
      <c r="F33" s="41"/>
      <c r="G33" s="39"/>
      <c r="H33" s="28"/>
      <c r="I33" s="39"/>
      <c r="J33" s="39"/>
      <c r="K33" s="28">
        <f>TABL12345[[#This Row],[خط (T/B  TOT) SAR]]+TABL12345[[#This Row],[خط (S/S  TOT) SAR2]]</f>
        <v>0</v>
      </c>
      <c r="L33" s="41"/>
      <c r="M33" s="42"/>
      <c r="N33" s="42"/>
      <c r="O33" s="39"/>
      <c r="P33" s="3">
        <f>TABL12345[[#This Row],[خط (S/S  TOT) SAR2]]-TABL12345[[#This Row],[(S/S TOT) AJD]]</f>
        <v>0</v>
      </c>
      <c r="Q33" s="39"/>
      <c r="R33" s="3">
        <f>TABL12345[[#This Row],[خط (T/B  TOT) SAR]]-TABL12345[[#This Row],[(T/B TOT) AJD]]</f>
        <v>0</v>
      </c>
      <c r="S33" s="3">
        <f>TABL12345[[#This Row],[الفرق بين بداية ونهاية خط  S/S]]+TABL12345[[#This Row],[الفرق بين بداية ونهاية خط  T/B]]</f>
        <v>0</v>
      </c>
      <c r="T33" s="3">
        <f t="shared" si="0"/>
        <v>0</v>
      </c>
      <c r="U33" s="41"/>
      <c r="V33" s="41"/>
      <c r="W33" s="3">
        <f t="shared" si="1"/>
        <v>0</v>
      </c>
      <c r="X33" s="3">
        <f t="shared" si="2"/>
        <v>0</v>
      </c>
      <c r="Y33" s="41"/>
      <c r="Z33" s="43"/>
      <c r="AA33" s="3">
        <f>TABL12345[[#This Row],[(RESV. STORGE) AJD]]/10</f>
        <v>0</v>
      </c>
      <c r="AB33" s="45">
        <f t="shared" si="3"/>
        <v>0</v>
      </c>
      <c r="AC33" s="5"/>
      <c r="AD33" s="39">
        <f>(TABL12345[[#This Row],[( S/S+T/B) AJD]]*1000)-((TABL12345[[#This Row],[(STORGE DIFF.) AJD]]*1000)+TABL12345[[#This Row],[البخر  AJD]]+(TABL12345[[#This Row],[(A/B + A/S) AJD]]*1000))</f>
        <v>0</v>
      </c>
      <c r="AE33" s="41"/>
      <c r="AF33" s="43"/>
      <c r="AG33" s="43"/>
      <c r="AH33" s="6">
        <f>TABL12345[[#This Row],[ (RESV. STORGE) BER]]/10</f>
        <v>0</v>
      </c>
      <c r="AI33" s="41"/>
      <c r="AJ33" s="43">
        <f>TABL12345[[#This Row],[(A/B TOT) AJD]]-TABL12345[[#This Row],[BER_ IN]]</f>
        <v>0</v>
      </c>
      <c r="AK33" s="43"/>
      <c r="AL33" s="43"/>
      <c r="AM33" s="32"/>
      <c r="AN33" s="32">
        <f>TABL12345[[#This Row],[ (RESV. STORGE) SER]]/10</f>
        <v>0</v>
      </c>
      <c r="AO33" s="68"/>
      <c r="AP33" s="68">
        <f>TABL12345[[#This Row],[(A/S TOT) AJD]]-TABL12345[[#This Row],[SER_ IN]]</f>
        <v>0</v>
      </c>
    </row>
    <row r="34" spans="1:42" ht="18.75" x14ac:dyDescent="0.25">
      <c r="A34" s="2">
        <v>46785</v>
      </c>
      <c r="B34" s="44"/>
      <c r="C34" s="44"/>
      <c r="D34" s="44"/>
      <c r="E34" s="41"/>
      <c r="F34" s="44"/>
      <c r="G34" s="40"/>
      <c r="H34" s="28"/>
      <c r="I34" s="40"/>
      <c r="J34" s="44"/>
      <c r="K34" s="28">
        <f>TABL12345[[#This Row],[خط (T/B  TOT) SAR]]+TABL12345[[#This Row],[خط (S/S  TOT) SAR2]]</f>
        <v>0</v>
      </c>
      <c r="L34" s="45"/>
      <c r="M34" s="46"/>
      <c r="N34" s="46"/>
      <c r="O34" s="40"/>
      <c r="P34" s="3">
        <f>TABL12345[[#This Row],[خط (S/S  TOT) SAR2]]-TABL12345[[#This Row],[(S/S TOT) AJD]]</f>
        <v>0</v>
      </c>
      <c r="Q34" s="40"/>
      <c r="R34" s="3">
        <f>TABL12345[[#This Row],[خط (T/B  TOT) SAR]]-TABL12345[[#This Row],[(T/B TOT) AJD]]</f>
        <v>0</v>
      </c>
      <c r="S34" s="3">
        <f>TABL12345[[#This Row],[الفرق بين بداية ونهاية خط  S/S]]+TABL12345[[#This Row],[الفرق بين بداية ونهاية خط  T/B]]</f>
        <v>0</v>
      </c>
      <c r="T34" s="3">
        <f t="shared" si="0"/>
        <v>0</v>
      </c>
      <c r="U34" s="44"/>
      <c r="V34" s="44"/>
      <c r="W34" s="3">
        <f t="shared" si="1"/>
        <v>0</v>
      </c>
      <c r="X34" s="3">
        <f t="shared" si="2"/>
        <v>0</v>
      </c>
      <c r="Y34" s="44"/>
      <c r="Z34" s="45"/>
      <c r="AA34" s="3">
        <f>TABL12345[[#This Row],[(RESV. STORGE) AJD]]/10</f>
        <v>0</v>
      </c>
      <c r="AB34" s="45">
        <f t="shared" si="3"/>
        <v>0</v>
      </c>
      <c r="AC34" s="5"/>
      <c r="AD34" s="40">
        <f>(TABL12345[[#This Row],[( S/S+T/B) AJD]]*1000)-((TABL12345[[#This Row],[(STORGE DIFF.) AJD]]*1000)+TABL12345[[#This Row],[البخر  AJD]]+(TABL12345[[#This Row],[(A/B + A/S) AJD]]*1000))</f>
        <v>0</v>
      </c>
      <c r="AE34" s="44"/>
      <c r="AF34" s="45"/>
      <c r="AG34" s="45"/>
      <c r="AH34" s="6">
        <f>TABL12345[[#This Row],[ (RESV. STORGE) BER]]/10</f>
        <v>0</v>
      </c>
      <c r="AI34" s="44"/>
      <c r="AJ34" s="45">
        <f>TABL12345[[#This Row],[(A/B TOT) AJD]]-TABL12345[[#This Row],[BER_ IN]]</f>
        <v>0</v>
      </c>
      <c r="AK34" s="45"/>
      <c r="AL34" s="45"/>
      <c r="AM34" s="32"/>
      <c r="AN34" s="32">
        <f>TABL12345[[#This Row],[ (RESV. STORGE) SER]]/10</f>
        <v>0</v>
      </c>
      <c r="AO34" s="68"/>
      <c r="AP34" s="68">
        <f>TABL12345[[#This Row],[(A/S TOT) AJD]]-TABL12345[[#This Row],[SER_ IN]]</f>
        <v>0</v>
      </c>
    </row>
    <row r="35" spans="1:42" ht="18.75" x14ac:dyDescent="0.25">
      <c r="A35" s="2">
        <v>46786</v>
      </c>
      <c r="B35" s="41"/>
      <c r="C35" s="41"/>
      <c r="D35" s="41"/>
      <c r="E35" s="44"/>
      <c r="F35" s="41"/>
      <c r="G35" s="39"/>
      <c r="H35" s="28"/>
      <c r="I35" s="39"/>
      <c r="J35" s="39"/>
      <c r="K35" s="28">
        <f>TABL12345[[#This Row],[خط (T/B  TOT) SAR]]+TABL12345[[#This Row],[خط (S/S  TOT) SAR2]]</f>
        <v>0</v>
      </c>
      <c r="L35" s="41"/>
      <c r="M35" s="42"/>
      <c r="N35" s="42"/>
      <c r="O35" s="39"/>
      <c r="P35" s="3">
        <f>TABL12345[[#This Row],[خط (S/S  TOT) SAR2]]-TABL12345[[#This Row],[(S/S TOT) AJD]]</f>
        <v>0</v>
      </c>
      <c r="Q35" s="39"/>
      <c r="R35" s="3">
        <f>TABL12345[[#This Row],[خط (T/B  TOT) SAR]]-TABL12345[[#This Row],[(T/B TOT) AJD]]</f>
        <v>0</v>
      </c>
      <c r="S35" s="3">
        <f>TABL12345[[#This Row],[الفرق بين بداية ونهاية خط  S/S]]+TABL12345[[#This Row],[الفرق بين بداية ونهاية خط  T/B]]</f>
        <v>0</v>
      </c>
      <c r="T35" s="3">
        <f t="shared" si="0"/>
        <v>0</v>
      </c>
      <c r="U35" s="41"/>
      <c r="V35" s="41"/>
      <c r="W35" s="3">
        <f t="shared" si="1"/>
        <v>0</v>
      </c>
      <c r="X35" s="3">
        <f t="shared" si="2"/>
        <v>0</v>
      </c>
      <c r="Y35" s="41"/>
      <c r="Z35" s="43"/>
      <c r="AA35" s="3">
        <f>TABL12345[[#This Row],[(RESV. STORGE) AJD]]/10</f>
        <v>0</v>
      </c>
      <c r="AB35" s="45">
        <f t="shared" si="3"/>
        <v>0</v>
      </c>
      <c r="AC35" s="5"/>
      <c r="AD35" s="39">
        <f>(TABL12345[[#This Row],[( S/S+T/B) AJD]]*1000)-((TABL12345[[#This Row],[(STORGE DIFF.) AJD]]*1000)+TABL12345[[#This Row],[البخر  AJD]]+(TABL12345[[#This Row],[(A/B + A/S) AJD]]*1000))</f>
        <v>0</v>
      </c>
      <c r="AE35" s="41"/>
      <c r="AF35" s="43"/>
      <c r="AG35" s="43"/>
      <c r="AH35" s="6">
        <f>TABL12345[[#This Row],[ (RESV. STORGE) BER]]/10</f>
        <v>0</v>
      </c>
      <c r="AI35" s="41"/>
      <c r="AJ35" s="43">
        <f>TABL12345[[#This Row],[(A/B TOT) AJD]]-TABL12345[[#This Row],[BER_ IN]]</f>
        <v>0</v>
      </c>
      <c r="AK35" s="43"/>
      <c r="AL35" s="43"/>
      <c r="AM35" s="32"/>
      <c r="AN35" s="32">
        <f>TABL12345[[#This Row],[ (RESV. STORGE) SER]]/10</f>
        <v>0</v>
      </c>
      <c r="AO35" s="68"/>
      <c r="AP35" s="68">
        <f>TABL12345[[#This Row],[(A/S TOT) AJD]]-TABL12345[[#This Row],[SER_ IN]]</f>
        <v>0</v>
      </c>
    </row>
    <row r="36" spans="1:42" ht="18.75" x14ac:dyDescent="0.25">
      <c r="A36" s="2">
        <v>46787</v>
      </c>
      <c r="B36" s="44"/>
      <c r="C36" s="44"/>
      <c r="D36" s="44"/>
      <c r="E36" s="44"/>
      <c r="F36" s="44"/>
      <c r="G36" s="40"/>
      <c r="H36" s="28"/>
      <c r="I36" s="40"/>
      <c r="J36" s="44"/>
      <c r="K36" s="28">
        <f>TABL12345[[#This Row],[خط (T/B  TOT) SAR]]+TABL12345[[#This Row],[خط (S/S  TOT) SAR2]]</f>
        <v>0</v>
      </c>
      <c r="L36" s="45"/>
      <c r="M36" s="46"/>
      <c r="N36" s="46"/>
      <c r="O36" s="40"/>
      <c r="P36" s="3">
        <f>TABL12345[[#This Row],[خط (S/S  TOT) SAR2]]-TABL12345[[#This Row],[(S/S TOT) AJD]]</f>
        <v>0</v>
      </c>
      <c r="Q36" s="40"/>
      <c r="R36" s="3">
        <f>TABL12345[[#This Row],[خط (T/B  TOT) SAR]]-TABL12345[[#This Row],[(T/B TOT) AJD]]</f>
        <v>0</v>
      </c>
      <c r="S36" s="3">
        <f>TABL12345[[#This Row],[الفرق بين بداية ونهاية خط  S/S]]+TABL12345[[#This Row],[الفرق بين بداية ونهاية خط  T/B]]</f>
        <v>0</v>
      </c>
      <c r="T36" s="3">
        <f t="shared" si="0"/>
        <v>0</v>
      </c>
      <c r="U36" s="44"/>
      <c r="V36" s="44"/>
      <c r="W36" s="3">
        <f t="shared" si="1"/>
        <v>0</v>
      </c>
      <c r="X36" s="3">
        <f t="shared" si="2"/>
        <v>0</v>
      </c>
      <c r="Y36" s="44"/>
      <c r="Z36" s="45"/>
      <c r="AA36" s="3">
        <f>TABL12345[[#This Row],[(RESV. STORGE) AJD]]/10</f>
        <v>0</v>
      </c>
      <c r="AB36" s="45">
        <f t="shared" si="3"/>
        <v>0</v>
      </c>
      <c r="AC36" s="5"/>
      <c r="AD36" s="40">
        <f>(TABL12345[[#This Row],[( S/S+T/B) AJD]]*1000)-((TABL12345[[#This Row],[(STORGE DIFF.) AJD]]*1000)+TABL12345[[#This Row],[البخر  AJD]]+(TABL12345[[#This Row],[(A/B + A/S) AJD]]*1000))</f>
        <v>0</v>
      </c>
      <c r="AE36" s="44"/>
      <c r="AF36" s="45"/>
      <c r="AG36" s="45"/>
      <c r="AH36" s="6">
        <f>TABL12345[[#This Row],[ (RESV. STORGE) BER]]/10</f>
        <v>0</v>
      </c>
      <c r="AI36" s="44"/>
      <c r="AJ36" s="45">
        <f>TABL12345[[#This Row],[(A/B TOT) AJD]]-TABL12345[[#This Row],[BER_ IN]]</f>
        <v>0</v>
      </c>
      <c r="AK36" s="45"/>
      <c r="AL36" s="45"/>
      <c r="AM36" s="32"/>
      <c r="AN36" s="32">
        <f>TABL12345[[#This Row],[ (RESV. STORGE) SER]]/10</f>
        <v>0</v>
      </c>
      <c r="AO36" s="68"/>
      <c r="AP36" s="68">
        <f>TABL12345[[#This Row],[(A/S TOT) AJD]]-TABL12345[[#This Row],[SER_ IN]]</f>
        <v>0</v>
      </c>
    </row>
    <row r="37" spans="1:42" ht="18.75" x14ac:dyDescent="0.25">
      <c r="A37" s="2">
        <v>46788</v>
      </c>
      <c r="B37" s="41"/>
      <c r="C37" s="41"/>
      <c r="D37" s="41"/>
      <c r="E37" s="41"/>
      <c r="F37" s="41"/>
      <c r="G37" s="39"/>
      <c r="H37" s="28"/>
      <c r="I37" s="39"/>
      <c r="J37" s="39"/>
      <c r="K37" s="28">
        <f>TABL12345[[#This Row],[خط (T/B  TOT) SAR]]+TABL12345[[#This Row],[خط (S/S  TOT) SAR2]]</f>
        <v>0</v>
      </c>
      <c r="L37" s="41"/>
      <c r="M37" s="42"/>
      <c r="N37" s="42"/>
      <c r="O37" s="39"/>
      <c r="P37" s="3">
        <f>TABL12345[[#This Row],[خط (S/S  TOT) SAR2]]-TABL12345[[#This Row],[(S/S TOT) AJD]]</f>
        <v>0</v>
      </c>
      <c r="Q37" s="39"/>
      <c r="R37" s="3">
        <f>TABL12345[[#This Row],[خط (T/B  TOT) SAR]]-TABL12345[[#This Row],[(T/B TOT) AJD]]</f>
        <v>0</v>
      </c>
      <c r="S37" s="3">
        <f>TABL12345[[#This Row],[الفرق بين بداية ونهاية خط  S/S]]+TABL12345[[#This Row],[الفرق بين بداية ونهاية خط  T/B]]</f>
        <v>0</v>
      </c>
      <c r="T37" s="3">
        <f t="shared" si="0"/>
        <v>0</v>
      </c>
      <c r="U37" s="41"/>
      <c r="V37" s="41"/>
      <c r="W37" s="3">
        <f t="shared" si="1"/>
        <v>0</v>
      </c>
      <c r="X37" s="3">
        <f t="shared" si="2"/>
        <v>0</v>
      </c>
      <c r="Y37" s="41"/>
      <c r="Z37" s="43"/>
      <c r="AA37" s="3">
        <f>TABL12345[[#This Row],[(RESV. STORGE) AJD]]/10</f>
        <v>0</v>
      </c>
      <c r="AB37" s="45">
        <f t="shared" si="3"/>
        <v>0</v>
      </c>
      <c r="AC37" s="5"/>
      <c r="AD37" s="39">
        <f>(TABL12345[[#This Row],[( S/S+T/B) AJD]]*1000)-((TABL12345[[#This Row],[(STORGE DIFF.) AJD]]*1000)+TABL12345[[#This Row],[البخر  AJD]]+(TABL12345[[#This Row],[(A/B + A/S) AJD]]*1000))</f>
        <v>0</v>
      </c>
      <c r="AE37" s="41"/>
      <c r="AF37" s="43"/>
      <c r="AG37" s="43"/>
      <c r="AH37" s="6">
        <f>TABL12345[[#This Row],[ (RESV. STORGE) BER]]/10</f>
        <v>0</v>
      </c>
      <c r="AI37" s="41"/>
      <c r="AJ37" s="43">
        <f>TABL12345[[#This Row],[(A/B TOT) AJD]]-TABL12345[[#This Row],[BER_ IN]]</f>
        <v>0</v>
      </c>
      <c r="AK37" s="43"/>
      <c r="AL37" s="43"/>
      <c r="AM37" s="32"/>
      <c r="AN37" s="32">
        <f>TABL12345[[#This Row],[ (RESV. STORGE) SER]]/10</f>
        <v>0</v>
      </c>
      <c r="AO37" s="68"/>
      <c r="AP37" s="68">
        <f>TABL12345[[#This Row],[(A/S TOT) AJD]]-TABL12345[[#This Row],[SER_ IN]]</f>
        <v>0</v>
      </c>
    </row>
    <row r="38" spans="1:42" ht="18.75" x14ac:dyDescent="0.25">
      <c r="A38" s="2">
        <v>46789</v>
      </c>
      <c r="B38" s="44"/>
      <c r="C38" s="44"/>
      <c r="D38" s="44"/>
      <c r="E38" s="44"/>
      <c r="F38" s="44"/>
      <c r="G38" s="40"/>
      <c r="H38" s="28"/>
      <c r="I38" s="40"/>
      <c r="J38" s="44"/>
      <c r="K38" s="28">
        <f>TABL12345[[#This Row],[خط (T/B  TOT) SAR]]+TABL12345[[#This Row],[خط (S/S  TOT) SAR2]]</f>
        <v>0</v>
      </c>
      <c r="L38" s="45"/>
      <c r="M38" s="46"/>
      <c r="N38" s="46"/>
      <c r="O38" s="40"/>
      <c r="P38" s="3">
        <f>TABL12345[[#This Row],[خط (S/S  TOT) SAR2]]-TABL12345[[#This Row],[(S/S TOT) AJD]]</f>
        <v>0</v>
      </c>
      <c r="Q38" s="40"/>
      <c r="R38" s="3">
        <f>TABL12345[[#This Row],[خط (T/B  TOT) SAR]]-TABL12345[[#This Row],[(T/B TOT) AJD]]</f>
        <v>0</v>
      </c>
      <c r="S38" s="3">
        <f>TABL12345[[#This Row],[الفرق بين بداية ونهاية خط  S/S]]+TABL12345[[#This Row],[الفرق بين بداية ونهاية خط  T/B]]</f>
        <v>0</v>
      </c>
      <c r="T38" s="3">
        <f t="shared" si="0"/>
        <v>0</v>
      </c>
      <c r="U38" s="44"/>
      <c r="V38" s="44"/>
      <c r="W38" s="3">
        <f t="shared" si="1"/>
        <v>0</v>
      </c>
      <c r="X38" s="3">
        <f t="shared" si="2"/>
        <v>0</v>
      </c>
      <c r="Y38" s="44"/>
      <c r="Z38" s="45"/>
      <c r="AA38" s="3">
        <f>TABL12345[[#This Row],[(RESV. STORGE) AJD]]/10</f>
        <v>0</v>
      </c>
      <c r="AB38" s="45">
        <f t="shared" si="3"/>
        <v>0</v>
      </c>
      <c r="AC38" s="5"/>
      <c r="AD38" s="40">
        <f>(TABL12345[[#This Row],[( S/S+T/B) AJD]]*1000)-((TABL12345[[#This Row],[(STORGE DIFF.) AJD]]*1000)+TABL12345[[#This Row],[البخر  AJD]]+(TABL12345[[#This Row],[(A/B + A/S) AJD]]*1000))</f>
        <v>0</v>
      </c>
      <c r="AE38" s="44"/>
      <c r="AF38" s="45"/>
      <c r="AG38" s="45"/>
      <c r="AH38" s="6">
        <f>TABL12345[[#This Row],[ (RESV. STORGE) BER]]/10</f>
        <v>0</v>
      </c>
      <c r="AI38" s="44"/>
      <c r="AJ38" s="45">
        <f>TABL12345[[#This Row],[(A/B TOT) AJD]]-TABL12345[[#This Row],[BER_ IN]]</f>
        <v>0</v>
      </c>
      <c r="AK38" s="45"/>
      <c r="AL38" s="45"/>
      <c r="AM38" s="32"/>
      <c r="AN38" s="32">
        <f>TABL12345[[#This Row],[ (RESV. STORGE) SER]]/10</f>
        <v>0</v>
      </c>
      <c r="AO38" s="68"/>
      <c r="AP38" s="68">
        <f>TABL12345[[#This Row],[(A/S TOT) AJD]]-TABL12345[[#This Row],[SER_ IN]]</f>
        <v>0</v>
      </c>
    </row>
    <row r="39" spans="1:42" ht="18.75" x14ac:dyDescent="0.25">
      <c r="A39" s="2">
        <v>46790</v>
      </c>
      <c r="B39" s="41"/>
      <c r="C39" s="41"/>
      <c r="D39" s="41"/>
      <c r="E39" s="41"/>
      <c r="F39" s="41"/>
      <c r="G39" s="39"/>
      <c r="H39" s="28"/>
      <c r="I39" s="39"/>
      <c r="J39" s="39"/>
      <c r="K39" s="28">
        <f>TABL12345[[#This Row],[خط (T/B  TOT) SAR]]+TABL12345[[#This Row],[خط (S/S  TOT) SAR2]]</f>
        <v>0</v>
      </c>
      <c r="L39" s="41"/>
      <c r="M39" s="42"/>
      <c r="N39" s="42"/>
      <c r="O39" s="39"/>
      <c r="P39" s="3">
        <f>TABL12345[[#This Row],[خط (S/S  TOT) SAR2]]-TABL12345[[#This Row],[(S/S TOT) AJD]]</f>
        <v>0</v>
      </c>
      <c r="Q39" s="39"/>
      <c r="R39" s="3">
        <f>TABL12345[[#This Row],[خط (T/B  TOT) SAR]]-TABL12345[[#This Row],[(T/B TOT) AJD]]</f>
        <v>0</v>
      </c>
      <c r="S39" s="3">
        <f>TABL12345[[#This Row],[الفرق بين بداية ونهاية خط  S/S]]+TABL12345[[#This Row],[الفرق بين بداية ونهاية خط  T/B]]</f>
        <v>0</v>
      </c>
      <c r="T39" s="3">
        <f t="shared" si="0"/>
        <v>0</v>
      </c>
      <c r="U39" s="41"/>
      <c r="V39" s="41"/>
      <c r="W39" s="3">
        <f t="shared" si="1"/>
        <v>0</v>
      </c>
      <c r="X39" s="3">
        <f t="shared" si="2"/>
        <v>0</v>
      </c>
      <c r="Y39" s="41"/>
      <c r="Z39" s="43"/>
      <c r="AA39" s="3">
        <f>TABL12345[[#This Row],[(RESV. STORGE) AJD]]/10</f>
        <v>0</v>
      </c>
      <c r="AB39" s="45">
        <f t="shared" si="3"/>
        <v>0</v>
      </c>
      <c r="AC39" s="5"/>
      <c r="AD39" s="39">
        <f>(TABL12345[[#This Row],[( S/S+T/B) AJD]]*1000)-((TABL12345[[#This Row],[(STORGE DIFF.) AJD]]*1000)+TABL12345[[#This Row],[البخر  AJD]]+(TABL12345[[#This Row],[(A/B + A/S) AJD]]*1000))</f>
        <v>0</v>
      </c>
      <c r="AE39" s="41"/>
      <c r="AF39" s="43"/>
      <c r="AG39" s="43"/>
      <c r="AH39" s="6">
        <f>TABL12345[[#This Row],[ (RESV. STORGE) BER]]/10</f>
        <v>0</v>
      </c>
      <c r="AI39" s="41"/>
      <c r="AJ39" s="43">
        <f>TABL12345[[#This Row],[(A/B TOT) AJD]]-TABL12345[[#This Row],[BER_ IN]]</f>
        <v>0</v>
      </c>
      <c r="AK39" s="43"/>
      <c r="AL39" s="43"/>
      <c r="AM39" s="32"/>
      <c r="AN39" s="32">
        <f>TABL12345[[#This Row],[ (RESV. STORGE) SER]]/10</f>
        <v>0</v>
      </c>
      <c r="AO39" s="68"/>
      <c r="AP39" s="68">
        <f>TABL12345[[#This Row],[(A/S TOT) AJD]]-TABL12345[[#This Row],[SER_ IN]]</f>
        <v>0</v>
      </c>
    </row>
    <row r="40" spans="1:42" ht="18.75" x14ac:dyDescent="0.25">
      <c r="A40" s="2">
        <v>46791</v>
      </c>
      <c r="B40" s="44"/>
      <c r="C40" s="44"/>
      <c r="D40" s="44"/>
      <c r="E40" s="44"/>
      <c r="F40" s="44"/>
      <c r="G40" s="40"/>
      <c r="H40" s="28"/>
      <c r="I40" s="40"/>
      <c r="J40" s="44"/>
      <c r="K40" s="28">
        <f>TABL12345[[#This Row],[خط (T/B  TOT) SAR]]+TABL12345[[#This Row],[خط (S/S  TOT) SAR2]]</f>
        <v>0</v>
      </c>
      <c r="L40" s="45"/>
      <c r="M40" s="46"/>
      <c r="N40" s="46"/>
      <c r="O40" s="40"/>
      <c r="P40" s="3">
        <f>TABL12345[[#This Row],[خط (S/S  TOT) SAR2]]-TABL12345[[#This Row],[(S/S TOT) AJD]]</f>
        <v>0</v>
      </c>
      <c r="Q40" s="40"/>
      <c r="R40" s="3">
        <f>TABL12345[[#This Row],[خط (T/B  TOT) SAR]]-TABL12345[[#This Row],[(T/B TOT) AJD]]</f>
        <v>0</v>
      </c>
      <c r="S40" s="3">
        <f>TABL12345[[#This Row],[الفرق بين بداية ونهاية خط  S/S]]+TABL12345[[#This Row],[الفرق بين بداية ونهاية خط  T/B]]</f>
        <v>0</v>
      </c>
      <c r="T40" s="3">
        <f t="shared" si="0"/>
        <v>0</v>
      </c>
      <c r="U40" s="44"/>
      <c r="V40" s="44"/>
      <c r="W40" s="3">
        <f t="shared" si="1"/>
        <v>0</v>
      </c>
      <c r="X40" s="3">
        <f t="shared" si="2"/>
        <v>0</v>
      </c>
      <c r="Y40" s="44"/>
      <c r="Z40" s="45"/>
      <c r="AA40" s="3">
        <f>TABL12345[[#This Row],[(RESV. STORGE) AJD]]/10</f>
        <v>0</v>
      </c>
      <c r="AB40" s="45">
        <f t="shared" si="3"/>
        <v>0</v>
      </c>
      <c r="AC40" s="5"/>
      <c r="AD40" s="40">
        <f>(TABL12345[[#This Row],[( S/S+T/B) AJD]]*1000)-((TABL12345[[#This Row],[(STORGE DIFF.) AJD]]*1000)+TABL12345[[#This Row],[البخر  AJD]]+(TABL12345[[#This Row],[(A/B + A/S) AJD]]*1000))</f>
        <v>0</v>
      </c>
      <c r="AE40" s="44"/>
      <c r="AF40" s="45"/>
      <c r="AG40" s="45"/>
      <c r="AH40" s="6">
        <f>TABL12345[[#This Row],[ (RESV. STORGE) BER]]/10</f>
        <v>0</v>
      </c>
      <c r="AI40" s="44"/>
      <c r="AJ40" s="45">
        <f>TABL12345[[#This Row],[(A/B TOT) AJD]]-TABL12345[[#This Row],[BER_ IN]]</f>
        <v>0</v>
      </c>
      <c r="AK40" s="45"/>
      <c r="AL40" s="45"/>
      <c r="AM40" s="32"/>
      <c r="AN40" s="32">
        <f>TABL12345[[#This Row],[ (RESV. STORGE) SER]]/10</f>
        <v>0</v>
      </c>
      <c r="AO40" s="68"/>
      <c r="AP40" s="68">
        <f>TABL12345[[#This Row],[(A/S TOT) AJD]]-TABL12345[[#This Row],[SER_ IN]]</f>
        <v>0</v>
      </c>
    </row>
    <row r="41" spans="1:42" ht="18.75" x14ac:dyDescent="0.25">
      <c r="A41" s="2">
        <v>46792</v>
      </c>
      <c r="B41" s="41"/>
      <c r="C41" s="41"/>
      <c r="D41" s="41"/>
      <c r="E41" s="41"/>
      <c r="F41" s="41"/>
      <c r="G41" s="39"/>
      <c r="H41" s="28"/>
      <c r="I41" s="39"/>
      <c r="J41" s="39"/>
      <c r="K41" s="28">
        <f>TABL12345[[#This Row],[خط (T/B  TOT) SAR]]+TABL12345[[#This Row],[خط (S/S  TOT) SAR2]]</f>
        <v>0</v>
      </c>
      <c r="L41" s="41"/>
      <c r="M41" s="42"/>
      <c r="N41" s="42"/>
      <c r="O41" s="39"/>
      <c r="P41" s="3">
        <f>TABL12345[[#This Row],[خط (S/S  TOT) SAR2]]-TABL12345[[#This Row],[(S/S TOT) AJD]]</f>
        <v>0</v>
      </c>
      <c r="Q41" s="39"/>
      <c r="R41" s="3">
        <f>TABL12345[[#This Row],[خط (T/B  TOT) SAR]]-TABL12345[[#This Row],[(T/B TOT) AJD]]</f>
        <v>0</v>
      </c>
      <c r="S41" s="3">
        <f>TABL12345[[#This Row],[الفرق بين بداية ونهاية خط  S/S]]+TABL12345[[#This Row],[الفرق بين بداية ونهاية خط  T/B]]</f>
        <v>0</v>
      </c>
      <c r="T41" s="3">
        <f t="shared" si="0"/>
        <v>0</v>
      </c>
      <c r="U41" s="41"/>
      <c r="V41" s="41"/>
      <c r="W41" s="3">
        <f t="shared" si="1"/>
        <v>0</v>
      </c>
      <c r="X41" s="3">
        <f t="shared" si="2"/>
        <v>0</v>
      </c>
      <c r="Y41" s="41"/>
      <c r="Z41" s="43"/>
      <c r="AA41" s="3">
        <f>TABL12345[[#This Row],[(RESV. STORGE) AJD]]/10</f>
        <v>0</v>
      </c>
      <c r="AB41" s="45">
        <f t="shared" si="3"/>
        <v>0</v>
      </c>
      <c r="AC41" s="5"/>
      <c r="AD41" s="39">
        <f>(TABL12345[[#This Row],[( S/S+T/B) AJD]]*1000)-((TABL12345[[#This Row],[(STORGE DIFF.) AJD]]*1000)+TABL12345[[#This Row],[البخر  AJD]]+(TABL12345[[#This Row],[(A/B + A/S) AJD]]*1000))</f>
        <v>0</v>
      </c>
      <c r="AE41" s="41"/>
      <c r="AF41" s="43"/>
      <c r="AG41" s="43"/>
      <c r="AH41" s="6">
        <f>TABL12345[[#This Row],[ (RESV. STORGE) BER]]/10</f>
        <v>0</v>
      </c>
      <c r="AI41" s="41"/>
      <c r="AJ41" s="43">
        <f>TABL12345[[#This Row],[(A/B TOT) AJD]]-TABL12345[[#This Row],[BER_ IN]]</f>
        <v>0</v>
      </c>
      <c r="AK41" s="43"/>
      <c r="AL41" s="43"/>
      <c r="AM41" s="32"/>
      <c r="AN41" s="32">
        <f>TABL12345[[#This Row],[ (RESV. STORGE) SER]]/10</f>
        <v>0</v>
      </c>
      <c r="AO41" s="68"/>
      <c r="AP41" s="68">
        <f>TABL12345[[#This Row],[(A/S TOT) AJD]]-TABL12345[[#This Row],[SER_ IN]]</f>
        <v>0</v>
      </c>
    </row>
    <row r="42" spans="1:42" ht="18.75" x14ac:dyDescent="0.25">
      <c r="A42" s="2">
        <v>46793</v>
      </c>
      <c r="B42" s="44"/>
      <c r="C42" s="44"/>
      <c r="D42" s="44"/>
      <c r="E42" s="44"/>
      <c r="F42" s="44"/>
      <c r="G42" s="40"/>
      <c r="H42" s="28"/>
      <c r="I42" s="40"/>
      <c r="J42" s="44"/>
      <c r="K42" s="28">
        <f>TABL12345[[#This Row],[خط (T/B  TOT) SAR]]+TABL12345[[#This Row],[خط (S/S  TOT) SAR2]]</f>
        <v>0</v>
      </c>
      <c r="L42" s="45"/>
      <c r="M42" s="46"/>
      <c r="N42" s="46"/>
      <c r="O42" s="40"/>
      <c r="P42" s="3">
        <f>TABL12345[[#This Row],[خط (S/S  TOT) SAR2]]-TABL12345[[#This Row],[(S/S TOT) AJD]]</f>
        <v>0</v>
      </c>
      <c r="Q42" s="40"/>
      <c r="R42" s="3">
        <f>TABL12345[[#This Row],[خط (T/B  TOT) SAR]]-TABL12345[[#This Row],[(T/B TOT) AJD]]</f>
        <v>0</v>
      </c>
      <c r="S42" s="3">
        <f>TABL12345[[#This Row],[الفرق بين بداية ونهاية خط  S/S]]+TABL12345[[#This Row],[الفرق بين بداية ونهاية خط  T/B]]</f>
        <v>0</v>
      </c>
      <c r="T42" s="3">
        <f t="shared" si="0"/>
        <v>0</v>
      </c>
      <c r="U42" s="44"/>
      <c r="V42" s="44"/>
      <c r="W42" s="3">
        <f t="shared" si="1"/>
        <v>0</v>
      </c>
      <c r="X42" s="3">
        <f t="shared" si="2"/>
        <v>0</v>
      </c>
      <c r="Y42" s="44"/>
      <c r="Z42" s="45"/>
      <c r="AA42" s="3">
        <f>TABL12345[[#This Row],[(RESV. STORGE) AJD]]/10</f>
        <v>0</v>
      </c>
      <c r="AB42" s="45">
        <f t="shared" si="3"/>
        <v>0</v>
      </c>
      <c r="AC42" s="5"/>
      <c r="AD42" s="40">
        <f>(TABL12345[[#This Row],[( S/S+T/B) AJD]]*1000)-((TABL12345[[#This Row],[(STORGE DIFF.) AJD]]*1000)+TABL12345[[#This Row],[البخر  AJD]]+(TABL12345[[#This Row],[(A/B + A/S) AJD]]*1000))</f>
        <v>0</v>
      </c>
      <c r="AE42" s="44"/>
      <c r="AF42" s="45"/>
      <c r="AG42" s="45"/>
      <c r="AH42" s="6">
        <f>TABL12345[[#This Row],[ (RESV. STORGE) BER]]/10</f>
        <v>0</v>
      </c>
      <c r="AI42" s="44"/>
      <c r="AJ42" s="45">
        <f>TABL12345[[#This Row],[(A/B TOT) AJD]]-TABL12345[[#This Row],[BER_ IN]]</f>
        <v>0</v>
      </c>
      <c r="AK42" s="45"/>
      <c r="AL42" s="45"/>
      <c r="AM42" s="32"/>
      <c r="AN42" s="32">
        <f>TABL12345[[#This Row],[ (RESV. STORGE) SER]]/10</f>
        <v>0</v>
      </c>
      <c r="AO42" s="68"/>
      <c r="AP42" s="68">
        <f>TABL12345[[#This Row],[(A/S TOT) AJD]]-TABL12345[[#This Row],[SER_ IN]]</f>
        <v>0</v>
      </c>
    </row>
    <row r="43" spans="1:42" ht="18.75" x14ac:dyDescent="0.25">
      <c r="A43" s="2">
        <v>46794</v>
      </c>
      <c r="B43" s="41"/>
      <c r="C43" s="41"/>
      <c r="D43" s="41"/>
      <c r="E43" s="41"/>
      <c r="F43" s="41"/>
      <c r="G43" s="39"/>
      <c r="H43" s="28"/>
      <c r="I43" s="39"/>
      <c r="J43" s="39"/>
      <c r="K43" s="28">
        <f>TABL12345[[#This Row],[خط (T/B  TOT) SAR]]+TABL12345[[#This Row],[خط (S/S  TOT) SAR2]]</f>
        <v>0</v>
      </c>
      <c r="L43" s="41"/>
      <c r="M43" s="42"/>
      <c r="N43" s="42"/>
      <c r="O43" s="39"/>
      <c r="P43" s="3">
        <f>TABL12345[[#This Row],[خط (S/S  TOT) SAR2]]-TABL12345[[#This Row],[(S/S TOT) AJD]]</f>
        <v>0</v>
      </c>
      <c r="Q43" s="39"/>
      <c r="R43" s="3">
        <f>TABL12345[[#This Row],[خط (T/B  TOT) SAR]]-TABL12345[[#This Row],[(T/B TOT) AJD]]</f>
        <v>0</v>
      </c>
      <c r="S43" s="3">
        <f>TABL12345[[#This Row],[الفرق بين بداية ونهاية خط  S/S]]+TABL12345[[#This Row],[الفرق بين بداية ونهاية خط  T/B]]</f>
        <v>0</v>
      </c>
      <c r="T43" s="3">
        <f t="shared" si="0"/>
        <v>0</v>
      </c>
      <c r="U43" s="41"/>
      <c r="V43" s="41"/>
      <c r="W43" s="3">
        <f t="shared" si="1"/>
        <v>0</v>
      </c>
      <c r="X43" s="3">
        <f t="shared" si="2"/>
        <v>0</v>
      </c>
      <c r="Y43" s="41"/>
      <c r="Z43" s="43"/>
      <c r="AA43" s="3">
        <f>TABL12345[[#This Row],[(RESV. STORGE) AJD]]/10</f>
        <v>0</v>
      </c>
      <c r="AB43" s="45">
        <f t="shared" si="3"/>
        <v>0</v>
      </c>
      <c r="AC43" s="5"/>
      <c r="AD43" s="39">
        <f>(TABL12345[[#This Row],[( S/S+T/B) AJD]]*1000)-((TABL12345[[#This Row],[(STORGE DIFF.) AJD]]*1000)+TABL12345[[#This Row],[البخر  AJD]]+(TABL12345[[#This Row],[(A/B + A/S) AJD]]*1000))</f>
        <v>0</v>
      </c>
      <c r="AE43" s="41"/>
      <c r="AF43" s="43"/>
      <c r="AG43" s="43"/>
      <c r="AH43" s="6">
        <f>TABL12345[[#This Row],[ (RESV. STORGE) BER]]/10</f>
        <v>0</v>
      </c>
      <c r="AI43" s="41"/>
      <c r="AJ43" s="43">
        <f>TABL12345[[#This Row],[(A/B TOT) AJD]]-TABL12345[[#This Row],[BER_ IN]]</f>
        <v>0</v>
      </c>
      <c r="AK43" s="43"/>
      <c r="AL43" s="43"/>
      <c r="AM43" s="32"/>
      <c r="AN43" s="32">
        <f>TABL12345[[#This Row],[ (RESV. STORGE) SER]]/10</f>
        <v>0</v>
      </c>
      <c r="AO43" s="68"/>
      <c r="AP43" s="68">
        <f>TABL12345[[#This Row],[(A/S TOT) AJD]]-TABL12345[[#This Row],[SER_ IN]]</f>
        <v>0</v>
      </c>
    </row>
    <row r="44" spans="1:42" ht="18.75" x14ac:dyDescent="0.25">
      <c r="A44" s="2">
        <v>46795</v>
      </c>
      <c r="B44" s="44"/>
      <c r="C44" s="44"/>
      <c r="D44" s="44"/>
      <c r="E44" s="44"/>
      <c r="F44" s="44"/>
      <c r="G44" s="40"/>
      <c r="H44" s="28"/>
      <c r="I44" s="40"/>
      <c r="J44" s="44"/>
      <c r="K44" s="28">
        <f>TABL12345[[#This Row],[خط (T/B  TOT) SAR]]+TABL12345[[#This Row],[خط (S/S  TOT) SAR2]]</f>
        <v>0</v>
      </c>
      <c r="L44" s="45"/>
      <c r="M44" s="46"/>
      <c r="N44" s="46"/>
      <c r="O44" s="40"/>
      <c r="P44" s="3">
        <f>TABL12345[[#This Row],[خط (S/S  TOT) SAR2]]-TABL12345[[#This Row],[(S/S TOT) AJD]]</f>
        <v>0</v>
      </c>
      <c r="Q44" s="40"/>
      <c r="R44" s="3">
        <f>TABL12345[[#This Row],[خط (T/B  TOT) SAR]]-TABL12345[[#This Row],[(T/B TOT) AJD]]</f>
        <v>0</v>
      </c>
      <c r="S44" s="3">
        <f>TABL12345[[#This Row],[الفرق بين بداية ونهاية خط  S/S]]+TABL12345[[#This Row],[الفرق بين بداية ونهاية خط  T/B]]</f>
        <v>0</v>
      </c>
      <c r="T44" s="3">
        <f t="shared" si="0"/>
        <v>0</v>
      </c>
      <c r="U44" s="44"/>
      <c r="V44" s="44"/>
      <c r="W44" s="3">
        <f t="shared" si="1"/>
        <v>0</v>
      </c>
      <c r="X44" s="3">
        <f t="shared" si="2"/>
        <v>0</v>
      </c>
      <c r="Y44" s="44"/>
      <c r="Z44" s="45"/>
      <c r="AA44" s="3">
        <f>TABL12345[[#This Row],[(RESV. STORGE) AJD]]/10</f>
        <v>0</v>
      </c>
      <c r="AB44" s="45">
        <f t="shared" si="3"/>
        <v>0</v>
      </c>
      <c r="AC44" s="5"/>
      <c r="AD44" s="40">
        <f>(TABL12345[[#This Row],[( S/S+T/B) AJD]]*1000)-((TABL12345[[#This Row],[(STORGE DIFF.) AJD]]*1000)+TABL12345[[#This Row],[البخر  AJD]]+(TABL12345[[#This Row],[(A/B + A/S) AJD]]*1000))</f>
        <v>0</v>
      </c>
      <c r="AE44" s="44"/>
      <c r="AF44" s="45"/>
      <c r="AG44" s="45"/>
      <c r="AH44" s="6">
        <f>TABL12345[[#This Row],[ (RESV. STORGE) BER]]/10</f>
        <v>0</v>
      </c>
      <c r="AI44" s="44"/>
      <c r="AJ44" s="45">
        <f>TABL12345[[#This Row],[(A/B TOT) AJD]]-TABL12345[[#This Row],[BER_ IN]]</f>
        <v>0</v>
      </c>
      <c r="AK44" s="45"/>
      <c r="AL44" s="45"/>
      <c r="AM44" s="32"/>
      <c r="AN44" s="32">
        <f>TABL12345[[#This Row],[ (RESV. STORGE) SER]]/10</f>
        <v>0</v>
      </c>
      <c r="AO44" s="68"/>
      <c r="AP44" s="68">
        <f>TABL12345[[#This Row],[(A/S TOT) AJD]]-TABL12345[[#This Row],[SER_ IN]]</f>
        <v>0</v>
      </c>
    </row>
    <row r="45" spans="1:42" ht="18.75" x14ac:dyDescent="0.25">
      <c r="A45" s="2">
        <v>46796</v>
      </c>
      <c r="B45" s="41"/>
      <c r="C45" s="41"/>
      <c r="D45" s="41"/>
      <c r="E45" s="41"/>
      <c r="F45" s="41"/>
      <c r="G45" s="39"/>
      <c r="H45" s="28"/>
      <c r="I45" s="39"/>
      <c r="J45" s="39"/>
      <c r="K45" s="28">
        <f>TABL12345[[#This Row],[خط (T/B  TOT) SAR]]+TABL12345[[#This Row],[خط (S/S  TOT) SAR2]]</f>
        <v>0</v>
      </c>
      <c r="L45" s="41"/>
      <c r="M45" s="42"/>
      <c r="N45" s="42"/>
      <c r="O45" s="39"/>
      <c r="P45" s="3">
        <f>TABL12345[[#This Row],[خط (S/S  TOT) SAR2]]-TABL12345[[#This Row],[(S/S TOT) AJD]]</f>
        <v>0</v>
      </c>
      <c r="Q45" s="39"/>
      <c r="R45" s="3">
        <f>TABL12345[[#This Row],[خط (T/B  TOT) SAR]]-TABL12345[[#This Row],[(T/B TOT) AJD]]</f>
        <v>0</v>
      </c>
      <c r="S45" s="3">
        <f>TABL12345[[#This Row],[الفرق بين بداية ونهاية خط  S/S]]+TABL12345[[#This Row],[الفرق بين بداية ونهاية خط  T/B]]</f>
        <v>0</v>
      </c>
      <c r="T45" s="3">
        <f t="shared" si="0"/>
        <v>0</v>
      </c>
      <c r="U45" s="41"/>
      <c r="V45" s="41"/>
      <c r="W45" s="3">
        <f t="shared" si="1"/>
        <v>0</v>
      </c>
      <c r="X45" s="3">
        <f t="shared" si="2"/>
        <v>0</v>
      </c>
      <c r="Y45" s="41"/>
      <c r="Z45" s="43"/>
      <c r="AA45" s="3">
        <f>TABL12345[[#This Row],[(RESV. STORGE) AJD]]/10</f>
        <v>0</v>
      </c>
      <c r="AB45" s="45">
        <f t="shared" si="3"/>
        <v>0</v>
      </c>
      <c r="AC45" s="5"/>
      <c r="AD45" s="39">
        <f>(TABL12345[[#This Row],[( S/S+T/B) AJD]]*1000)-((TABL12345[[#This Row],[(STORGE DIFF.) AJD]]*1000)+TABL12345[[#This Row],[البخر  AJD]]+(TABL12345[[#This Row],[(A/B + A/S) AJD]]*1000))</f>
        <v>0</v>
      </c>
      <c r="AE45" s="41"/>
      <c r="AF45" s="43"/>
      <c r="AG45" s="43"/>
      <c r="AH45" s="6">
        <f>TABL12345[[#This Row],[ (RESV. STORGE) BER]]/10</f>
        <v>0</v>
      </c>
      <c r="AI45" s="41"/>
      <c r="AJ45" s="43">
        <f>TABL12345[[#This Row],[(A/B TOT) AJD]]-TABL12345[[#This Row],[BER_ IN]]</f>
        <v>0</v>
      </c>
      <c r="AK45" s="43"/>
      <c r="AL45" s="43"/>
      <c r="AM45" s="32"/>
      <c r="AN45" s="32">
        <f>TABL12345[[#This Row],[ (RESV. STORGE) SER]]/10</f>
        <v>0</v>
      </c>
      <c r="AO45" s="68"/>
      <c r="AP45" s="68">
        <f>TABL12345[[#This Row],[(A/S TOT) AJD]]-TABL12345[[#This Row],[SER_ IN]]</f>
        <v>0</v>
      </c>
    </row>
    <row r="46" spans="1:42" ht="18.75" x14ac:dyDescent="0.25">
      <c r="A46" s="2">
        <v>46797</v>
      </c>
      <c r="B46" s="44"/>
      <c r="C46" s="44"/>
      <c r="D46" s="44"/>
      <c r="E46" s="44"/>
      <c r="F46" s="44"/>
      <c r="G46" s="40"/>
      <c r="H46" s="28"/>
      <c r="I46" s="40"/>
      <c r="J46" s="44"/>
      <c r="K46" s="28">
        <f>TABL12345[[#This Row],[خط (T/B  TOT) SAR]]+TABL12345[[#This Row],[خط (S/S  TOT) SAR2]]</f>
        <v>0</v>
      </c>
      <c r="L46" s="45"/>
      <c r="M46" s="46"/>
      <c r="N46" s="46"/>
      <c r="O46" s="40"/>
      <c r="P46" s="3">
        <f>TABL12345[[#This Row],[خط (S/S  TOT) SAR2]]-TABL12345[[#This Row],[(S/S TOT) AJD]]</f>
        <v>0</v>
      </c>
      <c r="Q46" s="40"/>
      <c r="R46" s="3">
        <f>TABL12345[[#This Row],[خط (T/B  TOT) SAR]]-TABL12345[[#This Row],[(T/B TOT) AJD]]</f>
        <v>0</v>
      </c>
      <c r="S46" s="3">
        <f>TABL12345[[#This Row],[الفرق بين بداية ونهاية خط  S/S]]+TABL12345[[#This Row],[الفرق بين بداية ونهاية خط  T/B]]</f>
        <v>0</v>
      </c>
      <c r="T46" s="3">
        <f t="shared" si="0"/>
        <v>0</v>
      </c>
      <c r="U46" s="44"/>
      <c r="V46" s="44"/>
      <c r="W46" s="3">
        <f t="shared" si="1"/>
        <v>0</v>
      </c>
      <c r="X46" s="3">
        <f t="shared" si="2"/>
        <v>0</v>
      </c>
      <c r="Y46" s="44"/>
      <c r="Z46" s="45"/>
      <c r="AA46" s="3">
        <f>TABL12345[[#This Row],[(RESV. STORGE) AJD]]/10</f>
        <v>0</v>
      </c>
      <c r="AB46" s="45">
        <f t="shared" si="3"/>
        <v>0</v>
      </c>
      <c r="AC46" s="5"/>
      <c r="AD46" s="40">
        <f>(TABL12345[[#This Row],[( S/S+T/B) AJD]]*1000)-((TABL12345[[#This Row],[(STORGE DIFF.) AJD]]*1000)+TABL12345[[#This Row],[البخر  AJD]]+(TABL12345[[#This Row],[(A/B + A/S) AJD]]*1000))</f>
        <v>0</v>
      </c>
      <c r="AE46" s="44"/>
      <c r="AF46" s="45"/>
      <c r="AG46" s="45"/>
      <c r="AH46" s="6">
        <f>TABL12345[[#This Row],[ (RESV. STORGE) BER]]/10</f>
        <v>0</v>
      </c>
      <c r="AI46" s="44"/>
      <c r="AJ46" s="45">
        <f>TABL12345[[#This Row],[(A/B TOT) AJD]]-TABL12345[[#This Row],[BER_ IN]]</f>
        <v>0</v>
      </c>
      <c r="AK46" s="45"/>
      <c r="AL46" s="45"/>
      <c r="AM46" s="32"/>
      <c r="AN46" s="32">
        <f>TABL12345[[#This Row],[ (RESV. STORGE) SER]]/10</f>
        <v>0</v>
      </c>
      <c r="AO46" s="68"/>
      <c r="AP46" s="68">
        <f>TABL12345[[#This Row],[(A/S TOT) AJD]]-TABL12345[[#This Row],[SER_ IN]]</f>
        <v>0</v>
      </c>
    </row>
    <row r="47" spans="1:42" ht="18.75" x14ac:dyDescent="0.25">
      <c r="A47" s="2">
        <v>46798</v>
      </c>
      <c r="B47" s="41"/>
      <c r="C47" s="41"/>
      <c r="D47" s="41"/>
      <c r="E47" s="41"/>
      <c r="F47" s="41"/>
      <c r="G47" s="39"/>
      <c r="H47" s="28"/>
      <c r="I47" s="39"/>
      <c r="J47" s="39"/>
      <c r="K47" s="28">
        <f>TABL12345[[#This Row],[خط (T/B  TOT) SAR]]+TABL12345[[#This Row],[خط (S/S  TOT) SAR2]]</f>
        <v>0</v>
      </c>
      <c r="L47" s="41"/>
      <c r="M47" s="42"/>
      <c r="N47" s="42"/>
      <c r="O47" s="39"/>
      <c r="P47" s="3">
        <f>TABL12345[[#This Row],[خط (S/S  TOT) SAR2]]-TABL12345[[#This Row],[(S/S TOT) AJD]]</f>
        <v>0</v>
      </c>
      <c r="Q47" s="39"/>
      <c r="R47" s="3">
        <f>TABL12345[[#This Row],[خط (T/B  TOT) SAR]]-TABL12345[[#This Row],[(T/B TOT) AJD]]</f>
        <v>0</v>
      </c>
      <c r="S47" s="3">
        <f>TABL12345[[#This Row],[الفرق بين بداية ونهاية خط  S/S]]+TABL12345[[#This Row],[الفرق بين بداية ونهاية خط  T/B]]</f>
        <v>0</v>
      </c>
      <c r="T47" s="3">
        <f t="shared" si="0"/>
        <v>0</v>
      </c>
      <c r="U47" s="41"/>
      <c r="V47" s="41"/>
      <c r="W47" s="3">
        <f t="shared" si="1"/>
        <v>0</v>
      </c>
      <c r="X47" s="3">
        <f t="shared" si="2"/>
        <v>0</v>
      </c>
      <c r="Y47" s="41"/>
      <c r="Z47" s="43"/>
      <c r="AA47" s="3">
        <f>TABL12345[[#This Row],[(RESV. STORGE) AJD]]/10</f>
        <v>0</v>
      </c>
      <c r="AB47" s="45">
        <f t="shared" si="3"/>
        <v>0</v>
      </c>
      <c r="AC47" s="5"/>
      <c r="AD47" s="39">
        <f>(TABL12345[[#This Row],[( S/S+T/B) AJD]]*1000)-((TABL12345[[#This Row],[(STORGE DIFF.) AJD]]*1000)+TABL12345[[#This Row],[البخر  AJD]]+(TABL12345[[#This Row],[(A/B + A/S) AJD]]*1000))</f>
        <v>0</v>
      </c>
      <c r="AE47" s="41"/>
      <c r="AF47" s="43"/>
      <c r="AG47" s="43"/>
      <c r="AH47" s="6">
        <f>TABL12345[[#This Row],[ (RESV. STORGE) BER]]/10</f>
        <v>0</v>
      </c>
      <c r="AI47" s="41"/>
      <c r="AJ47" s="43">
        <f>TABL12345[[#This Row],[(A/B TOT) AJD]]-TABL12345[[#This Row],[BER_ IN]]</f>
        <v>0</v>
      </c>
      <c r="AK47" s="43"/>
      <c r="AL47" s="43"/>
      <c r="AM47" s="32"/>
      <c r="AN47" s="32">
        <f>TABL12345[[#This Row],[ (RESV. STORGE) SER]]/10</f>
        <v>0</v>
      </c>
      <c r="AO47" s="68"/>
      <c r="AP47" s="68">
        <f>TABL12345[[#This Row],[(A/S TOT) AJD]]-TABL12345[[#This Row],[SER_ IN]]</f>
        <v>0</v>
      </c>
    </row>
    <row r="48" spans="1:42" ht="18.75" x14ac:dyDescent="0.25">
      <c r="A48" s="2">
        <v>46799</v>
      </c>
      <c r="B48" s="44"/>
      <c r="C48" s="44"/>
      <c r="D48" s="44"/>
      <c r="E48" s="44"/>
      <c r="F48" s="44"/>
      <c r="G48" s="40"/>
      <c r="H48" s="28"/>
      <c r="I48" s="40"/>
      <c r="J48" s="44"/>
      <c r="K48" s="28">
        <f>TABL12345[[#This Row],[خط (T/B  TOT) SAR]]+TABL12345[[#This Row],[خط (S/S  TOT) SAR2]]</f>
        <v>0</v>
      </c>
      <c r="L48" s="45"/>
      <c r="M48" s="46"/>
      <c r="N48" s="46"/>
      <c r="O48" s="40"/>
      <c r="P48" s="3">
        <f>TABL12345[[#This Row],[خط (S/S  TOT) SAR2]]-TABL12345[[#This Row],[(S/S TOT) AJD]]</f>
        <v>0</v>
      </c>
      <c r="Q48" s="40"/>
      <c r="R48" s="3">
        <f>TABL12345[[#This Row],[خط (T/B  TOT) SAR]]-TABL12345[[#This Row],[(T/B TOT) AJD]]</f>
        <v>0</v>
      </c>
      <c r="S48" s="3">
        <f>TABL12345[[#This Row],[الفرق بين بداية ونهاية خط  S/S]]+TABL12345[[#This Row],[الفرق بين بداية ونهاية خط  T/B]]</f>
        <v>0</v>
      </c>
      <c r="T48" s="3">
        <f t="shared" si="0"/>
        <v>0</v>
      </c>
      <c r="U48" s="44"/>
      <c r="V48" s="44"/>
      <c r="W48" s="3">
        <f t="shared" si="1"/>
        <v>0</v>
      </c>
      <c r="X48" s="3">
        <f t="shared" si="2"/>
        <v>0</v>
      </c>
      <c r="Y48" s="44"/>
      <c r="Z48" s="45"/>
      <c r="AA48" s="3">
        <f>TABL12345[[#This Row],[(RESV. STORGE) AJD]]/10</f>
        <v>0</v>
      </c>
      <c r="AB48" s="45">
        <f t="shared" si="3"/>
        <v>0</v>
      </c>
      <c r="AC48" s="5"/>
      <c r="AD48" s="40">
        <f>(TABL12345[[#This Row],[( S/S+T/B) AJD]]*1000)-((TABL12345[[#This Row],[(STORGE DIFF.) AJD]]*1000)+TABL12345[[#This Row],[البخر  AJD]]+(TABL12345[[#This Row],[(A/B + A/S) AJD]]*1000))</f>
        <v>0</v>
      </c>
      <c r="AE48" s="44"/>
      <c r="AF48" s="45"/>
      <c r="AG48" s="45"/>
      <c r="AH48" s="6">
        <f>TABL12345[[#This Row],[ (RESV. STORGE) BER]]/10</f>
        <v>0</v>
      </c>
      <c r="AI48" s="44"/>
      <c r="AJ48" s="45">
        <f>TABL12345[[#This Row],[(A/B TOT) AJD]]-TABL12345[[#This Row],[BER_ IN]]</f>
        <v>0</v>
      </c>
      <c r="AK48" s="45"/>
      <c r="AL48" s="45"/>
      <c r="AM48" s="32"/>
      <c r="AN48" s="32">
        <f>TABL12345[[#This Row],[ (RESV. STORGE) SER]]/10</f>
        <v>0</v>
      </c>
      <c r="AO48" s="68"/>
      <c r="AP48" s="68">
        <f>TABL12345[[#This Row],[(A/S TOT) AJD]]-TABL12345[[#This Row],[SER_ IN]]</f>
        <v>0</v>
      </c>
    </row>
    <row r="49" spans="1:42" ht="18.75" x14ac:dyDescent="0.25">
      <c r="A49" s="2">
        <v>46800</v>
      </c>
      <c r="B49" s="41"/>
      <c r="C49" s="41"/>
      <c r="D49" s="41"/>
      <c r="E49" s="41"/>
      <c r="F49" s="41"/>
      <c r="G49" s="39"/>
      <c r="H49" s="28"/>
      <c r="I49" s="39"/>
      <c r="J49" s="39"/>
      <c r="K49" s="28">
        <f>TABL12345[[#This Row],[خط (T/B  TOT) SAR]]+TABL12345[[#This Row],[خط (S/S  TOT) SAR2]]</f>
        <v>0</v>
      </c>
      <c r="L49" s="41"/>
      <c r="M49" s="42"/>
      <c r="N49" s="42"/>
      <c r="O49" s="39"/>
      <c r="P49" s="3">
        <f>TABL12345[[#This Row],[خط (S/S  TOT) SAR2]]-TABL12345[[#This Row],[(S/S TOT) AJD]]</f>
        <v>0</v>
      </c>
      <c r="Q49" s="39"/>
      <c r="R49" s="3">
        <f>TABL12345[[#This Row],[خط (T/B  TOT) SAR]]-TABL12345[[#This Row],[(T/B TOT) AJD]]</f>
        <v>0</v>
      </c>
      <c r="S49" s="3">
        <f>TABL12345[[#This Row],[الفرق بين بداية ونهاية خط  S/S]]+TABL12345[[#This Row],[الفرق بين بداية ونهاية خط  T/B]]</f>
        <v>0</v>
      </c>
      <c r="T49" s="3">
        <f t="shared" si="0"/>
        <v>0</v>
      </c>
      <c r="U49" s="41"/>
      <c r="V49" s="41"/>
      <c r="W49" s="3">
        <f t="shared" si="1"/>
        <v>0</v>
      </c>
      <c r="X49" s="3">
        <f t="shared" si="2"/>
        <v>0</v>
      </c>
      <c r="Y49" s="41"/>
      <c r="Z49" s="43"/>
      <c r="AA49" s="3">
        <f>TABL12345[[#This Row],[(RESV. STORGE) AJD]]/10</f>
        <v>0</v>
      </c>
      <c r="AB49" s="45">
        <f t="shared" si="3"/>
        <v>0</v>
      </c>
      <c r="AC49" s="5"/>
      <c r="AD49" s="39">
        <f>(TABL12345[[#This Row],[( S/S+T/B) AJD]]*1000)-((TABL12345[[#This Row],[(STORGE DIFF.) AJD]]*1000)+TABL12345[[#This Row],[البخر  AJD]]+(TABL12345[[#This Row],[(A/B + A/S) AJD]]*1000))</f>
        <v>0</v>
      </c>
      <c r="AE49" s="41"/>
      <c r="AF49" s="43"/>
      <c r="AG49" s="43"/>
      <c r="AH49" s="6">
        <f>TABL12345[[#This Row],[ (RESV. STORGE) BER]]/10</f>
        <v>0</v>
      </c>
      <c r="AI49" s="41"/>
      <c r="AJ49" s="43">
        <f>TABL12345[[#This Row],[(A/B TOT) AJD]]-TABL12345[[#This Row],[BER_ IN]]</f>
        <v>0</v>
      </c>
      <c r="AK49" s="43"/>
      <c r="AL49" s="43"/>
      <c r="AM49" s="32"/>
      <c r="AN49" s="32">
        <f>TABL12345[[#This Row],[ (RESV. STORGE) SER]]/10</f>
        <v>0</v>
      </c>
      <c r="AO49" s="68"/>
      <c r="AP49" s="68">
        <f>TABL12345[[#This Row],[(A/S TOT) AJD]]-TABL12345[[#This Row],[SER_ IN]]</f>
        <v>0</v>
      </c>
    </row>
    <row r="50" spans="1:42" ht="18.75" x14ac:dyDescent="0.25">
      <c r="A50" s="2">
        <v>46801</v>
      </c>
      <c r="B50" s="44"/>
      <c r="C50" s="44"/>
      <c r="D50" s="44"/>
      <c r="E50" s="44"/>
      <c r="F50" s="44"/>
      <c r="G50" s="40"/>
      <c r="H50" s="28"/>
      <c r="I50" s="40"/>
      <c r="J50" s="44"/>
      <c r="K50" s="28">
        <f>TABL12345[[#This Row],[خط (T/B  TOT) SAR]]+TABL12345[[#This Row],[خط (S/S  TOT) SAR2]]</f>
        <v>0</v>
      </c>
      <c r="L50" s="45"/>
      <c r="M50" s="46"/>
      <c r="N50" s="46"/>
      <c r="O50" s="40"/>
      <c r="P50" s="3">
        <f>TABL12345[[#This Row],[خط (S/S  TOT) SAR2]]-TABL12345[[#This Row],[(S/S TOT) AJD]]</f>
        <v>0</v>
      </c>
      <c r="Q50" s="40"/>
      <c r="R50" s="3">
        <f>TABL12345[[#This Row],[خط (T/B  TOT) SAR]]-TABL12345[[#This Row],[(T/B TOT) AJD]]</f>
        <v>0</v>
      </c>
      <c r="S50" s="3">
        <f>TABL12345[[#This Row],[الفرق بين بداية ونهاية خط  S/S]]+TABL12345[[#This Row],[الفرق بين بداية ونهاية خط  T/B]]</f>
        <v>0</v>
      </c>
      <c r="T50" s="3">
        <f t="shared" si="0"/>
        <v>0</v>
      </c>
      <c r="U50" s="44"/>
      <c r="V50" s="44"/>
      <c r="W50" s="3">
        <f t="shared" si="1"/>
        <v>0</v>
      </c>
      <c r="X50" s="3">
        <f t="shared" si="2"/>
        <v>0</v>
      </c>
      <c r="Y50" s="44"/>
      <c r="Z50" s="45"/>
      <c r="AA50" s="3">
        <f>TABL12345[[#This Row],[(RESV. STORGE) AJD]]/10</f>
        <v>0</v>
      </c>
      <c r="AB50" s="45">
        <f t="shared" si="3"/>
        <v>0</v>
      </c>
      <c r="AC50" s="5"/>
      <c r="AD50" s="40">
        <f>(TABL12345[[#This Row],[( S/S+T/B) AJD]]*1000)-((TABL12345[[#This Row],[(STORGE DIFF.) AJD]]*1000)+TABL12345[[#This Row],[البخر  AJD]]+(TABL12345[[#This Row],[(A/B + A/S) AJD]]*1000))</f>
        <v>0</v>
      </c>
      <c r="AE50" s="44"/>
      <c r="AF50" s="45"/>
      <c r="AG50" s="45"/>
      <c r="AH50" s="6">
        <f>TABL12345[[#This Row],[ (RESV. STORGE) BER]]/10</f>
        <v>0</v>
      </c>
      <c r="AI50" s="44"/>
      <c r="AJ50" s="45">
        <f>TABL12345[[#This Row],[(A/B TOT) AJD]]-TABL12345[[#This Row],[BER_ IN]]</f>
        <v>0</v>
      </c>
      <c r="AK50" s="45"/>
      <c r="AL50" s="45"/>
      <c r="AM50" s="32"/>
      <c r="AN50" s="32">
        <f>TABL12345[[#This Row],[ (RESV. STORGE) SER]]/10</f>
        <v>0</v>
      </c>
      <c r="AO50" s="68"/>
      <c r="AP50" s="68">
        <f>TABL12345[[#This Row],[(A/S TOT) AJD]]-TABL12345[[#This Row],[SER_ IN]]</f>
        <v>0</v>
      </c>
    </row>
    <row r="51" spans="1:42" ht="18.75" x14ac:dyDescent="0.25">
      <c r="A51" s="2">
        <v>46802</v>
      </c>
      <c r="B51" s="41"/>
      <c r="C51" s="41"/>
      <c r="D51" s="41"/>
      <c r="E51" s="41"/>
      <c r="F51" s="41"/>
      <c r="G51" s="39"/>
      <c r="H51" s="28"/>
      <c r="I51" s="39"/>
      <c r="J51" s="39"/>
      <c r="K51" s="28">
        <f>TABL12345[[#This Row],[خط (T/B  TOT) SAR]]+TABL12345[[#This Row],[خط (S/S  TOT) SAR2]]</f>
        <v>0</v>
      </c>
      <c r="L51" s="41"/>
      <c r="M51" s="42"/>
      <c r="N51" s="42"/>
      <c r="O51" s="39"/>
      <c r="P51" s="3">
        <f>TABL12345[[#This Row],[خط (S/S  TOT) SAR2]]-TABL12345[[#This Row],[(S/S TOT) AJD]]</f>
        <v>0</v>
      </c>
      <c r="Q51" s="39"/>
      <c r="R51" s="3">
        <f>TABL12345[[#This Row],[خط (T/B  TOT) SAR]]-TABL12345[[#This Row],[(T/B TOT) AJD]]</f>
        <v>0</v>
      </c>
      <c r="S51" s="3">
        <f>TABL12345[[#This Row],[الفرق بين بداية ونهاية خط  S/S]]+TABL12345[[#This Row],[الفرق بين بداية ونهاية خط  T/B]]</f>
        <v>0</v>
      </c>
      <c r="T51" s="3">
        <f t="shared" si="0"/>
        <v>0</v>
      </c>
      <c r="U51" s="41"/>
      <c r="V51" s="41"/>
      <c r="W51" s="3">
        <f t="shared" si="1"/>
        <v>0</v>
      </c>
      <c r="X51" s="3">
        <f t="shared" si="2"/>
        <v>0</v>
      </c>
      <c r="Y51" s="41"/>
      <c r="Z51" s="43"/>
      <c r="AA51" s="3">
        <f>TABL12345[[#This Row],[(RESV. STORGE) AJD]]/10</f>
        <v>0</v>
      </c>
      <c r="AB51" s="45">
        <f t="shared" si="3"/>
        <v>0</v>
      </c>
      <c r="AC51" s="5"/>
      <c r="AD51" s="39">
        <f>(TABL12345[[#This Row],[( S/S+T/B) AJD]]*1000)-((TABL12345[[#This Row],[(STORGE DIFF.) AJD]]*1000)+TABL12345[[#This Row],[البخر  AJD]]+(TABL12345[[#This Row],[(A/B + A/S) AJD]]*1000))</f>
        <v>0</v>
      </c>
      <c r="AE51" s="41"/>
      <c r="AF51" s="43"/>
      <c r="AG51" s="43"/>
      <c r="AH51" s="6">
        <f>TABL12345[[#This Row],[ (RESV. STORGE) BER]]/10</f>
        <v>0</v>
      </c>
      <c r="AI51" s="41"/>
      <c r="AJ51" s="43">
        <f>TABL12345[[#This Row],[(A/B TOT) AJD]]-TABL12345[[#This Row],[BER_ IN]]</f>
        <v>0</v>
      </c>
      <c r="AK51" s="43"/>
      <c r="AL51" s="43"/>
      <c r="AM51" s="32"/>
      <c r="AN51" s="32">
        <f>TABL12345[[#This Row],[ (RESV. STORGE) SER]]/10</f>
        <v>0</v>
      </c>
      <c r="AO51" s="68"/>
      <c r="AP51" s="68">
        <f>TABL12345[[#This Row],[(A/S TOT) AJD]]-TABL12345[[#This Row],[SER_ IN]]</f>
        <v>0</v>
      </c>
    </row>
    <row r="52" spans="1:42" ht="18.75" x14ac:dyDescent="0.25">
      <c r="A52" s="2">
        <v>46803</v>
      </c>
      <c r="B52" s="44"/>
      <c r="C52" s="44"/>
      <c r="D52" s="44"/>
      <c r="E52" s="44"/>
      <c r="F52" s="44"/>
      <c r="G52" s="40"/>
      <c r="H52" s="28"/>
      <c r="I52" s="40"/>
      <c r="J52" s="44"/>
      <c r="K52" s="28">
        <f>TABL12345[[#This Row],[خط (T/B  TOT) SAR]]+TABL12345[[#This Row],[خط (S/S  TOT) SAR2]]</f>
        <v>0</v>
      </c>
      <c r="L52" s="45"/>
      <c r="M52" s="46"/>
      <c r="N52" s="46"/>
      <c r="O52" s="40"/>
      <c r="P52" s="3">
        <f>TABL12345[[#This Row],[خط (S/S  TOT) SAR2]]-TABL12345[[#This Row],[(S/S TOT) AJD]]</f>
        <v>0</v>
      </c>
      <c r="Q52" s="40"/>
      <c r="R52" s="3">
        <f>TABL12345[[#This Row],[خط (T/B  TOT) SAR]]-TABL12345[[#This Row],[(T/B TOT) AJD]]</f>
        <v>0</v>
      </c>
      <c r="S52" s="3">
        <f>TABL12345[[#This Row],[الفرق بين بداية ونهاية خط  S/S]]+TABL12345[[#This Row],[الفرق بين بداية ونهاية خط  T/B]]</f>
        <v>0</v>
      </c>
      <c r="T52" s="3">
        <f t="shared" si="0"/>
        <v>0</v>
      </c>
      <c r="U52" s="44"/>
      <c r="V52" s="44"/>
      <c r="W52" s="3">
        <f t="shared" si="1"/>
        <v>0</v>
      </c>
      <c r="X52" s="3">
        <f t="shared" si="2"/>
        <v>0</v>
      </c>
      <c r="Y52" s="44"/>
      <c r="Z52" s="45"/>
      <c r="AA52" s="3">
        <f>TABL12345[[#This Row],[(RESV. STORGE) AJD]]/10</f>
        <v>0</v>
      </c>
      <c r="AB52" s="45">
        <f t="shared" si="3"/>
        <v>0</v>
      </c>
      <c r="AC52" s="5"/>
      <c r="AD52" s="40">
        <f>(TABL12345[[#This Row],[( S/S+T/B) AJD]]*1000)-((TABL12345[[#This Row],[(STORGE DIFF.) AJD]]*1000)+TABL12345[[#This Row],[البخر  AJD]]+(TABL12345[[#This Row],[(A/B + A/S) AJD]]*1000))</f>
        <v>0</v>
      </c>
      <c r="AE52" s="44"/>
      <c r="AF52" s="45"/>
      <c r="AG52" s="45"/>
      <c r="AH52" s="6">
        <f>TABL12345[[#This Row],[ (RESV. STORGE) BER]]/10</f>
        <v>0</v>
      </c>
      <c r="AI52" s="44"/>
      <c r="AJ52" s="45">
        <f>TABL12345[[#This Row],[(A/B TOT) AJD]]-TABL12345[[#This Row],[BER_ IN]]</f>
        <v>0</v>
      </c>
      <c r="AK52" s="45"/>
      <c r="AL52" s="45"/>
      <c r="AM52" s="32"/>
      <c r="AN52" s="32">
        <f>TABL12345[[#This Row],[ (RESV. STORGE) SER]]/10</f>
        <v>0</v>
      </c>
      <c r="AO52" s="68"/>
      <c r="AP52" s="68">
        <f>TABL12345[[#This Row],[(A/S TOT) AJD]]-TABL12345[[#This Row],[SER_ IN]]</f>
        <v>0</v>
      </c>
    </row>
    <row r="53" spans="1:42" ht="18.75" x14ac:dyDescent="0.25">
      <c r="A53" s="2">
        <v>46804</v>
      </c>
      <c r="B53" s="41"/>
      <c r="C53" s="41"/>
      <c r="D53" s="41"/>
      <c r="E53" s="41"/>
      <c r="F53" s="41"/>
      <c r="G53" s="39"/>
      <c r="H53" s="28"/>
      <c r="I53" s="39"/>
      <c r="J53" s="39"/>
      <c r="K53" s="28">
        <f>TABL12345[[#This Row],[خط (T/B  TOT) SAR]]+TABL12345[[#This Row],[خط (S/S  TOT) SAR2]]</f>
        <v>0</v>
      </c>
      <c r="L53" s="41"/>
      <c r="M53" s="42"/>
      <c r="N53" s="42"/>
      <c r="O53" s="39"/>
      <c r="P53" s="3">
        <f>TABL12345[[#This Row],[خط (S/S  TOT) SAR2]]-TABL12345[[#This Row],[(S/S TOT) AJD]]</f>
        <v>0</v>
      </c>
      <c r="Q53" s="39"/>
      <c r="R53" s="3">
        <f>TABL12345[[#This Row],[خط (T/B  TOT) SAR]]-TABL12345[[#This Row],[(T/B TOT) AJD]]</f>
        <v>0</v>
      </c>
      <c r="S53" s="3">
        <f>TABL12345[[#This Row],[الفرق بين بداية ونهاية خط  S/S]]+TABL12345[[#This Row],[الفرق بين بداية ونهاية خط  T/B]]</f>
        <v>0</v>
      </c>
      <c r="T53" s="3">
        <f t="shared" si="0"/>
        <v>0</v>
      </c>
      <c r="U53" s="41"/>
      <c r="V53" s="41"/>
      <c r="W53" s="3">
        <f t="shared" si="1"/>
        <v>0</v>
      </c>
      <c r="X53" s="3">
        <f t="shared" si="2"/>
        <v>0</v>
      </c>
      <c r="Y53" s="41"/>
      <c r="Z53" s="43"/>
      <c r="AA53" s="3">
        <f>TABL12345[[#This Row],[(RESV. STORGE) AJD]]/10</f>
        <v>0</v>
      </c>
      <c r="AB53" s="45">
        <f t="shared" si="3"/>
        <v>0</v>
      </c>
      <c r="AC53" s="5"/>
      <c r="AD53" s="39">
        <f>(TABL12345[[#This Row],[( S/S+T/B) AJD]]*1000)-((TABL12345[[#This Row],[(STORGE DIFF.) AJD]]*1000)+TABL12345[[#This Row],[البخر  AJD]]+(TABL12345[[#This Row],[(A/B + A/S) AJD]]*1000))</f>
        <v>0</v>
      </c>
      <c r="AE53" s="41"/>
      <c r="AF53" s="43"/>
      <c r="AG53" s="43"/>
      <c r="AH53" s="6">
        <f>TABL12345[[#This Row],[ (RESV. STORGE) BER]]/10</f>
        <v>0</v>
      </c>
      <c r="AI53" s="41"/>
      <c r="AJ53" s="43">
        <f>TABL12345[[#This Row],[(A/B TOT) AJD]]-TABL12345[[#This Row],[BER_ IN]]</f>
        <v>0</v>
      </c>
      <c r="AK53" s="43"/>
      <c r="AL53" s="43"/>
      <c r="AM53" s="32"/>
      <c r="AN53" s="32">
        <f>TABL12345[[#This Row],[ (RESV. STORGE) SER]]/10</f>
        <v>0</v>
      </c>
      <c r="AO53" s="68"/>
      <c r="AP53" s="68">
        <f>TABL12345[[#This Row],[(A/S TOT) AJD]]-TABL12345[[#This Row],[SER_ IN]]</f>
        <v>0</v>
      </c>
    </row>
    <row r="54" spans="1:42" ht="18.75" x14ac:dyDescent="0.25">
      <c r="A54" s="2">
        <v>46805</v>
      </c>
      <c r="B54" s="44"/>
      <c r="C54" s="44"/>
      <c r="D54" s="44"/>
      <c r="E54" s="44"/>
      <c r="F54" s="44"/>
      <c r="G54" s="40"/>
      <c r="H54" s="28"/>
      <c r="I54" s="40"/>
      <c r="J54" s="44"/>
      <c r="K54" s="28">
        <f>TABL12345[[#This Row],[خط (T/B  TOT) SAR]]+TABL12345[[#This Row],[خط (S/S  TOT) SAR2]]</f>
        <v>0</v>
      </c>
      <c r="L54" s="45"/>
      <c r="M54" s="46"/>
      <c r="N54" s="46"/>
      <c r="O54" s="40"/>
      <c r="P54" s="3">
        <f>TABL12345[[#This Row],[خط (S/S  TOT) SAR2]]-TABL12345[[#This Row],[(S/S TOT) AJD]]</f>
        <v>0</v>
      </c>
      <c r="Q54" s="40"/>
      <c r="R54" s="3">
        <f>TABL12345[[#This Row],[خط (T/B  TOT) SAR]]-TABL12345[[#This Row],[(T/B TOT) AJD]]</f>
        <v>0</v>
      </c>
      <c r="S54" s="3">
        <f>TABL12345[[#This Row],[الفرق بين بداية ونهاية خط  S/S]]+TABL12345[[#This Row],[الفرق بين بداية ونهاية خط  T/B]]</f>
        <v>0</v>
      </c>
      <c r="T54" s="3">
        <f t="shared" si="0"/>
        <v>0</v>
      </c>
      <c r="U54" s="44"/>
      <c r="V54" s="44"/>
      <c r="W54" s="3">
        <f t="shared" si="1"/>
        <v>0</v>
      </c>
      <c r="X54" s="3">
        <f t="shared" si="2"/>
        <v>0</v>
      </c>
      <c r="Y54" s="44"/>
      <c r="Z54" s="45"/>
      <c r="AA54" s="3">
        <f>TABL12345[[#This Row],[(RESV. STORGE) AJD]]/10</f>
        <v>0</v>
      </c>
      <c r="AB54" s="45">
        <f t="shared" si="3"/>
        <v>0</v>
      </c>
      <c r="AC54" s="5"/>
      <c r="AD54" s="40">
        <f>(TABL12345[[#This Row],[( S/S+T/B) AJD]]*1000)-((TABL12345[[#This Row],[(STORGE DIFF.) AJD]]*1000)+TABL12345[[#This Row],[البخر  AJD]]+(TABL12345[[#This Row],[(A/B + A/S) AJD]]*1000))</f>
        <v>0</v>
      </c>
      <c r="AE54" s="44"/>
      <c r="AF54" s="45"/>
      <c r="AG54" s="45"/>
      <c r="AH54" s="6">
        <f>TABL12345[[#This Row],[ (RESV. STORGE) BER]]/10</f>
        <v>0</v>
      </c>
      <c r="AI54" s="44"/>
      <c r="AJ54" s="45">
        <f>TABL12345[[#This Row],[(A/B TOT) AJD]]-TABL12345[[#This Row],[BER_ IN]]</f>
        <v>0</v>
      </c>
      <c r="AK54" s="45"/>
      <c r="AL54" s="45"/>
      <c r="AM54" s="32"/>
      <c r="AN54" s="32">
        <f>TABL12345[[#This Row],[ (RESV. STORGE) SER]]/10</f>
        <v>0</v>
      </c>
      <c r="AO54" s="68"/>
      <c r="AP54" s="68">
        <f>TABL12345[[#This Row],[(A/S TOT) AJD]]-TABL12345[[#This Row],[SER_ IN]]</f>
        <v>0</v>
      </c>
    </row>
    <row r="55" spans="1:42" ht="18.75" x14ac:dyDescent="0.25">
      <c r="A55" s="2">
        <v>46806</v>
      </c>
      <c r="B55" s="41"/>
      <c r="C55" s="41"/>
      <c r="D55" s="41"/>
      <c r="E55" s="41"/>
      <c r="F55" s="41"/>
      <c r="G55" s="39"/>
      <c r="H55" s="28"/>
      <c r="I55" s="39"/>
      <c r="J55" s="39"/>
      <c r="K55" s="28">
        <f>TABL12345[[#This Row],[خط (T/B  TOT) SAR]]+TABL12345[[#This Row],[خط (S/S  TOT) SAR2]]</f>
        <v>0</v>
      </c>
      <c r="L55" s="41"/>
      <c r="M55" s="42"/>
      <c r="N55" s="42"/>
      <c r="O55" s="39"/>
      <c r="P55" s="3">
        <f>TABL12345[[#This Row],[خط (S/S  TOT) SAR2]]-TABL12345[[#This Row],[(S/S TOT) AJD]]</f>
        <v>0</v>
      </c>
      <c r="Q55" s="39"/>
      <c r="R55" s="3">
        <f>TABL12345[[#This Row],[خط (T/B  TOT) SAR]]-TABL12345[[#This Row],[(T/B TOT) AJD]]</f>
        <v>0</v>
      </c>
      <c r="S55" s="3">
        <f>TABL12345[[#This Row],[الفرق بين بداية ونهاية خط  S/S]]+TABL12345[[#This Row],[الفرق بين بداية ونهاية خط  T/B]]</f>
        <v>0</v>
      </c>
      <c r="T55" s="3">
        <f t="shared" si="0"/>
        <v>0</v>
      </c>
      <c r="U55" s="41"/>
      <c r="V55" s="41"/>
      <c r="W55" s="3">
        <f t="shared" si="1"/>
        <v>0</v>
      </c>
      <c r="X55" s="3">
        <f t="shared" si="2"/>
        <v>0</v>
      </c>
      <c r="Y55" s="41"/>
      <c r="Z55" s="43"/>
      <c r="AA55" s="3">
        <f>TABL12345[[#This Row],[(RESV. STORGE) AJD]]/10</f>
        <v>0</v>
      </c>
      <c r="AB55" s="45">
        <f t="shared" si="3"/>
        <v>0</v>
      </c>
      <c r="AC55" s="5"/>
      <c r="AD55" s="39">
        <f>(TABL12345[[#This Row],[( S/S+T/B) AJD]]*1000)-((TABL12345[[#This Row],[(STORGE DIFF.) AJD]]*1000)+TABL12345[[#This Row],[البخر  AJD]]+(TABL12345[[#This Row],[(A/B + A/S) AJD]]*1000))</f>
        <v>0</v>
      </c>
      <c r="AE55" s="41"/>
      <c r="AF55" s="43"/>
      <c r="AG55" s="43"/>
      <c r="AH55" s="6">
        <f>TABL12345[[#This Row],[ (RESV. STORGE) BER]]/10</f>
        <v>0</v>
      </c>
      <c r="AI55" s="41"/>
      <c r="AJ55" s="43">
        <f>TABL12345[[#This Row],[(A/B TOT) AJD]]-TABL12345[[#This Row],[BER_ IN]]</f>
        <v>0</v>
      </c>
      <c r="AK55" s="43"/>
      <c r="AL55" s="43"/>
      <c r="AM55" s="32"/>
      <c r="AN55" s="32">
        <f>TABL12345[[#This Row],[ (RESV. STORGE) SER]]/10</f>
        <v>0</v>
      </c>
      <c r="AO55" s="68"/>
      <c r="AP55" s="68">
        <f>TABL12345[[#This Row],[(A/S TOT) AJD]]-TABL12345[[#This Row],[SER_ IN]]</f>
        <v>0</v>
      </c>
    </row>
    <row r="56" spans="1:42" ht="18.75" x14ac:dyDescent="0.25">
      <c r="A56" s="2">
        <v>46807</v>
      </c>
      <c r="B56" s="44"/>
      <c r="C56" s="44"/>
      <c r="D56" s="44"/>
      <c r="E56" s="44"/>
      <c r="F56" s="44"/>
      <c r="G56" s="40"/>
      <c r="H56" s="28"/>
      <c r="I56" s="40"/>
      <c r="J56" s="44"/>
      <c r="K56" s="28">
        <f>TABL12345[[#This Row],[خط (T/B  TOT) SAR]]+TABL12345[[#This Row],[خط (S/S  TOT) SAR2]]</f>
        <v>0</v>
      </c>
      <c r="L56" s="45"/>
      <c r="M56" s="46"/>
      <c r="N56" s="46"/>
      <c r="O56" s="40"/>
      <c r="P56" s="3">
        <f>TABL12345[[#This Row],[خط (S/S  TOT) SAR2]]-TABL12345[[#This Row],[(S/S TOT) AJD]]</f>
        <v>0</v>
      </c>
      <c r="Q56" s="40"/>
      <c r="R56" s="3">
        <f>TABL12345[[#This Row],[خط (T/B  TOT) SAR]]-TABL12345[[#This Row],[(T/B TOT) AJD]]</f>
        <v>0</v>
      </c>
      <c r="S56" s="3">
        <f>TABL12345[[#This Row],[الفرق بين بداية ونهاية خط  S/S]]+TABL12345[[#This Row],[الفرق بين بداية ونهاية خط  T/B]]</f>
        <v>0</v>
      </c>
      <c r="T56" s="3">
        <f t="shared" si="0"/>
        <v>0</v>
      </c>
      <c r="U56" s="44"/>
      <c r="V56" s="44"/>
      <c r="W56" s="3">
        <f t="shared" si="1"/>
        <v>0</v>
      </c>
      <c r="X56" s="3">
        <f t="shared" si="2"/>
        <v>0</v>
      </c>
      <c r="Y56" s="44"/>
      <c r="Z56" s="45"/>
      <c r="AA56" s="3">
        <f>TABL12345[[#This Row],[(RESV. STORGE) AJD]]/10</f>
        <v>0</v>
      </c>
      <c r="AB56" s="45">
        <f t="shared" si="3"/>
        <v>0</v>
      </c>
      <c r="AC56" s="5"/>
      <c r="AD56" s="40">
        <f>(TABL12345[[#This Row],[( S/S+T/B) AJD]]*1000)-((TABL12345[[#This Row],[(STORGE DIFF.) AJD]]*1000)+TABL12345[[#This Row],[البخر  AJD]]+(TABL12345[[#This Row],[(A/B + A/S) AJD]]*1000))</f>
        <v>0</v>
      </c>
      <c r="AE56" s="44"/>
      <c r="AF56" s="45"/>
      <c r="AG56" s="45"/>
      <c r="AH56" s="6">
        <f>TABL12345[[#This Row],[ (RESV. STORGE) BER]]/10</f>
        <v>0</v>
      </c>
      <c r="AI56" s="44"/>
      <c r="AJ56" s="45">
        <f>TABL12345[[#This Row],[(A/B TOT) AJD]]-TABL12345[[#This Row],[BER_ IN]]</f>
        <v>0</v>
      </c>
      <c r="AK56" s="45"/>
      <c r="AL56" s="45"/>
      <c r="AM56" s="32"/>
      <c r="AN56" s="32">
        <f>TABL12345[[#This Row],[ (RESV. STORGE) SER]]/10</f>
        <v>0</v>
      </c>
      <c r="AO56" s="68"/>
      <c r="AP56" s="68">
        <f>TABL12345[[#This Row],[(A/S TOT) AJD]]-TABL12345[[#This Row],[SER_ IN]]</f>
        <v>0</v>
      </c>
    </row>
    <row r="57" spans="1:42" ht="18.75" x14ac:dyDescent="0.25">
      <c r="A57" s="2">
        <v>46808</v>
      </c>
      <c r="B57" s="41"/>
      <c r="C57" s="41"/>
      <c r="D57" s="41"/>
      <c r="E57" s="41"/>
      <c r="F57" s="41"/>
      <c r="G57" s="39"/>
      <c r="H57" s="28"/>
      <c r="I57" s="39"/>
      <c r="J57" s="39"/>
      <c r="K57" s="28">
        <f>TABL12345[[#This Row],[خط (T/B  TOT) SAR]]+TABL12345[[#This Row],[خط (S/S  TOT) SAR2]]</f>
        <v>0</v>
      </c>
      <c r="L57" s="41"/>
      <c r="M57" s="42"/>
      <c r="N57" s="42"/>
      <c r="O57" s="39"/>
      <c r="P57" s="3">
        <f>TABL12345[[#This Row],[خط (S/S  TOT) SAR2]]-TABL12345[[#This Row],[(S/S TOT) AJD]]</f>
        <v>0</v>
      </c>
      <c r="Q57" s="39"/>
      <c r="R57" s="3">
        <f>TABL12345[[#This Row],[خط (T/B  TOT) SAR]]-TABL12345[[#This Row],[(T/B TOT) AJD]]</f>
        <v>0</v>
      </c>
      <c r="S57" s="3">
        <f>TABL12345[[#This Row],[الفرق بين بداية ونهاية خط  S/S]]+TABL12345[[#This Row],[الفرق بين بداية ونهاية خط  T/B]]</f>
        <v>0</v>
      </c>
      <c r="T57" s="3">
        <f t="shared" si="0"/>
        <v>0</v>
      </c>
      <c r="U57" s="41"/>
      <c r="V57" s="41"/>
      <c r="W57" s="3">
        <f t="shared" si="1"/>
        <v>0</v>
      </c>
      <c r="X57" s="3">
        <f t="shared" si="2"/>
        <v>0</v>
      </c>
      <c r="Y57" s="41"/>
      <c r="Z57" s="43"/>
      <c r="AA57" s="3">
        <f>TABL12345[[#This Row],[(RESV. STORGE) AJD]]/10</f>
        <v>0</v>
      </c>
      <c r="AB57" s="45">
        <f t="shared" si="3"/>
        <v>0</v>
      </c>
      <c r="AC57" s="5"/>
      <c r="AD57" s="39">
        <f>(TABL12345[[#This Row],[( S/S+T/B) AJD]]*1000)-((TABL12345[[#This Row],[(STORGE DIFF.) AJD]]*1000)+TABL12345[[#This Row],[البخر  AJD]]+(TABL12345[[#This Row],[(A/B + A/S) AJD]]*1000))</f>
        <v>0</v>
      </c>
      <c r="AE57" s="41"/>
      <c r="AF57" s="43"/>
      <c r="AG57" s="43"/>
      <c r="AH57" s="6">
        <f>TABL12345[[#This Row],[ (RESV. STORGE) BER]]/10</f>
        <v>0</v>
      </c>
      <c r="AI57" s="41"/>
      <c r="AJ57" s="43">
        <f>TABL12345[[#This Row],[(A/B TOT) AJD]]-TABL12345[[#This Row],[BER_ IN]]</f>
        <v>0</v>
      </c>
      <c r="AK57" s="43"/>
      <c r="AL57" s="43"/>
      <c r="AM57" s="32"/>
      <c r="AN57" s="32">
        <f>TABL12345[[#This Row],[ (RESV. STORGE) SER]]/10</f>
        <v>0</v>
      </c>
      <c r="AO57" s="68"/>
      <c r="AP57" s="68">
        <f>TABL12345[[#This Row],[(A/S TOT) AJD]]-TABL12345[[#This Row],[SER_ IN]]</f>
        <v>0</v>
      </c>
    </row>
    <row r="58" spans="1:42" ht="18.75" x14ac:dyDescent="0.25">
      <c r="A58" s="2">
        <v>46809</v>
      </c>
      <c r="B58" s="44"/>
      <c r="C58" s="44"/>
      <c r="D58" s="44"/>
      <c r="E58" s="44"/>
      <c r="F58" s="44"/>
      <c r="G58" s="40"/>
      <c r="H58" s="28"/>
      <c r="I58" s="40"/>
      <c r="J58" s="44"/>
      <c r="K58" s="28">
        <f>TABL12345[[#This Row],[خط (T/B  TOT) SAR]]+TABL12345[[#This Row],[خط (S/S  TOT) SAR2]]</f>
        <v>0</v>
      </c>
      <c r="L58" s="45"/>
      <c r="M58" s="46"/>
      <c r="N58" s="46"/>
      <c r="O58" s="40"/>
      <c r="P58" s="3">
        <f>TABL12345[[#This Row],[خط (S/S  TOT) SAR2]]-TABL12345[[#This Row],[(S/S TOT) AJD]]</f>
        <v>0</v>
      </c>
      <c r="Q58" s="40"/>
      <c r="R58" s="3">
        <f>TABL12345[[#This Row],[خط (T/B  TOT) SAR]]-TABL12345[[#This Row],[(T/B TOT) AJD]]</f>
        <v>0</v>
      </c>
      <c r="S58" s="3">
        <f>TABL12345[[#This Row],[الفرق بين بداية ونهاية خط  S/S]]+TABL12345[[#This Row],[الفرق بين بداية ونهاية خط  T/B]]</f>
        <v>0</v>
      </c>
      <c r="T58" s="3">
        <f t="shared" si="0"/>
        <v>0</v>
      </c>
      <c r="U58" s="44"/>
      <c r="V58" s="44"/>
      <c r="W58" s="3">
        <f t="shared" si="1"/>
        <v>0</v>
      </c>
      <c r="X58" s="3">
        <f t="shared" si="2"/>
        <v>0</v>
      </c>
      <c r="Y58" s="44"/>
      <c r="Z58" s="45"/>
      <c r="AA58" s="3">
        <f>TABL12345[[#This Row],[(RESV. STORGE) AJD]]/10</f>
        <v>0</v>
      </c>
      <c r="AB58" s="45">
        <f t="shared" si="3"/>
        <v>0</v>
      </c>
      <c r="AC58" s="5"/>
      <c r="AD58" s="40">
        <f>(TABL12345[[#This Row],[( S/S+T/B) AJD]]*1000)-((TABL12345[[#This Row],[(STORGE DIFF.) AJD]]*1000)+TABL12345[[#This Row],[البخر  AJD]]+(TABL12345[[#This Row],[(A/B + A/S) AJD]]*1000))</f>
        <v>0</v>
      </c>
      <c r="AE58" s="44"/>
      <c r="AF58" s="45"/>
      <c r="AG58" s="45"/>
      <c r="AH58" s="6">
        <f>TABL12345[[#This Row],[ (RESV. STORGE) BER]]/10</f>
        <v>0</v>
      </c>
      <c r="AI58" s="44"/>
      <c r="AJ58" s="45">
        <f>TABL12345[[#This Row],[(A/B TOT) AJD]]-TABL12345[[#This Row],[BER_ IN]]</f>
        <v>0</v>
      </c>
      <c r="AK58" s="45"/>
      <c r="AL58" s="45"/>
      <c r="AM58" s="32"/>
      <c r="AN58" s="32">
        <f>TABL12345[[#This Row],[ (RESV. STORGE) SER]]/10</f>
        <v>0</v>
      </c>
      <c r="AO58" s="68"/>
      <c r="AP58" s="68">
        <f>TABL12345[[#This Row],[(A/S TOT) AJD]]-TABL12345[[#This Row],[SER_ IN]]</f>
        <v>0</v>
      </c>
    </row>
    <row r="59" spans="1:42" ht="18.75" x14ac:dyDescent="0.25">
      <c r="A59" s="2">
        <v>46810</v>
      </c>
      <c r="B59" s="41"/>
      <c r="C59" s="41"/>
      <c r="D59" s="41"/>
      <c r="E59" s="41"/>
      <c r="F59" s="41"/>
      <c r="G59" s="39"/>
      <c r="H59" s="28"/>
      <c r="I59" s="39"/>
      <c r="J59" s="39"/>
      <c r="K59" s="28">
        <f>TABL12345[[#This Row],[خط (T/B  TOT) SAR]]+TABL12345[[#This Row],[خط (S/S  TOT) SAR2]]</f>
        <v>0</v>
      </c>
      <c r="L59" s="41"/>
      <c r="M59" s="42"/>
      <c r="N59" s="42"/>
      <c r="O59" s="39"/>
      <c r="P59" s="3">
        <f>TABL12345[[#This Row],[خط (S/S  TOT) SAR2]]-TABL12345[[#This Row],[(S/S TOT) AJD]]</f>
        <v>0</v>
      </c>
      <c r="Q59" s="39"/>
      <c r="R59" s="3">
        <f>TABL12345[[#This Row],[خط (T/B  TOT) SAR]]-TABL12345[[#This Row],[(T/B TOT) AJD]]</f>
        <v>0</v>
      </c>
      <c r="S59" s="3">
        <f>TABL12345[[#This Row],[الفرق بين بداية ونهاية خط  S/S]]+TABL12345[[#This Row],[الفرق بين بداية ونهاية خط  T/B]]</f>
        <v>0</v>
      </c>
      <c r="T59" s="3">
        <f t="shared" si="0"/>
        <v>0</v>
      </c>
      <c r="U59" s="41"/>
      <c r="V59" s="41"/>
      <c r="W59" s="3">
        <f t="shared" si="1"/>
        <v>0</v>
      </c>
      <c r="X59" s="3">
        <f t="shared" si="2"/>
        <v>0</v>
      </c>
      <c r="Y59" s="41"/>
      <c r="Z59" s="43"/>
      <c r="AA59" s="3">
        <f>TABL12345[[#This Row],[(RESV. STORGE) AJD]]/10</f>
        <v>0</v>
      </c>
      <c r="AB59" s="45">
        <f t="shared" si="3"/>
        <v>0</v>
      </c>
      <c r="AC59" s="5"/>
      <c r="AD59" s="39">
        <f>(TABL12345[[#This Row],[( S/S+T/B) AJD]]*1000)-((TABL12345[[#This Row],[(STORGE DIFF.) AJD]]*1000)+TABL12345[[#This Row],[البخر  AJD]]+(TABL12345[[#This Row],[(A/B + A/S) AJD]]*1000))</f>
        <v>0</v>
      </c>
      <c r="AE59" s="41"/>
      <c r="AF59" s="43"/>
      <c r="AG59" s="43"/>
      <c r="AH59" s="6">
        <f>TABL12345[[#This Row],[ (RESV. STORGE) BER]]/10</f>
        <v>0</v>
      </c>
      <c r="AI59" s="41"/>
      <c r="AJ59" s="43">
        <f>TABL12345[[#This Row],[(A/B TOT) AJD]]-TABL12345[[#This Row],[BER_ IN]]</f>
        <v>0</v>
      </c>
      <c r="AK59" s="43"/>
      <c r="AL59" s="43"/>
      <c r="AM59" s="32"/>
      <c r="AN59" s="32">
        <f>TABL12345[[#This Row],[ (RESV. STORGE) SER]]/10</f>
        <v>0</v>
      </c>
      <c r="AO59" s="68"/>
      <c r="AP59" s="68">
        <f>TABL12345[[#This Row],[(A/S TOT) AJD]]-TABL12345[[#This Row],[SER_ IN]]</f>
        <v>0</v>
      </c>
    </row>
    <row r="60" spans="1:42" ht="18.75" x14ac:dyDescent="0.25">
      <c r="A60" s="2">
        <v>46811</v>
      </c>
      <c r="B60" s="44"/>
      <c r="C60" s="44"/>
      <c r="D60" s="44"/>
      <c r="E60" s="44"/>
      <c r="F60" s="44"/>
      <c r="G60" s="40"/>
      <c r="H60" s="28"/>
      <c r="I60" s="40"/>
      <c r="J60" s="44"/>
      <c r="K60" s="28">
        <f>TABL12345[[#This Row],[خط (T/B  TOT) SAR]]+TABL12345[[#This Row],[خط (S/S  TOT) SAR2]]</f>
        <v>0</v>
      </c>
      <c r="L60" s="45"/>
      <c r="M60" s="46"/>
      <c r="N60" s="46"/>
      <c r="O60" s="40"/>
      <c r="P60" s="3">
        <f>TABL12345[[#This Row],[خط (S/S  TOT) SAR2]]-TABL12345[[#This Row],[(S/S TOT) AJD]]</f>
        <v>0</v>
      </c>
      <c r="Q60" s="40"/>
      <c r="R60" s="3">
        <f>TABL12345[[#This Row],[خط (T/B  TOT) SAR]]-TABL12345[[#This Row],[(T/B TOT) AJD]]</f>
        <v>0</v>
      </c>
      <c r="S60" s="3">
        <f>TABL12345[[#This Row],[الفرق بين بداية ونهاية خط  S/S]]+TABL12345[[#This Row],[الفرق بين بداية ونهاية خط  T/B]]</f>
        <v>0</v>
      </c>
      <c r="T60" s="3">
        <f t="shared" si="0"/>
        <v>0</v>
      </c>
      <c r="U60" s="44"/>
      <c r="V60" s="44"/>
      <c r="W60" s="3">
        <f t="shared" si="1"/>
        <v>0</v>
      </c>
      <c r="X60" s="3">
        <f t="shared" si="2"/>
        <v>0</v>
      </c>
      <c r="Y60" s="44"/>
      <c r="Z60" s="45"/>
      <c r="AA60" s="3">
        <f>TABL12345[[#This Row],[(RESV. STORGE) AJD]]/10</f>
        <v>0</v>
      </c>
      <c r="AB60" s="45">
        <f t="shared" si="3"/>
        <v>0</v>
      </c>
      <c r="AC60" s="5"/>
      <c r="AD60" s="40">
        <f>(TABL12345[[#This Row],[( S/S+T/B) AJD]]*1000)-((TABL12345[[#This Row],[(STORGE DIFF.) AJD]]*1000)+TABL12345[[#This Row],[البخر  AJD]]+(TABL12345[[#This Row],[(A/B + A/S) AJD]]*1000))</f>
        <v>0</v>
      </c>
      <c r="AE60" s="44"/>
      <c r="AF60" s="45"/>
      <c r="AG60" s="45"/>
      <c r="AH60" s="6">
        <f>TABL12345[[#This Row],[ (RESV. STORGE) BER]]/10</f>
        <v>0</v>
      </c>
      <c r="AI60" s="44"/>
      <c r="AJ60" s="45">
        <f>TABL12345[[#This Row],[(A/B TOT) AJD]]-TABL12345[[#This Row],[BER_ IN]]</f>
        <v>0</v>
      </c>
      <c r="AK60" s="45"/>
      <c r="AL60" s="45"/>
      <c r="AM60" s="32"/>
      <c r="AN60" s="32">
        <f>TABL12345[[#This Row],[ (RESV. STORGE) SER]]/10</f>
        <v>0</v>
      </c>
      <c r="AO60" s="68"/>
      <c r="AP60" s="68">
        <f>TABL12345[[#This Row],[(A/S TOT) AJD]]-TABL12345[[#This Row],[SER_ IN]]</f>
        <v>0</v>
      </c>
    </row>
    <row r="61" spans="1:42" ht="18.75" x14ac:dyDescent="0.25">
      <c r="A61" s="2">
        <v>46812</v>
      </c>
      <c r="B61" s="41"/>
      <c r="C61" s="41"/>
      <c r="D61" s="41"/>
      <c r="E61" s="44"/>
      <c r="F61" s="41"/>
      <c r="G61" s="39"/>
      <c r="H61" s="28"/>
      <c r="I61" s="39"/>
      <c r="J61" s="39"/>
      <c r="K61" s="28">
        <f>TABL12345[[#This Row],[خط (T/B  TOT) SAR]]+TABL12345[[#This Row],[خط (S/S  TOT) SAR2]]</f>
        <v>0</v>
      </c>
      <c r="L61" s="41"/>
      <c r="M61" s="42"/>
      <c r="N61" s="42"/>
      <c r="O61" s="39"/>
      <c r="P61" s="3">
        <f>TABL12345[[#This Row],[خط (S/S  TOT) SAR2]]-TABL12345[[#This Row],[(S/S TOT) AJD]]</f>
        <v>0</v>
      </c>
      <c r="Q61" s="39"/>
      <c r="R61" s="3">
        <f>TABL12345[[#This Row],[خط (T/B  TOT) SAR]]-TABL12345[[#This Row],[(T/B TOT) AJD]]</f>
        <v>0</v>
      </c>
      <c r="S61" s="3">
        <f>TABL12345[[#This Row],[الفرق بين بداية ونهاية خط  S/S]]+TABL12345[[#This Row],[الفرق بين بداية ونهاية خط  T/B]]</f>
        <v>0</v>
      </c>
      <c r="T61" s="3">
        <f t="shared" si="0"/>
        <v>0</v>
      </c>
      <c r="U61" s="41"/>
      <c r="V61" s="41"/>
      <c r="W61" s="3">
        <f t="shared" si="1"/>
        <v>0</v>
      </c>
      <c r="X61" s="3">
        <f t="shared" si="2"/>
        <v>0</v>
      </c>
      <c r="Y61" s="41"/>
      <c r="Z61" s="43"/>
      <c r="AA61" s="3">
        <f>TABL12345[[#This Row],[(RESV. STORGE) AJD]]/10</f>
        <v>0</v>
      </c>
      <c r="AB61" s="45">
        <f t="shared" si="3"/>
        <v>0</v>
      </c>
      <c r="AC61" s="5"/>
      <c r="AD61" s="39">
        <f>(TABL12345[[#This Row],[( S/S+T/B) AJD]]*1000)-((TABL12345[[#This Row],[(STORGE DIFF.) AJD]]*1000)+TABL12345[[#This Row],[البخر  AJD]]+(TABL12345[[#This Row],[(A/B + A/S) AJD]]*1000))</f>
        <v>0</v>
      </c>
      <c r="AE61" s="41"/>
      <c r="AF61" s="43"/>
      <c r="AG61" s="43"/>
      <c r="AH61" s="6">
        <f>TABL12345[[#This Row],[ (RESV. STORGE) BER]]/10</f>
        <v>0</v>
      </c>
      <c r="AI61" s="41"/>
      <c r="AJ61" s="43">
        <f>TABL12345[[#This Row],[(A/B TOT) AJD]]-TABL12345[[#This Row],[BER_ IN]]</f>
        <v>0</v>
      </c>
      <c r="AK61" s="43"/>
      <c r="AL61" s="43"/>
      <c r="AM61" s="32"/>
      <c r="AN61" s="32">
        <f>TABL12345[[#This Row],[ (RESV. STORGE) SER]]/10</f>
        <v>0</v>
      </c>
      <c r="AO61" s="68"/>
      <c r="AP61" s="68">
        <f>TABL12345[[#This Row],[(A/S TOT) AJD]]-TABL12345[[#This Row],[SER_ IN]]</f>
        <v>0</v>
      </c>
    </row>
    <row r="62" spans="1:42" ht="18.75" x14ac:dyDescent="0.25">
      <c r="A62" s="2">
        <v>46813</v>
      </c>
      <c r="B62" s="44"/>
      <c r="C62" s="44"/>
      <c r="D62" s="44"/>
      <c r="E62" s="44"/>
      <c r="F62" s="44"/>
      <c r="G62" s="40"/>
      <c r="H62" s="28"/>
      <c r="I62" s="40"/>
      <c r="J62" s="44"/>
      <c r="K62" s="28">
        <f>TABL12345[[#This Row],[خط (T/B  TOT) SAR]]+TABL12345[[#This Row],[خط (S/S  TOT) SAR2]]</f>
        <v>0</v>
      </c>
      <c r="L62" s="45"/>
      <c r="M62" s="46"/>
      <c r="N62" s="46"/>
      <c r="O62" s="40"/>
      <c r="P62" s="3">
        <f>TABL12345[[#This Row],[خط (S/S  TOT) SAR2]]-TABL12345[[#This Row],[(S/S TOT) AJD]]</f>
        <v>0</v>
      </c>
      <c r="Q62" s="40"/>
      <c r="R62" s="3">
        <f>TABL12345[[#This Row],[خط (T/B  TOT) SAR]]-TABL12345[[#This Row],[(T/B TOT) AJD]]</f>
        <v>0</v>
      </c>
      <c r="S62" s="3">
        <f>TABL12345[[#This Row],[الفرق بين بداية ونهاية خط  S/S]]+TABL12345[[#This Row],[الفرق بين بداية ونهاية خط  T/B]]</f>
        <v>0</v>
      </c>
      <c r="T62" s="3">
        <f t="shared" si="0"/>
        <v>0</v>
      </c>
      <c r="U62" s="44"/>
      <c r="V62" s="44"/>
      <c r="W62" s="3">
        <f t="shared" si="1"/>
        <v>0</v>
      </c>
      <c r="X62" s="3">
        <f t="shared" si="2"/>
        <v>0</v>
      </c>
      <c r="Y62" s="44"/>
      <c r="Z62" s="45"/>
      <c r="AA62" s="3">
        <f>TABL12345[[#This Row],[(RESV. STORGE) AJD]]/10</f>
        <v>0</v>
      </c>
      <c r="AB62" s="45">
        <f t="shared" si="3"/>
        <v>0</v>
      </c>
      <c r="AC62" s="5"/>
      <c r="AD62" s="40">
        <f>(TABL12345[[#This Row],[( S/S+T/B) AJD]]*1000)-((TABL12345[[#This Row],[(STORGE DIFF.) AJD]]*1000)+TABL12345[[#This Row],[البخر  AJD]]+(TABL12345[[#This Row],[(A/B + A/S) AJD]]*1000))</f>
        <v>0</v>
      </c>
      <c r="AE62" s="44"/>
      <c r="AF62" s="45"/>
      <c r="AG62" s="45"/>
      <c r="AH62" s="6">
        <f>TABL12345[[#This Row],[ (RESV. STORGE) BER]]/10</f>
        <v>0</v>
      </c>
      <c r="AI62" s="44"/>
      <c r="AJ62" s="45">
        <f>TABL12345[[#This Row],[(A/B TOT) AJD]]-TABL12345[[#This Row],[BER_ IN]]</f>
        <v>0</v>
      </c>
      <c r="AK62" s="45"/>
      <c r="AL62" s="45"/>
      <c r="AM62" s="32"/>
      <c r="AN62" s="32">
        <f>TABL12345[[#This Row],[ (RESV. STORGE) SER]]/10</f>
        <v>0</v>
      </c>
      <c r="AO62" s="68"/>
      <c r="AP62" s="68">
        <f>TABL12345[[#This Row],[(A/S TOT) AJD]]-TABL12345[[#This Row],[SER_ IN]]</f>
        <v>0</v>
      </c>
    </row>
    <row r="63" spans="1:42" ht="18.75" x14ac:dyDescent="0.25">
      <c r="A63" s="2">
        <v>46814</v>
      </c>
      <c r="B63" s="41"/>
      <c r="C63" s="41"/>
      <c r="D63" s="41"/>
      <c r="E63" s="44"/>
      <c r="F63" s="41"/>
      <c r="G63" s="39"/>
      <c r="H63" s="28"/>
      <c r="I63" s="39"/>
      <c r="J63" s="39"/>
      <c r="K63" s="28">
        <f>TABL12345[[#This Row],[خط (T/B  TOT) SAR]]+TABL12345[[#This Row],[خط (S/S  TOT) SAR2]]</f>
        <v>0</v>
      </c>
      <c r="L63" s="41"/>
      <c r="M63" s="42"/>
      <c r="N63" s="42"/>
      <c r="O63" s="39"/>
      <c r="P63" s="3">
        <f>TABL12345[[#This Row],[خط (S/S  TOT) SAR2]]-TABL12345[[#This Row],[(S/S TOT) AJD]]</f>
        <v>0</v>
      </c>
      <c r="Q63" s="39"/>
      <c r="R63" s="3">
        <f>TABL12345[[#This Row],[خط (T/B  TOT) SAR]]-TABL12345[[#This Row],[(T/B TOT) AJD]]</f>
        <v>0</v>
      </c>
      <c r="S63" s="3">
        <f>TABL12345[[#This Row],[الفرق بين بداية ونهاية خط  S/S]]+TABL12345[[#This Row],[الفرق بين بداية ونهاية خط  T/B]]</f>
        <v>0</v>
      </c>
      <c r="T63" s="3">
        <f t="shared" si="0"/>
        <v>0</v>
      </c>
      <c r="U63" s="41"/>
      <c r="V63" s="41"/>
      <c r="W63" s="3">
        <f t="shared" si="1"/>
        <v>0</v>
      </c>
      <c r="X63" s="3">
        <f t="shared" si="2"/>
        <v>0</v>
      </c>
      <c r="Y63" s="41"/>
      <c r="Z63" s="43"/>
      <c r="AA63" s="3">
        <f>TABL12345[[#This Row],[(RESV. STORGE) AJD]]/10</f>
        <v>0</v>
      </c>
      <c r="AB63" s="45">
        <f t="shared" si="3"/>
        <v>0</v>
      </c>
      <c r="AC63" s="5"/>
      <c r="AD63" s="39">
        <f>(TABL12345[[#This Row],[( S/S+T/B) AJD]]*1000)-((TABL12345[[#This Row],[(STORGE DIFF.) AJD]]*1000)+TABL12345[[#This Row],[البخر  AJD]]+(TABL12345[[#This Row],[(A/B + A/S) AJD]]*1000))</f>
        <v>0</v>
      </c>
      <c r="AE63" s="41"/>
      <c r="AF63" s="43"/>
      <c r="AG63" s="43"/>
      <c r="AH63" s="6">
        <f>TABL12345[[#This Row],[ (RESV. STORGE) BER]]/10</f>
        <v>0</v>
      </c>
      <c r="AI63" s="41"/>
      <c r="AJ63" s="43">
        <f>TABL12345[[#This Row],[(A/B TOT) AJD]]-TABL12345[[#This Row],[BER_ IN]]</f>
        <v>0</v>
      </c>
      <c r="AK63" s="43"/>
      <c r="AL63" s="43"/>
      <c r="AM63" s="32"/>
      <c r="AN63" s="32">
        <f>TABL12345[[#This Row],[ (RESV. STORGE) SER]]/10</f>
        <v>0</v>
      </c>
      <c r="AO63" s="68"/>
      <c r="AP63" s="68">
        <f>TABL12345[[#This Row],[(A/S TOT) AJD]]-TABL12345[[#This Row],[SER_ IN]]</f>
        <v>0</v>
      </c>
    </row>
    <row r="64" spans="1:42" ht="18.75" x14ac:dyDescent="0.25">
      <c r="A64" s="2">
        <v>46815</v>
      </c>
      <c r="B64" s="44"/>
      <c r="C64" s="44"/>
      <c r="D64" s="44"/>
      <c r="E64" s="28"/>
      <c r="F64" s="44"/>
      <c r="G64" s="40"/>
      <c r="H64" s="28"/>
      <c r="I64" s="40"/>
      <c r="J64" s="44"/>
      <c r="K64" s="28">
        <f>TABL12345[[#This Row],[خط (T/B  TOT) SAR]]+TABL12345[[#This Row],[خط (S/S  TOT) SAR2]]</f>
        <v>0</v>
      </c>
      <c r="L64" s="45"/>
      <c r="M64" s="46"/>
      <c r="N64" s="46"/>
      <c r="O64" s="40"/>
      <c r="P64" s="3">
        <f>TABL12345[[#This Row],[خط (S/S  TOT) SAR2]]-TABL12345[[#This Row],[(S/S TOT) AJD]]</f>
        <v>0</v>
      </c>
      <c r="Q64" s="40"/>
      <c r="R64" s="3">
        <f>TABL12345[[#This Row],[خط (T/B  TOT) SAR]]-TABL12345[[#This Row],[(T/B TOT) AJD]]</f>
        <v>0</v>
      </c>
      <c r="S64" s="3">
        <f>TABL12345[[#This Row],[الفرق بين بداية ونهاية خط  S/S]]+TABL12345[[#This Row],[الفرق بين بداية ونهاية خط  T/B]]</f>
        <v>0</v>
      </c>
      <c r="T64" s="3">
        <f t="shared" si="0"/>
        <v>0</v>
      </c>
      <c r="U64" s="44"/>
      <c r="V64" s="44"/>
      <c r="W64" s="3">
        <f t="shared" si="1"/>
        <v>0</v>
      </c>
      <c r="X64" s="3">
        <f t="shared" si="2"/>
        <v>0</v>
      </c>
      <c r="Y64" s="44"/>
      <c r="Z64" s="45"/>
      <c r="AA64" s="3">
        <f>TABL12345[[#This Row],[(RESV. STORGE) AJD]]/10</f>
        <v>0</v>
      </c>
      <c r="AB64" s="45">
        <f t="shared" si="3"/>
        <v>0</v>
      </c>
      <c r="AC64" s="5"/>
      <c r="AD64" s="40">
        <f>(TABL12345[[#This Row],[( S/S+T/B) AJD]]*1000)-((TABL12345[[#This Row],[(STORGE DIFF.) AJD]]*1000)+TABL12345[[#This Row],[البخر  AJD]]+(TABL12345[[#This Row],[(A/B + A/S) AJD]]*1000))</f>
        <v>0</v>
      </c>
      <c r="AE64" s="44"/>
      <c r="AF64" s="45"/>
      <c r="AG64" s="45"/>
      <c r="AH64" s="6">
        <f>TABL12345[[#This Row],[ (RESV. STORGE) BER]]/10</f>
        <v>0</v>
      </c>
      <c r="AI64" s="44"/>
      <c r="AJ64" s="45">
        <f>TABL12345[[#This Row],[(A/B TOT) AJD]]-TABL12345[[#This Row],[BER_ IN]]</f>
        <v>0</v>
      </c>
      <c r="AK64" s="45"/>
      <c r="AL64" s="45"/>
      <c r="AM64" s="32"/>
      <c r="AN64" s="32">
        <f>TABL12345[[#This Row],[ (RESV. STORGE) SER]]/10</f>
        <v>0</v>
      </c>
      <c r="AO64" s="68"/>
      <c r="AP64" s="68">
        <f>TABL12345[[#This Row],[(A/S TOT) AJD]]-TABL12345[[#This Row],[SER_ IN]]</f>
        <v>0</v>
      </c>
    </row>
    <row r="65" spans="1:42" ht="18.75" x14ac:dyDescent="0.25">
      <c r="A65" s="2">
        <v>46816</v>
      </c>
      <c r="B65" s="41"/>
      <c r="C65" s="41"/>
      <c r="D65" s="41"/>
      <c r="E65" s="28"/>
      <c r="F65" s="41"/>
      <c r="G65" s="39"/>
      <c r="H65" s="28"/>
      <c r="I65" s="39"/>
      <c r="J65" s="39"/>
      <c r="K65" s="28">
        <f>TABL12345[[#This Row],[خط (T/B  TOT) SAR]]+TABL12345[[#This Row],[خط (S/S  TOT) SAR2]]</f>
        <v>0</v>
      </c>
      <c r="L65" s="41"/>
      <c r="M65" s="42"/>
      <c r="N65" s="42"/>
      <c r="O65" s="39"/>
      <c r="P65" s="3">
        <f>TABL12345[[#This Row],[خط (S/S  TOT) SAR2]]-TABL12345[[#This Row],[(S/S TOT) AJD]]</f>
        <v>0</v>
      </c>
      <c r="Q65" s="39"/>
      <c r="R65" s="3">
        <f>TABL12345[[#This Row],[خط (T/B  TOT) SAR]]-TABL12345[[#This Row],[(T/B TOT) AJD]]</f>
        <v>0</v>
      </c>
      <c r="S65" s="3">
        <f>TABL12345[[#This Row],[الفرق بين بداية ونهاية خط  S/S]]+TABL12345[[#This Row],[الفرق بين بداية ونهاية خط  T/B]]</f>
        <v>0</v>
      </c>
      <c r="T65" s="3">
        <f t="shared" si="0"/>
        <v>0</v>
      </c>
      <c r="U65" s="41"/>
      <c r="V65" s="41"/>
      <c r="W65" s="3">
        <f t="shared" si="1"/>
        <v>0</v>
      </c>
      <c r="X65" s="3">
        <f t="shared" si="2"/>
        <v>0</v>
      </c>
      <c r="Y65" s="41"/>
      <c r="Z65" s="43"/>
      <c r="AA65" s="3">
        <f>TABL12345[[#This Row],[(RESV. STORGE) AJD]]/10</f>
        <v>0</v>
      </c>
      <c r="AB65" s="45">
        <f t="shared" si="3"/>
        <v>0</v>
      </c>
      <c r="AC65" s="5"/>
      <c r="AD65" s="39">
        <f>(TABL12345[[#This Row],[( S/S+T/B) AJD]]*1000)-((TABL12345[[#This Row],[(STORGE DIFF.) AJD]]*1000)+TABL12345[[#This Row],[البخر  AJD]]+(TABL12345[[#This Row],[(A/B + A/S) AJD]]*1000))</f>
        <v>0</v>
      </c>
      <c r="AE65" s="41"/>
      <c r="AF65" s="43"/>
      <c r="AG65" s="43"/>
      <c r="AH65" s="6">
        <f>TABL12345[[#This Row],[ (RESV. STORGE) BER]]/10</f>
        <v>0</v>
      </c>
      <c r="AI65" s="41"/>
      <c r="AJ65" s="43">
        <f>TABL12345[[#This Row],[(A/B TOT) AJD]]-TABL12345[[#This Row],[BER_ IN]]</f>
        <v>0</v>
      </c>
      <c r="AK65" s="43"/>
      <c r="AL65" s="43"/>
      <c r="AM65" s="32"/>
      <c r="AN65" s="32">
        <f>TABL12345[[#This Row],[ (RESV. STORGE) SER]]/10</f>
        <v>0</v>
      </c>
      <c r="AO65" s="68"/>
      <c r="AP65" s="68">
        <f>TABL12345[[#This Row],[(A/S TOT) AJD]]-TABL12345[[#This Row],[SER_ IN]]</f>
        <v>0</v>
      </c>
    </row>
    <row r="66" spans="1:42" ht="18.75" x14ac:dyDescent="0.25">
      <c r="A66" s="2">
        <v>46817</v>
      </c>
      <c r="B66" s="44"/>
      <c r="C66" s="44"/>
      <c r="D66" s="44"/>
      <c r="E66" s="28"/>
      <c r="F66" s="44"/>
      <c r="G66" s="40"/>
      <c r="H66" s="28"/>
      <c r="I66" s="40"/>
      <c r="J66" s="44"/>
      <c r="K66" s="28">
        <f>TABL12345[[#This Row],[خط (T/B  TOT) SAR]]+TABL12345[[#This Row],[خط (S/S  TOT) SAR2]]</f>
        <v>0</v>
      </c>
      <c r="L66" s="45"/>
      <c r="M66" s="46"/>
      <c r="N66" s="46"/>
      <c r="O66" s="40"/>
      <c r="P66" s="3">
        <f>TABL12345[[#This Row],[خط (S/S  TOT) SAR2]]-TABL12345[[#This Row],[(S/S TOT) AJD]]</f>
        <v>0</v>
      </c>
      <c r="Q66" s="40"/>
      <c r="R66" s="3">
        <f>TABL12345[[#This Row],[خط (T/B  TOT) SAR]]-TABL12345[[#This Row],[(T/B TOT) AJD]]</f>
        <v>0</v>
      </c>
      <c r="S66" s="3">
        <f>TABL12345[[#This Row],[الفرق بين بداية ونهاية خط  S/S]]+TABL12345[[#This Row],[الفرق بين بداية ونهاية خط  T/B]]</f>
        <v>0</v>
      </c>
      <c r="T66" s="3">
        <f t="shared" ref="T66:T129" si="4">O66+Q66</f>
        <v>0</v>
      </c>
      <c r="U66" s="44"/>
      <c r="V66" s="44"/>
      <c r="W66" s="3">
        <f t="shared" ref="W66:W129" si="5">U66+V66</f>
        <v>0</v>
      </c>
      <c r="X66" s="3">
        <f t="shared" ref="X66:X129" si="6">T66-W66</f>
        <v>0</v>
      </c>
      <c r="Y66" s="44"/>
      <c r="Z66" s="45"/>
      <c r="AA66" s="3">
        <f>TABL12345[[#This Row],[(RESV. STORGE) AJD]]/10</f>
        <v>0</v>
      </c>
      <c r="AB66" s="45">
        <f t="shared" si="3"/>
        <v>0</v>
      </c>
      <c r="AC66" s="5"/>
      <c r="AD66" s="40">
        <f>(TABL12345[[#This Row],[( S/S+T/B) AJD]]*1000)-((TABL12345[[#This Row],[(STORGE DIFF.) AJD]]*1000)+TABL12345[[#This Row],[البخر  AJD]]+(TABL12345[[#This Row],[(A/B + A/S) AJD]]*1000))</f>
        <v>0</v>
      </c>
      <c r="AE66" s="44"/>
      <c r="AF66" s="45"/>
      <c r="AG66" s="45"/>
      <c r="AH66" s="6">
        <f>TABL12345[[#This Row],[ (RESV. STORGE) BER]]/10</f>
        <v>0</v>
      </c>
      <c r="AI66" s="44"/>
      <c r="AJ66" s="45">
        <f>TABL12345[[#This Row],[(A/B TOT) AJD]]-TABL12345[[#This Row],[BER_ IN]]</f>
        <v>0</v>
      </c>
      <c r="AK66" s="45"/>
      <c r="AL66" s="45"/>
      <c r="AM66" s="32"/>
      <c r="AN66" s="32">
        <f>TABL12345[[#This Row],[ (RESV. STORGE) SER]]/10</f>
        <v>0</v>
      </c>
      <c r="AO66" s="68"/>
      <c r="AP66" s="68">
        <f>TABL12345[[#This Row],[(A/S TOT) AJD]]-TABL12345[[#This Row],[SER_ IN]]</f>
        <v>0</v>
      </c>
    </row>
    <row r="67" spans="1:42" ht="18.75" x14ac:dyDescent="0.25">
      <c r="A67" s="2">
        <v>46818</v>
      </c>
      <c r="B67" s="41"/>
      <c r="C67" s="41"/>
      <c r="D67" s="41"/>
      <c r="E67" s="28"/>
      <c r="F67" s="41"/>
      <c r="G67" s="39"/>
      <c r="H67" s="28"/>
      <c r="I67" s="39"/>
      <c r="J67" s="39"/>
      <c r="K67" s="28">
        <f>TABL12345[[#This Row],[خط (T/B  TOT) SAR]]+TABL12345[[#This Row],[خط (S/S  TOT) SAR2]]</f>
        <v>0</v>
      </c>
      <c r="L67" s="41"/>
      <c r="M67" s="42"/>
      <c r="N67" s="42"/>
      <c r="O67" s="39"/>
      <c r="P67" s="3">
        <f>TABL12345[[#This Row],[خط (S/S  TOT) SAR2]]-TABL12345[[#This Row],[(S/S TOT) AJD]]</f>
        <v>0</v>
      </c>
      <c r="Q67" s="39"/>
      <c r="R67" s="3">
        <f>TABL12345[[#This Row],[خط (T/B  TOT) SAR]]-TABL12345[[#This Row],[(T/B TOT) AJD]]</f>
        <v>0</v>
      </c>
      <c r="S67" s="3">
        <f>TABL12345[[#This Row],[الفرق بين بداية ونهاية خط  S/S]]+TABL12345[[#This Row],[الفرق بين بداية ونهاية خط  T/B]]</f>
        <v>0</v>
      </c>
      <c r="T67" s="3">
        <f t="shared" si="4"/>
        <v>0</v>
      </c>
      <c r="U67" s="41"/>
      <c r="V67" s="41"/>
      <c r="W67" s="3">
        <f t="shared" si="5"/>
        <v>0</v>
      </c>
      <c r="X67" s="3">
        <f t="shared" si="6"/>
        <v>0</v>
      </c>
      <c r="Y67" s="41"/>
      <c r="Z67" s="43"/>
      <c r="AA67" s="3">
        <f>TABL12345[[#This Row],[(RESV. STORGE) AJD]]/10</f>
        <v>0</v>
      </c>
      <c r="AB67" s="45">
        <f t="shared" si="3"/>
        <v>0</v>
      </c>
      <c r="AC67" s="5"/>
      <c r="AD67" s="39">
        <f>(TABL12345[[#This Row],[( S/S+T/B) AJD]]*1000)-((TABL12345[[#This Row],[(STORGE DIFF.) AJD]]*1000)+TABL12345[[#This Row],[البخر  AJD]]+(TABL12345[[#This Row],[(A/B + A/S) AJD]]*1000))</f>
        <v>0</v>
      </c>
      <c r="AE67" s="41"/>
      <c r="AF67" s="43"/>
      <c r="AG67" s="43"/>
      <c r="AH67" s="6">
        <f>TABL12345[[#This Row],[ (RESV. STORGE) BER]]/10</f>
        <v>0</v>
      </c>
      <c r="AI67" s="41"/>
      <c r="AJ67" s="43">
        <f>TABL12345[[#This Row],[(A/B TOT) AJD]]-TABL12345[[#This Row],[BER_ IN]]</f>
        <v>0</v>
      </c>
      <c r="AK67" s="43"/>
      <c r="AL67" s="43"/>
      <c r="AM67" s="32"/>
      <c r="AN67" s="32">
        <f>TABL12345[[#This Row],[ (RESV. STORGE) SER]]/10</f>
        <v>0</v>
      </c>
      <c r="AO67" s="68"/>
      <c r="AP67" s="68">
        <f>TABL12345[[#This Row],[(A/S TOT) AJD]]-TABL12345[[#This Row],[SER_ IN]]</f>
        <v>0</v>
      </c>
    </row>
    <row r="68" spans="1:42" ht="18.75" x14ac:dyDescent="0.25">
      <c r="A68" s="2">
        <v>46819</v>
      </c>
      <c r="B68" s="44"/>
      <c r="C68" s="44"/>
      <c r="D68" s="44"/>
      <c r="E68" s="28"/>
      <c r="F68" s="44"/>
      <c r="G68" s="40"/>
      <c r="H68" s="28"/>
      <c r="I68" s="40"/>
      <c r="J68" s="44"/>
      <c r="K68" s="28">
        <f>TABL12345[[#This Row],[خط (T/B  TOT) SAR]]+TABL12345[[#This Row],[خط (S/S  TOT) SAR2]]</f>
        <v>0</v>
      </c>
      <c r="L68" s="45"/>
      <c r="M68" s="46"/>
      <c r="N68" s="46"/>
      <c r="O68" s="40"/>
      <c r="P68" s="3">
        <f>TABL12345[[#This Row],[خط (S/S  TOT) SAR2]]-TABL12345[[#This Row],[(S/S TOT) AJD]]</f>
        <v>0</v>
      </c>
      <c r="Q68" s="40"/>
      <c r="R68" s="3">
        <f>TABL12345[[#This Row],[خط (T/B  TOT) SAR]]-TABL12345[[#This Row],[(T/B TOT) AJD]]</f>
        <v>0</v>
      </c>
      <c r="S68" s="3">
        <f>TABL12345[[#This Row],[الفرق بين بداية ونهاية خط  S/S]]+TABL12345[[#This Row],[الفرق بين بداية ونهاية خط  T/B]]</f>
        <v>0</v>
      </c>
      <c r="T68" s="3">
        <f t="shared" si="4"/>
        <v>0</v>
      </c>
      <c r="U68" s="44"/>
      <c r="V68" s="44"/>
      <c r="W68" s="3">
        <f t="shared" si="5"/>
        <v>0</v>
      </c>
      <c r="X68" s="3">
        <f t="shared" si="6"/>
        <v>0</v>
      </c>
      <c r="Y68" s="44"/>
      <c r="Z68" s="45"/>
      <c r="AA68" s="3">
        <f>TABL12345[[#This Row],[(RESV. STORGE) AJD]]/10</f>
        <v>0</v>
      </c>
      <c r="AB68" s="45">
        <f t="shared" ref="AB68:AB131" si="7">(Z68-Z67)/1000</f>
        <v>0</v>
      </c>
      <c r="AC68" s="5"/>
      <c r="AD68" s="40">
        <f>(TABL12345[[#This Row],[( S/S+T/B) AJD]]*1000)-((TABL12345[[#This Row],[(STORGE DIFF.) AJD]]*1000)+TABL12345[[#This Row],[البخر  AJD]]+(TABL12345[[#This Row],[(A/B + A/S) AJD]]*1000))</f>
        <v>0</v>
      </c>
      <c r="AE68" s="44"/>
      <c r="AF68" s="45"/>
      <c r="AG68" s="45"/>
      <c r="AH68" s="6">
        <f>TABL12345[[#This Row],[ (RESV. STORGE) BER]]/10</f>
        <v>0</v>
      </c>
      <c r="AI68" s="44"/>
      <c r="AJ68" s="45">
        <f>TABL12345[[#This Row],[(A/B TOT) AJD]]-TABL12345[[#This Row],[BER_ IN]]</f>
        <v>0</v>
      </c>
      <c r="AK68" s="45"/>
      <c r="AL68" s="45"/>
      <c r="AM68" s="32"/>
      <c r="AN68" s="32">
        <f>TABL12345[[#This Row],[ (RESV. STORGE) SER]]/10</f>
        <v>0</v>
      </c>
      <c r="AO68" s="68"/>
      <c r="AP68" s="68">
        <f>TABL12345[[#This Row],[(A/S TOT) AJD]]-TABL12345[[#This Row],[SER_ IN]]</f>
        <v>0</v>
      </c>
    </row>
    <row r="69" spans="1:42" ht="18.75" x14ac:dyDescent="0.25">
      <c r="A69" s="2">
        <v>46820</v>
      </c>
      <c r="B69" s="41"/>
      <c r="C69" s="41"/>
      <c r="D69" s="41"/>
      <c r="E69" s="28"/>
      <c r="F69" s="41"/>
      <c r="G69" s="39"/>
      <c r="H69" s="28"/>
      <c r="I69" s="39"/>
      <c r="J69" s="39"/>
      <c r="K69" s="28">
        <f>TABL12345[[#This Row],[خط (T/B  TOT) SAR]]+TABL12345[[#This Row],[خط (S/S  TOT) SAR2]]</f>
        <v>0</v>
      </c>
      <c r="L69" s="41"/>
      <c r="M69" s="42"/>
      <c r="N69" s="42"/>
      <c r="O69" s="39"/>
      <c r="P69" s="3">
        <f>TABL12345[[#This Row],[خط (S/S  TOT) SAR2]]-TABL12345[[#This Row],[(S/S TOT) AJD]]</f>
        <v>0</v>
      </c>
      <c r="Q69" s="39"/>
      <c r="R69" s="3">
        <f>TABL12345[[#This Row],[خط (T/B  TOT) SAR]]-TABL12345[[#This Row],[(T/B TOT) AJD]]</f>
        <v>0</v>
      </c>
      <c r="S69" s="3">
        <f>TABL12345[[#This Row],[الفرق بين بداية ونهاية خط  S/S]]+TABL12345[[#This Row],[الفرق بين بداية ونهاية خط  T/B]]</f>
        <v>0</v>
      </c>
      <c r="T69" s="3">
        <f t="shared" si="4"/>
        <v>0</v>
      </c>
      <c r="U69" s="41"/>
      <c r="V69" s="41"/>
      <c r="W69" s="3">
        <f t="shared" si="5"/>
        <v>0</v>
      </c>
      <c r="X69" s="3">
        <f t="shared" si="6"/>
        <v>0</v>
      </c>
      <c r="Y69" s="41"/>
      <c r="Z69" s="43"/>
      <c r="AA69" s="3">
        <f>TABL12345[[#This Row],[(RESV. STORGE) AJD]]/10</f>
        <v>0</v>
      </c>
      <c r="AB69" s="45">
        <f t="shared" si="7"/>
        <v>0</v>
      </c>
      <c r="AC69" s="5"/>
      <c r="AD69" s="39">
        <f>(TABL12345[[#This Row],[( S/S+T/B) AJD]]*1000)-((TABL12345[[#This Row],[(STORGE DIFF.) AJD]]*1000)+TABL12345[[#This Row],[البخر  AJD]]+(TABL12345[[#This Row],[(A/B + A/S) AJD]]*1000))</f>
        <v>0</v>
      </c>
      <c r="AE69" s="41"/>
      <c r="AF69" s="43"/>
      <c r="AG69" s="43"/>
      <c r="AH69" s="6">
        <f>TABL12345[[#This Row],[ (RESV. STORGE) BER]]/10</f>
        <v>0</v>
      </c>
      <c r="AI69" s="41"/>
      <c r="AJ69" s="43">
        <f>TABL12345[[#This Row],[(A/B TOT) AJD]]-TABL12345[[#This Row],[BER_ IN]]</f>
        <v>0</v>
      </c>
      <c r="AK69" s="43"/>
      <c r="AL69" s="43"/>
      <c r="AM69" s="32"/>
      <c r="AN69" s="32">
        <f>TABL12345[[#This Row],[ (RESV. STORGE) SER]]/10</f>
        <v>0</v>
      </c>
      <c r="AO69" s="68"/>
      <c r="AP69" s="68">
        <f>TABL12345[[#This Row],[(A/S TOT) AJD]]-TABL12345[[#This Row],[SER_ IN]]</f>
        <v>0</v>
      </c>
    </row>
    <row r="70" spans="1:42" ht="18.75" x14ac:dyDescent="0.25">
      <c r="A70" s="2">
        <v>46821</v>
      </c>
      <c r="B70" s="44"/>
      <c r="C70" s="44"/>
      <c r="D70" s="44"/>
      <c r="E70" s="28"/>
      <c r="F70" s="44"/>
      <c r="G70" s="40"/>
      <c r="H70" s="28"/>
      <c r="I70" s="40"/>
      <c r="J70" s="44"/>
      <c r="K70" s="28">
        <f>TABL12345[[#This Row],[خط (T/B  TOT) SAR]]+TABL12345[[#This Row],[خط (S/S  TOT) SAR2]]</f>
        <v>0</v>
      </c>
      <c r="L70" s="45"/>
      <c r="M70" s="46"/>
      <c r="N70" s="46"/>
      <c r="O70" s="40"/>
      <c r="P70" s="3">
        <f>TABL12345[[#This Row],[خط (S/S  TOT) SAR2]]-TABL12345[[#This Row],[(S/S TOT) AJD]]</f>
        <v>0</v>
      </c>
      <c r="Q70" s="40"/>
      <c r="R70" s="3">
        <f>TABL12345[[#This Row],[خط (T/B  TOT) SAR]]-TABL12345[[#This Row],[(T/B TOT) AJD]]</f>
        <v>0</v>
      </c>
      <c r="S70" s="3">
        <f>TABL12345[[#This Row],[الفرق بين بداية ونهاية خط  S/S]]+TABL12345[[#This Row],[الفرق بين بداية ونهاية خط  T/B]]</f>
        <v>0</v>
      </c>
      <c r="T70" s="3">
        <f t="shared" si="4"/>
        <v>0</v>
      </c>
      <c r="U70" s="44"/>
      <c r="V70" s="44"/>
      <c r="W70" s="3">
        <f t="shared" si="5"/>
        <v>0</v>
      </c>
      <c r="X70" s="3">
        <f t="shared" si="6"/>
        <v>0</v>
      </c>
      <c r="Y70" s="44"/>
      <c r="Z70" s="45"/>
      <c r="AA70" s="3">
        <f>TABL12345[[#This Row],[(RESV. STORGE) AJD]]/10</f>
        <v>0</v>
      </c>
      <c r="AB70" s="45">
        <f t="shared" si="7"/>
        <v>0</v>
      </c>
      <c r="AC70" s="5"/>
      <c r="AD70" s="40">
        <f>(TABL12345[[#This Row],[( S/S+T/B) AJD]]*1000)-((TABL12345[[#This Row],[(STORGE DIFF.) AJD]]*1000)+TABL12345[[#This Row],[البخر  AJD]]+(TABL12345[[#This Row],[(A/B + A/S) AJD]]*1000))</f>
        <v>0</v>
      </c>
      <c r="AE70" s="44"/>
      <c r="AF70" s="45"/>
      <c r="AG70" s="45"/>
      <c r="AH70" s="6">
        <f>TABL12345[[#This Row],[ (RESV. STORGE) BER]]/10</f>
        <v>0</v>
      </c>
      <c r="AI70" s="44"/>
      <c r="AJ70" s="45">
        <f>TABL12345[[#This Row],[(A/B TOT) AJD]]-TABL12345[[#This Row],[BER_ IN]]</f>
        <v>0</v>
      </c>
      <c r="AK70" s="45"/>
      <c r="AL70" s="45"/>
      <c r="AM70" s="32"/>
      <c r="AN70" s="32">
        <f>TABL12345[[#This Row],[ (RESV. STORGE) SER]]/10</f>
        <v>0</v>
      </c>
      <c r="AO70" s="68"/>
      <c r="AP70" s="68">
        <f>TABL12345[[#This Row],[(A/S TOT) AJD]]-TABL12345[[#This Row],[SER_ IN]]</f>
        <v>0</v>
      </c>
    </row>
    <row r="71" spans="1:42" ht="18.75" x14ac:dyDescent="0.25">
      <c r="A71" s="2">
        <v>46822</v>
      </c>
      <c r="B71" s="41"/>
      <c r="C71" s="41"/>
      <c r="D71" s="41"/>
      <c r="E71" s="28"/>
      <c r="F71" s="41"/>
      <c r="G71" s="39"/>
      <c r="H71" s="28"/>
      <c r="I71" s="39"/>
      <c r="J71" s="39"/>
      <c r="K71" s="28">
        <f>TABL12345[[#This Row],[خط (T/B  TOT) SAR]]+TABL12345[[#This Row],[خط (S/S  TOT) SAR2]]</f>
        <v>0</v>
      </c>
      <c r="L71" s="41"/>
      <c r="M71" s="42"/>
      <c r="N71" s="42"/>
      <c r="O71" s="39"/>
      <c r="P71" s="3">
        <f>TABL12345[[#This Row],[خط (S/S  TOT) SAR2]]-TABL12345[[#This Row],[(S/S TOT) AJD]]</f>
        <v>0</v>
      </c>
      <c r="Q71" s="39"/>
      <c r="R71" s="3">
        <f>TABL12345[[#This Row],[خط (T/B  TOT) SAR]]-TABL12345[[#This Row],[(T/B TOT) AJD]]</f>
        <v>0</v>
      </c>
      <c r="S71" s="3">
        <f>TABL12345[[#This Row],[الفرق بين بداية ونهاية خط  S/S]]+TABL12345[[#This Row],[الفرق بين بداية ونهاية خط  T/B]]</f>
        <v>0</v>
      </c>
      <c r="T71" s="3">
        <f t="shared" si="4"/>
        <v>0</v>
      </c>
      <c r="U71" s="41"/>
      <c r="V71" s="41"/>
      <c r="W71" s="3">
        <f t="shared" si="5"/>
        <v>0</v>
      </c>
      <c r="X71" s="3">
        <f t="shared" si="6"/>
        <v>0</v>
      </c>
      <c r="Y71" s="41"/>
      <c r="Z71" s="43"/>
      <c r="AA71" s="3">
        <f>TABL12345[[#This Row],[(RESV. STORGE) AJD]]/10</f>
        <v>0</v>
      </c>
      <c r="AB71" s="45">
        <f t="shared" si="7"/>
        <v>0</v>
      </c>
      <c r="AC71" s="5"/>
      <c r="AD71" s="39">
        <f>(TABL12345[[#This Row],[( S/S+T/B) AJD]]*1000)-((TABL12345[[#This Row],[(STORGE DIFF.) AJD]]*1000)+TABL12345[[#This Row],[البخر  AJD]]+(TABL12345[[#This Row],[(A/B + A/S) AJD]]*1000))</f>
        <v>0</v>
      </c>
      <c r="AE71" s="41"/>
      <c r="AF71" s="43"/>
      <c r="AG71" s="68"/>
      <c r="AH71" s="6">
        <f>TABL12345[[#This Row],[ (RESV. STORGE) BER]]/10</f>
        <v>0</v>
      </c>
      <c r="AI71" s="41"/>
      <c r="AJ71" s="68">
        <f>TABL12345[[#This Row],[(A/B TOT) AJD]]-TABL12345[[#This Row],[BER_ IN]]</f>
        <v>0</v>
      </c>
      <c r="AK71" s="43"/>
      <c r="AL71" s="43"/>
      <c r="AM71" s="32"/>
      <c r="AN71" s="32">
        <f>TABL12345[[#This Row],[ (RESV. STORGE) SER]]/10</f>
        <v>0</v>
      </c>
      <c r="AO71" s="68"/>
      <c r="AP71" s="68">
        <f>TABL12345[[#This Row],[(A/S TOT) AJD]]-TABL12345[[#This Row],[SER_ IN]]</f>
        <v>0</v>
      </c>
    </row>
    <row r="72" spans="1:42" ht="18.75" x14ac:dyDescent="0.25">
      <c r="A72" s="2">
        <v>46823</v>
      </c>
      <c r="B72" s="44"/>
      <c r="C72" s="44"/>
      <c r="D72" s="44"/>
      <c r="E72" s="28"/>
      <c r="F72" s="44"/>
      <c r="G72" s="40"/>
      <c r="H72" s="28"/>
      <c r="I72" s="40"/>
      <c r="J72" s="44"/>
      <c r="K72" s="28">
        <f>TABL12345[[#This Row],[خط (T/B  TOT) SAR]]+TABL12345[[#This Row],[خط (S/S  TOT) SAR2]]</f>
        <v>0</v>
      </c>
      <c r="L72" s="45"/>
      <c r="M72" s="46"/>
      <c r="N72" s="46"/>
      <c r="O72" s="40"/>
      <c r="P72" s="3">
        <f>TABL12345[[#This Row],[خط (S/S  TOT) SAR2]]-TABL12345[[#This Row],[(S/S TOT) AJD]]</f>
        <v>0</v>
      </c>
      <c r="Q72" s="40"/>
      <c r="R72" s="3">
        <f>TABL12345[[#This Row],[خط (T/B  TOT) SAR]]-TABL12345[[#This Row],[(T/B TOT) AJD]]</f>
        <v>0</v>
      </c>
      <c r="S72" s="3">
        <f>TABL12345[[#This Row],[الفرق بين بداية ونهاية خط  S/S]]+TABL12345[[#This Row],[الفرق بين بداية ونهاية خط  T/B]]</f>
        <v>0</v>
      </c>
      <c r="T72" s="3">
        <f t="shared" si="4"/>
        <v>0</v>
      </c>
      <c r="U72" s="44"/>
      <c r="V72" s="44"/>
      <c r="W72" s="3">
        <f t="shared" si="5"/>
        <v>0</v>
      </c>
      <c r="X72" s="3">
        <f t="shared" si="6"/>
        <v>0</v>
      </c>
      <c r="Y72" s="44"/>
      <c r="Z72" s="45"/>
      <c r="AA72" s="3">
        <f>TABL12345[[#This Row],[(RESV. STORGE) AJD]]/10</f>
        <v>0</v>
      </c>
      <c r="AB72" s="45">
        <f t="shared" si="7"/>
        <v>0</v>
      </c>
      <c r="AC72" s="5"/>
      <c r="AD72" s="40">
        <f>(TABL12345[[#This Row],[( S/S+T/B) AJD]]*1000)-((TABL12345[[#This Row],[(STORGE DIFF.) AJD]]*1000)+TABL12345[[#This Row],[البخر  AJD]]+(TABL12345[[#This Row],[(A/B + A/S) AJD]]*1000))</f>
        <v>0</v>
      </c>
      <c r="AE72" s="44"/>
      <c r="AF72" s="45"/>
      <c r="AG72" s="45"/>
      <c r="AH72" s="6">
        <f>TABL12345[[#This Row],[ (RESV. STORGE) BER]]/10</f>
        <v>0</v>
      </c>
      <c r="AI72" s="44"/>
      <c r="AJ72" s="45">
        <f>TABL12345[[#This Row],[(A/B TOT) AJD]]-TABL12345[[#This Row],[BER_ IN]]</f>
        <v>0</v>
      </c>
      <c r="AK72" s="45"/>
      <c r="AL72" s="45"/>
      <c r="AM72" s="32"/>
      <c r="AN72" s="32">
        <f>TABL12345[[#This Row],[ (RESV. STORGE) SER]]/10</f>
        <v>0</v>
      </c>
      <c r="AO72" s="68"/>
      <c r="AP72" s="68">
        <f>TABL12345[[#This Row],[(A/S TOT) AJD]]-TABL12345[[#This Row],[SER_ IN]]</f>
        <v>0</v>
      </c>
    </row>
    <row r="73" spans="1:42" ht="18.75" x14ac:dyDescent="0.25">
      <c r="A73" s="2">
        <v>46824</v>
      </c>
      <c r="B73" s="41"/>
      <c r="C73" s="41"/>
      <c r="D73" s="41"/>
      <c r="E73" s="28"/>
      <c r="F73" s="41"/>
      <c r="G73" s="39"/>
      <c r="H73" s="28"/>
      <c r="I73" s="39"/>
      <c r="J73" s="39"/>
      <c r="K73" s="28">
        <f>TABL12345[[#This Row],[خط (T/B  TOT) SAR]]+TABL12345[[#This Row],[خط (S/S  TOT) SAR2]]</f>
        <v>0</v>
      </c>
      <c r="L73" s="41"/>
      <c r="M73" s="42"/>
      <c r="N73" s="42"/>
      <c r="O73" s="39"/>
      <c r="P73" s="3">
        <f>TABL12345[[#This Row],[خط (S/S  TOT) SAR2]]-TABL12345[[#This Row],[(S/S TOT) AJD]]</f>
        <v>0</v>
      </c>
      <c r="Q73" s="39"/>
      <c r="R73" s="3">
        <f>TABL12345[[#This Row],[خط (T/B  TOT) SAR]]-TABL12345[[#This Row],[(T/B TOT) AJD]]</f>
        <v>0</v>
      </c>
      <c r="S73" s="3">
        <f>TABL12345[[#This Row],[الفرق بين بداية ونهاية خط  S/S]]+TABL12345[[#This Row],[الفرق بين بداية ونهاية خط  T/B]]</f>
        <v>0</v>
      </c>
      <c r="T73" s="3">
        <f t="shared" si="4"/>
        <v>0</v>
      </c>
      <c r="U73" s="41"/>
      <c r="V73" s="41"/>
      <c r="W73" s="3">
        <f t="shared" si="5"/>
        <v>0</v>
      </c>
      <c r="X73" s="3">
        <f t="shared" si="6"/>
        <v>0</v>
      </c>
      <c r="Y73" s="41"/>
      <c r="Z73" s="43"/>
      <c r="AA73" s="3">
        <f>TABL12345[[#This Row],[(RESV. STORGE) AJD]]/10</f>
        <v>0</v>
      </c>
      <c r="AB73" s="45">
        <f t="shared" si="7"/>
        <v>0</v>
      </c>
      <c r="AC73" s="5"/>
      <c r="AD73" s="39">
        <f>(TABL12345[[#This Row],[( S/S+T/B) AJD]]*1000)-((TABL12345[[#This Row],[(STORGE DIFF.) AJD]]*1000)+TABL12345[[#This Row],[البخر  AJD]]+(TABL12345[[#This Row],[(A/B + A/S) AJD]]*1000))</f>
        <v>0</v>
      </c>
      <c r="AE73" s="41"/>
      <c r="AF73" s="43"/>
      <c r="AG73" s="43"/>
      <c r="AH73" s="6">
        <f>TABL12345[[#This Row],[ (RESV. STORGE) BER]]/10</f>
        <v>0</v>
      </c>
      <c r="AI73" s="41"/>
      <c r="AJ73" s="43">
        <f>TABL12345[[#This Row],[(A/B TOT) AJD]]-TABL12345[[#This Row],[BER_ IN]]</f>
        <v>0</v>
      </c>
      <c r="AK73" s="43"/>
      <c r="AL73" s="43"/>
      <c r="AM73" s="32"/>
      <c r="AN73" s="32">
        <f>TABL12345[[#This Row],[ (RESV. STORGE) SER]]/10</f>
        <v>0</v>
      </c>
      <c r="AO73" s="68"/>
      <c r="AP73" s="68">
        <f>TABL12345[[#This Row],[(A/S TOT) AJD]]-TABL12345[[#This Row],[SER_ IN]]</f>
        <v>0</v>
      </c>
    </row>
    <row r="74" spans="1:42" ht="18.75" x14ac:dyDescent="0.25">
      <c r="A74" s="2">
        <v>46825</v>
      </c>
      <c r="B74" s="44"/>
      <c r="C74" s="44"/>
      <c r="D74" s="44"/>
      <c r="E74" s="28"/>
      <c r="F74" s="44"/>
      <c r="G74" s="40"/>
      <c r="H74" s="28"/>
      <c r="I74" s="40"/>
      <c r="J74" s="44"/>
      <c r="K74" s="28">
        <f>TABL12345[[#This Row],[خط (T/B  TOT) SAR]]+TABL12345[[#This Row],[خط (S/S  TOT) SAR2]]</f>
        <v>0</v>
      </c>
      <c r="L74" s="45"/>
      <c r="M74" s="46"/>
      <c r="N74" s="46"/>
      <c r="O74" s="40"/>
      <c r="P74" s="3">
        <f>TABL12345[[#This Row],[خط (S/S  TOT) SAR2]]-TABL12345[[#This Row],[(S/S TOT) AJD]]</f>
        <v>0</v>
      </c>
      <c r="Q74" s="40"/>
      <c r="R74" s="3">
        <f>TABL12345[[#This Row],[خط (T/B  TOT) SAR]]-TABL12345[[#This Row],[(T/B TOT) AJD]]</f>
        <v>0</v>
      </c>
      <c r="S74" s="3">
        <f>TABL12345[[#This Row],[الفرق بين بداية ونهاية خط  S/S]]+TABL12345[[#This Row],[الفرق بين بداية ونهاية خط  T/B]]</f>
        <v>0</v>
      </c>
      <c r="T74" s="3">
        <f t="shared" si="4"/>
        <v>0</v>
      </c>
      <c r="U74" s="44"/>
      <c r="V74" s="44"/>
      <c r="W74" s="3">
        <f t="shared" si="5"/>
        <v>0</v>
      </c>
      <c r="X74" s="3">
        <f t="shared" si="6"/>
        <v>0</v>
      </c>
      <c r="Y74" s="44"/>
      <c r="Z74" s="45"/>
      <c r="AA74" s="3">
        <f>TABL12345[[#This Row],[(RESV. STORGE) AJD]]/10</f>
        <v>0</v>
      </c>
      <c r="AB74" s="45">
        <f t="shared" si="7"/>
        <v>0</v>
      </c>
      <c r="AC74" s="5"/>
      <c r="AD74" s="40">
        <f>(TABL12345[[#This Row],[( S/S+T/B) AJD]]*1000)-((TABL12345[[#This Row],[(STORGE DIFF.) AJD]]*1000)+TABL12345[[#This Row],[البخر  AJD]]+(TABL12345[[#This Row],[(A/B + A/S) AJD]]*1000))</f>
        <v>0</v>
      </c>
      <c r="AE74" s="44"/>
      <c r="AF74" s="45"/>
      <c r="AG74" s="45"/>
      <c r="AH74" s="6">
        <f>TABL12345[[#This Row],[ (RESV. STORGE) BER]]/10</f>
        <v>0</v>
      </c>
      <c r="AI74" s="44"/>
      <c r="AJ74" s="45">
        <f>TABL12345[[#This Row],[(A/B TOT) AJD]]-TABL12345[[#This Row],[BER_ IN]]</f>
        <v>0</v>
      </c>
      <c r="AK74" s="45"/>
      <c r="AL74" s="45"/>
      <c r="AM74" s="32"/>
      <c r="AN74" s="32">
        <f>TABL12345[[#This Row],[ (RESV. STORGE) SER]]/10</f>
        <v>0</v>
      </c>
      <c r="AO74" s="68"/>
      <c r="AP74" s="68">
        <f>TABL12345[[#This Row],[(A/S TOT) AJD]]-TABL12345[[#This Row],[SER_ IN]]</f>
        <v>0</v>
      </c>
    </row>
    <row r="75" spans="1:42" ht="18.75" x14ac:dyDescent="0.25">
      <c r="A75" s="2">
        <v>46826</v>
      </c>
      <c r="B75" s="41"/>
      <c r="C75" s="41"/>
      <c r="D75" s="41"/>
      <c r="E75" s="28"/>
      <c r="F75" s="41"/>
      <c r="G75" s="39"/>
      <c r="H75" s="28"/>
      <c r="I75" s="39"/>
      <c r="J75" s="39"/>
      <c r="K75" s="28">
        <f>TABL12345[[#This Row],[خط (T/B  TOT) SAR]]+TABL12345[[#This Row],[خط (S/S  TOT) SAR2]]</f>
        <v>0</v>
      </c>
      <c r="L75" s="41"/>
      <c r="M75" s="42"/>
      <c r="N75" s="42"/>
      <c r="O75" s="39"/>
      <c r="P75" s="3">
        <f>TABL12345[[#This Row],[خط (S/S  TOT) SAR2]]-TABL12345[[#This Row],[(S/S TOT) AJD]]</f>
        <v>0</v>
      </c>
      <c r="Q75" s="39"/>
      <c r="R75" s="3">
        <f>TABL12345[[#This Row],[خط (T/B  TOT) SAR]]-TABL12345[[#This Row],[(T/B TOT) AJD]]</f>
        <v>0</v>
      </c>
      <c r="S75" s="3">
        <f>TABL12345[[#This Row],[الفرق بين بداية ونهاية خط  S/S]]+TABL12345[[#This Row],[الفرق بين بداية ونهاية خط  T/B]]</f>
        <v>0</v>
      </c>
      <c r="T75" s="3">
        <f t="shared" si="4"/>
        <v>0</v>
      </c>
      <c r="U75" s="41"/>
      <c r="V75" s="41"/>
      <c r="W75" s="3">
        <f t="shared" si="5"/>
        <v>0</v>
      </c>
      <c r="X75" s="3">
        <f t="shared" si="6"/>
        <v>0</v>
      </c>
      <c r="Y75" s="41"/>
      <c r="Z75" s="43"/>
      <c r="AA75" s="3">
        <f>TABL12345[[#This Row],[(RESV. STORGE) AJD]]/10</f>
        <v>0</v>
      </c>
      <c r="AB75" s="45">
        <f t="shared" si="7"/>
        <v>0</v>
      </c>
      <c r="AC75" s="5"/>
      <c r="AD75" s="39">
        <f>(TABL12345[[#This Row],[( S/S+T/B) AJD]]*1000)-((TABL12345[[#This Row],[(STORGE DIFF.) AJD]]*1000)+TABL12345[[#This Row],[البخر  AJD]]+(TABL12345[[#This Row],[(A/B + A/S) AJD]]*1000))</f>
        <v>0</v>
      </c>
      <c r="AE75" s="41"/>
      <c r="AF75" s="43"/>
      <c r="AG75" s="43"/>
      <c r="AH75" s="6">
        <f>TABL12345[[#This Row],[ (RESV. STORGE) BER]]/10</f>
        <v>0</v>
      </c>
      <c r="AI75" s="41"/>
      <c r="AJ75" s="43">
        <f>TABL12345[[#This Row],[(A/B TOT) AJD]]-TABL12345[[#This Row],[BER_ IN]]</f>
        <v>0</v>
      </c>
      <c r="AK75" s="43"/>
      <c r="AL75" s="43"/>
      <c r="AM75" s="32"/>
      <c r="AN75" s="32">
        <f>TABL12345[[#This Row],[ (RESV. STORGE) SER]]/10</f>
        <v>0</v>
      </c>
      <c r="AO75" s="68"/>
      <c r="AP75" s="68">
        <f>TABL12345[[#This Row],[(A/S TOT) AJD]]-TABL12345[[#This Row],[SER_ IN]]</f>
        <v>0</v>
      </c>
    </row>
    <row r="76" spans="1:42" ht="18.75" x14ac:dyDescent="0.25">
      <c r="A76" s="2">
        <v>46827</v>
      </c>
      <c r="B76" s="44"/>
      <c r="C76" s="44"/>
      <c r="D76" s="44"/>
      <c r="E76" s="28"/>
      <c r="F76" s="44"/>
      <c r="G76" s="40"/>
      <c r="H76" s="28"/>
      <c r="I76" s="40"/>
      <c r="J76" s="44"/>
      <c r="K76" s="28">
        <f>TABL12345[[#This Row],[خط (T/B  TOT) SAR]]+TABL12345[[#This Row],[خط (S/S  TOT) SAR2]]</f>
        <v>0</v>
      </c>
      <c r="L76" s="45"/>
      <c r="M76" s="46"/>
      <c r="N76" s="46"/>
      <c r="O76" s="40"/>
      <c r="P76" s="3">
        <f>TABL12345[[#This Row],[خط (S/S  TOT) SAR2]]-TABL12345[[#This Row],[(S/S TOT) AJD]]</f>
        <v>0</v>
      </c>
      <c r="Q76" s="40"/>
      <c r="R76" s="3">
        <f>TABL12345[[#This Row],[خط (T/B  TOT) SAR]]-TABL12345[[#This Row],[(T/B TOT) AJD]]</f>
        <v>0</v>
      </c>
      <c r="S76" s="3">
        <f>TABL12345[[#This Row],[الفرق بين بداية ونهاية خط  S/S]]+TABL12345[[#This Row],[الفرق بين بداية ونهاية خط  T/B]]</f>
        <v>0</v>
      </c>
      <c r="T76" s="3">
        <f t="shared" si="4"/>
        <v>0</v>
      </c>
      <c r="U76" s="44"/>
      <c r="V76" s="44"/>
      <c r="W76" s="3">
        <f t="shared" si="5"/>
        <v>0</v>
      </c>
      <c r="X76" s="3">
        <f t="shared" si="6"/>
        <v>0</v>
      </c>
      <c r="Y76" s="44"/>
      <c r="Z76" s="45"/>
      <c r="AA76" s="3">
        <f>TABL12345[[#This Row],[(RESV. STORGE) AJD]]/10</f>
        <v>0</v>
      </c>
      <c r="AB76" s="45">
        <f t="shared" si="7"/>
        <v>0</v>
      </c>
      <c r="AC76" s="5"/>
      <c r="AD76" s="40">
        <f>(TABL12345[[#This Row],[( S/S+T/B) AJD]]*1000)-((TABL12345[[#This Row],[(STORGE DIFF.) AJD]]*1000)+TABL12345[[#This Row],[البخر  AJD]]+(TABL12345[[#This Row],[(A/B + A/S) AJD]]*1000))</f>
        <v>0</v>
      </c>
      <c r="AE76" s="44"/>
      <c r="AF76" s="45"/>
      <c r="AG76" s="45"/>
      <c r="AH76" s="6">
        <f>TABL12345[[#This Row],[ (RESV. STORGE) BER]]/10</f>
        <v>0</v>
      </c>
      <c r="AI76" s="44"/>
      <c r="AJ76" s="45">
        <f>TABL12345[[#This Row],[(A/B TOT) AJD]]-TABL12345[[#This Row],[BER_ IN]]</f>
        <v>0</v>
      </c>
      <c r="AK76" s="45"/>
      <c r="AL76" s="45"/>
      <c r="AM76" s="32"/>
      <c r="AN76" s="32">
        <f>TABL12345[[#This Row],[ (RESV. STORGE) SER]]/10</f>
        <v>0</v>
      </c>
      <c r="AO76" s="68"/>
      <c r="AP76" s="68">
        <f>TABL12345[[#This Row],[(A/S TOT) AJD]]-TABL12345[[#This Row],[SER_ IN]]</f>
        <v>0</v>
      </c>
    </row>
    <row r="77" spans="1:42" ht="18.75" x14ac:dyDescent="0.25">
      <c r="A77" s="2">
        <v>46828</v>
      </c>
      <c r="B77" s="41"/>
      <c r="C77" s="41"/>
      <c r="D77" s="41"/>
      <c r="E77" s="28"/>
      <c r="F77" s="41"/>
      <c r="G77" s="39"/>
      <c r="H77" s="28"/>
      <c r="I77" s="39"/>
      <c r="J77" s="39"/>
      <c r="K77" s="28">
        <f>TABL12345[[#This Row],[خط (T/B  TOT) SAR]]+TABL12345[[#This Row],[خط (S/S  TOT) SAR2]]</f>
        <v>0</v>
      </c>
      <c r="L77" s="41"/>
      <c r="M77" s="42"/>
      <c r="N77" s="42"/>
      <c r="O77" s="39"/>
      <c r="P77" s="3">
        <f>TABL12345[[#This Row],[خط (S/S  TOT) SAR2]]-TABL12345[[#This Row],[(S/S TOT) AJD]]</f>
        <v>0</v>
      </c>
      <c r="Q77" s="39"/>
      <c r="R77" s="3">
        <f>TABL12345[[#This Row],[خط (T/B  TOT) SAR]]-TABL12345[[#This Row],[(T/B TOT) AJD]]</f>
        <v>0</v>
      </c>
      <c r="S77" s="3">
        <f>TABL12345[[#This Row],[الفرق بين بداية ونهاية خط  S/S]]+TABL12345[[#This Row],[الفرق بين بداية ونهاية خط  T/B]]</f>
        <v>0</v>
      </c>
      <c r="T77" s="3">
        <f t="shared" si="4"/>
        <v>0</v>
      </c>
      <c r="U77" s="41"/>
      <c r="V77" s="41"/>
      <c r="W77" s="3">
        <f t="shared" si="5"/>
        <v>0</v>
      </c>
      <c r="X77" s="3">
        <f t="shared" si="6"/>
        <v>0</v>
      </c>
      <c r="Y77" s="41"/>
      <c r="Z77" s="43"/>
      <c r="AA77" s="3">
        <f>TABL12345[[#This Row],[(RESV. STORGE) AJD]]/10</f>
        <v>0</v>
      </c>
      <c r="AB77" s="45">
        <f t="shared" si="7"/>
        <v>0</v>
      </c>
      <c r="AC77" s="5"/>
      <c r="AD77" s="39">
        <f>(TABL12345[[#This Row],[( S/S+T/B) AJD]]*1000)-((TABL12345[[#This Row],[(STORGE DIFF.) AJD]]*1000)+TABL12345[[#This Row],[البخر  AJD]]+(TABL12345[[#This Row],[(A/B + A/S) AJD]]*1000))</f>
        <v>0</v>
      </c>
      <c r="AE77" s="41"/>
      <c r="AF77" s="43"/>
      <c r="AG77" s="43"/>
      <c r="AH77" s="6">
        <f>TABL12345[[#This Row],[ (RESV. STORGE) BER]]/10</f>
        <v>0</v>
      </c>
      <c r="AI77" s="41"/>
      <c r="AJ77" s="43">
        <f>TABL12345[[#This Row],[(A/B TOT) AJD]]-TABL12345[[#This Row],[BER_ IN]]</f>
        <v>0</v>
      </c>
      <c r="AK77" s="43"/>
      <c r="AL77" s="43"/>
      <c r="AM77" s="32"/>
      <c r="AN77" s="32">
        <f>TABL12345[[#This Row],[ (RESV. STORGE) SER]]/10</f>
        <v>0</v>
      </c>
      <c r="AO77" s="68"/>
      <c r="AP77" s="68">
        <f>TABL12345[[#This Row],[(A/S TOT) AJD]]-TABL12345[[#This Row],[SER_ IN]]</f>
        <v>0</v>
      </c>
    </row>
    <row r="78" spans="1:42" ht="18.75" x14ac:dyDescent="0.25">
      <c r="A78" s="2">
        <v>46829</v>
      </c>
      <c r="B78" s="44"/>
      <c r="C78" s="44"/>
      <c r="D78" s="44"/>
      <c r="E78" s="28"/>
      <c r="F78" s="44"/>
      <c r="G78" s="40"/>
      <c r="H78" s="28"/>
      <c r="I78" s="40"/>
      <c r="J78" s="44"/>
      <c r="K78" s="28">
        <f>TABL12345[[#This Row],[خط (T/B  TOT) SAR]]+TABL12345[[#This Row],[خط (S/S  TOT) SAR2]]</f>
        <v>0</v>
      </c>
      <c r="L78" s="45"/>
      <c r="M78" s="46"/>
      <c r="N78" s="46"/>
      <c r="O78" s="40"/>
      <c r="P78" s="3">
        <f>TABL12345[[#This Row],[خط (S/S  TOT) SAR2]]-TABL12345[[#This Row],[(S/S TOT) AJD]]</f>
        <v>0</v>
      </c>
      <c r="Q78" s="40"/>
      <c r="R78" s="3">
        <f>TABL12345[[#This Row],[خط (T/B  TOT) SAR]]-TABL12345[[#This Row],[(T/B TOT) AJD]]</f>
        <v>0</v>
      </c>
      <c r="S78" s="3">
        <f>TABL12345[[#This Row],[الفرق بين بداية ونهاية خط  S/S]]+TABL12345[[#This Row],[الفرق بين بداية ونهاية خط  T/B]]</f>
        <v>0</v>
      </c>
      <c r="T78" s="3">
        <f t="shared" si="4"/>
        <v>0</v>
      </c>
      <c r="U78" s="44"/>
      <c r="V78" s="44"/>
      <c r="W78" s="3">
        <f t="shared" si="5"/>
        <v>0</v>
      </c>
      <c r="X78" s="3">
        <f t="shared" si="6"/>
        <v>0</v>
      </c>
      <c r="Y78" s="44"/>
      <c r="Z78" s="45"/>
      <c r="AA78" s="3">
        <f>TABL12345[[#This Row],[(RESV. STORGE) AJD]]/10</f>
        <v>0</v>
      </c>
      <c r="AB78" s="45">
        <f t="shared" si="7"/>
        <v>0</v>
      </c>
      <c r="AC78" s="5"/>
      <c r="AD78" s="40">
        <f>(TABL12345[[#This Row],[( S/S+T/B) AJD]]*1000)-((TABL12345[[#This Row],[(STORGE DIFF.) AJD]]*1000)+TABL12345[[#This Row],[البخر  AJD]]+(TABL12345[[#This Row],[(A/B + A/S) AJD]]*1000))</f>
        <v>0</v>
      </c>
      <c r="AE78" s="44"/>
      <c r="AF78" s="45"/>
      <c r="AG78" s="45"/>
      <c r="AH78" s="6">
        <f>TABL12345[[#This Row],[ (RESV. STORGE) BER]]/10</f>
        <v>0</v>
      </c>
      <c r="AI78" s="44"/>
      <c r="AJ78" s="45">
        <f>TABL12345[[#This Row],[(A/B TOT) AJD]]-TABL12345[[#This Row],[BER_ IN]]</f>
        <v>0</v>
      </c>
      <c r="AK78" s="45"/>
      <c r="AL78" s="45"/>
      <c r="AM78" s="32"/>
      <c r="AN78" s="32">
        <f>TABL12345[[#This Row],[ (RESV. STORGE) SER]]/10</f>
        <v>0</v>
      </c>
      <c r="AO78" s="68"/>
      <c r="AP78" s="68">
        <f>TABL12345[[#This Row],[(A/S TOT) AJD]]-TABL12345[[#This Row],[SER_ IN]]</f>
        <v>0</v>
      </c>
    </row>
    <row r="79" spans="1:42" ht="18.75" x14ac:dyDescent="0.25">
      <c r="A79" s="2">
        <v>46830</v>
      </c>
      <c r="B79" s="41"/>
      <c r="C79" s="41"/>
      <c r="D79" s="41"/>
      <c r="E79" s="28"/>
      <c r="F79" s="41"/>
      <c r="G79" s="39"/>
      <c r="H79" s="28"/>
      <c r="I79" s="39"/>
      <c r="J79" s="39"/>
      <c r="K79" s="28">
        <f>TABL12345[[#This Row],[خط (T/B  TOT) SAR]]+TABL12345[[#This Row],[خط (S/S  TOT) SAR2]]</f>
        <v>0</v>
      </c>
      <c r="L79" s="41"/>
      <c r="M79" s="42"/>
      <c r="N79" s="42"/>
      <c r="O79" s="39"/>
      <c r="P79" s="3">
        <f>TABL12345[[#This Row],[خط (S/S  TOT) SAR2]]-TABL12345[[#This Row],[(S/S TOT) AJD]]</f>
        <v>0</v>
      </c>
      <c r="Q79" s="39"/>
      <c r="R79" s="3">
        <f>TABL12345[[#This Row],[خط (T/B  TOT) SAR]]-TABL12345[[#This Row],[(T/B TOT) AJD]]</f>
        <v>0</v>
      </c>
      <c r="S79" s="3">
        <f>TABL12345[[#This Row],[الفرق بين بداية ونهاية خط  S/S]]+TABL12345[[#This Row],[الفرق بين بداية ونهاية خط  T/B]]</f>
        <v>0</v>
      </c>
      <c r="T79" s="3">
        <f t="shared" si="4"/>
        <v>0</v>
      </c>
      <c r="U79" s="41"/>
      <c r="V79" s="41"/>
      <c r="W79" s="3">
        <f t="shared" si="5"/>
        <v>0</v>
      </c>
      <c r="X79" s="3">
        <f t="shared" si="6"/>
        <v>0</v>
      </c>
      <c r="Y79" s="41"/>
      <c r="Z79" s="43"/>
      <c r="AA79" s="3">
        <f>TABL12345[[#This Row],[(RESV. STORGE) AJD]]/10</f>
        <v>0</v>
      </c>
      <c r="AB79" s="45">
        <f t="shared" si="7"/>
        <v>0</v>
      </c>
      <c r="AC79" s="5"/>
      <c r="AD79" s="39">
        <f>(TABL12345[[#This Row],[( S/S+T/B) AJD]]*1000)-((TABL12345[[#This Row],[(STORGE DIFF.) AJD]]*1000)+TABL12345[[#This Row],[البخر  AJD]]+(TABL12345[[#This Row],[(A/B + A/S) AJD]]*1000))</f>
        <v>0</v>
      </c>
      <c r="AE79" s="41"/>
      <c r="AF79" s="43"/>
      <c r="AG79" s="43"/>
      <c r="AH79" s="6">
        <f>TABL12345[[#This Row],[ (RESV. STORGE) BER]]/10</f>
        <v>0</v>
      </c>
      <c r="AI79" s="41"/>
      <c r="AJ79" s="43">
        <f>TABL12345[[#This Row],[(A/B TOT) AJD]]-TABL12345[[#This Row],[BER_ IN]]</f>
        <v>0</v>
      </c>
      <c r="AK79" s="43"/>
      <c r="AL79" s="43"/>
      <c r="AM79" s="32"/>
      <c r="AN79" s="32">
        <f>TABL12345[[#This Row],[ (RESV. STORGE) SER]]/10</f>
        <v>0</v>
      </c>
      <c r="AO79" s="68"/>
      <c r="AP79" s="68">
        <f>TABL12345[[#This Row],[(A/S TOT) AJD]]-TABL12345[[#This Row],[SER_ IN]]</f>
        <v>0</v>
      </c>
    </row>
    <row r="80" spans="1:42" ht="18.75" x14ac:dyDescent="0.25">
      <c r="A80" s="2">
        <v>46831</v>
      </c>
      <c r="B80" s="44"/>
      <c r="C80" s="44"/>
      <c r="D80" s="44"/>
      <c r="E80" s="28"/>
      <c r="F80" s="44"/>
      <c r="G80" s="40"/>
      <c r="H80" s="28"/>
      <c r="I80" s="40"/>
      <c r="J80" s="44"/>
      <c r="K80" s="28">
        <f>TABL12345[[#This Row],[خط (T/B  TOT) SAR]]+TABL12345[[#This Row],[خط (S/S  TOT) SAR2]]</f>
        <v>0</v>
      </c>
      <c r="L80" s="45"/>
      <c r="M80" s="46"/>
      <c r="N80" s="46"/>
      <c r="O80" s="40"/>
      <c r="P80" s="3">
        <f>TABL12345[[#This Row],[خط (S/S  TOT) SAR2]]-TABL12345[[#This Row],[(S/S TOT) AJD]]</f>
        <v>0</v>
      </c>
      <c r="Q80" s="40"/>
      <c r="R80" s="3">
        <f>TABL12345[[#This Row],[خط (T/B  TOT) SAR]]-TABL12345[[#This Row],[(T/B TOT) AJD]]</f>
        <v>0</v>
      </c>
      <c r="S80" s="3">
        <f>TABL12345[[#This Row],[الفرق بين بداية ونهاية خط  S/S]]+TABL12345[[#This Row],[الفرق بين بداية ونهاية خط  T/B]]</f>
        <v>0</v>
      </c>
      <c r="T80" s="3">
        <f t="shared" si="4"/>
        <v>0</v>
      </c>
      <c r="U80" s="44"/>
      <c r="V80" s="44"/>
      <c r="W80" s="3">
        <f t="shared" si="5"/>
        <v>0</v>
      </c>
      <c r="X80" s="3">
        <f t="shared" si="6"/>
        <v>0</v>
      </c>
      <c r="Y80" s="44"/>
      <c r="Z80" s="45"/>
      <c r="AA80" s="3">
        <f>TABL12345[[#This Row],[(RESV. STORGE) AJD]]/10</f>
        <v>0</v>
      </c>
      <c r="AB80" s="45">
        <f t="shared" si="7"/>
        <v>0</v>
      </c>
      <c r="AC80" s="5"/>
      <c r="AD80" s="40">
        <f>(TABL12345[[#This Row],[( S/S+T/B) AJD]]*1000)-((TABL12345[[#This Row],[(STORGE DIFF.) AJD]]*1000)+TABL12345[[#This Row],[البخر  AJD]]+(TABL12345[[#This Row],[(A/B + A/S) AJD]]*1000))</f>
        <v>0</v>
      </c>
      <c r="AE80" s="44"/>
      <c r="AF80" s="45"/>
      <c r="AG80" s="45"/>
      <c r="AH80" s="6">
        <f>TABL12345[[#This Row],[ (RESV. STORGE) BER]]/10</f>
        <v>0</v>
      </c>
      <c r="AI80" s="44"/>
      <c r="AJ80" s="45">
        <f>TABL12345[[#This Row],[(A/B TOT) AJD]]-TABL12345[[#This Row],[BER_ IN]]</f>
        <v>0</v>
      </c>
      <c r="AK80" s="45"/>
      <c r="AL80" s="45"/>
      <c r="AM80" s="32"/>
      <c r="AN80" s="32">
        <f>TABL12345[[#This Row],[ (RESV. STORGE) SER]]/10</f>
        <v>0</v>
      </c>
      <c r="AO80" s="68"/>
      <c r="AP80" s="68">
        <f>TABL12345[[#This Row],[(A/S TOT) AJD]]-TABL12345[[#This Row],[SER_ IN]]</f>
        <v>0</v>
      </c>
    </row>
    <row r="81" spans="1:42" ht="18.75" x14ac:dyDescent="0.25">
      <c r="A81" s="2">
        <v>46832</v>
      </c>
      <c r="B81" s="41"/>
      <c r="C81" s="41"/>
      <c r="D81" s="41"/>
      <c r="E81" s="28"/>
      <c r="F81" s="41"/>
      <c r="G81" s="39"/>
      <c r="H81" s="28"/>
      <c r="I81" s="39"/>
      <c r="J81" s="39"/>
      <c r="K81" s="28">
        <f>TABL12345[[#This Row],[خط (T/B  TOT) SAR]]+TABL12345[[#This Row],[خط (S/S  TOT) SAR2]]</f>
        <v>0</v>
      </c>
      <c r="L81" s="41"/>
      <c r="M81" s="42"/>
      <c r="N81" s="42"/>
      <c r="O81" s="39"/>
      <c r="P81" s="3">
        <f>TABL12345[[#This Row],[خط (S/S  TOT) SAR2]]-TABL12345[[#This Row],[(S/S TOT) AJD]]</f>
        <v>0</v>
      </c>
      <c r="Q81" s="39"/>
      <c r="R81" s="3">
        <f>TABL12345[[#This Row],[خط (T/B  TOT) SAR]]-TABL12345[[#This Row],[(T/B TOT) AJD]]</f>
        <v>0</v>
      </c>
      <c r="S81" s="3">
        <f>TABL12345[[#This Row],[الفرق بين بداية ونهاية خط  S/S]]+TABL12345[[#This Row],[الفرق بين بداية ونهاية خط  T/B]]</f>
        <v>0</v>
      </c>
      <c r="T81" s="3">
        <f t="shared" si="4"/>
        <v>0</v>
      </c>
      <c r="U81" s="41"/>
      <c r="V81" s="41"/>
      <c r="W81" s="3">
        <f t="shared" si="5"/>
        <v>0</v>
      </c>
      <c r="X81" s="3">
        <f t="shared" si="6"/>
        <v>0</v>
      </c>
      <c r="Y81" s="41"/>
      <c r="Z81" s="43"/>
      <c r="AA81" s="3">
        <f>TABL12345[[#This Row],[(RESV. STORGE) AJD]]/10</f>
        <v>0</v>
      </c>
      <c r="AB81" s="45">
        <f t="shared" si="7"/>
        <v>0</v>
      </c>
      <c r="AC81" s="5"/>
      <c r="AD81" s="39">
        <f>(TABL12345[[#This Row],[( S/S+T/B) AJD]]*1000)-((TABL12345[[#This Row],[(STORGE DIFF.) AJD]]*1000)+TABL12345[[#This Row],[البخر  AJD]]+(TABL12345[[#This Row],[(A/B + A/S) AJD]]*1000))</f>
        <v>0</v>
      </c>
      <c r="AE81" s="41"/>
      <c r="AF81" s="43"/>
      <c r="AG81" s="43"/>
      <c r="AH81" s="6">
        <f>TABL12345[[#This Row],[ (RESV. STORGE) BER]]/10</f>
        <v>0</v>
      </c>
      <c r="AI81" s="41"/>
      <c r="AJ81" s="43">
        <f>TABL12345[[#This Row],[(A/B TOT) AJD]]-TABL12345[[#This Row],[BER_ IN]]</f>
        <v>0</v>
      </c>
      <c r="AK81" s="43"/>
      <c r="AL81" s="43"/>
      <c r="AM81" s="32"/>
      <c r="AN81" s="32">
        <f>TABL12345[[#This Row],[ (RESV. STORGE) SER]]/10</f>
        <v>0</v>
      </c>
      <c r="AO81" s="68"/>
      <c r="AP81" s="68">
        <f>TABL12345[[#This Row],[(A/S TOT) AJD]]-TABL12345[[#This Row],[SER_ IN]]</f>
        <v>0</v>
      </c>
    </row>
    <row r="82" spans="1:42" ht="18.75" x14ac:dyDescent="0.25">
      <c r="A82" s="2">
        <v>46833</v>
      </c>
      <c r="B82" s="44"/>
      <c r="C82" s="44"/>
      <c r="D82" s="44"/>
      <c r="E82" s="28"/>
      <c r="F82" s="44"/>
      <c r="G82" s="40"/>
      <c r="H82" s="28"/>
      <c r="I82" s="40"/>
      <c r="J82" s="44"/>
      <c r="K82" s="28">
        <f>TABL12345[[#This Row],[خط (T/B  TOT) SAR]]+TABL12345[[#This Row],[خط (S/S  TOT) SAR2]]</f>
        <v>0</v>
      </c>
      <c r="L82" s="45"/>
      <c r="M82" s="46"/>
      <c r="N82" s="46"/>
      <c r="O82" s="40"/>
      <c r="P82" s="3">
        <f>TABL12345[[#This Row],[خط (S/S  TOT) SAR2]]-TABL12345[[#This Row],[(S/S TOT) AJD]]</f>
        <v>0</v>
      </c>
      <c r="Q82" s="40"/>
      <c r="R82" s="3">
        <f>TABL12345[[#This Row],[خط (T/B  TOT) SAR]]-TABL12345[[#This Row],[(T/B TOT) AJD]]</f>
        <v>0</v>
      </c>
      <c r="S82" s="3">
        <f>TABL12345[[#This Row],[الفرق بين بداية ونهاية خط  S/S]]+TABL12345[[#This Row],[الفرق بين بداية ونهاية خط  T/B]]</f>
        <v>0</v>
      </c>
      <c r="T82" s="3">
        <f t="shared" si="4"/>
        <v>0</v>
      </c>
      <c r="U82" s="44"/>
      <c r="V82" s="44"/>
      <c r="W82" s="3">
        <f t="shared" si="5"/>
        <v>0</v>
      </c>
      <c r="X82" s="3">
        <f t="shared" si="6"/>
        <v>0</v>
      </c>
      <c r="Y82" s="44"/>
      <c r="Z82" s="45"/>
      <c r="AA82" s="3">
        <f>TABL12345[[#This Row],[(RESV. STORGE) AJD]]/10</f>
        <v>0</v>
      </c>
      <c r="AB82" s="45">
        <f t="shared" si="7"/>
        <v>0</v>
      </c>
      <c r="AC82" s="5"/>
      <c r="AD82" s="40">
        <f>(TABL12345[[#This Row],[( S/S+T/B) AJD]]*1000)-((TABL12345[[#This Row],[(STORGE DIFF.) AJD]]*1000)+TABL12345[[#This Row],[البخر  AJD]]+(TABL12345[[#This Row],[(A/B + A/S) AJD]]*1000))</f>
        <v>0</v>
      </c>
      <c r="AE82" s="44"/>
      <c r="AF82" s="45"/>
      <c r="AG82" s="45"/>
      <c r="AH82" s="6">
        <f>TABL12345[[#This Row],[ (RESV. STORGE) BER]]/10</f>
        <v>0</v>
      </c>
      <c r="AI82" s="44"/>
      <c r="AJ82" s="45">
        <f>TABL12345[[#This Row],[(A/B TOT) AJD]]-TABL12345[[#This Row],[BER_ IN]]</f>
        <v>0</v>
      </c>
      <c r="AK82" s="45"/>
      <c r="AL82" s="45"/>
      <c r="AM82" s="32"/>
      <c r="AN82" s="32">
        <f>TABL12345[[#This Row],[ (RESV. STORGE) SER]]/10</f>
        <v>0</v>
      </c>
      <c r="AO82" s="68"/>
      <c r="AP82" s="68">
        <f>TABL12345[[#This Row],[(A/S TOT) AJD]]-TABL12345[[#This Row],[SER_ IN]]</f>
        <v>0</v>
      </c>
    </row>
    <row r="83" spans="1:42" ht="18.75" x14ac:dyDescent="0.25">
      <c r="A83" s="2">
        <v>46834</v>
      </c>
      <c r="B83" s="41"/>
      <c r="C83" s="41"/>
      <c r="D83" s="41"/>
      <c r="E83" s="28"/>
      <c r="F83" s="41"/>
      <c r="G83" s="39"/>
      <c r="H83" s="28"/>
      <c r="I83" s="39"/>
      <c r="J83" s="39"/>
      <c r="K83" s="28">
        <f>TABL12345[[#This Row],[خط (T/B  TOT) SAR]]+TABL12345[[#This Row],[خط (S/S  TOT) SAR2]]</f>
        <v>0</v>
      </c>
      <c r="L83" s="41"/>
      <c r="M83" s="42"/>
      <c r="N83" s="42"/>
      <c r="O83" s="39"/>
      <c r="P83" s="3">
        <f>TABL12345[[#This Row],[خط (S/S  TOT) SAR2]]-TABL12345[[#This Row],[(S/S TOT) AJD]]</f>
        <v>0</v>
      </c>
      <c r="Q83" s="39"/>
      <c r="R83" s="3">
        <f>TABL12345[[#This Row],[خط (T/B  TOT) SAR]]-TABL12345[[#This Row],[(T/B TOT) AJD]]</f>
        <v>0</v>
      </c>
      <c r="S83" s="3">
        <f>TABL12345[[#This Row],[الفرق بين بداية ونهاية خط  S/S]]+TABL12345[[#This Row],[الفرق بين بداية ونهاية خط  T/B]]</f>
        <v>0</v>
      </c>
      <c r="T83" s="3">
        <f t="shared" si="4"/>
        <v>0</v>
      </c>
      <c r="U83" s="41"/>
      <c r="V83" s="41"/>
      <c r="W83" s="3">
        <f t="shared" si="5"/>
        <v>0</v>
      </c>
      <c r="X83" s="3">
        <f t="shared" si="6"/>
        <v>0</v>
      </c>
      <c r="Y83" s="41"/>
      <c r="Z83" s="43"/>
      <c r="AA83" s="3">
        <f>TABL12345[[#This Row],[(RESV. STORGE) AJD]]/10</f>
        <v>0</v>
      </c>
      <c r="AB83" s="45">
        <f t="shared" si="7"/>
        <v>0</v>
      </c>
      <c r="AC83" s="5"/>
      <c r="AD83" s="39">
        <f>(TABL12345[[#This Row],[( S/S+T/B) AJD]]*1000)-((TABL12345[[#This Row],[(STORGE DIFF.) AJD]]*1000)+TABL12345[[#This Row],[البخر  AJD]]+(TABL12345[[#This Row],[(A/B + A/S) AJD]]*1000))</f>
        <v>0</v>
      </c>
      <c r="AE83" s="41"/>
      <c r="AF83" s="43"/>
      <c r="AG83" s="43"/>
      <c r="AH83" s="6">
        <f>TABL12345[[#This Row],[ (RESV. STORGE) BER]]/10</f>
        <v>0</v>
      </c>
      <c r="AI83" s="41"/>
      <c r="AJ83" s="43">
        <f>TABL12345[[#This Row],[(A/B TOT) AJD]]-TABL12345[[#This Row],[BER_ IN]]</f>
        <v>0</v>
      </c>
      <c r="AK83" s="43"/>
      <c r="AL83" s="43"/>
      <c r="AM83" s="32"/>
      <c r="AN83" s="32">
        <f>TABL12345[[#This Row],[ (RESV. STORGE) SER]]/10</f>
        <v>0</v>
      </c>
      <c r="AO83" s="68"/>
      <c r="AP83" s="68">
        <f>TABL12345[[#This Row],[(A/S TOT) AJD]]-TABL12345[[#This Row],[SER_ IN]]</f>
        <v>0</v>
      </c>
    </row>
    <row r="84" spans="1:42" ht="18.75" x14ac:dyDescent="0.25">
      <c r="A84" s="2">
        <v>46835</v>
      </c>
      <c r="B84" s="44"/>
      <c r="C84" s="44"/>
      <c r="D84" s="44"/>
      <c r="E84" s="28"/>
      <c r="F84" s="44"/>
      <c r="G84" s="40"/>
      <c r="H84" s="28"/>
      <c r="I84" s="40"/>
      <c r="J84" s="44"/>
      <c r="K84" s="28">
        <f>TABL12345[[#This Row],[خط (T/B  TOT) SAR]]+TABL12345[[#This Row],[خط (S/S  TOT) SAR2]]</f>
        <v>0</v>
      </c>
      <c r="L84" s="45"/>
      <c r="M84" s="46"/>
      <c r="N84" s="46"/>
      <c r="O84" s="40"/>
      <c r="P84" s="3">
        <f>TABL12345[[#This Row],[خط (S/S  TOT) SAR2]]-TABL12345[[#This Row],[(S/S TOT) AJD]]</f>
        <v>0</v>
      </c>
      <c r="Q84" s="40"/>
      <c r="R84" s="3">
        <f>TABL12345[[#This Row],[خط (T/B  TOT) SAR]]-TABL12345[[#This Row],[(T/B TOT) AJD]]</f>
        <v>0</v>
      </c>
      <c r="S84" s="3">
        <f>TABL12345[[#This Row],[الفرق بين بداية ونهاية خط  S/S]]+TABL12345[[#This Row],[الفرق بين بداية ونهاية خط  T/B]]</f>
        <v>0</v>
      </c>
      <c r="T84" s="3">
        <f t="shared" si="4"/>
        <v>0</v>
      </c>
      <c r="U84" s="44"/>
      <c r="V84" s="44"/>
      <c r="W84" s="3">
        <f t="shared" si="5"/>
        <v>0</v>
      </c>
      <c r="X84" s="3">
        <f t="shared" si="6"/>
        <v>0</v>
      </c>
      <c r="Y84" s="44"/>
      <c r="Z84" s="45"/>
      <c r="AA84" s="3">
        <f>TABL12345[[#This Row],[(RESV. STORGE) AJD]]/10</f>
        <v>0</v>
      </c>
      <c r="AB84" s="45">
        <f t="shared" si="7"/>
        <v>0</v>
      </c>
      <c r="AC84" s="5"/>
      <c r="AD84" s="40">
        <f>(TABL12345[[#This Row],[( S/S+T/B) AJD]]*1000)-((TABL12345[[#This Row],[(STORGE DIFF.) AJD]]*1000)+TABL12345[[#This Row],[البخر  AJD]]+(TABL12345[[#This Row],[(A/B + A/S) AJD]]*1000))</f>
        <v>0</v>
      </c>
      <c r="AE84" s="44"/>
      <c r="AF84" s="45"/>
      <c r="AG84" s="45"/>
      <c r="AH84" s="6">
        <f>TABL12345[[#This Row],[ (RESV. STORGE) BER]]/10</f>
        <v>0</v>
      </c>
      <c r="AI84" s="44"/>
      <c r="AJ84" s="45">
        <f>TABL12345[[#This Row],[(A/B TOT) AJD]]-TABL12345[[#This Row],[BER_ IN]]</f>
        <v>0</v>
      </c>
      <c r="AK84" s="45"/>
      <c r="AL84" s="45"/>
      <c r="AM84" s="32"/>
      <c r="AN84" s="32">
        <f>TABL12345[[#This Row],[ (RESV. STORGE) SER]]/10</f>
        <v>0</v>
      </c>
      <c r="AO84" s="68"/>
      <c r="AP84" s="68">
        <f>TABL12345[[#This Row],[(A/S TOT) AJD]]-TABL12345[[#This Row],[SER_ IN]]</f>
        <v>0</v>
      </c>
    </row>
    <row r="85" spans="1:42" ht="18.75" x14ac:dyDescent="0.25">
      <c r="A85" s="2">
        <v>46836</v>
      </c>
      <c r="B85" s="41"/>
      <c r="C85" s="41"/>
      <c r="D85" s="41"/>
      <c r="E85" s="28"/>
      <c r="F85" s="41"/>
      <c r="G85" s="39"/>
      <c r="H85" s="28"/>
      <c r="I85" s="39"/>
      <c r="J85" s="39"/>
      <c r="K85" s="28">
        <f>TABL12345[[#This Row],[خط (T/B  TOT) SAR]]+TABL12345[[#This Row],[خط (S/S  TOT) SAR2]]</f>
        <v>0</v>
      </c>
      <c r="L85" s="41"/>
      <c r="M85" s="42"/>
      <c r="N85" s="42"/>
      <c r="O85" s="39"/>
      <c r="P85" s="3">
        <f>TABL12345[[#This Row],[خط (S/S  TOT) SAR2]]-TABL12345[[#This Row],[(S/S TOT) AJD]]</f>
        <v>0</v>
      </c>
      <c r="Q85" s="39"/>
      <c r="R85" s="3">
        <f>TABL12345[[#This Row],[خط (T/B  TOT) SAR]]-TABL12345[[#This Row],[(T/B TOT) AJD]]</f>
        <v>0</v>
      </c>
      <c r="S85" s="3">
        <f>TABL12345[[#This Row],[الفرق بين بداية ونهاية خط  S/S]]+TABL12345[[#This Row],[الفرق بين بداية ونهاية خط  T/B]]</f>
        <v>0</v>
      </c>
      <c r="T85" s="3">
        <f t="shared" si="4"/>
        <v>0</v>
      </c>
      <c r="U85" s="41"/>
      <c r="V85" s="41"/>
      <c r="W85" s="3">
        <f t="shared" si="5"/>
        <v>0</v>
      </c>
      <c r="X85" s="3">
        <f t="shared" si="6"/>
        <v>0</v>
      </c>
      <c r="Y85" s="41"/>
      <c r="Z85" s="43"/>
      <c r="AA85" s="3">
        <f>TABL12345[[#This Row],[(RESV. STORGE) AJD]]/10</f>
        <v>0</v>
      </c>
      <c r="AB85" s="45">
        <f t="shared" si="7"/>
        <v>0</v>
      </c>
      <c r="AC85" s="5"/>
      <c r="AD85" s="39">
        <f>(TABL12345[[#This Row],[( S/S+T/B) AJD]]*1000)-((TABL12345[[#This Row],[(STORGE DIFF.) AJD]]*1000)+TABL12345[[#This Row],[البخر  AJD]]+(TABL12345[[#This Row],[(A/B + A/S) AJD]]*1000))</f>
        <v>0</v>
      </c>
      <c r="AE85" s="41"/>
      <c r="AF85" s="43"/>
      <c r="AG85" s="43"/>
      <c r="AH85" s="6">
        <f>TABL12345[[#This Row],[ (RESV. STORGE) BER]]/10</f>
        <v>0</v>
      </c>
      <c r="AI85" s="41"/>
      <c r="AJ85" s="43">
        <f>TABL12345[[#This Row],[(A/B TOT) AJD]]-TABL12345[[#This Row],[BER_ IN]]</f>
        <v>0</v>
      </c>
      <c r="AK85" s="43"/>
      <c r="AL85" s="43"/>
      <c r="AM85" s="32"/>
      <c r="AN85" s="32">
        <f>TABL12345[[#This Row],[ (RESV. STORGE) SER]]/10</f>
        <v>0</v>
      </c>
      <c r="AO85" s="68"/>
      <c r="AP85" s="68">
        <f>TABL12345[[#This Row],[(A/S TOT) AJD]]-TABL12345[[#This Row],[SER_ IN]]</f>
        <v>0</v>
      </c>
    </row>
    <row r="86" spans="1:42" ht="18.75" x14ac:dyDescent="0.25">
      <c r="A86" s="2">
        <v>46837</v>
      </c>
      <c r="B86" s="44"/>
      <c r="C86" s="44"/>
      <c r="D86" s="44"/>
      <c r="E86" s="28"/>
      <c r="F86" s="44"/>
      <c r="G86" s="40"/>
      <c r="H86" s="28"/>
      <c r="I86" s="40"/>
      <c r="J86" s="44"/>
      <c r="K86" s="28">
        <f>TABL12345[[#This Row],[خط (T/B  TOT) SAR]]+TABL12345[[#This Row],[خط (S/S  TOT) SAR2]]</f>
        <v>0</v>
      </c>
      <c r="L86" s="45"/>
      <c r="M86" s="46"/>
      <c r="N86" s="46"/>
      <c r="O86" s="40"/>
      <c r="P86" s="3">
        <f>TABL12345[[#This Row],[خط (S/S  TOT) SAR2]]-TABL12345[[#This Row],[(S/S TOT) AJD]]</f>
        <v>0</v>
      </c>
      <c r="Q86" s="40"/>
      <c r="R86" s="3">
        <f>TABL12345[[#This Row],[خط (T/B  TOT) SAR]]-TABL12345[[#This Row],[(T/B TOT) AJD]]</f>
        <v>0</v>
      </c>
      <c r="S86" s="3">
        <f>TABL12345[[#This Row],[الفرق بين بداية ونهاية خط  S/S]]+TABL12345[[#This Row],[الفرق بين بداية ونهاية خط  T/B]]</f>
        <v>0</v>
      </c>
      <c r="T86" s="3">
        <f t="shared" si="4"/>
        <v>0</v>
      </c>
      <c r="U86" s="44"/>
      <c r="V86" s="44"/>
      <c r="W86" s="3">
        <f t="shared" si="5"/>
        <v>0</v>
      </c>
      <c r="X86" s="3">
        <f t="shared" si="6"/>
        <v>0</v>
      </c>
      <c r="Y86" s="44"/>
      <c r="Z86" s="45"/>
      <c r="AA86" s="3">
        <f>TABL12345[[#This Row],[(RESV. STORGE) AJD]]/10</f>
        <v>0</v>
      </c>
      <c r="AB86" s="45">
        <f t="shared" si="7"/>
        <v>0</v>
      </c>
      <c r="AC86" s="5"/>
      <c r="AD86" s="40">
        <f>(TABL12345[[#This Row],[( S/S+T/B) AJD]]*1000)-((TABL12345[[#This Row],[(STORGE DIFF.) AJD]]*1000)+TABL12345[[#This Row],[البخر  AJD]]+(TABL12345[[#This Row],[(A/B + A/S) AJD]]*1000))</f>
        <v>0</v>
      </c>
      <c r="AE86" s="44"/>
      <c r="AF86" s="45"/>
      <c r="AG86" s="45"/>
      <c r="AH86" s="6">
        <f>TABL12345[[#This Row],[ (RESV. STORGE) BER]]/10</f>
        <v>0</v>
      </c>
      <c r="AI86" s="44"/>
      <c r="AJ86" s="45">
        <f>TABL12345[[#This Row],[(A/B TOT) AJD]]-TABL12345[[#This Row],[BER_ IN]]</f>
        <v>0</v>
      </c>
      <c r="AK86" s="45"/>
      <c r="AL86" s="45"/>
      <c r="AM86" s="32"/>
      <c r="AN86" s="32">
        <f>TABL12345[[#This Row],[ (RESV. STORGE) SER]]/10</f>
        <v>0</v>
      </c>
      <c r="AO86" s="68"/>
      <c r="AP86" s="68">
        <f>TABL12345[[#This Row],[(A/S TOT) AJD]]-TABL12345[[#This Row],[SER_ IN]]</f>
        <v>0</v>
      </c>
    </row>
    <row r="87" spans="1:42" ht="18.75" x14ac:dyDescent="0.25">
      <c r="A87" s="2">
        <v>46838</v>
      </c>
      <c r="B87" s="41"/>
      <c r="C87" s="41"/>
      <c r="D87" s="41"/>
      <c r="E87" s="28"/>
      <c r="F87" s="41"/>
      <c r="G87" s="39"/>
      <c r="H87" s="28"/>
      <c r="I87" s="39"/>
      <c r="J87" s="39"/>
      <c r="K87" s="28">
        <f>TABL12345[[#This Row],[خط (T/B  TOT) SAR]]+TABL12345[[#This Row],[خط (S/S  TOT) SAR2]]</f>
        <v>0</v>
      </c>
      <c r="L87" s="41"/>
      <c r="M87" s="42"/>
      <c r="N87" s="42"/>
      <c r="O87" s="39"/>
      <c r="P87" s="3">
        <f>TABL12345[[#This Row],[خط (S/S  TOT) SAR2]]-TABL12345[[#This Row],[(S/S TOT) AJD]]</f>
        <v>0</v>
      </c>
      <c r="Q87" s="39"/>
      <c r="R87" s="3">
        <f>TABL12345[[#This Row],[خط (T/B  TOT) SAR]]-TABL12345[[#This Row],[(T/B TOT) AJD]]</f>
        <v>0</v>
      </c>
      <c r="S87" s="3">
        <f>TABL12345[[#This Row],[الفرق بين بداية ونهاية خط  S/S]]+TABL12345[[#This Row],[الفرق بين بداية ونهاية خط  T/B]]</f>
        <v>0</v>
      </c>
      <c r="T87" s="3">
        <f t="shared" si="4"/>
        <v>0</v>
      </c>
      <c r="U87" s="41"/>
      <c r="V87" s="41"/>
      <c r="W87" s="3">
        <f t="shared" si="5"/>
        <v>0</v>
      </c>
      <c r="X87" s="3">
        <f t="shared" si="6"/>
        <v>0</v>
      </c>
      <c r="Y87" s="41"/>
      <c r="Z87" s="43"/>
      <c r="AA87" s="3">
        <f>TABL12345[[#This Row],[(RESV. STORGE) AJD]]/10</f>
        <v>0</v>
      </c>
      <c r="AB87" s="45">
        <f t="shared" si="7"/>
        <v>0</v>
      </c>
      <c r="AC87" s="5"/>
      <c r="AD87" s="39">
        <f>(TABL12345[[#This Row],[( S/S+T/B) AJD]]*1000)-((TABL12345[[#This Row],[(STORGE DIFF.) AJD]]*1000)+TABL12345[[#This Row],[البخر  AJD]]+(TABL12345[[#This Row],[(A/B + A/S) AJD]]*1000))</f>
        <v>0</v>
      </c>
      <c r="AE87" s="41"/>
      <c r="AF87" s="43"/>
      <c r="AG87" s="43"/>
      <c r="AH87" s="6">
        <f>TABL12345[[#This Row],[ (RESV. STORGE) BER]]/10</f>
        <v>0</v>
      </c>
      <c r="AI87" s="41"/>
      <c r="AJ87" s="43">
        <f>TABL12345[[#This Row],[(A/B TOT) AJD]]-TABL12345[[#This Row],[BER_ IN]]</f>
        <v>0</v>
      </c>
      <c r="AK87" s="43"/>
      <c r="AL87" s="43"/>
      <c r="AM87" s="32"/>
      <c r="AN87" s="32">
        <f>TABL12345[[#This Row],[ (RESV. STORGE) SER]]/10</f>
        <v>0</v>
      </c>
      <c r="AO87" s="68"/>
      <c r="AP87" s="68">
        <f>TABL12345[[#This Row],[(A/S TOT) AJD]]-TABL12345[[#This Row],[SER_ IN]]</f>
        <v>0</v>
      </c>
    </row>
    <row r="88" spans="1:42" ht="18.75" x14ac:dyDescent="0.25">
      <c r="A88" s="2">
        <v>46839</v>
      </c>
      <c r="B88" s="44"/>
      <c r="C88" s="44"/>
      <c r="D88" s="44"/>
      <c r="E88" s="28"/>
      <c r="F88" s="44"/>
      <c r="G88" s="40"/>
      <c r="H88" s="28"/>
      <c r="I88" s="40"/>
      <c r="J88" s="44"/>
      <c r="K88" s="28">
        <f>TABL12345[[#This Row],[خط (T/B  TOT) SAR]]+TABL12345[[#This Row],[خط (S/S  TOT) SAR2]]</f>
        <v>0</v>
      </c>
      <c r="L88" s="45"/>
      <c r="M88" s="46"/>
      <c r="N88" s="46"/>
      <c r="O88" s="40"/>
      <c r="P88" s="3">
        <f>TABL12345[[#This Row],[خط (S/S  TOT) SAR2]]-TABL12345[[#This Row],[(S/S TOT) AJD]]</f>
        <v>0</v>
      </c>
      <c r="Q88" s="40"/>
      <c r="R88" s="3">
        <f>TABL12345[[#This Row],[خط (T/B  TOT) SAR]]-TABL12345[[#This Row],[(T/B TOT) AJD]]</f>
        <v>0</v>
      </c>
      <c r="S88" s="3">
        <f>TABL12345[[#This Row],[الفرق بين بداية ونهاية خط  S/S]]+TABL12345[[#This Row],[الفرق بين بداية ونهاية خط  T/B]]</f>
        <v>0</v>
      </c>
      <c r="T88" s="3">
        <f t="shared" si="4"/>
        <v>0</v>
      </c>
      <c r="U88" s="44"/>
      <c r="V88" s="44"/>
      <c r="W88" s="3">
        <f t="shared" si="5"/>
        <v>0</v>
      </c>
      <c r="X88" s="3">
        <f t="shared" si="6"/>
        <v>0</v>
      </c>
      <c r="Y88" s="44"/>
      <c r="Z88" s="45"/>
      <c r="AA88" s="3">
        <f>TABL12345[[#This Row],[(RESV. STORGE) AJD]]/10</f>
        <v>0</v>
      </c>
      <c r="AB88" s="45">
        <f t="shared" si="7"/>
        <v>0</v>
      </c>
      <c r="AC88" s="5"/>
      <c r="AD88" s="40">
        <f>(TABL12345[[#This Row],[( S/S+T/B) AJD]]*1000)-((TABL12345[[#This Row],[(STORGE DIFF.) AJD]]*1000)+TABL12345[[#This Row],[البخر  AJD]]+(TABL12345[[#This Row],[(A/B + A/S) AJD]]*1000))</f>
        <v>0</v>
      </c>
      <c r="AE88" s="44"/>
      <c r="AF88" s="45"/>
      <c r="AG88" s="45"/>
      <c r="AH88" s="6">
        <f>TABL12345[[#This Row],[ (RESV. STORGE) BER]]/10</f>
        <v>0</v>
      </c>
      <c r="AI88" s="44"/>
      <c r="AJ88" s="45">
        <f>TABL12345[[#This Row],[(A/B TOT) AJD]]-TABL12345[[#This Row],[BER_ IN]]</f>
        <v>0</v>
      </c>
      <c r="AK88" s="45"/>
      <c r="AL88" s="45"/>
      <c r="AM88" s="32"/>
      <c r="AN88" s="32">
        <f>TABL12345[[#This Row],[ (RESV. STORGE) SER]]/10</f>
        <v>0</v>
      </c>
      <c r="AO88" s="68"/>
      <c r="AP88" s="68">
        <f>TABL12345[[#This Row],[(A/S TOT) AJD]]-TABL12345[[#This Row],[SER_ IN]]</f>
        <v>0</v>
      </c>
    </row>
    <row r="89" spans="1:42" ht="18.75" x14ac:dyDescent="0.25">
      <c r="A89" s="2">
        <v>46840</v>
      </c>
      <c r="B89" s="41"/>
      <c r="C89" s="41"/>
      <c r="D89" s="41"/>
      <c r="E89" s="28"/>
      <c r="F89" s="41"/>
      <c r="G89" s="39"/>
      <c r="H89" s="28"/>
      <c r="I89" s="39"/>
      <c r="J89" s="39"/>
      <c r="K89" s="28">
        <f>TABL12345[[#This Row],[خط (T/B  TOT) SAR]]+TABL12345[[#This Row],[خط (S/S  TOT) SAR2]]</f>
        <v>0</v>
      </c>
      <c r="L89" s="41"/>
      <c r="M89" s="42"/>
      <c r="N89" s="42"/>
      <c r="O89" s="39"/>
      <c r="P89" s="3">
        <f>TABL12345[[#This Row],[خط (S/S  TOT) SAR2]]-TABL12345[[#This Row],[(S/S TOT) AJD]]</f>
        <v>0</v>
      </c>
      <c r="Q89" s="39"/>
      <c r="R89" s="3">
        <f>TABL12345[[#This Row],[خط (T/B  TOT) SAR]]-TABL12345[[#This Row],[(T/B TOT) AJD]]</f>
        <v>0</v>
      </c>
      <c r="S89" s="3">
        <f>TABL12345[[#This Row],[الفرق بين بداية ونهاية خط  S/S]]+TABL12345[[#This Row],[الفرق بين بداية ونهاية خط  T/B]]</f>
        <v>0</v>
      </c>
      <c r="T89" s="3">
        <f t="shared" si="4"/>
        <v>0</v>
      </c>
      <c r="U89" s="41"/>
      <c r="V89" s="41"/>
      <c r="W89" s="3">
        <f t="shared" si="5"/>
        <v>0</v>
      </c>
      <c r="X89" s="3">
        <f t="shared" si="6"/>
        <v>0</v>
      </c>
      <c r="Y89" s="41"/>
      <c r="Z89" s="43"/>
      <c r="AA89" s="3">
        <f>TABL12345[[#This Row],[(RESV. STORGE) AJD]]/10</f>
        <v>0</v>
      </c>
      <c r="AB89" s="45">
        <f t="shared" si="7"/>
        <v>0</v>
      </c>
      <c r="AC89" s="5"/>
      <c r="AD89" s="39">
        <f>(TABL12345[[#This Row],[( S/S+T/B) AJD]]*1000)-((TABL12345[[#This Row],[(STORGE DIFF.) AJD]]*1000)+TABL12345[[#This Row],[البخر  AJD]]+(TABL12345[[#This Row],[(A/B + A/S) AJD]]*1000))</f>
        <v>0</v>
      </c>
      <c r="AE89" s="41"/>
      <c r="AF89" s="43"/>
      <c r="AG89" s="43"/>
      <c r="AH89" s="6">
        <f>TABL12345[[#This Row],[ (RESV. STORGE) BER]]/10</f>
        <v>0</v>
      </c>
      <c r="AI89" s="41"/>
      <c r="AJ89" s="43">
        <f>TABL12345[[#This Row],[(A/B TOT) AJD]]-TABL12345[[#This Row],[BER_ IN]]</f>
        <v>0</v>
      </c>
      <c r="AK89" s="43"/>
      <c r="AL89" s="43"/>
      <c r="AM89" s="32"/>
      <c r="AN89" s="32">
        <f>TABL12345[[#This Row],[ (RESV. STORGE) SER]]/10</f>
        <v>0</v>
      </c>
      <c r="AO89" s="68"/>
      <c r="AP89" s="68">
        <f>TABL12345[[#This Row],[(A/S TOT) AJD]]-TABL12345[[#This Row],[SER_ IN]]</f>
        <v>0</v>
      </c>
    </row>
    <row r="90" spans="1:42" ht="18.75" x14ac:dyDescent="0.25">
      <c r="A90" s="2">
        <v>46841</v>
      </c>
      <c r="B90" s="44"/>
      <c r="C90" s="44"/>
      <c r="D90" s="44"/>
      <c r="E90" s="28"/>
      <c r="F90" s="44"/>
      <c r="G90" s="40"/>
      <c r="H90" s="28"/>
      <c r="I90" s="40"/>
      <c r="J90" s="44"/>
      <c r="K90" s="28">
        <f>TABL12345[[#This Row],[خط (T/B  TOT) SAR]]+TABL12345[[#This Row],[خط (S/S  TOT) SAR2]]</f>
        <v>0</v>
      </c>
      <c r="L90" s="45"/>
      <c r="M90" s="46"/>
      <c r="N90" s="46"/>
      <c r="O90" s="40"/>
      <c r="P90" s="3">
        <f>TABL12345[[#This Row],[خط (S/S  TOT) SAR2]]-TABL12345[[#This Row],[(S/S TOT) AJD]]</f>
        <v>0</v>
      </c>
      <c r="Q90" s="40"/>
      <c r="R90" s="3">
        <f>TABL12345[[#This Row],[خط (T/B  TOT) SAR]]-TABL12345[[#This Row],[(T/B TOT) AJD]]</f>
        <v>0</v>
      </c>
      <c r="S90" s="3">
        <f>TABL12345[[#This Row],[الفرق بين بداية ونهاية خط  S/S]]+TABL12345[[#This Row],[الفرق بين بداية ونهاية خط  T/B]]</f>
        <v>0</v>
      </c>
      <c r="T90" s="3">
        <f t="shared" si="4"/>
        <v>0</v>
      </c>
      <c r="U90" s="44"/>
      <c r="V90" s="44"/>
      <c r="W90" s="3">
        <f t="shared" si="5"/>
        <v>0</v>
      </c>
      <c r="X90" s="3">
        <f t="shared" si="6"/>
        <v>0</v>
      </c>
      <c r="Y90" s="44"/>
      <c r="Z90" s="45"/>
      <c r="AA90" s="3">
        <f>TABL12345[[#This Row],[(RESV. STORGE) AJD]]/10</f>
        <v>0</v>
      </c>
      <c r="AB90" s="45">
        <f t="shared" si="7"/>
        <v>0</v>
      </c>
      <c r="AC90" s="5"/>
      <c r="AD90" s="70">
        <f>(TABL12345[[#This Row],[( S/S+T/B) AJD]]*1000)-((TABL12345[[#This Row],[(STORGE DIFF.) AJD]]*1000)+TABL12345[[#This Row],[البخر  AJD]]+(TABL12345[[#This Row],[(A/B + A/S) AJD]]*1000))</f>
        <v>0</v>
      </c>
      <c r="AE90" s="44"/>
      <c r="AF90" s="45"/>
      <c r="AG90" s="45"/>
      <c r="AH90" s="6">
        <f>TABL12345[[#This Row],[ (RESV. STORGE) BER]]/10</f>
        <v>0</v>
      </c>
      <c r="AI90" s="44"/>
      <c r="AJ90" s="91">
        <f>TABL12345[[#This Row],[(A/B TOT) AJD]]-TABL12345[[#This Row],[BER_ IN]]</f>
        <v>0</v>
      </c>
      <c r="AK90" s="45"/>
      <c r="AL90" s="45"/>
      <c r="AM90" s="32"/>
      <c r="AN90" s="32">
        <f>TABL12345[[#This Row],[ (RESV. STORGE) SER]]/10</f>
        <v>0</v>
      </c>
      <c r="AO90" s="68"/>
      <c r="AP90" s="68">
        <f>TABL12345[[#This Row],[(A/S TOT) AJD]]-TABL12345[[#This Row],[SER_ IN]]</f>
        <v>0</v>
      </c>
    </row>
    <row r="91" spans="1:42" ht="18.75" x14ac:dyDescent="0.25">
      <c r="A91" s="2">
        <v>46842</v>
      </c>
      <c r="B91" s="41"/>
      <c r="C91" s="41"/>
      <c r="D91" s="41"/>
      <c r="E91" s="28"/>
      <c r="F91" s="41"/>
      <c r="G91" s="39"/>
      <c r="H91" s="28"/>
      <c r="I91" s="39"/>
      <c r="J91" s="39"/>
      <c r="K91" s="28">
        <f>TABL12345[[#This Row],[خط (T/B  TOT) SAR]]+TABL12345[[#This Row],[خط (S/S  TOT) SAR2]]</f>
        <v>0</v>
      </c>
      <c r="L91" s="41"/>
      <c r="M91" s="42"/>
      <c r="N91" s="42"/>
      <c r="O91" s="39"/>
      <c r="P91" s="3">
        <f>TABL12345[[#This Row],[خط (S/S  TOT) SAR2]]-TABL12345[[#This Row],[(S/S TOT) AJD]]</f>
        <v>0</v>
      </c>
      <c r="Q91" s="39"/>
      <c r="R91" s="3">
        <f>TABL12345[[#This Row],[خط (T/B  TOT) SAR]]-TABL12345[[#This Row],[(T/B TOT) AJD]]</f>
        <v>0</v>
      </c>
      <c r="S91" s="3">
        <f>TABL12345[[#This Row],[الفرق بين بداية ونهاية خط  S/S]]+TABL12345[[#This Row],[الفرق بين بداية ونهاية خط  T/B]]</f>
        <v>0</v>
      </c>
      <c r="T91" s="3">
        <f t="shared" si="4"/>
        <v>0</v>
      </c>
      <c r="U91" s="41"/>
      <c r="V91" s="41"/>
      <c r="W91" s="3">
        <f t="shared" si="5"/>
        <v>0</v>
      </c>
      <c r="X91" s="3">
        <f t="shared" si="6"/>
        <v>0</v>
      </c>
      <c r="Y91" s="41"/>
      <c r="Z91" s="43"/>
      <c r="AA91" s="3">
        <f>TABL12345[[#This Row],[(RESV. STORGE) AJD]]/10</f>
        <v>0</v>
      </c>
      <c r="AB91" s="45">
        <f t="shared" si="7"/>
        <v>0</v>
      </c>
      <c r="AC91" s="5"/>
      <c r="AD91" s="39">
        <f>(TABL12345[[#This Row],[( S/S+T/B) AJD]]*1000)-((TABL12345[[#This Row],[(STORGE DIFF.) AJD]]*1000)+TABL12345[[#This Row],[البخر  AJD]]+(TABL12345[[#This Row],[(A/B + A/S) AJD]]*1000))</f>
        <v>0</v>
      </c>
      <c r="AE91" s="41"/>
      <c r="AF91" s="43"/>
      <c r="AG91" s="43"/>
      <c r="AH91" s="6">
        <f>TABL12345[[#This Row],[ (RESV. STORGE) BER]]/10</f>
        <v>0</v>
      </c>
      <c r="AI91" s="41"/>
      <c r="AJ91" s="43">
        <f>TABL12345[[#This Row],[(A/B TOT) AJD]]-TABL12345[[#This Row],[BER_ IN]]</f>
        <v>0</v>
      </c>
      <c r="AK91" s="43"/>
      <c r="AL91" s="43"/>
      <c r="AM91" s="32"/>
      <c r="AN91" s="32">
        <f>TABL12345[[#This Row],[ (RESV. STORGE) SER]]/10</f>
        <v>0</v>
      </c>
      <c r="AO91" s="68"/>
      <c r="AP91" s="68">
        <f>TABL12345[[#This Row],[(A/S TOT) AJD]]-TABL12345[[#This Row],[SER_ IN]]</f>
        <v>0</v>
      </c>
    </row>
    <row r="92" spans="1:42" ht="18.75" x14ac:dyDescent="0.25">
      <c r="A92" s="2">
        <v>46843</v>
      </c>
      <c r="B92" s="41"/>
      <c r="C92" s="41"/>
      <c r="D92" s="41"/>
      <c r="E92" s="41"/>
      <c r="F92" s="41"/>
      <c r="G92" s="39"/>
      <c r="H92" s="28"/>
      <c r="I92" s="39"/>
      <c r="J92" s="39"/>
      <c r="K92" s="28">
        <f>TABL12345[[#This Row],[خط (T/B  TOT) SAR]]+TABL12345[[#This Row],[خط (S/S  TOT) SAR2]]</f>
        <v>0</v>
      </c>
      <c r="L92" s="41"/>
      <c r="M92" s="42"/>
      <c r="N92" s="42"/>
      <c r="O92" s="39"/>
      <c r="P92" s="3">
        <f>TABL12345[[#This Row],[خط (S/S  TOT) SAR2]]-TABL12345[[#This Row],[(S/S TOT) AJD]]</f>
        <v>0</v>
      </c>
      <c r="Q92" s="39"/>
      <c r="R92" s="3">
        <f>TABL12345[[#This Row],[خط (T/B  TOT) SAR]]-TABL12345[[#This Row],[(T/B TOT) AJD]]</f>
        <v>0</v>
      </c>
      <c r="S92" s="3">
        <f>TABL12345[[#This Row],[الفرق بين بداية ونهاية خط  S/S]]+TABL12345[[#This Row],[الفرق بين بداية ونهاية خط  T/B]]</f>
        <v>0</v>
      </c>
      <c r="T92" s="3">
        <f t="shared" si="4"/>
        <v>0</v>
      </c>
      <c r="U92" s="41"/>
      <c r="V92" s="41"/>
      <c r="W92" s="3">
        <f t="shared" si="5"/>
        <v>0</v>
      </c>
      <c r="X92" s="3">
        <f t="shared" si="6"/>
        <v>0</v>
      </c>
      <c r="Y92" s="41"/>
      <c r="Z92" s="43"/>
      <c r="AA92" s="3">
        <f>TABL12345[[#This Row],[(RESV. STORGE) AJD]]/10</f>
        <v>0</v>
      </c>
      <c r="AB92" s="45">
        <f t="shared" si="7"/>
        <v>0</v>
      </c>
      <c r="AC92" s="5"/>
      <c r="AD92" s="39">
        <f>(TABL12345[[#This Row],[( S/S+T/B) AJD]]*1000)-((TABL12345[[#This Row],[(STORGE DIFF.) AJD]]*1000)+TABL12345[[#This Row],[البخر  AJD]]+(TABL12345[[#This Row],[(A/B + A/S) AJD]]*1000))</f>
        <v>0</v>
      </c>
      <c r="AE92" s="41"/>
      <c r="AF92" s="43"/>
      <c r="AG92" s="43"/>
      <c r="AH92" s="6">
        <f>TABL12345[[#This Row],[ (RESV. STORGE) BER]]/10</f>
        <v>0</v>
      </c>
      <c r="AI92" s="41"/>
      <c r="AJ92" s="43">
        <f>TABL12345[[#This Row],[(A/B TOT) AJD]]-TABL12345[[#This Row],[BER_ IN]]</f>
        <v>0</v>
      </c>
      <c r="AK92" s="43"/>
      <c r="AL92" s="43"/>
      <c r="AM92" s="32"/>
      <c r="AN92" s="32">
        <f>TABL12345[[#This Row],[ (RESV. STORGE) SER]]/10</f>
        <v>0</v>
      </c>
      <c r="AO92" s="68"/>
      <c r="AP92" s="68">
        <f>TABL12345[[#This Row],[(A/S TOT) AJD]]-TABL12345[[#This Row],[SER_ IN]]</f>
        <v>0</v>
      </c>
    </row>
    <row r="93" spans="1:42" ht="18.75" x14ac:dyDescent="0.25">
      <c r="A93" s="2">
        <v>46844</v>
      </c>
      <c r="B93" s="44"/>
      <c r="C93" s="44"/>
      <c r="D93" s="44"/>
      <c r="E93" s="44"/>
      <c r="F93" s="44"/>
      <c r="G93" s="40"/>
      <c r="H93" s="28"/>
      <c r="I93" s="40"/>
      <c r="J93" s="44"/>
      <c r="K93" s="28">
        <f>TABL12345[[#This Row],[خط (T/B  TOT) SAR]]+TABL12345[[#This Row],[خط (S/S  TOT) SAR2]]</f>
        <v>0</v>
      </c>
      <c r="L93" s="45"/>
      <c r="M93" s="46"/>
      <c r="N93" s="46"/>
      <c r="O93" s="40"/>
      <c r="P93" s="3">
        <f>TABL12345[[#This Row],[خط (S/S  TOT) SAR2]]-TABL12345[[#This Row],[(S/S TOT) AJD]]</f>
        <v>0</v>
      </c>
      <c r="Q93" s="40"/>
      <c r="R93" s="3">
        <f>TABL12345[[#This Row],[خط (T/B  TOT) SAR]]-TABL12345[[#This Row],[(T/B TOT) AJD]]</f>
        <v>0</v>
      </c>
      <c r="S93" s="3">
        <f>TABL12345[[#This Row],[الفرق بين بداية ونهاية خط  S/S]]+TABL12345[[#This Row],[الفرق بين بداية ونهاية خط  T/B]]</f>
        <v>0</v>
      </c>
      <c r="T93" s="3">
        <f t="shared" si="4"/>
        <v>0</v>
      </c>
      <c r="U93" s="44"/>
      <c r="V93" s="44"/>
      <c r="W93" s="3">
        <f t="shared" si="5"/>
        <v>0</v>
      </c>
      <c r="X93" s="3">
        <f t="shared" si="6"/>
        <v>0</v>
      </c>
      <c r="Y93" s="44"/>
      <c r="Z93" s="45"/>
      <c r="AA93" s="3">
        <f>TABL12345[[#This Row],[(RESV. STORGE) AJD]]/10</f>
        <v>0</v>
      </c>
      <c r="AB93" s="45">
        <f t="shared" si="7"/>
        <v>0</v>
      </c>
      <c r="AC93" s="5"/>
      <c r="AD93" s="40">
        <f>(TABL12345[[#This Row],[( S/S+T/B) AJD]]*1000)-((TABL12345[[#This Row],[(STORGE DIFF.) AJD]]*1000)+TABL12345[[#This Row],[البخر  AJD]]+(TABL12345[[#This Row],[(A/B + A/S) AJD]]*1000))</f>
        <v>0</v>
      </c>
      <c r="AE93" s="44"/>
      <c r="AF93" s="45"/>
      <c r="AG93" s="45"/>
      <c r="AH93" s="6">
        <f>TABL12345[[#This Row],[ (RESV. STORGE) BER]]/10</f>
        <v>0</v>
      </c>
      <c r="AI93" s="44"/>
      <c r="AJ93" s="45">
        <f>TABL12345[[#This Row],[(A/B TOT) AJD]]-TABL12345[[#This Row],[BER_ IN]]</f>
        <v>0</v>
      </c>
      <c r="AK93" s="45"/>
      <c r="AL93" s="45"/>
      <c r="AM93" s="32"/>
      <c r="AN93" s="32">
        <f>TABL12345[[#This Row],[ (RESV. STORGE) SER]]/10</f>
        <v>0</v>
      </c>
      <c r="AO93" s="68"/>
      <c r="AP93" s="68">
        <f>TABL12345[[#This Row],[(A/S TOT) AJD]]-TABL12345[[#This Row],[SER_ IN]]</f>
        <v>0</v>
      </c>
    </row>
    <row r="94" spans="1:42" ht="18.75" x14ac:dyDescent="0.25">
      <c r="A94" s="2">
        <v>46845</v>
      </c>
      <c r="B94" s="41"/>
      <c r="C94" s="41"/>
      <c r="D94" s="41"/>
      <c r="E94" s="41"/>
      <c r="F94" s="41"/>
      <c r="G94" s="39"/>
      <c r="H94" s="28"/>
      <c r="I94" s="39"/>
      <c r="J94" s="39"/>
      <c r="K94" s="28">
        <f>TABL12345[[#This Row],[خط (T/B  TOT) SAR]]+TABL12345[[#This Row],[خط (S/S  TOT) SAR2]]</f>
        <v>0</v>
      </c>
      <c r="L94" s="41"/>
      <c r="M94" s="42"/>
      <c r="N94" s="42"/>
      <c r="O94" s="39"/>
      <c r="P94" s="3">
        <f>TABL12345[[#This Row],[خط (S/S  TOT) SAR2]]-TABL12345[[#This Row],[(S/S TOT) AJD]]</f>
        <v>0</v>
      </c>
      <c r="Q94" s="39"/>
      <c r="R94" s="3">
        <f>TABL12345[[#This Row],[خط (T/B  TOT) SAR]]-TABL12345[[#This Row],[(T/B TOT) AJD]]</f>
        <v>0</v>
      </c>
      <c r="S94" s="3">
        <f>TABL12345[[#This Row],[الفرق بين بداية ونهاية خط  S/S]]+TABL12345[[#This Row],[الفرق بين بداية ونهاية خط  T/B]]</f>
        <v>0</v>
      </c>
      <c r="T94" s="3">
        <f t="shared" si="4"/>
        <v>0</v>
      </c>
      <c r="U94" s="41"/>
      <c r="V94" s="41"/>
      <c r="W94" s="3">
        <f t="shared" si="5"/>
        <v>0</v>
      </c>
      <c r="X94" s="3">
        <f t="shared" si="6"/>
        <v>0</v>
      </c>
      <c r="Y94" s="41"/>
      <c r="Z94" s="43"/>
      <c r="AA94" s="3">
        <f>TABL12345[[#This Row],[(RESV. STORGE) AJD]]/10</f>
        <v>0</v>
      </c>
      <c r="AB94" s="45">
        <f t="shared" si="7"/>
        <v>0</v>
      </c>
      <c r="AC94" s="5"/>
      <c r="AD94" s="39">
        <f>(TABL12345[[#This Row],[( S/S+T/B) AJD]]*1000)-((TABL12345[[#This Row],[(STORGE DIFF.) AJD]]*1000)+TABL12345[[#This Row],[البخر  AJD]]+(TABL12345[[#This Row],[(A/B + A/S) AJD]]*1000))</f>
        <v>0</v>
      </c>
      <c r="AE94" s="41"/>
      <c r="AF94" s="43"/>
      <c r="AG94" s="43"/>
      <c r="AH94" s="6">
        <f>TABL12345[[#This Row],[ (RESV. STORGE) BER]]/10</f>
        <v>0</v>
      </c>
      <c r="AI94" s="41"/>
      <c r="AJ94" s="43">
        <f>TABL12345[[#This Row],[(A/B TOT) AJD]]-TABL12345[[#This Row],[BER_ IN]]</f>
        <v>0</v>
      </c>
      <c r="AK94" s="43"/>
      <c r="AL94" s="43"/>
      <c r="AM94" s="32"/>
      <c r="AN94" s="32">
        <f>TABL12345[[#This Row],[ (RESV. STORGE) SER]]/10</f>
        <v>0</v>
      </c>
      <c r="AO94" s="68"/>
      <c r="AP94" s="68">
        <f>TABL12345[[#This Row],[(A/S TOT) AJD]]-TABL12345[[#This Row],[SER_ IN]]</f>
        <v>0</v>
      </c>
    </row>
    <row r="95" spans="1:42" ht="18.75" x14ac:dyDescent="0.25">
      <c r="A95" s="2">
        <v>46846</v>
      </c>
      <c r="B95" s="44"/>
      <c r="C95" s="44"/>
      <c r="D95" s="44"/>
      <c r="E95" s="44"/>
      <c r="F95" s="44"/>
      <c r="G95" s="40"/>
      <c r="H95" s="28"/>
      <c r="I95" s="40"/>
      <c r="J95" s="44"/>
      <c r="K95" s="28">
        <f>TABL12345[[#This Row],[خط (T/B  TOT) SAR]]+TABL12345[[#This Row],[خط (S/S  TOT) SAR2]]</f>
        <v>0</v>
      </c>
      <c r="L95" s="45"/>
      <c r="M95" s="46"/>
      <c r="N95" s="46"/>
      <c r="O95" s="40"/>
      <c r="P95" s="3">
        <f>TABL12345[[#This Row],[خط (S/S  TOT) SAR2]]-TABL12345[[#This Row],[(S/S TOT) AJD]]</f>
        <v>0</v>
      </c>
      <c r="Q95" s="40"/>
      <c r="R95" s="3">
        <f>TABL12345[[#This Row],[خط (T/B  TOT) SAR]]-TABL12345[[#This Row],[(T/B TOT) AJD]]</f>
        <v>0</v>
      </c>
      <c r="S95" s="3">
        <f>TABL12345[[#This Row],[الفرق بين بداية ونهاية خط  S/S]]+TABL12345[[#This Row],[الفرق بين بداية ونهاية خط  T/B]]</f>
        <v>0</v>
      </c>
      <c r="T95" s="3">
        <f t="shared" si="4"/>
        <v>0</v>
      </c>
      <c r="U95" s="44"/>
      <c r="V95" s="44"/>
      <c r="W95" s="3">
        <f t="shared" si="5"/>
        <v>0</v>
      </c>
      <c r="X95" s="3">
        <f t="shared" si="6"/>
        <v>0</v>
      </c>
      <c r="Y95" s="44"/>
      <c r="Z95" s="45"/>
      <c r="AA95" s="3">
        <f>TABL12345[[#This Row],[(RESV. STORGE) AJD]]/10</f>
        <v>0</v>
      </c>
      <c r="AB95" s="45">
        <f t="shared" si="7"/>
        <v>0</v>
      </c>
      <c r="AC95" s="5"/>
      <c r="AD95" s="40">
        <f>(TABL12345[[#This Row],[( S/S+T/B) AJD]]*1000)-((TABL12345[[#This Row],[(STORGE DIFF.) AJD]]*1000)+TABL12345[[#This Row],[البخر  AJD]]+(TABL12345[[#This Row],[(A/B + A/S) AJD]]*1000))</f>
        <v>0</v>
      </c>
      <c r="AE95" s="44"/>
      <c r="AF95" s="45"/>
      <c r="AG95" s="45"/>
      <c r="AH95" s="6">
        <f>TABL12345[[#This Row],[ (RESV. STORGE) BER]]/10</f>
        <v>0</v>
      </c>
      <c r="AI95" s="44"/>
      <c r="AJ95" s="45">
        <f>TABL12345[[#This Row],[(A/B TOT) AJD]]-TABL12345[[#This Row],[BER_ IN]]</f>
        <v>0</v>
      </c>
      <c r="AK95" s="45"/>
      <c r="AL95" s="45"/>
      <c r="AM95" s="32"/>
      <c r="AN95" s="32">
        <f>TABL12345[[#This Row],[ (RESV. STORGE) SER]]/10</f>
        <v>0</v>
      </c>
      <c r="AO95" s="68"/>
      <c r="AP95" s="68">
        <f>TABL12345[[#This Row],[(A/S TOT) AJD]]-TABL12345[[#This Row],[SER_ IN]]</f>
        <v>0</v>
      </c>
    </row>
    <row r="96" spans="1:42" ht="18.75" x14ac:dyDescent="0.25">
      <c r="A96" s="2">
        <v>46847</v>
      </c>
      <c r="B96" s="41"/>
      <c r="C96" s="41"/>
      <c r="D96" s="41"/>
      <c r="E96" s="41"/>
      <c r="F96" s="41"/>
      <c r="G96" s="39"/>
      <c r="H96" s="28"/>
      <c r="I96" s="39"/>
      <c r="J96" s="39"/>
      <c r="K96" s="28">
        <f>TABL12345[[#This Row],[خط (T/B  TOT) SAR]]+TABL12345[[#This Row],[خط (S/S  TOT) SAR2]]</f>
        <v>0</v>
      </c>
      <c r="L96" s="41"/>
      <c r="M96" s="42"/>
      <c r="N96" s="42"/>
      <c r="O96" s="39"/>
      <c r="P96" s="3">
        <f>TABL12345[[#This Row],[خط (S/S  TOT) SAR2]]-TABL12345[[#This Row],[(S/S TOT) AJD]]</f>
        <v>0</v>
      </c>
      <c r="Q96" s="39"/>
      <c r="R96" s="3">
        <f>TABL12345[[#This Row],[خط (T/B  TOT) SAR]]-TABL12345[[#This Row],[(T/B TOT) AJD]]</f>
        <v>0</v>
      </c>
      <c r="S96" s="3">
        <f>TABL12345[[#This Row],[الفرق بين بداية ونهاية خط  S/S]]+TABL12345[[#This Row],[الفرق بين بداية ونهاية خط  T/B]]</f>
        <v>0</v>
      </c>
      <c r="T96" s="3">
        <f t="shared" si="4"/>
        <v>0</v>
      </c>
      <c r="U96" s="41"/>
      <c r="V96" s="41"/>
      <c r="W96" s="3">
        <f t="shared" si="5"/>
        <v>0</v>
      </c>
      <c r="X96" s="3">
        <f t="shared" si="6"/>
        <v>0</v>
      </c>
      <c r="Y96" s="41"/>
      <c r="Z96" s="43"/>
      <c r="AA96" s="3">
        <f>TABL12345[[#This Row],[(RESV. STORGE) AJD]]/10</f>
        <v>0</v>
      </c>
      <c r="AB96" s="45">
        <f t="shared" si="7"/>
        <v>0</v>
      </c>
      <c r="AC96" s="5"/>
      <c r="AD96" s="39">
        <f>(TABL12345[[#This Row],[( S/S+T/B) AJD]]*1000)-((TABL12345[[#This Row],[(STORGE DIFF.) AJD]]*1000)+TABL12345[[#This Row],[البخر  AJD]]+(TABL12345[[#This Row],[(A/B + A/S) AJD]]*1000))</f>
        <v>0</v>
      </c>
      <c r="AE96" s="41"/>
      <c r="AF96" s="43"/>
      <c r="AG96" s="43"/>
      <c r="AH96" s="6">
        <f>TABL12345[[#This Row],[ (RESV. STORGE) BER]]/10</f>
        <v>0</v>
      </c>
      <c r="AI96" s="41"/>
      <c r="AJ96" s="43">
        <f>TABL12345[[#This Row],[(A/B TOT) AJD]]-TABL12345[[#This Row],[BER_ IN]]</f>
        <v>0</v>
      </c>
      <c r="AK96" s="43"/>
      <c r="AL96" s="43"/>
      <c r="AM96" s="32"/>
      <c r="AN96" s="32">
        <f>TABL12345[[#This Row],[ (RESV. STORGE) SER]]/10</f>
        <v>0</v>
      </c>
      <c r="AO96" s="68"/>
      <c r="AP96" s="68">
        <f>TABL12345[[#This Row],[(A/S TOT) AJD]]-TABL12345[[#This Row],[SER_ IN]]</f>
        <v>0</v>
      </c>
    </row>
    <row r="97" spans="1:42" ht="18.75" x14ac:dyDescent="0.25">
      <c r="A97" s="2">
        <v>46848</v>
      </c>
      <c r="B97" s="44"/>
      <c r="C97" s="44"/>
      <c r="D97" s="44"/>
      <c r="E97" s="44"/>
      <c r="F97" s="44"/>
      <c r="G97" s="40"/>
      <c r="H97" s="28"/>
      <c r="I97" s="40"/>
      <c r="J97" s="44"/>
      <c r="K97" s="28">
        <f>TABL12345[[#This Row],[خط (T/B  TOT) SAR]]+TABL12345[[#This Row],[خط (S/S  TOT) SAR2]]</f>
        <v>0</v>
      </c>
      <c r="L97" s="45"/>
      <c r="M97" s="46"/>
      <c r="N97" s="46"/>
      <c r="O97" s="40"/>
      <c r="P97" s="3">
        <f>TABL12345[[#This Row],[خط (S/S  TOT) SAR2]]-TABL12345[[#This Row],[(S/S TOT) AJD]]</f>
        <v>0</v>
      </c>
      <c r="Q97" s="40"/>
      <c r="R97" s="3">
        <f>TABL12345[[#This Row],[خط (T/B  TOT) SAR]]-TABL12345[[#This Row],[(T/B TOT) AJD]]</f>
        <v>0</v>
      </c>
      <c r="S97" s="3">
        <f>TABL12345[[#This Row],[الفرق بين بداية ونهاية خط  S/S]]+TABL12345[[#This Row],[الفرق بين بداية ونهاية خط  T/B]]</f>
        <v>0</v>
      </c>
      <c r="T97" s="3">
        <f t="shared" si="4"/>
        <v>0</v>
      </c>
      <c r="U97" s="44"/>
      <c r="V97" s="44"/>
      <c r="W97" s="3">
        <f t="shared" si="5"/>
        <v>0</v>
      </c>
      <c r="X97" s="3">
        <f t="shared" si="6"/>
        <v>0</v>
      </c>
      <c r="Y97" s="44"/>
      <c r="Z97" s="45"/>
      <c r="AA97" s="3">
        <f>TABL12345[[#This Row],[(RESV. STORGE) AJD]]/10</f>
        <v>0</v>
      </c>
      <c r="AB97" s="45">
        <f t="shared" si="7"/>
        <v>0</v>
      </c>
      <c r="AC97" s="5"/>
      <c r="AD97" s="40">
        <f>(TABL12345[[#This Row],[( S/S+T/B) AJD]]*1000)-((TABL12345[[#This Row],[(STORGE DIFF.) AJD]]*1000)+TABL12345[[#This Row],[البخر  AJD]]+(TABL12345[[#This Row],[(A/B + A/S) AJD]]*1000))</f>
        <v>0</v>
      </c>
      <c r="AE97" s="44"/>
      <c r="AF97" s="45"/>
      <c r="AG97" s="45"/>
      <c r="AH97" s="6">
        <f>TABL12345[[#This Row],[ (RESV. STORGE) BER]]/10</f>
        <v>0</v>
      </c>
      <c r="AI97" s="44"/>
      <c r="AJ97" s="45">
        <f>TABL12345[[#This Row],[(A/B TOT) AJD]]-TABL12345[[#This Row],[BER_ IN]]</f>
        <v>0</v>
      </c>
      <c r="AK97" s="45"/>
      <c r="AL97" s="45"/>
      <c r="AM97" s="32"/>
      <c r="AN97" s="32">
        <f>TABL12345[[#This Row],[ (RESV. STORGE) SER]]/10</f>
        <v>0</v>
      </c>
      <c r="AO97" s="68"/>
      <c r="AP97" s="68">
        <f>TABL12345[[#This Row],[(A/S TOT) AJD]]-TABL12345[[#This Row],[SER_ IN]]</f>
        <v>0</v>
      </c>
    </row>
    <row r="98" spans="1:42" ht="18.75" x14ac:dyDescent="0.25">
      <c r="A98" s="2">
        <v>46849</v>
      </c>
      <c r="B98" s="41"/>
      <c r="C98" s="41"/>
      <c r="D98" s="41"/>
      <c r="E98" s="41"/>
      <c r="F98" s="41"/>
      <c r="G98" s="39"/>
      <c r="H98" s="28"/>
      <c r="I98" s="39"/>
      <c r="J98" s="39"/>
      <c r="K98" s="28">
        <f>TABL12345[[#This Row],[خط (T/B  TOT) SAR]]+TABL12345[[#This Row],[خط (S/S  TOT) SAR2]]</f>
        <v>0</v>
      </c>
      <c r="L98" s="41"/>
      <c r="M98" s="42"/>
      <c r="N98" s="42"/>
      <c r="O98" s="39"/>
      <c r="P98" s="3">
        <f>TABL12345[[#This Row],[خط (S/S  TOT) SAR2]]-TABL12345[[#This Row],[(S/S TOT) AJD]]</f>
        <v>0</v>
      </c>
      <c r="Q98" s="39"/>
      <c r="R98" s="3">
        <f>TABL12345[[#This Row],[خط (T/B  TOT) SAR]]-TABL12345[[#This Row],[(T/B TOT) AJD]]</f>
        <v>0</v>
      </c>
      <c r="S98" s="3">
        <f>TABL12345[[#This Row],[الفرق بين بداية ونهاية خط  S/S]]+TABL12345[[#This Row],[الفرق بين بداية ونهاية خط  T/B]]</f>
        <v>0</v>
      </c>
      <c r="T98" s="3">
        <f t="shared" si="4"/>
        <v>0</v>
      </c>
      <c r="U98" s="41"/>
      <c r="V98" s="41"/>
      <c r="W98" s="3">
        <f t="shared" si="5"/>
        <v>0</v>
      </c>
      <c r="X98" s="3">
        <f t="shared" si="6"/>
        <v>0</v>
      </c>
      <c r="Y98" s="41"/>
      <c r="Z98" s="43"/>
      <c r="AA98" s="3">
        <f>TABL12345[[#This Row],[(RESV. STORGE) AJD]]/10</f>
        <v>0</v>
      </c>
      <c r="AB98" s="45">
        <f t="shared" si="7"/>
        <v>0</v>
      </c>
      <c r="AC98" s="5"/>
      <c r="AD98" s="39">
        <f>(TABL12345[[#This Row],[( S/S+T/B) AJD]]*1000)-((TABL12345[[#This Row],[(STORGE DIFF.) AJD]]*1000)+TABL12345[[#This Row],[البخر  AJD]]+(TABL12345[[#This Row],[(A/B + A/S) AJD]]*1000))</f>
        <v>0</v>
      </c>
      <c r="AE98" s="41"/>
      <c r="AF98" s="43"/>
      <c r="AG98" s="43"/>
      <c r="AH98" s="6">
        <f>TABL12345[[#This Row],[ (RESV. STORGE) BER]]/10</f>
        <v>0</v>
      </c>
      <c r="AI98" s="41"/>
      <c r="AJ98" s="43">
        <f>TABL12345[[#This Row],[(A/B TOT) AJD]]-TABL12345[[#This Row],[BER_ IN]]</f>
        <v>0</v>
      </c>
      <c r="AK98" s="43"/>
      <c r="AL98" s="43"/>
      <c r="AM98" s="32"/>
      <c r="AN98" s="32">
        <f>TABL12345[[#This Row],[ (RESV. STORGE) SER]]/10</f>
        <v>0</v>
      </c>
      <c r="AO98" s="68"/>
      <c r="AP98" s="68">
        <f>TABL12345[[#This Row],[(A/S TOT) AJD]]-TABL12345[[#This Row],[SER_ IN]]</f>
        <v>0</v>
      </c>
    </row>
    <row r="99" spans="1:42" ht="18.75" x14ac:dyDescent="0.25">
      <c r="A99" s="2">
        <v>46850</v>
      </c>
      <c r="B99" s="44"/>
      <c r="C99" s="44"/>
      <c r="D99" s="44"/>
      <c r="E99" s="44"/>
      <c r="F99" s="44"/>
      <c r="G99" s="40"/>
      <c r="H99" s="28"/>
      <c r="I99" s="40"/>
      <c r="J99" s="44"/>
      <c r="K99" s="28">
        <f>TABL12345[[#This Row],[خط (T/B  TOT) SAR]]+TABL12345[[#This Row],[خط (S/S  TOT) SAR2]]</f>
        <v>0</v>
      </c>
      <c r="L99" s="45"/>
      <c r="M99" s="46"/>
      <c r="N99" s="46"/>
      <c r="O99" s="40"/>
      <c r="P99" s="3">
        <f>TABL12345[[#This Row],[خط (S/S  TOT) SAR2]]-TABL12345[[#This Row],[(S/S TOT) AJD]]</f>
        <v>0</v>
      </c>
      <c r="Q99" s="40"/>
      <c r="R99" s="3">
        <f>TABL12345[[#This Row],[خط (T/B  TOT) SAR]]-TABL12345[[#This Row],[(T/B TOT) AJD]]</f>
        <v>0</v>
      </c>
      <c r="S99" s="3">
        <f>TABL12345[[#This Row],[الفرق بين بداية ونهاية خط  S/S]]+TABL12345[[#This Row],[الفرق بين بداية ونهاية خط  T/B]]</f>
        <v>0</v>
      </c>
      <c r="T99" s="3">
        <f t="shared" si="4"/>
        <v>0</v>
      </c>
      <c r="U99" s="44"/>
      <c r="V99" s="44"/>
      <c r="W99" s="3">
        <f t="shared" si="5"/>
        <v>0</v>
      </c>
      <c r="X99" s="3">
        <f t="shared" si="6"/>
        <v>0</v>
      </c>
      <c r="Y99" s="44"/>
      <c r="Z99" s="45"/>
      <c r="AA99" s="3">
        <f>TABL12345[[#This Row],[(RESV. STORGE) AJD]]/10</f>
        <v>0</v>
      </c>
      <c r="AB99" s="45">
        <f t="shared" si="7"/>
        <v>0</v>
      </c>
      <c r="AC99" s="5"/>
      <c r="AD99" s="40">
        <f>(TABL12345[[#This Row],[( S/S+T/B) AJD]]*1000)-((TABL12345[[#This Row],[(STORGE DIFF.) AJD]]*1000)+TABL12345[[#This Row],[البخر  AJD]]+(TABL12345[[#This Row],[(A/B + A/S) AJD]]*1000))</f>
        <v>0</v>
      </c>
      <c r="AE99" s="44"/>
      <c r="AF99" s="45"/>
      <c r="AG99" s="45"/>
      <c r="AH99" s="6">
        <f>TABL12345[[#This Row],[ (RESV. STORGE) BER]]/10</f>
        <v>0</v>
      </c>
      <c r="AI99" s="44"/>
      <c r="AJ99" s="45">
        <f>TABL12345[[#This Row],[(A/B TOT) AJD]]-TABL12345[[#This Row],[BER_ IN]]</f>
        <v>0</v>
      </c>
      <c r="AK99" s="45"/>
      <c r="AL99" s="45"/>
      <c r="AM99" s="32"/>
      <c r="AN99" s="32">
        <f>TABL12345[[#This Row],[ (RESV. STORGE) SER]]/10</f>
        <v>0</v>
      </c>
      <c r="AO99" s="68"/>
      <c r="AP99" s="68">
        <f>TABL12345[[#This Row],[(A/S TOT) AJD]]-TABL12345[[#This Row],[SER_ IN]]</f>
        <v>0</v>
      </c>
    </row>
    <row r="100" spans="1:42" ht="18.75" x14ac:dyDescent="0.25">
      <c r="A100" s="2">
        <v>46851</v>
      </c>
      <c r="B100" s="41"/>
      <c r="C100" s="41"/>
      <c r="D100" s="41"/>
      <c r="E100" s="41"/>
      <c r="F100" s="41"/>
      <c r="G100" s="39"/>
      <c r="H100" s="28"/>
      <c r="I100" s="39"/>
      <c r="J100" s="39"/>
      <c r="K100" s="28">
        <f>TABL12345[[#This Row],[خط (T/B  TOT) SAR]]+TABL12345[[#This Row],[خط (S/S  TOT) SAR2]]</f>
        <v>0</v>
      </c>
      <c r="L100" s="41"/>
      <c r="M100" s="42"/>
      <c r="N100" s="42"/>
      <c r="O100" s="39"/>
      <c r="P100" s="3">
        <f>TABL12345[[#This Row],[خط (S/S  TOT) SAR2]]-TABL12345[[#This Row],[(S/S TOT) AJD]]</f>
        <v>0</v>
      </c>
      <c r="Q100" s="39"/>
      <c r="R100" s="3">
        <f>TABL12345[[#This Row],[خط (T/B  TOT) SAR]]-TABL12345[[#This Row],[(T/B TOT) AJD]]</f>
        <v>0</v>
      </c>
      <c r="S100" s="3">
        <f>TABL12345[[#This Row],[الفرق بين بداية ونهاية خط  S/S]]+TABL12345[[#This Row],[الفرق بين بداية ونهاية خط  T/B]]</f>
        <v>0</v>
      </c>
      <c r="T100" s="3">
        <f t="shared" si="4"/>
        <v>0</v>
      </c>
      <c r="U100" s="41"/>
      <c r="V100" s="41"/>
      <c r="W100" s="3">
        <f t="shared" si="5"/>
        <v>0</v>
      </c>
      <c r="X100" s="3">
        <f t="shared" si="6"/>
        <v>0</v>
      </c>
      <c r="Y100" s="41"/>
      <c r="Z100" s="43"/>
      <c r="AA100" s="3">
        <f>TABL12345[[#This Row],[(RESV. STORGE) AJD]]/10</f>
        <v>0</v>
      </c>
      <c r="AB100" s="45">
        <f t="shared" si="7"/>
        <v>0</v>
      </c>
      <c r="AC100" s="5"/>
      <c r="AD100" s="39">
        <f>(TABL12345[[#This Row],[( S/S+T/B) AJD]]*1000)-((TABL12345[[#This Row],[(STORGE DIFF.) AJD]]*1000)+TABL12345[[#This Row],[البخر  AJD]]+(TABL12345[[#This Row],[(A/B + A/S) AJD]]*1000))</f>
        <v>0</v>
      </c>
      <c r="AE100" s="41"/>
      <c r="AF100" s="43"/>
      <c r="AG100" s="43"/>
      <c r="AH100" s="6">
        <f>TABL12345[[#This Row],[ (RESV. STORGE) BER]]/10</f>
        <v>0</v>
      </c>
      <c r="AI100" s="41"/>
      <c r="AJ100" s="43">
        <f>TABL12345[[#This Row],[(A/B TOT) AJD]]-TABL12345[[#This Row],[BER_ IN]]</f>
        <v>0</v>
      </c>
      <c r="AK100" s="43"/>
      <c r="AL100" s="43"/>
      <c r="AM100" s="32"/>
      <c r="AN100" s="32">
        <f>TABL12345[[#This Row],[ (RESV. STORGE) SER]]/10</f>
        <v>0</v>
      </c>
      <c r="AO100" s="68"/>
      <c r="AP100" s="68">
        <f>TABL12345[[#This Row],[(A/S TOT) AJD]]-TABL12345[[#This Row],[SER_ IN]]</f>
        <v>0</v>
      </c>
    </row>
    <row r="101" spans="1:42" ht="18.75" x14ac:dyDescent="0.25">
      <c r="A101" s="2">
        <v>46852</v>
      </c>
      <c r="B101" s="44"/>
      <c r="C101" s="44"/>
      <c r="D101" s="44"/>
      <c r="E101" s="44"/>
      <c r="F101" s="44"/>
      <c r="G101" s="40"/>
      <c r="H101" s="28"/>
      <c r="I101" s="40"/>
      <c r="J101" s="44"/>
      <c r="K101" s="28">
        <f>TABL12345[[#This Row],[خط (T/B  TOT) SAR]]+TABL12345[[#This Row],[خط (S/S  TOT) SAR2]]</f>
        <v>0</v>
      </c>
      <c r="L101" s="45"/>
      <c r="M101" s="46"/>
      <c r="N101" s="46"/>
      <c r="O101" s="40"/>
      <c r="P101" s="3">
        <f>TABL12345[[#This Row],[خط (S/S  TOT) SAR2]]-TABL12345[[#This Row],[(S/S TOT) AJD]]</f>
        <v>0</v>
      </c>
      <c r="Q101" s="40"/>
      <c r="R101" s="3">
        <f>TABL12345[[#This Row],[خط (T/B  TOT) SAR]]-TABL12345[[#This Row],[(T/B TOT) AJD]]</f>
        <v>0</v>
      </c>
      <c r="S101" s="3">
        <f>TABL12345[[#This Row],[الفرق بين بداية ونهاية خط  S/S]]+TABL12345[[#This Row],[الفرق بين بداية ونهاية خط  T/B]]</f>
        <v>0</v>
      </c>
      <c r="T101" s="3">
        <f t="shared" si="4"/>
        <v>0</v>
      </c>
      <c r="U101" s="44"/>
      <c r="V101" s="44"/>
      <c r="W101" s="3">
        <f t="shared" si="5"/>
        <v>0</v>
      </c>
      <c r="X101" s="3">
        <f t="shared" si="6"/>
        <v>0</v>
      </c>
      <c r="Y101" s="44"/>
      <c r="Z101" s="45"/>
      <c r="AA101" s="3">
        <f>TABL12345[[#This Row],[(RESV. STORGE) AJD]]/10</f>
        <v>0</v>
      </c>
      <c r="AB101" s="45">
        <f t="shared" si="7"/>
        <v>0</v>
      </c>
      <c r="AC101" s="5"/>
      <c r="AD101" s="40">
        <f>(TABL12345[[#This Row],[( S/S+T/B) AJD]]*1000)-((TABL12345[[#This Row],[(STORGE DIFF.) AJD]]*1000)+TABL12345[[#This Row],[البخر  AJD]]+(TABL12345[[#This Row],[(A/B + A/S) AJD]]*1000))</f>
        <v>0</v>
      </c>
      <c r="AE101" s="44"/>
      <c r="AF101" s="45"/>
      <c r="AG101" s="45"/>
      <c r="AH101" s="6">
        <f>TABL12345[[#This Row],[ (RESV. STORGE) BER]]/10</f>
        <v>0</v>
      </c>
      <c r="AI101" s="44"/>
      <c r="AJ101" s="45">
        <f>TABL12345[[#This Row],[(A/B TOT) AJD]]-TABL12345[[#This Row],[BER_ IN]]</f>
        <v>0</v>
      </c>
      <c r="AK101" s="45"/>
      <c r="AL101" s="45"/>
      <c r="AM101" s="32"/>
      <c r="AN101" s="32">
        <f>TABL12345[[#This Row],[ (RESV. STORGE) SER]]/10</f>
        <v>0</v>
      </c>
      <c r="AO101" s="68"/>
      <c r="AP101" s="68">
        <f>TABL12345[[#This Row],[(A/S TOT) AJD]]-TABL12345[[#This Row],[SER_ IN]]</f>
        <v>0</v>
      </c>
    </row>
    <row r="102" spans="1:42" ht="18.75" x14ac:dyDescent="0.25">
      <c r="A102" s="2">
        <v>46853</v>
      </c>
      <c r="B102" s="41"/>
      <c r="C102" s="41"/>
      <c r="D102" s="41"/>
      <c r="E102" s="41"/>
      <c r="F102" s="41"/>
      <c r="G102" s="39"/>
      <c r="H102" s="28"/>
      <c r="I102" s="39"/>
      <c r="J102" s="39"/>
      <c r="K102" s="28">
        <f>TABL12345[[#This Row],[خط (T/B  TOT) SAR]]+TABL12345[[#This Row],[خط (S/S  TOT) SAR2]]</f>
        <v>0</v>
      </c>
      <c r="L102" s="41"/>
      <c r="M102" s="42"/>
      <c r="N102" s="42"/>
      <c r="O102" s="39"/>
      <c r="P102" s="3">
        <f>TABL12345[[#This Row],[خط (S/S  TOT) SAR2]]-TABL12345[[#This Row],[(S/S TOT) AJD]]</f>
        <v>0</v>
      </c>
      <c r="Q102" s="39"/>
      <c r="R102" s="3">
        <f>TABL12345[[#This Row],[خط (T/B  TOT) SAR]]-TABL12345[[#This Row],[(T/B TOT) AJD]]</f>
        <v>0</v>
      </c>
      <c r="S102" s="3">
        <f>TABL12345[[#This Row],[الفرق بين بداية ونهاية خط  S/S]]+TABL12345[[#This Row],[الفرق بين بداية ونهاية خط  T/B]]</f>
        <v>0</v>
      </c>
      <c r="T102" s="3">
        <f t="shared" si="4"/>
        <v>0</v>
      </c>
      <c r="U102" s="41"/>
      <c r="V102" s="41"/>
      <c r="W102" s="3">
        <f t="shared" si="5"/>
        <v>0</v>
      </c>
      <c r="X102" s="3">
        <f t="shared" si="6"/>
        <v>0</v>
      </c>
      <c r="Y102" s="41"/>
      <c r="Z102" s="43"/>
      <c r="AA102" s="3">
        <f>TABL12345[[#This Row],[(RESV. STORGE) AJD]]/10</f>
        <v>0</v>
      </c>
      <c r="AB102" s="45">
        <f t="shared" si="7"/>
        <v>0</v>
      </c>
      <c r="AC102" s="5"/>
      <c r="AD102" s="39">
        <f>(TABL12345[[#This Row],[( S/S+T/B) AJD]]*1000)-((TABL12345[[#This Row],[(STORGE DIFF.) AJD]]*1000)+TABL12345[[#This Row],[البخر  AJD]]+(TABL12345[[#This Row],[(A/B + A/S) AJD]]*1000))</f>
        <v>0</v>
      </c>
      <c r="AE102" s="41"/>
      <c r="AF102" s="43"/>
      <c r="AG102" s="43"/>
      <c r="AH102" s="6">
        <f>TABL12345[[#This Row],[ (RESV. STORGE) BER]]/10</f>
        <v>0</v>
      </c>
      <c r="AI102" s="41"/>
      <c r="AJ102" s="43">
        <f>TABL12345[[#This Row],[(A/B TOT) AJD]]-TABL12345[[#This Row],[BER_ IN]]</f>
        <v>0</v>
      </c>
      <c r="AK102" s="43"/>
      <c r="AL102" s="43"/>
      <c r="AM102" s="32"/>
      <c r="AN102" s="32">
        <f>TABL12345[[#This Row],[ (RESV. STORGE) SER]]/10</f>
        <v>0</v>
      </c>
      <c r="AO102" s="68"/>
      <c r="AP102" s="68">
        <f>TABL12345[[#This Row],[(A/S TOT) AJD]]-TABL12345[[#This Row],[SER_ IN]]</f>
        <v>0</v>
      </c>
    </row>
    <row r="103" spans="1:42" ht="18.75" x14ac:dyDescent="0.25">
      <c r="A103" s="2">
        <v>46854</v>
      </c>
      <c r="B103" s="44"/>
      <c r="C103" s="44"/>
      <c r="D103" s="44"/>
      <c r="E103" s="44"/>
      <c r="F103" s="44"/>
      <c r="G103" s="40"/>
      <c r="H103" s="28"/>
      <c r="I103" s="40"/>
      <c r="J103" s="44"/>
      <c r="K103" s="28">
        <f>TABL12345[[#This Row],[خط (T/B  TOT) SAR]]+TABL12345[[#This Row],[خط (S/S  TOT) SAR2]]</f>
        <v>0</v>
      </c>
      <c r="L103" s="45"/>
      <c r="M103" s="46"/>
      <c r="N103" s="46"/>
      <c r="O103" s="40"/>
      <c r="P103" s="3">
        <f>TABL12345[[#This Row],[خط (S/S  TOT) SAR2]]-TABL12345[[#This Row],[(S/S TOT) AJD]]</f>
        <v>0</v>
      </c>
      <c r="Q103" s="40"/>
      <c r="R103" s="3">
        <f>TABL12345[[#This Row],[خط (T/B  TOT) SAR]]-TABL12345[[#This Row],[(T/B TOT) AJD]]</f>
        <v>0</v>
      </c>
      <c r="S103" s="3">
        <f>TABL12345[[#This Row],[الفرق بين بداية ونهاية خط  S/S]]+TABL12345[[#This Row],[الفرق بين بداية ونهاية خط  T/B]]</f>
        <v>0</v>
      </c>
      <c r="T103" s="3">
        <f t="shared" si="4"/>
        <v>0</v>
      </c>
      <c r="U103" s="44"/>
      <c r="V103" s="44"/>
      <c r="W103" s="3">
        <f t="shared" si="5"/>
        <v>0</v>
      </c>
      <c r="X103" s="3">
        <f t="shared" si="6"/>
        <v>0</v>
      </c>
      <c r="Y103" s="44"/>
      <c r="Z103" s="45"/>
      <c r="AA103" s="3">
        <f>TABL12345[[#This Row],[(RESV. STORGE) AJD]]/10</f>
        <v>0</v>
      </c>
      <c r="AB103" s="45">
        <f t="shared" si="7"/>
        <v>0</v>
      </c>
      <c r="AC103" s="5"/>
      <c r="AD103" s="40">
        <f>(TABL12345[[#This Row],[( S/S+T/B) AJD]]*1000)-((TABL12345[[#This Row],[(STORGE DIFF.) AJD]]*1000)+TABL12345[[#This Row],[البخر  AJD]]+(TABL12345[[#This Row],[(A/B + A/S) AJD]]*1000))</f>
        <v>0</v>
      </c>
      <c r="AE103" s="44"/>
      <c r="AF103" s="45"/>
      <c r="AG103" s="45"/>
      <c r="AH103" s="6">
        <f>TABL12345[[#This Row],[ (RESV. STORGE) BER]]/10</f>
        <v>0</v>
      </c>
      <c r="AI103" s="44"/>
      <c r="AJ103" s="45">
        <f>TABL12345[[#This Row],[(A/B TOT) AJD]]-TABL12345[[#This Row],[BER_ IN]]</f>
        <v>0</v>
      </c>
      <c r="AK103" s="45"/>
      <c r="AL103" s="45"/>
      <c r="AM103" s="32"/>
      <c r="AN103" s="32">
        <f>TABL12345[[#This Row],[ (RESV. STORGE) SER]]/10</f>
        <v>0</v>
      </c>
      <c r="AO103" s="68"/>
      <c r="AP103" s="68">
        <f>TABL12345[[#This Row],[(A/S TOT) AJD]]-TABL12345[[#This Row],[SER_ IN]]</f>
        <v>0</v>
      </c>
    </row>
    <row r="104" spans="1:42" ht="18.75" x14ac:dyDescent="0.25">
      <c r="A104" s="2">
        <v>46855</v>
      </c>
      <c r="B104" s="41"/>
      <c r="C104" s="41"/>
      <c r="D104" s="41"/>
      <c r="E104" s="41"/>
      <c r="F104" s="41"/>
      <c r="G104" s="39"/>
      <c r="H104" s="28"/>
      <c r="I104" s="39"/>
      <c r="J104" s="39"/>
      <c r="K104" s="28">
        <f>TABL12345[[#This Row],[خط (T/B  TOT) SAR]]+TABL12345[[#This Row],[خط (S/S  TOT) SAR2]]</f>
        <v>0</v>
      </c>
      <c r="L104" s="41"/>
      <c r="M104" s="42"/>
      <c r="N104" s="42"/>
      <c r="O104" s="39"/>
      <c r="P104" s="3">
        <f>TABL12345[[#This Row],[خط (S/S  TOT) SAR2]]-TABL12345[[#This Row],[(S/S TOT) AJD]]</f>
        <v>0</v>
      </c>
      <c r="Q104" s="39"/>
      <c r="R104" s="3">
        <f>TABL12345[[#This Row],[خط (T/B  TOT) SAR]]-TABL12345[[#This Row],[(T/B TOT) AJD]]</f>
        <v>0</v>
      </c>
      <c r="S104" s="3">
        <f>TABL12345[[#This Row],[الفرق بين بداية ونهاية خط  S/S]]+TABL12345[[#This Row],[الفرق بين بداية ونهاية خط  T/B]]</f>
        <v>0</v>
      </c>
      <c r="T104" s="3">
        <f t="shared" si="4"/>
        <v>0</v>
      </c>
      <c r="U104" s="41"/>
      <c r="V104" s="41"/>
      <c r="W104" s="3">
        <f t="shared" si="5"/>
        <v>0</v>
      </c>
      <c r="X104" s="3">
        <f t="shared" si="6"/>
        <v>0</v>
      </c>
      <c r="Y104" s="41"/>
      <c r="Z104" s="43"/>
      <c r="AA104" s="3">
        <f>TABL12345[[#This Row],[(RESV. STORGE) AJD]]/10</f>
        <v>0</v>
      </c>
      <c r="AB104" s="45">
        <f t="shared" si="7"/>
        <v>0</v>
      </c>
      <c r="AC104" s="5"/>
      <c r="AD104" s="39">
        <f>(TABL12345[[#This Row],[( S/S+T/B) AJD]]*1000)-((TABL12345[[#This Row],[(STORGE DIFF.) AJD]]*1000)+TABL12345[[#This Row],[البخر  AJD]]+(TABL12345[[#This Row],[(A/B + A/S) AJD]]*1000))</f>
        <v>0</v>
      </c>
      <c r="AE104" s="41"/>
      <c r="AF104" s="43"/>
      <c r="AG104" s="43"/>
      <c r="AH104" s="6">
        <f>TABL12345[[#This Row],[ (RESV. STORGE) BER]]/10</f>
        <v>0</v>
      </c>
      <c r="AI104" s="41"/>
      <c r="AJ104" s="43">
        <f>TABL12345[[#This Row],[(A/B TOT) AJD]]-TABL12345[[#This Row],[BER_ IN]]</f>
        <v>0</v>
      </c>
      <c r="AK104" s="43"/>
      <c r="AL104" s="43"/>
      <c r="AM104" s="32"/>
      <c r="AN104" s="32">
        <f>TABL12345[[#This Row],[ (RESV. STORGE) SER]]/10</f>
        <v>0</v>
      </c>
      <c r="AO104" s="68"/>
      <c r="AP104" s="68">
        <f>TABL12345[[#This Row],[(A/S TOT) AJD]]-TABL12345[[#This Row],[SER_ IN]]</f>
        <v>0</v>
      </c>
    </row>
    <row r="105" spans="1:42" ht="18.75" x14ac:dyDescent="0.25">
      <c r="A105" s="2">
        <v>46856</v>
      </c>
      <c r="B105" s="44"/>
      <c r="C105" s="44"/>
      <c r="D105" s="44"/>
      <c r="E105" s="44"/>
      <c r="F105" s="44"/>
      <c r="G105" s="40"/>
      <c r="H105" s="28"/>
      <c r="I105" s="40"/>
      <c r="J105" s="44"/>
      <c r="K105" s="28">
        <f>TABL12345[[#This Row],[خط (T/B  TOT) SAR]]+TABL12345[[#This Row],[خط (S/S  TOT) SAR2]]</f>
        <v>0</v>
      </c>
      <c r="L105" s="45"/>
      <c r="M105" s="46"/>
      <c r="N105" s="46"/>
      <c r="O105" s="40"/>
      <c r="P105" s="3">
        <f>TABL12345[[#This Row],[خط (S/S  TOT) SAR2]]-TABL12345[[#This Row],[(S/S TOT) AJD]]</f>
        <v>0</v>
      </c>
      <c r="Q105" s="40"/>
      <c r="R105" s="3">
        <f>TABL12345[[#This Row],[خط (T/B  TOT) SAR]]-TABL12345[[#This Row],[(T/B TOT) AJD]]</f>
        <v>0</v>
      </c>
      <c r="S105" s="3">
        <f>TABL12345[[#This Row],[الفرق بين بداية ونهاية خط  S/S]]+TABL12345[[#This Row],[الفرق بين بداية ونهاية خط  T/B]]</f>
        <v>0</v>
      </c>
      <c r="T105" s="3">
        <f t="shared" si="4"/>
        <v>0</v>
      </c>
      <c r="U105" s="44"/>
      <c r="V105" s="44"/>
      <c r="W105" s="3">
        <f t="shared" si="5"/>
        <v>0</v>
      </c>
      <c r="X105" s="3">
        <f t="shared" si="6"/>
        <v>0</v>
      </c>
      <c r="Y105" s="44"/>
      <c r="Z105" s="45"/>
      <c r="AA105" s="3">
        <f>TABL12345[[#This Row],[(RESV. STORGE) AJD]]/10</f>
        <v>0</v>
      </c>
      <c r="AB105" s="45">
        <f t="shared" si="7"/>
        <v>0</v>
      </c>
      <c r="AC105" s="5"/>
      <c r="AD105" s="40">
        <f>(TABL12345[[#This Row],[( S/S+T/B) AJD]]*1000)-((TABL12345[[#This Row],[(STORGE DIFF.) AJD]]*1000)+TABL12345[[#This Row],[البخر  AJD]]+(TABL12345[[#This Row],[(A/B + A/S) AJD]]*1000))</f>
        <v>0</v>
      </c>
      <c r="AE105" s="44"/>
      <c r="AF105" s="45"/>
      <c r="AG105" s="45"/>
      <c r="AH105" s="6">
        <f>TABL12345[[#This Row],[ (RESV. STORGE) BER]]/10</f>
        <v>0</v>
      </c>
      <c r="AI105" s="44"/>
      <c r="AJ105" s="45">
        <f>TABL12345[[#This Row],[(A/B TOT) AJD]]-TABL12345[[#This Row],[BER_ IN]]</f>
        <v>0</v>
      </c>
      <c r="AK105" s="45"/>
      <c r="AL105" s="45"/>
      <c r="AM105" s="32"/>
      <c r="AN105" s="32">
        <f>TABL12345[[#This Row],[ (RESV. STORGE) SER]]/10</f>
        <v>0</v>
      </c>
      <c r="AO105" s="68"/>
      <c r="AP105" s="68">
        <f>TABL12345[[#This Row],[(A/S TOT) AJD]]-TABL12345[[#This Row],[SER_ IN]]</f>
        <v>0</v>
      </c>
    </row>
    <row r="106" spans="1:42" ht="18.75" x14ac:dyDescent="0.25">
      <c r="A106" s="2">
        <v>46857</v>
      </c>
      <c r="B106" s="41"/>
      <c r="C106" s="41"/>
      <c r="D106" s="41"/>
      <c r="E106" s="41"/>
      <c r="F106" s="41"/>
      <c r="G106" s="39"/>
      <c r="H106" s="28"/>
      <c r="I106" s="39"/>
      <c r="J106" s="39"/>
      <c r="K106" s="28">
        <f>TABL12345[[#This Row],[خط (T/B  TOT) SAR]]+TABL12345[[#This Row],[خط (S/S  TOT) SAR2]]</f>
        <v>0</v>
      </c>
      <c r="L106" s="41"/>
      <c r="M106" s="42"/>
      <c r="N106" s="42"/>
      <c r="O106" s="39"/>
      <c r="P106" s="3">
        <f>TABL12345[[#This Row],[خط (S/S  TOT) SAR2]]-TABL12345[[#This Row],[(S/S TOT) AJD]]</f>
        <v>0</v>
      </c>
      <c r="Q106" s="39"/>
      <c r="R106" s="3">
        <f>TABL12345[[#This Row],[خط (T/B  TOT) SAR]]-TABL12345[[#This Row],[(T/B TOT) AJD]]</f>
        <v>0</v>
      </c>
      <c r="S106" s="3">
        <f>TABL12345[[#This Row],[الفرق بين بداية ونهاية خط  S/S]]+TABL12345[[#This Row],[الفرق بين بداية ونهاية خط  T/B]]</f>
        <v>0</v>
      </c>
      <c r="T106" s="3">
        <f t="shared" si="4"/>
        <v>0</v>
      </c>
      <c r="U106" s="41"/>
      <c r="V106" s="41"/>
      <c r="W106" s="3">
        <f t="shared" si="5"/>
        <v>0</v>
      </c>
      <c r="X106" s="3">
        <f t="shared" si="6"/>
        <v>0</v>
      </c>
      <c r="Y106" s="41"/>
      <c r="Z106" s="43"/>
      <c r="AA106" s="3">
        <f>TABL12345[[#This Row],[(RESV. STORGE) AJD]]/10</f>
        <v>0</v>
      </c>
      <c r="AB106" s="45">
        <f t="shared" si="7"/>
        <v>0</v>
      </c>
      <c r="AC106" s="5"/>
      <c r="AD106" s="39">
        <f>(TABL12345[[#This Row],[( S/S+T/B) AJD]]*1000)-((TABL12345[[#This Row],[(STORGE DIFF.) AJD]]*1000)+TABL12345[[#This Row],[البخر  AJD]]+(TABL12345[[#This Row],[(A/B + A/S) AJD]]*1000))</f>
        <v>0</v>
      </c>
      <c r="AE106" s="41"/>
      <c r="AF106" s="43"/>
      <c r="AG106" s="43"/>
      <c r="AH106" s="6">
        <f>TABL12345[[#This Row],[ (RESV. STORGE) BER]]/10</f>
        <v>0</v>
      </c>
      <c r="AI106" s="41"/>
      <c r="AJ106" s="43">
        <f>TABL12345[[#This Row],[(A/B TOT) AJD]]-TABL12345[[#This Row],[BER_ IN]]</f>
        <v>0</v>
      </c>
      <c r="AK106" s="43"/>
      <c r="AL106" s="43"/>
      <c r="AM106" s="32"/>
      <c r="AN106" s="32">
        <f>TABL12345[[#This Row],[ (RESV. STORGE) SER]]/10</f>
        <v>0</v>
      </c>
      <c r="AO106" s="68"/>
      <c r="AP106" s="68">
        <f>TABL12345[[#This Row],[(A/S TOT) AJD]]-TABL12345[[#This Row],[SER_ IN]]</f>
        <v>0</v>
      </c>
    </row>
    <row r="107" spans="1:42" ht="18.75" x14ac:dyDescent="0.25">
      <c r="A107" s="2">
        <v>46858</v>
      </c>
      <c r="B107" s="44"/>
      <c r="C107" s="44"/>
      <c r="D107" s="44"/>
      <c r="E107" s="44"/>
      <c r="F107" s="44"/>
      <c r="G107" s="40"/>
      <c r="H107" s="28"/>
      <c r="I107" s="40"/>
      <c r="J107" s="44"/>
      <c r="K107" s="28">
        <f>TABL12345[[#This Row],[خط (T/B  TOT) SAR]]+TABL12345[[#This Row],[خط (S/S  TOT) SAR2]]</f>
        <v>0</v>
      </c>
      <c r="L107" s="45"/>
      <c r="M107" s="46"/>
      <c r="N107" s="46"/>
      <c r="O107" s="40"/>
      <c r="P107" s="3">
        <f>TABL12345[[#This Row],[خط (S/S  TOT) SAR2]]-TABL12345[[#This Row],[(S/S TOT) AJD]]</f>
        <v>0</v>
      </c>
      <c r="Q107" s="40"/>
      <c r="R107" s="3">
        <f>TABL12345[[#This Row],[خط (T/B  TOT) SAR]]-TABL12345[[#This Row],[(T/B TOT) AJD]]</f>
        <v>0</v>
      </c>
      <c r="S107" s="3">
        <f>TABL12345[[#This Row],[الفرق بين بداية ونهاية خط  S/S]]+TABL12345[[#This Row],[الفرق بين بداية ونهاية خط  T/B]]</f>
        <v>0</v>
      </c>
      <c r="T107" s="3">
        <f t="shared" si="4"/>
        <v>0</v>
      </c>
      <c r="U107" s="44"/>
      <c r="V107" s="44"/>
      <c r="W107" s="3">
        <f t="shared" si="5"/>
        <v>0</v>
      </c>
      <c r="X107" s="3">
        <f t="shared" si="6"/>
        <v>0</v>
      </c>
      <c r="Y107" s="44"/>
      <c r="Z107" s="45"/>
      <c r="AA107" s="3">
        <f>TABL12345[[#This Row],[(RESV. STORGE) AJD]]/10</f>
        <v>0</v>
      </c>
      <c r="AB107" s="45">
        <f t="shared" si="7"/>
        <v>0</v>
      </c>
      <c r="AC107" s="5"/>
      <c r="AD107" s="40">
        <f>(TABL12345[[#This Row],[( S/S+T/B) AJD]]*1000)-((TABL12345[[#This Row],[(STORGE DIFF.) AJD]]*1000)+TABL12345[[#This Row],[البخر  AJD]]+(TABL12345[[#This Row],[(A/B + A/S) AJD]]*1000))</f>
        <v>0</v>
      </c>
      <c r="AE107" s="44"/>
      <c r="AF107" s="45"/>
      <c r="AG107" s="45"/>
      <c r="AH107" s="6">
        <f>TABL12345[[#This Row],[ (RESV. STORGE) BER]]/10</f>
        <v>0</v>
      </c>
      <c r="AI107" s="44"/>
      <c r="AJ107" s="45">
        <f>TABL12345[[#This Row],[(A/B TOT) AJD]]-TABL12345[[#This Row],[BER_ IN]]</f>
        <v>0</v>
      </c>
      <c r="AK107" s="45"/>
      <c r="AL107" s="45"/>
      <c r="AM107" s="32"/>
      <c r="AN107" s="32">
        <f>TABL12345[[#This Row],[ (RESV. STORGE) SER]]/10</f>
        <v>0</v>
      </c>
      <c r="AO107" s="68"/>
      <c r="AP107" s="68">
        <f>TABL12345[[#This Row],[(A/S TOT) AJD]]-TABL12345[[#This Row],[SER_ IN]]</f>
        <v>0</v>
      </c>
    </row>
    <row r="108" spans="1:42" ht="18.75" x14ac:dyDescent="0.25">
      <c r="A108" s="2">
        <v>46859</v>
      </c>
      <c r="B108" s="41"/>
      <c r="C108" s="41"/>
      <c r="D108" s="41"/>
      <c r="E108" s="41"/>
      <c r="F108" s="41"/>
      <c r="G108" s="39"/>
      <c r="H108" s="28"/>
      <c r="I108" s="39"/>
      <c r="J108" s="39"/>
      <c r="K108" s="28">
        <f>TABL12345[[#This Row],[خط (T/B  TOT) SAR]]+TABL12345[[#This Row],[خط (S/S  TOT) SAR2]]</f>
        <v>0</v>
      </c>
      <c r="L108" s="41"/>
      <c r="M108" s="42"/>
      <c r="N108" s="42"/>
      <c r="O108" s="39"/>
      <c r="P108" s="3">
        <f>TABL12345[[#This Row],[خط (S/S  TOT) SAR2]]-TABL12345[[#This Row],[(S/S TOT) AJD]]</f>
        <v>0</v>
      </c>
      <c r="Q108" s="39"/>
      <c r="R108" s="3">
        <f>TABL12345[[#This Row],[خط (T/B  TOT) SAR]]-TABL12345[[#This Row],[(T/B TOT) AJD]]</f>
        <v>0</v>
      </c>
      <c r="S108" s="3">
        <f>TABL12345[[#This Row],[الفرق بين بداية ونهاية خط  S/S]]+TABL12345[[#This Row],[الفرق بين بداية ونهاية خط  T/B]]</f>
        <v>0</v>
      </c>
      <c r="T108" s="3">
        <f t="shared" si="4"/>
        <v>0</v>
      </c>
      <c r="U108" s="41"/>
      <c r="V108" s="41"/>
      <c r="W108" s="3">
        <f t="shared" si="5"/>
        <v>0</v>
      </c>
      <c r="X108" s="3">
        <f t="shared" si="6"/>
        <v>0</v>
      </c>
      <c r="Y108" s="41"/>
      <c r="Z108" s="43"/>
      <c r="AA108" s="3">
        <f>TABL12345[[#This Row],[(RESV. STORGE) AJD]]/10</f>
        <v>0</v>
      </c>
      <c r="AB108" s="45">
        <f t="shared" si="7"/>
        <v>0</v>
      </c>
      <c r="AC108" s="5"/>
      <c r="AD108" s="39">
        <f>(TABL12345[[#This Row],[( S/S+T/B) AJD]]*1000)-((TABL12345[[#This Row],[(STORGE DIFF.) AJD]]*1000)+TABL12345[[#This Row],[البخر  AJD]]+(TABL12345[[#This Row],[(A/B + A/S) AJD]]*1000))</f>
        <v>0</v>
      </c>
      <c r="AE108" s="41"/>
      <c r="AF108" s="43"/>
      <c r="AG108" s="43"/>
      <c r="AH108" s="6">
        <f>TABL12345[[#This Row],[ (RESV. STORGE) BER]]/10</f>
        <v>0</v>
      </c>
      <c r="AI108" s="41"/>
      <c r="AJ108" s="43">
        <f>TABL12345[[#This Row],[(A/B TOT) AJD]]-TABL12345[[#This Row],[BER_ IN]]</f>
        <v>0</v>
      </c>
      <c r="AK108" s="43"/>
      <c r="AL108" s="43"/>
      <c r="AM108" s="32"/>
      <c r="AN108" s="32">
        <f>TABL12345[[#This Row],[ (RESV. STORGE) SER]]/10</f>
        <v>0</v>
      </c>
      <c r="AO108" s="68"/>
      <c r="AP108" s="68">
        <f>TABL12345[[#This Row],[(A/S TOT) AJD]]-TABL12345[[#This Row],[SER_ IN]]</f>
        <v>0</v>
      </c>
    </row>
    <row r="109" spans="1:42" ht="18.75" x14ac:dyDescent="0.25">
      <c r="A109" s="2">
        <v>46860</v>
      </c>
      <c r="B109" s="44"/>
      <c r="C109" s="44"/>
      <c r="D109" s="44"/>
      <c r="E109" s="44"/>
      <c r="F109" s="44"/>
      <c r="G109" s="40"/>
      <c r="H109" s="28"/>
      <c r="I109" s="40"/>
      <c r="J109" s="44"/>
      <c r="K109" s="28">
        <f>TABL12345[[#This Row],[خط (T/B  TOT) SAR]]+TABL12345[[#This Row],[خط (S/S  TOT) SAR2]]</f>
        <v>0</v>
      </c>
      <c r="L109" s="45"/>
      <c r="M109" s="46"/>
      <c r="N109" s="46"/>
      <c r="O109" s="40"/>
      <c r="P109" s="3">
        <f>TABL12345[[#This Row],[خط (S/S  TOT) SAR2]]-TABL12345[[#This Row],[(S/S TOT) AJD]]</f>
        <v>0</v>
      </c>
      <c r="Q109" s="40"/>
      <c r="R109" s="3">
        <f>TABL12345[[#This Row],[خط (T/B  TOT) SAR]]-TABL12345[[#This Row],[(T/B TOT) AJD]]</f>
        <v>0</v>
      </c>
      <c r="S109" s="3">
        <f>TABL12345[[#This Row],[الفرق بين بداية ونهاية خط  S/S]]+TABL12345[[#This Row],[الفرق بين بداية ونهاية خط  T/B]]</f>
        <v>0</v>
      </c>
      <c r="T109" s="3">
        <f t="shared" si="4"/>
        <v>0</v>
      </c>
      <c r="U109" s="44"/>
      <c r="V109" s="44"/>
      <c r="W109" s="3">
        <f t="shared" si="5"/>
        <v>0</v>
      </c>
      <c r="X109" s="3">
        <f t="shared" si="6"/>
        <v>0</v>
      </c>
      <c r="Y109" s="44"/>
      <c r="Z109" s="45"/>
      <c r="AA109" s="3">
        <f>TABL12345[[#This Row],[(RESV. STORGE) AJD]]/10</f>
        <v>0</v>
      </c>
      <c r="AB109" s="45">
        <f t="shared" si="7"/>
        <v>0</v>
      </c>
      <c r="AC109" s="5"/>
      <c r="AD109" s="40">
        <f>(TABL12345[[#This Row],[( S/S+T/B) AJD]]*1000)-((TABL12345[[#This Row],[(STORGE DIFF.) AJD]]*1000)+TABL12345[[#This Row],[البخر  AJD]]+(TABL12345[[#This Row],[(A/B + A/S) AJD]]*1000))</f>
        <v>0</v>
      </c>
      <c r="AE109" s="44"/>
      <c r="AF109" s="45"/>
      <c r="AG109" s="45"/>
      <c r="AH109" s="6">
        <f>TABL12345[[#This Row],[ (RESV. STORGE) BER]]/10</f>
        <v>0</v>
      </c>
      <c r="AI109" s="44"/>
      <c r="AJ109" s="45">
        <f>TABL12345[[#This Row],[(A/B TOT) AJD]]-TABL12345[[#This Row],[BER_ IN]]</f>
        <v>0</v>
      </c>
      <c r="AK109" s="45"/>
      <c r="AL109" s="45"/>
      <c r="AM109" s="32"/>
      <c r="AN109" s="32">
        <f>TABL12345[[#This Row],[ (RESV. STORGE) SER]]/10</f>
        <v>0</v>
      </c>
      <c r="AO109" s="68"/>
      <c r="AP109" s="68">
        <f>TABL12345[[#This Row],[(A/S TOT) AJD]]-TABL12345[[#This Row],[SER_ IN]]</f>
        <v>0</v>
      </c>
    </row>
    <row r="110" spans="1:42" ht="18.75" x14ac:dyDescent="0.25">
      <c r="A110" s="2">
        <v>46861</v>
      </c>
      <c r="B110" s="41"/>
      <c r="C110" s="41"/>
      <c r="D110" s="41"/>
      <c r="E110" s="41"/>
      <c r="F110" s="41"/>
      <c r="G110" s="39"/>
      <c r="H110" s="28"/>
      <c r="I110" s="39"/>
      <c r="J110" s="39"/>
      <c r="K110" s="28">
        <f>TABL12345[[#This Row],[خط (T/B  TOT) SAR]]+TABL12345[[#This Row],[خط (S/S  TOT) SAR2]]</f>
        <v>0</v>
      </c>
      <c r="L110" s="41"/>
      <c r="M110" s="42"/>
      <c r="N110" s="42"/>
      <c r="O110" s="39"/>
      <c r="P110" s="3">
        <f>TABL12345[[#This Row],[خط (S/S  TOT) SAR2]]-TABL12345[[#This Row],[(S/S TOT) AJD]]</f>
        <v>0</v>
      </c>
      <c r="Q110" s="39"/>
      <c r="R110" s="3">
        <f>TABL12345[[#This Row],[خط (T/B  TOT) SAR]]-TABL12345[[#This Row],[(T/B TOT) AJD]]</f>
        <v>0</v>
      </c>
      <c r="S110" s="3">
        <f>TABL12345[[#This Row],[الفرق بين بداية ونهاية خط  S/S]]+TABL12345[[#This Row],[الفرق بين بداية ونهاية خط  T/B]]</f>
        <v>0</v>
      </c>
      <c r="T110" s="3">
        <f t="shared" si="4"/>
        <v>0</v>
      </c>
      <c r="U110" s="41"/>
      <c r="V110" s="41"/>
      <c r="W110" s="3">
        <f t="shared" si="5"/>
        <v>0</v>
      </c>
      <c r="X110" s="3">
        <f t="shared" si="6"/>
        <v>0</v>
      </c>
      <c r="Y110" s="41"/>
      <c r="Z110" s="43"/>
      <c r="AA110" s="3">
        <f>TABL12345[[#This Row],[(RESV. STORGE) AJD]]/10</f>
        <v>0</v>
      </c>
      <c r="AB110" s="45">
        <f t="shared" si="7"/>
        <v>0</v>
      </c>
      <c r="AC110" s="5"/>
      <c r="AD110" s="39">
        <f>(TABL12345[[#This Row],[( S/S+T/B) AJD]]*1000)-((TABL12345[[#This Row],[(STORGE DIFF.) AJD]]*1000)+TABL12345[[#This Row],[البخر  AJD]]+(TABL12345[[#This Row],[(A/B + A/S) AJD]]*1000))</f>
        <v>0</v>
      </c>
      <c r="AE110" s="41"/>
      <c r="AF110" s="43"/>
      <c r="AG110" s="43"/>
      <c r="AH110" s="6">
        <f>TABL12345[[#This Row],[ (RESV. STORGE) BER]]/10</f>
        <v>0</v>
      </c>
      <c r="AI110" s="41"/>
      <c r="AJ110" s="43">
        <f>TABL12345[[#This Row],[(A/B TOT) AJD]]-TABL12345[[#This Row],[BER_ IN]]</f>
        <v>0</v>
      </c>
      <c r="AK110" s="43"/>
      <c r="AL110" s="43"/>
      <c r="AM110" s="32"/>
      <c r="AN110" s="32">
        <f>TABL12345[[#This Row],[ (RESV. STORGE) SER]]/10</f>
        <v>0</v>
      </c>
      <c r="AO110" s="68"/>
      <c r="AP110" s="68">
        <f>TABL12345[[#This Row],[(A/S TOT) AJD]]-TABL12345[[#This Row],[SER_ IN]]</f>
        <v>0</v>
      </c>
    </row>
    <row r="111" spans="1:42" ht="18.75" x14ac:dyDescent="0.25">
      <c r="A111" s="2">
        <v>46862</v>
      </c>
      <c r="B111" s="44"/>
      <c r="C111" s="44"/>
      <c r="D111" s="44"/>
      <c r="E111" s="44"/>
      <c r="F111" s="44"/>
      <c r="G111" s="40"/>
      <c r="H111" s="28"/>
      <c r="I111" s="40"/>
      <c r="J111" s="44"/>
      <c r="K111" s="28">
        <f>TABL12345[[#This Row],[خط (T/B  TOT) SAR]]+TABL12345[[#This Row],[خط (S/S  TOT) SAR2]]</f>
        <v>0</v>
      </c>
      <c r="L111" s="45"/>
      <c r="M111" s="46"/>
      <c r="N111" s="46"/>
      <c r="O111" s="40"/>
      <c r="P111" s="3">
        <f>TABL12345[[#This Row],[خط (S/S  TOT) SAR2]]-TABL12345[[#This Row],[(S/S TOT) AJD]]</f>
        <v>0</v>
      </c>
      <c r="Q111" s="40"/>
      <c r="R111" s="3">
        <f>TABL12345[[#This Row],[خط (T/B  TOT) SAR]]-TABL12345[[#This Row],[(T/B TOT) AJD]]</f>
        <v>0</v>
      </c>
      <c r="S111" s="3">
        <f>TABL12345[[#This Row],[الفرق بين بداية ونهاية خط  S/S]]+TABL12345[[#This Row],[الفرق بين بداية ونهاية خط  T/B]]</f>
        <v>0</v>
      </c>
      <c r="T111" s="3">
        <f t="shared" si="4"/>
        <v>0</v>
      </c>
      <c r="U111" s="44"/>
      <c r="V111" s="44"/>
      <c r="W111" s="3">
        <f t="shared" si="5"/>
        <v>0</v>
      </c>
      <c r="X111" s="3">
        <f t="shared" si="6"/>
        <v>0</v>
      </c>
      <c r="Y111" s="44"/>
      <c r="Z111" s="45"/>
      <c r="AA111" s="3">
        <f>TABL12345[[#This Row],[(RESV. STORGE) AJD]]/10</f>
        <v>0</v>
      </c>
      <c r="AB111" s="45">
        <f t="shared" si="7"/>
        <v>0</v>
      </c>
      <c r="AC111" s="5"/>
      <c r="AD111" s="40">
        <f>(TABL12345[[#This Row],[( S/S+T/B) AJD]]*1000)-((TABL12345[[#This Row],[(STORGE DIFF.) AJD]]*1000)+TABL12345[[#This Row],[البخر  AJD]]+(TABL12345[[#This Row],[(A/B + A/S) AJD]]*1000))</f>
        <v>0</v>
      </c>
      <c r="AE111" s="44"/>
      <c r="AF111" s="45"/>
      <c r="AG111" s="45"/>
      <c r="AH111" s="6">
        <f>TABL12345[[#This Row],[ (RESV. STORGE) BER]]/10</f>
        <v>0</v>
      </c>
      <c r="AI111" s="44"/>
      <c r="AJ111" s="45">
        <f>TABL12345[[#This Row],[(A/B TOT) AJD]]-TABL12345[[#This Row],[BER_ IN]]</f>
        <v>0</v>
      </c>
      <c r="AK111" s="45"/>
      <c r="AL111" s="45"/>
      <c r="AM111" s="32"/>
      <c r="AN111" s="32">
        <f>TABL12345[[#This Row],[ (RESV. STORGE) SER]]/10</f>
        <v>0</v>
      </c>
      <c r="AO111" s="68"/>
      <c r="AP111" s="68">
        <f>TABL12345[[#This Row],[(A/S TOT) AJD]]-TABL12345[[#This Row],[SER_ IN]]</f>
        <v>0</v>
      </c>
    </row>
    <row r="112" spans="1:42" ht="18.75" x14ac:dyDescent="0.25">
      <c r="A112" s="2">
        <v>46863</v>
      </c>
      <c r="B112" s="41"/>
      <c r="C112" s="41"/>
      <c r="D112" s="41"/>
      <c r="E112" s="41"/>
      <c r="F112" s="41"/>
      <c r="G112" s="39"/>
      <c r="H112" s="28"/>
      <c r="I112" s="39"/>
      <c r="J112" s="39"/>
      <c r="K112" s="28">
        <f>TABL12345[[#This Row],[خط (T/B  TOT) SAR]]+TABL12345[[#This Row],[خط (S/S  TOT) SAR2]]</f>
        <v>0</v>
      </c>
      <c r="L112" s="41"/>
      <c r="M112" s="42"/>
      <c r="N112" s="42"/>
      <c r="O112" s="39"/>
      <c r="P112" s="3">
        <f>TABL12345[[#This Row],[خط (S/S  TOT) SAR2]]-TABL12345[[#This Row],[(S/S TOT) AJD]]</f>
        <v>0</v>
      </c>
      <c r="Q112" s="39"/>
      <c r="R112" s="3">
        <f>TABL12345[[#This Row],[خط (T/B  TOT) SAR]]-TABL12345[[#This Row],[(T/B TOT) AJD]]</f>
        <v>0</v>
      </c>
      <c r="S112" s="3">
        <f>TABL12345[[#This Row],[الفرق بين بداية ونهاية خط  S/S]]+TABL12345[[#This Row],[الفرق بين بداية ونهاية خط  T/B]]</f>
        <v>0</v>
      </c>
      <c r="T112" s="3">
        <f t="shared" si="4"/>
        <v>0</v>
      </c>
      <c r="U112" s="41"/>
      <c r="V112" s="41"/>
      <c r="W112" s="3">
        <f t="shared" si="5"/>
        <v>0</v>
      </c>
      <c r="X112" s="3">
        <f t="shared" si="6"/>
        <v>0</v>
      </c>
      <c r="Y112" s="41"/>
      <c r="Z112" s="43"/>
      <c r="AA112" s="3">
        <f>TABL12345[[#This Row],[(RESV. STORGE) AJD]]/10</f>
        <v>0</v>
      </c>
      <c r="AB112" s="45">
        <f t="shared" si="7"/>
        <v>0</v>
      </c>
      <c r="AC112" s="5"/>
      <c r="AD112" s="39">
        <f>(TABL12345[[#This Row],[( S/S+T/B) AJD]]*1000)-((TABL12345[[#This Row],[(STORGE DIFF.) AJD]]*1000)+TABL12345[[#This Row],[البخر  AJD]]+(TABL12345[[#This Row],[(A/B + A/S) AJD]]*1000))</f>
        <v>0</v>
      </c>
      <c r="AE112" s="41"/>
      <c r="AF112" s="43"/>
      <c r="AG112" s="43"/>
      <c r="AH112" s="6">
        <f>TABL12345[[#This Row],[ (RESV. STORGE) BER]]/10</f>
        <v>0</v>
      </c>
      <c r="AI112" s="41"/>
      <c r="AJ112" s="43">
        <f>TABL12345[[#This Row],[(A/B TOT) AJD]]-TABL12345[[#This Row],[BER_ IN]]</f>
        <v>0</v>
      </c>
      <c r="AK112" s="43"/>
      <c r="AL112" s="43"/>
      <c r="AM112" s="32"/>
      <c r="AN112" s="32">
        <f>TABL12345[[#This Row],[ (RESV. STORGE) SER]]/10</f>
        <v>0</v>
      </c>
      <c r="AO112" s="68"/>
      <c r="AP112" s="68">
        <f>TABL12345[[#This Row],[(A/S TOT) AJD]]-TABL12345[[#This Row],[SER_ IN]]</f>
        <v>0</v>
      </c>
    </row>
    <row r="113" spans="1:42" ht="18.75" x14ac:dyDescent="0.25">
      <c r="A113" s="2">
        <v>46864</v>
      </c>
      <c r="B113" s="44"/>
      <c r="C113" s="44"/>
      <c r="D113" s="44"/>
      <c r="E113" s="44"/>
      <c r="F113" s="44"/>
      <c r="G113" s="40"/>
      <c r="H113" s="28"/>
      <c r="I113" s="40"/>
      <c r="J113" s="44"/>
      <c r="K113" s="28">
        <f>TABL12345[[#This Row],[خط (T/B  TOT) SAR]]+TABL12345[[#This Row],[خط (S/S  TOT) SAR2]]</f>
        <v>0</v>
      </c>
      <c r="L113" s="45"/>
      <c r="M113" s="46"/>
      <c r="N113" s="46"/>
      <c r="O113" s="40"/>
      <c r="P113" s="3">
        <f>TABL12345[[#This Row],[خط (S/S  TOT) SAR2]]-TABL12345[[#This Row],[(S/S TOT) AJD]]</f>
        <v>0</v>
      </c>
      <c r="Q113" s="40"/>
      <c r="R113" s="3">
        <f>TABL12345[[#This Row],[خط (T/B  TOT) SAR]]-TABL12345[[#This Row],[(T/B TOT) AJD]]</f>
        <v>0</v>
      </c>
      <c r="S113" s="3">
        <f>TABL12345[[#This Row],[الفرق بين بداية ونهاية خط  S/S]]+TABL12345[[#This Row],[الفرق بين بداية ونهاية خط  T/B]]</f>
        <v>0</v>
      </c>
      <c r="T113" s="3">
        <f t="shared" si="4"/>
        <v>0</v>
      </c>
      <c r="U113" s="44"/>
      <c r="V113" s="44"/>
      <c r="W113" s="3">
        <f t="shared" si="5"/>
        <v>0</v>
      </c>
      <c r="X113" s="3">
        <f t="shared" si="6"/>
        <v>0</v>
      </c>
      <c r="Y113" s="44"/>
      <c r="Z113" s="45"/>
      <c r="AA113" s="3">
        <f>TABL12345[[#This Row],[(RESV. STORGE) AJD]]/10</f>
        <v>0</v>
      </c>
      <c r="AB113" s="45">
        <f t="shared" si="7"/>
        <v>0</v>
      </c>
      <c r="AC113" s="5"/>
      <c r="AD113" s="40">
        <f>(TABL12345[[#This Row],[( S/S+T/B) AJD]]*1000)-((TABL12345[[#This Row],[(STORGE DIFF.) AJD]]*1000)+TABL12345[[#This Row],[البخر  AJD]]+(TABL12345[[#This Row],[(A/B + A/S) AJD]]*1000))</f>
        <v>0</v>
      </c>
      <c r="AE113" s="44"/>
      <c r="AF113" s="45"/>
      <c r="AG113" s="45"/>
      <c r="AH113" s="6">
        <f>TABL12345[[#This Row],[ (RESV. STORGE) BER]]/10</f>
        <v>0</v>
      </c>
      <c r="AI113" s="44"/>
      <c r="AJ113" s="45">
        <f>TABL12345[[#This Row],[(A/B TOT) AJD]]-TABL12345[[#This Row],[BER_ IN]]</f>
        <v>0</v>
      </c>
      <c r="AK113" s="45"/>
      <c r="AL113" s="45"/>
      <c r="AM113" s="32"/>
      <c r="AN113" s="32">
        <f>TABL12345[[#This Row],[ (RESV. STORGE) SER]]/10</f>
        <v>0</v>
      </c>
      <c r="AO113" s="68"/>
      <c r="AP113" s="68">
        <f>TABL12345[[#This Row],[(A/S TOT) AJD]]-TABL12345[[#This Row],[SER_ IN]]</f>
        <v>0</v>
      </c>
    </row>
    <row r="114" spans="1:42" ht="18.75" x14ac:dyDescent="0.25">
      <c r="A114" s="2">
        <v>46865</v>
      </c>
      <c r="B114" s="41"/>
      <c r="C114" s="41"/>
      <c r="D114" s="41"/>
      <c r="E114" s="41"/>
      <c r="F114" s="41"/>
      <c r="G114" s="39"/>
      <c r="H114" s="28"/>
      <c r="I114" s="39"/>
      <c r="J114" s="39"/>
      <c r="K114" s="28">
        <f>TABL12345[[#This Row],[خط (T/B  TOT) SAR]]+TABL12345[[#This Row],[خط (S/S  TOT) SAR2]]</f>
        <v>0</v>
      </c>
      <c r="L114" s="41"/>
      <c r="M114" s="42"/>
      <c r="N114" s="42"/>
      <c r="O114" s="39"/>
      <c r="P114" s="3">
        <f>TABL12345[[#This Row],[خط (S/S  TOT) SAR2]]-TABL12345[[#This Row],[(S/S TOT) AJD]]</f>
        <v>0</v>
      </c>
      <c r="Q114" s="39"/>
      <c r="R114" s="3">
        <f>TABL12345[[#This Row],[خط (T/B  TOT) SAR]]-TABL12345[[#This Row],[(T/B TOT) AJD]]</f>
        <v>0</v>
      </c>
      <c r="S114" s="3">
        <f>TABL12345[[#This Row],[الفرق بين بداية ونهاية خط  S/S]]+TABL12345[[#This Row],[الفرق بين بداية ونهاية خط  T/B]]</f>
        <v>0</v>
      </c>
      <c r="T114" s="3">
        <f t="shared" si="4"/>
        <v>0</v>
      </c>
      <c r="U114" s="41"/>
      <c r="V114" s="41"/>
      <c r="W114" s="3">
        <f t="shared" si="5"/>
        <v>0</v>
      </c>
      <c r="X114" s="3">
        <f t="shared" si="6"/>
        <v>0</v>
      </c>
      <c r="Y114" s="41"/>
      <c r="Z114" s="43"/>
      <c r="AA114" s="3">
        <f>TABL12345[[#This Row],[(RESV. STORGE) AJD]]/10</f>
        <v>0</v>
      </c>
      <c r="AB114" s="45">
        <f t="shared" si="7"/>
        <v>0</v>
      </c>
      <c r="AC114" s="5"/>
      <c r="AD114" s="39">
        <f>(TABL12345[[#This Row],[( S/S+T/B) AJD]]*1000)-((TABL12345[[#This Row],[(STORGE DIFF.) AJD]]*1000)+TABL12345[[#This Row],[البخر  AJD]]+(TABL12345[[#This Row],[(A/B + A/S) AJD]]*1000))</f>
        <v>0</v>
      </c>
      <c r="AE114" s="41"/>
      <c r="AF114" s="43"/>
      <c r="AG114" s="43"/>
      <c r="AH114" s="6">
        <f>TABL12345[[#This Row],[ (RESV. STORGE) BER]]/10</f>
        <v>0</v>
      </c>
      <c r="AI114" s="41"/>
      <c r="AJ114" s="43">
        <f>TABL12345[[#This Row],[(A/B TOT) AJD]]-TABL12345[[#This Row],[BER_ IN]]</f>
        <v>0</v>
      </c>
      <c r="AK114" s="43"/>
      <c r="AL114" s="43"/>
      <c r="AM114" s="32"/>
      <c r="AN114" s="32">
        <f>TABL12345[[#This Row],[ (RESV. STORGE) SER]]/10</f>
        <v>0</v>
      </c>
      <c r="AO114" s="68"/>
      <c r="AP114" s="68">
        <f>TABL12345[[#This Row],[(A/S TOT) AJD]]-TABL12345[[#This Row],[SER_ IN]]</f>
        <v>0</v>
      </c>
    </row>
    <row r="115" spans="1:42" ht="18.75" x14ac:dyDescent="0.25">
      <c r="A115" s="2">
        <v>46866</v>
      </c>
      <c r="B115" s="44"/>
      <c r="C115" s="44"/>
      <c r="D115" s="44"/>
      <c r="E115" s="44"/>
      <c r="F115" s="44"/>
      <c r="G115" s="40"/>
      <c r="H115" s="28"/>
      <c r="I115" s="40"/>
      <c r="J115" s="44"/>
      <c r="K115" s="28">
        <f>TABL12345[[#This Row],[خط (T/B  TOT) SAR]]+TABL12345[[#This Row],[خط (S/S  TOT) SAR2]]</f>
        <v>0</v>
      </c>
      <c r="L115" s="45"/>
      <c r="M115" s="46"/>
      <c r="N115" s="46"/>
      <c r="O115" s="40"/>
      <c r="P115" s="3">
        <f>TABL12345[[#This Row],[خط (S/S  TOT) SAR2]]-TABL12345[[#This Row],[(S/S TOT) AJD]]</f>
        <v>0</v>
      </c>
      <c r="Q115" s="40"/>
      <c r="R115" s="3">
        <f>TABL12345[[#This Row],[خط (T/B  TOT) SAR]]-TABL12345[[#This Row],[(T/B TOT) AJD]]</f>
        <v>0</v>
      </c>
      <c r="S115" s="3">
        <f>TABL12345[[#This Row],[الفرق بين بداية ونهاية خط  S/S]]+TABL12345[[#This Row],[الفرق بين بداية ونهاية خط  T/B]]</f>
        <v>0</v>
      </c>
      <c r="T115" s="3">
        <f t="shared" si="4"/>
        <v>0</v>
      </c>
      <c r="U115" s="44"/>
      <c r="V115" s="44"/>
      <c r="W115" s="3">
        <f t="shared" si="5"/>
        <v>0</v>
      </c>
      <c r="X115" s="3">
        <f t="shared" si="6"/>
        <v>0</v>
      </c>
      <c r="Y115" s="44"/>
      <c r="Z115" s="45"/>
      <c r="AA115" s="3">
        <f>TABL12345[[#This Row],[(RESV. STORGE) AJD]]/10</f>
        <v>0</v>
      </c>
      <c r="AB115" s="45">
        <f t="shared" si="7"/>
        <v>0</v>
      </c>
      <c r="AC115" s="5"/>
      <c r="AD115" s="40">
        <f>(TABL12345[[#This Row],[( S/S+T/B) AJD]]*1000)-((TABL12345[[#This Row],[(STORGE DIFF.) AJD]]*1000)+TABL12345[[#This Row],[البخر  AJD]]+(TABL12345[[#This Row],[(A/B + A/S) AJD]]*1000))</f>
        <v>0</v>
      </c>
      <c r="AE115" s="44"/>
      <c r="AF115" s="45"/>
      <c r="AG115" s="45"/>
      <c r="AH115" s="6">
        <f>TABL12345[[#This Row],[ (RESV. STORGE) BER]]/10</f>
        <v>0</v>
      </c>
      <c r="AI115" s="44"/>
      <c r="AJ115" s="45">
        <f>TABL12345[[#This Row],[(A/B TOT) AJD]]-TABL12345[[#This Row],[BER_ IN]]</f>
        <v>0</v>
      </c>
      <c r="AK115" s="45"/>
      <c r="AL115" s="45"/>
      <c r="AM115" s="32"/>
      <c r="AN115" s="32">
        <f>TABL12345[[#This Row],[ (RESV. STORGE) SER]]/10</f>
        <v>0</v>
      </c>
      <c r="AO115" s="68"/>
      <c r="AP115" s="68">
        <f>TABL12345[[#This Row],[(A/S TOT) AJD]]-TABL12345[[#This Row],[SER_ IN]]</f>
        <v>0</v>
      </c>
    </row>
    <row r="116" spans="1:42" ht="18.75" x14ac:dyDescent="0.25">
      <c r="A116" s="2">
        <v>46867</v>
      </c>
      <c r="B116" s="41"/>
      <c r="C116" s="41"/>
      <c r="D116" s="41"/>
      <c r="E116" s="41"/>
      <c r="F116" s="41"/>
      <c r="G116" s="39"/>
      <c r="H116" s="28"/>
      <c r="I116" s="39"/>
      <c r="J116" s="39"/>
      <c r="K116" s="28">
        <f>TABL12345[[#This Row],[خط (T/B  TOT) SAR]]+TABL12345[[#This Row],[خط (S/S  TOT) SAR2]]</f>
        <v>0</v>
      </c>
      <c r="L116" s="41"/>
      <c r="M116" s="42"/>
      <c r="N116" s="42"/>
      <c r="O116" s="39"/>
      <c r="P116" s="3">
        <f>TABL12345[[#This Row],[خط (S/S  TOT) SAR2]]-TABL12345[[#This Row],[(S/S TOT) AJD]]</f>
        <v>0</v>
      </c>
      <c r="Q116" s="39"/>
      <c r="R116" s="3">
        <f>TABL12345[[#This Row],[خط (T/B  TOT) SAR]]-TABL12345[[#This Row],[(T/B TOT) AJD]]</f>
        <v>0</v>
      </c>
      <c r="S116" s="3">
        <f>TABL12345[[#This Row],[الفرق بين بداية ونهاية خط  S/S]]+TABL12345[[#This Row],[الفرق بين بداية ونهاية خط  T/B]]</f>
        <v>0</v>
      </c>
      <c r="T116" s="3">
        <f t="shared" si="4"/>
        <v>0</v>
      </c>
      <c r="U116" s="41"/>
      <c r="V116" s="41"/>
      <c r="W116" s="3">
        <f t="shared" si="5"/>
        <v>0</v>
      </c>
      <c r="X116" s="3">
        <f t="shared" si="6"/>
        <v>0</v>
      </c>
      <c r="Y116" s="41"/>
      <c r="Z116" s="43"/>
      <c r="AA116" s="3">
        <f>TABL12345[[#This Row],[(RESV. STORGE) AJD]]/10</f>
        <v>0</v>
      </c>
      <c r="AB116" s="45">
        <f t="shared" si="7"/>
        <v>0</v>
      </c>
      <c r="AC116" s="5"/>
      <c r="AD116" s="39">
        <f>(TABL12345[[#This Row],[( S/S+T/B) AJD]]*1000)-((TABL12345[[#This Row],[(STORGE DIFF.) AJD]]*1000)+TABL12345[[#This Row],[البخر  AJD]]+(TABL12345[[#This Row],[(A/B + A/S) AJD]]*1000))</f>
        <v>0</v>
      </c>
      <c r="AE116" s="41"/>
      <c r="AF116" s="43"/>
      <c r="AG116" s="43"/>
      <c r="AH116" s="6">
        <f>TABL12345[[#This Row],[ (RESV. STORGE) BER]]/10</f>
        <v>0</v>
      </c>
      <c r="AI116" s="41"/>
      <c r="AJ116" s="43">
        <f>TABL12345[[#This Row],[(A/B TOT) AJD]]-TABL12345[[#This Row],[BER_ IN]]</f>
        <v>0</v>
      </c>
      <c r="AK116" s="43"/>
      <c r="AL116" s="43"/>
      <c r="AM116" s="32"/>
      <c r="AN116" s="32">
        <f>TABL12345[[#This Row],[ (RESV. STORGE) SER]]/10</f>
        <v>0</v>
      </c>
      <c r="AO116" s="68"/>
      <c r="AP116" s="68">
        <f>TABL12345[[#This Row],[(A/S TOT) AJD]]-TABL12345[[#This Row],[SER_ IN]]</f>
        <v>0</v>
      </c>
    </row>
    <row r="117" spans="1:42" ht="18.75" x14ac:dyDescent="0.25">
      <c r="A117" s="2">
        <v>46868</v>
      </c>
      <c r="B117" s="44"/>
      <c r="C117" s="67"/>
      <c r="D117" s="44"/>
      <c r="E117" s="44"/>
      <c r="F117" s="44"/>
      <c r="G117" s="40"/>
      <c r="H117" s="28"/>
      <c r="I117" s="40"/>
      <c r="J117" s="44"/>
      <c r="K117" s="28">
        <f>TABL12345[[#This Row],[خط (T/B  TOT) SAR]]+TABL12345[[#This Row],[خط (S/S  TOT) SAR2]]</f>
        <v>0</v>
      </c>
      <c r="L117" s="45"/>
      <c r="M117" s="46"/>
      <c r="N117" s="46"/>
      <c r="O117" s="40"/>
      <c r="P117" s="3">
        <f>TABL12345[[#This Row],[خط (S/S  TOT) SAR2]]-TABL12345[[#This Row],[(S/S TOT) AJD]]</f>
        <v>0</v>
      </c>
      <c r="Q117" s="40"/>
      <c r="R117" s="3">
        <f>TABL12345[[#This Row],[خط (T/B  TOT) SAR]]-TABL12345[[#This Row],[(T/B TOT) AJD]]</f>
        <v>0</v>
      </c>
      <c r="S117" s="3">
        <f>TABL12345[[#This Row],[الفرق بين بداية ونهاية خط  S/S]]+TABL12345[[#This Row],[الفرق بين بداية ونهاية خط  T/B]]</f>
        <v>0</v>
      </c>
      <c r="T117" s="3">
        <f t="shared" si="4"/>
        <v>0</v>
      </c>
      <c r="U117" s="44"/>
      <c r="V117" s="44"/>
      <c r="W117" s="3">
        <f t="shared" si="5"/>
        <v>0</v>
      </c>
      <c r="X117" s="3">
        <f t="shared" si="6"/>
        <v>0</v>
      </c>
      <c r="Y117" s="44"/>
      <c r="Z117" s="45"/>
      <c r="AA117" s="3">
        <f>TABL12345[[#This Row],[(RESV. STORGE) AJD]]/10</f>
        <v>0</v>
      </c>
      <c r="AB117" s="45">
        <f t="shared" si="7"/>
        <v>0</v>
      </c>
      <c r="AC117" s="5"/>
      <c r="AD117" s="40">
        <f>(TABL12345[[#This Row],[( S/S+T/B) AJD]]*1000)-((TABL12345[[#This Row],[(STORGE DIFF.) AJD]]*1000)+TABL12345[[#This Row],[البخر  AJD]]+(TABL12345[[#This Row],[(A/B + A/S) AJD]]*1000))</f>
        <v>0</v>
      </c>
      <c r="AE117" s="44"/>
      <c r="AF117" s="45"/>
      <c r="AG117" s="45"/>
      <c r="AH117" s="6">
        <f>TABL12345[[#This Row],[ (RESV. STORGE) BER]]/10</f>
        <v>0</v>
      </c>
      <c r="AI117" s="44"/>
      <c r="AJ117" s="45">
        <f>TABL12345[[#This Row],[(A/B TOT) AJD]]-TABL12345[[#This Row],[BER_ IN]]</f>
        <v>0</v>
      </c>
      <c r="AK117" s="45"/>
      <c r="AL117" s="45"/>
      <c r="AM117" s="32"/>
      <c r="AN117" s="32">
        <f>TABL12345[[#This Row],[ (RESV. STORGE) SER]]/10</f>
        <v>0</v>
      </c>
      <c r="AO117" s="68"/>
      <c r="AP117" s="68">
        <f>TABL12345[[#This Row],[(A/S TOT) AJD]]-TABL12345[[#This Row],[SER_ IN]]</f>
        <v>0</v>
      </c>
    </row>
    <row r="118" spans="1:42" ht="18.75" x14ac:dyDescent="0.25">
      <c r="A118" s="2">
        <v>46869</v>
      </c>
      <c r="B118" s="41"/>
      <c r="C118" s="41"/>
      <c r="D118" s="41"/>
      <c r="E118" s="41"/>
      <c r="F118" s="41"/>
      <c r="G118" s="39"/>
      <c r="H118" s="28"/>
      <c r="I118" s="39"/>
      <c r="J118" s="39"/>
      <c r="K118" s="28">
        <f>TABL12345[[#This Row],[خط (T/B  TOT) SAR]]+TABL12345[[#This Row],[خط (S/S  TOT) SAR2]]</f>
        <v>0</v>
      </c>
      <c r="L118" s="41"/>
      <c r="M118" s="42"/>
      <c r="N118" s="42"/>
      <c r="O118" s="39"/>
      <c r="P118" s="3">
        <f>TABL12345[[#This Row],[خط (S/S  TOT) SAR2]]-TABL12345[[#This Row],[(S/S TOT) AJD]]</f>
        <v>0</v>
      </c>
      <c r="Q118" s="39"/>
      <c r="R118" s="3">
        <f>TABL12345[[#This Row],[خط (T/B  TOT) SAR]]-TABL12345[[#This Row],[(T/B TOT) AJD]]</f>
        <v>0</v>
      </c>
      <c r="S118" s="3">
        <f>TABL12345[[#This Row],[الفرق بين بداية ونهاية خط  S/S]]+TABL12345[[#This Row],[الفرق بين بداية ونهاية خط  T/B]]</f>
        <v>0</v>
      </c>
      <c r="T118" s="3">
        <f t="shared" si="4"/>
        <v>0</v>
      </c>
      <c r="U118" s="41"/>
      <c r="V118" s="41"/>
      <c r="W118" s="3">
        <f t="shared" si="5"/>
        <v>0</v>
      </c>
      <c r="X118" s="3">
        <f t="shared" si="6"/>
        <v>0</v>
      </c>
      <c r="Y118" s="41"/>
      <c r="Z118" s="43"/>
      <c r="AA118" s="3">
        <f>TABL12345[[#This Row],[(RESV. STORGE) AJD]]/10</f>
        <v>0</v>
      </c>
      <c r="AB118" s="45">
        <f t="shared" si="7"/>
        <v>0</v>
      </c>
      <c r="AC118" s="5"/>
      <c r="AD118" s="39">
        <f>(TABL12345[[#This Row],[( S/S+T/B) AJD]]*1000)-((TABL12345[[#This Row],[(STORGE DIFF.) AJD]]*1000)+TABL12345[[#This Row],[البخر  AJD]]+(TABL12345[[#This Row],[(A/B + A/S) AJD]]*1000))</f>
        <v>0</v>
      </c>
      <c r="AE118" s="41"/>
      <c r="AF118" s="43"/>
      <c r="AG118" s="43"/>
      <c r="AH118" s="6">
        <f>TABL12345[[#This Row],[ (RESV. STORGE) BER]]/10</f>
        <v>0</v>
      </c>
      <c r="AI118" s="41"/>
      <c r="AJ118" s="43">
        <f>TABL12345[[#This Row],[(A/B TOT) AJD]]-TABL12345[[#This Row],[BER_ IN]]</f>
        <v>0</v>
      </c>
      <c r="AK118" s="43"/>
      <c r="AL118" s="43"/>
      <c r="AM118" s="32"/>
      <c r="AN118" s="32">
        <f>TABL12345[[#This Row],[ (RESV. STORGE) SER]]/10</f>
        <v>0</v>
      </c>
      <c r="AO118" s="68"/>
      <c r="AP118" s="68">
        <f>TABL12345[[#This Row],[(A/S TOT) AJD]]-TABL12345[[#This Row],[SER_ IN]]</f>
        <v>0</v>
      </c>
    </row>
    <row r="119" spans="1:42" ht="18.75" x14ac:dyDescent="0.25">
      <c r="A119" s="2">
        <v>46870</v>
      </c>
      <c r="B119" s="44"/>
      <c r="C119" s="44"/>
      <c r="D119" s="44"/>
      <c r="E119" s="44"/>
      <c r="F119" s="44"/>
      <c r="G119" s="40"/>
      <c r="H119" s="28"/>
      <c r="I119" s="40"/>
      <c r="J119" s="44"/>
      <c r="K119" s="28">
        <f>TABL12345[[#This Row],[خط (T/B  TOT) SAR]]+TABL12345[[#This Row],[خط (S/S  TOT) SAR2]]</f>
        <v>0</v>
      </c>
      <c r="L119" s="45"/>
      <c r="M119" s="46"/>
      <c r="N119" s="46"/>
      <c r="O119" s="40"/>
      <c r="P119" s="3">
        <f>TABL12345[[#This Row],[خط (S/S  TOT) SAR2]]-TABL12345[[#This Row],[(S/S TOT) AJD]]</f>
        <v>0</v>
      </c>
      <c r="Q119" s="40"/>
      <c r="R119" s="3">
        <f>TABL12345[[#This Row],[خط (T/B  TOT) SAR]]-TABL12345[[#This Row],[(T/B TOT) AJD]]</f>
        <v>0</v>
      </c>
      <c r="S119" s="3">
        <f>TABL12345[[#This Row],[الفرق بين بداية ونهاية خط  S/S]]+TABL12345[[#This Row],[الفرق بين بداية ونهاية خط  T/B]]</f>
        <v>0</v>
      </c>
      <c r="T119" s="3">
        <f t="shared" si="4"/>
        <v>0</v>
      </c>
      <c r="U119" s="44"/>
      <c r="V119" s="44"/>
      <c r="W119" s="3">
        <f t="shared" si="5"/>
        <v>0</v>
      </c>
      <c r="X119" s="3">
        <f t="shared" si="6"/>
        <v>0</v>
      </c>
      <c r="Y119" s="44"/>
      <c r="Z119" s="45"/>
      <c r="AA119" s="3">
        <f>TABL12345[[#This Row],[(RESV. STORGE) AJD]]/10</f>
        <v>0</v>
      </c>
      <c r="AB119" s="45">
        <f t="shared" si="7"/>
        <v>0</v>
      </c>
      <c r="AC119" s="5"/>
      <c r="AD119" s="40">
        <f>(TABL12345[[#This Row],[( S/S+T/B) AJD]]*1000)-((TABL12345[[#This Row],[(STORGE DIFF.) AJD]]*1000)+TABL12345[[#This Row],[البخر  AJD]]+(TABL12345[[#This Row],[(A/B + A/S) AJD]]*1000))</f>
        <v>0</v>
      </c>
      <c r="AE119" s="44"/>
      <c r="AF119" s="45"/>
      <c r="AG119" s="45"/>
      <c r="AH119" s="6">
        <f>TABL12345[[#This Row],[ (RESV. STORGE) BER]]/10</f>
        <v>0</v>
      </c>
      <c r="AI119" s="44"/>
      <c r="AJ119" s="45">
        <f>TABL12345[[#This Row],[(A/B TOT) AJD]]-TABL12345[[#This Row],[BER_ IN]]</f>
        <v>0</v>
      </c>
      <c r="AK119" s="45"/>
      <c r="AL119" s="45"/>
      <c r="AM119" s="32"/>
      <c r="AN119" s="32">
        <f>TABL12345[[#This Row],[ (RESV. STORGE) SER]]/10</f>
        <v>0</v>
      </c>
      <c r="AO119" s="68"/>
      <c r="AP119" s="68">
        <f>TABL12345[[#This Row],[(A/S TOT) AJD]]-TABL12345[[#This Row],[SER_ IN]]</f>
        <v>0</v>
      </c>
    </row>
    <row r="120" spans="1:42" ht="18.75" x14ac:dyDescent="0.25">
      <c r="A120" s="2">
        <v>46871</v>
      </c>
      <c r="B120" s="41"/>
      <c r="C120" s="41"/>
      <c r="D120" s="41"/>
      <c r="E120" s="41"/>
      <c r="F120" s="41"/>
      <c r="G120" s="39"/>
      <c r="H120" s="28"/>
      <c r="I120" s="39"/>
      <c r="J120" s="39"/>
      <c r="K120" s="28">
        <f>TABL12345[[#This Row],[خط (T/B  TOT) SAR]]+TABL12345[[#This Row],[خط (S/S  TOT) SAR2]]</f>
        <v>0</v>
      </c>
      <c r="L120" s="41"/>
      <c r="M120" s="42"/>
      <c r="N120" s="42"/>
      <c r="O120" s="39"/>
      <c r="P120" s="3">
        <f>TABL12345[[#This Row],[خط (S/S  TOT) SAR2]]-TABL12345[[#This Row],[(S/S TOT) AJD]]</f>
        <v>0</v>
      </c>
      <c r="Q120" s="39"/>
      <c r="R120" s="3">
        <f>TABL12345[[#This Row],[خط (T/B  TOT) SAR]]-TABL12345[[#This Row],[(T/B TOT) AJD]]</f>
        <v>0</v>
      </c>
      <c r="S120" s="3">
        <f>TABL12345[[#This Row],[الفرق بين بداية ونهاية خط  S/S]]+TABL12345[[#This Row],[الفرق بين بداية ونهاية خط  T/B]]</f>
        <v>0</v>
      </c>
      <c r="T120" s="3">
        <f t="shared" si="4"/>
        <v>0</v>
      </c>
      <c r="U120" s="41"/>
      <c r="V120" s="41"/>
      <c r="W120" s="3">
        <f t="shared" si="5"/>
        <v>0</v>
      </c>
      <c r="X120" s="3">
        <f t="shared" si="6"/>
        <v>0</v>
      </c>
      <c r="Y120" s="41"/>
      <c r="Z120" s="43"/>
      <c r="AA120" s="3">
        <f>TABL12345[[#This Row],[(RESV. STORGE) AJD]]/10</f>
        <v>0</v>
      </c>
      <c r="AB120" s="45">
        <f t="shared" si="7"/>
        <v>0</v>
      </c>
      <c r="AC120" s="5"/>
      <c r="AD120" s="39">
        <f>(TABL12345[[#This Row],[( S/S+T/B) AJD]]*1000)-((TABL12345[[#This Row],[(STORGE DIFF.) AJD]]*1000)+TABL12345[[#This Row],[البخر  AJD]]+(TABL12345[[#This Row],[(A/B + A/S) AJD]]*1000))</f>
        <v>0</v>
      </c>
      <c r="AE120" s="41"/>
      <c r="AF120" s="43"/>
      <c r="AG120" s="43"/>
      <c r="AH120" s="6">
        <f>TABL12345[[#This Row],[ (RESV. STORGE) BER]]/10</f>
        <v>0</v>
      </c>
      <c r="AI120" s="41"/>
      <c r="AJ120" s="43">
        <f>TABL12345[[#This Row],[(A/B TOT) AJD]]-TABL12345[[#This Row],[BER_ IN]]</f>
        <v>0</v>
      </c>
      <c r="AK120" s="43"/>
      <c r="AL120" s="43"/>
      <c r="AM120" s="32"/>
      <c r="AN120" s="32">
        <f>TABL12345[[#This Row],[ (RESV. STORGE) SER]]/10</f>
        <v>0</v>
      </c>
      <c r="AO120" s="68"/>
      <c r="AP120" s="68">
        <f>TABL12345[[#This Row],[(A/S TOT) AJD]]-TABL12345[[#This Row],[SER_ IN]]</f>
        <v>0</v>
      </c>
    </row>
    <row r="121" spans="1:42" ht="18.75" x14ac:dyDescent="0.25">
      <c r="A121" s="2">
        <v>46872</v>
      </c>
      <c r="B121" s="44"/>
      <c r="C121" s="44"/>
      <c r="D121" s="44"/>
      <c r="E121" s="44"/>
      <c r="F121" s="44"/>
      <c r="G121" s="40"/>
      <c r="H121" s="28"/>
      <c r="I121" s="40"/>
      <c r="J121" s="44"/>
      <c r="K121" s="28">
        <f>TABL12345[[#This Row],[خط (T/B  TOT) SAR]]+TABL12345[[#This Row],[خط (S/S  TOT) SAR2]]</f>
        <v>0</v>
      </c>
      <c r="L121" s="45"/>
      <c r="M121" s="46"/>
      <c r="N121" s="46"/>
      <c r="O121" s="40"/>
      <c r="P121" s="3">
        <f>TABL12345[[#This Row],[خط (S/S  TOT) SAR2]]-TABL12345[[#This Row],[(S/S TOT) AJD]]</f>
        <v>0</v>
      </c>
      <c r="Q121" s="40"/>
      <c r="R121" s="3">
        <f>TABL12345[[#This Row],[خط (T/B  TOT) SAR]]-TABL12345[[#This Row],[(T/B TOT) AJD]]</f>
        <v>0</v>
      </c>
      <c r="S121" s="3">
        <f>TABL12345[[#This Row],[الفرق بين بداية ونهاية خط  S/S]]+TABL12345[[#This Row],[الفرق بين بداية ونهاية خط  T/B]]</f>
        <v>0</v>
      </c>
      <c r="T121" s="3">
        <f t="shared" si="4"/>
        <v>0</v>
      </c>
      <c r="U121" s="44"/>
      <c r="V121" s="44"/>
      <c r="W121" s="3">
        <f t="shared" si="5"/>
        <v>0</v>
      </c>
      <c r="X121" s="3">
        <f t="shared" si="6"/>
        <v>0</v>
      </c>
      <c r="Y121" s="44"/>
      <c r="Z121" s="45"/>
      <c r="AA121" s="3">
        <f>TABL12345[[#This Row],[(RESV. STORGE) AJD]]/10</f>
        <v>0</v>
      </c>
      <c r="AB121" s="45">
        <f t="shared" si="7"/>
        <v>0</v>
      </c>
      <c r="AC121" s="5"/>
      <c r="AD121" s="40">
        <f>(TABL12345[[#This Row],[( S/S+T/B) AJD]]*1000)-((TABL12345[[#This Row],[(STORGE DIFF.) AJD]]*1000)+TABL12345[[#This Row],[البخر  AJD]]+(TABL12345[[#This Row],[(A/B + A/S) AJD]]*1000))</f>
        <v>0</v>
      </c>
      <c r="AE121" s="44"/>
      <c r="AF121" s="45"/>
      <c r="AG121" s="45"/>
      <c r="AH121" s="6">
        <f>TABL12345[[#This Row],[ (RESV. STORGE) BER]]/10</f>
        <v>0</v>
      </c>
      <c r="AI121" s="44"/>
      <c r="AJ121" s="45">
        <f>TABL12345[[#This Row],[(A/B TOT) AJD]]-TABL12345[[#This Row],[BER_ IN]]</f>
        <v>0</v>
      </c>
      <c r="AK121" s="45"/>
      <c r="AL121" s="45"/>
      <c r="AM121" s="32"/>
      <c r="AN121" s="32">
        <f>TABL12345[[#This Row],[ (RESV. STORGE) SER]]/10</f>
        <v>0</v>
      </c>
      <c r="AO121" s="68"/>
      <c r="AP121" s="68">
        <f>TABL12345[[#This Row],[(A/S TOT) AJD]]-TABL12345[[#This Row],[SER_ IN]]</f>
        <v>0</v>
      </c>
    </row>
    <row r="122" spans="1:42" ht="18.75" x14ac:dyDescent="0.25">
      <c r="A122" s="2">
        <v>46873</v>
      </c>
      <c r="B122" s="41"/>
      <c r="C122" s="41"/>
      <c r="D122" s="41"/>
      <c r="E122" s="41"/>
      <c r="F122" s="41"/>
      <c r="G122" s="39"/>
      <c r="H122" s="28"/>
      <c r="I122" s="39"/>
      <c r="J122" s="39"/>
      <c r="K122" s="28">
        <f>TABL12345[[#This Row],[خط (T/B  TOT) SAR]]+TABL12345[[#This Row],[خط (S/S  TOT) SAR2]]</f>
        <v>0</v>
      </c>
      <c r="L122" s="41"/>
      <c r="M122" s="42"/>
      <c r="N122" s="42"/>
      <c r="O122" s="39"/>
      <c r="P122" s="3">
        <f>TABL12345[[#This Row],[خط (S/S  TOT) SAR2]]-TABL12345[[#This Row],[(S/S TOT) AJD]]</f>
        <v>0</v>
      </c>
      <c r="Q122" s="39"/>
      <c r="R122" s="3">
        <f>TABL12345[[#This Row],[خط (T/B  TOT) SAR]]-TABL12345[[#This Row],[(T/B TOT) AJD]]</f>
        <v>0</v>
      </c>
      <c r="S122" s="3">
        <f>TABL12345[[#This Row],[الفرق بين بداية ونهاية خط  S/S]]+TABL12345[[#This Row],[الفرق بين بداية ونهاية خط  T/B]]</f>
        <v>0</v>
      </c>
      <c r="T122" s="3">
        <f t="shared" si="4"/>
        <v>0</v>
      </c>
      <c r="U122" s="41"/>
      <c r="V122" s="41"/>
      <c r="W122" s="3">
        <f t="shared" si="5"/>
        <v>0</v>
      </c>
      <c r="X122" s="3">
        <f t="shared" si="6"/>
        <v>0</v>
      </c>
      <c r="Y122" s="41"/>
      <c r="Z122" s="43"/>
      <c r="AA122" s="3">
        <f>TABL12345[[#This Row],[(RESV. STORGE) AJD]]/10</f>
        <v>0</v>
      </c>
      <c r="AB122" s="45">
        <f t="shared" si="7"/>
        <v>0</v>
      </c>
      <c r="AC122" s="5"/>
      <c r="AD122" s="39">
        <f>(TABL12345[[#This Row],[( S/S+T/B) AJD]]*1000)-((TABL12345[[#This Row],[(STORGE DIFF.) AJD]]*1000)+TABL12345[[#This Row],[البخر  AJD]]+(TABL12345[[#This Row],[(A/B + A/S) AJD]]*1000))</f>
        <v>0</v>
      </c>
      <c r="AE122" s="41"/>
      <c r="AF122" s="43"/>
      <c r="AG122" s="43"/>
      <c r="AH122" s="6">
        <f>TABL12345[[#This Row],[ (RESV. STORGE) BER]]/10</f>
        <v>0</v>
      </c>
      <c r="AI122" s="41"/>
      <c r="AJ122" s="43">
        <f>TABL12345[[#This Row],[(A/B TOT) AJD]]-TABL12345[[#This Row],[BER_ IN]]</f>
        <v>0</v>
      </c>
      <c r="AK122" s="43"/>
      <c r="AL122" s="43"/>
      <c r="AM122" s="32"/>
      <c r="AN122" s="32">
        <f>TABL12345[[#This Row],[ (RESV. STORGE) SER]]/10</f>
        <v>0</v>
      </c>
      <c r="AO122" s="68"/>
      <c r="AP122" s="68">
        <f>TABL12345[[#This Row],[(A/S TOT) AJD]]-TABL12345[[#This Row],[SER_ IN]]</f>
        <v>0</v>
      </c>
    </row>
    <row r="123" spans="1:42" ht="18.75" x14ac:dyDescent="0.25">
      <c r="A123" s="2">
        <v>46874</v>
      </c>
      <c r="B123" s="44"/>
      <c r="C123" s="44"/>
      <c r="D123" s="44"/>
      <c r="E123" s="44"/>
      <c r="F123" s="44"/>
      <c r="G123" s="40"/>
      <c r="H123" s="28"/>
      <c r="I123" s="40"/>
      <c r="J123" s="44"/>
      <c r="K123" s="28">
        <f>TABL12345[[#This Row],[خط (T/B  TOT) SAR]]+TABL12345[[#This Row],[خط (S/S  TOT) SAR2]]</f>
        <v>0</v>
      </c>
      <c r="L123" s="45"/>
      <c r="M123" s="46"/>
      <c r="N123" s="46"/>
      <c r="O123" s="40"/>
      <c r="P123" s="3">
        <f>TABL12345[[#This Row],[خط (S/S  TOT) SAR2]]-TABL12345[[#This Row],[(S/S TOT) AJD]]</f>
        <v>0</v>
      </c>
      <c r="Q123" s="40"/>
      <c r="R123" s="3">
        <f>TABL12345[[#This Row],[خط (T/B  TOT) SAR]]-TABL12345[[#This Row],[(T/B TOT) AJD]]</f>
        <v>0</v>
      </c>
      <c r="S123" s="3">
        <f>TABL12345[[#This Row],[الفرق بين بداية ونهاية خط  S/S]]+TABL12345[[#This Row],[الفرق بين بداية ونهاية خط  T/B]]</f>
        <v>0</v>
      </c>
      <c r="T123" s="3">
        <f t="shared" si="4"/>
        <v>0</v>
      </c>
      <c r="U123" s="44"/>
      <c r="V123" s="44"/>
      <c r="W123" s="3">
        <f t="shared" si="5"/>
        <v>0</v>
      </c>
      <c r="X123" s="3">
        <f t="shared" si="6"/>
        <v>0</v>
      </c>
      <c r="Y123" s="44"/>
      <c r="Z123" s="45"/>
      <c r="AA123" s="3">
        <f>TABL12345[[#This Row],[(RESV. STORGE) AJD]]/10</f>
        <v>0</v>
      </c>
      <c r="AB123" s="45">
        <f t="shared" si="7"/>
        <v>0</v>
      </c>
      <c r="AC123" s="5"/>
      <c r="AD123" s="40">
        <f>(TABL12345[[#This Row],[( S/S+T/B) AJD]]*1000)-((TABL12345[[#This Row],[(STORGE DIFF.) AJD]]*1000)+TABL12345[[#This Row],[البخر  AJD]]+(TABL12345[[#This Row],[(A/B + A/S) AJD]]*1000))</f>
        <v>0</v>
      </c>
      <c r="AE123" s="44"/>
      <c r="AF123" s="45"/>
      <c r="AG123" s="45"/>
      <c r="AH123" s="6">
        <f>TABL12345[[#This Row],[ (RESV. STORGE) BER]]/10</f>
        <v>0</v>
      </c>
      <c r="AI123" s="44"/>
      <c r="AJ123" s="45">
        <f>TABL12345[[#This Row],[(A/B TOT) AJD]]-TABL12345[[#This Row],[BER_ IN]]</f>
        <v>0</v>
      </c>
      <c r="AK123" s="45"/>
      <c r="AL123" s="45"/>
      <c r="AM123" s="32"/>
      <c r="AN123" s="32">
        <f>TABL12345[[#This Row],[ (RESV. STORGE) SER]]/10</f>
        <v>0</v>
      </c>
      <c r="AO123" s="68"/>
      <c r="AP123" s="68">
        <f>TABL12345[[#This Row],[(A/S TOT) AJD]]-TABL12345[[#This Row],[SER_ IN]]</f>
        <v>0</v>
      </c>
    </row>
    <row r="124" spans="1:42" ht="18.75" x14ac:dyDescent="0.25">
      <c r="A124" s="2">
        <v>46875</v>
      </c>
      <c r="B124" s="41"/>
      <c r="C124" s="41"/>
      <c r="D124" s="41"/>
      <c r="E124" s="41"/>
      <c r="F124" s="41"/>
      <c r="G124" s="39"/>
      <c r="H124" s="28"/>
      <c r="I124" s="39"/>
      <c r="J124" s="39"/>
      <c r="K124" s="28">
        <f>TABL12345[[#This Row],[خط (T/B  TOT) SAR]]+TABL12345[[#This Row],[خط (S/S  TOT) SAR2]]</f>
        <v>0</v>
      </c>
      <c r="L124" s="41"/>
      <c r="M124" s="42"/>
      <c r="N124" s="42"/>
      <c r="O124" s="39"/>
      <c r="P124" s="3">
        <f>TABL12345[[#This Row],[خط (S/S  TOT) SAR2]]-TABL12345[[#This Row],[(S/S TOT) AJD]]</f>
        <v>0</v>
      </c>
      <c r="Q124" s="39"/>
      <c r="R124" s="3">
        <f>TABL12345[[#This Row],[خط (T/B  TOT) SAR]]-TABL12345[[#This Row],[(T/B TOT) AJD]]</f>
        <v>0</v>
      </c>
      <c r="S124" s="3">
        <f>TABL12345[[#This Row],[الفرق بين بداية ونهاية خط  S/S]]+TABL12345[[#This Row],[الفرق بين بداية ونهاية خط  T/B]]</f>
        <v>0</v>
      </c>
      <c r="T124" s="3">
        <f t="shared" si="4"/>
        <v>0</v>
      </c>
      <c r="U124" s="41"/>
      <c r="V124" s="41"/>
      <c r="W124" s="3">
        <f t="shared" si="5"/>
        <v>0</v>
      </c>
      <c r="X124" s="3">
        <f t="shared" si="6"/>
        <v>0</v>
      </c>
      <c r="Y124" s="41"/>
      <c r="Z124" s="43"/>
      <c r="AA124" s="3">
        <f>TABL12345[[#This Row],[(RESV. STORGE) AJD]]/10</f>
        <v>0</v>
      </c>
      <c r="AB124" s="45">
        <f t="shared" si="7"/>
        <v>0</v>
      </c>
      <c r="AC124" s="5"/>
      <c r="AD124" s="39">
        <f>(TABL12345[[#This Row],[( S/S+T/B) AJD]]*1000)-((TABL12345[[#This Row],[(STORGE DIFF.) AJD]]*1000)+TABL12345[[#This Row],[البخر  AJD]]+(TABL12345[[#This Row],[(A/B + A/S) AJD]]*1000))</f>
        <v>0</v>
      </c>
      <c r="AE124" s="41"/>
      <c r="AF124" s="43"/>
      <c r="AG124" s="43"/>
      <c r="AH124" s="6">
        <f>TABL12345[[#This Row],[ (RESV. STORGE) BER]]/10</f>
        <v>0</v>
      </c>
      <c r="AI124" s="41"/>
      <c r="AJ124" s="43">
        <f>TABL12345[[#This Row],[(A/B TOT) AJD]]-TABL12345[[#This Row],[BER_ IN]]</f>
        <v>0</v>
      </c>
      <c r="AK124" s="43"/>
      <c r="AL124" s="43"/>
      <c r="AM124" s="32"/>
      <c r="AN124" s="32">
        <f>TABL12345[[#This Row],[ (RESV. STORGE) SER]]/10</f>
        <v>0</v>
      </c>
      <c r="AO124" s="68"/>
      <c r="AP124" s="68">
        <f>TABL12345[[#This Row],[(A/S TOT) AJD]]-TABL12345[[#This Row],[SER_ IN]]</f>
        <v>0</v>
      </c>
    </row>
    <row r="125" spans="1:42" ht="18.75" x14ac:dyDescent="0.25">
      <c r="A125" s="2">
        <v>46876</v>
      </c>
      <c r="B125" s="44"/>
      <c r="C125" s="44"/>
      <c r="D125" s="44"/>
      <c r="E125" s="44"/>
      <c r="F125" s="44"/>
      <c r="G125" s="40"/>
      <c r="H125" s="28"/>
      <c r="I125" s="40"/>
      <c r="J125" s="44"/>
      <c r="K125" s="28">
        <f>TABL12345[[#This Row],[خط (T/B  TOT) SAR]]+TABL12345[[#This Row],[خط (S/S  TOT) SAR2]]</f>
        <v>0</v>
      </c>
      <c r="L125" s="45"/>
      <c r="M125" s="46"/>
      <c r="N125" s="46"/>
      <c r="O125" s="40"/>
      <c r="P125" s="3">
        <f>TABL12345[[#This Row],[خط (S/S  TOT) SAR2]]-TABL12345[[#This Row],[(S/S TOT) AJD]]</f>
        <v>0</v>
      </c>
      <c r="Q125" s="40"/>
      <c r="R125" s="3">
        <f>TABL12345[[#This Row],[خط (T/B  TOT) SAR]]-TABL12345[[#This Row],[(T/B TOT) AJD]]</f>
        <v>0</v>
      </c>
      <c r="S125" s="3">
        <f>TABL12345[[#This Row],[الفرق بين بداية ونهاية خط  S/S]]+TABL12345[[#This Row],[الفرق بين بداية ونهاية خط  T/B]]</f>
        <v>0</v>
      </c>
      <c r="T125" s="3">
        <f t="shared" si="4"/>
        <v>0</v>
      </c>
      <c r="U125" s="44"/>
      <c r="V125" s="44"/>
      <c r="W125" s="3">
        <f t="shared" si="5"/>
        <v>0</v>
      </c>
      <c r="X125" s="3">
        <f t="shared" si="6"/>
        <v>0</v>
      </c>
      <c r="Y125" s="44"/>
      <c r="Z125" s="45"/>
      <c r="AA125" s="3">
        <f>TABL12345[[#This Row],[(RESV. STORGE) AJD]]/10</f>
        <v>0</v>
      </c>
      <c r="AB125" s="45">
        <f t="shared" si="7"/>
        <v>0</v>
      </c>
      <c r="AC125" s="5"/>
      <c r="AD125" s="40">
        <f>(TABL12345[[#This Row],[( S/S+T/B) AJD]]*1000)-((TABL12345[[#This Row],[(STORGE DIFF.) AJD]]*1000)+TABL12345[[#This Row],[البخر  AJD]]+(TABL12345[[#This Row],[(A/B + A/S) AJD]]*1000))</f>
        <v>0</v>
      </c>
      <c r="AE125" s="44"/>
      <c r="AF125" s="45"/>
      <c r="AG125" s="45"/>
      <c r="AH125" s="6">
        <f>TABL12345[[#This Row],[ (RESV. STORGE) BER]]/10</f>
        <v>0</v>
      </c>
      <c r="AI125" s="44"/>
      <c r="AJ125" s="45">
        <f>TABL12345[[#This Row],[(A/B TOT) AJD]]-TABL12345[[#This Row],[BER_ IN]]</f>
        <v>0</v>
      </c>
      <c r="AK125" s="45"/>
      <c r="AL125" s="45"/>
      <c r="AM125" s="32"/>
      <c r="AN125" s="32">
        <f>TABL12345[[#This Row],[ (RESV. STORGE) SER]]/10</f>
        <v>0</v>
      </c>
      <c r="AO125" s="68"/>
      <c r="AP125" s="68">
        <f>TABL12345[[#This Row],[(A/S TOT) AJD]]-TABL12345[[#This Row],[SER_ IN]]</f>
        <v>0</v>
      </c>
    </row>
    <row r="126" spans="1:42" ht="18.75" x14ac:dyDescent="0.25">
      <c r="A126" s="2">
        <v>46877</v>
      </c>
      <c r="B126" s="41"/>
      <c r="C126" s="41"/>
      <c r="D126" s="41"/>
      <c r="E126" s="41"/>
      <c r="F126" s="41"/>
      <c r="G126" s="39"/>
      <c r="H126" s="28"/>
      <c r="I126" s="39"/>
      <c r="J126" s="39"/>
      <c r="K126" s="28">
        <f>TABL12345[[#This Row],[خط (T/B  TOT) SAR]]+TABL12345[[#This Row],[خط (S/S  TOT) SAR2]]</f>
        <v>0</v>
      </c>
      <c r="L126" s="41"/>
      <c r="M126" s="42"/>
      <c r="N126" s="42"/>
      <c r="O126" s="39"/>
      <c r="P126" s="3">
        <f>TABL12345[[#This Row],[خط (S/S  TOT) SAR2]]-TABL12345[[#This Row],[(S/S TOT) AJD]]</f>
        <v>0</v>
      </c>
      <c r="Q126" s="39"/>
      <c r="R126" s="3">
        <f>TABL12345[[#This Row],[خط (T/B  TOT) SAR]]-TABL12345[[#This Row],[(T/B TOT) AJD]]</f>
        <v>0</v>
      </c>
      <c r="S126" s="3">
        <f>TABL12345[[#This Row],[الفرق بين بداية ونهاية خط  S/S]]+TABL12345[[#This Row],[الفرق بين بداية ونهاية خط  T/B]]</f>
        <v>0</v>
      </c>
      <c r="T126" s="3">
        <f t="shared" si="4"/>
        <v>0</v>
      </c>
      <c r="U126" s="41"/>
      <c r="V126" s="41"/>
      <c r="W126" s="3">
        <f t="shared" si="5"/>
        <v>0</v>
      </c>
      <c r="X126" s="3">
        <f t="shared" si="6"/>
        <v>0</v>
      </c>
      <c r="Y126" s="41"/>
      <c r="Z126" s="43"/>
      <c r="AA126" s="3">
        <f>TABL12345[[#This Row],[(RESV. STORGE) AJD]]/10</f>
        <v>0</v>
      </c>
      <c r="AB126" s="45">
        <f t="shared" si="7"/>
        <v>0</v>
      </c>
      <c r="AC126" s="5"/>
      <c r="AD126" s="39">
        <f>(TABL12345[[#This Row],[( S/S+T/B) AJD]]*1000)-((TABL12345[[#This Row],[(STORGE DIFF.) AJD]]*1000)+TABL12345[[#This Row],[البخر  AJD]]+(TABL12345[[#This Row],[(A/B + A/S) AJD]]*1000))</f>
        <v>0</v>
      </c>
      <c r="AE126" s="41"/>
      <c r="AF126" s="43"/>
      <c r="AG126" s="43"/>
      <c r="AH126" s="6">
        <f>TABL12345[[#This Row],[ (RESV. STORGE) BER]]/10</f>
        <v>0</v>
      </c>
      <c r="AI126" s="41"/>
      <c r="AJ126" s="43">
        <f>TABL12345[[#This Row],[(A/B TOT) AJD]]-TABL12345[[#This Row],[BER_ IN]]</f>
        <v>0</v>
      </c>
      <c r="AK126" s="43"/>
      <c r="AL126" s="43"/>
      <c r="AM126" s="32"/>
      <c r="AN126" s="32">
        <f>TABL12345[[#This Row],[ (RESV. STORGE) SER]]/10</f>
        <v>0</v>
      </c>
      <c r="AO126" s="68"/>
      <c r="AP126" s="68">
        <f>TABL12345[[#This Row],[(A/S TOT) AJD]]-TABL12345[[#This Row],[SER_ IN]]</f>
        <v>0</v>
      </c>
    </row>
    <row r="127" spans="1:42" ht="18.75" x14ac:dyDescent="0.25">
      <c r="A127" s="2">
        <v>46878</v>
      </c>
      <c r="B127" s="44"/>
      <c r="C127" s="44"/>
      <c r="D127" s="44"/>
      <c r="E127" s="44"/>
      <c r="F127" s="44"/>
      <c r="G127" s="40"/>
      <c r="H127" s="28"/>
      <c r="I127" s="40"/>
      <c r="J127" s="44"/>
      <c r="K127" s="28">
        <f>TABL12345[[#This Row],[خط (T/B  TOT) SAR]]+TABL12345[[#This Row],[خط (S/S  TOT) SAR2]]</f>
        <v>0</v>
      </c>
      <c r="L127" s="45"/>
      <c r="M127" s="46"/>
      <c r="N127" s="46"/>
      <c r="O127" s="40"/>
      <c r="P127" s="3">
        <f>TABL12345[[#This Row],[خط (S/S  TOT) SAR2]]-TABL12345[[#This Row],[(S/S TOT) AJD]]</f>
        <v>0</v>
      </c>
      <c r="Q127" s="40"/>
      <c r="R127" s="3">
        <f>TABL12345[[#This Row],[خط (T/B  TOT) SAR]]-TABL12345[[#This Row],[(T/B TOT) AJD]]</f>
        <v>0</v>
      </c>
      <c r="S127" s="3">
        <f>TABL12345[[#This Row],[الفرق بين بداية ونهاية خط  S/S]]+TABL12345[[#This Row],[الفرق بين بداية ونهاية خط  T/B]]</f>
        <v>0</v>
      </c>
      <c r="T127" s="3">
        <f t="shared" si="4"/>
        <v>0</v>
      </c>
      <c r="U127" s="44"/>
      <c r="V127" s="44"/>
      <c r="W127" s="3">
        <f t="shared" si="5"/>
        <v>0</v>
      </c>
      <c r="X127" s="3">
        <f t="shared" si="6"/>
        <v>0</v>
      </c>
      <c r="Y127" s="44"/>
      <c r="Z127" s="45"/>
      <c r="AA127" s="3">
        <f>TABL12345[[#This Row],[(RESV. STORGE) AJD]]/10</f>
        <v>0</v>
      </c>
      <c r="AB127" s="45">
        <f t="shared" si="7"/>
        <v>0</v>
      </c>
      <c r="AC127" s="5"/>
      <c r="AD127" s="40">
        <f>(TABL12345[[#This Row],[( S/S+T/B) AJD]]*1000)-((TABL12345[[#This Row],[(STORGE DIFF.) AJD]]*1000)+TABL12345[[#This Row],[البخر  AJD]]+(TABL12345[[#This Row],[(A/B + A/S) AJD]]*1000))</f>
        <v>0</v>
      </c>
      <c r="AE127" s="44"/>
      <c r="AF127" s="45"/>
      <c r="AG127" s="45"/>
      <c r="AH127" s="6">
        <f>TABL12345[[#This Row],[ (RESV. STORGE) BER]]/10</f>
        <v>0</v>
      </c>
      <c r="AI127" s="44"/>
      <c r="AJ127" s="45">
        <f>TABL12345[[#This Row],[(A/B TOT) AJD]]-TABL12345[[#This Row],[BER_ IN]]</f>
        <v>0</v>
      </c>
      <c r="AK127" s="45"/>
      <c r="AL127" s="45"/>
      <c r="AM127" s="32"/>
      <c r="AN127" s="32">
        <f>TABL12345[[#This Row],[ (RESV. STORGE) SER]]/10</f>
        <v>0</v>
      </c>
      <c r="AO127" s="68"/>
      <c r="AP127" s="68">
        <f>TABL12345[[#This Row],[(A/S TOT) AJD]]-TABL12345[[#This Row],[SER_ IN]]</f>
        <v>0</v>
      </c>
    </row>
    <row r="128" spans="1:42" ht="18.75" x14ac:dyDescent="0.25">
      <c r="A128" s="2">
        <v>46879</v>
      </c>
      <c r="B128" s="41"/>
      <c r="C128" s="41"/>
      <c r="D128" s="41"/>
      <c r="E128" s="41"/>
      <c r="F128" s="41"/>
      <c r="G128" s="39"/>
      <c r="H128" s="28"/>
      <c r="I128" s="39"/>
      <c r="J128" s="39"/>
      <c r="K128" s="28">
        <f>TABL12345[[#This Row],[خط (T/B  TOT) SAR]]+TABL12345[[#This Row],[خط (S/S  TOT) SAR2]]</f>
        <v>0</v>
      </c>
      <c r="L128" s="41"/>
      <c r="M128" s="42"/>
      <c r="N128" s="42"/>
      <c r="O128" s="39"/>
      <c r="P128" s="3">
        <f>TABL12345[[#This Row],[خط (S/S  TOT) SAR2]]-TABL12345[[#This Row],[(S/S TOT) AJD]]</f>
        <v>0</v>
      </c>
      <c r="Q128" s="39"/>
      <c r="R128" s="3">
        <f>TABL12345[[#This Row],[خط (T/B  TOT) SAR]]-TABL12345[[#This Row],[(T/B TOT) AJD]]</f>
        <v>0</v>
      </c>
      <c r="S128" s="3">
        <f>TABL12345[[#This Row],[الفرق بين بداية ونهاية خط  S/S]]+TABL12345[[#This Row],[الفرق بين بداية ونهاية خط  T/B]]</f>
        <v>0</v>
      </c>
      <c r="T128" s="3">
        <f t="shared" si="4"/>
        <v>0</v>
      </c>
      <c r="U128" s="41"/>
      <c r="V128" s="41"/>
      <c r="W128" s="3">
        <f t="shared" si="5"/>
        <v>0</v>
      </c>
      <c r="X128" s="3">
        <f t="shared" si="6"/>
        <v>0</v>
      </c>
      <c r="Y128" s="41"/>
      <c r="Z128" s="43"/>
      <c r="AA128" s="3">
        <f>TABL12345[[#This Row],[(RESV. STORGE) AJD]]/10</f>
        <v>0</v>
      </c>
      <c r="AB128" s="45">
        <f t="shared" si="7"/>
        <v>0</v>
      </c>
      <c r="AC128" s="5"/>
      <c r="AD128" s="39">
        <f>(TABL12345[[#This Row],[( S/S+T/B) AJD]]*1000)-((TABL12345[[#This Row],[(STORGE DIFF.) AJD]]*1000)+TABL12345[[#This Row],[البخر  AJD]]+(TABL12345[[#This Row],[(A/B + A/S) AJD]]*1000))</f>
        <v>0</v>
      </c>
      <c r="AE128" s="41"/>
      <c r="AF128" s="43"/>
      <c r="AG128" s="43"/>
      <c r="AH128" s="6">
        <f>TABL12345[[#This Row],[ (RESV. STORGE) BER]]/10</f>
        <v>0</v>
      </c>
      <c r="AI128" s="41"/>
      <c r="AJ128" s="43">
        <f>TABL12345[[#This Row],[(A/B TOT) AJD]]-TABL12345[[#This Row],[BER_ IN]]</f>
        <v>0</v>
      </c>
      <c r="AK128" s="43"/>
      <c r="AL128" s="43"/>
      <c r="AM128" s="32"/>
      <c r="AN128" s="32">
        <f>TABL12345[[#This Row],[ (RESV. STORGE) SER]]/10</f>
        <v>0</v>
      </c>
      <c r="AO128" s="68"/>
      <c r="AP128" s="68">
        <f>TABL12345[[#This Row],[(A/S TOT) AJD]]-TABL12345[[#This Row],[SER_ IN]]</f>
        <v>0</v>
      </c>
    </row>
    <row r="129" spans="1:42" ht="18.75" x14ac:dyDescent="0.25">
      <c r="A129" s="2">
        <v>46880</v>
      </c>
      <c r="B129" s="44"/>
      <c r="C129" s="44"/>
      <c r="D129" s="44"/>
      <c r="E129" s="44"/>
      <c r="F129" s="44"/>
      <c r="G129" s="40"/>
      <c r="H129" s="28"/>
      <c r="I129" s="40"/>
      <c r="J129" s="44"/>
      <c r="K129" s="28">
        <f>TABL12345[[#This Row],[خط (T/B  TOT) SAR]]+TABL12345[[#This Row],[خط (S/S  TOT) SAR2]]</f>
        <v>0</v>
      </c>
      <c r="L129" s="45"/>
      <c r="M129" s="46"/>
      <c r="N129" s="46"/>
      <c r="O129" s="40"/>
      <c r="P129" s="3">
        <f>TABL12345[[#This Row],[خط (S/S  TOT) SAR2]]-TABL12345[[#This Row],[(S/S TOT) AJD]]</f>
        <v>0</v>
      </c>
      <c r="Q129" s="40"/>
      <c r="R129" s="3">
        <f>TABL12345[[#This Row],[خط (T/B  TOT) SAR]]-TABL12345[[#This Row],[(T/B TOT) AJD]]</f>
        <v>0</v>
      </c>
      <c r="S129" s="3">
        <f>TABL12345[[#This Row],[الفرق بين بداية ونهاية خط  S/S]]+TABL12345[[#This Row],[الفرق بين بداية ونهاية خط  T/B]]</f>
        <v>0</v>
      </c>
      <c r="T129" s="3">
        <f t="shared" si="4"/>
        <v>0</v>
      </c>
      <c r="U129" s="44"/>
      <c r="V129" s="44"/>
      <c r="W129" s="3">
        <f t="shared" si="5"/>
        <v>0</v>
      </c>
      <c r="X129" s="3">
        <f t="shared" si="6"/>
        <v>0</v>
      </c>
      <c r="Y129" s="44"/>
      <c r="Z129" s="45"/>
      <c r="AA129" s="3">
        <f>TABL12345[[#This Row],[(RESV. STORGE) AJD]]/10</f>
        <v>0</v>
      </c>
      <c r="AB129" s="45">
        <f t="shared" si="7"/>
        <v>0</v>
      </c>
      <c r="AC129" s="5"/>
      <c r="AD129" s="40">
        <f>(TABL12345[[#This Row],[( S/S+T/B) AJD]]*1000)-((TABL12345[[#This Row],[(STORGE DIFF.) AJD]]*1000)+TABL12345[[#This Row],[البخر  AJD]]+(TABL12345[[#This Row],[(A/B + A/S) AJD]]*1000))</f>
        <v>0</v>
      </c>
      <c r="AE129" s="44"/>
      <c r="AF129" s="45"/>
      <c r="AG129" s="45"/>
      <c r="AH129" s="6">
        <f>TABL12345[[#This Row],[ (RESV. STORGE) BER]]/10</f>
        <v>0</v>
      </c>
      <c r="AI129" s="44"/>
      <c r="AJ129" s="45">
        <f>TABL12345[[#This Row],[(A/B TOT) AJD]]-TABL12345[[#This Row],[BER_ IN]]</f>
        <v>0</v>
      </c>
      <c r="AK129" s="45"/>
      <c r="AL129" s="45"/>
      <c r="AM129" s="32"/>
      <c r="AN129" s="32">
        <f>TABL12345[[#This Row],[ (RESV. STORGE) SER]]/10</f>
        <v>0</v>
      </c>
      <c r="AO129" s="68"/>
      <c r="AP129" s="68">
        <f>TABL12345[[#This Row],[(A/S TOT) AJD]]-TABL12345[[#This Row],[SER_ IN]]</f>
        <v>0</v>
      </c>
    </row>
    <row r="130" spans="1:42" ht="18.75" x14ac:dyDescent="0.25">
      <c r="A130" s="2">
        <v>46881</v>
      </c>
      <c r="B130" s="41"/>
      <c r="C130" s="41"/>
      <c r="D130" s="41"/>
      <c r="E130" s="41"/>
      <c r="F130" s="41"/>
      <c r="G130" s="39"/>
      <c r="H130" s="28"/>
      <c r="I130" s="39"/>
      <c r="J130" s="39"/>
      <c r="K130" s="28">
        <f>TABL12345[[#This Row],[خط (T/B  TOT) SAR]]+TABL12345[[#This Row],[خط (S/S  TOT) SAR2]]</f>
        <v>0</v>
      </c>
      <c r="L130" s="41"/>
      <c r="M130" s="42"/>
      <c r="N130" s="42"/>
      <c r="O130" s="39"/>
      <c r="P130" s="3">
        <f>TABL12345[[#This Row],[خط (S/S  TOT) SAR2]]-TABL12345[[#This Row],[(S/S TOT) AJD]]</f>
        <v>0</v>
      </c>
      <c r="Q130" s="39"/>
      <c r="R130" s="3">
        <f>TABL12345[[#This Row],[خط (T/B  TOT) SAR]]-TABL12345[[#This Row],[(T/B TOT) AJD]]</f>
        <v>0</v>
      </c>
      <c r="S130" s="3">
        <f>TABL12345[[#This Row],[الفرق بين بداية ونهاية خط  S/S]]+TABL12345[[#This Row],[الفرق بين بداية ونهاية خط  T/B]]</f>
        <v>0</v>
      </c>
      <c r="T130" s="3">
        <f t="shared" ref="T130:T193" si="8">O130+Q130</f>
        <v>0</v>
      </c>
      <c r="U130" s="41"/>
      <c r="V130" s="41"/>
      <c r="W130" s="3">
        <f t="shared" ref="W130:W193" si="9">U130+V130</f>
        <v>0</v>
      </c>
      <c r="X130" s="3">
        <f t="shared" ref="X130:X193" si="10">T130-W130</f>
        <v>0</v>
      </c>
      <c r="Y130" s="41"/>
      <c r="Z130" s="43"/>
      <c r="AA130" s="3">
        <f>TABL12345[[#This Row],[(RESV. STORGE) AJD]]/10</f>
        <v>0</v>
      </c>
      <c r="AB130" s="45">
        <f t="shared" si="7"/>
        <v>0</v>
      </c>
      <c r="AC130" s="5"/>
      <c r="AD130" s="39">
        <f>(TABL12345[[#This Row],[( S/S+T/B) AJD]]*1000)-((TABL12345[[#This Row],[(STORGE DIFF.) AJD]]*1000)+TABL12345[[#This Row],[البخر  AJD]]+(TABL12345[[#This Row],[(A/B + A/S) AJD]]*1000))</f>
        <v>0</v>
      </c>
      <c r="AE130" s="41"/>
      <c r="AF130" s="43"/>
      <c r="AG130" s="43"/>
      <c r="AH130" s="6">
        <f>TABL12345[[#This Row],[ (RESV. STORGE) BER]]/10</f>
        <v>0</v>
      </c>
      <c r="AI130" s="41"/>
      <c r="AJ130" s="43">
        <f>TABL12345[[#This Row],[(A/B TOT) AJD]]-TABL12345[[#This Row],[BER_ IN]]</f>
        <v>0</v>
      </c>
      <c r="AK130" s="43"/>
      <c r="AL130" s="43"/>
      <c r="AM130" s="32"/>
      <c r="AN130" s="32">
        <f>TABL12345[[#This Row],[ (RESV. STORGE) SER]]/10</f>
        <v>0</v>
      </c>
      <c r="AO130" s="68"/>
      <c r="AP130" s="68">
        <f>TABL12345[[#This Row],[(A/S TOT) AJD]]-TABL12345[[#This Row],[SER_ IN]]</f>
        <v>0</v>
      </c>
    </row>
    <row r="131" spans="1:42" ht="18.75" x14ac:dyDescent="0.25">
      <c r="A131" s="2">
        <v>46882</v>
      </c>
      <c r="B131" s="44"/>
      <c r="C131" s="44"/>
      <c r="D131" s="44"/>
      <c r="E131" s="44"/>
      <c r="F131" s="44"/>
      <c r="G131" s="40"/>
      <c r="H131" s="28"/>
      <c r="I131" s="40"/>
      <c r="J131" s="44"/>
      <c r="K131" s="28">
        <f>TABL12345[[#This Row],[خط (T/B  TOT) SAR]]+TABL12345[[#This Row],[خط (S/S  TOT) SAR2]]</f>
        <v>0</v>
      </c>
      <c r="L131" s="45"/>
      <c r="M131" s="46"/>
      <c r="N131" s="46"/>
      <c r="O131" s="40"/>
      <c r="P131" s="3">
        <f>TABL12345[[#This Row],[خط (S/S  TOT) SAR2]]-TABL12345[[#This Row],[(S/S TOT) AJD]]</f>
        <v>0</v>
      </c>
      <c r="Q131" s="40"/>
      <c r="R131" s="3">
        <f>TABL12345[[#This Row],[خط (T/B  TOT) SAR]]-TABL12345[[#This Row],[(T/B TOT) AJD]]</f>
        <v>0</v>
      </c>
      <c r="S131" s="3">
        <f>TABL12345[[#This Row],[الفرق بين بداية ونهاية خط  S/S]]+TABL12345[[#This Row],[الفرق بين بداية ونهاية خط  T/B]]</f>
        <v>0</v>
      </c>
      <c r="T131" s="3">
        <f t="shared" si="8"/>
        <v>0</v>
      </c>
      <c r="U131" s="44"/>
      <c r="V131" s="44"/>
      <c r="W131" s="3">
        <f t="shared" si="9"/>
        <v>0</v>
      </c>
      <c r="X131" s="3">
        <f t="shared" si="10"/>
        <v>0</v>
      </c>
      <c r="Y131" s="44"/>
      <c r="Z131" s="45"/>
      <c r="AA131" s="3">
        <f>TABL12345[[#This Row],[(RESV. STORGE) AJD]]/10</f>
        <v>0</v>
      </c>
      <c r="AB131" s="45">
        <f t="shared" si="7"/>
        <v>0</v>
      </c>
      <c r="AC131" s="5"/>
      <c r="AD131" s="40">
        <f>(TABL12345[[#This Row],[( S/S+T/B) AJD]]*1000)-((TABL12345[[#This Row],[(STORGE DIFF.) AJD]]*1000)+TABL12345[[#This Row],[البخر  AJD]]+(TABL12345[[#This Row],[(A/B + A/S) AJD]]*1000))</f>
        <v>0</v>
      </c>
      <c r="AE131" s="44"/>
      <c r="AF131" s="45"/>
      <c r="AG131" s="45"/>
      <c r="AH131" s="6">
        <f>TABL12345[[#This Row],[ (RESV. STORGE) BER]]/10</f>
        <v>0</v>
      </c>
      <c r="AI131" s="44"/>
      <c r="AJ131" s="45">
        <f>TABL12345[[#This Row],[(A/B TOT) AJD]]-TABL12345[[#This Row],[BER_ IN]]</f>
        <v>0</v>
      </c>
      <c r="AK131" s="45"/>
      <c r="AL131" s="45"/>
      <c r="AM131" s="32"/>
      <c r="AN131" s="32">
        <f>TABL12345[[#This Row],[ (RESV. STORGE) SER]]/10</f>
        <v>0</v>
      </c>
      <c r="AO131" s="68"/>
      <c r="AP131" s="68">
        <f>TABL12345[[#This Row],[(A/S TOT) AJD]]-TABL12345[[#This Row],[SER_ IN]]</f>
        <v>0</v>
      </c>
    </row>
    <row r="132" spans="1:42" ht="18.75" x14ac:dyDescent="0.25">
      <c r="A132" s="2">
        <v>46883</v>
      </c>
      <c r="B132" s="41"/>
      <c r="C132" s="41"/>
      <c r="D132" s="41"/>
      <c r="E132" s="41"/>
      <c r="F132" s="41"/>
      <c r="G132" s="39"/>
      <c r="H132" s="28"/>
      <c r="I132" s="39"/>
      <c r="J132" s="39"/>
      <c r="K132" s="28">
        <f>TABL12345[[#This Row],[خط (T/B  TOT) SAR]]+TABL12345[[#This Row],[خط (S/S  TOT) SAR2]]</f>
        <v>0</v>
      </c>
      <c r="L132" s="41"/>
      <c r="M132" s="42"/>
      <c r="N132" s="42"/>
      <c r="O132" s="39"/>
      <c r="P132" s="3">
        <f>TABL12345[[#This Row],[خط (S/S  TOT) SAR2]]-TABL12345[[#This Row],[(S/S TOT) AJD]]</f>
        <v>0</v>
      </c>
      <c r="Q132" s="39"/>
      <c r="R132" s="3">
        <f>TABL12345[[#This Row],[خط (T/B  TOT) SAR]]-TABL12345[[#This Row],[(T/B TOT) AJD]]</f>
        <v>0</v>
      </c>
      <c r="S132" s="3">
        <f>TABL12345[[#This Row],[الفرق بين بداية ونهاية خط  S/S]]+TABL12345[[#This Row],[الفرق بين بداية ونهاية خط  T/B]]</f>
        <v>0</v>
      </c>
      <c r="T132" s="3">
        <f t="shared" si="8"/>
        <v>0</v>
      </c>
      <c r="U132" s="41"/>
      <c r="V132" s="41"/>
      <c r="W132" s="3">
        <f t="shared" si="9"/>
        <v>0</v>
      </c>
      <c r="X132" s="3">
        <f t="shared" si="10"/>
        <v>0</v>
      </c>
      <c r="Y132" s="41"/>
      <c r="Z132" s="43"/>
      <c r="AA132" s="3">
        <f>TABL12345[[#This Row],[(RESV. STORGE) AJD]]/10</f>
        <v>0</v>
      </c>
      <c r="AB132" s="45">
        <f t="shared" ref="AB132:AB195" si="11">(Z132-Z131)/1000</f>
        <v>0</v>
      </c>
      <c r="AC132" s="5"/>
      <c r="AD132" s="39">
        <f>(TABL12345[[#This Row],[( S/S+T/B) AJD]]*1000)-((TABL12345[[#This Row],[(STORGE DIFF.) AJD]]*1000)+TABL12345[[#This Row],[البخر  AJD]]+(TABL12345[[#This Row],[(A/B + A/S) AJD]]*1000))</f>
        <v>0</v>
      </c>
      <c r="AE132" s="41"/>
      <c r="AF132" s="43"/>
      <c r="AG132" s="68"/>
      <c r="AH132" s="6">
        <f>TABL12345[[#This Row],[ (RESV. STORGE) BER]]/10</f>
        <v>0</v>
      </c>
      <c r="AI132" s="41"/>
      <c r="AJ132" s="68">
        <f>TABL12345[[#This Row],[(A/B TOT) AJD]]-TABL12345[[#This Row],[BER_ IN]]</f>
        <v>0</v>
      </c>
      <c r="AK132" s="43"/>
      <c r="AL132" s="43"/>
      <c r="AM132" s="32"/>
      <c r="AN132" s="32">
        <f>TABL12345[[#This Row],[ (RESV. STORGE) SER]]/10</f>
        <v>0</v>
      </c>
      <c r="AO132" s="68"/>
      <c r="AP132" s="68">
        <f>TABL12345[[#This Row],[(A/S TOT) AJD]]-TABL12345[[#This Row],[SER_ IN]]</f>
        <v>0</v>
      </c>
    </row>
    <row r="133" spans="1:42" ht="18.75" x14ac:dyDescent="0.25">
      <c r="A133" s="2">
        <v>46884</v>
      </c>
      <c r="B133" s="44"/>
      <c r="C133" s="44"/>
      <c r="D133" s="44"/>
      <c r="E133" s="44"/>
      <c r="F133" s="44"/>
      <c r="G133" s="40"/>
      <c r="H133" s="28"/>
      <c r="I133" s="40"/>
      <c r="J133" s="44"/>
      <c r="K133" s="28">
        <f>TABL12345[[#This Row],[خط (T/B  TOT) SAR]]+TABL12345[[#This Row],[خط (S/S  TOT) SAR2]]</f>
        <v>0</v>
      </c>
      <c r="L133" s="45"/>
      <c r="M133" s="46"/>
      <c r="N133" s="46"/>
      <c r="O133" s="40"/>
      <c r="P133" s="3">
        <f>TABL12345[[#This Row],[خط (S/S  TOT) SAR2]]-TABL12345[[#This Row],[(S/S TOT) AJD]]</f>
        <v>0</v>
      </c>
      <c r="Q133" s="40"/>
      <c r="R133" s="3">
        <f>TABL12345[[#This Row],[خط (T/B  TOT) SAR]]-TABL12345[[#This Row],[(T/B TOT) AJD]]</f>
        <v>0</v>
      </c>
      <c r="S133" s="3">
        <f>TABL12345[[#This Row],[الفرق بين بداية ونهاية خط  S/S]]+TABL12345[[#This Row],[الفرق بين بداية ونهاية خط  T/B]]</f>
        <v>0</v>
      </c>
      <c r="T133" s="3">
        <f t="shared" si="8"/>
        <v>0</v>
      </c>
      <c r="U133" s="44"/>
      <c r="V133" s="44"/>
      <c r="W133" s="3">
        <f t="shared" si="9"/>
        <v>0</v>
      </c>
      <c r="X133" s="3">
        <f t="shared" si="10"/>
        <v>0</v>
      </c>
      <c r="Y133" s="44"/>
      <c r="Z133" s="45"/>
      <c r="AA133" s="3">
        <f>TABL12345[[#This Row],[(RESV. STORGE) AJD]]/10</f>
        <v>0</v>
      </c>
      <c r="AB133" s="45">
        <f t="shared" si="11"/>
        <v>0</v>
      </c>
      <c r="AC133" s="5"/>
      <c r="AD133" s="40">
        <f>(TABL12345[[#This Row],[( S/S+T/B) AJD]]*1000)-((TABL12345[[#This Row],[(STORGE DIFF.) AJD]]*1000)+TABL12345[[#This Row],[البخر  AJD]]+(TABL12345[[#This Row],[(A/B + A/S) AJD]]*1000))</f>
        <v>0</v>
      </c>
      <c r="AE133" s="44"/>
      <c r="AF133" s="45"/>
      <c r="AG133" s="45"/>
      <c r="AH133" s="6">
        <f>TABL12345[[#This Row],[ (RESV. STORGE) BER]]/10</f>
        <v>0</v>
      </c>
      <c r="AI133" s="44"/>
      <c r="AJ133" s="45">
        <f>TABL12345[[#This Row],[(A/B TOT) AJD]]-TABL12345[[#This Row],[BER_ IN]]</f>
        <v>0</v>
      </c>
      <c r="AK133" s="45"/>
      <c r="AL133" s="45"/>
      <c r="AM133" s="32"/>
      <c r="AN133" s="32">
        <f>TABL12345[[#This Row],[ (RESV. STORGE) SER]]/10</f>
        <v>0</v>
      </c>
      <c r="AO133" s="68"/>
      <c r="AP133" s="68">
        <f>TABL12345[[#This Row],[(A/S TOT) AJD]]-TABL12345[[#This Row],[SER_ IN]]</f>
        <v>0</v>
      </c>
    </row>
    <row r="134" spans="1:42" ht="18.75" x14ac:dyDescent="0.25">
      <c r="A134" s="2">
        <v>46885</v>
      </c>
      <c r="B134" s="41"/>
      <c r="C134" s="41"/>
      <c r="D134" s="41"/>
      <c r="E134" s="41"/>
      <c r="F134" s="41"/>
      <c r="G134" s="39"/>
      <c r="H134" s="28"/>
      <c r="I134" s="39"/>
      <c r="J134" s="39"/>
      <c r="K134" s="28">
        <f>TABL12345[[#This Row],[خط (T/B  TOT) SAR]]+TABL12345[[#This Row],[خط (S/S  TOT) SAR2]]</f>
        <v>0</v>
      </c>
      <c r="L134" s="41"/>
      <c r="M134" s="42"/>
      <c r="N134" s="42"/>
      <c r="O134" s="39"/>
      <c r="P134" s="3">
        <f>TABL12345[[#This Row],[خط (S/S  TOT) SAR2]]-TABL12345[[#This Row],[(S/S TOT) AJD]]</f>
        <v>0</v>
      </c>
      <c r="Q134" s="39"/>
      <c r="R134" s="3">
        <f>TABL12345[[#This Row],[خط (T/B  TOT) SAR]]-TABL12345[[#This Row],[(T/B TOT) AJD]]</f>
        <v>0</v>
      </c>
      <c r="S134" s="3">
        <f>TABL12345[[#This Row],[الفرق بين بداية ونهاية خط  S/S]]+TABL12345[[#This Row],[الفرق بين بداية ونهاية خط  T/B]]</f>
        <v>0</v>
      </c>
      <c r="T134" s="3">
        <f t="shared" si="8"/>
        <v>0</v>
      </c>
      <c r="U134" s="41"/>
      <c r="V134" s="41"/>
      <c r="W134" s="3">
        <f t="shared" si="9"/>
        <v>0</v>
      </c>
      <c r="X134" s="3">
        <f t="shared" si="10"/>
        <v>0</v>
      </c>
      <c r="Y134" s="41"/>
      <c r="Z134" s="43"/>
      <c r="AA134" s="3">
        <f>TABL12345[[#This Row],[(RESV. STORGE) AJD]]/10</f>
        <v>0</v>
      </c>
      <c r="AB134" s="45">
        <f t="shared" si="11"/>
        <v>0</v>
      </c>
      <c r="AC134" s="5"/>
      <c r="AD134" s="39">
        <f>(TABL12345[[#This Row],[( S/S+T/B) AJD]]*1000)-((TABL12345[[#This Row],[(STORGE DIFF.) AJD]]*1000)+TABL12345[[#This Row],[البخر  AJD]]+(TABL12345[[#This Row],[(A/B + A/S) AJD]]*1000))</f>
        <v>0</v>
      </c>
      <c r="AE134" s="41"/>
      <c r="AF134" s="43"/>
      <c r="AG134" s="43"/>
      <c r="AH134" s="6">
        <f>TABL12345[[#This Row],[ (RESV. STORGE) BER]]/10</f>
        <v>0</v>
      </c>
      <c r="AI134" s="41"/>
      <c r="AJ134" s="43">
        <f>TABL12345[[#This Row],[(A/B TOT) AJD]]-TABL12345[[#This Row],[BER_ IN]]</f>
        <v>0</v>
      </c>
      <c r="AK134" s="43"/>
      <c r="AL134" s="43"/>
      <c r="AM134" s="32"/>
      <c r="AN134" s="32">
        <f>TABL12345[[#This Row],[ (RESV. STORGE) SER]]/10</f>
        <v>0</v>
      </c>
      <c r="AO134" s="68"/>
      <c r="AP134" s="68">
        <f>TABL12345[[#This Row],[(A/S TOT) AJD]]-TABL12345[[#This Row],[SER_ IN]]</f>
        <v>0</v>
      </c>
    </row>
    <row r="135" spans="1:42" ht="18.75" x14ac:dyDescent="0.25">
      <c r="A135" s="2">
        <v>46886</v>
      </c>
      <c r="B135" s="44"/>
      <c r="C135" s="44"/>
      <c r="D135" s="44"/>
      <c r="E135" s="44"/>
      <c r="F135" s="44"/>
      <c r="G135" s="40"/>
      <c r="H135" s="28"/>
      <c r="I135" s="40"/>
      <c r="J135" s="44"/>
      <c r="K135" s="28">
        <f>TABL12345[[#This Row],[خط (T/B  TOT) SAR]]+TABL12345[[#This Row],[خط (S/S  TOT) SAR2]]</f>
        <v>0</v>
      </c>
      <c r="L135" s="45"/>
      <c r="M135" s="46"/>
      <c r="N135" s="46"/>
      <c r="O135" s="40"/>
      <c r="P135" s="3">
        <f>TABL12345[[#This Row],[خط (S/S  TOT) SAR2]]-TABL12345[[#This Row],[(S/S TOT) AJD]]</f>
        <v>0</v>
      </c>
      <c r="Q135" s="40"/>
      <c r="R135" s="3">
        <f>TABL12345[[#This Row],[خط (T/B  TOT) SAR]]-TABL12345[[#This Row],[(T/B TOT) AJD]]</f>
        <v>0</v>
      </c>
      <c r="S135" s="3">
        <f>TABL12345[[#This Row],[الفرق بين بداية ونهاية خط  S/S]]+TABL12345[[#This Row],[الفرق بين بداية ونهاية خط  T/B]]</f>
        <v>0</v>
      </c>
      <c r="T135" s="3">
        <f t="shared" si="8"/>
        <v>0</v>
      </c>
      <c r="U135" s="44"/>
      <c r="V135" s="44"/>
      <c r="W135" s="3">
        <f t="shared" si="9"/>
        <v>0</v>
      </c>
      <c r="X135" s="3">
        <f t="shared" si="10"/>
        <v>0</v>
      </c>
      <c r="Y135" s="44"/>
      <c r="Z135" s="45"/>
      <c r="AA135" s="3">
        <f>TABL12345[[#This Row],[(RESV. STORGE) AJD]]/10</f>
        <v>0</v>
      </c>
      <c r="AB135" s="45">
        <f t="shared" si="11"/>
        <v>0</v>
      </c>
      <c r="AC135" s="5"/>
      <c r="AD135" s="40">
        <f>(TABL12345[[#This Row],[( S/S+T/B) AJD]]*1000)-((TABL12345[[#This Row],[(STORGE DIFF.) AJD]]*1000)+TABL12345[[#This Row],[البخر  AJD]]+(TABL12345[[#This Row],[(A/B + A/S) AJD]]*1000))</f>
        <v>0</v>
      </c>
      <c r="AE135" s="44"/>
      <c r="AF135" s="45"/>
      <c r="AG135" s="45"/>
      <c r="AH135" s="6">
        <f>TABL12345[[#This Row],[ (RESV. STORGE) BER]]/10</f>
        <v>0</v>
      </c>
      <c r="AI135" s="44"/>
      <c r="AJ135" s="45">
        <f>TABL12345[[#This Row],[(A/B TOT) AJD]]-TABL12345[[#This Row],[BER_ IN]]</f>
        <v>0</v>
      </c>
      <c r="AK135" s="45"/>
      <c r="AL135" s="45"/>
      <c r="AM135" s="32"/>
      <c r="AN135" s="32">
        <f>TABL12345[[#This Row],[ (RESV. STORGE) SER]]/10</f>
        <v>0</v>
      </c>
      <c r="AO135" s="68"/>
      <c r="AP135" s="68">
        <f>TABL12345[[#This Row],[(A/S TOT) AJD]]-TABL12345[[#This Row],[SER_ IN]]</f>
        <v>0</v>
      </c>
    </row>
    <row r="136" spans="1:42" ht="18.75" x14ac:dyDescent="0.25">
      <c r="A136" s="2">
        <v>46887</v>
      </c>
      <c r="B136" s="41"/>
      <c r="C136" s="41"/>
      <c r="D136" s="41"/>
      <c r="E136" s="41"/>
      <c r="F136" s="41"/>
      <c r="G136" s="39"/>
      <c r="H136" s="28"/>
      <c r="I136" s="39"/>
      <c r="J136" s="39"/>
      <c r="K136" s="28">
        <f>TABL12345[[#This Row],[خط (T/B  TOT) SAR]]+TABL12345[[#This Row],[خط (S/S  TOT) SAR2]]</f>
        <v>0</v>
      </c>
      <c r="L136" s="41"/>
      <c r="M136" s="42"/>
      <c r="N136" s="42"/>
      <c r="O136" s="39"/>
      <c r="P136" s="3">
        <f>TABL12345[[#This Row],[خط (S/S  TOT) SAR2]]-TABL12345[[#This Row],[(S/S TOT) AJD]]</f>
        <v>0</v>
      </c>
      <c r="Q136" s="39"/>
      <c r="R136" s="3">
        <f>TABL12345[[#This Row],[خط (T/B  TOT) SAR]]-TABL12345[[#This Row],[(T/B TOT) AJD]]</f>
        <v>0</v>
      </c>
      <c r="S136" s="3">
        <f>TABL12345[[#This Row],[الفرق بين بداية ونهاية خط  S/S]]+TABL12345[[#This Row],[الفرق بين بداية ونهاية خط  T/B]]</f>
        <v>0</v>
      </c>
      <c r="T136" s="3">
        <f t="shared" si="8"/>
        <v>0</v>
      </c>
      <c r="U136" s="41"/>
      <c r="V136" s="41"/>
      <c r="W136" s="3">
        <f t="shared" si="9"/>
        <v>0</v>
      </c>
      <c r="X136" s="3">
        <f t="shared" si="10"/>
        <v>0</v>
      </c>
      <c r="Y136" s="41"/>
      <c r="Z136" s="43"/>
      <c r="AA136" s="3">
        <f>TABL12345[[#This Row],[(RESV. STORGE) AJD]]/10</f>
        <v>0</v>
      </c>
      <c r="AB136" s="45">
        <f t="shared" si="11"/>
        <v>0</v>
      </c>
      <c r="AC136" s="5"/>
      <c r="AD136" s="39">
        <f>(TABL12345[[#This Row],[( S/S+T/B) AJD]]*1000)-((TABL12345[[#This Row],[(STORGE DIFF.) AJD]]*1000)+TABL12345[[#This Row],[البخر  AJD]]+(TABL12345[[#This Row],[(A/B + A/S) AJD]]*1000))</f>
        <v>0</v>
      </c>
      <c r="AE136" s="41"/>
      <c r="AF136" s="43"/>
      <c r="AG136" s="43"/>
      <c r="AH136" s="6">
        <f>TABL12345[[#This Row],[ (RESV. STORGE) BER]]/10</f>
        <v>0</v>
      </c>
      <c r="AI136" s="41"/>
      <c r="AJ136" s="43">
        <f>TABL12345[[#This Row],[(A/B TOT) AJD]]-TABL12345[[#This Row],[BER_ IN]]</f>
        <v>0</v>
      </c>
      <c r="AK136" s="43"/>
      <c r="AL136" s="43"/>
      <c r="AM136" s="32"/>
      <c r="AN136" s="32">
        <f>TABL12345[[#This Row],[ (RESV. STORGE) SER]]/10</f>
        <v>0</v>
      </c>
      <c r="AO136" s="68"/>
      <c r="AP136" s="68">
        <f>TABL12345[[#This Row],[(A/S TOT) AJD]]-TABL12345[[#This Row],[SER_ IN]]</f>
        <v>0</v>
      </c>
    </row>
    <row r="137" spans="1:42" ht="18.75" x14ac:dyDescent="0.25">
      <c r="A137" s="2">
        <v>46888</v>
      </c>
      <c r="B137" s="44"/>
      <c r="C137" s="44"/>
      <c r="D137" s="44"/>
      <c r="E137" s="44"/>
      <c r="F137" s="44"/>
      <c r="G137" s="40"/>
      <c r="H137" s="28"/>
      <c r="I137" s="40"/>
      <c r="J137" s="44"/>
      <c r="K137" s="28">
        <f>TABL12345[[#This Row],[خط (T/B  TOT) SAR]]+TABL12345[[#This Row],[خط (S/S  TOT) SAR2]]</f>
        <v>0</v>
      </c>
      <c r="L137" s="45"/>
      <c r="M137" s="46"/>
      <c r="N137" s="46"/>
      <c r="O137" s="40"/>
      <c r="P137" s="3">
        <f>TABL12345[[#This Row],[خط (S/S  TOT) SAR2]]-TABL12345[[#This Row],[(S/S TOT) AJD]]</f>
        <v>0</v>
      </c>
      <c r="Q137" s="40"/>
      <c r="R137" s="3">
        <f>TABL12345[[#This Row],[خط (T/B  TOT) SAR]]-TABL12345[[#This Row],[(T/B TOT) AJD]]</f>
        <v>0</v>
      </c>
      <c r="S137" s="3">
        <f>TABL12345[[#This Row],[الفرق بين بداية ونهاية خط  S/S]]+TABL12345[[#This Row],[الفرق بين بداية ونهاية خط  T/B]]</f>
        <v>0</v>
      </c>
      <c r="T137" s="3">
        <f t="shared" si="8"/>
        <v>0</v>
      </c>
      <c r="U137" s="44"/>
      <c r="V137" s="44"/>
      <c r="W137" s="3">
        <f t="shared" si="9"/>
        <v>0</v>
      </c>
      <c r="X137" s="3">
        <f t="shared" si="10"/>
        <v>0</v>
      </c>
      <c r="Y137" s="44"/>
      <c r="Z137" s="45"/>
      <c r="AA137" s="3">
        <f>TABL12345[[#This Row],[(RESV. STORGE) AJD]]/10</f>
        <v>0</v>
      </c>
      <c r="AB137" s="45">
        <f t="shared" si="11"/>
        <v>0</v>
      </c>
      <c r="AC137" s="5"/>
      <c r="AD137" s="40">
        <f>(TABL12345[[#This Row],[( S/S+T/B) AJD]]*1000)-((TABL12345[[#This Row],[(STORGE DIFF.) AJD]]*1000)+TABL12345[[#This Row],[البخر  AJD]]+(TABL12345[[#This Row],[(A/B + A/S) AJD]]*1000))</f>
        <v>0</v>
      </c>
      <c r="AE137" s="44"/>
      <c r="AF137" s="45"/>
      <c r="AG137" s="45"/>
      <c r="AH137" s="6">
        <f>TABL12345[[#This Row],[ (RESV. STORGE) BER]]/10</f>
        <v>0</v>
      </c>
      <c r="AI137" s="44"/>
      <c r="AJ137" s="45">
        <f>TABL12345[[#This Row],[(A/B TOT) AJD]]-TABL12345[[#This Row],[BER_ IN]]</f>
        <v>0</v>
      </c>
      <c r="AK137" s="45"/>
      <c r="AL137" s="45"/>
      <c r="AM137" s="32"/>
      <c r="AN137" s="32">
        <f>TABL12345[[#This Row],[ (RESV. STORGE) SER]]/10</f>
        <v>0</v>
      </c>
      <c r="AO137" s="68"/>
      <c r="AP137" s="68">
        <f>TABL12345[[#This Row],[(A/S TOT) AJD]]-TABL12345[[#This Row],[SER_ IN]]</f>
        <v>0</v>
      </c>
    </row>
    <row r="138" spans="1:42" ht="18.75" x14ac:dyDescent="0.25">
      <c r="A138" s="2">
        <v>46889</v>
      </c>
      <c r="B138" s="41"/>
      <c r="C138" s="41"/>
      <c r="D138" s="41"/>
      <c r="E138" s="41"/>
      <c r="F138" s="41"/>
      <c r="G138" s="39"/>
      <c r="H138" s="28"/>
      <c r="I138" s="39"/>
      <c r="J138" s="39"/>
      <c r="K138" s="28">
        <f>TABL12345[[#This Row],[خط (T/B  TOT) SAR]]+TABL12345[[#This Row],[خط (S/S  TOT) SAR2]]</f>
        <v>0</v>
      </c>
      <c r="L138" s="41"/>
      <c r="M138" s="42"/>
      <c r="N138" s="42"/>
      <c r="O138" s="39"/>
      <c r="P138" s="3">
        <f>TABL12345[[#This Row],[خط (S/S  TOT) SAR2]]-TABL12345[[#This Row],[(S/S TOT) AJD]]</f>
        <v>0</v>
      </c>
      <c r="Q138" s="39"/>
      <c r="R138" s="3">
        <f>TABL12345[[#This Row],[خط (T/B  TOT) SAR]]-TABL12345[[#This Row],[(T/B TOT) AJD]]</f>
        <v>0</v>
      </c>
      <c r="S138" s="3">
        <f>TABL12345[[#This Row],[الفرق بين بداية ونهاية خط  S/S]]+TABL12345[[#This Row],[الفرق بين بداية ونهاية خط  T/B]]</f>
        <v>0</v>
      </c>
      <c r="T138" s="3">
        <f t="shared" si="8"/>
        <v>0</v>
      </c>
      <c r="U138" s="41"/>
      <c r="V138" s="41"/>
      <c r="W138" s="3">
        <f t="shared" si="9"/>
        <v>0</v>
      </c>
      <c r="X138" s="3">
        <f t="shared" si="10"/>
        <v>0</v>
      </c>
      <c r="Y138" s="41"/>
      <c r="Z138" s="43"/>
      <c r="AA138" s="3">
        <f>TABL12345[[#This Row],[(RESV. STORGE) AJD]]/10</f>
        <v>0</v>
      </c>
      <c r="AB138" s="45">
        <f t="shared" si="11"/>
        <v>0</v>
      </c>
      <c r="AC138" s="5"/>
      <c r="AD138" s="39">
        <f>(TABL12345[[#This Row],[( S/S+T/B) AJD]]*1000)-((TABL12345[[#This Row],[(STORGE DIFF.) AJD]]*1000)+TABL12345[[#This Row],[البخر  AJD]]+(TABL12345[[#This Row],[(A/B + A/S) AJD]]*1000))</f>
        <v>0</v>
      </c>
      <c r="AE138" s="41"/>
      <c r="AF138" s="43"/>
      <c r="AG138" s="43"/>
      <c r="AH138" s="6">
        <f>TABL12345[[#This Row],[ (RESV. STORGE) BER]]/10</f>
        <v>0</v>
      </c>
      <c r="AI138" s="41"/>
      <c r="AJ138" s="43">
        <f>TABL12345[[#This Row],[(A/B TOT) AJD]]-TABL12345[[#This Row],[BER_ IN]]</f>
        <v>0</v>
      </c>
      <c r="AK138" s="43"/>
      <c r="AL138" s="43"/>
      <c r="AM138" s="32"/>
      <c r="AN138" s="32">
        <f>TABL12345[[#This Row],[ (RESV. STORGE) SER]]/10</f>
        <v>0</v>
      </c>
      <c r="AO138" s="68"/>
      <c r="AP138" s="68">
        <f>TABL12345[[#This Row],[(A/S TOT) AJD]]-TABL12345[[#This Row],[SER_ IN]]</f>
        <v>0</v>
      </c>
    </row>
    <row r="139" spans="1:42" ht="18.75" x14ac:dyDescent="0.25">
      <c r="A139" s="2">
        <v>46890</v>
      </c>
      <c r="B139" s="44"/>
      <c r="C139" s="44"/>
      <c r="D139" s="44"/>
      <c r="E139" s="44"/>
      <c r="F139" s="44"/>
      <c r="G139" s="40"/>
      <c r="H139" s="28"/>
      <c r="I139" s="40"/>
      <c r="J139" s="44"/>
      <c r="K139" s="28">
        <f>TABL12345[[#This Row],[خط (T/B  TOT) SAR]]+TABL12345[[#This Row],[خط (S/S  TOT) SAR2]]</f>
        <v>0</v>
      </c>
      <c r="L139" s="45"/>
      <c r="M139" s="46"/>
      <c r="N139" s="46"/>
      <c r="O139" s="40"/>
      <c r="P139" s="3">
        <f>TABL12345[[#This Row],[خط (S/S  TOT) SAR2]]-TABL12345[[#This Row],[(S/S TOT) AJD]]</f>
        <v>0</v>
      </c>
      <c r="Q139" s="40"/>
      <c r="R139" s="3">
        <f>TABL12345[[#This Row],[خط (T/B  TOT) SAR]]-TABL12345[[#This Row],[(T/B TOT) AJD]]</f>
        <v>0</v>
      </c>
      <c r="S139" s="3">
        <f>TABL12345[[#This Row],[الفرق بين بداية ونهاية خط  S/S]]+TABL12345[[#This Row],[الفرق بين بداية ونهاية خط  T/B]]</f>
        <v>0</v>
      </c>
      <c r="T139" s="3">
        <f t="shared" si="8"/>
        <v>0</v>
      </c>
      <c r="U139" s="44"/>
      <c r="V139" s="44"/>
      <c r="W139" s="3">
        <f t="shared" si="9"/>
        <v>0</v>
      </c>
      <c r="X139" s="3">
        <f t="shared" si="10"/>
        <v>0</v>
      </c>
      <c r="Y139" s="44"/>
      <c r="Z139" s="45"/>
      <c r="AA139" s="3">
        <f>TABL12345[[#This Row],[(RESV. STORGE) AJD]]/10</f>
        <v>0</v>
      </c>
      <c r="AB139" s="45">
        <f t="shared" si="11"/>
        <v>0</v>
      </c>
      <c r="AC139" s="5"/>
      <c r="AD139" s="40">
        <f>(TABL12345[[#This Row],[( S/S+T/B) AJD]]*1000)-((TABL12345[[#This Row],[(STORGE DIFF.) AJD]]*1000)+TABL12345[[#This Row],[البخر  AJD]]+(TABL12345[[#This Row],[(A/B + A/S) AJD]]*1000))</f>
        <v>0</v>
      </c>
      <c r="AE139" s="44"/>
      <c r="AF139" s="45"/>
      <c r="AG139" s="45"/>
      <c r="AH139" s="6">
        <f>TABL12345[[#This Row],[ (RESV. STORGE) BER]]/10</f>
        <v>0</v>
      </c>
      <c r="AI139" s="44"/>
      <c r="AJ139" s="45">
        <f>TABL12345[[#This Row],[(A/B TOT) AJD]]-TABL12345[[#This Row],[BER_ IN]]</f>
        <v>0</v>
      </c>
      <c r="AK139" s="45"/>
      <c r="AL139" s="45"/>
      <c r="AM139" s="32"/>
      <c r="AN139" s="32">
        <f>TABL12345[[#This Row],[ (RESV. STORGE) SER]]/10</f>
        <v>0</v>
      </c>
      <c r="AO139" s="68"/>
      <c r="AP139" s="68">
        <f>TABL12345[[#This Row],[(A/S TOT) AJD]]-TABL12345[[#This Row],[SER_ IN]]</f>
        <v>0</v>
      </c>
    </row>
    <row r="140" spans="1:42" ht="18.75" x14ac:dyDescent="0.25">
      <c r="A140" s="2">
        <v>46891</v>
      </c>
      <c r="B140" s="41"/>
      <c r="C140" s="41"/>
      <c r="D140" s="41"/>
      <c r="E140" s="41"/>
      <c r="F140" s="41"/>
      <c r="G140" s="39"/>
      <c r="H140" s="28"/>
      <c r="I140" s="39"/>
      <c r="J140" s="39"/>
      <c r="K140" s="28">
        <f>TABL12345[[#This Row],[خط (T/B  TOT) SAR]]+TABL12345[[#This Row],[خط (S/S  TOT) SAR2]]</f>
        <v>0</v>
      </c>
      <c r="L140" s="41"/>
      <c r="M140" s="42"/>
      <c r="N140" s="42"/>
      <c r="O140" s="39"/>
      <c r="P140" s="3">
        <f>TABL12345[[#This Row],[خط (S/S  TOT) SAR2]]-TABL12345[[#This Row],[(S/S TOT) AJD]]</f>
        <v>0</v>
      </c>
      <c r="Q140" s="39"/>
      <c r="R140" s="3">
        <f>TABL12345[[#This Row],[خط (T/B  TOT) SAR]]-TABL12345[[#This Row],[(T/B TOT) AJD]]</f>
        <v>0</v>
      </c>
      <c r="S140" s="3">
        <f>TABL12345[[#This Row],[الفرق بين بداية ونهاية خط  S/S]]+TABL12345[[#This Row],[الفرق بين بداية ونهاية خط  T/B]]</f>
        <v>0</v>
      </c>
      <c r="T140" s="3">
        <f t="shared" si="8"/>
        <v>0</v>
      </c>
      <c r="U140" s="41"/>
      <c r="V140" s="41"/>
      <c r="W140" s="3">
        <f t="shared" si="9"/>
        <v>0</v>
      </c>
      <c r="X140" s="3">
        <f t="shared" si="10"/>
        <v>0</v>
      </c>
      <c r="Y140" s="41"/>
      <c r="Z140" s="43"/>
      <c r="AA140" s="3">
        <f>TABL12345[[#This Row],[(RESV. STORGE) AJD]]/10</f>
        <v>0</v>
      </c>
      <c r="AB140" s="45">
        <f t="shared" si="11"/>
        <v>0</v>
      </c>
      <c r="AC140" s="5"/>
      <c r="AD140" s="39">
        <f>(TABL12345[[#This Row],[( S/S+T/B) AJD]]*1000)-((TABL12345[[#This Row],[(STORGE DIFF.) AJD]]*1000)+TABL12345[[#This Row],[البخر  AJD]]+(TABL12345[[#This Row],[(A/B + A/S) AJD]]*1000))</f>
        <v>0</v>
      </c>
      <c r="AE140" s="41"/>
      <c r="AF140" s="43"/>
      <c r="AG140" s="43"/>
      <c r="AH140" s="6">
        <f>TABL12345[[#This Row],[ (RESV. STORGE) BER]]/10</f>
        <v>0</v>
      </c>
      <c r="AI140" s="41"/>
      <c r="AJ140" s="43">
        <f>TABL12345[[#This Row],[(A/B TOT) AJD]]-TABL12345[[#This Row],[BER_ IN]]</f>
        <v>0</v>
      </c>
      <c r="AK140" s="43"/>
      <c r="AL140" s="43"/>
      <c r="AM140" s="32"/>
      <c r="AN140" s="32">
        <f>TABL12345[[#This Row],[ (RESV. STORGE) SER]]/10</f>
        <v>0</v>
      </c>
      <c r="AO140" s="68"/>
      <c r="AP140" s="68">
        <f>TABL12345[[#This Row],[(A/S TOT) AJD]]-TABL12345[[#This Row],[SER_ IN]]</f>
        <v>0</v>
      </c>
    </row>
    <row r="141" spans="1:42" ht="18.75" x14ac:dyDescent="0.25">
      <c r="A141" s="2">
        <v>46892</v>
      </c>
      <c r="B141" s="44"/>
      <c r="C141" s="44"/>
      <c r="D141" s="44"/>
      <c r="E141" s="44"/>
      <c r="F141" s="44"/>
      <c r="G141" s="40"/>
      <c r="H141" s="28"/>
      <c r="I141" s="40"/>
      <c r="J141" s="44"/>
      <c r="K141" s="28">
        <f>TABL12345[[#This Row],[خط (T/B  TOT) SAR]]+TABL12345[[#This Row],[خط (S/S  TOT) SAR2]]</f>
        <v>0</v>
      </c>
      <c r="L141" s="45"/>
      <c r="M141" s="46"/>
      <c r="N141" s="46"/>
      <c r="O141" s="40"/>
      <c r="P141" s="3">
        <f>TABL12345[[#This Row],[خط (S/S  TOT) SAR2]]-TABL12345[[#This Row],[(S/S TOT) AJD]]</f>
        <v>0</v>
      </c>
      <c r="Q141" s="40"/>
      <c r="R141" s="3">
        <f>TABL12345[[#This Row],[خط (T/B  TOT) SAR]]-TABL12345[[#This Row],[(T/B TOT) AJD]]</f>
        <v>0</v>
      </c>
      <c r="S141" s="3">
        <f>TABL12345[[#This Row],[الفرق بين بداية ونهاية خط  S/S]]+TABL12345[[#This Row],[الفرق بين بداية ونهاية خط  T/B]]</f>
        <v>0</v>
      </c>
      <c r="T141" s="3">
        <f t="shared" si="8"/>
        <v>0</v>
      </c>
      <c r="U141" s="44"/>
      <c r="V141" s="44"/>
      <c r="W141" s="3">
        <f t="shared" si="9"/>
        <v>0</v>
      </c>
      <c r="X141" s="3">
        <f t="shared" si="10"/>
        <v>0</v>
      </c>
      <c r="Y141" s="44"/>
      <c r="Z141" s="45"/>
      <c r="AA141" s="3">
        <f>TABL12345[[#This Row],[(RESV. STORGE) AJD]]/10</f>
        <v>0</v>
      </c>
      <c r="AB141" s="45">
        <f t="shared" si="11"/>
        <v>0</v>
      </c>
      <c r="AC141" s="5"/>
      <c r="AD141" s="40">
        <f>(TABL12345[[#This Row],[( S/S+T/B) AJD]]*1000)-((TABL12345[[#This Row],[(STORGE DIFF.) AJD]]*1000)+TABL12345[[#This Row],[البخر  AJD]]+(TABL12345[[#This Row],[(A/B + A/S) AJD]]*1000))</f>
        <v>0</v>
      </c>
      <c r="AE141" s="44"/>
      <c r="AF141" s="45"/>
      <c r="AG141" s="45"/>
      <c r="AH141" s="6">
        <f>TABL12345[[#This Row],[ (RESV. STORGE) BER]]/10</f>
        <v>0</v>
      </c>
      <c r="AI141" s="44"/>
      <c r="AJ141" s="45">
        <f>TABL12345[[#This Row],[(A/B TOT) AJD]]-TABL12345[[#This Row],[BER_ IN]]</f>
        <v>0</v>
      </c>
      <c r="AK141" s="45"/>
      <c r="AL141" s="45"/>
      <c r="AM141" s="32"/>
      <c r="AN141" s="32">
        <f>TABL12345[[#This Row],[ (RESV. STORGE) SER]]/10</f>
        <v>0</v>
      </c>
      <c r="AO141" s="68"/>
      <c r="AP141" s="68">
        <f>TABL12345[[#This Row],[(A/S TOT) AJD]]-TABL12345[[#This Row],[SER_ IN]]</f>
        <v>0</v>
      </c>
    </row>
    <row r="142" spans="1:42" ht="18.75" x14ac:dyDescent="0.25">
      <c r="A142" s="2">
        <v>46893</v>
      </c>
      <c r="B142" s="41"/>
      <c r="C142" s="41"/>
      <c r="D142" s="41"/>
      <c r="E142" s="41"/>
      <c r="F142" s="41"/>
      <c r="G142" s="39"/>
      <c r="H142" s="28"/>
      <c r="I142" s="39"/>
      <c r="J142" s="39"/>
      <c r="K142" s="28">
        <f>TABL12345[[#This Row],[خط (T/B  TOT) SAR]]+TABL12345[[#This Row],[خط (S/S  TOT) SAR2]]</f>
        <v>0</v>
      </c>
      <c r="L142" s="41"/>
      <c r="M142" s="42"/>
      <c r="N142" s="42"/>
      <c r="O142" s="39"/>
      <c r="P142" s="3">
        <f>TABL12345[[#This Row],[خط (S/S  TOT) SAR2]]-TABL12345[[#This Row],[(S/S TOT) AJD]]</f>
        <v>0</v>
      </c>
      <c r="Q142" s="39"/>
      <c r="R142" s="3">
        <f>TABL12345[[#This Row],[خط (T/B  TOT) SAR]]-TABL12345[[#This Row],[(T/B TOT) AJD]]</f>
        <v>0</v>
      </c>
      <c r="S142" s="3">
        <f>TABL12345[[#This Row],[الفرق بين بداية ونهاية خط  S/S]]+TABL12345[[#This Row],[الفرق بين بداية ونهاية خط  T/B]]</f>
        <v>0</v>
      </c>
      <c r="T142" s="3">
        <f t="shared" si="8"/>
        <v>0</v>
      </c>
      <c r="U142" s="41"/>
      <c r="V142" s="41"/>
      <c r="W142" s="3">
        <f t="shared" si="9"/>
        <v>0</v>
      </c>
      <c r="X142" s="3">
        <f t="shared" si="10"/>
        <v>0</v>
      </c>
      <c r="Y142" s="41"/>
      <c r="Z142" s="43"/>
      <c r="AA142" s="3">
        <f>TABL12345[[#This Row],[(RESV. STORGE) AJD]]/10</f>
        <v>0</v>
      </c>
      <c r="AB142" s="45">
        <f t="shared" si="11"/>
        <v>0</v>
      </c>
      <c r="AC142" s="5"/>
      <c r="AD142" s="39">
        <f>(TABL12345[[#This Row],[( S/S+T/B) AJD]]*1000)-((TABL12345[[#This Row],[(STORGE DIFF.) AJD]]*1000)+TABL12345[[#This Row],[البخر  AJD]]+(TABL12345[[#This Row],[(A/B + A/S) AJD]]*1000))</f>
        <v>0</v>
      </c>
      <c r="AE142" s="41"/>
      <c r="AF142" s="43"/>
      <c r="AG142" s="43"/>
      <c r="AH142" s="6">
        <f>TABL12345[[#This Row],[ (RESV. STORGE) BER]]/10</f>
        <v>0</v>
      </c>
      <c r="AI142" s="41"/>
      <c r="AJ142" s="43">
        <f>TABL12345[[#This Row],[(A/B TOT) AJD]]-TABL12345[[#This Row],[BER_ IN]]</f>
        <v>0</v>
      </c>
      <c r="AK142" s="43"/>
      <c r="AL142" s="43"/>
      <c r="AM142" s="32"/>
      <c r="AN142" s="32">
        <f>TABL12345[[#This Row],[ (RESV. STORGE) SER]]/10</f>
        <v>0</v>
      </c>
      <c r="AO142" s="68"/>
      <c r="AP142" s="68">
        <f>TABL12345[[#This Row],[(A/S TOT) AJD]]-TABL12345[[#This Row],[SER_ IN]]</f>
        <v>0</v>
      </c>
    </row>
    <row r="143" spans="1:42" ht="18.75" x14ac:dyDescent="0.25">
      <c r="A143" s="2">
        <v>46894</v>
      </c>
      <c r="B143" s="44"/>
      <c r="C143" s="44"/>
      <c r="D143" s="44"/>
      <c r="E143" s="44"/>
      <c r="F143" s="44"/>
      <c r="G143" s="40"/>
      <c r="H143" s="28"/>
      <c r="I143" s="40"/>
      <c r="J143" s="44"/>
      <c r="K143" s="28">
        <f>TABL12345[[#This Row],[خط (T/B  TOT) SAR]]+TABL12345[[#This Row],[خط (S/S  TOT) SAR2]]</f>
        <v>0</v>
      </c>
      <c r="L143" s="45"/>
      <c r="M143" s="46"/>
      <c r="N143" s="46"/>
      <c r="O143" s="40"/>
      <c r="P143" s="3">
        <f>TABL12345[[#This Row],[خط (S/S  TOT) SAR2]]-TABL12345[[#This Row],[(S/S TOT) AJD]]</f>
        <v>0</v>
      </c>
      <c r="Q143" s="40"/>
      <c r="R143" s="3">
        <f>TABL12345[[#This Row],[خط (T/B  TOT) SAR]]-TABL12345[[#This Row],[(T/B TOT) AJD]]</f>
        <v>0</v>
      </c>
      <c r="S143" s="3">
        <f>TABL12345[[#This Row],[الفرق بين بداية ونهاية خط  S/S]]+TABL12345[[#This Row],[الفرق بين بداية ونهاية خط  T/B]]</f>
        <v>0</v>
      </c>
      <c r="T143" s="3">
        <f t="shared" si="8"/>
        <v>0</v>
      </c>
      <c r="U143" s="44"/>
      <c r="V143" s="44"/>
      <c r="W143" s="3">
        <f t="shared" si="9"/>
        <v>0</v>
      </c>
      <c r="X143" s="3">
        <f t="shared" si="10"/>
        <v>0</v>
      </c>
      <c r="Y143" s="44"/>
      <c r="Z143" s="45"/>
      <c r="AA143" s="3">
        <f>TABL12345[[#This Row],[(RESV. STORGE) AJD]]/10</f>
        <v>0</v>
      </c>
      <c r="AB143" s="45">
        <f t="shared" si="11"/>
        <v>0</v>
      </c>
      <c r="AC143" s="5"/>
      <c r="AD143" s="40">
        <f>(TABL12345[[#This Row],[( S/S+T/B) AJD]]*1000)-((TABL12345[[#This Row],[(STORGE DIFF.) AJD]]*1000)+TABL12345[[#This Row],[البخر  AJD]]+(TABL12345[[#This Row],[(A/B + A/S) AJD]]*1000))</f>
        <v>0</v>
      </c>
      <c r="AE143" s="44"/>
      <c r="AF143" s="45"/>
      <c r="AG143" s="45"/>
      <c r="AH143" s="6">
        <f>TABL12345[[#This Row],[ (RESV. STORGE) BER]]/10</f>
        <v>0</v>
      </c>
      <c r="AI143" s="44"/>
      <c r="AJ143" s="45">
        <f>TABL12345[[#This Row],[(A/B TOT) AJD]]-TABL12345[[#This Row],[BER_ IN]]</f>
        <v>0</v>
      </c>
      <c r="AK143" s="45"/>
      <c r="AL143" s="45"/>
      <c r="AM143" s="32"/>
      <c r="AN143" s="32">
        <f>TABL12345[[#This Row],[ (RESV. STORGE) SER]]/10</f>
        <v>0</v>
      </c>
      <c r="AO143" s="68"/>
      <c r="AP143" s="68">
        <f>TABL12345[[#This Row],[(A/S TOT) AJD]]-TABL12345[[#This Row],[SER_ IN]]</f>
        <v>0</v>
      </c>
    </row>
    <row r="144" spans="1:42" ht="18.75" x14ac:dyDescent="0.25">
      <c r="A144" s="2">
        <v>46895</v>
      </c>
      <c r="B144" s="41"/>
      <c r="C144" s="41"/>
      <c r="D144" s="41"/>
      <c r="E144" s="41"/>
      <c r="F144" s="41"/>
      <c r="G144" s="39"/>
      <c r="H144" s="28"/>
      <c r="I144" s="39"/>
      <c r="J144" s="39"/>
      <c r="K144" s="28">
        <f>TABL12345[[#This Row],[خط (T/B  TOT) SAR]]+TABL12345[[#This Row],[خط (S/S  TOT) SAR2]]</f>
        <v>0</v>
      </c>
      <c r="L144" s="41"/>
      <c r="M144" s="42"/>
      <c r="N144" s="42"/>
      <c r="O144" s="39"/>
      <c r="P144" s="3">
        <f>TABL12345[[#This Row],[خط (S/S  TOT) SAR2]]-TABL12345[[#This Row],[(S/S TOT) AJD]]</f>
        <v>0</v>
      </c>
      <c r="Q144" s="39"/>
      <c r="R144" s="3">
        <f>TABL12345[[#This Row],[خط (T/B  TOT) SAR]]-TABL12345[[#This Row],[(T/B TOT) AJD]]</f>
        <v>0</v>
      </c>
      <c r="S144" s="3">
        <f>TABL12345[[#This Row],[الفرق بين بداية ونهاية خط  S/S]]+TABL12345[[#This Row],[الفرق بين بداية ونهاية خط  T/B]]</f>
        <v>0</v>
      </c>
      <c r="T144" s="3">
        <f t="shared" si="8"/>
        <v>0</v>
      </c>
      <c r="U144" s="41"/>
      <c r="V144" s="41"/>
      <c r="W144" s="3">
        <f t="shared" si="9"/>
        <v>0</v>
      </c>
      <c r="X144" s="3">
        <f t="shared" si="10"/>
        <v>0</v>
      </c>
      <c r="Y144" s="41"/>
      <c r="Z144" s="43"/>
      <c r="AA144" s="3">
        <f>TABL12345[[#This Row],[(RESV. STORGE) AJD]]/10</f>
        <v>0</v>
      </c>
      <c r="AB144" s="45">
        <f t="shared" si="11"/>
        <v>0</v>
      </c>
      <c r="AC144" s="5"/>
      <c r="AD144" s="39">
        <f>(TABL12345[[#This Row],[( S/S+T/B) AJD]]*1000)-((TABL12345[[#This Row],[(STORGE DIFF.) AJD]]*1000)+TABL12345[[#This Row],[البخر  AJD]]+(TABL12345[[#This Row],[(A/B + A/S) AJD]]*1000))</f>
        <v>0</v>
      </c>
      <c r="AE144" s="41"/>
      <c r="AF144" s="43"/>
      <c r="AG144" s="43"/>
      <c r="AH144" s="6">
        <f>TABL12345[[#This Row],[ (RESV. STORGE) BER]]/10</f>
        <v>0</v>
      </c>
      <c r="AI144" s="41"/>
      <c r="AJ144" s="43">
        <f>TABL12345[[#This Row],[(A/B TOT) AJD]]-TABL12345[[#This Row],[BER_ IN]]</f>
        <v>0</v>
      </c>
      <c r="AK144" s="43"/>
      <c r="AL144" s="43"/>
      <c r="AM144" s="32"/>
      <c r="AN144" s="32">
        <f>TABL12345[[#This Row],[ (RESV. STORGE) SER]]/10</f>
        <v>0</v>
      </c>
      <c r="AO144" s="68"/>
      <c r="AP144" s="68">
        <f>TABL12345[[#This Row],[(A/S TOT) AJD]]-TABL12345[[#This Row],[SER_ IN]]</f>
        <v>0</v>
      </c>
    </row>
    <row r="145" spans="1:42" ht="18.75" x14ac:dyDescent="0.25">
      <c r="A145" s="2">
        <v>46896</v>
      </c>
      <c r="B145" s="44"/>
      <c r="C145" s="44"/>
      <c r="D145" s="44"/>
      <c r="E145" s="44"/>
      <c r="F145" s="44"/>
      <c r="G145" s="40"/>
      <c r="H145" s="28"/>
      <c r="I145" s="40"/>
      <c r="J145" s="44"/>
      <c r="K145" s="28">
        <f>TABL12345[[#This Row],[خط (T/B  TOT) SAR]]+TABL12345[[#This Row],[خط (S/S  TOT) SAR2]]</f>
        <v>0</v>
      </c>
      <c r="L145" s="45"/>
      <c r="M145" s="46"/>
      <c r="N145" s="46"/>
      <c r="O145" s="40"/>
      <c r="P145" s="3">
        <f>TABL12345[[#This Row],[خط (S/S  TOT) SAR2]]-TABL12345[[#This Row],[(S/S TOT) AJD]]</f>
        <v>0</v>
      </c>
      <c r="Q145" s="40"/>
      <c r="R145" s="3">
        <f>TABL12345[[#This Row],[خط (T/B  TOT) SAR]]-TABL12345[[#This Row],[(T/B TOT) AJD]]</f>
        <v>0</v>
      </c>
      <c r="S145" s="3">
        <f>TABL12345[[#This Row],[الفرق بين بداية ونهاية خط  S/S]]+TABL12345[[#This Row],[الفرق بين بداية ونهاية خط  T/B]]</f>
        <v>0</v>
      </c>
      <c r="T145" s="3">
        <f t="shared" si="8"/>
        <v>0</v>
      </c>
      <c r="U145" s="44"/>
      <c r="V145" s="44"/>
      <c r="W145" s="3">
        <f t="shared" si="9"/>
        <v>0</v>
      </c>
      <c r="X145" s="3">
        <f t="shared" si="10"/>
        <v>0</v>
      </c>
      <c r="Y145" s="44"/>
      <c r="Z145" s="45"/>
      <c r="AA145" s="3">
        <f>TABL12345[[#This Row],[(RESV. STORGE) AJD]]/10</f>
        <v>0</v>
      </c>
      <c r="AB145" s="45">
        <f t="shared" si="11"/>
        <v>0</v>
      </c>
      <c r="AC145" s="5"/>
      <c r="AD145" s="40">
        <f>(TABL12345[[#This Row],[( S/S+T/B) AJD]]*1000)-((TABL12345[[#This Row],[(STORGE DIFF.) AJD]]*1000)+TABL12345[[#This Row],[البخر  AJD]]+(TABL12345[[#This Row],[(A/B + A/S) AJD]]*1000))</f>
        <v>0</v>
      </c>
      <c r="AE145" s="44"/>
      <c r="AF145" s="45"/>
      <c r="AG145" s="45"/>
      <c r="AH145" s="6">
        <f>TABL12345[[#This Row],[ (RESV. STORGE) BER]]/10</f>
        <v>0</v>
      </c>
      <c r="AI145" s="44"/>
      <c r="AJ145" s="45">
        <f>TABL12345[[#This Row],[(A/B TOT) AJD]]-TABL12345[[#This Row],[BER_ IN]]</f>
        <v>0</v>
      </c>
      <c r="AK145" s="45"/>
      <c r="AL145" s="45"/>
      <c r="AM145" s="32"/>
      <c r="AN145" s="32">
        <f>TABL12345[[#This Row],[ (RESV. STORGE) SER]]/10</f>
        <v>0</v>
      </c>
      <c r="AO145" s="68"/>
      <c r="AP145" s="68">
        <f>TABL12345[[#This Row],[(A/S TOT) AJD]]-TABL12345[[#This Row],[SER_ IN]]</f>
        <v>0</v>
      </c>
    </row>
    <row r="146" spans="1:42" ht="18.75" x14ac:dyDescent="0.25">
      <c r="A146" s="2">
        <v>46897</v>
      </c>
      <c r="B146" s="41"/>
      <c r="C146" s="41"/>
      <c r="D146" s="41"/>
      <c r="E146" s="41"/>
      <c r="F146" s="41"/>
      <c r="G146" s="39"/>
      <c r="H146" s="28"/>
      <c r="I146" s="39"/>
      <c r="J146" s="39"/>
      <c r="K146" s="28">
        <f>TABL12345[[#This Row],[خط (T/B  TOT) SAR]]+TABL12345[[#This Row],[خط (S/S  TOT) SAR2]]</f>
        <v>0</v>
      </c>
      <c r="L146" s="41"/>
      <c r="M146" s="42"/>
      <c r="N146" s="42"/>
      <c r="O146" s="39"/>
      <c r="P146" s="3">
        <f>TABL12345[[#This Row],[خط (S/S  TOT) SAR2]]-TABL12345[[#This Row],[(S/S TOT) AJD]]</f>
        <v>0</v>
      </c>
      <c r="Q146" s="39"/>
      <c r="R146" s="3">
        <f>TABL12345[[#This Row],[خط (T/B  TOT) SAR]]-TABL12345[[#This Row],[(T/B TOT) AJD]]</f>
        <v>0</v>
      </c>
      <c r="S146" s="3">
        <f>TABL12345[[#This Row],[الفرق بين بداية ونهاية خط  S/S]]+TABL12345[[#This Row],[الفرق بين بداية ونهاية خط  T/B]]</f>
        <v>0</v>
      </c>
      <c r="T146" s="3">
        <f t="shared" si="8"/>
        <v>0</v>
      </c>
      <c r="U146" s="41"/>
      <c r="V146" s="41"/>
      <c r="W146" s="3">
        <f t="shared" si="9"/>
        <v>0</v>
      </c>
      <c r="X146" s="3">
        <f t="shared" si="10"/>
        <v>0</v>
      </c>
      <c r="Y146" s="41"/>
      <c r="Z146" s="43"/>
      <c r="AA146" s="3">
        <f>TABL12345[[#This Row],[(RESV. STORGE) AJD]]/10</f>
        <v>0</v>
      </c>
      <c r="AB146" s="45">
        <f t="shared" si="11"/>
        <v>0</v>
      </c>
      <c r="AC146" s="5"/>
      <c r="AD146" s="39">
        <f>(TABL12345[[#This Row],[( S/S+T/B) AJD]]*1000)-((TABL12345[[#This Row],[(STORGE DIFF.) AJD]]*1000)+TABL12345[[#This Row],[البخر  AJD]]+(TABL12345[[#This Row],[(A/B + A/S) AJD]]*1000))</f>
        <v>0</v>
      </c>
      <c r="AE146" s="41"/>
      <c r="AF146" s="43"/>
      <c r="AG146" s="43"/>
      <c r="AH146" s="6">
        <f>TABL12345[[#This Row],[ (RESV. STORGE) BER]]/10</f>
        <v>0</v>
      </c>
      <c r="AI146" s="41"/>
      <c r="AJ146" s="43">
        <f>TABL12345[[#This Row],[(A/B TOT) AJD]]-TABL12345[[#This Row],[BER_ IN]]</f>
        <v>0</v>
      </c>
      <c r="AK146" s="43"/>
      <c r="AL146" s="43"/>
      <c r="AM146" s="32"/>
      <c r="AN146" s="32">
        <f>TABL12345[[#This Row],[ (RESV. STORGE) SER]]/10</f>
        <v>0</v>
      </c>
      <c r="AO146" s="68"/>
      <c r="AP146" s="68">
        <f>TABL12345[[#This Row],[(A/S TOT) AJD]]-TABL12345[[#This Row],[SER_ IN]]</f>
        <v>0</v>
      </c>
    </row>
    <row r="147" spans="1:42" ht="18.75" x14ac:dyDescent="0.25">
      <c r="A147" s="2">
        <v>46898</v>
      </c>
      <c r="B147" s="44"/>
      <c r="C147" s="44"/>
      <c r="D147" s="44"/>
      <c r="E147" s="44"/>
      <c r="F147" s="44"/>
      <c r="G147" s="40"/>
      <c r="H147" s="28"/>
      <c r="I147" s="40"/>
      <c r="J147" s="44"/>
      <c r="K147" s="28">
        <f>TABL12345[[#This Row],[خط (T/B  TOT) SAR]]+TABL12345[[#This Row],[خط (S/S  TOT) SAR2]]</f>
        <v>0</v>
      </c>
      <c r="L147" s="45"/>
      <c r="M147" s="46"/>
      <c r="N147" s="46"/>
      <c r="O147" s="40"/>
      <c r="P147" s="3">
        <f>TABL12345[[#This Row],[خط (S/S  TOT) SAR2]]-TABL12345[[#This Row],[(S/S TOT) AJD]]</f>
        <v>0</v>
      </c>
      <c r="Q147" s="40"/>
      <c r="R147" s="3">
        <f>TABL12345[[#This Row],[خط (T/B  TOT) SAR]]-TABL12345[[#This Row],[(T/B TOT) AJD]]</f>
        <v>0</v>
      </c>
      <c r="S147" s="3">
        <f>TABL12345[[#This Row],[الفرق بين بداية ونهاية خط  S/S]]+TABL12345[[#This Row],[الفرق بين بداية ونهاية خط  T/B]]</f>
        <v>0</v>
      </c>
      <c r="T147" s="3">
        <f t="shared" si="8"/>
        <v>0</v>
      </c>
      <c r="U147" s="44"/>
      <c r="V147" s="44"/>
      <c r="W147" s="3">
        <f t="shared" si="9"/>
        <v>0</v>
      </c>
      <c r="X147" s="3">
        <f t="shared" si="10"/>
        <v>0</v>
      </c>
      <c r="Y147" s="44"/>
      <c r="Z147" s="45"/>
      <c r="AA147" s="3">
        <f>TABL12345[[#This Row],[(RESV. STORGE) AJD]]/10</f>
        <v>0</v>
      </c>
      <c r="AB147" s="45">
        <f t="shared" si="11"/>
        <v>0</v>
      </c>
      <c r="AC147" s="5"/>
      <c r="AD147" s="40">
        <f>(TABL12345[[#This Row],[( S/S+T/B) AJD]]*1000)-((TABL12345[[#This Row],[(STORGE DIFF.) AJD]]*1000)+TABL12345[[#This Row],[البخر  AJD]]+(TABL12345[[#This Row],[(A/B + A/S) AJD]]*1000))</f>
        <v>0</v>
      </c>
      <c r="AE147" s="44"/>
      <c r="AF147" s="45"/>
      <c r="AG147" s="45"/>
      <c r="AH147" s="6">
        <f>TABL12345[[#This Row],[ (RESV. STORGE) BER]]/10</f>
        <v>0</v>
      </c>
      <c r="AI147" s="44"/>
      <c r="AJ147" s="45">
        <f>TABL12345[[#This Row],[(A/B TOT) AJD]]-TABL12345[[#This Row],[BER_ IN]]</f>
        <v>0</v>
      </c>
      <c r="AK147" s="45"/>
      <c r="AL147" s="45"/>
      <c r="AM147" s="32"/>
      <c r="AN147" s="32">
        <f>TABL12345[[#This Row],[ (RESV. STORGE) SER]]/10</f>
        <v>0</v>
      </c>
      <c r="AO147" s="68"/>
      <c r="AP147" s="68">
        <f>TABL12345[[#This Row],[(A/S TOT) AJD]]-TABL12345[[#This Row],[SER_ IN]]</f>
        <v>0</v>
      </c>
    </row>
    <row r="148" spans="1:42" ht="18.75" x14ac:dyDescent="0.25">
      <c r="A148" s="2">
        <v>46899</v>
      </c>
      <c r="B148" s="41"/>
      <c r="C148" s="41"/>
      <c r="D148" s="41"/>
      <c r="E148" s="41"/>
      <c r="F148" s="41"/>
      <c r="G148" s="39"/>
      <c r="H148" s="28"/>
      <c r="I148" s="39"/>
      <c r="J148" s="39"/>
      <c r="K148" s="28">
        <f>TABL12345[[#This Row],[خط (T/B  TOT) SAR]]+TABL12345[[#This Row],[خط (S/S  TOT) SAR2]]</f>
        <v>0</v>
      </c>
      <c r="L148" s="41"/>
      <c r="M148" s="42"/>
      <c r="N148" s="42"/>
      <c r="O148" s="39"/>
      <c r="P148" s="3">
        <f>TABL12345[[#This Row],[خط (S/S  TOT) SAR2]]-TABL12345[[#This Row],[(S/S TOT) AJD]]</f>
        <v>0</v>
      </c>
      <c r="Q148" s="39"/>
      <c r="R148" s="3">
        <f>TABL12345[[#This Row],[خط (T/B  TOT) SAR]]-TABL12345[[#This Row],[(T/B TOT) AJD]]</f>
        <v>0</v>
      </c>
      <c r="S148" s="3">
        <f>TABL12345[[#This Row],[الفرق بين بداية ونهاية خط  S/S]]+TABL12345[[#This Row],[الفرق بين بداية ونهاية خط  T/B]]</f>
        <v>0</v>
      </c>
      <c r="T148" s="3">
        <f t="shared" si="8"/>
        <v>0</v>
      </c>
      <c r="U148" s="41"/>
      <c r="V148" s="41"/>
      <c r="W148" s="3">
        <f t="shared" si="9"/>
        <v>0</v>
      </c>
      <c r="X148" s="3">
        <f t="shared" si="10"/>
        <v>0</v>
      </c>
      <c r="Y148" s="41"/>
      <c r="Z148" s="43"/>
      <c r="AA148" s="3">
        <f>TABL12345[[#This Row],[(RESV. STORGE) AJD]]/10</f>
        <v>0</v>
      </c>
      <c r="AB148" s="45">
        <f t="shared" si="11"/>
        <v>0</v>
      </c>
      <c r="AC148" s="5"/>
      <c r="AD148" s="39">
        <f>(TABL12345[[#This Row],[( S/S+T/B) AJD]]*1000)-((TABL12345[[#This Row],[(STORGE DIFF.) AJD]]*1000)+TABL12345[[#This Row],[البخر  AJD]]+(TABL12345[[#This Row],[(A/B + A/S) AJD]]*1000))</f>
        <v>0</v>
      </c>
      <c r="AE148" s="41"/>
      <c r="AF148" s="43"/>
      <c r="AG148" s="43"/>
      <c r="AH148" s="6">
        <f>TABL12345[[#This Row],[ (RESV. STORGE) BER]]/10</f>
        <v>0</v>
      </c>
      <c r="AI148" s="41"/>
      <c r="AJ148" s="43">
        <f>TABL12345[[#This Row],[(A/B TOT) AJD]]-TABL12345[[#This Row],[BER_ IN]]</f>
        <v>0</v>
      </c>
      <c r="AK148" s="43"/>
      <c r="AL148" s="43"/>
      <c r="AM148" s="32"/>
      <c r="AN148" s="32">
        <f>TABL12345[[#This Row],[ (RESV. STORGE) SER]]/10</f>
        <v>0</v>
      </c>
      <c r="AO148" s="68"/>
      <c r="AP148" s="68">
        <f>TABL12345[[#This Row],[(A/S TOT) AJD]]-TABL12345[[#This Row],[SER_ IN]]</f>
        <v>0</v>
      </c>
    </row>
    <row r="149" spans="1:42" ht="18.75" x14ac:dyDescent="0.25">
      <c r="A149" s="2">
        <v>46900</v>
      </c>
      <c r="B149" s="44"/>
      <c r="C149" s="44"/>
      <c r="D149" s="44"/>
      <c r="E149" s="44"/>
      <c r="F149" s="44"/>
      <c r="G149" s="40"/>
      <c r="H149" s="28"/>
      <c r="I149" s="40"/>
      <c r="J149" s="44"/>
      <c r="K149" s="28">
        <f>TABL12345[[#This Row],[خط (T/B  TOT) SAR]]+TABL12345[[#This Row],[خط (S/S  TOT) SAR2]]</f>
        <v>0</v>
      </c>
      <c r="L149" s="45"/>
      <c r="M149" s="46"/>
      <c r="N149" s="46"/>
      <c r="O149" s="40"/>
      <c r="P149" s="3">
        <f>TABL12345[[#This Row],[خط (S/S  TOT) SAR2]]-TABL12345[[#This Row],[(S/S TOT) AJD]]</f>
        <v>0</v>
      </c>
      <c r="Q149" s="40"/>
      <c r="R149" s="3">
        <f>TABL12345[[#This Row],[خط (T/B  TOT) SAR]]-TABL12345[[#This Row],[(T/B TOT) AJD]]</f>
        <v>0</v>
      </c>
      <c r="S149" s="3">
        <f>TABL12345[[#This Row],[الفرق بين بداية ونهاية خط  S/S]]+TABL12345[[#This Row],[الفرق بين بداية ونهاية خط  T/B]]</f>
        <v>0</v>
      </c>
      <c r="T149" s="3">
        <f t="shared" si="8"/>
        <v>0</v>
      </c>
      <c r="U149" s="44"/>
      <c r="V149" s="44"/>
      <c r="W149" s="3">
        <f t="shared" si="9"/>
        <v>0</v>
      </c>
      <c r="X149" s="3">
        <f t="shared" si="10"/>
        <v>0</v>
      </c>
      <c r="Y149" s="44"/>
      <c r="Z149" s="45"/>
      <c r="AA149" s="3">
        <f>TABL12345[[#This Row],[(RESV. STORGE) AJD]]/10</f>
        <v>0</v>
      </c>
      <c r="AB149" s="45">
        <f t="shared" si="11"/>
        <v>0</v>
      </c>
      <c r="AC149" s="5"/>
      <c r="AD149" s="40">
        <f>(TABL12345[[#This Row],[( S/S+T/B) AJD]]*1000)-((TABL12345[[#This Row],[(STORGE DIFF.) AJD]]*1000)+TABL12345[[#This Row],[البخر  AJD]]+(TABL12345[[#This Row],[(A/B + A/S) AJD]]*1000))</f>
        <v>0</v>
      </c>
      <c r="AE149" s="44"/>
      <c r="AF149" s="45"/>
      <c r="AG149" s="45"/>
      <c r="AH149" s="6">
        <f>TABL12345[[#This Row],[ (RESV. STORGE) BER]]/10</f>
        <v>0</v>
      </c>
      <c r="AI149" s="44"/>
      <c r="AJ149" s="45">
        <f>TABL12345[[#This Row],[(A/B TOT) AJD]]-TABL12345[[#This Row],[BER_ IN]]</f>
        <v>0</v>
      </c>
      <c r="AK149" s="45"/>
      <c r="AL149" s="45"/>
      <c r="AM149" s="32"/>
      <c r="AN149" s="32">
        <f>TABL12345[[#This Row],[ (RESV. STORGE) SER]]/10</f>
        <v>0</v>
      </c>
      <c r="AO149" s="68"/>
      <c r="AP149" s="68">
        <f>TABL12345[[#This Row],[(A/S TOT) AJD]]-TABL12345[[#This Row],[SER_ IN]]</f>
        <v>0</v>
      </c>
    </row>
    <row r="150" spans="1:42" ht="18.75" x14ac:dyDescent="0.25">
      <c r="A150" s="2">
        <v>46901</v>
      </c>
      <c r="B150" s="41"/>
      <c r="C150" s="41"/>
      <c r="D150" s="41"/>
      <c r="E150" s="41"/>
      <c r="F150" s="41"/>
      <c r="G150" s="39"/>
      <c r="H150" s="28"/>
      <c r="I150" s="39"/>
      <c r="J150" s="39"/>
      <c r="K150" s="28">
        <f>TABL12345[[#This Row],[خط (T/B  TOT) SAR]]+TABL12345[[#This Row],[خط (S/S  TOT) SAR2]]</f>
        <v>0</v>
      </c>
      <c r="L150" s="41"/>
      <c r="M150" s="42"/>
      <c r="N150" s="42"/>
      <c r="O150" s="39"/>
      <c r="P150" s="3">
        <f>TABL12345[[#This Row],[خط (S/S  TOT) SAR2]]-TABL12345[[#This Row],[(S/S TOT) AJD]]</f>
        <v>0</v>
      </c>
      <c r="Q150" s="39"/>
      <c r="R150" s="3">
        <f>TABL12345[[#This Row],[خط (T/B  TOT) SAR]]-TABL12345[[#This Row],[(T/B TOT) AJD]]</f>
        <v>0</v>
      </c>
      <c r="S150" s="3">
        <f>TABL12345[[#This Row],[الفرق بين بداية ونهاية خط  S/S]]+TABL12345[[#This Row],[الفرق بين بداية ونهاية خط  T/B]]</f>
        <v>0</v>
      </c>
      <c r="T150" s="3">
        <f t="shared" si="8"/>
        <v>0</v>
      </c>
      <c r="U150" s="41"/>
      <c r="V150" s="41"/>
      <c r="W150" s="3">
        <f t="shared" si="9"/>
        <v>0</v>
      </c>
      <c r="X150" s="3">
        <f t="shared" si="10"/>
        <v>0</v>
      </c>
      <c r="Y150" s="41"/>
      <c r="Z150" s="43"/>
      <c r="AA150" s="3">
        <f>TABL12345[[#This Row],[(RESV. STORGE) AJD]]/10</f>
        <v>0</v>
      </c>
      <c r="AB150" s="45">
        <f t="shared" si="11"/>
        <v>0</v>
      </c>
      <c r="AC150" s="5"/>
      <c r="AD150" s="39">
        <f>(TABL12345[[#This Row],[( S/S+T/B) AJD]]*1000)-((TABL12345[[#This Row],[(STORGE DIFF.) AJD]]*1000)+TABL12345[[#This Row],[البخر  AJD]]+(TABL12345[[#This Row],[(A/B + A/S) AJD]]*1000))</f>
        <v>0</v>
      </c>
      <c r="AE150" s="41"/>
      <c r="AF150" s="43"/>
      <c r="AG150" s="43"/>
      <c r="AH150" s="6">
        <f>TABL12345[[#This Row],[ (RESV. STORGE) BER]]/10</f>
        <v>0</v>
      </c>
      <c r="AI150" s="41"/>
      <c r="AJ150" s="43">
        <f>TABL12345[[#This Row],[(A/B TOT) AJD]]-TABL12345[[#This Row],[BER_ IN]]</f>
        <v>0</v>
      </c>
      <c r="AK150" s="43"/>
      <c r="AL150" s="43"/>
      <c r="AM150" s="32"/>
      <c r="AN150" s="32">
        <f>TABL12345[[#This Row],[ (RESV. STORGE) SER]]/10</f>
        <v>0</v>
      </c>
      <c r="AO150" s="68"/>
      <c r="AP150" s="68">
        <f>TABL12345[[#This Row],[(A/S TOT) AJD]]-TABL12345[[#This Row],[SER_ IN]]</f>
        <v>0</v>
      </c>
    </row>
    <row r="151" spans="1:42" ht="18.75" x14ac:dyDescent="0.25">
      <c r="A151" s="2">
        <v>46902</v>
      </c>
      <c r="B151" s="44"/>
      <c r="C151" s="44"/>
      <c r="D151" s="44"/>
      <c r="E151" s="44"/>
      <c r="F151" s="44"/>
      <c r="G151" s="40"/>
      <c r="H151" s="28"/>
      <c r="I151" s="40"/>
      <c r="J151" s="44"/>
      <c r="K151" s="28">
        <f>TABL12345[[#This Row],[خط (T/B  TOT) SAR]]+TABL12345[[#This Row],[خط (S/S  TOT) SAR2]]</f>
        <v>0</v>
      </c>
      <c r="L151" s="45"/>
      <c r="M151" s="46"/>
      <c r="N151" s="46"/>
      <c r="O151" s="40"/>
      <c r="P151" s="3">
        <f>TABL12345[[#This Row],[خط (S/S  TOT) SAR2]]-TABL12345[[#This Row],[(S/S TOT) AJD]]</f>
        <v>0</v>
      </c>
      <c r="Q151" s="40"/>
      <c r="R151" s="3">
        <f>TABL12345[[#This Row],[خط (T/B  TOT) SAR]]-TABL12345[[#This Row],[(T/B TOT) AJD]]</f>
        <v>0</v>
      </c>
      <c r="S151" s="3">
        <f>TABL12345[[#This Row],[الفرق بين بداية ونهاية خط  S/S]]+TABL12345[[#This Row],[الفرق بين بداية ونهاية خط  T/B]]</f>
        <v>0</v>
      </c>
      <c r="T151" s="3">
        <f t="shared" si="8"/>
        <v>0</v>
      </c>
      <c r="U151" s="44"/>
      <c r="V151" s="44"/>
      <c r="W151" s="3">
        <f t="shared" si="9"/>
        <v>0</v>
      </c>
      <c r="X151" s="3">
        <f t="shared" si="10"/>
        <v>0</v>
      </c>
      <c r="Y151" s="44"/>
      <c r="Z151" s="45"/>
      <c r="AA151" s="3">
        <f>TABL12345[[#This Row],[(RESV. STORGE) AJD]]/10</f>
        <v>0</v>
      </c>
      <c r="AB151" s="45">
        <f t="shared" si="11"/>
        <v>0</v>
      </c>
      <c r="AC151" s="5"/>
      <c r="AD151" s="70">
        <f>(TABL12345[[#This Row],[( S/S+T/B) AJD]]*1000)-((TABL12345[[#This Row],[(STORGE DIFF.) AJD]]*1000)+TABL12345[[#This Row],[البخر  AJD]]+(TABL12345[[#This Row],[(A/B + A/S) AJD]]*1000))</f>
        <v>0</v>
      </c>
      <c r="AE151" s="44"/>
      <c r="AF151" s="45"/>
      <c r="AG151" s="45"/>
      <c r="AH151" s="6">
        <f>TABL12345[[#This Row],[ (RESV. STORGE) BER]]/10</f>
        <v>0</v>
      </c>
      <c r="AI151" s="44"/>
      <c r="AJ151" s="91">
        <f>TABL12345[[#This Row],[(A/B TOT) AJD]]-TABL12345[[#This Row],[BER_ IN]]</f>
        <v>0</v>
      </c>
      <c r="AK151" s="45"/>
      <c r="AL151" s="45"/>
      <c r="AM151" s="32"/>
      <c r="AN151" s="32">
        <f>TABL12345[[#This Row],[ (RESV. STORGE) SER]]/10</f>
        <v>0</v>
      </c>
      <c r="AO151" s="68"/>
      <c r="AP151" s="68">
        <f>TABL12345[[#This Row],[(A/S TOT) AJD]]-TABL12345[[#This Row],[SER_ IN]]</f>
        <v>0</v>
      </c>
    </row>
    <row r="152" spans="1:42" ht="18.75" x14ac:dyDescent="0.25">
      <c r="A152" s="2">
        <v>46903</v>
      </c>
      <c r="B152" s="41"/>
      <c r="C152" s="41"/>
      <c r="D152" s="41"/>
      <c r="E152" s="28"/>
      <c r="F152" s="41"/>
      <c r="G152" s="39"/>
      <c r="H152" s="28"/>
      <c r="I152" s="39"/>
      <c r="J152" s="39"/>
      <c r="K152" s="28">
        <f>TABL12345[[#This Row],[خط (T/B  TOT) SAR]]+TABL12345[[#This Row],[خط (S/S  TOT) SAR2]]</f>
        <v>0</v>
      </c>
      <c r="L152" s="41"/>
      <c r="M152" s="42"/>
      <c r="N152" s="42"/>
      <c r="O152" s="39"/>
      <c r="P152" s="3">
        <f>TABL12345[[#This Row],[خط (S/S  TOT) SAR2]]-TABL12345[[#This Row],[(S/S TOT) AJD]]</f>
        <v>0</v>
      </c>
      <c r="Q152" s="39"/>
      <c r="R152" s="3">
        <f>TABL12345[[#This Row],[خط (T/B  TOT) SAR]]-TABL12345[[#This Row],[(T/B TOT) AJD]]</f>
        <v>0</v>
      </c>
      <c r="S152" s="3">
        <f>TABL12345[[#This Row],[الفرق بين بداية ونهاية خط  S/S]]+TABL12345[[#This Row],[الفرق بين بداية ونهاية خط  T/B]]</f>
        <v>0</v>
      </c>
      <c r="T152" s="3">
        <f t="shared" si="8"/>
        <v>0</v>
      </c>
      <c r="U152" s="41"/>
      <c r="V152" s="41"/>
      <c r="W152" s="3">
        <f t="shared" si="9"/>
        <v>0</v>
      </c>
      <c r="X152" s="3">
        <f t="shared" si="10"/>
        <v>0</v>
      </c>
      <c r="Y152" s="41"/>
      <c r="Z152" s="43"/>
      <c r="AA152" s="3">
        <f>TABL12345[[#This Row],[(RESV. STORGE) AJD]]/10</f>
        <v>0</v>
      </c>
      <c r="AB152" s="45">
        <f t="shared" si="11"/>
        <v>0</v>
      </c>
      <c r="AC152" s="5"/>
      <c r="AD152" s="39">
        <f>(TABL12345[[#This Row],[( S/S+T/B) AJD]]*1000)-((TABL12345[[#This Row],[(STORGE DIFF.) AJD]]*1000)+TABL12345[[#This Row],[البخر  AJD]]+(TABL12345[[#This Row],[(A/B + A/S) AJD]]*1000))</f>
        <v>0</v>
      </c>
      <c r="AE152" s="41"/>
      <c r="AF152" s="43"/>
      <c r="AG152" s="43"/>
      <c r="AH152" s="6">
        <f>TABL12345[[#This Row],[ (RESV. STORGE) BER]]/10</f>
        <v>0</v>
      </c>
      <c r="AI152" s="41"/>
      <c r="AJ152" s="43">
        <f>TABL12345[[#This Row],[(A/B TOT) AJD]]-TABL12345[[#This Row],[BER_ IN]]</f>
        <v>0</v>
      </c>
      <c r="AK152" s="43"/>
      <c r="AL152" s="43"/>
      <c r="AM152" s="32"/>
      <c r="AN152" s="32">
        <f>TABL12345[[#This Row],[ (RESV. STORGE) SER]]/10</f>
        <v>0</v>
      </c>
      <c r="AO152" s="68"/>
      <c r="AP152" s="68">
        <f>TABL12345[[#This Row],[(A/S TOT) AJD]]-TABL12345[[#This Row],[SER_ IN]]</f>
        <v>0</v>
      </c>
    </row>
    <row r="153" spans="1:42" ht="18.75" x14ac:dyDescent="0.25">
      <c r="A153" s="2">
        <v>46904</v>
      </c>
      <c r="B153" s="41"/>
      <c r="C153" s="41"/>
      <c r="D153" s="41"/>
      <c r="E153" s="28"/>
      <c r="F153" s="41"/>
      <c r="G153" s="39"/>
      <c r="H153" s="28"/>
      <c r="I153" s="39"/>
      <c r="J153" s="39"/>
      <c r="K153" s="28">
        <f>TABL12345[[#This Row],[خط (T/B  TOT) SAR]]+TABL12345[[#This Row],[خط (S/S  TOT) SAR2]]</f>
        <v>0</v>
      </c>
      <c r="L153" s="41"/>
      <c r="M153" s="42"/>
      <c r="N153" s="42"/>
      <c r="O153" s="39"/>
      <c r="P153" s="10">
        <f>TABL12345[[#This Row],[خط (S/S  TOT) SAR2]]-TABL12345[[#This Row],[(S/S TOT) AJD]]</f>
        <v>0</v>
      </c>
      <c r="Q153" s="39"/>
      <c r="R153" s="10">
        <f>TABL12345[[#This Row],[خط (T/B  TOT) SAR]]-TABL12345[[#This Row],[(T/B TOT) AJD]]</f>
        <v>0</v>
      </c>
      <c r="S153" s="10">
        <f>TABL12345[[#This Row],[الفرق بين بداية ونهاية خط  S/S]]+TABL12345[[#This Row],[الفرق بين بداية ونهاية خط  T/B]]</f>
        <v>0</v>
      </c>
      <c r="T153" s="10">
        <f t="shared" si="8"/>
        <v>0</v>
      </c>
      <c r="U153" s="41"/>
      <c r="V153" s="41"/>
      <c r="W153" s="10">
        <f t="shared" si="9"/>
        <v>0</v>
      </c>
      <c r="X153" s="10">
        <f t="shared" si="10"/>
        <v>0</v>
      </c>
      <c r="Y153" s="41"/>
      <c r="Z153" s="43"/>
      <c r="AA153" s="3">
        <f>TABL12345[[#This Row],[(RESV. STORGE) AJD]]/10</f>
        <v>0</v>
      </c>
      <c r="AB153" s="45">
        <f t="shared" si="11"/>
        <v>0</v>
      </c>
      <c r="AC153" s="5"/>
      <c r="AD153" s="39">
        <f>(TABL12345[[#This Row],[( S/S+T/B) AJD]]*1000)-((TABL12345[[#This Row],[(STORGE DIFF.) AJD]]*1000)+TABL12345[[#This Row],[البخر  AJD]]+(TABL12345[[#This Row],[(A/B + A/S) AJD]]*1000))</f>
        <v>0</v>
      </c>
      <c r="AE153" s="41"/>
      <c r="AF153" s="43"/>
      <c r="AG153" s="43"/>
      <c r="AH153" s="6">
        <f>TABL12345[[#This Row],[ (RESV. STORGE) BER]]/10</f>
        <v>0</v>
      </c>
      <c r="AI153" s="41"/>
      <c r="AJ153" s="43">
        <f>TABL12345[[#This Row],[(A/B TOT) AJD]]-TABL12345[[#This Row],[BER_ IN]]</f>
        <v>0</v>
      </c>
      <c r="AK153" s="43"/>
      <c r="AL153" s="43"/>
      <c r="AM153" s="32"/>
      <c r="AN153" s="32">
        <f>TABL12345[[#This Row],[ (RESV. STORGE) SER]]/10</f>
        <v>0</v>
      </c>
      <c r="AO153" s="68"/>
      <c r="AP153" s="68">
        <f>TABL12345[[#This Row],[(A/S TOT) AJD]]-TABL12345[[#This Row],[SER_ IN]]</f>
        <v>0</v>
      </c>
    </row>
    <row r="154" spans="1:42" ht="18.75" x14ac:dyDescent="0.25">
      <c r="A154" s="2">
        <v>46905</v>
      </c>
      <c r="B154" s="44"/>
      <c r="C154" s="44"/>
      <c r="D154" s="44"/>
      <c r="E154" s="28"/>
      <c r="F154" s="44"/>
      <c r="G154" s="40"/>
      <c r="H154" s="28"/>
      <c r="I154" s="40"/>
      <c r="J154" s="44"/>
      <c r="K154" s="28">
        <f>TABL12345[[#This Row],[خط (T/B  TOT) SAR]]+TABL12345[[#This Row],[خط (S/S  TOT) SAR2]]</f>
        <v>0</v>
      </c>
      <c r="L154" s="45"/>
      <c r="M154" s="46"/>
      <c r="N154" s="46"/>
      <c r="O154" s="40"/>
      <c r="P154" s="10">
        <f>TABL12345[[#This Row],[خط (S/S  TOT) SAR2]]-TABL12345[[#This Row],[(S/S TOT) AJD]]</f>
        <v>0</v>
      </c>
      <c r="Q154" s="40"/>
      <c r="R154" s="10">
        <f>TABL12345[[#This Row],[خط (T/B  TOT) SAR]]-TABL12345[[#This Row],[(T/B TOT) AJD]]</f>
        <v>0</v>
      </c>
      <c r="S154" s="10">
        <f>TABL12345[[#This Row],[الفرق بين بداية ونهاية خط  S/S]]+TABL12345[[#This Row],[الفرق بين بداية ونهاية خط  T/B]]</f>
        <v>0</v>
      </c>
      <c r="T154" s="10">
        <f t="shared" si="8"/>
        <v>0</v>
      </c>
      <c r="U154" s="44"/>
      <c r="V154" s="44"/>
      <c r="W154" s="10">
        <f t="shared" si="9"/>
        <v>0</v>
      </c>
      <c r="X154" s="10">
        <f t="shared" si="10"/>
        <v>0</v>
      </c>
      <c r="Y154" s="44"/>
      <c r="Z154" s="45"/>
      <c r="AA154" s="3">
        <f>TABL12345[[#This Row],[(RESV. STORGE) AJD]]/10</f>
        <v>0</v>
      </c>
      <c r="AB154" s="45">
        <f t="shared" si="11"/>
        <v>0</v>
      </c>
      <c r="AC154" s="5"/>
      <c r="AD154" s="40">
        <f>(TABL12345[[#This Row],[( S/S+T/B) AJD]]*1000)-((TABL12345[[#This Row],[(STORGE DIFF.) AJD]]*1000)+TABL12345[[#This Row],[البخر  AJD]]+(TABL12345[[#This Row],[(A/B + A/S) AJD]]*1000))</f>
        <v>0</v>
      </c>
      <c r="AE154" s="44"/>
      <c r="AF154" s="45"/>
      <c r="AG154" s="45"/>
      <c r="AH154" s="6">
        <f>TABL12345[[#This Row],[ (RESV. STORGE) BER]]/10</f>
        <v>0</v>
      </c>
      <c r="AI154" s="44"/>
      <c r="AJ154" s="45">
        <f>TABL12345[[#This Row],[(A/B TOT) AJD]]-TABL12345[[#This Row],[BER_ IN]]</f>
        <v>0</v>
      </c>
      <c r="AK154" s="45"/>
      <c r="AL154" s="45"/>
      <c r="AM154" s="32"/>
      <c r="AN154" s="32">
        <f>TABL12345[[#This Row],[ (RESV. STORGE) SER]]/10</f>
        <v>0</v>
      </c>
      <c r="AO154" s="68"/>
      <c r="AP154" s="68">
        <f>TABL12345[[#This Row],[(A/S TOT) AJD]]-TABL12345[[#This Row],[SER_ IN]]</f>
        <v>0</v>
      </c>
    </row>
    <row r="155" spans="1:42" ht="18.75" x14ac:dyDescent="0.25">
      <c r="A155" s="2">
        <v>46906</v>
      </c>
      <c r="B155" s="41"/>
      <c r="C155" s="41"/>
      <c r="D155" s="41"/>
      <c r="E155" s="28"/>
      <c r="F155" s="41"/>
      <c r="G155" s="39"/>
      <c r="H155" s="28"/>
      <c r="I155" s="39"/>
      <c r="J155" s="39"/>
      <c r="K155" s="28">
        <f>TABL12345[[#This Row],[خط (T/B  TOT) SAR]]+TABL12345[[#This Row],[خط (S/S  TOT) SAR2]]</f>
        <v>0</v>
      </c>
      <c r="L155" s="41"/>
      <c r="M155" s="42"/>
      <c r="N155" s="42"/>
      <c r="O155" s="39"/>
      <c r="P155" s="10">
        <f>TABL12345[[#This Row],[خط (S/S  TOT) SAR2]]-TABL12345[[#This Row],[(S/S TOT) AJD]]</f>
        <v>0</v>
      </c>
      <c r="Q155" s="39"/>
      <c r="R155" s="10">
        <f>TABL12345[[#This Row],[خط (T/B  TOT) SAR]]-TABL12345[[#This Row],[(T/B TOT) AJD]]</f>
        <v>0</v>
      </c>
      <c r="S155" s="10">
        <f>TABL12345[[#This Row],[الفرق بين بداية ونهاية خط  S/S]]+TABL12345[[#This Row],[الفرق بين بداية ونهاية خط  T/B]]</f>
        <v>0</v>
      </c>
      <c r="T155" s="10">
        <f t="shared" si="8"/>
        <v>0</v>
      </c>
      <c r="U155" s="41"/>
      <c r="V155" s="41"/>
      <c r="W155" s="10">
        <f t="shared" si="9"/>
        <v>0</v>
      </c>
      <c r="X155" s="10">
        <f t="shared" si="10"/>
        <v>0</v>
      </c>
      <c r="Y155" s="41"/>
      <c r="Z155" s="43"/>
      <c r="AA155" s="3">
        <f>TABL12345[[#This Row],[(RESV. STORGE) AJD]]/10</f>
        <v>0</v>
      </c>
      <c r="AB155" s="45">
        <f t="shared" si="11"/>
        <v>0</v>
      </c>
      <c r="AC155" s="5"/>
      <c r="AD155" s="39">
        <f>(TABL12345[[#This Row],[( S/S+T/B) AJD]]*1000)-((TABL12345[[#This Row],[(STORGE DIFF.) AJD]]*1000)+TABL12345[[#This Row],[البخر  AJD]]+(TABL12345[[#This Row],[(A/B + A/S) AJD]]*1000))</f>
        <v>0</v>
      </c>
      <c r="AE155" s="41"/>
      <c r="AF155" s="43"/>
      <c r="AG155" s="43"/>
      <c r="AH155" s="6">
        <f>TABL12345[[#This Row],[ (RESV. STORGE) BER]]/10</f>
        <v>0</v>
      </c>
      <c r="AI155" s="41"/>
      <c r="AJ155" s="43">
        <f>TABL12345[[#This Row],[(A/B TOT) AJD]]-TABL12345[[#This Row],[BER_ IN]]</f>
        <v>0</v>
      </c>
      <c r="AK155" s="43"/>
      <c r="AL155" s="43"/>
      <c r="AM155" s="32"/>
      <c r="AN155" s="32">
        <f>TABL12345[[#This Row],[ (RESV. STORGE) SER]]/10</f>
        <v>0</v>
      </c>
      <c r="AO155" s="68"/>
      <c r="AP155" s="68">
        <f>TABL12345[[#This Row],[(A/S TOT) AJD]]-TABL12345[[#This Row],[SER_ IN]]</f>
        <v>0</v>
      </c>
    </row>
    <row r="156" spans="1:42" ht="18.75" x14ac:dyDescent="0.25">
      <c r="A156" s="2">
        <v>46907</v>
      </c>
      <c r="B156" s="44"/>
      <c r="C156" s="44"/>
      <c r="D156" s="44"/>
      <c r="E156" s="28"/>
      <c r="F156" s="44"/>
      <c r="G156" s="40"/>
      <c r="H156" s="28"/>
      <c r="I156" s="40"/>
      <c r="J156" s="44"/>
      <c r="K156" s="28">
        <f>TABL12345[[#This Row],[خط (T/B  TOT) SAR]]+TABL12345[[#This Row],[خط (S/S  TOT) SAR2]]</f>
        <v>0</v>
      </c>
      <c r="L156" s="45"/>
      <c r="M156" s="46"/>
      <c r="N156" s="46"/>
      <c r="O156" s="40"/>
      <c r="P156" s="10">
        <f>TABL12345[[#This Row],[خط (S/S  TOT) SAR2]]-TABL12345[[#This Row],[(S/S TOT) AJD]]</f>
        <v>0</v>
      </c>
      <c r="Q156" s="40"/>
      <c r="R156" s="10">
        <f>TABL12345[[#This Row],[خط (T/B  TOT) SAR]]-TABL12345[[#This Row],[(T/B TOT) AJD]]</f>
        <v>0</v>
      </c>
      <c r="S156" s="10">
        <f>TABL12345[[#This Row],[الفرق بين بداية ونهاية خط  S/S]]+TABL12345[[#This Row],[الفرق بين بداية ونهاية خط  T/B]]</f>
        <v>0</v>
      </c>
      <c r="T156" s="10">
        <f t="shared" si="8"/>
        <v>0</v>
      </c>
      <c r="U156" s="44"/>
      <c r="V156" s="44"/>
      <c r="W156" s="10">
        <f t="shared" si="9"/>
        <v>0</v>
      </c>
      <c r="X156" s="10">
        <f t="shared" si="10"/>
        <v>0</v>
      </c>
      <c r="Y156" s="44"/>
      <c r="Z156" s="45"/>
      <c r="AA156" s="3">
        <f>TABL12345[[#This Row],[(RESV. STORGE) AJD]]/10</f>
        <v>0</v>
      </c>
      <c r="AB156" s="45">
        <f t="shared" si="11"/>
        <v>0</v>
      </c>
      <c r="AC156" s="5"/>
      <c r="AD156" s="40">
        <f>(TABL12345[[#This Row],[( S/S+T/B) AJD]]*1000)-((TABL12345[[#This Row],[(STORGE DIFF.) AJD]]*1000)+TABL12345[[#This Row],[البخر  AJD]]+(TABL12345[[#This Row],[(A/B + A/S) AJD]]*1000))</f>
        <v>0</v>
      </c>
      <c r="AE156" s="44"/>
      <c r="AF156" s="45"/>
      <c r="AG156" s="45"/>
      <c r="AH156" s="6">
        <f>TABL12345[[#This Row],[ (RESV. STORGE) BER]]/10</f>
        <v>0</v>
      </c>
      <c r="AI156" s="44"/>
      <c r="AJ156" s="45">
        <f>TABL12345[[#This Row],[(A/B TOT) AJD]]-TABL12345[[#This Row],[BER_ IN]]</f>
        <v>0</v>
      </c>
      <c r="AK156" s="45"/>
      <c r="AL156" s="45"/>
      <c r="AM156" s="32"/>
      <c r="AN156" s="32">
        <f>TABL12345[[#This Row],[ (RESV. STORGE) SER]]/10</f>
        <v>0</v>
      </c>
      <c r="AO156" s="68"/>
      <c r="AP156" s="68">
        <f>TABL12345[[#This Row],[(A/S TOT) AJD]]-TABL12345[[#This Row],[SER_ IN]]</f>
        <v>0</v>
      </c>
    </row>
    <row r="157" spans="1:42" ht="18.75" x14ac:dyDescent="0.25">
      <c r="A157" s="2">
        <v>46908</v>
      </c>
      <c r="B157" s="41"/>
      <c r="C157" s="41"/>
      <c r="D157" s="41"/>
      <c r="E157" s="28"/>
      <c r="F157" s="41"/>
      <c r="G157" s="39"/>
      <c r="H157" s="28"/>
      <c r="I157" s="39"/>
      <c r="J157" s="39"/>
      <c r="K157" s="28">
        <f>TABL12345[[#This Row],[خط (T/B  TOT) SAR]]+TABL12345[[#This Row],[خط (S/S  TOT) SAR2]]</f>
        <v>0</v>
      </c>
      <c r="L157" s="41"/>
      <c r="M157" s="42"/>
      <c r="N157" s="42"/>
      <c r="O157" s="39"/>
      <c r="P157" s="10">
        <f>TABL12345[[#This Row],[خط (S/S  TOT) SAR2]]-TABL12345[[#This Row],[(S/S TOT) AJD]]</f>
        <v>0</v>
      </c>
      <c r="Q157" s="39"/>
      <c r="R157" s="10">
        <f>TABL12345[[#This Row],[خط (T/B  TOT) SAR]]-TABL12345[[#This Row],[(T/B TOT) AJD]]</f>
        <v>0</v>
      </c>
      <c r="S157" s="10">
        <f>TABL12345[[#This Row],[الفرق بين بداية ونهاية خط  S/S]]+TABL12345[[#This Row],[الفرق بين بداية ونهاية خط  T/B]]</f>
        <v>0</v>
      </c>
      <c r="T157" s="10">
        <f t="shared" si="8"/>
        <v>0</v>
      </c>
      <c r="U157" s="41"/>
      <c r="V157" s="41"/>
      <c r="W157" s="10">
        <f t="shared" si="9"/>
        <v>0</v>
      </c>
      <c r="X157" s="10">
        <f t="shared" si="10"/>
        <v>0</v>
      </c>
      <c r="Y157" s="41"/>
      <c r="Z157" s="43"/>
      <c r="AA157" s="3">
        <f>TABL12345[[#This Row],[(RESV. STORGE) AJD]]/10</f>
        <v>0</v>
      </c>
      <c r="AB157" s="45">
        <f t="shared" si="11"/>
        <v>0</v>
      </c>
      <c r="AC157" s="5"/>
      <c r="AD157" s="39">
        <f>(TABL12345[[#This Row],[( S/S+T/B) AJD]]*1000)-((TABL12345[[#This Row],[(STORGE DIFF.) AJD]]*1000)+TABL12345[[#This Row],[البخر  AJD]]+(TABL12345[[#This Row],[(A/B + A/S) AJD]]*1000))</f>
        <v>0</v>
      </c>
      <c r="AE157" s="41"/>
      <c r="AF157" s="43"/>
      <c r="AG157" s="43"/>
      <c r="AH157" s="6">
        <f>TABL12345[[#This Row],[ (RESV. STORGE) BER]]/10</f>
        <v>0</v>
      </c>
      <c r="AI157" s="41"/>
      <c r="AJ157" s="43">
        <f>TABL12345[[#This Row],[(A/B TOT) AJD]]-TABL12345[[#This Row],[BER_ IN]]</f>
        <v>0</v>
      </c>
      <c r="AK157" s="43"/>
      <c r="AL157" s="43"/>
      <c r="AM157" s="32"/>
      <c r="AN157" s="32">
        <f>TABL12345[[#This Row],[ (RESV. STORGE) SER]]/10</f>
        <v>0</v>
      </c>
      <c r="AO157" s="68"/>
      <c r="AP157" s="68">
        <f>TABL12345[[#This Row],[(A/S TOT) AJD]]-TABL12345[[#This Row],[SER_ IN]]</f>
        <v>0</v>
      </c>
    </row>
    <row r="158" spans="1:42" ht="18.75" x14ac:dyDescent="0.25">
      <c r="A158" s="2">
        <v>46909</v>
      </c>
      <c r="B158" s="44"/>
      <c r="C158" s="44"/>
      <c r="D158" s="44"/>
      <c r="E158" s="28"/>
      <c r="F158" s="44"/>
      <c r="G158" s="40"/>
      <c r="H158" s="28"/>
      <c r="I158" s="40"/>
      <c r="J158" s="44"/>
      <c r="K158" s="28">
        <f>TABL12345[[#This Row],[خط (T/B  TOT) SAR]]+TABL12345[[#This Row],[خط (S/S  TOT) SAR2]]</f>
        <v>0</v>
      </c>
      <c r="L158" s="45"/>
      <c r="M158" s="46"/>
      <c r="N158" s="46"/>
      <c r="O158" s="40"/>
      <c r="P158" s="10">
        <f>TABL12345[[#This Row],[خط (S/S  TOT) SAR2]]-TABL12345[[#This Row],[(S/S TOT) AJD]]</f>
        <v>0</v>
      </c>
      <c r="Q158" s="40"/>
      <c r="R158" s="10">
        <f>TABL12345[[#This Row],[خط (T/B  TOT) SAR]]-TABL12345[[#This Row],[(T/B TOT) AJD]]</f>
        <v>0</v>
      </c>
      <c r="S158" s="10">
        <f>TABL12345[[#This Row],[الفرق بين بداية ونهاية خط  S/S]]+TABL12345[[#This Row],[الفرق بين بداية ونهاية خط  T/B]]</f>
        <v>0</v>
      </c>
      <c r="T158" s="10">
        <f t="shared" si="8"/>
        <v>0</v>
      </c>
      <c r="U158" s="44"/>
      <c r="V158" s="44"/>
      <c r="W158" s="10">
        <f t="shared" si="9"/>
        <v>0</v>
      </c>
      <c r="X158" s="10">
        <f t="shared" si="10"/>
        <v>0</v>
      </c>
      <c r="Y158" s="44"/>
      <c r="Z158" s="45"/>
      <c r="AA158" s="3">
        <f>TABL12345[[#This Row],[(RESV. STORGE) AJD]]/10</f>
        <v>0</v>
      </c>
      <c r="AB158" s="45">
        <f t="shared" si="11"/>
        <v>0</v>
      </c>
      <c r="AC158" s="5"/>
      <c r="AD158" s="40">
        <f>(TABL12345[[#This Row],[( S/S+T/B) AJD]]*1000)-((TABL12345[[#This Row],[(STORGE DIFF.) AJD]]*1000)+TABL12345[[#This Row],[البخر  AJD]]+(TABL12345[[#This Row],[(A/B + A/S) AJD]]*1000))</f>
        <v>0</v>
      </c>
      <c r="AE158" s="44"/>
      <c r="AF158" s="45"/>
      <c r="AG158" s="45"/>
      <c r="AH158" s="6">
        <f>TABL12345[[#This Row],[ (RESV. STORGE) BER]]/10</f>
        <v>0</v>
      </c>
      <c r="AI158" s="44"/>
      <c r="AJ158" s="45">
        <f>TABL12345[[#This Row],[(A/B TOT) AJD]]-TABL12345[[#This Row],[BER_ IN]]</f>
        <v>0</v>
      </c>
      <c r="AK158" s="45"/>
      <c r="AL158" s="45"/>
      <c r="AM158" s="32"/>
      <c r="AN158" s="32">
        <f>TABL12345[[#This Row],[ (RESV. STORGE) SER]]/10</f>
        <v>0</v>
      </c>
      <c r="AO158" s="68"/>
      <c r="AP158" s="68">
        <f>TABL12345[[#This Row],[(A/S TOT) AJD]]-TABL12345[[#This Row],[SER_ IN]]</f>
        <v>0</v>
      </c>
    </row>
    <row r="159" spans="1:42" ht="18.75" x14ac:dyDescent="0.25">
      <c r="A159" s="2">
        <v>46910</v>
      </c>
      <c r="B159" s="41"/>
      <c r="C159" s="41"/>
      <c r="D159" s="41"/>
      <c r="E159" s="28"/>
      <c r="F159" s="41"/>
      <c r="G159" s="39"/>
      <c r="H159" s="28"/>
      <c r="I159" s="39"/>
      <c r="J159" s="39"/>
      <c r="K159" s="28">
        <f>TABL12345[[#This Row],[خط (T/B  TOT) SAR]]+TABL12345[[#This Row],[خط (S/S  TOT) SAR2]]</f>
        <v>0</v>
      </c>
      <c r="L159" s="41"/>
      <c r="M159" s="42"/>
      <c r="N159" s="42"/>
      <c r="O159" s="39"/>
      <c r="P159" s="10">
        <f>TABL12345[[#This Row],[خط (S/S  TOT) SAR2]]-TABL12345[[#This Row],[(S/S TOT) AJD]]</f>
        <v>0</v>
      </c>
      <c r="Q159" s="39"/>
      <c r="R159" s="10">
        <f>TABL12345[[#This Row],[خط (T/B  TOT) SAR]]-TABL12345[[#This Row],[(T/B TOT) AJD]]</f>
        <v>0</v>
      </c>
      <c r="S159" s="10">
        <f>TABL12345[[#This Row],[الفرق بين بداية ونهاية خط  S/S]]+TABL12345[[#This Row],[الفرق بين بداية ونهاية خط  T/B]]</f>
        <v>0</v>
      </c>
      <c r="T159" s="10">
        <f t="shared" si="8"/>
        <v>0</v>
      </c>
      <c r="U159" s="41"/>
      <c r="V159" s="41"/>
      <c r="W159" s="10">
        <f t="shared" si="9"/>
        <v>0</v>
      </c>
      <c r="X159" s="10">
        <f t="shared" si="10"/>
        <v>0</v>
      </c>
      <c r="Y159" s="41"/>
      <c r="Z159" s="43"/>
      <c r="AA159" s="3">
        <f>TABL12345[[#This Row],[(RESV. STORGE) AJD]]/10</f>
        <v>0</v>
      </c>
      <c r="AB159" s="45">
        <f t="shared" si="11"/>
        <v>0</v>
      </c>
      <c r="AC159" s="5"/>
      <c r="AD159" s="39">
        <f>(TABL12345[[#This Row],[( S/S+T/B) AJD]]*1000)-((TABL12345[[#This Row],[(STORGE DIFF.) AJD]]*1000)+TABL12345[[#This Row],[البخر  AJD]]+(TABL12345[[#This Row],[(A/B + A/S) AJD]]*1000))</f>
        <v>0</v>
      </c>
      <c r="AE159" s="41"/>
      <c r="AF159" s="43"/>
      <c r="AG159" s="43"/>
      <c r="AH159" s="6">
        <f>TABL12345[[#This Row],[ (RESV. STORGE) BER]]/10</f>
        <v>0</v>
      </c>
      <c r="AI159" s="41"/>
      <c r="AJ159" s="43">
        <f>TABL12345[[#This Row],[(A/B TOT) AJD]]-TABL12345[[#This Row],[BER_ IN]]</f>
        <v>0</v>
      </c>
      <c r="AK159" s="43"/>
      <c r="AL159" s="43"/>
      <c r="AM159" s="32"/>
      <c r="AN159" s="32">
        <f>TABL12345[[#This Row],[ (RESV. STORGE) SER]]/10</f>
        <v>0</v>
      </c>
      <c r="AO159" s="68"/>
      <c r="AP159" s="68">
        <f>TABL12345[[#This Row],[(A/S TOT) AJD]]-TABL12345[[#This Row],[SER_ IN]]</f>
        <v>0</v>
      </c>
    </row>
    <row r="160" spans="1:42" ht="18.75" x14ac:dyDescent="0.25">
      <c r="A160" s="2">
        <v>46911</v>
      </c>
      <c r="B160" s="44"/>
      <c r="C160" s="44"/>
      <c r="D160" s="44"/>
      <c r="E160" s="28"/>
      <c r="F160" s="44"/>
      <c r="G160" s="40"/>
      <c r="H160" s="28"/>
      <c r="I160" s="40"/>
      <c r="J160" s="44"/>
      <c r="K160" s="28">
        <f>TABL12345[[#This Row],[خط (T/B  TOT) SAR]]+TABL12345[[#This Row],[خط (S/S  TOT) SAR2]]</f>
        <v>0</v>
      </c>
      <c r="L160" s="45"/>
      <c r="M160" s="46"/>
      <c r="N160" s="46"/>
      <c r="O160" s="40"/>
      <c r="P160" s="10">
        <f>TABL12345[[#This Row],[خط (S/S  TOT) SAR2]]-TABL12345[[#This Row],[(S/S TOT) AJD]]</f>
        <v>0</v>
      </c>
      <c r="Q160" s="40"/>
      <c r="R160" s="10">
        <f>TABL12345[[#This Row],[خط (T/B  TOT) SAR]]-TABL12345[[#This Row],[(T/B TOT) AJD]]</f>
        <v>0</v>
      </c>
      <c r="S160" s="10">
        <f>TABL12345[[#This Row],[الفرق بين بداية ونهاية خط  S/S]]+TABL12345[[#This Row],[الفرق بين بداية ونهاية خط  T/B]]</f>
        <v>0</v>
      </c>
      <c r="T160" s="10">
        <f t="shared" si="8"/>
        <v>0</v>
      </c>
      <c r="U160" s="44"/>
      <c r="V160" s="44"/>
      <c r="W160" s="10">
        <f t="shared" si="9"/>
        <v>0</v>
      </c>
      <c r="X160" s="10">
        <f t="shared" si="10"/>
        <v>0</v>
      </c>
      <c r="Y160" s="44"/>
      <c r="Z160" s="45"/>
      <c r="AA160" s="3">
        <f>TABL12345[[#This Row],[(RESV. STORGE) AJD]]/10</f>
        <v>0</v>
      </c>
      <c r="AB160" s="45">
        <f t="shared" si="11"/>
        <v>0</v>
      </c>
      <c r="AC160" s="5"/>
      <c r="AD160" s="40">
        <f>(TABL12345[[#This Row],[( S/S+T/B) AJD]]*1000)-((TABL12345[[#This Row],[(STORGE DIFF.) AJD]]*1000)+TABL12345[[#This Row],[البخر  AJD]]+(TABL12345[[#This Row],[(A/B + A/S) AJD]]*1000))</f>
        <v>0</v>
      </c>
      <c r="AE160" s="44"/>
      <c r="AF160" s="45"/>
      <c r="AG160" s="45"/>
      <c r="AH160" s="6">
        <f>TABL12345[[#This Row],[ (RESV. STORGE) BER]]/10</f>
        <v>0</v>
      </c>
      <c r="AI160" s="44"/>
      <c r="AJ160" s="45">
        <f>TABL12345[[#This Row],[(A/B TOT) AJD]]-TABL12345[[#This Row],[BER_ IN]]</f>
        <v>0</v>
      </c>
      <c r="AK160" s="45"/>
      <c r="AL160" s="45"/>
      <c r="AM160" s="32"/>
      <c r="AN160" s="32">
        <f>TABL12345[[#This Row],[ (RESV. STORGE) SER]]/10</f>
        <v>0</v>
      </c>
      <c r="AO160" s="68"/>
      <c r="AP160" s="68">
        <f>TABL12345[[#This Row],[(A/S TOT) AJD]]-TABL12345[[#This Row],[SER_ IN]]</f>
        <v>0</v>
      </c>
    </row>
    <row r="161" spans="1:42" ht="18.75" x14ac:dyDescent="0.25">
      <c r="A161" s="2">
        <v>46912</v>
      </c>
      <c r="B161" s="41"/>
      <c r="C161" s="41"/>
      <c r="D161" s="41"/>
      <c r="E161" s="28"/>
      <c r="F161" s="41"/>
      <c r="G161" s="39"/>
      <c r="H161" s="28"/>
      <c r="I161" s="39"/>
      <c r="J161" s="39"/>
      <c r="K161" s="28">
        <f>TABL12345[[#This Row],[خط (T/B  TOT) SAR]]+TABL12345[[#This Row],[خط (S/S  TOT) SAR2]]</f>
        <v>0</v>
      </c>
      <c r="L161" s="41"/>
      <c r="M161" s="42"/>
      <c r="N161" s="42"/>
      <c r="O161" s="39"/>
      <c r="P161" s="10">
        <f>TABL12345[[#This Row],[خط (S/S  TOT) SAR2]]-TABL12345[[#This Row],[(S/S TOT) AJD]]</f>
        <v>0</v>
      </c>
      <c r="Q161" s="39"/>
      <c r="R161" s="10">
        <f>TABL12345[[#This Row],[خط (T/B  TOT) SAR]]-TABL12345[[#This Row],[(T/B TOT) AJD]]</f>
        <v>0</v>
      </c>
      <c r="S161" s="10">
        <f>TABL12345[[#This Row],[الفرق بين بداية ونهاية خط  S/S]]+TABL12345[[#This Row],[الفرق بين بداية ونهاية خط  T/B]]</f>
        <v>0</v>
      </c>
      <c r="T161" s="10">
        <f t="shared" si="8"/>
        <v>0</v>
      </c>
      <c r="U161" s="41"/>
      <c r="V161" s="41"/>
      <c r="W161" s="10">
        <f t="shared" si="9"/>
        <v>0</v>
      </c>
      <c r="X161" s="10">
        <f t="shared" si="10"/>
        <v>0</v>
      </c>
      <c r="Y161" s="41"/>
      <c r="Z161" s="43"/>
      <c r="AA161" s="3">
        <f>TABL12345[[#This Row],[(RESV. STORGE) AJD]]/10</f>
        <v>0</v>
      </c>
      <c r="AB161" s="45">
        <f t="shared" si="11"/>
        <v>0</v>
      </c>
      <c r="AC161" s="5"/>
      <c r="AD161" s="39">
        <f>(TABL12345[[#This Row],[( S/S+T/B) AJD]]*1000)-((TABL12345[[#This Row],[(STORGE DIFF.) AJD]]*1000)+TABL12345[[#This Row],[البخر  AJD]]+(TABL12345[[#This Row],[(A/B + A/S) AJD]]*1000))</f>
        <v>0</v>
      </c>
      <c r="AE161" s="41"/>
      <c r="AF161" s="43"/>
      <c r="AG161" s="43"/>
      <c r="AH161" s="6">
        <f>TABL12345[[#This Row],[ (RESV. STORGE) BER]]/10</f>
        <v>0</v>
      </c>
      <c r="AI161" s="41"/>
      <c r="AJ161" s="43">
        <f>TABL12345[[#This Row],[(A/B TOT) AJD]]-TABL12345[[#This Row],[BER_ IN]]</f>
        <v>0</v>
      </c>
      <c r="AK161" s="43"/>
      <c r="AL161" s="43"/>
      <c r="AM161" s="32"/>
      <c r="AN161" s="32">
        <f>TABL12345[[#This Row],[ (RESV. STORGE) SER]]/10</f>
        <v>0</v>
      </c>
      <c r="AO161" s="68"/>
      <c r="AP161" s="68">
        <f>TABL12345[[#This Row],[(A/S TOT) AJD]]-TABL12345[[#This Row],[SER_ IN]]</f>
        <v>0</v>
      </c>
    </row>
    <row r="162" spans="1:42" ht="18.75" x14ac:dyDescent="0.25">
      <c r="A162" s="2">
        <v>46913</v>
      </c>
      <c r="B162" s="44"/>
      <c r="C162" s="44"/>
      <c r="D162" s="44"/>
      <c r="E162" s="28"/>
      <c r="F162" s="44"/>
      <c r="G162" s="40"/>
      <c r="H162" s="28"/>
      <c r="I162" s="40"/>
      <c r="J162" s="44"/>
      <c r="K162" s="28">
        <f>TABL12345[[#This Row],[خط (T/B  TOT) SAR]]+TABL12345[[#This Row],[خط (S/S  TOT) SAR2]]</f>
        <v>0</v>
      </c>
      <c r="L162" s="45"/>
      <c r="M162" s="46"/>
      <c r="N162" s="46"/>
      <c r="O162" s="40"/>
      <c r="P162" s="10">
        <f>TABL12345[[#This Row],[خط (S/S  TOT) SAR2]]-TABL12345[[#This Row],[(S/S TOT) AJD]]</f>
        <v>0</v>
      </c>
      <c r="Q162" s="40"/>
      <c r="R162" s="10">
        <f>TABL12345[[#This Row],[خط (T/B  TOT) SAR]]-TABL12345[[#This Row],[(T/B TOT) AJD]]</f>
        <v>0</v>
      </c>
      <c r="S162" s="10">
        <f>TABL12345[[#This Row],[الفرق بين بداية ونهاية خط  S/S]]+TABL12345[[#This Row],[الفرق بين بداية ونهاية خط  T/B]]</f>
        <v>0</v>
      </c>
      <c r="T162" s="10">
        <f t="shared" si="8"/>
        <v>0</v>
      </c>
      <c r="U162" s="44"/>
      <c r="V162" s="44"/>
      <c r="W162" s="10">
        <f t="shared" si="9"/>
        <v>0</v>
      </c>
      <c r="X162" s="10">
        <f t="shared" si="10"/>
        <v>0</v>
      </c>
      <c r="Y162" s="44"/>
      <c r="Z162" s="45"/>
      <c r="AA162" s="3">
        <f>TABL12345[[#This Row],[(RESV. STORGE) AJD]]/10</f>
        <v>0</v>
      </c>
      <c r="AB162" s="45">
        <f t="shared" si="11"/>
        <v>0</v>
      </c>
      <c r="AC162" s="5"/>
      <c r="AD162" s="40">
        <f>(TABL12345[[#This Row],[( S/S+T/B) AJD]]*1000)-((TABL12345[[#This Row],[(STORGE DIFF.) AJD]]*1000)+TABL12345[[#This Row],[البخر  AJD]]+(TABL12345[[#This Row],[(A/B + A/S) AJD]]*1000))</f>
        <v>0</v>
      </c>
      <c r="AE162" s="44"/>
      <c r="AF162" s="45"/>
      <c r="AG162" s="45"/>
      <c r="AH162" s="6">
        <f>TABL12345[[#This Row],[ (RESV. STORGE) BER]]/10</f>
        <v>0</v>
      </c>
      <c r="AI162" s="44"/>
      <c r="AJ162" s="45">
        <f>TABL12345[[#This Row],[(A/B TOT) AJD]]-TABL12345[[#This Row],[BER_ IN]]</f>
        <v>0</v>
      </c>
      <c r="AK162" s="45"/>
      <c r="AL162" s="45"/>
      <c r="AM162" s="32"/>
      <c r="AN162" s="32">
        <f>TABL12345[[#This Row],[ (RESV. STORGE) SER]]/10</f>
        <v>0</v>
      </c>
      <c r="AO162" s="68"/>
      <c r="AP162" s="68">
        <f>TABL12345[[#This Row],[(A/S TOT) AJD]]-TABL12345[[#This Row],[SER_ IN]]</f>
        <v>0</v>
      </c>
    </row>
    <row r="163" spans="1:42" ht="18.75" x14ac:dyDescent="0.25">
      <c r="A163" s="2">
        <v>46914</v>
      </c>
      <c r="B163" s="41"/>
      <c r="C163" s="41"/>
      <c r="D163" s="41"/>
      <c r="E163" s="28"/>
      <c r="F163" s="41"/>
      <c r="G163" s="39"/>
      <c r="H163" s="28"/>
      <c r="I163" s="39"/>
      <c r="J163" s="39"/>
      <c r="K163" s="28">
        <f>TABL12345[[#This Row],[خط (T/B  TOT) SAR]]+TABL12345[[#This Row],[خط (S/S  TOT) SAR2]]</f>
        <v>0</v>
      </c>
      <c r="L163" s="41"/>
      <c r="M163" s="42"/>
      <c r="N163" s="42"/>
      <c r="O163" s="39"/>
      <c r="P163" s="10">
        <f>TABL12345[[#This Row],[خط (S/S  TOT) SAR2]]-TABL12345[[#This Row],[(S/S TOT) AJD]]</f>
        <v>0</v>
      </c>
      <c r="Q163" s="39"/>
      <c r="R163" s="10">
        <f>TABL12345[[#This Row],[خط (T/B  TOT) SAR]]-TABL12345[[#This Row],[(T/B TOT) AJD]]</f>
        <v>0</v>
      </c>
      <c r="S163" s="10">
        <f>TABL12345[[#This Row],[الفرق بين بداية ونهاية خط  S/S]]+TABL12345[[#This Row],[الفرق بين بداية ونهاية خط  T/B]]</f>
        <v>0</v>
      </c>
      <c r="T163" s="10">
        <f t="shared" si="8"/>
        <v>0</v>
      </c>
      <c r="U163" s="41"/>
      <c r="V163" s="41"/>
      <c r="W163" s="10">
        <f t="shared" si="9"/>
        <v>0</v>
      </c>
      <c r="X163" s="10">
        <f t="shared" si="10"/>
        <v>0</v>
      </c>
      <c r="Y163" s="41"/>
      <c r="Z163" s="43"/>
      <c r="AA163" s="3">
        <f>TABL12345[[#This Row],[(RESV. STORGE) AJD]]/10</f>
        <v>0</v>
      </c>
      <c r="AB163" s="45">
        <f t="shared" si="11"/>
        <v>0</v>
      </c>
      <c r="AC163" s="5"/>
      <c r="AD163" s="39">
        <f>(TABL12345[[#This Row],[( S/S+T/B) AJD]]*1000)-((TABL12345[[#This Row],[(STORGE DIFF.) AJD]]*1000)+TABL12345[[#This Row],[البخر  AJD]]+(TABL12345[[#This Row],[(A/B + A/S) AJD]]*1000))</f>
        <v>0</v>
      </c>
      <c r="AE163" s="41"/>
      <c r="AF163" s="43"/>
      <c r="AG163" s="43"/>
      <c r="AH163" s="6">
        <f>TABL12345[[#This Row],[ (RESV. STORGE) BER]]/10</f>
        <v>0</v>
      </c>
      <c r="AI163" s="41"/>
      <c r="AJ163" s="43">
        <f>TABL12345[[#This Row],[(A/B TOT) AJD]]-TABL12345[[#This Row],[BER_ IN]]</f>
        <v>0</v>
      </c>
      <c r="AK163" s="43"/>
      <c r="AL163" s="43"/>
      <c r="AM163" s="32"/>
      <c r="AN163" s="32">
        <f>TABL12345[[#This Row],[ (RESV. STORGE) SER]]/10</f>
        <v>0</v>
      </c>
      <c r="AO163" s="68"/>
      <c r="AP163" s="68">
        <f>TABL12345[[#This Row],[(A/S TOT) AJD]]-TABL12345[[#This Row],[SER_ IN]]</f>
        <v>0</v>
      </c>
    </row>
    <row r="164" spans="1:42" ht="18.75" x14ac:dyDescent="0.25">
      <c r="A164" s="2">
        <v>46915</v>
      </c>
      <c r="B164" s="44"/>
      <c r="C164" s="44"/>
      <c r="D164" s="44"/>
      <c r="E164" s="28"/>
      <c r="F164" s="44"/>
      <c r="G164" s="40"/>
      <c r="H164" s="28"/>
      <c r="I164" s="40"/>
      <c r="J164" s="44"/>
      <c r="K164" s="28">
        <f>TABL12345[[#This Row],[خط (T/B  TOT) SAR]]+TABL12345[[#This Row],[خط (S/S  TOT) SAR2]]</f>
        <v>0</v>
      </c>
      <c r="L164" s="45"/>
      <c r="M164" s="46"/>
      <c r="N164" s="46"/>
      <c r="O164" s="40"/>
      <c r="P164" s="10">
        <f>TABL12345[[#This Row],[خط (S/S  TOT) SAR2]]-TABL12345[[#This Row],[(S/S TOT) AJD]]</f>
        <v>0</v>
      </c>
      <c r="Q164" s="40"/>
      <c r="R164" s="10">
        <f>TABL12345[[#This Row],[خط (T/B  TOT) SAR]]-TABL12345[[#This Row],[(T/B TOT) AJD]]</f>
        <v>0</v>
      </c>
      <c r="S164" s="10">
        <f>TABL12345[[#This Row],[الفرق بين بداية ونهاية خط  S/S]]+TABL12345[[#This Row],[الفرق بين بداية ونهاية خط  T/B]]</f>
        <v>0</v>
      </c>
      <c r="T164" s="10">
        <f t="shared" si="8"/>
        <v>0</v>
      </c>
      <c r="U164" s="44"/>
      <c r="V164" s="44"/>
      <c r="W164" s="10">
        <f t="shared" si="9"/>
        <v>0</v>
      </c>
      <c r="X164" s="10">
        <f t="shared" si="10"/>
        <v>0</v>
      </c>
      <c r="Y164" s="44"/>
      <c r="Z164" s="45"/>
      <c r="AA164" s="3">
        <f>TABL12345[[#This Row],[(RESV. STORGE) AJD]]/10</f>
        <v>0</v>
      </c>
      <c r="AB164" s="45">
        <f t="shared" si="11"/>
        <v>0</v>
      </c>
      <c r="AC164" s="5"/>
      <c r="AD164" s="40">
        <f>(TABL12345[[#This Row],[( S/S+T/B) AJD]]*1000)-((TABL12345[[#This Row],[(STORGE DIFF.) AJD]]*1000)+TABL12345[[#This Row],[البخر  AJD]]+(TABL12345[[#This Row],[(A/B + A/S) AJD]]*1000))</f>
        <v>0</v>
      </c>
      <c r="AE164" s="44"/>
      <c r="AF164" s="45"/>
      <c r="AG164" s="45"/>
      <c r="AH164" s="6">
        <f>TABL12345[[#This Row],[ (RESV. STORGE) BER]]/10</f>
        <v>0</v>
      </c>
      <c r="AI164" s="44"/>
      <c r="AJ164" s="45">
        <f>TABL12345[[#This Row],[(A/B TOT) AJD]]-TABL12345[[#This Row],[BER_ IN]]</f>
        <v>0</v>
      </c>
      <c r="AK164" s="45"/>
      <c r="AL164" s="45"/>
      <c r="AM164" s="32"/>
      <c r="AN164" s="32">
        <f>TABL12345[[#This Row],[ (RESV. STORGE) SER]]/10</f>
        <v>0</v>
      </c>
      <c r="AO164" s="68"/>
      <c r="AP164" s="68">
        <f>TABL12345[[#This Row],[(A/S TOT) AJD]]-TABL12345[[#This Row],[SER_ IN]]</f>
        <v>0</v>
      </c>
    </row>
    <row r="165" spans="1:42" ht="18.75" x14ac:dyDescent="0.25">
      <c r="A165" s="2">
        <v>46916</v>
      </c>
      <c r="B165" s="41"/>
      <c r="C165" s="41"/>
      <c r="D165" s="41"/>
      <c r="E165" s="28"/>
      <c r="F165" s="41"/>
      <c r="G165" s="39"/>
      <c r="H165" s="28"/>
      <c r="I165" s="39"/>
      <c r="J165" s="39"/>
      <c r="K165" s="28">
        <f>TABL12345[[#This Row],[خط (T/B  TOT) SAR]]+TABL12345[[#This Row],[خط (S/S  TOT) SAR2]]</f>
        <v>0</v>
      </c>
      <c r="L165" s="41"/>
      <c r="M165" s="42"/>
      <c r="N165" s="42"/>
      <c r="O165" s="39"/>
      <c r="P165" s="10">
        <f>TABL12345[[#This Row],[خط (S/S  TOT) SAR2]]-TABL12345[[#This Row],[(S/S TOT) AJD]]</f>
        <v>0</v>
      </c>
      <c r="Q165" s="39"/>
      <c r="R165" s="10">
        <f>TABL12345[[#This Row],[خط (T/B  TOT) SAR]]-TABL12345[[#This Row],[(T/B TOT) AJD]]</f>
        <v>0</v>
      </c>
      <c r="S165" s="10">
        <f>TABL12345[[#This Row],[الفرق بين بداية ونهاية خط  S/S]]+TABL12345[[#This Row],[الفرق بين بداية ونهاية خط  T/B]]</f>
        <v>0</v>
      </c>
      <c r="T165" s="10">
        <f t="shared" si="8"/>
        <v>0</v>
      </c>
      <c r="U165" s="41"/>
      <c r="V165" s="41"/>
      <c r="W165" s="10">
        <f t="shared" si="9"/>
        <v>0</v>
      </c>
      <c r="X165" s="10">
        <f t="shared" si="10"/>
        <v>0</v>
      </c>
      <c r="Y165" s="41"/>
      <c r="Z165" s="43"/>
      <c r="AA165" s="3">
        <f>TABL12345[[#This Row],[(RESV. STORGE) AJD]]/10</f>
        <v>0</v>
      </c>
      <c r="AB165" s="45">
        <f t="shared" si="11"/>
        <v>0</v>
      </c>
      <c r="AC165" s="5"/>
      <c r="AD165" s="39">
        <f>(TABL12345[[#This Row],[( S/S+T/B) AJD]]*1000)-((TABL12345[[#This Row],[(STORGE DIFF.) AJD]]*1000)+TABL12345[[#This Row],[البخر  AJD]]+(TABL12345[[#This Row],[(A/B + A/S) AJD]]*1000))</f>
        <v>0</v>
      </c>
      <c r="AE165" s="41"/>
      <c r="AF165" s="43"/>
      <c r="AG165" s="43"/>
      <c r="AH165" s="6">
        <f>TABL12345[[#This Row],[ (RESV. STORGE) BER]]/10</f>
        <v>0</v>
      </c>
      <c r="AI165" s="41"/>
      <c r="AJ165" s="43">
        <f>TABL12345[[#This Row],[(A/B TOT) AJD]]-TABL12345[[#This Row],[BER_ IN]]</f>
        <v>0</v>
      </c>
      <c r="AK165" s="43"/>
      <c r="AL165" s="43"/>
      <c r="AM165" s="32"/>
      <c r="AN165" s="32">
        <f>TABL12345[[#This Row],[ (RESV. STORGE) SER]]/10</f>
        <v>0</v>
      </c>
      <c r="AO165" s="68"/>
      <c r="AP165" s="68">
        <f>TABL12345[[#This Row],[(A/S TOT) AJD]]-TABL12345[[#This Row],[SER_ IN]]</f>
        <v>0</v>
      </c>
    </row>
    <row r="166" spans="1:42" ht="18.75" x14ac:dyDescent="0.25">
      <c r="A166" s="2">
        <v>46917</v>
      </c>
      <c r="B166" s="44"/>
      <c r="C166" s="44"/>
      <c r="D166" s="44"/>
      <c r="E166" s="28"/>
      <c r="F166" s="44"/>
      <c r="G166" s="40"/>
      <c r="H166" s="28"/>
      <c r="I166" s="40"/>
      <c r="J166" s="44"/>
      <c r="K166" s="28">
        <f>TABL12345[[#This Row],[خط (T/B  TOT) SAR]]+TABL12345[[#This Row],[خط (S/S  TOT) SAR2]]</f>
        <v>0</v>
      </c>
      <c r="L166" s="45"/>
      <c r="M166" s="46"/>
      <c r="N166" s="46"/>
      <c r="O166" s="40"/>
      <c r="P166" s="10">
        <f>TABL12345[[#This Row],[خط (S/S  TOT) SAR2]]-TABL12345[[#This Row],[(S/S TOT) AJD]]</f>
        <v>0</v>
      </c>
      <c r="Q166" s="40"/>
      <c r="R166" s="10">
        <f>TABL12345[[#This Row],[خط (T/B  TOT) SAR]]-TABL12345[[#This Row],[(T/B TOT) AJD]]</f>
        <v>0</v>
      </c>
      <c r="S166" s="10">
        <f>TABL12345[[#This Row],[الفرق بين بداية ونهاية خط  S/S]]+TABL12345[[#This Row],[الفرق بين بداية ونهاية خط  T/B]]</f>
        <v>0</v>
      </c>
      <c r="T166" s="10">
        <f t="shared" si="8"/>
        <v>0</v>
      </c>
      <c r="U166" s="44"/>
      <c r="V166" s="44"/>
      <c r="W166" s="10">
        <f t="shared" si="9"/>
        <v>0</v>
      </c>
      <c r="X166" s="10">
        <f t="shared" si="10"/>
        <v>0</v>
      </c>
      <c r="Y166" s="44"/>
      <c r="Z166" s="45"/>
      <c r="AA166" s="3">
        <f>TABL12345[[#This Row],[(RESV. STORGE) AJD]]/10</f>
        <v>0</v>
      </c>
      <c r="AB166" s="45">
        <f t="shared" si="11"/>
        <v>0</v>
      </c>
      <c r="AC166" s="5"/>
      <c r="AD166" s="40">
        <f>(TABL12345[[#This Row],[( S/S+T/B) AJD]]*1000)-((TABL12345[[#This Row],[(STORGE DIFF.) AJD]]*1000)+TABL12345[[#This Row],[البخر  AJD]]+(TABL12345[[#This Row],[(A/B + A/S) AJD]]*1000))</f>
        <v>0</v>
      </c>
      <c r="AE166" s="44"/>
      <c r="AF166" s="45"/>
      <c r="AG166" s="45"/>
      <c r="AH166" s="6">
        <f>TABL12345[[#This Row],[ (RESV. STORGE) BER]]/10</f>
        <v>0</v>
      </c>
      <c r="AI166" s="44"/>
      <c r="AJ166" s="45">
        <f>TABL12345[[#This Row],[(A/B TOT) AJD]]-TABL12345[[#This Row],[BER_ IN]]</f>
        <v>0</v>
      </c>
      <c r="AK166" s="45"/>
      <c r="AL166" s="45"/>
      <c r="AM166" s="32"/>
      <c r="AN166" s="32">
        <f>TABL12345[[#This Row],[ (RESV. STORGE) SER]]/10</f>
        <v>0</v>
      </c>
      <c r="AO166" s="68"/>
      <c r="AP166" s="68">
        <f>TABL12345[[#This Row],[(A/S TOT) AJD]]-TABL12345[[#This Row],[SER_ IN]]</f>
        <v>0</v>
      </c>
    </row>
    <row r="167" spans="1:42" ht="18.75" x14ac:dyDescent="0.25">
      <c r="A167" s="2">
        <v>46918</v>
      </c>
      <c r="B167" s="41"/>
      <c r="C167" s="41"/>
      <c r="D167" s="41"/>
      <c r="E167" s="28"/>
      <c r="F167" s="41"/>
      <c r="G167" s="39"/>
      <c r="H167" s="28"/>
      <c r="I167" s="39"/>
      <c r="J167" s="39"/>
      <c r="K167" s="28">
        <f>TABL12345[[#This Row],[خط (T/B  TOT) SAR]]+TABL12345[[#This Row],[خط (S/S  TOT) SAR2]]</f>
        <v>0</v>
      </c>
      <c r="L167" s="41"/>
      <c r="M167" s="42"/>
      <c r="N167" s="42"/>
      <c r="O167" s="39"/>
      <c r="P167" s="10">
        <f>TABL12345[[#This Row],[خط (S/S  TOT) SAR2]]-TABL12345[[#This Row],[(S/S TOT) AJD]]</f>
        <v>0</v>
      </c>
      <c r="Q167" s="39"/>
      <c r="R167" s="10">
        <f>TABL12345[[#This Row],[خط (T/B  TOT) SAR]]-TABL12345[[#This Row],[(T/B TOT) AJD]]</f>
        <v>0</v>
      </c>
      <c r="S167" s="10">
        <f>TABL12345[[#This Row],[الفرق بين بداية ونهاية خط  S/S]]+TABL12345[[#This Row],[الفرق بين بداية ونهاية خط  T/B]]</f>
        <v>0</v>
      </c>
      <c r="T167" s="10">
        <f t="shared" si="8"/>
        <v>0</v>
      </c>
      <c r="U167" s="41"/>
      <c r="V167" s="41"/>
      <c r="W167" s="10">
        <f t="shared" si="9"/>
        <v>0</v>
      </c>
      <c r="X167" s="10">
        <f t="shared" si="10"/>
        <v>0</v>
      </c>
      <c r="Y167" s="41"/>
      <c r="Z167" s="43"/>
      <c r="AA167" s="3">
        <f>TABL12345[[#This Row],[(RESV. STORGE) AJD]]/10</f>
        <v>0</v>
      </c>
      <c r="AB167" s="45">
        <f t="shared" si="11"/>
        <v>0</v>
      </c>
      <c r="AC167" s="5"/>
      <c r="AD167" s="39">
        <f>(TABL12345[[#This Row],[( S/S+T/B) AJD]]*1000)-((TABL12345[[#This Row],[(STORGE DIFF.) AJD]]*1000)+TABL12345[[#This Row],[البخر  AJD]]+(TABL12345[[#This Row],[(A/B + A/S) AJD]]*1000))</f>
        <v>0</v>
      </c>
      <c r="AE167" s="41"/>
      <c r="AF167" s="43"/>
      <c r="AG167" s="43"/>
      <c r="AH167" s="6">
        <f>TABL12345[[#This Row],[ (RESV. STORGE) BER]]/10</f>
        <v>0</v>
      </c>
      <c r="AI167" s="41"/>
      <c r="AJ167" s="43">
        <f>TABL12345[[#This Row],[(A/B TOT) AJD]]-TABL12345[[#This Row],[BER_ IN]]</f>
        <v>0</v>
      </c>
      <c r="AK167" s="43"/>
      <c r="AL167" s="43"/>
      <c r="AM167" s="32"/>
      <c r="AN167" s="32">
        <f>TABL12345[[#This Row],[ (RESV. STORGE) SER]]/10</f>
        <v>0</v>
      </c>
      <c r="AO167" s="68"/>
      <c r="AP167" s="68">
        <f>TABL12345[[#This Row],[(A/S TOT) AJD]]-TABL12345[[#This Row],[SER_ IN]]</f>
        <v>0</v>
      </c>
    </row>
    <row r="168" spans="1:42" ht="18.75" x14ac:dyDescent="0.25">
      <c r="A168" s="2">
        <v>46919</v>
      </c>
      <c r="B168" s="44"/>
      <c r="C168" s="44"/>
      <c r="D168" s="44"/>
      <c r="E168" s="28"/>
      <c r="F168" s="44"/>
      <c r="G168" s="40"/>
      <c r="H168" s="28"/>
      <c r="I168" s="40"/>
      <c r="J168" s="44"/>
      <c r="K168" s="28">
        <f>TABL12345[[#This Row],[خط (T/B  TOT) SAR]]+TABL12345[[#This Row],[خط (S/S  TOT) SAR2]]</f>
        <v>0</v>
      </c>
      <c r="L168" s="45"/>
      <c r="M168" s="46"/>
      <c r="N168" s="46"/>
      <c r="O168" s="40"/>
      <c r="P168" s="10">
        <f>TABL12345[[#This Row],[خط (S/S  TOT) SAR2]]-TABL12345[[#This Row],[(S/S TOT) AJD]]</f>
        <v>0</v>
      </c>
      <c r="Q168" s="40"/>
      <c r="R168" s="10">
        <f>TABL12345[[#This Row],[خط (T/B  TOT) SAR]]-TABL12345[[#This Row],[(T/B TOT) AJD]]</f>
        <v>0</v>
      </c>
      <c r="S168" s="10">
        <f>TABL12345[[#This Row],[الفرق بين بداية ونهاية خط  S/S]]+TABL12345[[#This Row],[الفرق بين بداية ونهاية خط  T/B]]</f>
        <v>0</v>
      </c>
      <c r="T168" s="10">
        <f t="shared" si="8"/>
        <v>0</v>
      </c>
      <c r="U168" s="44"/>
      <c r="V168" s="44"/>
      <c r="W168" s="10">
        <f t="shared" si="9"/>
        <v>0</v>
      </c>
      <c r="X168" s="10">
        <f t="shared" si="10"/>
        <v>0</v>
      </c>
      <c r="Y168" s="44"/>
      <c r="Z168" s="45"/>
      <c r="AA168" s="3">
        <f>TABL12345[[#This Row],[(RESV. STORGE) AJD]]/10</f>
        <v>0</v>
      </c>
      <c r="AB168" s="45">
        <f t="shared" si="11"/>
        <v>0</v>
      </c>
      <c r="AC168" s="5"/>
      <c r="AD168" s="40">
        <f>(TABL12345[[#This Row],[( S/S+T/B) AJD]]*1000)-((TABL12345[[#This Row],[(STORGE DIFF.) AJD]]*1000)+TABL12345[[#This Row],[البخر  AJD]]+(TABL12345[[#This Row],[(A/B + A/S) AJD]]*1000))</f>
        <v>0</v>
      </c>
      <c r="AE168" s="44"/>
      <c r="AF168" s="45"/>
      <c r="AG168" s="45"/>
      <c r="AH168" s="6">
        <f>TABL12345[[#This Row],[ (RESV. STORGE) BER]]/10</f>
        <v>0</v>
      </c>
      <c r="AI168" s="44"/>
      <c r="AJ168" s="45">
        <f>TABL12345[[#This Row],[(A/B TOT) AJD]]-TABL12345[[#This Row],[BER_ IN]]</f>
        <v>0</v>
      </c>
      <c r="AK168" s="45"/>
      <c r="AL168" s="45"/>
      <c r="AM168" s="32"/>
      <c r="AN168" s="32">
        <f>TABL12345[[#This Row],[ (RESV. STORGE) SER]]/10</f>
        <v>0</v>
      </c>
      <c r="AO168" s="68"/>
      <c r="AP168" s="68">
        <f>TABL12345[[#This Row],[(A/S TOT) AJD]]-TABL12345[[#This Row],[SER_ IN]]</f>
        <v>0</v>
      </c>
    </row>
    <row r="169" spans="1:42" ht="18.75" x14ac:dyDescent="0.25">
      <c r="A169" s="2">
        <v>46920</v>
      </c>
      <c r="B169" s="41"/>
      <c r="C169" s="41"/>
      <c r="D169" s="41"/>
      <c r="E169" s="28"/>
      <c r="F169" s="41"/>
      <c r="G169" s="39"/>
      <c r="H169" s="28"/>
      <c r="I169" s="39"/>
      <c r="J169" s="39"/>
      <c r="K169" s="28">
        <f>TABL12345[[#This Row],[خط (T/B  TOT) SAR]]+TABL12345[[#This Row],[خط (S/S  TOT) SAR2]]</f>
        <v>0</v>
      </c>
      <c r="L169" s="41"/>
      <c r="M169" s="42"/>
      <c r="N169" s="42"/>
      <c r="O169" s="39"/>
      <c r="P169" s="10">
        <f>TABL12345[[#This Row],[خط (S/S  TOT) SAR2]]-TABL12345[[#This Row],[(S/S TOT) AJD]]</f>
        <v>0</v>
      </c>
      <c r="Q169" s="39"/>
      <c r="R169" s="10">
        <f>TABL12345[[#This Row],[خط (T/B  TOT) SAR]]-TABL12345[[#This Row],[(T/B TOT) AJD]]</f>
        <v>0</v>
      </c>
      <c r="S169" s="10">
        <f>TABL12345[[#This Row],[الفرق بين بداية ونهاية خط  S/S]]+TABL12345[[#This Row],[الفرق بين بداية ونهاية خط  T/B]]</f>
        <v>0</v>
      </c>
      <c r="T169" s="10">
        <f t="shared" si="8"/>
        <v>0</v>
      </c>
      <c r="U169" s="41"/>
      <c r="V169" s="41"/>
      <c r="W169" s="10">
        <f t="shared" si="9"/>
        <v>0</v>
      </c>
      <c r="X169" s="10">
        <f t="shared" si="10"/>
        <v>0</v>
      </c>
      <c r="Y169" s="41"/>
      <c r="Z169" s="43"/>
      <c r="AA169" s="3">
        <f>TABL12345[[#This Row],[(RESV. STORGE) AJD]]/10</f>
        <v>0</v>
      </c>
      <c r="AB169" s="45">
        <f t="shared" si="11"/>
        <v>0</v>
      </c>
      <c r="AC169" s="5"/>
      <c r="AD169" s="39">
        <f>(TABL12345[[#This Row],[( S/S+T/B) AJD]]*1000)-((TABL12345[[#This Row],[(STORGE DIFF.) AJD]]*1000)+TABL12345[[#This Row],[البخر  AJD]]+(TABL12345[[#This Row],[(A/B + A/S) AJD]]*1000))</f>
        <v>0</v>
      </c>
      <c r="AE169" s="41"/>
      <c r="AF169" s="43"/>
      <c r="AG169" s="43"/>
      <c r="AH169" s="6">
        <f>TABL12345[[#This Row],[ (RESV. STORGE) BER]]/10</f>
        <v>0</v>
      </c>
      <c r="AI169" s="41"/>
      <c r="AJ169" s="43">
        <f>TABL12345[[#This Row],[(A/B TOT) AJD]]-TABL12345[[#This Row],[BER_ IN]]</f>
        <v>0</v>
      </c>
      <c r="AK169" s="43"/>
      <c r="AL169" s="43"/>
      <c r="AM169" s="32"/>
      <c r="AN169" s="32">
        <f>TABL12345[[#This Row],[ (RESV. STORGE) SER]]/10</f>
        <v>0</v>
      </c>
      <c r="AO169" s="68"/>
      <c r="AP169" s="68">
        <f>TABL12345[[#This Row],[(A/S TOT) AJD]]-TABL12345[[#This Row],[SER_ IN]]</f>
        <v>0</v>
      </c>
    </row>
    <row r="170" spans="1:42" ht="18.75" x14ac:dyDescent="0.25">
      <c r="A170" s="2">
        <v>46921</v>
      </c>
      <c r="B170" s="44"/>
      <c r="C170" s="44"/>
      <c r="D170" s="44"/>
      <c r="E170" s="28"/>
      <c r="F170" s="44"/>
      <c r="G170" s="40"/>
      <c r="H170" s="28"/>
      <c r="I170" s="40"/>
      <c r="J170" s="44"/>
      <c r="K170" s="28">
        <f>TABL12345[[#This Row],[خط (T/B  TOT) SAR]]+TABL12345[[#This Row],[خط (S/S  TOT) SAR2]]</f>
        <v>0</v>
      </c>
      <c r="L170" s="45"/>
      <c r="M170" s="46"/>
      <c r="N170" s="46"/>
      <c r="O170" s="40"/>
      <c r="P170" s="3">
        <f>TABL12345[[#This Row],[خط (S/S  TOT) SAR2]]-TABL12345[[#This Row],[(S/S TOT) AJD]]</f>
        <v>0</v>
      </c>
      <c r="Q170" s="40"/>
      <c r="R170" s="3">
        <f>TABL12345[[#This Row],[خط (T/B  TOT) SAR]]-TABL12345[[#This Row],[(T/B TOT) AJD]]</f>
        <v>0</v>
      </c>
      <c r="S170" s="3">
        <f>TABL12345[[#This Row],[الفرق بين بداية ونهاية خط  S/S]]+TABL12345[[#This Row],[الفرق بين بداية ونهاية خط  T/B]]</f>
        <v>0</v>
      </c>
      <c r="T170" s="3">
        <f t="shared" si="8"/>
        <v>0</v>
      </c>
      <c r="U170" s="44"/>
      <c r="V170" s="44"/>
      <c r="W170" s="3">
        <f t="shared" si="9"/>
        <v>0</v>
      </c>
      <c r="X170" s="3">
        <f t="shared" si="10"/>
        <v>0</v>
      </c>
      <c r="Y170" s="44"/>
      <c r="Z170" s="45"/>
      <c r="AA170" s="3">
        <f>TABL12345[[#This Row],[(RESV. STORGE) AJD]]/10</f>
        <v>0</v>
      </c>
      <c r="AB170" s="45">
        <f t="shared" si="11"/>
        <v>0</v>
      </c>
      <c r="AC170" s="5"/>
      <c r="AD170" s="40">
        <f>(TABL12345[[#This Row],[( S/S+T/B) AJD]]*1000)-((TABL12345[[#This Row],[(STORGE DIFF.) AJD]]*1000)+TABL12345[[#This Row],[البخر  AJD]]+(TABL12345[[#This Row],[(A/B + A/S) AJD]]*1000))</f>
        <v>0</v>
      </c>
      <c r="AE170" s="44"/>
      <c r="AF170" s="45"/>
      <c r="AG170" s="45"/>
      <c r="AH170" s="6">
        <f>TABL12345[[#This Row],[ (RESV. STORGE) BER]]/10</f>
        <v>0</v>
      </c>
      <c r="AI170" s="44"/>
      <c r="AJ170" s="45">
        <f>TABL12345[[#This Row],[(A/B TOT) AJD]]-TABL12345[[#This Row],[BER_ IN]]</f>
        <v>0</v>
      </c>
      <c r="AK170" s="45"/>
      <c r="AL170" s="45"/>
      <c r="AM170" s="32"/>
      <c r="AN170" s="32">
        <f>TABL12345[[#This Row],[ (RESV. STORGE) SER]]/10</f>
        <v>0</v>
      </c>
      <c r="AO170" s="68"/>
      <c r="AP170" s="68">
        <f>TABL12345[[#This Row],[(A/S TOT) AJD]]-TABL12345[[#This Row],[SER_ IN]]</f>
        <v>0</v>
      </c>
    </row>
    <row r="171" spans="1:42" ht="18.75" x14ac:dyDescent="0.25">
      <c r="A171" s="2">
        <v>46922</v>
      </c>
      <c r="B171" s="41"/>
      <c r="C171" s="41"/>
      <c r="D171" s="41"/>
      <c r="E171" s="28"/>
      <c r="F171" s="41"/>
      <c r="G171" s="39"/>
      <c r="H171" s="28"/>
      <c r="I171" s="39"/>
      <c r="J171" s="39"/>
      <c r="K171" s="28">
        <f>TABL12345[[#This Row],[خط (T/B  TOT) SAR]]+TABL12345[[#This Row],[خط (S/S  TOT) SAR2]]</f>
        <v>0</v>
      </c>
      <c r="L171" s="41"/>
      <c r="M171" s="42"/>
      <c r="N171" s="42"/>
      <c r="O171" s="39"/>
      <c r="P171" s="3">
        <f>TABL12345[[#This Row],[خط (S/S  TOT) SAR2]]-TABL12345[[#This Row],[(S/S TOT) AJD]]</f>
        <v>0</v>
      </c>
      <c r="Q171" s="39"/>
      <c r="R171" s="3">
        <f>TABL12345[[#This Row],[خط (T/B  TOT) SAR]]-TABL12345[[#This Row],[(T/B TOT) AJD]]</f>
        <v>0</v>
      </c>
      <c r="S171" s="3">
        <f>TABL12345[[#This Row],[الفرق بين بداية ونهاية خط  S/S]]+TABL12345[[#This Row],[الفرق بين بداية ونهاية خط  T/B]]</f>
        <v>0</v>
      </c>
      <c r="T171" s="3">
        <f t="shared" si="8"/>
        <v>0</v>
      </c>
      <c r="U171" s="41"/>
      <c r="V171" s="41"/>
      <c r="W171" s="3">
        <f t="shared" si="9"/>
        <v>0</v>
      </c>
      <c r="X171" s="3">
        <f t="shared" si="10"/>
        <v>0</v>
      </c>
      <c r="Y171" s="41"/>
      <c r="Z171" s="43"/>
      <c r="AA171" s="3">
        <f>TABL12345[[#This Row],[(RESV. STORGE) AJD]]/10</f>
        <v>0</v>
      </c>
      <c r="AB171" s="45">
        <f t="shared" si="11"/>
        <v>0</v>
      </c>
      <c r="AC171" s="5"/>
      <c r="AD171" s="39">
        <f>(TABL12345[[#This Row],[( S/S+T/B) AJD]]*1000)-((TABL12345[[#This Row],[(STORGE DIFF.) AJD]]*1000)+TABL12345[[#This Row],[البخر  AJD]]+(TABL12345[[#This Row],[(A/B + A/S) AJD]]*1000))</f>
        <v>0</v>
      </c>
      <c r="AE171" s="41"/>
      <c r="AF171" s="43"/>
      <c r="AG171" s="43"/>
      <c r="AH171" s="6">
        <f>TABL12345[[#This Row],[ (RESV. STORGE) BER]]/10</f>
        <v>0</v>
      </c>
      <c r="AI171" s="41"/>
      <c r="AJ171" s="43">
        <f>TABL12345[[#This Row],[(A/B TOT) AJD]]-TABL12345[[#This Row],[BER_ IN]]</f>
        <v>0</v>
      </c>
      <c r="AK171" s="43"/>
      <c r="AL171" s="43"/>
      <c r="AM171" s="32"/>
      <c r="AN171" s="32">
        <f>TABL12345[[#This Row],[ (RESV. STORGE) SER]]/10</f>
        <v>0</v>
      </c>
      <c r="AO171" s="68"/>
      <c r="AP171" s="68">
        <f>TABL12345[[#This Row],[(A/S TOT) AJD]]-TABL12345[[#This Row],[SER_ IN]]</f>
        <v>0</v>
      </c>
    </row>
    <row r="172" spans="1:42" ht="18.75" x14ac:dyDescent="0.25">
      <c r="A172" s="2">
        <v>46923</v>
      </c>
      <c r="B172" s="44"/>
      <c r="C172" s="44"/>
      <c r="D172" s="44"/>
      <c r="E172" s="28"/>
      <c r="F172" s="44"/>
      <c r="G172" s="40"/>
      <c r="H172" s="28"/>
      <c r="I172" s="40"/>
      <c r="J172" s="40"/>
      <c r="K172" s="28">
        <f>TABL12345[[#This Row],[خط (T/B  TOT) SAR]]+TABL12345[[#This Row],[خط (S/S  TOT) SAR2]]</f>
        <v>0</v>
      </c>
      <c r="L172" s="44"/>
      <c r="M172" s="46"/>
      <c r="N172" s="46"/>
      <c r="O172" s="40"/>
      <c r="P172" s="3">
        <f>TABL12345[[#This Row],[خط (S/S  TOT) SAR2]]-TABL12345[[#This Row],[(S/S TOT) AJD]]</f>
        <v>0</v>
      </c>
      <c r="Q172" s="40"/>
      <c r="R172" s="3">
        <f>TABL12345[[#This Row],[خط (T/B  TOT) SAR]]-TABL12345[[#This Row],[(T/B TOT) AJD]]</f>
        <v>0</v>
      </c>
      <c r="S172" s="3">
        <f>TABL12345[[#This Row],[الفرق بين بداية ونهاية خط  S/S]]+TABL12345[[#This Row],[الفرق بين بداية ونهاية خط  T/B]]</f>
        <v>0</v>
      </c>
      <c r="T172" s="3">
        <f t="shared" si="8"/>
        <v>0</v>
      </c>
      <c r="U172" s="44"/>
      <c r="V172" s="44"/>
      <c r="W172" s="3">
        <f t="shared" si="9"/>
        <v>0</v>
      </c>
      <c r="X172" s="3">
        <f t="shared" si="10"/>
        <v>0</v>
      </c>
      <c r="Y172" s="44"/>
      <c r="Z172" s="45"/>
      <c r="AA172" s="3">
        <f>TABL12345[[#This Row],[(RESV. STORGE) AJD]]/10</f>
        <v>0</v>
      </c>
      <c r="AB172" s="45">
        <f t="shared" si="11"/>
        <v>0</v>
      </c>
      <c r="AC172" s="5"/>
      <c r="AD172" s="40">
        <f>(TABL12345[[#This Row],[( S/S+T/B) AJD]]*1000)-((TABL12345[[#This Row],[(STORGE DIFF.) AJD]]*1000)+TABL12345[[#This Row],[البخر  AJD]]+(TABL12345[[#This Row],[(A/B + A/S) AJD]]*1000))</f>
        <v>0</v>
      </c>
      <c r="AE172" s="44"/>
      <c r="AF172" s="45"/>
      <c r="AG172" s="45"/>
      <c r="AH172" s="6">
        <f>TABL12345[[#This Row],[ (RESV. STORGE) BER]]/10</f>
        <v>0</v>
      </c>
      <c r="AI172" s="44"/>
      <c r="AJ172" s="45">
        <f>TABL12345[[#This Row],[(A/B TOT) AJD]]-TABL12345[[#This Row],[BER_ IN]]</f>
        <v>0</v>
      </c>
      <c r="AK172" s="45"/>
      <c r="AL172" s="45"/>
      <c r="AM172" s="32"/>
      <c r="AN172" s="32">
        <f>TABL12345[[#This Row],[ (RESV. STORGE) SER]]/10</f>
        <v>0</v>
      </c>
      <c r="AO172" s="68"/>
      <c r="AP172" s="68">
        <f>TABL12345[[#This Row],[(A/S TOT) AJD]]-TABL12345[[#This Row],[SER_ IN]]</f>
        <v>0</v>
      </c>
    </row>
    <row r="173" spans="1:42" ht="18.75" x14ac:dyDescent="0.25">
      <c r="A173" s="2">
        <v>46924</v>
      </c>
      <c r="B173" s="41"/>
      <c r="C173" s="41"/>
      <c r="D173" s="41"/>
      <c r="E173" s="28"/>
      <c r="F173" s="41"/>
      <c r="G173" s="39"/>
      <c r="H173" s="28"/>
      <c r="I173" s="39"/>
      <c r="J173" s="39"/>
      <c r="K173" s="28">
        <f>TABL12345[[#This Row],[خط (T/B  TOT) SAR]]+TABL12345[[#This Row],[خط (S/S  TOT) SAR2]]</f>
        <v>0</v>
      </c>
      <c r="L173" s="41"/>
      <c r="M173" s="42"/>
      <c r="N173" s="42"/>
      <c r="O173" s="39"/>
      <c r="P173" s="3">
        <f>TABL12345[[#This Row],[خط (S/S  TOT) SAR2]]-TABL12345[[#This Row],[(S/S TOT) AJD]]</f>
        <v>0</v>
      </c>
      <c r="Q173" s="39"/>
      <c r="R173" s="3">
        <f>TABL12345[[#This Row],[خط (T/B  TOT) SAR]]-TABL12345[[#This Row],[(T/B TOT) AJD]]</f>
        <v>0</v>
      </c>
      <c r="S173" s="3">
        <f>TABL12345[[#This Row],[الفرق بين بداية ونهاية خط  S/S]]+TABL12345[[#This Row],[الفرق بين بداية ونهاية خط  T/B]]</f>
        <v>0</v>
      </c>
      <c r="T173" s="3">
        <f t="shared" si="8"/>
        <v>0</v>
      </c>
      <c r="U173" s="41"/>
      <c r="V173" s="41"/>
      <c r="W173" s="3">
        <f t="shared" si="9"/>
        <v>0</v>
      </c>
      <c r="X173" s="3">
        <f t="shared" si="10"/>
        <v>0</v>
      </c>
      <c r="Y173" s="41"/>
      <c r="Z173" s="43"/>
      <c r="AA173" s="3">
        <f>TABL12345[[#This Row],[(RESV. STORGE) AJD]]/10</f>
        <v>0</v>
      </c>
      <c r="AB173" s="45">
        <f t="shared" si="11"/>
        <v>0</v>
      </c>
      <c r="AC173" s="5"/>
      <c r="AD173" s="39">
        <f>(TABL12345[[#This Row],[( S/S+T/B) AJD]]*1000)-((TABL12345[[#This Row],[(STORGE DIFF.) AJD]]*1000)+TABL12345[[#This Row],[البخر  AJD]]+(TABL12345[[#This Row],[(A/B + A/S) AJD]]*1000))</f>
        <v>0</v>
      </c>
      <c r="AE173" s="41"/>
      <c r="AF173" s="43"/>
      <c r="AG173" s="43"/>
      <c r="AH173" s="6">
        <f>TABL12345[[#This Row],[ (RESV. STORGE) BER]]/10</f>
        <v>0</v>
      </c>
      <c r="AI173" s="41"/>
      <c r="AJ173" s="43">
        <f>TABL12345[[#This Row],[(A/B TOT) AJD]]-TABL12345[[#This Row],[BER_ IN]]</f>
        <v>0</v>
      </c>
      <c r="AK173" s="43"/>
      <c r="AL173" s="43"/>
      <c r="AM173" s="32"/>
      <c r="AN173" s="32">
        <f>TABL12345[[#This Row],[ (RESV. STORGE) SER]]/10</f>
        <v>0</v>
      </c>
      <c r="AO173" s="68"/>
      <c r="AP173" s="68">
        <f>TABL12345[[#This Row],[(A/S TOT) AJD]]-TABL12345[[#This Row],[SER_ IN]]</f>
        <v>0</v>
      </c>
    </row>
    <row r="174" spans="1:42" ht="18.75" x14ac:dyDescent="0.25">
      <c r="A174" s="2">
        <v>46925</v>
      </c>
      <c r="B174" s="44"/>
      <c r="C174" s="44"/>
      <c r="D174" s="44"/>
      <c r="E174" s="28"/>
      <c r="F174" s="44"/>
      <c r="G174" s="40"/>
      <c r="H174" s="28"/>
      <c r="I174" s="40"/>
      <c r="J174" s="44"/>
      <c r="K174" s="28">
        <f>TABL12345[[#This Row],[خط (T/B  TOT) SAR]]+TABL12345[[#This Row],[خط (S/S  TOT) SAR2]]</f>
        <v>0</v>
      </c>
      <c r="L174" s="45"/>
      <c r="M174" s="46"/>
      <c r="N174" s="46"/>
      <c r="O174" s="40"/>
      <c r="P174" s="3">
        <f>TABL12345[[#This Row],[خط (S/S  TOT) SAR2]]-TABL12345[[#This Row],[(S/S TOT) AJD]]</f>
        <v>0</v>
      </c>
      <c r="Q174" s="40"/>
      <c r="R174" s="3">
        <f>TABL12345[[#This Row],[خط (T/B  TOT) SAR]]-TABL12345[[#This Row],[(T/B TOT) AJD]]</f>
        <v>0</v>
      </c>
      <c r="S174" s="3">
        <f>TABL12345[[#This Row],[الفرق بين بداية ونهاية خط  S/S]]+TABL12345[[#This Row],[الفرق بين بداية ونهاية خط  T/B]]</f>
        <v>0</v>
      </c>
      <c r="T174" s="3">
        <f t="shared" si="8"/>
        <v>0</v>
      </c>
      <c r="U174" s="44"/>
      <c r="V174" s="44"/>
      <c r="W174" s="3">
        <f t="shared" si="9"/>
        <v>0</v>
      </c>
      <c r="X174" s="3">
        <f t="shared" si="10"/>
        <v>0</v>
      </c>
      <c r="Y174" s="44"/>
      <c r="Z174" s="45"/>
      <c r="AA174" s="3">
        <f>TABL12345[[#This Row],[(RESV. STORGE) AJD]]/10</f>
        <v>0</v>
      </c>
      <c r="AB174" s="45">
        <f t="shared" si="11"/>
        <v>0</v>
      </c>
      <c r="AC174" s="5"/>
      <c r="AD174" s="40">
        <f>(TABL12345[[#This Row],[( S/S+T/B) AJD]]*1000)-((TABL12345[[#This Row],[(STORGE DIFF.) AJD]]*1000)+TABL12345[[#This Row],[البخر  AJD]]+(TABL12345[[#This Row],[(A/B + A/S) AJD]]*1000))</f>
        <v>0</v>
      </c>
      <c r="AE174" s="44"/>
      <c r="AF174" s="45"/>
      <c r="AG174" s="45"/>
      <c r="AH174" s="6">
        <f>TABL12345[[#This Row],[ (RESV. STORGE) BER]]/10</f>
        <v>0</v>
      </c>
      <c r="AI174" s="44"/>
      <c r="AJ174" s="45">
        <f>TABL12345[[#This Row],[(A/B TOT) AJD]]-TABL12345[[#This Row],[BER_ IN]]</f>
        <v>0</v>
      </c>
      <c r="AK174" s="45"/>
      <c r="AL174" s="45"/>
      <c r="AM174" s="32"/>
      <c r="AN174" s="32">
        <f>TABL12345[[#This Row],[ (RESV. STORGE) SER]]/10</f>
        <v>0</v>
      </c>
      <c r="AO174" s="68"/>
      <c r="AP174" s="68">
        <f>TABL12345[[#This Row],[(A/S TOT) AJD]]-TABL12345[[#This Row],[SER_ IN]]</f>
        <v>0</v>
      </c>
    </row>
    <row r="175" spans="1:42" ht="18.75" x14ac:dyDescent="0.25">
      <c r="A175" s="2">
        <v>46926</v>
      </c>
      <c r="B175" s="41"/>
      <c r="C175" s="41"/>
      <c r="D175" s="41"/>
      <c r="E175" s="28"/>
      <c r="F175" s="41"/>
      <c r="G175" s="39"/>
      <c r="H175" s="28"/>
      <c r="I175" s="39"/>
      <c r="J175" s="39"/>
      <c r="K175" s="28">
        <f>TABL12345[[#This Row],[خط (T/B  TOT) SAR]]+TABL12345[[#This Row],[خط (S/S  TOT) SAR2]]</f>
        <v>0</v>
      </c>
      <c r="L175" s="41"/>
      <c r="M175" s="42"/>
      <c r="N175" s="42"/>
      <c r="O175" s="39"/>
      <c r="P175" s="3">
        <f>TABL12345[[#This Row],[خط (S/S  TOT) SAR2]]-TABL12345[[#This Row],[(S/S TOT) AJD]]</f>
        <v>0</v>
      </c>
      <c r="Q175" s="39"/>
      <c r="R175" s="3">
        <f>TABL12345[[#This Row],[خط (T/B  TOT) SAR]]-TABL12345[[#This Row],[(T/B TOT) AJD]]</f>
        <v>0</v>
      </c>
      <c r="S175" s="3">
        <f>TABL12345[[#This Row],[الفرق بين بداية ونهاية خط  S/S]]+TABL12345[[#This Row],[الفرق بين بداية ونهاية خط  T/B]]</f>
        <v>0</v>
      </c>
      <c r="T175" s="3">
        <f t="shared" si="8"/>
        <v>0</v>
      </c>
      <c r="U175" s="41"/>
      <c r="V175" s="41"/>
      <c r="W175" s="3">
        <f t="shared" si="9"/>
        <v>0</v>
      </c>
      <c r="X175" s="3">
        <f t="shared" si="10"/>
        <v>0</v>
      </c>
      <c r="Y175" s="41"/>
      <c r="Z175" s="43"/>
      <c r="AA175" s="3">
        <f>TABL12345[[#This Row],[(RESV. STORGE) AJD]]/10</f>
        <v>0</v>
      </c>
      <c r="AB175" s="45">
        <f t="shared" si="11"/>
        <v>0</v>
      </c>
      <c r="AC175" s="5"/>
      <c r="AD175" s="39">
        <f>(TABL12345[[#This Row],[( S/S+T/B) AJD]]*1000)-((TABL12345[[#This Row],[(STORGE DIFF.) AJD]]*1000)+TABL12345[[#This Row],[البخر  AJD]]+(TABL12345[[#This Row],[(A/B + A/S) AJD]]*1000))</f>
        <v>0</v>
      </c>
      <c r="AE175" s="41"/>
      <c r="AF175" s="43"/>
      <c r="AG175" s="43"/>
      <c r="AH175" s="6">
        <f>TABL12345[[#This Row],[ (RESV. STORGE) BER]]/10</f>
        <v>0</v>
      </c>
      <c r="AI175" s="41"/>
      <c r="AJ175" s="43">
        <f>TABL12345[[#This Row],[(A/B TOT) AJD]]-TABL12345[[#This Row],[BER_ IN]]</f>
        <v>0</v>
      </c>
      <c r="AK175" s="43"/>
      <c r="AL175" s="43"/>
      <c r="AM175" s="32"/>
      <c r="AN175" s="32">
        <f>TABL12345[[#This Row],[ (RESV. STORGE) SER]]/10</f>
        <v>0</v>
      </c>
      <c r="AO175" s="68"/>
      <c r="AP175" s="68">
        <f>TABL12345[[#This Row],[(A/S TOT) AJD]]-TABL12345[[#This Row],[SER_ IN]]</f>
        <v>0</v>
      </c>
    </row>
    <row r="176" spans="1:42" ht="18.75" x14ac:dyDescent="0.25">
      <c r="A176" s="2">
        <v>46927</v>
      </c>
      <c r="B176" s="44"/>
      <c r="C176" s="44"/>
      <c r="D176" s="44"/>
      <c r="E176" s="28"/>
      <c r="F176" s="44"/>
      <c r="G176" s="40"/>
      <c r="H176" s="28"/>
      <c r="I176" s="40"/>
      <c r="J176" s="44"/>
      <c r="K176" s="28">
        <f>TABL12345[[#This Row],[خط (T/B  TOT) SAR]]+TABL12345[[#This Row],[خط (S/S  TOT) SAR2]]</f>
        <v>0</v>
      </c>
      <c r="L176" s="45"/>
      <c r="M176" s="46"/>
      <c r="N176" s="46"/>
      <c r="O176" s="40"/>
      <c r="P176" s="3">
        <f>TABL12345[[#This Row],[خط (S/S  TOT) SAR2]]-TABL12345[[#This Row],[(S/S TOT) AJD]]</f>
        <v>0</v>
      </c>
      <c r="Q176" s="40"/>
      <c r="R176" s="3">
        <f>TABL12345[[#This Row],[خط (T/B  TOT) SAR]]-TABL12345[[#This Row],[(T/B TOT) AJD]]</f>
        <v>0</v>
      </c>
      <c r="S176" s="3">
        <f>TABL12345[[#This Row],[الفرق بين بداية ونهاية خط  S/S]]+TABL12345[[#This Row],[الفرق بين بداية ونهاية خط  T/B]]</f>
        <v>0</v>
      </c>
      <c r="T176" s="3">
        <f t="shared" si="8"/>
        <v>0</v>
      </c>
      <c r="U176" s="44"/>
      <c r="V176" s="44"/>
      <c r="W176" s="3">
        <f t="shared" si="9"/>
        <v>0</v>
      </c>
      <c r="X176" s="3">
        <f t="shared" si="10"/>
        <v>0</v>
      </c>
      <c r="Y176" s="44"/>
      <c r="Z176" s="45"/>
      <c r="AA176" s="3">
        <f>TABL12345[[#This Row],[(RESV. STORGE) AJD]]/10</f>
        <v>0</v>
      </c>
      <c r="AB176" s="45">
        <f t="shared" si="11"/>
        <v>0</v>
      </c>
      <c r="AC176" s="5"/>
      <c r="AD176" s="40">
        <f>(TABL12345[[#This Row],[( S/S+T/B) AJD]]*1000)-((TABL12345[[#This Row],[(STORGE DIFF.) AJD]]*1000)+TABL12345[[#This Row],[البخر  AJD]]+(TABL12345[[#This Row],[(A/B + A/S) AJD]]*1000))</f>
        <v>0</v>
      </c>
      <c r="AE176" s="44"/>
      <c r="AF176" s="45"/>
      <c r="AG176" s="45"/>
      <c r="AH176" s="6">
        <f>TABL12345[[#This Row],[ (RESV. STORGE) BER]]/10</f>
        <v>0</v>
      </c>
      <c r="AI176" s="44"/>
      <c r="AJ176" s="45">
        <f>TABL12345[[#This Row],[(A/B TOT) AJD]]-TABL12345[[#This Row],[BER_ IN]]</f>
        <v>0</v>
      </c>
      <c r="AK176" s="45"/>
      <c r="AL176" s="45"/>
      <c r="AM176" s="32"/>
      <c r="AN176" s="32">
        <f>TABL12345[[#This Row],[ (RESV. STORGE) SER]]/10</f>
        <v>0</v>
      </c>
      <c r="AO176" s="68"/>
      <c r="AP176" s="68">
        <f>TABL12345[[#This Row],[(A/S TOT) AJD]]-TABL12345[[#This Row],[SER_ IN]]</f>
        <v>0</v>
      </c>
    </row>
    <row r="177" spans="1:42" ht="18.75" x14ac:dyDescent="0.25">
      <c r="A177" s="2">
        <v>46928</v>
      </c>
      <c r="B177" s="41"/>
      <c r="C177" s="41"/>
      <c r="D177" s="41"/>
      <c r="E177" s="28"/>
      <c r="F177" s="41"/>
      <c r="G177" s="39"/>
      <c r="H177" s="28"/>
      <c r="I177" s="39"/>
      <c r="J177" s="39"/>
      <c r="K177" s="28">
        <f>TABL12345[[#This Row],[خط (T/B  TOT) SAR]]+TABL12345[[#This Row],[خط (S/S  TOT) SAR2]]</f>
        <v>0</v>
      </c>
      <c r="L177" s="41"/>
      <c r="M177" s="42"/>
      <c r="N177" s="42"/>
      <c r="O177" s="39"/>
      <c r="P177" s="3">
        <f>TABL12345[[#This Row],[خط (S/S  TOT) SAR2]]-TABL12345[[#This Row],[(S/S TOT) AJD]]</f>
        <v>0</v>
      </c>
      <c r="Q177" s="39"/>
      <c r="R177" s="3">
        <f>TABL12345[[#This Row],[خط (T/B  TOT) SAR]]-TABL12345[[#This Row],[(T/B TOT) AJD]]</f>
        <v>0</v>
      </c>
      <c r="S177" s="3">
        <f>TABL12345[[#This Row],[الفرق بين بداية ونهاية خط  S/S]]+TABL12345[[#This Row],[الفرق بين بداية ونهاية خط  T/B]]</f>
        <v>0</v>
      </c>
      <c r="T177" s="3">
        <f t="shared" si="8"/>
        <v>0</v>
      </c>
      <c r="U177" s="41"/>
      <c r="V177" s="41"/>
      <c r="W177" s="3">
        <f t="shared" si="9"/>
        <v>0</v>
      </c>
      <c r="X177" s="3">
        <f t="shared" si="10"/>
        <v>0</v>
      </c>
      <c r="Y177" s="41"/>
      <c r="Z177" s="43"/>
      <c r="AA177" s="3">
        <f>TABL12345[[#This Row],[(RESV. STORGE) AJD]]/10</f>
        <v>0</v>
      </c>
      <c r="AB177" s="45">
        <f t="shared" si="11"/>
        <v>0</v>
      </c>
      <c r="AC177" s="5"/>
      <c r="AD177" s="39">
        <f>(TABL12345[[#This Row],[( S/S+T/B) AJD]]*1000)-((TABL12345[[#This Row],[(STORGE DIFF.) AJD]]*1000)+TABL12345[[#This Row],[البخر  AJD]]+(TABL12345[[#This Row],[(A/B + A/S) AJD]]*1000))</f>
        <v>0</v>
      </c>
      <c r="AE177" s="41"/>
      <c r="AF177" s="43"/>
      <c r="AG177" s="43"/>
      <c r="AH177" s="6">
        <f>TABL12345[[#This Row],[ (RESV. STORGE) BER]]/10</f>
        <v>0</v>
      </c>
      <c r="AI177" s="41"/>
      <c r="AJ177" s="43">
        <f>TABL12345[[#This Row],[(A/B TOT) AJD]]-TABL12345[[#This Row],[BER_ IN]]</f>
        <v>0</v>
      </c>
      <c r="AK177" s="43"/>
      <c r="AL177" s="43"/>
      <c r="AM177" s="32"/>
      <c r="AN177" s="32">
        <f>TABL12345[[#This Row],[ (RESV. STORGE) SER]]/10</f>
        <v>0</v>
      </c>
      <c r="AO177" s="68"/>
      <c r="AP177" s="68">
        <f>TABL12345[[#This Row],[(A/S TOT) AJD]]-TABL12345[[#This Row],[SER_ IN]]</f>
        <v>0</v>
      </c>
    </row>
    <row r="178" spans="1:42" ht="18.75" x14ac:dyDescent="0.25">
      <c r="A178" s="2">
        <v>46929</v>
      </c>
      <c r="B178" s="44"/>
      <c r="C178" s="44"/>
      <c r="D178" s="44"/>
      <c r="E178" s="28"/>
      <c r="F178" s="44"/>
      <c r="G178" s="40"/>
      <c r="H178" s="28"/>
      <c r="I178" s="40"/>
      <c r="J178" s="44"/>
      <c r="K178" s="28">
        <f>TABL12345[[#This Row],[خط (T/B  TOT) SAR]]+TABL12345[[#This Row],[خط (S/S  TOT) SAR2]]</f>
        <v>0</v>
      </c>
      <c r="L178" s="45"/>
      <c r="M178" s="46"/>
      <c r="N178" s="46"/>
      <c r="O178" s="40"/>
      <c r="P178" s="3">
        <f>TABL12345[[#This Row],[خط (S/S  TOT) SAR2]]-TABL12345[[#This Row],[(S/S TOT) AJD]]</f>
        <v>0</v>
      </c>
      <c r="Q178" s="40"/>
      <c r="R178" s="3">
        <f>TABL12345[[#This Row],[خط (T/B  TOT) SAR]]-TABL12345[[#This Row],[(T/B TOT) AJD]]</f>
        <v>0</v>
      </c>
      <c r="S178" s="3">
        <f>TABL12345[[#This Row],[الفرق بين بداية ونهاية خط  S/S]]+TABL12345[[#This Row],[الفرق بين بداية ونهاية خط  T/B]]</f>
        <v>0</v>
      </c>
      <c r="T178" s="3">
        <f t="shared" si="8"/>
        <v>0</v>
      </c>
      <c r="U178" s="44"/>
      <c r="V178" s="44"/>
      <c r="W178" s="3">
        <f t="shared" si="9"/>
        <v>0</v>
      </c>
      <c r="X178" s="3">
        <f t="shared" si="10"/>
        <v>0</v>
      </c>
      <c r="Y178" s="44"/>
      <c r="Z178" s="45"/>
      <c r="AA178" s="3">
        <f>TABL12345[[#This Row],[(RESV. STORGE) AJD]]/10</f>
        <v>0</v>
      </c>
      <c r="AB178" s="45">
        <f t="shared" si="11"/>
        <v>0</v>
      </c>
      <c r="AC178" s="5"/>
      <c r="AD178" s="40">
        <f>(TABL12345[[#This Row],[( S/S+T/B) AJD]]*1000)-((TABL12345[[#This Row],[(STORGE DIFF.) AJD]]*1000)+TABL12345[[#This Row],[البخر  AJD]]+(TABL12345[[#This Row],[(A/B + A/S) AJD]]*1000))</f>
        <v>0</v>
      </c>
      <c r="AE178" s="44"/>
      <c r="AF178" s="45"/>
      <c r="AG178" s="45"/>
      <c r="AH178" s="6">
        <f>TABL12345[[#This Row],[ (RESV. STORGE) BER]]/10</f>
        <v>0</v>
      </c>
      <c r="AI178" s="44"/>
      <c r="AJ178" s="45">
        <f>TABL12345[[#This Row],[(A/B TOT) AJD]]-TABL12345[[#This Row],[BER_ IN]]</f>
        <v>0</v>
      </c>
      <c r="AK178" s="45"/>
      <c r="AL178" s="45"/>
      <c r="AM178" s="32"/>
      <c r="AN178" s="32">
        <f>TABL12345[[#This Row],[ (RESV. STORGE) SER]]/10</f>
        <v>0</v>
      </c>
      <c r="AO178" s="68"/>
      <c r="AP178" s="68">
        <f>TABL12345[[#This Row],[(A/S TOT) AJD]]-TABL12345[[#This Row],[SER_ IN]]</f>
        <v>0</v>
      </c>
    </row>
    <row r="179" spans="1:42" ht="18.75" x14ac:dyDescent="0.25">
      <c r="A179" s="2">
        <v>46930</v>
      </c>
      <c r="B179" s="41"/>
      <c r="C179" s="41"/>
      <c r="D179" s="41"/>
      <c r="E179" s="28"/>
      <c r="F179" s="41"/>
      <c r="G179" s="39"/>
      <c r="H179" s="28"/>
      <c r="I179" s="39"/>
      <c r="J179" s="39"/>
      <c r="K179" s="28">
        <f>TABL12345[[#This Row],[خط (T/B  TOT) SAR]]+TABL12345[[#This Row],[خط (S/S  TOT) SAR2]]</f>
        <v>0</v>
      </c>
      <c r="L179" s="41"/>
      <c r="M179" s="42"/>
      <c r="N179" s="42"/>
      <c r="O179" s="39"/>
      <c r="P179" s="3">
        <f>TABL12345[[#This Row],[خط (S/S  TOT) SAR2]]-TABL12345[[#This Row],[(S/S TOT) AJD]]</f>
        <v>0</v>
      </c>
      <c r="Q179" s="39"/>
      <c r="R179" s="3">
        <f>TABL12345[[#This Row],[خط (T/B  TOT) SAR]]-TABL12345[[#This Row],[(T/B TOT) AJD]]</f>
        <v>0</v>
      </c>
      <c r="S179" s="3">
        <f>TABL12345[[#This Row],[الفرق بين بداية ونهاية خط  S/S]]+TABL12345[[#This Row],[الفرق بين بداية ونهاية خط  T/B]]</f>
        <v>0</v>
      </c>
      <c r="T179" s="3">
        <f t="shared" si="8"/>
        <v>0</v>
      </c>
      <c r="U179" s="41"/>
      <c r="V179" s="41"/>
      <c r="W179" s="3">
        <f t="shared" si="9"/>
        <v>0</v>
      </c>
      <c r="X179" s="3">
        <f t="shared" si="10"/>
        <v>0</v>
      </c>
      <c r="Y179" s="41"/>
      <c r="Z179" s="43"/>
      <c r="AA179" s="3">
        <f>TABL12345[[#This Row],[(RESV. STORGE) AJD]]/10</f>
        <v>0</v>
      </c>
      <c r="AB179" s="45">
        <f t="shared" si="11"/>
        <v>0</v>
      </c>
      <c r="AC179" s="5"/>
      <c r="AD179" s="39">
        <f>(TABL12345[[#This Row],[( S/S+T/B) AJD]]*1000)-((TABL12345[[#This Row],[(STORGE DIFF.) AJD]]*1000)+TABL12345[[#This Row],[البخر  AJD]]+(TABL12345[[#This Row],[(A/B + A/S) AJD]]*1000))</f>
        <v>0</v>
      </c>
      <c r="AE179" s="41"/>
      <c r="AF179" s="43"/>
      <c r="AG179" s="43"/>
      <c r="AH179" s="6">
        <f>TABL12345[[#This Row],[ (RESV. STORGE) BER]]/10</f>
        <v>0</v>
      </c>
      <c r="AI179" s="41"/>
      <c r="AJ179" s="43">
        <f>TABL12345[[#This Row],[(A/B TOT) AJD]]-TABL12345[[#This Row],[BER_ IN]]</f>
        <v>0</v>
      </c>
      <c r="AK179" s="43"/>
      <c r="AL179" s="43"/>
      <c r="AM179" s="32"/>
      <c r="AN179" s="32">
        <f>TABL12345[[#This Row],[ (RESV. STORGE) SER]]/10</f>
        <v>0</v>
      </c>
      <c r="AO179" s="68"/>
      <c r="AP179" s="68">
        <f>TABL12345[[#This Row],[(A/S TOT) AJD]]-TABL12345[[#This Row],[SER_ IN]]</f>
        <v>0</v>
      </c>
    </row>
    <row r="180" spans="1:42" ht="18.75" x14ac:dyDescent="0.25">
      <c r="A180" s="2">
        <v>46931</v>
      </c>
      <c r="B180" s="44"/>
      <c r="C180" s="44"/>
      <c r="D180" s="44"/>
      <c r="E180" s="28"/>
      <c r="F180" s="44"/>
      <c r="G180" s="40"/>
      <c r="H180" s="28"/>
      <c r="I180" s="40"/>
      <c r="J180" s="44"/>
      <c r="K180" s="28">
        <f>TABL12345[[#This Row],[خط (T/B  TOT) SAR]]+TABL12345[[#This Row],[خط (S/S  TOT) SAR2]]</f>
        <v>0</v>
      </c>
      <c r="L180" s="45"/>
      <c r="M180" s="46"/>
      <c r="N180" s="46"/>
      <c r="O180" s="40"/>
      <c r="P180" s="3">
        <f>TABL12345[[#This Row],[خط (S/S  TOT) SAR2]]-TABL12345[[#This Row],[(S/S TOT) AJD]]</f>
        <v>0</v>
      </c>
      <c r="Q180" s="40"/>
      <c r="R180" s="3">
        <f>TABL12345[[#This Row],[خط (T/B  TOT) SAR]]-TABL12345[[#This Row],[(T/B TOT) AJD]]</f>
        <v>0</v>
      </c>
      <c r="S180" s="3">
        <f>TABL12345[[#This Row],[الفرق بين بداية ونهاية خط  S/S]]+TABL12345[[#This Row],[الفرق بين بداية ونهاية خط  T/B]]</f>
        <v>0</v>
      </c>
      <c r="T180" s="3">
        <f t="shared" si="8"/>
        <v>0</v>
      </c>
      <c r="U180" s="44"/>
      <c r="V180" s="44"/>
      <c r="W180" s="3">
        <f t="shared" si="9"/>
        <v>0</v>
      </c>
      <c r="X180" s="3">
        <f t="shared" si="10"/>
        <v>0</v>
      </c>
      <c r="Y180" s="44"/>
      <c r="Z180" s="45"/>
      <c r="AA180" s="3">
        <f>TABL12345[[#This Row],[(RESV. STORGE) AJD]]/10</f>
        <v>0</v>
      </c>
      <c r="AB180" s="45">
        <f t="shared" si="11"/>
        <v>0</v>
      </c>
      <c r="AC180" s="5"/>
      <c r="AD180" s="40">
        <f>(TABL12345[[#This Row],[( S/S+T/B) AJD]]*1000)-((TABL12345[[#This Row],[(STORGE DIFF.) AJD]]*1000)+TABL12345[[#This Row],[البخر  AJD]]+(TABL12345[[#This Row],[(A/B + A/S) AJD]]*1000))</f>
        <v>0</v>
      </c>
      <c r="AE180" s="44"/>
      <c r="AF180" s="45"/>
      <c r="AG180" s="45"/>
      <c r="AH180" s="6">
        <f>TABL12345[[#This Row],[ (RESV. STORGE) BER]]/10</f>
        <v>0</v>
      </c>
      <c r="AI180" s="44"/>
      <c r="AJ180" s="45">
        <f>TABL12345[[#This Row],[(A/B TOT) AJD]]-TABL12345[[#This Row],[BER_ IN]]</f>
        <v>0</v>
      </c>
      <c r="AK180" s="45"/>
      <c r="AL180" s="45"/>
      <c r="AM180" s="32"/>
      <c r="AN180" s="32">
        <f>TABL12345[[#This Row],[ (RESV. STORGE) SER]]/10</f>
        <v>0</v>
      </c>
      <c r="AO180" s="68"/>
      <c r="AP180" s="68">
        <f>TABL12345[[#This Row],[(A/S TOT) AJD]]-TABL12345[[#This Row],[SER_ IN]]</f>
        <v>0</v>
      </c>
    </row>
    <row r="181" spans="1:42" ht="18.75" x14ac:dyDescent="0.25">
      <c r="A181" s="2">
        <v>46932</v>
      </c>
      <c r="B181" s="41"/>
      <c r="C181" s="41"/>
      <c r="D181" s="41"/>
      <c r="E181" s="28"/>
      <c r="F181" s="41"/>
      <c r="G181" s="39"/>
      <c r="H181" s="28"/>
      <c r="I181" s="39"/>
      <c r="J181" s="39"/>
      <c r="K181" s="28">
        <f>TABL12345[[#This Row],[خط (T/B  TOT) SAR]]+TABL12345[[#This Row],[خط (S/S  TOT) SAR2]]</f>
        <v>0</v>
      </c>
      <c r="L181" s="41"/>
      <c r="M181" s="42"/>
      <c r="N181" s="42"/>
      <c r="O181" s="39"/>
      <c r="P181" s="3">
        <f>TABL12345[[#This Row],[خط (S/S  TOT) SAR2]]-TABL12345[[#This Row],[(S/S TOT) AJD]]</f>
        <v>0</v>
      </c>
      <c r="Q181" s="39"/>
      <c r="R181" s="3">
        <f>TABL12345[[#This Row],[خط (T/B  TOT) SAR]]-TABL12345[[#This Row],[(T/B TOT) AJD]]</f>
        <v>0</v>
      </c>
      <c r="S181" s="3">
        <f>TABL12345[[#This Row],[الفرق بين بداية ونهاية خط  S/S]]+TABL12345[[#This Row],[الفرق بين بداية ونهاية خط  T/B]]</f>
        <v>0</v>
      </c>
      <c r="T181" s="3">
        <f t="shared" si="8"/>
        <v>0</v>
      </c>
      <c r="U181" s="41"/>
      <c r="V181" s="41"/>
      <c r="W181" s="3">
        <f t="shared" si="9"/>
        <v>0</v>
      </c>
      <c r="X181" s="3">
        <f t="shared" si="10"/>
        <v>0</v>
      </c>
      <c r="Y181" s="41"/>
      <c r="Z181" s="43"/>
      <c r="AA181" s="3">
        <f>TABL12345[[#This Row],[(RESV. STORGE) AJD]]/10</f>
        <v>0</v>
      </c>
      <c r="AB181" s="45">
        <f t="shared" si="11"/>
        <v>0</v>
      </c>
      <c r="AC181" s="5"/>
      <c r="AD181" s="39">
        <f>(TABL12345[[#This Row],[( S/S+T/B) AJD]]*1000)-((TABL12345[[#This Row],[(STORGE DIFF.) AJD]]*1000)+TABL12345[[#This Row],[البخر  AJD]]+(TABL12345[[#This Row],[(A/B + A/S) AJD]]*1000))</f>
        <v>0</v>
      </c>
      <c r="AE181" s="41"/>
      <c r="AF181" s="43"/>
      <c r="AG181" s="43"/>
      <c r="AH181" s="6">
        <f>TABL12345[[#This Row],[ (RESV. STORGE) BER]]/10</f>
        <v>0</v>
      </c>
      <c r="AI181" s="41"/>
      <c r="AJ181" s="43">
        <f>TABL12345[[#This Row],[(A/B TOT) AJD]]-TABL12345[[#This Row],[BER_ IN]]</f>
        <v>0</v>
      </c>
      <c r="AK181" s="43"/>
      <c r="AL181" s="43"/>
      <c r="AM181" s="32"/>
      <c r="AN181" s="32">
        <f>TABL12345[[#This Row],[ (RESV. STORGE) SER]]/10</f>
        <v>0</v>
      </c>
      <c r="AO181" s="68"/>
      <c r="AP181" s="68">
        <f>TABL12345[[#This Row],[(A/S TOT) AJD]]-TABL12345[[#This Row],[SER_ IN]]</f>
        <v>0</v>
      </c>
    </row>
    <row r="182" spans="1:42" ht="18.75" x14ac:dyDescent="0.25">
      <c r="A182" s="2">
        <v>46933</v>
      </c>
      <c r="B182" s="44"/>
      <c r="C182" s="44"/>
      <c r="D182" s="44"/>
      <c r="E182" s="28"/>
      <c r="F182" s="44"/>
      <c r="G182" s="40"/>
      <c r="H182" s="28"/>
      <c r="I182" s="40"/>
      <c r="J182" s="44"/>
      <c r="K182" s="28">
        <f>TABL12345[[#This Row],[خط (T/B  TOT) SAR]]+TABL12345[[#This Row],[خط (S/S  TOT) SAR2]]</f>
        <v>0</v>
      </c>
      <c r="L182" s="45"/>
      <c r="M182" s="46"/>
      <c r="N182" s="46"/>
      <c r="O182" s="40"/>
      <c r="P182" s="3">
        <f>TABL12345[[#This Row],[خط (S/S  TOT) SAR2]]-TABL12345[[#This Row],[(S/S TOT) AJD]]</f>
        <v>0</v>
      </c>
      <c r="Q182" s="40"/>
      <c r="R182" s="3">
        <f>TABL12345[[#This Row],[خط (T/B  TOT) SAR]]-TABL12345[[#This Row],[(T/B TOT) AJD]]</f>
        <v>0</v>
      </c>
      <c r="S182" s="3">
        <f>TABL12345[[#This Row],[الفرق بين بداية ونهاية خط  S/S]]+TABL12345[[#This Row],[الفرق بين بداية ونهاية خط  T/B]]</f>
        <v>0</v>
      </c>
      <c r="T182" s="3">
        <f t="shared" si="8"/>
        <v>0</v>
      </c>
      <c r="U182" s="44"/>
      <c r="V182" s="44"/>
      <c r="W182" s="3">
        <f t="shared" si="9"/>
        <v>0</v>
      </c>
      <c r="X182" s="3">
        <f t="shared" si="10"/>
        <v>0</v>
      </c>
      <c r="Y182" s="44"/>
      <c r="Z182" s="45"/>
      <c r="AA182" s="3">
        <f>TABL12345[[#This Row],[(RESV. STORGE) AJD]]/10</f>
        <v>0</v>
      </c>
      <c r="AB182" s="45">
        <f t="shared" si="11"/>
        <v>0</v>
      </c>
      <c r="AC182" s="5"/>
      <c r="AD182" s="40">
        <f>(TABL12345[[#This Row],[( S/S+T/B) AJD]]*1000)-((TABL12345[[#This Row],[(STORGE DIFF.) AJD]]*1000)+TABL12345[[#This Row],[البخر  AJD]]+(TABL12345[[#This Row],[(A/B + A/S) AJD]]*1000))</f>
        <v>0</v>
      </c>
      <c r="AE182" s="44"/>
      <c r="AF182" s="45"/>
      <c r="AG182" s="45"/>
      <c r="AH182" s="6">
        <f>TABL12345[[#This Row],[ (RESV. STORGE) BER]]/10</f>
        <v>0</v>
      </c>
      <c r="AI182" s="44"/>
      <c r="AJ182" s="45">
        <f>TABL12345[[#This Row],[(A/B TOT) AJD]]-TABL12345[[#This Row],[BER_ IN]]</f>
        <v>0</v>
      </c>
      <c r="AK182" s="45"/>
      <c r="AL182" s="45"/>
      <c r="AM182" s="32"/>
      <c r="AN182" s="32">
        <f>TABL12345[[#This Row],[ (RESV. STORGE) SER]]/10</f>
        <v>0</v>
      </c>
      <c r="AO182" s="68"/>
      <c r="AP182" s="68">
        <f>TABL12345[[#This Row],[(A/S TOT) AJD]]-TABL12345[[#This Row],[SER_ IN]]</f>
        <v>0</v>
      </c>
    </row>
    <row r="183" spans="1:42" ht="18.75" x14ac:dyDescent="0.25">
      <c r="A183" s="2">
        <v>46934</v>
      </c>
      <c r="B183" s="41"/>
      <c r="C183" s="41"/>
      <c r="D183" s="41"/>
      <c r="E183" s="41"/>
      <c r="F183" s="41"/>
      <c r="G183" s="39"/>
      <c r="H183" s="28"/>
      <c r="I183" s="39"/>
      <c r="J183" s="39"/>
      <c r="K183" s="28">
        <f>TABL12345[[#This Row],[خط (T/B  TOT) SAR]]+TABL12345[[#This Row],[خط (S/S  TOT) SAR2]]</f>
        <v>0</v>
      </c>
      <c r="L183" s="41"/>
      <c r="M183" s="42"/>
      <c r="N183" s="42"/>
      <c r="O183" s="39"/>
      <c r="P183" s="12">
        <f>TABL12345[[#This Row],[خط (S/S  TOT) SAR2]]-TABL12345[[#This Row],[(S/S TOT) AJD]]</f>
        <v>0</v>
      </c>
      <c r="Q183" s="39"/>
      <c r="R183" s="12">
        <f>TABL12345[[#This Row],[خط (T/B  TOT) SAR]]-TABL12345[[#This Row],[(T/B TOT) AJD]]</f>
        <v>0</v>
      </c>
      <c r="S183" s="12">
        <f>TABL12345[[#This Row],[الفرق بين بداية ونهاية خط  S/S]]+TABL12345[[#This Row],[الفرق بين بداية ونهاية خط  T/B]]</f>
        <v>0</v>
      </c>
      <c r="T183" s="12">
        <f t="shared" si="8"/>
        <v>0</v>
      </c>
      <c r="U183" s="41"/>
      <c r="V183" s="41"/>
      <c r="W183" s="12">
        <f t="shared" si="9"/>
        <v>0</v>
      </c>
      <c r="X183" s="12">
        <f t="shared" si="10"/>
        <v>0</v>
      </c>
      <c r="Y183" s="41"/>
      <c r="Z183" s="43"/>
      <c r="AA183" s="3">
        <f>TABL12345[[#This Row],[(RESV. STORGE) AJD]]/10</f>
        <v>0</v>
      </c>
      <c r="AB183" s="45">
        <f t="shared" si="11"/>
        <v>0</v>
      </c>
      <c r="AC183" s="5"/>
      <c r="AD183" s="39">
        <f>(TABL12345[[#This Row],[( S/S+T/B) AJD]]*1000)-((TABL12345[[#This Row],[(STORGE DIFF.) AJD]]*1000)+TABL12345[[#This Row],[البخر  AJD]]+(TABL12345[[#This Row],[(A/B + A/S) AJD]]*1000))</f>
        <v>0</v>
      </c>
      <c r="AE183" s="41"/>
      <c r="AF183" s="43"/>
      <c r="AG183" s="43"/>
      <c r="AH183" s="6">
        <f>TABL12345[[#This Row],[ (RESV. STORGE) BER]]/10</f>
        <v>0</v>
      </c>
      <c r="AI183" s="41"/>
      <c r="AJ183" s="43">
        <f>TABL12345[[#This Row],[(A/B TOT) AJD]]-TABL12345[[#This Row],[BER_ IN]]</f>
        <v>0</v>
      </c>
      <c r="AK183" s="43"/>
      <c r="AL183" s="43"/>
      <c r="AM183" s="32"/>
      <c r="AN183" s="32">
        <f>TABL12345[[#This Row],[ (RESV. STORGE) SER]]/10</f>
        <v>0</v>
      </c>
      <c r="AO183" s="68"/>
      <c r="AP183" s="68">
        <f>TABL12345[[#This Row],[(A/S TOT) AJD]]-TABL12345[[#This Row],[SER_ IN]]</f>
        <v>0</v>
      </c>
    </row>
    <row r="184" spans="1:42" ht="18.75" x14ac:dyDescent="0.25">
      <c r="A184" s="2">
        <v>46935</v>
      </c>
      <c r="B184" s="44"/>
      <c r="C184" s="44"/>
      <c r="D184" s="44"/>
      <c r="E184" s="44"/>
      <c r="F184" s="44"/>
      <c r="G184" s="40"/>
      <c r="H184" s="28"/>
      <c r="I184" s="40"/>
      <c r="J184" s="44"/>
      <c r="K184" s="28">
        <f>TABL12345[[#This Row],[خط (T/B  TOT) SAR]]+TABL12345[[#This Row],[خط (S/S  TOT) SAR2]]</f>
        <v>0</v>
      </c>
      <c r="L184" s="45"/>
      <c r="M184" s="46"/>
      <c r="N184" s="46"/>
      <c r="O184" s="40"/>
      <c r="P184" s="12">
        <f>TABL12345[[#This Row],[خط (S/S  TOT) SAR2]]-TABL12345[[#This Row],[(S/S TOT) AJD]]</f>
        <v>0</v>
      </c>
      <c r="Q184" s="40"/>
      <c r="R184" s="12">
        <f>TABL12345[[#This Row],[خط (T/B  TOT) SAR]]-TABL12345[[#This Row],[(T/B TOT) AJD]]</f>
        <v>0</v>
      </c>
      <c r="S184" s="12">
        <f>TABL12345[[#This Row],[الفرق بين بداية ونهاية خط  S/S]]+TABL12345[[#This Row],[الفرق بين بداية ونهاية خط  T/B]]</f>
        <v>0</v>
      </c>
      <c r="T184" s="12">
        <f t="shared" si="8"/>
        <v>0</v>
      </c>
      <c r="U184" s="44"/>
      <c r="V184" s="44"/>
      <c r="W184" s="12">
        <f t="shared" si="9"/>
        <v>0</v>
      </c>
      <c r="X184" s="12">
        <f t="shared" si="10"/>
        <v>0</v>
      </c>
      <c r="Y184" s="44"/>
      <c r="Z184" s="45"/>
      <c r="AA184" s="3">
        <f>TABL12345[[#This Row],[(RESV. STORGE) AJD]]/10</f>
        <v>0</v>
      </c>
      <c r="AB184" s="45">
        <f t="shared" si="11"/>
        <v>0</v>
      </c>
      <c r="AC184" s="5"/>
      <c r="AD184" s="40">
        <f>(TABL12345[[#This Row],[( S/S+T/B) AJD]]*1000)-((TABL12345[[#This Row],[(STORGE DIFF.) AJD]]*1000)+TABL12345[[#This Row],[البخر  AJD]]+(TABL12345[[#This Row],[(A/B + A/S) AJD]]*1000))</f>
        <v>0</v>
      </c>
      <c r="AE184" s="44"/>
      <c r="AF184" s="45"/>
      <c r="AG184" s="45"/>
      <c r="AH184" s="6">
        <f>TABL12345[[#This Row],[ (RESV. STORGE) BER]]/10</f>
        <v>0</v>
      </c>
      <c r="AI184" s="44"/>
      <c r="AJ184" s="45">
        <f>TABL12345[[#This Row],[(A/B TOT) AJD]]-TABL12345[[#This Row],[BER_ IN]]</f>
        <v>0</v>
      </c>
      <c r="AK184" s="45"/>
      <c r="AL184" s="45"/>
      <c r="AM184" s="32"/>
      <c r="AN184" s="32">
        <f>TABL12345[[#This Row],[ (RESV. STORGE) SER]]/10</f>
        <v>0</v>
      </c>
      <c r="AO184" s="68"/>
      <c r="AP184" s="68">
        <f>TABL12345[[#This Row],[(A/S TOT) AJD]]-TABL12345[[#This Row],[SER_ IN]]</f>
        <v>0</v>
      </c>
    </row>
    <row r="185" spans="1:42" ht="18.75" x14ac:dyDescent="0.25">
      <c r="A185" s="2">
        <v>46936</v>
      </c>
      <c r="B185" s="41"/>
      <c r="C185" s="41"/>
      <c r="D185" s="41"/>
      <c r="E185" s="41"/>
      <c r="F185" s="41"/>
      <c r="G185" s="39"/>
      <c r="H185" s="28"/>
      <c r="I185" s="39"/>
      <c r="J185" s="39"/>
      <c r="K185" s="28">
        <f>TABL12345[[#This Row],[خط (T/B  TOT) SAR]]+TABL12345[[#This Row],[خط (S/S  TOT) SAR2]]</f>
        <v>0</v>
      </c>
      <c r="L185" s="41"/>
      <c r="M185" s="42"/>
      <c r="N185" s="42"/>
      <c r="O185" s="39"/>
      <c r="P185" s="12">
        <f>TABL12345[[#This Row],[خط (S/S  TOT) SAR2]]-TABL12345[[#This Row],[(S/S TOT) AJD]]</f>
        <v>0</v>
      </c>
      <c r="Q185" s="39"/>
      <c r="R185" s="12">
        <f>TABL12345[[#This Row],[خط (T/B  TOT) SAR]]-TABL12345[[#This Row],[(T/B TOT) AJD]]</f>
        <v>0</v>
      </c>
      <c r="S185" s="12">
        <f>TABL12345[[#This Row],[الفرق بين بداية ونهاية خط  S/S]]+TABL12345[[#This Row],[الفرق بين بداية ونهاية خط  T/B]]</f>
        <v>0</v>
      </c>
      <c r="T185" s="12">
        <f t="shared" si="8"/>
        <v>0</v>
      </c>
      <c r="U185" s="41"/>
      <c r="V185" s="41"/>
      <c r="W185" s="12">
        <f t="shared" si="9"/>
        <v>0</v>
      </c>
      <c r="X185" s="12">
        <f t="shared" si="10"/>
        <v>0</v>
      </c>
      <c r="Y185" s="41"/>
      <c r="Z185" s="43"/>
      <c r="AA185" s="3">
        <f>TABL12345[[#This Row],[(RESV. STORGE) AJD]]/10</f>
        <v>0</v>
      </c>
      <c r="AB185" s="45">
        <f t="shared" si="11"/>
        <v>0</v>
      </c>
      <c r="AC185" s="5"/>
      <c r="AD185" s="39">
        <f>(TABL12345[[#This Row],[( S/S+T/B) AJD]]*1000)-((TABL12345[[#This Row],[(STORGE DIFF.) AJD]]*1000)+TABL12345[[#This Row],[البخر  AJD]]+(TABL12345[[#This Row],[(A/B + A/S) AJD]]*1000))</f>
        <v>0</v>
      </c>
      <c r="AE185" s="41"/>
      <c r="AF185" s="43"/>
      <c r="AG185" s="43"/>
      <c r="AH185" s="6">
        <f>TABL12345[[#This Row],[ (RESV. STORGE) BER]]/10</f>
        <v>0</v>
      </c>
      <c r="AI185" s="41"/>
      <c r="AJ185" s="43">
        <f>TABL12345[[#This Row],[(A/B TOT) AJD]]-TABL12345[[#This Row],[BER_ IN]]</f>
        <v>0</v>
      </c>
      <c r="AK185" s="43"/>
      <c r="AL185" s="43"/>
      <c r="AM185" s="32"/>
      <c r="AN185" s="32">
        <f>TABL12345[[#This Row],[ (RESV. STORGE) SER]]/10</f>
        <v>0</v>
      </c>
      <c r="AO185" s="68"/>
      <c r="AP185" s="68">
        <f>TABL12345[[#This Row],[(A/S TOT) AJD]]-TABL12345[[#This Row],[SER_ IN]]</f>
        <v>0</v>
      </c>
    </row>
    <row r="186" spans="1:42" ht="18.75" x14ac:dyDescent="0.25">
      <c r="A186" s="2">
        <v>46937</v>
      </c>
      <c r="B186" s="44"/>
      <c r="C186" s="44"/>
      <c r="D186" s="44"/>
      <c r="E186" s="44"/>
      <c r="F186" s="44"/>
      <c r="G186" s="40"/>
      <c r="H186" s="28"/>
      <c r="I186" s="40"/>
      <c r="J186" s="44"/>
      <c r="K186" s="28">
        <f>TABL12345[[#This Row],[خط (T/B  TOT) SAR]]+TABL12345[[#This Row],[خط (S/S  TOT) SAR2]]</f>
        <v>0</v>
      </c>
      <c r="L186" s="45"/>
      <c r="M186" s="46"/>
      <c r="N186" s="46"/>
      <c r="O186" s="40"/>
      <c r="P186" s="12">
        <f>TABL12345[[#This Row],[خط (S/S  TOT) SAR2]]-TABL12345[[#This Row],[(S/S TOT) AJD]]</f>
        <v>0</v>
      </c>
      <c r="Q186" s="40"/>
      <c r="R186" s="12">
        <f>TABL12345[[#This Row],[خط (T/B  TOT) SAR]]-TABL12345[[#This Row],[(T/B TOT) AJD]]</f>
        <v>0</v>
      </c>
      <c r="S186" s="12">
        <f>TABL12345[[#This Row],[الفرق بين بداية ونهاية خط  S/S]]+TABL12345[[#This Row],[الفرق بين بداية ونهاية خط  T/B]]</f>
        <v>0</v>
      </c>
      <c r="T186" s="12">
        <f t="shared" si="8"/>
        <v>0</v>
      </c>
      <c r="U186" s="44"/>
      <c r="V186" s="44"/>
      <c r="W186" s="12">
        <f t="shared" si="9"/>
        <v>0</v>
      </c>
      <c r="X186" s="12">
        <f t="shared" si="10"/>
        <v>0</v>
      </c>
      <c r="Y186" s="44"/>
      <c r="Z186" s="45"/>
      <c r="AA186" s="3">
        <f>TABL12345[[#This Row],[(RESV. STORGE) AJD]]/10</f>
        <v>0</v>
      </c>
      <c r="AB186" s="45">
        <f t="shared" si="11"/>
        <v>0</v>
      </c>
      <c r="AC186" s="5"/>
      <c r="AD186" s="40">
        <f>(TABL12345[[#This Row],[( S/S+T/B) AJD]]*1000)-((TABL12345[[#This Row],[(STORGE DIFF.) AJD]]*1000)+TABL12345[[#This Row],[البخر  AJD]]+(TABL12345[[#This Row],[(A/B + A/S) AJD]]*1000))</f>
        <v>0</v>
      </c>
      <c r="AE186" s="44"/>
      <c r="AF186" s="45"/>
      <c r="AG186" s="45"/>
      <c r="AH186" s="6">
        <f>TABL12345[[#This Row],[ (RESV. STORGE) BER]]/10</f>
        <v>0</v>
      </c>
      <c r="AI186" s="44"/>
      <c r="AJ186" s="45">
        <f>TABL12345[[#This Row],[(A/B TOT) AJD]]-TABL12345[[#This Row],[BER_ IN]]</f>
        <v>0</v>
      </c>
      <c r="AK186" s="45"/>
      <c r="AL186" s="45"/>
      <c r="AM186" s="32"/>
      <c r="AN186" s="32">
        <f>TABL12345[[#This Row],[ (RESV. STORGE) SER]]/10</f>
        <v>0</v>
      </c>
      <c r="AO186" s="68"/>
      <c r="AP186" s="68">
        <f>TABL12345[[#This Row],[(A/S TOT) AJD]]-TABL12345[[#This Row],[SER_ IN]]</f>
        <v>0</v>
      </c>
    </row>
    <row r="187" spans="1:42" ht="18.75" x14ac:dyDescent="0.25">
      <c r="A187" s="2">
        <v>46938</v>
      </c>
      <c r="B187" s="41"/>
      <c r="C187" s="41"/>
      <c r="D187" s="41"/>
      <c r="E187" s="41"/>
      <c r="F187" s="41"/>
      <c r="G187" s="39"/>
      <c r="H187" s="28"/>
      <c r="I187" s="39"/>
      <c r="J187" s="39"/>
      <c r="K187" s="28">
        <f>TABL12345[[#This Row],[خط (T/B  TOT) SAR]]+TABL12345[[#This Row],[خط (S/S  TOT) SAR2]]</f>
        <v>0</v>
      </c>
      <c r="L187" s="41"/>
      <c r="M187" s="42"/>
      <c r="N187" s="42"/>
      <c r="O187" s="39"/>
      <c r="P187" s="12">
        <f>TABL12345[[#This Row],[خط (S/S  TOT) SAR2]]-TABL12345[[#This Row],[(S/S TOT) AJD]]</f>
        <v>0</v>
      </c>
      <c r="Q187" s="39"/>
      <c r="R187" s="12">
        <f>TABL12345[[#This Row],[خط (T/B  TOT) SAR]]-TABL12345[[#This Row],[(T/B TOT) AJD]]</f>
        <v>0</v>
      </c>
      <c r="S187" s="12">
        <f>TABL12345[[#This Row],[الفرق بين بداية ونهاية خط  S/S]]+TABL12345[[#This Row],[الفرق بين بداية ونهاية خط  T/B]]</f>
        <v>0</v>
      </c>
      <c r="T187" s="12">
        <f t="shared" si="8"/>
        <v>0</v>
      </c>
      <c r="U187" s="41"/>
      <c r="V187" s="41"/>
      <c r="W187" s="10">
        <f t="shared" si="9"/>
        <v>0</v>
      </c>
      <c r="X187" s="10">
        <f t="shared" si="10"/>
        <v>0</v>
      </c>
      <c r="Y187" s="41"/>
      <c r="Z187" s="43"/>
      <c r="AA187" s="3">
        <f>TABL12345[[#This Row],[(RESV. STORGE) AJD]]/10</f>
        <v>0</v>
      </c>
      <c r="AB187" s="45">
        <f t="shared" si="11"/>
        <v>0</v>
      </c>
      <c r="AC187" s="5"/>
      <c r="AD187" s="39">
        <f>(TABL12345[[#This Row],[( S/S+T/B) AJD]]*1000)-((TABL12345[[#This Row],[(STORGE DIFF.) AJD]]*1000)+TABL12345[[#This Row],[البخر  AJD]]+(TABL12345[[#This Row],[(A/B + A/S) AJD]]*1000))</f>
        <v>0</v>
      </c>
      <c r="AE187" s="41"/>
      <c r="AF187" s="43"/>
      <c r="AG187" s="43"/>
      <c r="AH187" s="6">
        <f>TABL12345[[#This Row],[ (RESV. STORGE) BER]]/10</f>
        <v>0</v>
      </c>
      <c r="AI187" s="41"/>
      <c r="AJ187" s="43">
        <f>TABL12345[[#This Row],[(A/B TOT) AJD]]-TABL12345[[#This Row],[BER_ IN]]</f>
        <v>0</v>
      </c>
      <c r="AK187" s="43"/>
      <c r="AL187" s="43"/>
      <c r="AM187" s="32"/>
      <c r="AN187" s="32">
        <f>TABL12345[[#This Row],[ (RESV. STORGE) SER]]/10</f>
        <v>0</v>
      </c>
      <c r="AO187" s="68"/>
      <c r="AP187" s="68">
        <f>TABL12345[[#This Row],[(A/S TOT) AJD]]-TABL12345[[#This Row],[SER_ IN]]</f>
        <v>0</v>
      </c>
    </row>
    <row r="188" spans="1:42" ht="18.75" x14ac:dyDescent="0.25">
      <c r="A188" s="2">
        <v>46939</v>
      </c>
      <c r="B188" s="44"/>
      <c r="C188" s="44"/>
      <c r="D188" s="44"/>
      <c r="E188" s="44"/>
      <c r="F188" s="44"/>
      <c r="G188" s="40"/>
      <c r="H188" s="28"/>
      <c r="I188" s="40"/>
      <c r="J188" s="44"/>
      <c r="K188" s="28">
        <f>TABL12345[[#This Row],[خط (T/B  TOT) SAR]]+TABL12345[[#This Row],[خط (S/S  TOT) SAR2]]</f>
        <v>0</v>
      </c>
      <c r="L188" s="45"/>
      <c r="M188" s="46"/>
      <c r="N188" s="46"/>
      <c r="O188" s="40"/>
      <c r="P188" s="12">
        <f>TABL12345[[#This Row],[خط (S/S  TOT) SAR2]]-TABL12345[[#This Row],[(S/S TOT) AJD]]</f>
        <v>0</v>
      </c>
      <c r="Q188" s="40"/>
      <c r="R188" s="12">
        <f>TABL12345[[#This Row],[خط (T/B  TOT) SAR]]-TABL12345[[#This Row],[(T/B TOT) AJD]]</f>
        <v>0</v>
      </c>
      <c r="S188" s="12">
        <f>TABL12345[[#This Row],[الفرق بين بداية ونهاية خط  S/S]]+TABL12345[[#This Row],[الفرق بين بداية ونهاية خط  T/B]]</f>
        <v>0</v>
      </c>
      <c r="T188" s="12">
        <f t="shared" si="8"/>
        <v>0</v>
      </c>
      <c r="U188" s="44"/>
      <c r="V188" s="44"/>
      <c r="W188" s="12">
        <f t="shared" si="9"/>
        <v>0</v>
      </c>
      <c r="X188" s="12">
        <f t="shared" si="10"/>
        <v>0</v>
      </c>
      <c r="Y188" s="44"/>
      <c r="Z188" s="45"/>
      <c r="AA188" s="3">
        <f>TABL12345[[#This Row],[(RESV. STORGE) AJD]]/10</f>
        <v>0</v>
      </c>
      <c r="AB188" s="45">
        <f t="shared" si="11"/>
        <v>0</v>
      </c>
      <c r="AC188" s="5"/>
      <c r="AD188" s="40">
        <f>(TABL12345[[#This Row],[( S/S+T/B) AJD]]*1000)-((TABL12345[[#This Row],[(STORGE DIFF.) AJD]]*1000)+TABL12345[[#This Row],[البخر  AJD]]+(TABL12345[[#This Row],[(A/B + A/S) AJD]]*1000))</f>
        <v>0</v>
      </c>
      <c r="AE188" s="44"/>
      <c r="AF188" s="45"/>
      <c r="AG188" s="45"/>
      <c r="AH188" s="6">
        <f>TABL12345[[#This Row],[ (RESV. STORGE) BER]]/10</f>
        <v>0</v>
      </c>
      <c r="AI188" s="44"/>
      <c r="AJ188" s="45">
        <f>TABL12345[[#This Row],[(A/B TOT) AJD]]-TABL12345[[#This Row],[BER_ IN]]</f>
        <v>0</v>
      </c>
      <c r="AK188" s="45"/>
      <c r="AL188" s="45"/>
      <c r="AM188" s="32"/>
      <c r="AN188" s="32">
        <f>TABL12345[[#This Row],[ (RESV. STORGE) SER]]/10</f>
        <v>0</v>
      </c>
      <c r="AO188" s="68"/>
      <c r="AP188" s="68">
        <f>TABL12345[[#This Row],[(A/S TOT) AJD]]-TABL12345[[#This Row],[SER_ IN]]</f>
        <v>0</v>
      </c>
    </row>
    <row r="189" spans="1:42" ht="18.75" x14ac:dyDescent="0.25">
      <c r="A189" s="2">
        <v>46940</v>
      </c>
      <c r="B189" s="41"/>
      <c r="C189" s="41"/>
      <c r="D189" s="41"/>
      <c r="E189" s="41"/>
      <c r="F189" s="41"/>
      <c r="G189" s="39"/>
      <c r="H189" s="28"/>
      <c r="I189" s="39"/>
      <c r="J189" s="39"/>
      <c r="K189" s="28">
        <f>TABL12345[[#This Row],[خط (T/B  TOT) SAR]]+TABL12345[[#This Row],[خط (S/S  TOT) SAR2]]</f>
        <v>0</v>
      </c>
      <c r="L189" s="41"/>
      <c r="M189" s="42"/>
      <c r="N189" s="42"/>
      <c r="O189" s="39"/>
      <c r="P189" s="12">
        <f>TABL12345[[#This Row],[خط (S/S  TOT) SAR2]]-TABL12345[[#This Row],[(S/S TOT) AJD]]</f>
        <v>0</v>
      </c>
      <c r="Q189" s="39"/>
      <c r="R189" s="12">
        <f>TABL12345[[#This Row],[خط (T/B  TOT) SAR]]-TABL12345[[#This Row],[(T/B TOT) AJD]]</f>
        <v>0</v>
      </c>
      <c r="S189" s="12">
        <f>TABL12345[[#This Row],[الفرق بين بداية ونهاية خط  S/S]]+TABL12345[[#This Row],[الفرق بين بداية ونهاية خط  T/B]]</f>
        <v>0</v>
      </c>
      <c r="T189" s="12">
        <f t="shared" si="8"/>
        <v>0</v>
      </c>
      <c r="U189" s="41"/>
      <c r="V189" s="41"/>
      <c r="W189" s="12">
        <f t="shared" si="9"/>
        <v>0</v>
      </c>
      <c r="X189" s="12">
        <f t="shared" si="10"/>
        <v>0</v>
      </c>
      <c r="Y189" s="41"/>
      <c r="Z189" s="43"/>
      <c r="AA189" s="3">
        <f>TABL12345[[#This Row],[(RESV. STORGE) AJD]]/10</f>
        <v>0</v>
      </c>
      <c r="AB189" s="45">
        <f t="shared" si="11"/>
        <v>0</v>
      </c>
      <c r="AC189" s="5"/>
      <c r="AD189" s="39">
        <f>(TABL12345[[#This Row],[( S/S+T/B) AJD]]*1000)-((TABL12345[[#This Row],[(STORGE DIFF.) AJD]]*1000)+TABL12345[[#This Row],[البخر  AJD]]+(TABL12345[[#This Row],[(A/B + A/S) AJD]]*1000))</f>
        <v>0</v>
      </c>
      <c r="AE189" s="41"/>
      <c r="AF189" s="43"/>
      <c r="AG189" s="43"/>
      <c r="AH189" s="6">
        <f>TABL12345[[#This Row],[ (RESV. STORGE) BER]]/10</f>
        <v>0</v>
      </c>
      <c r="AI189" s="41"/>
      <c r="AJ189" s="43">
        <f>TABL12345[[#This Row],[(A/B TOT) AJD]]-TABL12345[[#This Row],[BER_ IN]]</f>
        <v>0</v>
      </c>
      <c r="AK189" s="43"/>
      <c r="AL189" s="43"/>
      <c r="AM189" s="32"/>
      <c r="AN189" s="32">
        <f>TABL12345[[#This Row],[ (RESV. STORGE) SER]]/10</f>
        <v>0</v>
      </c>
      <c r="AO189" s="68"/>
      <c r="AP189" s="68">
        <f>TABL12345[[#This Row],[(A/S TOT) AJD]]-TABL12345[[#This Row],[SER_ IN]]</f>
        <v>0</v>
      </c>
    </row>
    <row r="190" spans="1:42" ht="18.75" x14ac:dyDescent="0.25">
      <c r="A190" s="2">
        <v>46941</v>
      </c>
      <c r="B190" s="44"/>
      <c r="C190" s="44"/>
      <c r="D190" s="44"/>
      <c r="E190" s="44"/>
      <c r="F190" s="44"/>
      <c r="G190" s="40"/>
      <c r="H190" s="28"/>
      <c r="I190" s="40"/>
      <c r="J190" s="44"/>
      <c r="K190" s="28">
        <f>TABL12345[[#This Row],[خط (T/B  TOT) SAR]]+TABL12345[[#This Row],[خط (S/S  TOT) SAR2]]</f>
        <v>0</v>
      </c>
      <c r="L190" s="45"/>
      <c r="M190" s="46"/>
      <c r="N190" s="46"/>
      <c r="O190" s="40"/>
      <c r="P190" s="12">
        <f>TABL12345[[#This Row],[خط (S/S  TOT) SAR2]]-TABL12345[[#This Row],[(S/S TOT) AJD]]</f>
        <v>0</v>
      </c>
      <c r="Q190" s="40"/>
      <c r="R190" s="12">
        <f>TABL12345[[#This Row],[خط (T/B  TOT) SAR]]-TABL12345[[#This Row],[(T/B TOT) AJD]]</f>
        <v>0</v>
      </c>
      <c r="S190" s="12">
        <f>TABL12345[[#This Row],[الفرق بين بداية ونهاية خط  S/S]]+TABL12345[[#This Row],[الفرق بين بداية ونهاية خط  T/B]]</f>
        <v>0</v>
      </c>
      <c r="T190" s="12">
        <f t="shared" si="8"/>
        <v>0</v>
      </c>
      <c r="U190" s="44"/>
      <c r="V190" s="44"/>
      <c r="W190" s="12">
        <f t="shared" si="9"/>
        <v>0</v>
      </c>
      <c r="X190" s="12">
        <f t="shared" si="10"/>
        <v>0</v>
      </c>
      <c r="Y190" s="44"/>
      <c r="Z190" s="45"/>
      <c r="AA190" s="3">
        <f>TABL12345[[#This Row],[(RESV. STORGE) AJD]]/10</f>
        <v>0</v>
      </c>
      <c r="AB190" s="45">
        <f t="shared" si="11"/>
        <v>0</v>
      </c>
      <c r="AC190" s="5"/>
      <c r="AD190" s="40">
        <f>(TABL12345[[#This Row],[( S/S+T/B) AJD]]*1000)-((TABL12345[[#This Row],[(STORGE DIFF.) AJD]]*1000)+TABL12345[[#This Row],[البخر  AJD]]+(TABL12345[[#This Row],[(A/B + A/S) AJD]]*1000))</f>
        <v>0</v>
      </c>
      <c r="AE190" s="44"/>
      <c r="AF190" s="45"/>
      <c r="AG190" s="45"/>
      <c r="AH190" s="6">
        <f>TABL12345[[#This Row],[ (RESV. STORGE) BER]]/10</f>
        <v>0</v>
      </c>
      <c r="AI190" s="44"/>
      <c r="AJ190" s="45">
        <f>TABL12345[[#This Row],[(A/B TOT) AJD]]-TABL12345[[#This Row],[BER_ IN]]</f>
        <v>0</v>
      </c>
      <c r="AK190" s="45"/>
      <c r="AL190" s="45"/>
      <c r="AM190" s="32"/>
      <c r="AN190" s="32">
        <f>TABL12345[[#This Row],[ (RESV. STORGE) SER]]/10</f>
        <v>0</v>
      </c>
      <c r="AO190" s="68"/>
      <c r="AP190" s="68">
        <f>TABL12345[[#This Row],[(A/S TOT) AJD]]-TABL12345[[#This Row],[SER_ IN]]</f>
        <v>0</v>
      </c>
    </row>
    <row r="191" spans="1:42" ht="18.75" x14ac:dyDescent="0.25">
      <c r="A191" s="2">
        <v>46942</v>
      </c>
      <c r="B191" s="41"/>
      <c r="C191" s="41"/>
      <c r="D191" s="41"/>
      <c r="E191" s="41"/>
      <c r="F191" s="41"/>
      <c r="G191" s="39"/>
      <c r="H191" s="28"/>
      <c r="I191" s="39"/>
      <c r="J191" s="39"/>
      <c r="K191" s="28">
        <f>TABL12345[[#This Row],[خط (T/B  TOT) SAR]]+TABL12345[[#This Row],[خط (S/S  TOT) SAR2]]</f>
        <v>0</v>
      </c>
      <c r="L191" s="41"/>
      <c r="M191" s="42"/>
      <c r="N191" s="42"/>
      <c r="O191" s="39"/>
      <c r="P191" s="12">
        <f>TABL12345[[#This Row],[خط (S/S  TOT) SAR2]]-TABL12345[[#This Row],[(S/S TOT) AJD]]</f>
        <v>0</v>
      </c>
      <c r="Q191" s="39"/>
      <c r="R191" s="12">
        <f>TABL12345[[#This Row],[خط (T/B  TOT) SAR]]-TABL12345[[#This Row],[(T/B TOT) AJD]]</f>
        <v>0</v>
      </c>
      <c r="S191" s="12">
        <f>TABL12345[[#This Row],[الفرق بين بداية ونهاية خط  S/S]]+TABL12345[[#This Row],[الفرق بين بداية ونهاية خط  T/B]]</f>
        <v>0</v>
      </c>
      <c r="T191" s="12">
        <f t="shared" si="8"/>
        <v>0</v>
      </c>
      <c r="U191" s="41"/>
      <c r="V191" s="41"/>
      <c r="W191" s="12">
        <f t="shared" si="9"/>
        <v>0</v>
      </c>
      <c r="X191" s="12">
        <f t="shared" si="10"/>
        <v>0</v>
      </c>
      <c r="Y191" s="41"/>
      <c r="Z191" s="43"/>
      <c r="AA191" s="3">
        <f>TABL12345[[#This Row],[(RESV. STORGE) AJD]]/10</f>
        <v>0</v>
      </c>
      <c r="AB191" s="45">
        <f t="shared" si="11"/>
        <v>0</v>
      </c>
      <c r="AC191" s="5"/>
      <c r="AD191" s="39">
        <f>(TABL12345[[#This Row],[( S/S+T/B) AJD]]*1000)-((TABL12345[[#This Row],[(STORGE DIFF.) AJD]]*1000)+TABL12345[[#This Row],[البخر  AJD]]+(TABL12345[[#This Row],[(A/B + A/S) AJD]]*1000))</f>
        <v>0</v>
      </c>
      <c r="AE191" s="41"/>
      <c r="AF191" s="43"/>
      <c r="AG191" s="43"/>
      <c r="AH191" s="6">
        <f>TABL12345[[#This Row],[ (RESV. STORGE) BER]]/10</f>
        <v>0</v>
      </c>
      <c r="AI191" s="41"/>
      <c r="AJ191" s="43">
        <f>TABL12345[[#This Row],[(A/B TOT) AJD]]-TABL12345[[#This Row],[BER_ IN]]</f>
        <v>0</v>
      </c>
      <c r="AK191" s="43"/>
      <c r="AL191" s="43"/>
      <c r="AM191" s="32"/>
      <c r="AN191" s="32">
        <f>TABL12345[[#This Row],[ (RESV. STORGE) SER]]/10</f>
        <v>0</v>
      </c>
      <c r="AO191" s="68"/>
      <c r="AP191" s="68">
        <f>TABL12345[[#This Row],[(A/S TOT) AJD]]-TABL12345[[#This Row],[SER_ IN]]</f>
        <v>0</v>
      </c>
    </row>
    <row r="192" spans="1:42" ht="18.75" x14ac:dyDescent="0.25">
      <c r="A192" s="2">
        <v>46943</v>
      </c>
      <c r="B192" s="44"/>
      <c r="C192" s="44"/>
      <c r="D192" s="44"/>
      <c r="E192" s="44"/>
      <c r="F192" s="44"/>
      <c r="G192" s="40"/>
      <c r="H192" s="28"/>
      <c r="I192" s="40"/>
      <c r="J192" s="44"/>
      <c r="K192" s="28">
        <f>TABL12345[[#This Row],[خط (T/B  TOT) SAR]]+TABL12345[[#This Row],[خط (S/S  TOT) SAR2]]</f>
        <v>0</v>
      </c>
      <c r="L192" s="45"/>
      <c r="M192" s="46"/>
      <c r="N192" s="46"/>
      <c r="O192" s="40"/>
      <c r="P192" s="12">
        <f>TABL12345[[#This Row],[خط (S/S  TOT) SAR2]]-TABL12345[[#This Row],[(S/S TOT) AJD]]</f>
        <v>0</v>
      </c>
      <c r="Q192" s="40"/>
      <c r="R192" s="12">
        <f>TABL12345[[#This Row],[خط (T/B  TOT) SAR]]-TABL12345[[#This Row],[(T/B TOT) AJD]]</f>
        <v>0</v>
      </c>
      <c r="S192" s="12">
        <f>TABL12345[[#This Row],[الفرق بين بداية ونهاية خط  S/S]]+TABL12345[[#This Row],[الفرق بين بداية ونهاية خط  T/B]]</f>
        <v>0</v>
      </c>
      <c r="T192" s="12">
        <f t="shared" si="8"/>
        <v>0</v>
      </c>
      <c r="U192" s="44"/>
      <c r="V192" s="44"/>
      <c r="W192" s="12">
        <f t="shared" si="9"/>
        <v>0</v>
      </c>
      <c r="X192" s="12">
        <f t="shared" si="10"/>
        <v>0</v>
      </c>
      <c r="Y192" s="44"/>
      <c r="Z192" s="45"/>
      <c r="AA192" s="3">
        <f>TABL12345[[#This Row],[(RESV. STORGE) AJD]]/10</f>
        <v>0</v>
      </c>
      <c r="AB192" s="45">
        <f t="shared" si="11"/>
        <v>0</v>
      </c>
      <c r="AC192" s="5"/>
      <c r="AD192" s="40">
        <f>(TABL12345[[#This Row],[( S/S+T/B) AJD]]*1000)-((TABL12345[[#This Row],[(STORGE DIFF.) AJD]]*1000)+TABL12345[[#This Row],[البخر  AJD]]+(TABL12345[[#This Row],[(A/B + A/S) AJD]]*1000))</f>
        <v>0</v>
      </c>
      <c r="AE192" s="44"/>
      <c r="AF192" s="45"/>
      <c r="AG192" s="45"/>
      <c r="AH192" s="6">
        <f>TABL12345[[#This Row],[ (RESV. STORGE) BER]]/10</f>
        <v>0</v>
      </c>
      <c r="AI192" s="44"/>
      <c r="AJ192" s="45">
        <f>TABL12345[[#This Row],[(A/B TOT) AJD]]-TABL12345[[#This Row],[BER_ IN]]</f>
        <v>0</v>
      </c>
      <c r="AK192" s="45"/>
      <c r="AL192" s="45"/>
      <c r="AM192" s="32"/>
      <c r="AN192" s="32">
        <f>TABL12345[[#This Row],[ (RESV. STORGE) SER]]/10</f>
        <v>0</v>
      </c>
      <c r="AO192" s="68"/>
      <c r="AP192" s="68">
        <f>TABL12345[[#This Row],[(A/S TOT) AJD]]-TABL12345[[#This Row],[SER_ IN]]</f>
        <v>0</v>
      </c>
    </row>
    <row r="193" spans="1:42" ht="18.75" x14ac:dyDescent="0.25">
      <c r="A193" s="2">
        <v>46944</v>
      </c>
      <c r="B193" s="41"/>
      <c r="C193" s="41"/>
      <c r="D193" s="41"/>
      <c r="E193" s="41"/>
      <c r="F193" s="41"/>
      <c r="G193" s="39"/>
      <c r="H193" s="28"/>
      <c r="I193" s="39"/>
      <c r="J193" s="39"/>
      <c r="K193" s="28">
        <f>TABL12345[[#This Row],[خط (T/B  TOT) SAR]]+TABL12345[[#This Row],[خط (S/S  TOT) SAR2]]</f>
        <v>0</v>
      </c>
      <c r="L193" s="41"/>
      <c r="M193" s="42"/>
      <c r="N193" s="42"/>
      <c r="O193" s="39"/>
      <c r="P193" s="12">
        <f>TABL12345[[#This Row],[خط (S/S  TOT) SAR2]]-TABL12345[[#This Row],[(S/S TOT) AJD]]</f>
        <v>0</v>
      </c>
      <c r="Q193" s="39"/>
      <c r="R193" s="12">
        <f>TABL12345[[#This Row],[خط (T/B  TOT) SAR]]-TABL12345[[#This Row],[(T/B TOT) AJD]]</f>
        <v>0</v>
      </c>
      <c r="S193" s="12">
        <f>TABL12345[[#This Row],[الفرق بين بداية ونهاية خط  S/S]]+TABL12345[[#This Row],[الفرق بين بداية ونهاية خط  T/B]]</f>
        <v>0</v>
      </c>
      <c r="T193" s="12">
        <f t="shared" si="8"/>
        <v>0</v>
      </c>
      <c r="U193" s="41"/>
      <c r="V193" s="41"/>
      <c r="W193" s="12">
        <f t="shared" si="9"/>
        <v>0</v>
      </c>
      <c r="X193" s="12">
        <f t="shared" si="10"/>
        <v>0</v>
      </c>
      <c r="Y193" s="41"/>
      <c r="Z193" s="43"/>
      <c r="AA193" s="3">
        <f>TABL12345[[#This Row],[(RESV. STORGE) AJD]]/10</f>
        <v>0</v>
      </c>
      <c r="AB193" s="45">
        <f t="shared" si="11"/>
        <v>0</v>
      </c>
      <c r="AC193" s="5"/>
      <c r="AD193" s="39">
        <f>(TABL12345[[#This Row],[( S/S+T/B) AJD]]*1000)-((TABL12345[[#This Row],[(STORGE DIFF.) AJD]]*1000)+TABL12345[[#This Row],[البخر  AJD]]+(TABL12345[[#This Row],[(A/B + A/S) AJD]]*1000))</f>
        <v>0</v>
      </c>
      <c r="AE193" s="41"/>
      <c r="AF193" s="43"/>
      <c r="AG193" s="68"/>
      <c r="AH193" s="6">
        <f>TABL12345[[#This Row],[ (RESV. STORGE) BER]]/10</f>
        <v>0</v>
      </c>
      <c r="AI193" s="41"/>
      <c r="AJ193" s="68">
        <f>TABL12345[[#This Row],[(A/B TOT) AJD]]-TABL12345[[#This Row],[BER_ IN]]</f>
        <v>0</v>
      </c>
      <c r="AK193" s="43"/>
      <c r="AL193" s="43"/>
      <c r="AM193" s="32"/>
      <c r="AN193" s="32">
        <f>TABL12345[[#This Row],[ (RESV. STORGE) SER]]/10</f>
        <v>0</v>
      </c>
      <c r="AO193" s="68"/>
      <c r="AP193" s="68">
        <f>TABL12345[[#This Row],[(A/S TOT) AJD]]-TABL12345[[#This Row],[SER_ IN]]</f>
        <v>0</v>
      </c>
    </row>
    <row r="194" spans="1:42" ht="18.75" x14ac:dyDescent="0.25">
      <c r="A194" s="2">
        <v>46945</v>
      </c>
      <c r="B194" s="44"/>
      <c r="C194" s="44"/>
      <c r="D194" s="44"/>
      <c r="E194" s="44"/>
      <c r="F194" s="44"/>
      <c r="G194" s="40"/>
      <c r="H194" s="28"/>
      <c r="I194" s="40"/>
      <c r="J194" s="44"/>
      <c r="K194" s="28">
        <f>TABL12345[[#This Row],[خط (T/B  TOT) SAR]]+TABL12345[[#This Row],[خط (S/S  TOT) SAR2]]</f>
        <v>0</v>
      </c>
      <c r="L194" s="45"/>
      <c r="M194" s="46"/>
      <c r="N194" s="46"/>
      <c r="O194" s="40"/>
      <c r="P194" s="12">
        <f>TABL12345[[#This Row],[خط (S/S  TOT) SAR2]]-TABL12345[[#This Row],[(S/S TOT) AJD]]</f>
        <v>0</v>
      </c>
      <c r="Q194" s="40"/>
      <c r="R194" s="12">
        <f>TABL12345[[#This Row],[خط (T/B  TOT) SAR]]-TABL12345[[#This Row],[(T/B TOT) AJD]]</f>
        <v>0</v>
      </c>
      <c r="S194" s="12">
        <f>TABL12345[[#This Row],[الفرق بين بداية ونهاية خط  S/S]]+TABL12345[[#This Row],[الفرق بين بداية ونهاية خط  T/B]]</f>
        <v>0</v>
      </c>
      <c r="T194" s="12">
        <f t="shared" ref="T194:T257" si="12">O194+Q194</f>
        <v>0</v>
      </c>
      <c r="U194" s="44"/>
      <c r="V194" s="44"/>
      <c r="W194" s="12">
        <f t="shared" ref="W194:W257" si="13">U194+V194</f>
        <v>0</v>
      </c>
      <c r="X194" s="12">
        <f t="shared" ref="X194:X257" si="14">T194-W194</f>
        <v>0</v>
      </c>
      <c r="Y194" s="44"/>
      <c r="Z194" s="45"/>
      <c r="AA194" s="3">
        <f>TABL12345[[#This Row],[(RESV. STORGE) AJD]]/10</f>
        <v>0</v>
      </c>
      <c r="AB194" s="45">
        <f t="shared" si="11"/>
        <v>0</v>
      </c>
      <c r="AC194" s="5"/>
      <c r="AD194" s="40">
        <f>(TABL12345[[#This Row],[( S/S+T/B) AJD]]*1000)-((TABL12345[[#This Row],[(STORGE DIFF.) AJD]]*1000)+TABL12345[[#This Row],[البخر  AJD]]+(TABL12345[[#This Row],[(A/B + A/S) AJD]]*1000))</f>
        <v>0</v>
      </c>
      <c r="AE194" s="44"/>
      <c r="AF194" s="45"/>
      <c r="AG194" s="45"/>
      <c r="AH194" s="6">
        <f>TABL12345[[#This Row],[ (RESV. STORGE) BER]]/10</f>
        <v>0</v>
      </c>
      <c r="AI194" s="44"/>
      <c r="AJ194" s="45">
        <f>TABL12345[[#This Row],[(A/B TOT) AJD]]-TABL12345[[#This Row],[BER_ IN]]</f>
        <v>0</v>
      </c>
      <c r="AK194" s="45"/>
      <c r="AL194" s="45"/>
      <c r="AM194" s="32"/>
      <c r="AN194" s="32">
        <f>TABL12345[[#This Row],[ (RESV. STORGE) SER]]/10</f>
        <v>0</v>
      </c>
      <c r="AO194" s="68"/>
      <c r="AP194" s="68">
        <f>TABL12345[[#This Row],[(A/S TOT) AJD]]-TABL12345[[#This Row],[SER_ IN]]</f>
        <v>0</v>
      </c>
    </row>
    <row r="195" spans="1:42" ht="18.75" x14ac:dyDescent="0.25">
      <c r="A195" s="2">
        <v>46946</v>
      </c>
      <c r="B195" s="41"/>
      <c r="C195" s="41"/>
      <c r="D195" s="41"/>
      <c r="E195" s="41"/>
      <c r="F195" s="41"/>
      <c r="G195" s="39"/>
      <c r="H195" s="28"/>
      <c r="I195" s="39"/>
      <c r="J195" s="39"/>
      <c r="K195" s="28">
        <f>TABL12345[[#This Row],[خط (T/B  TOT) SAR]]+TABL12345[[#This Row],[خط (S/S  TOT) SAR2]]</f>
        <v>0</v>
      </c>
      <c r="L195" s="41"/>
      <c r="M195" s="42"/>
      <c r="N195" s="42"/>
      <c r="O195" s="39"/>
      <c r="P195" s="12">
        <f>TABL12345[[#This Row],[خط (S/S  TOT) SAR2]]-TABL12345[[#This Row],[(S/S TOT) AJD]]</f>
        <v>0</v>
      </c>
      <c r="Q195" s="39"/>
      <c r="R195" s="12">
        <f>TABL12345[[#This Row],[خط (T/B  TOT) SAR]]-TABL12345[[#This Row],[(T/B TOT) AJD]]</f>
        <v>0</v>
      </c>
      <c r="S195" s="12">
        <f>TABL12345[[#This Row],[الفرق بين بداية ونهاية خط  S/S]]+TABL12345[[#This Row],[الفرق بين بداية ونهاية خط  T/B]]</f>
        <v>0</v>
      </c>
      <c r="T195" s="12">
        <f t="shared" si="12"/>
        <v>0</v>
      </c>
      <c r="U195" s="41"/>
      <c r="V195" s="41"/>
      <c r="W195" s="12">
        <f t="shared" si="13"/>
        <v>0</v>
      </c>
      <c r="X195" s="12">
        <f t="shared" si="14"/>
        <v>0</v>
      </c>
      <c r="Y195" s="41"/>
      <c r="Z195" s="43"/>
      <c r="AA195" s="3">
        <f>TABL12345[[#This Row],[(RESV. STORGE) AJD]]/10</f>
        <v>0</v>
      </c>
      <c r="AB195" s="45">
        <f t="shared" si="11"/>
        <v>0</v>
      </c>
      <c r="AC195" s="5"/>
      <c r="AD195" s="39">
        <f>(TABL12345[[#This Row],[( S/S+T/B) AJD]]*1000)-((TABL12345[[#This Row],[(STORGE DIFF.) AJD]]*1000)+TABL12345[[#This Row],[البخر  AJD]]+(TABL12345[[#This Row],[(A/B + A/S) AJD]]*1000))</f>
        <v>0</v>
      </c>
      <c r="AE195" s="41"/>
      <c r="AF195" s="43"/>
      <c r="AG195" s="43"/>
      <c r="AH195" s="6">
        <f>TABL12345[[#This Row],[ (RESV. STORGE) BER]]/10</f>
        <v>0</v>
      </c>
      <c r="AI195" s="41"/>
      <c r="AJ195" s="43">
        <f>TABL12345[[#This Row],[(A/B TOT) AJD]]-TABL12345[[#This Row],[BER_ IN]]</f>
        <v>0</v>
      </c>
      <c r="AK195" s="43"/>
      <c r="AL195" s="43"/>
      <c r="AM195" s="32"/>
      <c r="AN195" s="32">
        <f>TABL12345[[#This Row],[ (RESV. STORGE) SER]]/10</f>
        <v>0</v>
      </c>
      <c r="AO195" s="68"/>
      <c r="AP195" s="68">
        <f>TABL12345[[#This Row],[(A/S TOT) AJD]]-TABL12345[[#This Row],[SER_ IN]]</f>
        <v>0</v>
      </c>
    </row>
    <row r="196" spans="1:42" ht="18.75" x14ac:dyDescent="0.25">
      <c r="A196" s="2">
        <v>46947</v>
      </c>
      <c r="B196" s="44"/>
      <c r="C196" s="44"/>
      <c r="D196" s="44"/>
      <c r="E196" s="44"/>
      <c r="F196" s="44"/>
      <c r="G196" s="40"/>
      <c r="H196" s="28"/>
      <c r="I196" s="40"/>
      <c r="J196" s="44"/>
      <c r="K196" s="28">
        <f>TABL12345[[#This Row],[خط (T/B  TOT) SAR]]+TABL12345[[#This Row],[خط (S/S  TOT) SAR2]]</f>
        <v>0</v>
      </c>
      <c r="L196" s="45"/>
      <c r="M196" s="46"/>
      <c r="N196" s="46"/>
      <c r="O196" s="40"/>
      <c r="P196" s="12">
        <f>TABL12345[[#This Row],[خط (S/S  TOT) SAR2]]-TABL12345[[#This Row],[(S/S TOT) AJD]]</f>
        <v>0</v>
      </c>
      <c r="Q196" s="40"/>
      <c r="R196" s="12">
        <f>TABL12345[[#This Row],[خط (T/B  TOT) SAR]]-TABL12345[[#This Row],[(T/B TOT) AJD]]</f>
        <v>0</v>
      </c>
      <c r="S196" s="12">
        <f>TABL12345[[#This Row],[الفرق بين بداية ونهاية خط  S/S]]+TABL12345[[#This Row],[الفرق بين بداية ونهاية خط  T/B]]</f>
        <v>0</v>
      </c>
      <c r="T196" s="12">
        <f t="shared" si="12"/>
        <v>0</v>
      </c>
      <c r="U196" s="44"/>
      <c r="V196" s="44"/>
      <c r="W196" s="12">
        <f t="shared" si="13"/>
        <v>0</v>
      </c>
      <c r="X196" s="12">
        <f t="shared" si="14"/>
        <v>0</v>
      </c>
      <c r="Y196" s="44"/>
      <c r="Z196" s="45"/>
      <c r="AA196" s="3">
        <f>TABL12345[[#This Row],[(RESV. STORGE) AJD]]/10</f>
        <v>0</v>
      </c>
      <c r="AB196" s="45">
        <f t="shared" ref="AB196:AB259" si="15">(Z196-Z195)/1000</f>
        <v>0</v>
      </c>
      <c r="AC196" s="5"/>
      <c r="AD196" s="40">
        <f>(TABL12345[[#This Row],[( S/S+T/B) AJD]]*1000)-((TABL12345[[#This Row],[(STORGE DIFF.) AJD]]*1000)+TABL12345[[#This Row],[البخر  AJD]]+(TABL12345[[#This Row],[(A/B + A/S) AJD]]*1000))</f>
        <v>0</v>
      </c>
      <c r="AE196" s="44"/>
      <c r="AF196" s="45"/>
      <c r="AG196" s="45"/>
      <c r="AH196" s="6">
        <f>TABL12345[[#This Row],[ (RESV. STORGE) BER]]/10</f>
        <v>0</v>
      </c>
      <c r="AI196" s="44"/>
      <c r="AJ196" s="45">
        <f>TABL12345[[#This Row],[(A/B TOT) AJD]]-TABL12345[[#This Row],[BER_ IN]]</f>
        <v>0</v>
      </c>
      <c r="AK196" s="45"/>
      <c r="AL196" s="45"/>
      <c r="AM196" s="32"/>
      <c r="AN196" s="32">
        <f>TABL12345[[#This Row],[ (RESV. STORGE) SER]]/10</f>
        <v>0</v>
      </c>
      <c r="AO196" s="68"/>
      <c r="AP196" s="68">
        <f>TABL12345[[#This Row],[(A/S TOT) AJD]]-TABL12345[[#This Row],[SER_ IN]]</f>
        <v>0</v>
      </c>
    </row>
    <row r="197" spans="1:42" ht="18.75" x14ac:dyDescent="0.25">
      <c r="A197" s="2">
        <v>46948</v>
      </c>
      <c r="B197" s="41"/>
      <c r="C197" s="41"/>
      <c r="D197" s="41"/>
      <c r="E197" s="41"/>
      <c r="F197" s="41"/>
      <c r="G197" s="39"/>
      <c r="H197" s="28"/>
      <c r="I197" s="39"/>
      <c r="J197" s="39"/>
      <c r="K197" s="28">
        <f>TABL12345[[#This Row],[خط (T/B  TOT) SAR]]+TABL12345[[#This Row],[خط (S/S  TOT) SAR2]]</f>
        <v>0</v>
      </c>
      <c r="L197" s="41"/>
      <c r="M197" s="42"/>
      <c r="N197" s="42"/>
      <c r="O197" s="39"/>
      <c r="P197" s="12">
        <f>TABL12345[[#This Row],[خط (S/S  TOT) SAR2]]-TABL12345[[#This Row],[(S/S TOT) AJD]]</f>
        <v>0</v>
      </c>
      <c r="Q197" s="39"/>
      <c r="R197" s="12">
        <f>TABL12345[[#This Row],[خط (T/B  TOT) SAR]]-TABL12345[[#This Row],[(T/B TOT) AJD]]</f>
        <v>0</v>
      </c>
      <c r="S197" s="12">
        <f>TABL12345[[#This Row],[الفرق بين بداية ونهاية خط  S/S]]+TABL12345[[#This Row],[الفرق بين بداية ونهاية خط  T/B]]</f>
        <v>0</v>
      </c>
      <c r="T197" s="12">
        <f t="shared" si="12"/>
        <v>0</v>
      </c>
      <c r="U197" s="41"/>
      <c r="V197" s="41"/>
      <c r="W197" s="12">
        <f t="shared" si="13"/>
        <v>0</v>
      </c>
      <c r="X197" s="12">
        <f t="shared" si="14"/>
        <v>0</v>
      </c>
      <c r="Y197" s="41"/>
      <c r="Z197" s="43"/>
      <c r="AA197" s="3">
        <f>TABL12345[[#This Row],[(RESV. STORGE) AJD]]/10</f>
        <v>0</v>
      </c>
      <c r="AB197" s="45">
        <f t="shared" si="15"/>
        <v>0</v>
      </c>
      <c r="AC197" s="5"/>
      <c r="AD197" s="39">
        <f>(TABL12345[[#This Row],[( S/S+T/B) AJD]]*1000)-((TABL12345[[#This Row],[(STORGE DIFF.) AJD]]*1000)+TABL12345[[#This Row],[البخر  AJD]]+(TABL12345[[#This Row],[(A/B + A/S) AJD]]*1000))</f>
        <v>0</v>
      </c>
      <c r="AE197" s="41"/>
      <c r="AF197" s="43"/>
      <c r="AG197" s="43"/>
      <c r="AH197" s="6">
        <f>TABL12345[[#This Row],[ (RESV. STORGE) BER]]/10</f>
        <v>0</v>
      </c>
      <c r="AI197" s="41"/>
      <c r="AJ197" s="43">
        <f>TABL12345[[#This Row],[(A/B TOT) AJD]]-TABL12345[[#This Row],[BER_ IN]]</f>
        <v>0</v>
      </c>
      <c r="AK197" s="43"/>
      <c r="AL197" s="43"/>
      <c r="AM197" s="32"/>
      <c r="AN197" s="32">
        <f>TABL12345[[#This Row],[ (RESV. STORGE) SER]]/10</f>
        <v>0</v>
      </c>
      <c r="AO197" s="68"/>
      <c r="AP197" s="68">
        <f>TABL12345[[#This Row],[(A/S TOT) AJD]]-TABL12345[[#This Row],[SER_ IN]]</f>
        <v>0</v>
      </c>
    </row>
    <row r="198" spans="1:42" ht="18.75" x14ac:dyDescent="0.25">
      <c r="A198" s="2">
        <v>46949</v>
      </c>
      <c r="B198" s="44"/>
      <c r="C198" s="44"/>
      <c r="D198" s="44"/>
      <c r="E198" s="44"/>
      <c r="F198" s="44"/>
      <c r="G198" s="40"/>
      <c r="H198" s="28"/>
      <c r="I198" s="40"/>
      <c r="J198" s="44"/>
      <c r="K198" s="28">
        <f>TABL12345[[#This Row],[خط (T/B  TOT) SAR]]+TABL12345[[#This Row],[خط (S/S  TOT) SAR2]]</f>
        <v>0</v>
      </c>
      <c r="L198" s="45"/>
      <c r="M198" s="46"/>
      <c r="N198" s="46"/>
      <c r="O198" s="40"/>
      <c r="P198" s="12">
        <f>TABL12345[[#This Row],[خط (S/S  TOT) SAR2]]-TABL12345[[#This Row],[(S/S TOT) AJD]]</f>
        <v>0</v>
      </c>
      <c r="Q198" s="40"/>
      <c r="R198" s="12">
        <f>TABL12345[[#This Row],[خط (T/B  TOT) SAR]]-TABL12345[[#This Row],[(T/B TOT) AJD]]</f>
        <v>0</v>
      </c>
      <c r="S198" s="12">
        <f>TABL12345[[#This Row],[الفرق بين بداية ونهاية خط  S/S]]+TABL12345[[#This Row],[الفرق بين بداية ونهاية خط  T/B]]</f>
        <v>0</v>
      </c>
      <c r="T198" s="12">
        <f t="shared" si="12"/>
        <v>0</v>
      </c>
      <c r="U198" s="44"/>
      <c r="V198" s="44"/>
      <c r="W198" s="12">
        <f t="shared" si="13"/>
        <v>0</v>
      </c>
      <c r="X198" s="12">
        <f t="shared" si="14"/>
        <v>0</v>
      </c>
      <c r="Y198" s="44"/>
      <c r="Z198" s="45"/>
      <c r="AA198" s="3">
        <f>TABL12345[[#This Row],[(RESV. STORGE) AJD]]/10</f>
        <v>0</v>
      </c>
      <c r="AB198" s="45">
        <f t="shared" si="15"/>
        <v>0</v>
      </c>
      <c r="AC198" s="5"/>
      <c r="AD198" s="40">
        <f>(TABL12345[[#This Row],[( S/S+T/B) AJD]]*1000)-((TABL12345[[#This Row],[(STORGE DIFF.) AJD]]*1000)+TABL12345[[#This Row],[البخر  AJD]]+(TABL12345[[#This Row],[(A/B + A/S) AJD]]*1000))</f>
        <v>0</v>
      </c>
      <c r="AE198" s="44"/>
      <c r="AF198" s="45"/>
      <c r="AG198" s="45"/>
      <c r="AH198" s="6">
        <f>TABL12345[[#This Row],[ (RESV. STORGE) BER]]/10</f>
        <v>0</v>
      </c>
      <c r="AI198" s="44"/>
      <c r="AJ198" s="45">
        <f>TABL12345[[#This Row],[(A/B TOT) AJD]]-TABL12345[[#This Row],[BER_ IN]]</f>
        <v>0</v>
      </c>
      <c r="AK198" s="45"/>
      <c r="AL198" s="45"/>
      <c r="AM198" s="32"/>
      <c r="AN198" s="32">
        <f>TABL12345[[#This Row],[ (RESV. STORGE) SER]]/10</f>
        <v>0</v>
      </c>
      <c r="AO198" s="68"/>
      <c r="AP198" s="68">
        <f>TABL12345[[#This Row],[(A/S TOT) AJD]]-TABL12345[[#This Row],[SER_ IN]]</f>
        <v>0</v>
      </c>
    </row>
    <row r="199" spans="1:42" ht="18.75" x14ac:dyDescent="0.25">
      <c r="A199" s="2">
        <v>46950</v>
      </c>
      <c r="B199" s="41"/>
      <c r="C199" s="41"/>
      <c r="D199" s="41"/>
      <c r="E199" s="41"/>
      <c r="F199" s="41"/>
      <c r="G199" s="39"/>
      <c r="H199" s="28"/>
      <c r="I199" s="39"/>
      <c r="J199" s="39"/>
      <c r="K199" s="28">
        <f>TABL12345[[#This Row],[خط (T/B  TOT) SAR]]+TABL12345[[#This Row],[خط (S/S  TOT) SAR2]]</f>
        <v>0</v>
      </c>
      <c r="L199" s="41"/>
      <c r="M199" s="42"/>
      <c r="N199" s="42"/>
      <c r="O199" s="39"/>
      <c r="P199" s="12">
        <f>TABL12345[[#This Row],[خط (S/S  TOT) SAR2]]-TABL12345[[#This Row],[(S/S TOT) AJD]]</f>
        <v>0</v>
      </c>
      <c r="Q199" s="39"/>
      <c r="R199" s="12">
        <f>TABL12345[[#This Row],[خط (T/B  TOT) SAR]]-TABL12345[[#This Row],[(T/B TOT) AJD]]</f>
        <v>0</v>
      </c>
      <c r="S199" s="12">
        <f>TABL12345[[#This Row],[الفرق بين بداية ونهاية خط  S/S]]+TABL12345[[#This Row],[الفرق بين بداية ونهاية خط  T/B]]</f>
        <v>0</v>
      </c>
      <c r="T199" s="12">
        <f t="shared" si="12"/>
        <v>0</v>
      </c>
      <c r="U199" s="41"/>
      <c r="V199" s="41"/>
      <c r="W199" s="12">
        <f t="shared" si="13"/>
        <v>0</v>
      </c>
      <c r="X199" s="12">
        <f t="shared" si="14"/>
        <v>0</v>
      </c>
      <c r="Y199" s="41"/>
      <c r="Z199" s="43"/>
      <c r="AA199" s="3">
        <f>TABL12345[[#This Row],[(RESV. STORGE) AJD]]/10</f>
        <v>0</v>
      </c>
      <c r="AB199" s="45">
        <f t="shared" si="15"/>
        <v>0</v>
      </c>
      <c r="AC199" s="5"/>
      <c r="AD199" s="39">
        <f>(TABL12345[[#This Row],[( S/S+T/B) AJD]]*1000)-((TABL12345[[#This Row],[(STORGE DIFF.) AJD]]*1000)+TABL12345[[#This Row],[البخر  AJD]]+(TABL12345[[#This Row],[(A/B + A/S) AJD]]*1000))</f>
        <v>0</v>
      </c>
      <c r="AE199" s="41"/>
      <c r="AF199" s="43"/>
      <c r="AG199" s="43"/>
      <c r="AH199" s="6">
        <f>TABL12345[[#This Row],[ (RESV. STORGE) BER]]/10</f>
        <v>0</v>
      </c>
      <c r="AI199" s="41"/>
      <c r="AJ199" s="43">
        <f>TABL12345[[#This Row],[(A/B TOT) AJD]]-TABL12345[[#This Row],[BER_ IN]]</f>
        <v>0</v>
      </c>
      <c r="AK199" s="43"/>
      <c r="AL199" s="43"/>
      <c r="AM199" s="32"/>
      <c r="AN199" s="32">
        <f>TABL12345[[#This Row],[ (RESV. STORGE) SER]]/10</f>
        <v>0</v>
      </c>
      <c r="AO199" s="68"/>
      <c r="AP199" s="68">
        <f>TABL12345[[#This Row],[(A/S TOT) AJD]]-TABL12345[[#This Row],[SER_ IN]]</f>
        <v>0</v>
      </c>
    </row>
    <row r="200" spans="1:42" ht="18.75" x14ac:dyDescent="0.25">
      <c r="A200" s="2">
        <v>46951</v>
      </c>
      <c r="B200" s="44"/>
      <c r="C200" s="44"/>
      <c r="D200" s="44"/>
      <c r="E200" s="44"/>
      <c r="F200" s="44"/>
      <c r="G200" s="40"/>
      <c r="H200" s="28"/>
      <c r="I200" s="40"/>
      <c r="J200" s="44"/>
      <c r="K200" s="28">
        <f>TABL12345[[#This Row],[خط (T/B  TOT) SAR]]+TABL12345[[#This Row],[خط (S/S  TOT) SAR2]]</f>
        <v>0</v>
      </c>
      <c r="L200" s="45"/>
      <c r="M200" s="46"/>
      <c r="N200" s="46"/>
      <c r="O200" s="40"/>
      <c r="P200" s="12">
        <f>TABL12345[[#This Row],[خط (S/S  TOT) SAR2]]-TABL12345[[#This Row],[(S/S TOT) AJD]]</f>
        <v>0</v>
      </c>
      <c r="Q200" s="40"/>
      <c r="R200" s="12">
        <f>TABL12345[[#This Row],[خط (T/B  TOT) SAR]]-TABL12345[[#This Row],[(T/B TOT) AJD]]</f>
        <v>0</v>
      </c>
      <c r="S200" s="12">
        <f>TABL12345[[#This Row],[الفرق بين بداية ونهاية خط  S/S]]+TABL12345[[#This Row],[الفرق بين بداية ونهاية خط  T/B]]</f>
        <v>0</v>
      </c>
      <c r="T200" s="12">
        <f t="shared" si="12"/>
        <v>0</v>
      </c>
      <c r="U200" s="44"/>
      <c r="V200" s="44"/>
      <c r="W200" s="12">
        <f t="shared" si="13"/>
        <v>0</v>
      </c>
      <c r="X200" s="12">
        <f t="shared" si="14"/>
        <v>0</v>
      </c>
      <c r="Y200" s="44"/>
      <c r="Z200" s="45"/>
      <c r="AA200" s="3">
        <f>TABL12345[[#This Row],[(RESV. STORGE) AJD]]/10</f>
        <v>0</v>
      </c>
      <c r="AB200" s="45">
        <f t="shared" si="15"/>
        <v>0</v>
      </c>
      <c r="AC200" s="5"/>
      <c r="AD200" s="40">
        <f>(TABL12345[[#This Row],[( S/S+T/B) AJD]]*1000)-((TABL12345[[#This Row],[(STORGE DIFF.) AJD]]*1000)+TABL12345[[#This Row],[البخر  AJD]]+(TABL12345[[#This Row],[(A/B + A/S) AJD]]*1000))</f>
        <v>0</v>
      </c>
      <c r="AE200" s="44"/>
      <c r="AF200" s="45"/>
      <c r="AG200" s="45"/>
      <c r="AH200" s="6">
        <f>TABL12345[[#This Row],[ (RESV. STORGE) BER]]/10</f>
        <v>0</v>
      </c>
      <c r="AI200" s="44"/>
      <c r="AJ200" s="45">
        <f>TABL12345[[#This Row],[(A/B TOT) AJD]]-TABL12345[[#This Row],[BER_ IN]]</f>
        <v>0</v>
      </c>
      <c r="AK200" s="45"/>
      <c r="AL200" s="45"/>
      <c r="AM200" s="32"/>
      <c r="AN200" s="32">
        <f>TABL12345[[#This Row],[ (RESV. STORGE) SER]]/10</f>
        <v>0</v>
      </c>
      <c r="AO200" s="68"/>
      <c r="AP200" s="68">
        <f>TABL12345[[#This Row],[(A/S TOT) AJD]]-TABL12345[[#This Row],[SER_ IN]]</f>
        <v>0</v>
      </c>
    </row>
    <row r="201" spans="1:42" ht="18.75" x14ac:dyDescent="0.25">
      <c r="A201" s="2">
        <v>46952</v>
      </c>
      <c r="B201" s="41"/>
      <c r="C201" s="41"/>
      <c r="D201" s="41"/>
      <c r="E201" s="41"/>
      <c r="F201" s="41"/>
      <c r="G201" s="39"/>
      <c r="H201" s="28"/>
      <c r="I201" s="39"/>
      <c r="J201" s="39"/>
      <c r="K201" s="28">
        <f>TABL12345[[#This Row],[خط (T/B  TOT) SAR]]+TABL12345[[#This Row],[خط (S/S  TOT) SAR2]]</f>
        <v>0</v>
      </c>
      <c r="L201" s="41"/>
      <c r="M201" s="42"/>
      <c r="N201" s="42"/>
      <c r="O201" s="39"/>
      <c r="P201" s="12">
        <f>TABL12345[[#This Row],[خط (S/S  TOT) SAR2]]-TABL12345[[#This Row],[(S/S TOT) AJD]]</f>
        <v>0</v>
      </c>
      <c r="Q201" s="39"/>
      <c r="R201" s="12">
        <f>TABL12345[[#This Row],[خط (T/B  TOT) SAR]]-TABL12345[[#This Row],[(T/B TOT) AJD]]</f>
        <v>0</v>
      </c>
      <c r="S201" s="12">
        <f>TABL12345[[#This Row],[الفرق بين بداية ونهاية خط  S/S]]+TABL12345[[#This Row],[الفرق بين بداية ونهاية خط  T/B]]</f>
        <v>0</v>
      </c>
      <c r="T201" s="12">
        <f t="shared" si="12"/>
        <v>0</v>
      </c>
      <c r="U201" s="41"/>
      <c r="V201" s="41"/>
      <c r="W201" s="12">
        <f t="shared" si="13"/>
        <v>0</v>
      </c>
      <c r="X201" s="12">
        <f t="shared" si="14"/>
        <v>0</v>
      </c>
      <c r="Y201" s="41"/>
      <c r="Z201" s="43"/>
      <c r="AA201" s="3">
        <f>TABL12345[[#This Row],[(RESV. STORGE) AJD]]/10</f>
        <v>0</v>
      </c>
      <c r="AB201" s="45">
        <f t="shared" si="15"/>
        <v>0</v>
      </c>
      <c r="AC201" s="5"/>
      <c r="AD201" s="39">
        <f>(TABL12345[[#This Row],[( S/S+T/B) AJD]]*1000)-((TABL12345[[#This Row],[(STORGE DIFF.) AJD]]*1000)+TABL12345[[#This Row],[البخر  AJD]]+(TABL12345[[#This Row],[(A/B + A/S) AJD]]*1000))</f>
        <v>0</v>
      </c>
      <c r="AE201" s="41"/>
      <c r="AF201" s="43"/>
      <c r="AG201" s="43"/>
      <c r="AH201" s="6">
        <f>TABL12345[[#This Row],[ (RESV. STORGE) BER]]/10</f>
        <v>0</v>
      </c>
      <c r="AI201" s="41"/>
      <c r="AJ201" s="43">
        <f>TABL12345[[#This Row],[(A/B TOT) AJD]]-TABL12345[[#This Row],[BER_ IN]]</f>
        <v>0</v>
      </c>
      <c r="AK201" s="43"/>
      <c r="AL201" s="43"/>
      <c r="AM201" s="32"/>
      <c r="AN201" s="32">
        <f>TABL12345[[#This Row],[ (RESV. STORGE) SER]]/10</f>
        <v>0</v>
      </c>
      <c r="AO201" s="68"/>
      <c r="AP201" s="68">
        <f>TABL12345[[#This Row],[(A/S TOT) AJD]]-TABL12345[[#This Row],[SER_ IN]]</f>
        <v>0</v>
      </c>
    </row>
    <row r="202" spans="1:42" ht="18.75" x14ac:dyDescent="0.25">
      <c r="A202" s="2">
        <v>46953</v>
      </c>
      <c r="B202" s="44"/>
      <c r="C202" s="44"/>
      <c r="D202" s="44"/>
      <c r="E202" s="44"/>
      <c r="F202" s="44"/>
      <c r="G202" s="40"/>
      <c r="H202" s="28"/>
      <c r="I202" s="40"/>
      <c r="J202" s="44"/>
      <c r="K202" s="28">
        <f>TABL12345[[#This Row],[خط (T/B  TOT) SAR]]+TABL12345[[#This Row],[خط (S/S  TOT) SAR2]]</f>
        <v>0</v>
      </c>
      <c r="L202" s="45"/>
      <c r="M202" s="46"/>
      <c r="N202" s="46"/>
      <c r="O202" s="40"/>
      <c r="P202" s="12">
        <f>TABL12345[[#This Row],[خط (S/S  TOT) SAR2]]-TABL12345[[#This Row],[(S/S TOT) AJD]]</f>
        <v>0</v>
      </c>
      <c r="Q202" s="40"/>
      <c r="R202" s="12">
        <f>TABL12345[[#This Row],[خط (T/B  TOT) SAR]]-TABL12345[[#This Row],[(T/B TOT) AJD]]</f>
        <v>0</v>
      </c>
      <c r="S202" s="12">
        <f>TABL12345[[#This Row],[الفرق بين بداية ونهاية خط  S/S]]+TABL12345[[#This Row],[الفرق بين بداية ونهاية خط  T/B]]</f>
        <v>0</v>
      </c>
      <c r="T202" s="12">
        <f t="shared" si="12"/>
        <v>0</v>
      </c>
      <c r="U202" s="44"/>
      <c r="V202" s="44"/>
      <c r="W202" s="12">
        <f t="shared" si="13"/>
        <v>0</v>
      </c>
      <c r="X202" s="12">
        <f t="shared" si="14"/>
        <v>0</v>
      </c>
      <c r="Y202" s="44"/>
      <c r="Z202" s="45"/>
      <c r="AA202" s="3">
        <f>TABL12345[[#This Row],[(RESV. STORGE) AJD]]/10</f>
        <v>0</v>
      </c>
      <c r="AB202" s="45">
        <f t="shared" si="15"/>
        <v>0</v>
      </c>
      <c r="AC202" s="5"/>
      <c r="AD202" s="40">
        <f>(TABL12345[[#This Row],[( S/S+T/B) AJD]]*1000)-((TABL12345[[#This Row],[(STORGE DIFF.) AJD]]*1000)+TABL12345[[#This Row],[البخر  AJD]]+(TABL12345[[#This Row],[(A/B + A/S) AJD]]*1000))</f>
        <v>0</v>
      </c>
      <c r="AE202" s="44"/>
      <c r="AF202" s="45"/>
      <c r="AG202" s="45"/>
      <c r="AH202" s="6">
        <f>TABL12345[[#This Row],[ (RESV. STORGE) BER]]/10</f>
        <v>0</v>
      </c>
      <c r="AI202" s="44"/>
      <c r="AJ202" s="45">
        <f>TABL12345[[#This Row],[(A/B TOT) AJD]]-TABL12345[[#This Row],[BER_ IN]]</f>
        <v>0</v>
      </c>
      <c r="AK202" s="45"/>
      <c r="AL202" s="45"/>
      <c r="AM202" s="32"/>
      <c r="AN202" s="32">
        <f>TABL12345[[#This Row],[ (RESV. STORGE) SER]]/10</f>
        <v>0</v>
      </c>
      <c r="AO202" s="68"/>
      <c r="AP202" s="68">
        <f>TABL12345[[#This Row],[(A/S TOT) AJD]]-TABL12345[[#This Row],[SER_ IN]]</f>
        <v>0</v>
      </c>
    </row>
    <row r="203" spans="1:42" ht="18.75" x14ac:dyDescent="0.25">
      <c r="A203" s="2">
        <v>46954</v>
      </c>
      <c r="B203" s="41"/>
      <c r="C203" s="41"/>
      <c r="D203" s="41"/>
      <c r="E203" s="41"/>
      <c r="F203" s="41"/>
      <c r="G203" s="39"/>
      <c r="H203" s="28"/>
      <c r="I203" s="39"/>
      <c r="J203" s="39"/>
      <c r="K203" s="28">
        <f>TABL12345[[#This Row],[خط (T/B  TOT) SAR]]+TABL12345[[#This Row],[خط (S/S  TOT) SAR2]]</f>
        <v>0</v>
      </c>
      <c r="L203" s="41"/>
      <c r="M203" s="42"/>
      <c r="N203" s="42"/>
      <c r="O203" s="39"/>
      <c r="P203" s="12">
        <f>TABL12345[[#This Row],[خط (S/S  TOT) SAR2]]-TABL12345[[#This Row],[(S/S TOT) AJD]]</f>
        <v>0</v>
      </c>
      <c r="Q203" s="39"/>
      <c r="R203" s="12">
        <f>TABL12345[[#This Row],[خط (T/B  TOT) SAR]]-TABL12345[[#This Row],[(T/B TOT) AJD]]</f>
        <v>0</v>
      </c>
      <c r="S203" s="12">
        <f>TABL12345[[#This Row],[الفرق بين بداية ونهاية خط  S/S]]+TABL12345[[#This Row],[الفرق بين بداية ونهاية خط  T/B]]</f>
        <v>0</v>
      </c>
      <c r="T203" s="12">
        <f t="shared" si="12"/>
        <v>0</v>
      </c>
      <c r="U203" s="41"/>
      <c r="V203" s="41"/>
      <c r="W203" s="12">
        <f t="shared" si="13"/>
        <v>0</v>
      </c>
      <c r="X203" s="12">
        <f t="shared" si="14"/>
        <v>0</v>
      </c>
      <c r="Y203" s="41"/>
      <c r="Z203" s="43"/>
      <c r="AA203" s="3">
        <f>TABL12345[[#This Row],[(RESV. STORGE) AJD]]/10</f>
        <v>0</v>
      </c>
      <c r="AB203" s="45">
        <f t="shared" si="15"/>
        <v>0</v>
      </c>
      <c r="AC203" s="5"/>
      <c r="AD203" s="39">
        <f>(TABL12345[[#This Row],[( S/S+T/B) AJD]]*1000)-((TABL12345[[#This Row],[(STORGE DIFF.) AJD]]*1000)+TABL12345[[#This Row],[البخر  AJD]]+(TABL12345[[#This Row],[(A/B + A/S) AJD]]*1000))</f>
        <v>0</v>
      </c>
      <c r="AE203" s="41"/>
      <c r="AF203" s="43"/>
      <c r="AG203" s="43"/>
      <c r="AH203" s="6">
        <f>TABL12345[[#This Row],[ (RESV. STORGE) BER]]/10</f>
        <v>0</v>
      </c>
      <c r="AI203" s="41"/>
      <c r="AJ203" s="43">
        <f>TABL12345[[#This Row],[(A/B TOT) AJD]]-TABL12345[[#This Row],[BER_ IN]]</f>
        <v>0</v>
      </c>
      <c r="AK203" s="43"/>
      <c r="AL203" s="43"/>
      <c r="AM203" s="32"/>
      <c r="AN203" s="32">
        <f>TABL12345[[#This Row],[ (RESV. STORGE) SER]]/10</f>
        <v>0</v>
      </c>
      <c r="AO203" s="68"/>
      <c r="AP203" s="68">
        <f>TABL12345[[#This Row],[(A/S TOT) AJD]]-TABL12345[[#This Row],[SER_ IN]]</f>
        <v>0</v>
      </c>
    </row>
    <row r="204" spans="1:42" ht="18.75" x14ac:dyDescent="0.25">
      <c r="A204" s="2">
        <v>46955</v>
      </c>
      <c r="B204" s="44"/>
      <c r="C204" s="44"/>
      <c r="D204" s="44"/>
      <c r="E204" s="44"/>
      <c r="F204" s="44"/>
      <c r="G204" s="40"/>
      <c r="H204" s="28"/>
      <c r="I204" s="40"/>
      <c r="J204" s="44"/>
      <c r="K204" s="28">
        <f>TABL12345[[#This Row],[خط (T/B  TOT) SAR]]+TABL12345[[#This Row],[خط (S/S  TOT) SAR2]]</f>
        <v>0</v>
      </c>
      <c r="L204" s="45"/>
      <c r="M204" s="46"/>
      <c r="N204" s="46"/>
      <c r="O204" s="40"/>
      <c r="P204" s="12">
        <f>TABL12345[[#This Row],[خط (S/S  TOT) SAR2]]-TABL12345[[#This Row],[(S/S TOT) AJD]]</f>
        <v>0</v>
      </c>
      <c r="Q204" s="40"/>
      <c r="R204" s="12">
        <f>TABL12345[[#This Row],[خط (T/B  TOT) SAR]]-TABL12345[[#This Row],[(T/B TOT) AJD]]</f>
        <v>0</v>
      </c>
      <c r="S204" s="12">
        <f>TABL12345[[#This Row],[الفرق بين بداية ونهاية خط  S/S]]+TABL12345[[#This Row],[الفرق بين بداية ونهاية خط  T/B]]</f>
        <v>0</v>
      </c>
      <c r="T204" s="12">
        <f t="shared" si="12"/>
        <v>0</v>
      </c>
      <c r="U204" s="44"/>
      <c r="V204" s="44"/>
      <c r="W204" s="12">
        <f t="shared" si="13"/>
        <v>0</v>
      </c>
      <c r="X204" s="12">
        <f t="shared" si="14"/>
        <v>0</v>
      </c>
      <c r="Y204" s="44"/>
      <c r="Z204" s="45"/>
      <c r="AA204" s="3">
        <f>TABL12345[[#This Row],[(RESV. STORGE) AJD]]/10</f>
        <v>0</v>
      </c>
      <c r="AB204" s="45">
        <f t="shared" si="15"/>
        <v>0</v>
      </c>
      <c r="AC204" s="5"/>
      <c r="AD204" s="40">
        <f>(TABL12345[[#This Row],[( S/S+T/B) AJD]]*1000)-((TABL12345[[#This Row],[(STORGE DIFF.) AJD]]*1000)+TABL12345[[#This Row],[البخر  AJD]]+(TABL12345[[#This Row],[(A/B + A/S) AJD]]*1000))</f>
        <v>0</v>
      </c>
      <c r="AE204" s="44"/>
      <c r="AF204" s="45"/>
      <c r="AG204" s="45"/>
      <c r="AH204" s="6">
        <f>TABL12345[[#This Row],[ (RESV. STORGE) BER]]/10</f>
        <v>0</v>
      </c>
      <c r="AI204" s="44"/>
      <c r="AJ204" s="45">
        <f>TABL12345[[#This Row],[(A/B TOT) AJD]]-TABL12345[[#This Row],[BER_ IN]]</f>
        <v>0</v>
      </c>
      <c r="AK204" s="45"/>
      <c r="AL204" s="45"/>
      <c r="AM204" s="32"/>
      <c r="AN204" s="32">
        <f>TABL12345[[#This Row],[ (RESV. STORGE) SER]]/10</f>
        <v>0</v>
      </c>
      <c r="AO204" s="68"/>
      <c r="AP204" s="68">
        <f>TABL12345[[#This Row],[(A/S TOT) AJD]]-TABL12345[[#This Row],[SER_ IN]]</f>
        <v>0</v>
      </c>
    </row>
    <row r="205" spans="1:42" ht="18.75" x14ac:dyDescent="0.25">
      <c r="A205" s="2">
        <v>46956</v>
      </c>
      <c r="B205" s="41"/>
      <c r="C205" s="41"/>
      <c r="D205" s="41"/>
      <c r="E205" s="41"/>
      <c r="F205" s="41"/>
      <c r="G205" s="39"/>
      <c r="H205" s="28"/>
      <c r="I205" s="39"/>
      <c r="J205" s="39"/>
      <c r="K205" s="28">
        <f>TABL12345[[#This Row],[خط (T/B  TOT) SAR]]+TABL12345[[#This Row],[خط (S/S  TOT) SAR2]]</f>
        <v>0</v>
      </c>
      <c r="L205" s="41"/>
      <c r="M205" s="42"/>
      <c r="N205" s="42"/>
      <c r="O205" s="39"/>
      <c r="P205" s="12">
        <f>TABL12345[[#This Row],[خط (S/S  TOT) SAR2]]-TABL12345[[#This Row],[(S/S TOT) AJD]]</f>
        <v>0</v>
      </c>
      <c r="Q205" s="39"/>
      <c r="R205" s="12">
        <f>TABL12345[[#This Row],[خط (T/B  TOT) SAR]]-TABL12345[[#This Row],[(T/B TOT) AJD]]</f>
        <v>0</v>
      </c>
      <c r="S205" s="12">
        <f>TABL12345[[#This Row],[الفرق بين بداية ونهاية خط  S/S]]+TABL12345[[#This Row],[الفرق بين بداية ونهاية خط  T/B]]</f>
        <v>0</v>
      </c>
      <c r="T205" s="12">
        <f t="shared" si="12"/>
        <v>0</v>
      </c>
      <c r="U205" s="41"/>
      <c r="V205" s="41"/>
      <c r="W205" s="12">
        <f t="shared" si="13"/>
        <v>0</v>
      </c>
      <c r="X205" s="12">
        <f t="shared" si="14"/>
        <v>0</v>
      </c>
      <c r="Y205" s="41"/>
      <c r="Z205" s="43"/>
      <c r="AA205" s="3">
        <f>TABL12345[[#This Row],[(RESV. STORGE) AJD]]/10</f>
        <v>0</v>
      </c>
      <c r="AB205" s="45">
        <f t="shared" si="15"/>
        <v>0</v>
      </c>
      <c r="AC205" s="5"/>
      <c r="AD205" s="39">
        <f>(TABL12345[[#This Row],[( S/S+T/B) AJD]]*1000)-((TABL12345[[#This Row],[(STORGE DIFF.) AJD]]*1000)+TABL12345[[#This Row],[البخر  AJD]]+(TABL12345[[#This Row],[(A/B + A/S) AJD]]*1000))</f>
        <v>0</v>
      </c>
      <c r="AE205" s="41"/>
      <c r="AF205" s="43"/>
      <c r="AG205" s="43"/>
      <c r="AH205" s="6">
        <f>TABL12345[[#This Row],[ (RESV. STORGE) BER]]/10</f>
        <v>0</v>
      </c>
      <c r="AI205" s="41"/>
      <c r="AJ205" s="43">
        <f>TABL12345[[#This Row],[(A/B TOT) AJD]]-TABL12345[[#This Row],[BER_ IN]]</f>
        <v>0</v>
      </c>
      <c r="AK205" s="43"/>
      <c r="AL205" s="43"/>
      <c r="AM205" s="32"/>
      <c r="AN205" s="32">
        <f>TABL12345[[#This Row],[ (RESV. STORGE) SER]]/10</f>
        <v>0</v>
      </c>
      <c r="AO205" s="68"/>
      <c r="AP205" s="68">
        <f>TABL12345[[#This Row],[(A/S TOT) AJD]]-TABL12345[[#This Row],[SER_ IN]]</f>
        <v>0</v>
      </c>
    </row>
    <row r="206" spans="1:42" ht="18.75" x14ac:dyDescent="0.25">
      <c r="A206" s="2">
        <v>46957</v>
      </c>
      <c r="B206" s="44"/>
      <c r="C206" s="44"/>
      <c r="D206" s="44"/>
      <c r="E206" s="44"/>
      <c r="F206" s="44"/>
      <c r="G206" s="40"/>
      <c r="H206" s="28"/>
      <c r="I206" s="40"/>
      <c r="J206" s="44"/>
      <c r="K206" s="28">
        <f>TABL12345[[#This Row],[خط (T/B  TOT) SAR]]+TABL12345[[#This Row],[خط (S/S  TOT) SAR2]]</f>
        <v>0</v>
      </c>
      <c r="L206" s="45"/>
      <c r="M206" s="46"/>
      <c r="N206" s="46"/>
      <c r="O206" s="40"/>
      <c r="P206" s="12">
        <f>TABL12345[[#This Row],[خط (S/S  TOT) SAR2]]-TABL12345[[#This Row],[(S/S TOT) AJD]]</f>
        <v>0</v>
      </c>
      <c r="Q206" s="45"/>
      <c r="R206" s="12">
        <f>TABL12345[[#This Row],[خط (T/B  TOT) SAR]]-TABL12345[[#This Row],[(T/B TOT) AJD]]</f>
        <v>0</v>
      </c>
      <c r="S206" s="12">
        <f>TABL12345[[#This Row],[الفرق بين بداية ونهاية خط  S/S]]+TABL12345[[#This Row],[الفرق بين بداية ونهاية خط  T/B]]</f>
        <v>0</v>
      </c>
      <c r="T206" s="12">
        <f t="shared" si="12"/>
        <v>0</v>
      </c>
      <c r="U206" s="44"/>
      <c r="V206" s="44"/>
      <c r="W206" s="12">
        <f t="shared" si="13"/>
        <v>0</v>
      </c>
      <c r="X206" s="12">
        <f t="shared" si="14"/>
        <v>0</v>
      </c>
      <c r="Y206" s="44"/>
      <c r="Z206" s="45"/>
      <c r="AA206" s="3">
        <f>TABL12345[[#This Row],[(RESV. STORGE) AJD]]/10</f>
        <v>0</v>
      </c>
      <c r="AB206" s="45">
        <f t="shared" si="15"/>
        <v>0</v>
      </c>
      <c r="AC206" s="5"/>
      <c r="AD206" s="40">
        <f>(TABL12345[[#This Row],[( S/S+T/B) AJD]]*1000)-((TABL12345[[#This Row],[(STORGE DIFF.) AJD]]*1000)+TABL12345[[#This Row],[البخر  AJD]]+(TABL12345[[#This Row],[(A/B + A/S) AJD]]*1000))</f>
        <v>0</v>
      </c>
      <c r="AE206" s="44"/>
      <c r="AF206" s="45"/>
      <c r="AG206" s="45"/>
      <c r="AH206" s="6">
        <f>TABL12345[[#This Row],[ (RESV. STORGE) BER]]/10</f>
        <v>0</v>
      </c>
      <c r="AI206" s="44"/>
      <c r="AJ206" s="45">
        <f>TABL12345[[#This Row],[(A/B TOT) AJD]]-TABL12345[[#This Row],[BER_ IN]]</f>
        <v>0</v>
      </c>
      <c r="AK206" s="45"/>
      <c r="AL206" s="45"/>
      <c r="AM206" s="32"/>
      <c r="AN206" s="32">
        <f>TABL12345[[#This Row],[ (RESV. STORGE) SER]]/10</f>
        <v>0</v>
      </c>
      <c r="AO206" s="68"/>
      <c r="AP206" s="68">
        <f>TABL12345[[#This Row],[(A/S TOT) AJD]]-TABL12345[[#This Row],[SER_ IN]]</f>
        <v>0</v>
      </c>
    </row>
    <row r="207" spans="1:42" ht="18.75" x14ac:dyDescent="0.25">
      <c r="A207" s="2">
        <v>46958</v>
      </c>
      <c r="B207" s="41"/>
      <c r="C207" s="41"/>
      <c r="D207" s="41"/>
      <c r="E207" s="41"/>
      <c r="F207" s="41"/>
      <c r="G207" s="39"/>
      <c r="H207" s="28"/>
      <c r="I207" s="39"/>
      <c r="J207" s="39"/>
      <c r="K207" s="28">
        <f>TABL12345[[#This Row],[خط (T/B  TOT) SAR]]+TABL12345[[#This Row],[خط (S/S  TOT) SAR2]]</f>
        <v>0</v>
      </c>
      <c r="L207" s="41"/>
      <c r="M207" s="42"/>
      <c r="N207" s="42"/>
      <c r="O207" s="39"/>
      <c r="P207" s="12">
        <f>TABL12345[[#This Row],[خط (S/S  TOT) SAR2]]-TABL12345[[#This Row],[(S/S TOT) AJD]]</f>
        <v>0</v>
      </c>
      <c r="Q207" s="43"/>
      <c r="R207" s="12">
        <f>TABL12345[[#This Row],[خط (T/B  TOT) SAR]]-TABL12345[[#This Row],[(T/B TOT) AJD]]</f>
        <v>0</v>
      </c>
      <c r="S207" s="12">
        <f>TABL12345[[#This Row],[الفرق بين بداية ونهاية خط  S/S]]+TABL12345[[#This Row],[الفرق بين بداية ونهاية خط  T/B]]</f>
        <v>0</v>
      </c>
      <c r="T207" s="12">
        <f t="shared" si="12"/>
        <v>0</v>
      </c>
      <c r="U207" s="41"/>
      <c r="V207" s="41"/>
      <c r="W207" s="12">
        <f t="shared" si="13"/>
        <v>0</v>
      </c>
      <c r="X207" s="12">
        <f t="shared" si="14"/>
        <v>0</v>
      </c>
      <c r="Y207" s="41"/>
      <c r="Z207" s="43"/>
      <c r="AA207" s="3">
        <f>TABL12345[[#This Row],[(RESV. STORGE) AJD]]/10</f>
        <v>0</v>
      </c>
      <c r="AB207" s="45">
        <f t="shared" si="15"/>
        <v>0</v>
      </c>
      <c r="AC207" s="5"/>
      <c r="AD207" s="39">
        <f>(TABL12345[[#This Row],[( S/S+T/B) AJD]]*1000)-((TABL12345[[#This Row],[(STORGE DIFF.) AJD]]*1000)+TABL12345[[#This Row],[البخر  AJD]]+(TABL12345[[#This Row],[(A/B + A/S) AJD]]*1000))</f>
        <v>0</v>
      </c>
      <c r="AE207" s="41"/>
      <c r="AF207" s="43"/>
      <c r="AG207" s="43"/>
      <c r="AH207" s="6">
        <f>TABL12345[[#This Row],[ (RESV. STORGE) BER]]/10</f>
        <v>0</v>
      </c>
      <c r="AI207" s="41"/>
      <c r="AJ207" s="43">
        <f>TABL12345[[#This Row],[(A/B TOT) AJD]]-TABL12345[[#This Row],[BER_ IN]]</f>
        <v>0</v>
      </c>
      <c r="AK207" s="43"/>
      <c r="AL207" s="43"/>
      <c r="AM207" s="32"/>
      <c r="AN207" s="32">
        <f>TABL12345[[#This Row],[ (RESV. STORGE) SER]]/10</f>
        <v>0</v>
      </c>
      <c r="AO207" s="68"/>
      <c r="AP207" s="68">
        <f>TABL12345[[#This Row],[(A/S TOT) AJD]]-TABL12345[[#This Row],[SER_ IN]]</f>
        <v>0</v>
      </c>
    </row>
    <row r="208" spans="1:42" ht="18.75" x14ac:dyDescent="0.25">
      <c r="A208" s="2">
        <v>46959</v>
      </c>
      <c r="B208" s="44"/>
      <c r="C208" s="44"/>
      <c r="D208" s="44"/>
      <c r="E208" s="44"/>
      <c r="F208" s="44"/>
      <c r="G208" s="40"/>
      <c r="H208" s="28"/>
      <c r="I208" s="40"/>
      <c r="J208" s="44"/>
      <c r="K208" s="28">
        <f>TABL12345[[#This Row],[خط (T/B  TOT) SAR]]+TABL12345[[#This Row],[خط (S/S  TOT) SAR2]]</f>
        <v>0</v>
      </c>
      <c r="L208" s="45"/>
      <c r="M208" s="46"/>
      <c r="N208" s="46"/>
      <c r="O208" s="40"/>
      <c r="P208" s="12">
        <f>TABL12345[[#This Row],[خط (S/S  TOT) SAR2]]-TABL12345[[#This Row],[(S/S TOT) AJD]]</f>
        <v>0</v>
      </c>
      <c r="Q208" s="45"/>
      <c r="R208" s="12">
        <f>TABL12345[[#This Row],[خط (T/B  TOT) SAR]]-TABL12345[[#This Row],[(T/B TOT) AJD]]</f>
        <v>0</v>
      </c>
      <c r="S208" s="12">
        <f>TABL12345[[#This Row],[الفرق بين بداية ونهاية خط  S/S]]+TABL12345[[#This Row],[الفرق بين بداية ونهاية خط  T/B]]</f>
        <v>0</v>
      </c>
      <c r="T208" s="12">
        <f t="shared" si="12"/>
        <v>0</v>
      </c>
      <c r="U208" s="44"/>
      <c r="V208" s="44"/>
      <c r="W208" s="12">
        <f t="shared" si="13"/>
        <v>0</v>
      </c>
      <c r="X208" s="12">
        <f t="shared" si="14"/>
        <v>0</v>
      </c>
      <c r="Y208" s="44"/>
      <c r="Z208" s="45"/>
      <c r="AA208" s="3">
        <f>TABL12345[[#This Row],[(RESV. STORGE) AJD]]/10</f>
        <v>0</v>
      </c>
      <c r="AB208" s="45">
        <f t="shared" si="15"/>
        <v>0</v>
      </c>
      <c r="AC208" s="5"/>
      <c r="AD208" s="40">
        <f>(TABL12345[[#This Row],[( S/S+T/B) AJD]]*1000)-((TABL12345[[#This Row],[(STORGE DIFF.) AJD]]*1000)+TABL12345[[#This Row],[البخر  AJD]]+(TABL12345[[#This Row],[(A/B + A/S) AJD]]*1000))</f>
        <v>0</v>
      </c>
      <c r="AE208" s="44"/>
      <c r="AF208" s="45"/>
      <c r="AG208" s="45"/>
      <c r="AH208" s="6">
        <f>TABL12345[[#This Row],[ (RESV. STORGE) BER]]/10</f>
        <v>0</v>
      </c>
      <c r="AI208" s="44"/>
      <c r="AJ208" s="45">
        <f>TABL12345[[#This Row],[(A/B TOT) AJD]]-TABL12345[[#This Row],[BER_ IN]]</f>
        <v>0</v>
      </c>
      <c r="AK208" s="45"/>
      <c r="AL208" s="45"/>
      <c r="AM208" s="32"/>
      <c r="AN208" s="32">
        <f>TABL12345[[#This Row],[ (RESV. STORGE) SER]]/10</f>
        <v>0</v>
      </c>
      <c r="AO208" s="68"/>
      <c r="AP208" s="68">
        <f>TABL12345[[#This Row],[(A/S TOT) AJD]]-TABL12345[[#This Row],[SER_ IN]]</f>
        <v>0</v>
      </c>
    </row>
    <row r="209" spans="1:42" ht="18.75" x14ac:dyDescent="0.25">
      <c r="A209" s="2">
        <v>46960</v>
      </c>
      <c r="B209" s="41"/>
      <c r="C209" s="41"/>
      <c r="D209" s="41"/>
      <c r="E209" s="41"/>
      <c r="F209" s="41"/>
      <c r="G209" s="39"/>
      <c r="H209" s="28"/>
      <c r="I209" s="39"/>
      <c r="J209" s="39"/>
      <c r="K209" s="28">
        <f>TABL12345[[#This Row],[خط (T/B  TOT) SAR]]+TABL12345[[#This Row],[خط (S/S  TOT) SAR2]]</f>
        <v>0</v>
      </c>
      <c r="L209" s="41"/>
      <c r="M209" s="42"/>
      <c r="N209" s="42"/>
      <c r="O209" s="39"/>
      <c r="P209" s="12">
        <f>TABL12345[[#This Row],[خط (S/S  TOT) SAR2]]-TABL12345[[#This Row],[(S/S TOT) AJD]]</f>
        <v>0</v>
      </c>
      <c r="Q209" s="39"/>
      <c r="R209" s="12">
        <f>TABL12345[[#This Row],[خط (T/B  TOT) SAR]]-TABL12345[[#This Row],[(T/B TOT) AJD]]</f>
        <v>0</v>
      </c>
      <c r="S209" s="12">
        <f>TABL12345[[#This Row],[الفرق بين بداية ونهاية خط  S/S]]+TABL12345[[#This Row],[الفرق بين بداية ونهاية خط  T/B]]</f>
        <v>0</v>
      </c>
      <c r="T209" s="12">
        <f t="shared" si="12"/>
        <v>0</v>
      </c>
      <c r="U209" s="41"/>
      <c r="V209" s="41"/>
      <c r="W209" s="12">
        <f t="shared" si="13"/>
        <v>0</v>
      </c>
      <c r="X209" s="12">
        <f t="shared" si="14"/>
        <v>0</v>
      </c>
      <c r="Y209" s="41"/>
      <c r="Z209" s="43"/>
      <c r="AA209" s="3">
        <f>TABL12345[[#This Row],[(RESV. STORGE) AJD]]/10</f>
        <v>0</v>
      </c>
      <c r="AB209" s="45">
        <f t="shared" si="15"/>
        <v>0</v>
      </c>
      <c r="AC209" s="5"/>
      <c r="AD209" s="39">
        <f>(TABL12345[[#This Row],[( S/S+T/B) AJD]]*1000)-((TABL12345[[#This Row],[(STORGE DIFF.) AJD]]*1000)+TABL12345[[#This Row],[البخر  AJD]]+(TABL12345[[#This Row],[(A/B + A/S) AJD]]*1000))</f>
        <v>0</v>
      </c>
      <c r="AE209" s="41"/>
      <c r="AF209" s="43"/>
      <c r="AG209" s="43"/>
      <c r="AH209" s="6">
        <f>TABL12345[[#This Row],[ (RESV. STORGE) BER]]/10</f>
        <v>0</v>
      </c>
      <c r="AI209" s="41"/>
      <c r="AJ209" s="43">
        <f>TABL12345[[#This Row],[(A/B TOT) AJD]]-TABL12345[[#This Row],[BER_ IN]]</f>
        <v>0</v>
      </c>
      <c r="AK209" s="43"/>
      <c r="AL209" s="43"/>
      <c r="AM209" s="32"/>
      <c r="AN209" s="32">
        <f>TABL12345[[#This Row],[ (RESV. STORGE) SER]]/10</f>
        <v>0</v>
      </c>
      <c r="AO209" s="68"/>
      <c r="AP209" s="68">
        <f>TABL12345[[#This Row],[(A/S TOT) AJD]]-TABL12345[[#This Row],[SER_ IN]]</f>
        <v>0</v>
      </c>
    </row>
    <row r="210" spans="1:42" ht="18.75" x14ac:dyDescent="0.25">
      <c r="A210" s="2">
        <v>46961</v>
      </c>
      <c r="B210" s="44"/>
      <c r="C210" s="44"/>
      <c r="D210" s="44"/>
      <c r="E210" s="44"/>
      <c r="F210" s="44"/>
      <c r="G210" s="40"/>
      <c r="H210" s="28"/>
      <c r="I210" s="40"/>
      <c r="J210" s="44"/>
      <c r="K210" s="28">
        <f>TABL12345[[#This Row],[خط (T/B  TOT) SAR]]+TABL12345[[#This Row],[خط (S/S  TOT) SAR2]]</f>
        <v>0</v>
      </c>
      <c r="L210" s="45"/>
      <c r="M210" s="46"/>
      <c r="N210" s="46"/>
      <c r="O210" s="40"/>
      <c r="P210" s="12">
        <f>TABL12345[[#This Row],[خط (S/S  TOT) SAR2]]-TABL12345[[#This Row],[(S/S TOT) AJD]]</f>
        <v>0</v>
      </c>
      <c r="Q210" s="40"/>
      <c r="R210" s="12">
        <f>TABL12345[[#This Row],[خط (T/B  TOT) SAR]]-TABL12345[[#This Row],[(T/B TOT) AJD]]</f>
        <v>0</v>
      </c>
      <c r="S210" s="12">
        <f>TABL12345[[#This Row],[الفرق بين بداية ونهاية خط  S/S]]+TABL12345[[#This Row],[الفرق بين بداية ونهاية خط  T/B]]</f>
        <v>0</v>
      </c>
      <c r="T210" s="12">
        <f t="shared" si="12"/>
        <v>0</v>
      </c>
      <c r="U210" s="44"/>
      <c r="V210" s="44"/>
      <c r="W210" s="12">
        <f t="shared" si="13"/>
        <v>0</v>
      </c>
      <c r="X210" s="12">
        <f t="shared" si="14"/>
        <v>0</v>
      </c>
      <c r="Y210" s="44"/>
      <c r="Z210" s="45"/>
      <c r="AA210" s="3">
        <f>TABL12345[[#This Row],[(RESV. STORGE) AJD]]/10</f>
        <v>0</v>
      </c>
      <c r="AB210" s="45">
        <f t="shared" si="15"/>
        <v>0</v>
      </c>
      <c r="AC210" s="5"/>
      <c r="AD210" s="40">
        <f>(TABL12345[[#This Row],[( S/S+T/B) AJD]]*1000)-((TABL12345[[#This Row],[(STORGE DIFF.) AJD]]*1000)+TABL12345[[#This Row],[البخر  AJD]]+(TABL12345[[#This Row],[(A/B + A/S) AJD]]*1000))</f>
        <v>0</v>
      </c>
      <c r="AE210" s="44"/>
      <c r="AF210" s="45"/>
      <c r="AG210" s="45"/>
      <c r="AH210" s="6">
        <f>TABL12345[[#This Row],[ (RESV. STORGE) BER]]/10</f>
        <v>0</v>
      </c>
      <c r="AI210" s="44"/>
      <c r="AJ210" s="45">
        <f>TABL12345[[#This Row],[(A/B TOT) AJD]]-TABL12345[[#This Row],[BER_ IN]]</f>
        <v>0</v>
      </c>
      <c r="AK210" s="45"/>
      <c r="AL210" s="45"/>
      <c r="AM210" s="32"/>
      <c r="AN210" s="32">
        <f>TABL12345[[#This Row],[ (RESV. STORGE) SER]]/10</f>
        <v>0</v>
      </c>
      <c r="AO210" s="68"/>
      <c r="AP210" s="68">
        <f>TABL12345[[#This Row],[(A/S TOT) AJD]]-TABL12345[[#This Row],[SER_ IN]]</f>
        <v>0</v>
      </c>
    </row>
    <row r="211" spans="1:42" ht="18.75" x14ac:dyDescent="0.25">
      <c r="A211" s="2">
        <v>46962</v>
      </c>
      <c r="B211" s="41"/>
      <c r="C211" s="41"/>
      <c r="D211" s="41"/>
      <c r="E211" s="41"/>
      <c r="F211" s="41"/>
      <c r="G211" s="39"/>
      <c r="H211" s="28"/>
      <c r="I211" s="39"/>
      <c r="J211" s="39"/>
      <c r="K211" s="28">
        <f>TABL12345[[#This Row],[خط (T/B  TOT) SAR]]+TABL12345[[#This Row],[خط (S/S  TOT) SAR2]]</f>
        <v>0</v>
      </c>
      <c r="L211" s="41"/>
      <c r="M211" s="42"/>
      <c r="N211" s="42"/>
      <c r="O211" s="39"/>
      <c r="P211" s="12">
        <f>TABL12345[[#This Row],[خط (S/S  TOT) SAR2]]-TABL12345[[#This Row],[(S/S TOT) AJD]]</f>
        <v>0</v>
      </c>
      <c r="Q211" s="39"/>
      <c r="R211" s="12">
        <f>TABL12345[[#This Row],[خط (T/B  TOT) SAR]]-TABL12345[[#This Row],[(T/B TOT) AJD]]</f>
        <v>0</v>
      </c>
      <c r="S211" s="12">
        <f>TABL12345[[#This Row],[الفرق بين بداية ونهاية خط  S/S]]+TABL12345[[#This Row],[الفرق بين بداية ونهاية خط  T/B]]</f>
        <v>0</v>
      </c>
      <c r="T211" s="12">
        <f t="shared" si="12"/>
        <v>0</v>
      </c>
      <c r="U211" s="41"/>
      <c r="V211" s="41"/>
      <c r="W211" s="12">
        <f t="shared" si="13"/>
        <v>0</v>
      </c>
      <c r="X211" s="12">
        <f t="shared" si="14"/>
        <v>0</v>
      </c>
      <c r="Y211" s="41"/>
      <c r="Z211" s="43"/>
      <c r="AA211" s="3">
        <f>TABL12345[[#This Row],[(RESV. STORGE) AJD]]/10</f>
        <v>0</v>
      </c>
      <c r="AB211" s="45">
        <f t="shared" si="15"/>
        <v>0</v>
      </c>
      <c r="AC211" s="5"/>
      <c r="AD211" s="39">
        <f>(TABL12345[[#This Row],[( S/S+T/B) AJD]]*1000)-((TABL12345[[#This Row],[(STORGE DIFF.) AJD]]*1000)+TABL12345[[#This Row],[البخر  AJD]]+(TABL12345[[#This Row],[(A/B + A/S) AJD]]*1000))</f>
        <v>0</v>
      </c>
      <c r="AE211" s="41"/>
      <c r="AF211" s="43"/>
      <c r="AG211" s="43"/>
      <c r="AH211" s="6">
        <f>TABL12345[[#This Row],[ (RESV. STORGE) BER]]/10</f>
        <v>0</v>
      </c>
      <c r="AI211" s="41"/>
      <c r="AJ211" s="43">
        <f>TABL12345[[#This Row],[(A/B TOT) AJD]]-TABL12345[[#This Row],[BER_ IN]]</f>
        <v>0</v>
      </c>
      <c r="AK211" s="43"/>
      <c r="AL211" s="43"/>
      <c r="AM211" s="32"/>
      <c r="AN211" s="32">
        <f>TABL12345[[#This Row],[ (RESV. STORGE) SER]]/10</f>
        <v>0</v>
      </c>
      <c r="AO211" s="68"/>
      <c r="AP211" s="68">
        <f>TABL12345[[#This Row],[(A/S TOT) AJD]]-TABL12345[[#This Row],[SER_ IN]]</f>
        <v>0</v>
      </c>
    </row>
    <row r="212" spans="1:42" ht="18.75" x14ac:dyDescent="0.25">
      <c r="A212" s="2">
        <v>46963</v>
      </c>
      <c r="B212" s="44"/>
      <c r="C212" s="44"/>
      <c r="D212" s="44"/>
      <c r="E212" s="44"/>
      <c r="F212" s="44"/>
      <c r="G212" s="40"/>
      <c r="H212" s="28"/>
      <c r="I212" s="40"/>
      <c r="J212" s="44"/>
      <c r="K212" s="28">
        <f>TABL12345[[#This Row],[خط (T/B  TOT) SAR]]+TABL12345[[#This Row],[خط (S/S  TOT) SAR2]]</f>
        <v>0</v>
      </c>
      <c r="L212" s="45"/>
      <c r="M212" s="46"/>
      <c r="N212" s="46"/>
      <c r="O212" s="40"/>
      <c r="P212" s="12">
        <f>TABL12345[[#This Row],[خط (S/S  TOT) SAR2]]-TABL12345[[#This Row],[(S/S TOT) AJD]]</f>
        <v>0</v>
      </c>
      <c r="Q212" s="40"/>
      <c r="R212" s="12">
        <f>TABL12345[[#This Row],[خط (T/B  TOT) SAR]]-TABL12345[[#This Row],[(T/B TOT) AJD]]</f>
        <v>0</v>
      </c>
      <c r="S212" s="12">
        <f>TABL12345[[#This Row],[الفرق بين بداية ونهاية خط  S/S]]+TABL12345[[#This Row],[الفرق بين بداية ونهاية خط  T/B]]</f>
        <v>0</v>
      </c>
      <c r="T212" s="12">
        <f t="shared" si="12"/>
        <v>0</v>
      </c>
      <c r="U212" s="44"/>
      <c r="V212" s="44"/>
      <c r="W212" s="12">
        <f t="shared" si="13"/>
        <v>0</v>
      </c>
      <c r="X212" s="12">
        <f t="shared" si="14"/>
        <v>0</v>
      </c>
      <c r="Y212" s="44"/>
      <c r="Z212" s="45"/>
      <c r="AA212" s="3">
        <f>TABL12345[[#This Row],[(RESV. STORGE) AJD]]/10</f>
        <v>0</v>
      </c>
      <c r="AB212" s="45">
        <f t="shared" si="15"/>
        <v>0</v>
      </c>
      <c r="AC212" s="5"/>
      <c r="AD212" s="70">
        <f>(TABL12345[[#This Row],[( S/S+T/B) AJD]]*1000)-((TABL12345[[#This Row],[(STORGE DIFF.) AJD]]*1000)+TABL12345[[#This Row],[البخر  AJD]]+(TABL12345[[#This Row],[(A/B + A/S) AJD]]*1000))</f>
        <v>0</v>
      </c>
      <c r="AE212" s="44"/>
      <c r="AF212" s="45"/>
      <c r="AG212" s="45"/>
      <c r="AH212" s="6">
        <f>TABL12345[[#This Row],[ (RESV. STORGE) BER]]/10</f>
        <v>0</v>
      </c>
      <c r="AI212" s="44"/>
      <c r="AJ212" s="91">
        <f>TABL12345[[#This Row],[(A/B TOT) AJD]]-TABL12345[[#This Row],[BER_ IN]]</f>
        <v>0</v>
      </c>
      <c r="AK212" s="45"/>
      <c r="AL212" s="45"/>
      <c r="AM212" s="32"/>
      <c r="AN212" s="32">
        <f>TABL12345[[#This Row],[ (RESV. STORGE) SER]]/10</f>
        <v>0</v>
      </c>
      <c r="AO212" s="68"/>
      <c r="AP212" s="68">
        <f>TABL12345[[#This Row],[(A/S TOT) AJD]]-TABL12345[[#This Row],[SER_ IN]]</f>
        <v>0</v>
      </c>
    </row>
    <row r="213" spans="1:42" ht="18.75" x14ac:dyDescent="0.25">
      <c r="A213" s="2">
        <v>46964</v>
      </c>
      <c r="B213" s="41"/>
      <c r="C213" s="41"/>
      <c r="D213" s="41"/>
      <c r="E213" s="41"/>
      <c r="F213" s="41"/>
      <c r="G213" s="39"/>
      <c r="H213" s="28"/>
      <c r="I213" s="39"/>
      <c r="J213" s="39"/>
      <c r="K213" s="28">
        <f>TABL12345[[#This Row],[خط (T/B  TOT) SAR]]+TABL12345[[#This Row],[خط (S/S  TOT) SAR2]]</f>
        <v>0</v>
      </c>
      <c r="L213" s="41"/>
      <c r="M213" s="42"/>
      <c r="N213" s="42"/>
      <c r="O213" s="39"/>
      <c r="P213" s="12">
        <f>TABL12345[[#This Row],[خط (S/S  TOT) SAR2]]-TABL12345[[#This Row],[(S/S TOT) AJD]]</f>
        <v>0</v>
      </c>
      <c r="Q213" s="39"/>
      <c r="R213" s="12">
        <f>TABL12345[[#This Row],[خط (T/B  TOT) SAR]]-TABL12345[[#This Row],[(T/B TOT) AJD]]</f>
        <v>0</v>
      </c>
      <c r="S213" s="12">
        <f>TABL12345[[#This Row],[الفرق بين بداية ونهاية خط  S/S]]+TABL12345[[#This Row],[الفرق بين بداية ونهاية خط  T/B]]</f>
        <v>0</v>
      </c>
      <c r="T213" s="12">
        <f t="shared" si="12"/>
        <v>0</v>
      </c>
      <c r="U213" s="41"/>
      <c r="V213" s="41"/>
      <c r="W213" s="12">
        <f t="shared" si="13"/>
        <v>0</v>
      </c>
      <c r="X213" s="12">
        <f t="shared" si="14"/>
        <v>0</v>
      </c>
      <c r="Y213" s="41"/>
      <c r="Z213" s="43"/>
      <c r="AA213" s="3">
        <f>TABL12345[[#This Row],[(RESV. STORGE) AJD]]/10</f>
        <v>0</v>
      </c>
      <c r="AB213" s="45">
        <f t="shared" si="15"/>
        <v>0</v>
      </c>
      <c r="AC213" s="5"/>
      <c r="AD213" s="39">
        <f>(TABL12345[[#This Row],[( S/S+T/B) AJD]]*1000)-((TABL12345[[#This Row],[(STORGE DIFF.) AJD]]*1000)+TABL12345[[#This Row],[البخر  AJD]]+(TABL12345[[#This Row],[(A/B + A/S) AJD]]*1000))</f>
        <v>0</v>
      </c>
      <c r="AE213" s="41"/>
      <c r="AF213" s="43"/>
      <c r="AG213" s="43"/>
      <c r="AH213" s="6">
        <f>TABL12345[[#This Row],[ (RESV. STORGE) BER]]/10</f>
        <v>0</v>
      </c>
      <c r="AI213" s="41"/>
      <c r="AJ213" s="43">
        <f>TABL12345[[#This Row],[(A/B TOT) AJD]]-TABL12345[[#This Row],[BER_ IN]]</f>
        <v>0</v>
      </c>
      <c r="AK213" s="43"/>
      <c r="AL213" s="43"/>
      <c r="AM213" s="32"/>
      <c r="AN213" s="32">
        <f>TABL12345[[#This Row],[ (RESV. STORGE) SER]]/10</f>
        <v>0</v>
      </c>
      <c r="AO213" s="68"/>
      <c r="AP213" s="68">
        <f>TABL12345[[#This Row],[(A/S TOT) AJD]]-TABL12345[[#This Row],[SER_ IN]]</f>
        <v>0</v>
      </c>
    </row>
    <row r="214" spans="1:42" ht="18.75" x14ac:dyDescent="0.25">
      <c r="A214" s="2">
        <v>46965</v>
      </c>
      <c r="B214" s="41"/>
      <c r="C214" s="41"/>
      <c r="D214" s="41"/>
      <c r="E214" s="28"/>
      <c r="F214" s="41"/>
      <c r="G214" s="39"/>
      <c r="H214" s="28"/>
      <c r="I214" s="39"/>
      <c r="J214" s="39"/>
      <c r="K214" s="28">
        <f>TABL12345[[#This Row],[خط (T/B  TOT) SAR]]+TABL12345[[#This Row],[خط (S/S  TOT) SAR2]]</f>
        <v>0</v>
      </c>
      <c r="L214" s="41"/>
      <c r="M214" s="42"/>
      <c r="N214" s="42"/>
      <c r="O214" s="39"/>
      <c r="P214" s="3">
        <f>TABL12345[[#This Row],[خط (S/S  TOT) SAR2]]-TABL12345[[#This Row],[(S/S TOT) AJD]]</f>
        <v>0</v>
      </c>
      <c r="Q214" s="39"/>
      <c r="R214" s="3">
        <f>TABL12345[[#This Row],[خط (T/B  TOT) SAR]]-TABL12345[[#This Row],[(T/B TOT) AJD]]</f>
        <v>0</v>
      </c>
      <c r="S214" s="3">
        <f>TABL12345[[#This Row],[الفرق بين بداية ونهاية خط  S/S]]+TABL12345[[#This Row],[الفرق بين بداية ونهاية خط  T/B]]</f>
        <v>0</v>
      </c>
      <c r="T214" s="3">
        <f t="shared" si="12"/>
        <v>0</v>
      </c>
      <c r="U214" s="41"/>
      <c r="V214" s="41"/>
      <c r="W214" s="3">
        <f t="shared" si="13"/>
        <v>0</v>
      </c>
      <c r="X214" s="3">
        <f t="shared" si="14"/>
        <v>0</v>
      </c>
      <c r="Y214" s="41"/>
      <c r="Z214" s="43"/>
      <c r="AA214" s="3">
        <f>TABL12345[[#This Row],[(RESV. STORGE) AJD]]/10</f>
        <v>0</v>
      </c>
      <c r="AB214" s="45">
        <f t="shared" si="15"/>
        <v>0</v>
      </c>
      <c r="AC214" s="5"/>
      <c r="AD214" s="39">
        <f>(TABL12345[[#This Row],[( S/S+T/B) AJD]]*1000)-((TABL12345[[#This Row],[(STORGE DIFF.) AJD]]*1000)+TABL12345[[#This Row],[البخر  AJD]]+(TABL12345[[#This Row],[(A/B + A/S) AJD]]*1000))</f>
        <v>0</v>
      </c>
      <c r="AE214" s="41"/>
      <c r="AF214" s="43"/>
      <c r="AG214" s="43"/>
      <c r="AH214" s="6">
        <f>TABL12345[[#This Row],[ (RESV. STORGE) BER]]/10</f>
        <v>0</v>
      </c>
      <c r="AI214" s="41"/>
      <c r="AJ214" s="43">
        <f>TABL12345[[#This Row],[(A/B TOT) AJD]]-TABL12345[[#This Row],[BER_ IN]]</f>
        <v>0</v>
      </c>
      <c r="AK214" s="43"/>
      <c r="AL214" s="43"/>
      <c r="AM214" s="32"/>
      <c r="AN214" s="32">
        <f>TABL12345[[#This Row],[ (RESV. STORGE) SER]]/10</f>
        <v>0</v>
      </c>
      <c r="AO214" s="68"/>
      <c r="AP214" s="68">
        <f>TABL12345[[#This Row],[(A/S TOT) AJD]]-TABL12345[[#This Row],[SER_ IN]]</f>
        <v>0</v>
      </c>
    </row>
    <row r="215" spans="1:42" ht="18.75" x14ac:dyDescent="0.25">
      <c r="A215" s="2">
        <v>46966</v>
      </c>
      <c r="B215" s="44"/>
      <c r="C215" s="44"/>
      <c r="D215" s="44"/>
      <c r="E215" s="28"/>
      <c r="F215" s="44"/>
      <c r="G215" s="40"/>
      <c r="H215" s="28"/>
      <c r="I215" s="40"/>
      <c r="J215" s="44"/>
      <c r="K215" s="28">
        <f>TABL12345[[#This Row],[خط (T/B  TOT) SAR]]+TABL12345[[#This Row],[خط (S/S  TOT) SAR2]]</f>
        <v>0</v>
      </c>
      <c r="L215" s="45"/>
      <c r="M215" s="46"/>
      <c r="N215" s="46"/>
      <c r="O215" s="40"/>
      <c r="P215" s="3">
        <f>TABL12345[[#This Row],[خط (S/S  TOT) SAR2]]-TABL12345[[#This Row],[(S/S TOT) AJD]]</f>
        <v>0</v>
      </c>
      <c r="Q215" s="40"/>
      <c r="R215" s="3">
        <f>TABL12345[[#This Row],[خط (T/B  TOT) SAR]]-TABL12345[[#This Row],[(T/B TOT) AJD]]</f>
        <v>0</v>
      </c>
      <c r="S215" s="3">
        <f>TABL12345[[#This Row],[الفرق بين بداية ونهاية خط  S/S]]+TABL12345[[#This Row],[الفرق بين بداية ونهاية خط  T/B]]</f>
        <v>0</v>
      </c>
      <c r="T215" s="3">
        <f t="shared" si="12"/>
        <v>0</v>
      </c>
      <c r="U215" s="44"/>
      <c r="V215" s="44"/>
      <c r="W215" s="3">
        <f t="shared" si="13"/>
        <v>0</v>
      </c>
      <c r="X215" s="3">
        <f t="shared" si="14"/>
        <v>0</v>
      </c>
      <c r="Y215" s="44"/>
      <c r="Z215" s="45"/>
      <c r="AA215" s="3">
        <f>TABL12345[[#This Row],[(RESV. STORGE) AJD]]/10</f>
        <v>0</v>
      </c>
      <c r="AB215" s="45">
        <f t="shared" si="15"/>
        <v>0</v>
      </c>
      <c r="AC215" s="5"/>
      <c r="AD215" s="40">
        <f>(TABL12345[[#This Row],[( S/S+T/B) AJD]]*1000)-((TABL12345[[#This Row],[(STORGE DIFF.) AJD]]*1000)+TABL12345[[#This Row],[البخر  AJD]]+(TABL12345[[#This Row],[(A/B + A/S) AJD]]*1000))</f>
        <v>0</v>
      </c>
      <c r="AE215" s="44"/>
      <c r="AF215" s="45"/>
      <c r="AG215" s="45"/>
      <c r="AH215" s="6">
        <f>TABL12345[[#This Row],[ (RESV. STORGE) BER]]/10</f>
        <v>0</v>
      </c>
      <c r="AI215" s="44"/>
      <c r="AJ215" s="45">
        <f>TABL12345[[#This Row],[(A/B TOT) AJD]]-TABL12345[[#This Row],[BER_ IN]]</f>
        <v>0</v>
      </c>
      <c r="AK215" s="45"/>
      <c r="AL215" s="45"/>
      <c r="AM215" s="32"/>
      <c r="AN215" s="32">
        <f>TABL12345[[#This Row],[ (RESV. STORGE) SER]]/10</f>
        <v>0</v>
      </c>
      <c r="AO215" s="68"/>
      <c r="AP215" s="68">
        <f>TABL12345[[#This Row],[(A/S TOT) AJD]]-TABL12345[[#This Row],[SER_ IN]]</f>
        <v>0</v>
      </c>
    </row>
    <row r="216" spans="1:42" ht="18.75" x14ac:dyDescent="0.25">
      <c r="A216" s="2">
        <v>46967</v>
      </c>
      <c r="B216" s="41"/>
      <c r="C216" s="41"/>
      <c r="D216" s="41"/>
      <c r="E216" s="28"/>
      <c r="F216" s="41"/>
      <c r="G216" s="39"/>
      <c r="H216" s="28"/>
      <c r="I216" s="39"/>
      <c r="J216" s="39"/>
      <c r="K216" s="28">
        <f>TABL12345[[#This Row],[خط (T/B  TOT) SAR]]+TABL12345[[#This Row],[خط (S/S  TOT) SAR2]]</f>
        <v>0</v>
      </c>
      <c r="L216" s="41"/>
      <c r="M216" s="42"/>
      <c r="N216" s="42"/>
      <c r="O216" s="39"/>
      <c r="P216" s="3">
        <f>TABL12345[[#This Row],[خط (S/S  TOT) SAR2]]-TABL12345[[#This Row],[(S/S TOT) AJD]]</f>
        <v>0</v>
      </c>
      <c r="Q216" s="39"/>
      <c r="R216" s="3">
        <f>TABL12345[[#This Row],[خط (T/B  TOT) SAR]]-TABL12345[[#This Row],[(T/B TOT) AJD]]</f>
        <v>0</v>
      </c>
      <c r="S216" s="3">
        <f>TABL12345[[#This Row],[الفرق بين بداية ونهاية خط  S/S]]+TABL12345[[#This Row],[الفرق بين بداية ونهاية خط  T/B]]</f>
        <v>0</v>
      </c>
      <c r="T216" s="3">
        <f t="shared" si="12"/>
        <v>0</v>
      </c>
      <c r="U216" s="41"/>
      <c r="V216" s="41"/>
      <c r="W216" s="3">
        <f t="shared" si="13"/>
        <v>0</v>
      </c>
      <c r="X216" s="3">
        <f t="shared" si="14"/>
        <v>0</v>
      </c>
      <c r="Y216" s="41"/>
      <c r="Z216" s="43"/>
      <c r="AA216" s="3">
        <f>TABL12345[[#This Row],[(RESV. STORGE) AJD]]/10</f>
        <v>0</v>
      </c>
      <c r="AB216" s="45">
        <f t="shared" si="15"/>
        <v>0</v>
      </c>
      <c r="AC216" s="5"/>
      <c r="AD216" s="39">
        <f>(TABL12345[[#This Row],[( S/S+T/B) AJD]]*1000)-((TABL12345[[#This Row],[(STORGE DIFF.) AJD]]*1000)+TABL12345[[#This Row],[البخر  AJD]]+(TABL12345[[#This Row],[(A/B + A/S) AJD]]*1000))</f>
        <v>0</v>
      </c>
      <c r="AE216" s="41"/>
      <c r="AF216" s="43"/>
      <c r="AG216" s="43"/>
      <c r="AH216" s="6">
        <f>TABL12345[[#This Row],[ (RESV. STORGE) BER]]/10</f>
        <v>0</v>
      </c>
      <c r="AI216" s="41"/>
      <c r="AJ216" s="43">
        <f>TABL12345[[#This Row],[(A/B TOT) AJD]]-TABL12345[[#This Row],[BER_ IN]]</f>
        <v>0</v>
      </c>
      <c r="AK216" s="43"/>
      <c r="AL216" s="43"/>
      <c r="AM216" s="32"/>
      <c r="AN216" s="32">
        <f>TABL12345[[#This Row],[ (RESV. STORGE) SER]]/10</f>
        <v>0</v>
      </c>
      <c r="AO216" s="68"/>
      <c r="AP216" s="68">
        <f>TABL12345[[#This Row],[(A/S TOT) AJD]]-TABL12345[[#This Row],[SER_ IN]]</f>
        <v>0</v>
      </c>
    </row>
    <row r="217" spans="1:42" ht="18.75" x14ac:dyDescent="0.25">
      <c r="A217" s="2">
        <v>46968</v>
      </c>
      <c r="B217" s="44"/>
      <c r="C217" s="44"/>
      <c r="D217" s="44"/>
      <c r="E217" s="28"/>
      <c r="F217" s="44"/>
      <c r="G217" s="40"/>
      <c r="H217" s="28"/>
      <c r="I217" s="40"/>
      <c r="J217" s="44"/>
      <c r="K217" s="28">
        <f>TABL12345[[#This Row],[خط (T/B  TOT) SAR]]+TABL12345[[#This Row],[خط (S/S  TOT) SAR2]]</f>
        <v>0</v>
      </c>
      <c r="L217" s="45"/>
      <c r="M217" s="46"/>
      <c r="N217" s="46"/>
      <c r="O217" s="40"/>
      <c r="P217" s="3">
        <f>TABL12345[[#This Row],[خط (S/S  TOT) SAR2]]-TABL12345[[#This Row],[(S/S TOT) AJD]]</f>
        <v>0</v>
      </c>
      <c r="Q217" s="40"/>
      <c r="R217" s="3">
        <f>TABL12345[[#This Row],[خط (T/B  TOT) SAR]]-TABL12345[[#This Row],[(T/B TOT) AJD]]</f>
        <v>0</v>
      </c>
      <c r="S217" s="3">
        <f>TABL12345[[#This Row],[الفرق بين بداية ونهاية خط  S/S]]+TABL12345[[#This Row],[الفرق بين بداية ونهاية خط  T/B]]</f>
        <v>0</v>
      </c>
      <c r="T217" s="3">
        <f t="shared" si="12"/>
        <v>0</v>
      </c>
      <c r="U217" s="44"/>
      <c r="V217" s="44"/>
      <c r="W217" s="3">
        <f t="shared" si="13"/>
        <v>0</v>
      </c>
      <c r="X217" s="3">
        <f t="shared" si="14"/>
        <v>0</v>
      </c>
      <c r="Y217" s="44"/>
      <c r="Z217" s="45"/>
      <c r="AA217" s="3">
        <f>TABL12345[[#This Row],[(RESV. STORGE) AJD]]/10</f>
        <v>0</v>
      </c>
      <c r="AB217" s="45">
        <f t="shared" si="15"/>
        <v>0</v>
      </c>
      <c r="AC217" s="5"/>
      <c r="AD217" s="40">
        <f>(TABL12345[[#This Row],[( S/S+T/B) AJD]]*1000)-((TABL12345[[#This Row],[(STORGE DIFF.) AJD]]*1000)+TABL12345[[#This Row],[البخر  AJD]]+(TABL12345[[#This Row],[(A/B + A/S) AJD]]*1000))</f>
        <v>0</v>
      </c>
      <c r="AE217" s="44"/>
      <c r="AF217" s="45"/>
      <c r="AG217" s="45"/>
      <c r="AH217" s="6">
        <f>TABL12345[[#This Row],[ (RESV. STORGE) BER]]/10</f>
        <v>0</v>
      </c>
      <c r="AI217" s="44"/>
      <c r="AJ217" s="45">
        <f>TABL12345[[#This Row],[(A/B TOT) AJD]]-TABL12345[[#This Row],[BER_ IN]]</f>
        <v>0</v>
      </c>
      <c r="AK217" s="45"/>
      <c r="AL217" s="45"/>
      <c r="AM217" s="32"/>
      <c r="AN217" s="32">
        <f>TABL12345[[#This Row],[ (RESV. STORGE) SER]]/10</f>
        <v>0</v>
      </c>
      <c r="AO217" s="68"/>
      <c r="AP217" s="68">
        <f>TABL12345[[#This Row],[(A/S TOT) AJD]]-TABL12345[[#This Row],[SER_ IN]]</f>
        <v>0</v>
      </c>
    </row>
    <row r="218" spans="1:42" ht="18.75" x14ac:dyDescent="0.25">
      <c r="A218" s="2">
        <v>46969</v>
      </c>
      <c r="B218" s="41"/>
      <c r="C218" s="41"/>
      <c r="D218" s="41"/>
      <c r="E218" s="28"/>
      <c r="F218" s="41"/>
      <c r="G218" s="39"/>
      <c r="H218" s="28"/>
      <c r="I218" s="39"/>
      <c r="J218" s="39"/>
      <c r="K218" s="28">
        <f>TABL12345[[#This Row],[خط (T/B  TOT) SAR]]+TABL12345[[#This Row],[خط (S/S  TOT) SAR2]]</f>
        <v>0</v>
      </c>
      <c r="L218" s="41"/>
      <c r="M218" s="42"/>
      <c r="N218" s="42"/>
      <c r="O218" s="39"/>
      <c r="P218" s="3">
        <f>TABL12345[[#This Row],[خط (S/S  TOT) SAR2]]-TABL12345[[#This Row],[(S/S TOT) AJD]]</f>
        <v>0</v>
      </c>
      <c r="Q218" s="39"/>
      <c r="R218" s="3">
        <f>TABL12345[[#This Row],[خط (T/B  TOT) SAR]]-TABL12345[[#This Row],[(T/B TOT) AJD]]</f>
        <v>0</v>
      </c>
      <c r="S218" s="3">
        <f>TABL12345[[#This Row],[الفرق بين بداية ونهاية خط  S/S]]+TABL12345[[#This Row],[الفرق بين بداية ونهاية خط  T/B]]</f>
        <v>0</v>
      </c>
      <c r="T218" s="3">
        <f t="shared" si="12"/>
        <v>0</v>
      </c>
      <c r="U218" s="41"/>
      <c r="V218" s="41"/>
      <c r="W218" s="3">
        <f t="shared" si="13"/>
        <v>0</v>
      </c>
      <c r="X218" s="3">
        <f t="shared" si="14"/>
        <v>0</v>
      </c>
      <c r="Y218" s="41"/>
      <c r="Z218" s="43"/>
      <c r="AA218" s="3">
        <f>TABL12345[[#This Row],[(RESV. STORGE) AJD]]/10</f>
        <v>0</v>
      </c>
      <c r="AB218" s="45">
        <f t="shared" si="15"/>
        <v>0</v>
      </c>
      <c r="AC218" s="5"/>
      <c r="AD218" s="39">
        <f>(TABL12345[[#This Row],[( S/S+T/B) AJD]]*1000)-((TABL12345[[#This Row],[(STORGE DIFF.) AJD]]*1000)+TABL12345[[#This Row],[البخر  AJD]]+(TABL12345[[#This Row],[(A/B + A/S) AJD]]*1000))</f>
        <v>0</v>
      </c>
      <c r="AE218" s="41"/>
      <c r="AF218" s="43"/>
      <c r="AG218" s="43"/>
      <c r="AH218" s="6">
        <f>TABL12345[[#This Row],[ (RESV. STORGE) BER]]/10</f>
        <v>0</v>
      </c>
      <c r="AI218" s="41"/>
      <c r="AJ218" s="43">
        <f>TABL12345[[#This Row],[(A/B TOT) AJD]]-TABL12345[[#This Row],[BER_ IN]]</f>
        <v>0</v>
      </c>
      <c r="AK218" s="43"/>
      <c r="AL218" s="43"/>
      <c r="AM218" s="32"/>
      <c r="AN218" s="32">
        <f>TABL12345[[#This Row],[ (RESV. STORGE) SER]]/10</f>
        <v>0</v>
      </c>
      <c r="AO218" s="68"/>
      <c r="AP218" s="68">
        <f>TABL12345[[#This Row],[(A/S TOT) AJD]]-TABL12345[[#This Row],[SER_ IN]]</f>
        <v>0</v>
      </c>
    </row>
    <row r="219" spans="1:42" ht="18.75" x14ac:dyDescent="0.25">
      <c r="A219" s="2">
        <v>46970</v>
      </c>
      <c r="B219" s="44"/>
      <c r="C219" s="44"/>
      <c r="D219" s="44"/>
      <c r="E219" s="28"/>
      <c r="F219" s="44"/>
      <c r="G219" s="40"/>
      <c r="H219" s="28"/>
      <c r="I219" s="40"/>
      <c r="J219" s="44"/>
      <c r="K219" s="28">
        <f>TABL12345[[#This Row],[خط (T/B  TOT) SAR]]+TABL12345[[#This Row],[خط (S/S  TOT) SAR2]]</f>
        <v>0</v>
      </c>
      <c r="L219" s="45"/>
      <c r="M219" s="46"/>
      <c r="N219" s="46"/>
      <c r="O219" s="40"/>
      <c r="P219" s="3">
        <f>TABL12345[[#This Row],[خط (S/S  TOT) SAR2]]-TABL12345[[#This Row],[(S/S TOT) AJD]]</f>
        <v>0</v>
      </c>
      <c r="Q219" s="40"/>
      <c r="R219" s="3">
        <f>TABL12345[[#This Row],[خط (T/B  TOT) SAR]]-TABL12345[[#This Row],[(T/B TOT) AJD]]</f>
        <v>0</v>
      </c>
      <c r="S219" s="3">
        <f>TABL12345[[#This Row],[الفرق بين بداية ونهاية خط  S/S]]+TABL12345[[#This Row],[الفرق بين بداية ونهاية خط  T/B]]</f>
        <v>0</v>
      </c>
      <c r="T219" s="3">
        <f t="shared" si="12"/>
        <v>0</v>
      </c>
      <c r="U219" s="44"/>
      <c r="V219" s="44"/>
      <c r="W219" s="3">
        <f t="shared" si="13"/>
        <v>0</v>
      </c>
      <c r="X219" s="3">
        <f t="shared" si="14"/>
        <v>0</v>
      </c>
      <c r="Y219" s="44"/>
      <c r="Z219" s="45"/>
      <c r="AA219" s="3">
        <f>TABL12345[[#This Row],[(RESV. STORGE) AJD]]/10</f>
        <v>0</v>
      </c>
      <c r="AB219" s="45">
        <f t="shared" si="15"/>
        <v>0</v>
      </c>
      <c r="AC219" s="5"/>
      <c r="AD219" s="40">
        <f>(TABL12345[[#This Row],[( S/S+T/B) AJD]]*1000)-((TABL12345[[#This Row],[(STORGE DIFF.) AJD]]*1000)+TABL12345[[#This Row],[البخر  AJD]]+(TABL12345[[#This Row],[(A/B + A/S) AJD]]*1000))</f>
        <v>0</v>
      </c>
      <c r="AE219" s="44"/>
      <c r="AF219" s="45"/>
      <c r="AG219" s="45"/>
      <c r="AH219" s="6">
        <f>TABL12345[[#This Row],[ (RESV. STORGE) BER]]/10</f>
        <v>0</v>
      </c>
      <c r="AI219" s="44"/>
      <c r="AJ219" s="45">
        <f>TABL12345[[#This Row],[(A/B TOT) AJD]]-TABL12345[[#This Row],[BER_ IN]]</f>
        <v>0</v>
      </c>
      <c r="AK219" s="45"/>
      <c r="AL219" s="45"/>
      <c r="AM219" s="32"/>
      <c r="AN219" s="32">
        <f>TABL12345[[#This Row],[ (RESV. STORGE) SER]]/10</f>
        <v>0</v>
      </c>
      <c r="AO219" s="68"/>
      <c r="AP219" s="68">
        <f>TABL12345[[#This Row],[(A/S TOT) AJD]]-TABL12345[[#This Row],[SER_ IN]]</f>
        <v>0</v>
      </c>
    </row>
    <row r="220" spans="1:42" ht="18.75" x14ac:dyDescent="0.25">
      <c r="A220" s="2">
        <v>46971</v>
      </c>
      <c r="B220" s="41"/>
      <c r="C220" s="41"/>
      <c r="D220" s="41"/>
      <c r="E220" s="28"/>
      <c r="F220" s="41"/>
      <c r="G220" s="39"/>
      <c r="H220" s="28"/>
      <c r="I220" s="39"/>
      <c r="J220" s="39"/>
      <c r="K220" s="28">
        <f>TABL12345[[#This Row],[خط (T/B  TOT) SAR]]+TABL12345[[#This Row],[خط (S/S  TOT) SAR2]]</f>
        <v>0</v>
      </c>
      <c r="L220" s="41"/>
      <c r="M220" s="42"/>
      <c r="N220" s="42"/>
      <c r="O220" s="39"/>
      <c r="P220" s="3">
        <f>TABL12345[[#This Row],[خط (S/S  TOT) SAR2]]-TABL12345[[#This Row],[(S/S TOT) AJD]]</f>
        <v>0</v>
      </c>
      <c r="Q220" s="39"/>
      <c r="R220" s="3">
        <f>TABL12345[[#This Row],[خط (T/B  TOT) SAR]]-TABL12345[[#This Row],[(T/B TOT) AJD]]</f>
        <v>0</v>
      </c>
      <c r="S220" s="3">
        <f>TABL12345[[#This Row],[الفرق بين بداية ونهاية خط  S/S]]+TABL12345[[#This Row],[الفرق بين بداية ونهاية خط  T/B]]</f>
        <v>0</v>
      </c>
      <c r="T220" s="3">
        <f t="shared" si="12"/>
        <v>0</v>
      </c>
      <c r="U220" s="41"/>
      <c r="V220" s="41"/>
      <c r="W220" s="3">
        <f t="shared" si="13"/>
        <v>0</v>
      </c>
      <c r="X220" s="3">
        <f t="shared" si="14"/>
        <v>0</v>
      </c>
      <c r="Y220" s="41"/>
      <c r="Z220" s="43"/>
      <c r="AA220" s="3">
        <f>TABL12345[[#This Row],[(RESV. STORGE) AJD]]/10</f>
        <v>0</v>
      </c>
      <c r="AB220" s="45">
        <f t="shared" si="15"/>
        <v>0</v>
      </c>
      <c r="AC220" s="5"/>
      <c r="AD220" s="39">
        <f>(TABL12345[[#This Row],[( S/S+T/B) AJD]]*1000)-((TABL12345[[#This Row],[(STORGE DIFF.) AJD]]*1000)+TABL12345[[#This Row],[البخر  AJD]]+(TABL12345[[#This Row],[(A/B + A/S) AJD]]*1000))</f>
        <v>0</v>
      </c>
      <c r="AE220" s="41"/>
      <c r="AF220" s="43"/>
      <c r="AG220" s="43"/>
      <c r="AH220" s="6">
        <f>TABL12345[[#This Row],[ (RESV. STORGE) BER]]/10</f>
        <v>0</v>
      </c>
      <c r="AI220" s="41"/>
      <c r="AJ220" s="43">
        <f>TABL12345[[#This Row],[(A/B TOT) AJD]]-TABL12345[[#This Row],[BER_ IN]]</f>
        <v>0</v>
      </c>
      <c r="AK220" s="43"/>
      <c r="AL220" s="43"/>
      <c r="AM220" s="32"/>
      <c r="AN220" s="32">
        <f>TABL12345[[#This Row],[ (RESV. STORGE) SER]]/10</f>
        <v>0</v>
      </c>
      <c r="AO220" s="68"/>
      <c r="AP220" s="68">
        <f>TABL12345[[#This Row],[(A/S TOT) AJD]]-TABL12345[[#This Row],[SER_ IN]]</f>
        <v>0</v>
      </c>
    </row>
    <row r="221" spans="1:42" ht="18.75" x14ac:dyDescent="0.25">
      <c r="A221" s="2">
        <v>46972</v>
      </c>
      <c r="B221" s="44"/>
      <c r="C221" s="44"/>
      <c r="D221" s="44"/>
      <c r="E221" s="28"/>
      <c r="F221" s="44"/>
      <c r="G221" s="40"/>
      <c r="H221" s="28"/>
      <c r="I221" s="40"/>
      <c r="J221" s="44"/>
      <c r="K221" s="28">
        <f>TABL12345[[#This Row],[خط (T/B  TOT) SAR]]+TABL12345[[#This Row],[خط (S/S  TOT) SAR2]]</f>
        <v>0</v>
      </c>
      <c r="L221" s="45"/>
      <c r="M221" s="46"/>
      <c r="N221" s="46"/>
      <c r="O221" s="40"/>
      <c r="P221" s="3">
        <f>TABL12345[[#This Row],[خط (S/S  TOT) SAR2]]-TABL12345[[#This Row],[(S/S TOT) AJD]]</f>
        <v>0</v>
      </c>
      <c r="Q221" s="40"/>
      <c r="R221" s="3">
        <f>TABL12345[[#This Row],[خط (T/B  TOT) SAR]]-TABL12345[[#This Row],[(T/B TOT) AJD]]</f>
        <v>0</v>
      </c>
      <c r="S221" s="3">
        <f>TABL12345[[#This Row],[الفرق بين بداية ونهاية خط  S/S]]+TABL12345[[#This Row],[الفرق بين بداية ونهاية خط  T/B]]</f>
        <v>0</v>
      </c>
      <c r="T221" s="3">
        <f t="shared" si="12"/>
        <v>0</v>
      </c>
      <c r="U221" s="44"/>
      <c r="V221" s="44"/>
      <c r="W221" s="3">
        <f t="shared" si="13"/>
        <v>0</v>
      </c>
      <c r="X221" s="3">
        <f t="shared" si="14"/>
        <v>0</v>
      </c>
      <c r="Y221" s="44"/>
      <c r="Z221" s="45"/>
      <c r="AA221" s="3">
        <f>TABL12345[[#This Row],[(RESV. STORGE) AJD]]/10</f>
        <v>0</v>
      </c>
      <c r="AB221" s="45">
        <f t="shared" si="15"/>
        <v>0</v>
      </c>
      <c r="AC221" s="5"/>
      <c r="AD221" s="40">
        <f>(TABL12345[[#This Row],[( S/S+T/B) AJD]]*1000)-((TABL12345[[#This Row],[(STORGE DIFF.) AJD]]*1000)+TABL12345[[#This Row],[البخر  AJD]]+(TABL12345[[#This Row],[(A/B + A/S) AJD]]*1000))</f>
        <v>0</v>
      </c>
      <c r="AE221" s="44"/>
      <c r="AF221" s="45"/>
      <c r="AG221" s="45"/>
      <c r="AH221" s="6">
        <f>TABL12345[[#This Row],[ (RESV. STORGE) BER]]/10</f>
        <v>0</v>
      </c>
      <c r="AI221" s="44"/>
      <c r="AJ221" s="45">
        <f>TABL12345[[#This Row],[(A/B TOT) AJD]]-TABL12345[[#This Row],[BER_ IN]]</f>
        <v>0</v>
      </c>
      <c r="AK221" s="45"/>
      <c r="AL221" s="45"/>
      <c r="AM221" s="32"/>
      <c r="AN221" s="32">
        <f>TABL12345[[#This Row],[ (RESV. STORGE) SER]]/10</f>
        <v>0</v>
      </c>
      <c r="AO221" s="68"/>
      <c r="AP221" s="68">
        <f>TABL12345[[#This Row],[(A/S TOT) AJD]]-TABL12345[[#This Row],[SER_ IN]]</f>
        <v>0</v>
      </c>
    </row>
    <row r="222" spans="1:42" ht="18.75" x14ac:dyDescent="0.25">
      <c r="A222" s="2">
        <v>46973</v>
      </c>
      <c r="B222" s="41"/>
      <c r="C222" s="41"/>
      <c r="D222" s="41"/>
      <c r="E222" s="28"/>
      <c r="F222" s="41"/>
      <c r="G222" s="39"/>
      <c r="H222" s="28"/>
      <c r="I222" s="39"/>
      <c r="J222" s="39"/>
      <c r="K222" s="28">
        <f>TABL12345[[#This Row],[خط (T/B  TOT) SAR]]+TABL12345[[#This Row],[خط (S/S  TOT) SAR2]]</f>
        <v>0</v>
      </c>
      <c r="L222" s="41"/>
      <c r="M222" s="42"/>
      <c r="N222" s="42"/>
      <c r="O222" s="39"/>
      <c r="P222" s="3">
        <f>TABL12345[[#This Row],[خط (S/S  TOT) SAR2]]-TABL12345[[#This Row],[(S/S TOT) AJD]]</f>
        <v>0</v>
      </c>
      <c r="Q222" s="39"/>
      <c r="R222" s="3">
        <f>TABL12345[[#This Row],[خط (T/B  TOT) SAR]]-TABL12345[[#This Row],[(T/B TOT) AJD]]</f>
        <v>0</v>
      </c>
      <c r="S222" s="3">
        <f>TABL12345[[#This Row],[الفرق بين بداية ونهاية خط  S/S]]+TABL12345[[#This Row],[الفرق بين بداية ونهاية خط  T/B]]</f>
        <v>0</v>
      </c>
      <c r="T222" s="3">
        <f t="shared" si="12"/>
        <v>0</v>
      </c>
      <c r="U222" s="41"/>
      <c r="V222" s="41"/>
      <c r="W222" s="3">
        <f t="shared" si="13"/>
        <v>0</v>
      </c>
      <c r="X222" s="3">
        <f t="shared" si="14"/>
        <v>0</v>
      </c>
      <c r="Y222" s="41"/>
      <c r="Z222" s="43"/>
      <c r="AA222" s="3">
        <f>TABL12345[[#This Row],[(RESV. STORGE) AJD]]/10</f>
        <v>0</v>
      </c>
      <c r="AB222" s="45">
        <f t="shared" si="15"/>
        <v>0</v>
      </c>
      <c r="AC222" s="5"/>
      <c r="AD222" s="39">
        <f>(TABL12345[[#This Row],[( S/S+T/B) AJD]]*1000)-((TABL12345[[#This Row],[(STORGE DIFF.) AJD]]*1000)+TABL12345[[#This Row],[البخر  AJD]]+(TABL12345[[#This Row],[(A/B + A/S) AJD]]*1000))</f>
        <v>0</v>
      </c>
      <c r="AE222" s="41"/>
      <c r="AF222" s="43"/>
      <c r="AG222" s="43"/>
      <c r="AH222" s="6">
        <f>TABL12345[[#This Row],[ (RESV. STORGE) BER]]/10</f>
        <v>0</v>
      </c>
      <c r="AI222" s="41"/>
      <c r="AJ222" s="43">
        <f>TABL12345[[#This Row],[(A/B TOT) AJD]]-TABL12345[[#This Row],[BER_ IN]]</f>
        <v>0</v>
      </c>
      <c r="AK222" s="43"/>
      <c r="AL222" s="43"/>
      <c r="AM222" s="32"/>
      <c r="AN222" s="32">
        <f>TABL12345[[#This Row],[ (RESV. STORGE) SER]]/10</f>
        <v>0</v>
      </c>
      <c r="AO222" s="68"/>
      <c r="AP222" s="68">
        <f>TABL12345[[#This Row],[(A/S TOT) AJD]]-TABL12345[[#This Row],[SER_ IN]]</f>
        <v>0</v>
      </c>
    </row>
    <row r="223" spans="1:42" ht="18.75" x14ac:dyDescent="0.25">
      <c r="A223" s="2">
        <v>46974</v>
      </c>
      <c r="B223" s="44"/>
      <c r="C223" s="44"/>
      <c r="D223" s="44"/>
      <c r="E223" s="28"/>
      <c r="F223" s="44"/>
      <c r="G223" s="40"/>
      <c r="H223" s="28"/>
      <c r="I223" s="40"/>
      <c r="J223" s="44"/>
      <c r="K223" s="28">
        <f>TABL12345[[#This Row],[خط (T/B  TOT) SAR]]+TABL12345[[#This Row],[خط (S/S  TOT) SAR2]]</f>
        <v>0</v>
      </c>
      <c r="L223" s="45"/>
      <c r="M223" s="46"/>
      <c r="N223" s="46"/>
      <c r="O223" s="40"/>
      <c r="P223" s="3">
        <f>TABL12345[[#This Row],[خط (S/S  TOT) SAR2]]-TABL12345[[#This Row],[(S/S TOT) AJD]]</f>
        <v>0</v>
      </c>
      <c r="Q223" s="40"/>
      <c r="R223" s="3">
        <f>TABL12345[[#This Row],[خط (T/B  TOT) SAR]]-TABL12345[[#This Row],[(T/B TOT) AJD]]</f>
        <v>0</v>
      </c>
      <c r="S223" s="3">
        <f>TABL12345[[#This Row],[الفرق بين بداية ونهاية خط  S/S]]+TABL12345[[#This Row],[الفرق بين بداية ونهاية خط  T/B]]</f>
        <v>0</v>
      </c>
      <c r="T223" s="3">
        <f t="shared" si="12"/>
        <v>0</v>
      </c>
      <c r="U223" s="44"/>
      <c r="V223" s="44"/>
      <c r="W223" s="3">
        <f t="shared" si="13"/>
        <v>0</v>
      </c>
      <c r="X223" s="3">
        <f t="shared" si="14"/>
        <v>0</v>
      </c>
      <c r="Y223" s="44"/>
      <c r="Z223" s="45"/>
      <c r="AA223" s="3">
        <f>TABL12345[[#This Row],[(RESV. STORGE) AJD]]/10</f>
        <v>0</v>
      </c>
      <c r="AB223" s="45">
        <f t="shared" si="15"/>
        <v>0</v>
      </c>
      <c r="AC223" s="5"/>
      <c r="AD223" s="40">
        <f>(TABL12345[[#This Row],[( S/S+T/B) AJD]]*1000)-((TABL12345[[#This Row],[(STORGE DIFF.) AJD]]*1000)+TABL12345[[#This Row],[البخر  AJD]]+(TABL12345[[#This Row],[(A/B + A/S) AJD]]*1000))</f>
        <v>0</v>
      </c>
      <c r="AE223" s="44"/>
      <c r="AF223" s="45"/>
      <c r="AG223" s="45"/>
      <c r="AH223" s="6">
        <f>TABL12345[[#This Row],[ (RESV. STORGE) BER]]/10</f>
        <v>0</v>
      </c>
      <c r="AI223" s="44"/>
      <c r="AJ223" s="45">
        <f>TABL12345[[#This Row],[(A/B TOT) AJD]]-TABL12345[[#This Row],[BER_ IN]]</f>
        <v>0</v>
      </c>
      <c r="AK223" s="45"/>
      <c r="AL223" s="45"/>
      <c r="AM223" s="32"/>
      <c r="AN223" s="32">
        <f>TABL12345[[#This Row],[ (RESV. STORGE) SER]]/10</f>
        <v>0</v>
      </c>
      <c r="AO223" s="68"/>
      <c r="AP223" s="68">
        <f>TABL12345[[#This Row],[(A/S TOT) AJD]]-TABL12345[[#This Row],[SER_ IN]]</f>
        <v>0</v>
      </c>
    </row>
    <row r="224" spans="1:42" ht="18.75" x14ac:dyDescent="0.25">
      <c r="A224" s="2">
        <v>46975</v>
      </c>
      <c r="B224" s="41"/>
      <c r="C224" s="41"/>
      <c r="D224" s="41"/>
      <c r="E224" s="28"/>
      <c r="F224" s="41"/>
      <c r="G224" s="39"/>
      <c r="H224" s="28"/>
      <c r="I224" s="39"/>
      <c r="J224" s="39"/>
      <c r="K224" s="28">
        <f>TABL12345[[#This Row],[خط (T/B  TOT) SAR]]+TABL12345[[#This Row],[خط (S/S  TOT) SAR2]]</f>
        <v>0</v>
      </c>
      <c r="L224" s="41"/>
      <c r="M224" s="42"/>
      <c r="N224" s="42"/>
      <c r="O224" s="39"/>
      <c r="P224" s="3">
        <f>TABL12345[[#This Row],[خط (S/S  TOT) SAR2]]-TABL12345[[#This Row],[(S/S TOT) AJD]]</f>
        <v>0</v>
      </c>
      <c r="Q224" s="39"/>
      <c r="R224" s="3">
        <f>TABL12345[[#This Row],[خط (T/B  TOT) SAR]]-TABL12345[[#This Row],[(T/B TOT) AJD]]</f>
        <v>0</v>
      </c>
      <c r="S224" s="3">
        <f>TABL12345[[#This Row],[الفرق بين بداية ونهاية خط  S/S]]+TABL12345[[#This Row],[الفرق بين بداية ونهاية خط  T/B]]</f>
        <v>0</v>
      </c>
      <c r="T224" s="3">
        <f t="shared" si="12"/>
        <v>0</v>
      </c>
      <c r="U224" s="41"/>
      <c r="V224" s="41"/>
      <c r="W224" s="3">
        <f t="shared" si="13"/>
        <v>0</v>
      </c>
      <c r="X224" s="3">
        <f t="shared" si="14"/>
        <v>0</v>
      </c>
      <c r="Y224" s="41"/>
      <c r="Z224" s="43"/>
      <c r="AA224" s="3">
        <f>TABL12345[[#This Row],[(RESV. STORGE) AJD]]/10</f>
        <v>0</v>
      </c>
      <c r="AB224" s="45">
        <f t="shared" si="15"/>
        <v>0</v>
      </c>
      <c r="AC224" s="5"/>
      <c r="AD224" s="39">
        <f>(TABL12345[[#This Row],[( S/S+T/B) AJD]]*1000)-((TABL12345[[#This Row],[(STORGE DIFF.) AJD]]*1000)+TABL12345[[#This Row],[البخر  AJD]]+(TABL12345[[#This Row],[(A/B + A/S) AJD]]*1000))</f>
        <v>0</v>
      </c>
      <c r="AE224" s="41"/>
      <c r="AF224" s="43"/>
      <c r="AG224" s="68"/>
      <c r="AH224" s="6">
        <f>TABL12345[[#This Row],[ (RESV. STORGE) BER]]/10</f>
        <v>0</v>
      </c>
      <c r="AI224" s="41"/>
      <c r="AJ224" s="68">
        <f>TABL12345[[#This Row],[(A/B TOT) AJD]]-TABL12345[[#This Row],[BER_ IN]]</f>
        <v>0</v>
      </c>
      <c r="AK224" s="43"/>
      <c r="AL224" s="43"/>
      <c r="AM224" s="32"/>
      <c r="AN224" s="32">
        <f>TABL12345[[#This Row],[ (RESV. STORGE) SER]]/10</f>
        <v>0</v>
      </c>
      <c r="AO224" s="68"/>
      <c r="AP224" s="68">
        <f>TABL12345[[#This Row],[(A/S TOT) AJD]]-TABL12345[[#This Row],[SER_ IN]]</f>
        <v>0</v>
      </c>
    </row>
    <row r="225" spans="1:42" ht="18.75" x14ac:dyDescent="0.25">
      <c r="A225" s="2">
        <v>46976</v>
      </c>
      <c r="B225" s="44"/>
      <c r="C225" s="44"/>
      <c r="D225" s="44"/>
      <c r="E225" s="28"/>
      <c r="F225" s="44"/>
      <c r="G225" s="40"/>
      <c r="H225" s="28"/>
      <c r="I225" s="40"/>
      <c r="J225" s="44"/>
      <c r="K225" s="28">
        <f>TABL12345[[#This Row],[خط (T/B  TOT) SAR]]+TABL12345[[#This Row],[خط (S/S  TOT) SAR2]]</f>
        <v>0</v>
      </c>
      <c r="L225" s="45"/>
      <c r="M225" s="46"/>
      <c r="N225" s="46"/>
      <c r="O225" s="40"/>
      <c r="P225" s="3">
        <f>TABL12345[[#This Row],[خط (S/S  TOT) SAR2]]-TABL12345[[#This Row],[(S/S TOT) AJD]]</f>
        <v>0</v>
      </c>
      <c r="Q225" s="40"/>
      <c r="R225" s="3">
        <f>TABL12345[[#This Row],[خط (T/B  TOT) SAR]]-TABL12345[[#This Row],[(T/B TOT) AJD]]</f>
        <v>0</v>
      </c>
      <c r="S225" s="3">
        <f>TABL12345[[#This Row],[الفرق بين بداية ونهاية خط  S/S]]+TABL12345[[#This Row],[الفرق بين بداية ونهاية خط  T/B]]</f>
        <v>0</v>
      </c>
      <c r="T225" s="3">
        <f t="shared" si="12"/>
        <v>0</v>
      </c>
      <c r="U225" s="44"/>
      <c r="V225" s="44"/>
      <c r="W225" s="3">
        <f t="shared" si="13"/>
        <v>0</v>
      </c>
      <c r="X225" s="3">
        <f t="shared" si="14"/>
        <v>0</v>
      </c>
      <c r="Y225" s="44"/>
      <c r="Z225" s="45"/>
      <c r="AA225" s="3">
        <f>TABL12345[[#This Row],[(RESV. STORGE) AJD]]/10</f>
        <v>0</v>
      </c>
      <c r="AB225" s="45">
        <f t="shared" si="15"/>
        <v>0</v>
      </c>
      <c r="AC225" s="5"/>
      <c r="AD225" s="40">
        <f>(TABL12345[[#This Row],[( S/S+T/B) AJD]]*1000)-((TABL12345[[#This Row],[(STORGE DIFF.) AJD]]*1000)+TABL12345[[#This Row],[البخر  AJD]]+(TABL12345[[#This Row],[(A/B + A/S) AJD]]*1000))</f>
        <v>0</v>
      </c>
      <c r="AE225" s="44"/>
      <c r="AF225" s="45"/>
      <c r="AG225" s="45"/>
      <c r="AH225" s="6">
        <f>TABL12345[[#This Row],[ (RESV. STORGE) BER]]/10</f>
        <v>0</v>
      </c>
      <c r="AI225" s="44"/>
      <c r="AJ225" s="45">
        <f>TABL12345[[#This Row],[(A/B TOT) AJD]]-TABL12345[[#This Row],[BER_ IN]]</f>
        <v>0</v>
      </c>
      <c r="AK225" s="45"/>
      <c r="AL225" s="45"/>
      <c r="AM225" s="32"/>
      <c r="AN225" s="32">
        <f>TABL12345[[#This Row],[ (RESV. STORGE) SER]]/10</f>
        <v>0</v>
      </c>
      <c r="AO225" s="68"/>
      <c r="AP225" s="68">
        <f>TABL12345[[#This Row],[(A/S TOT) AJD]]-TABL12345[[#This Row],[SER_ IN]]</f>
        <v>0</v>
      </c>
    </row>
    <row r="226" spans="1:42" ht="18.75" x14ac:dyDescent="0.25">
      <c r="A226" s="2">
        <v>46977</v>
      </c>
      <c r="B226" s="41"/>
      <c r="C226" s="41"/>
      <c r="D226" s="41"/>
      <c r="E226" s="28"/>
      <c r="F226" s="41"/>
      <c r="G226" s="39"/>
      <c r="H226" s="28"/>
      <c r="I226" s="39"/>
      <c r="J226" s="39"/>
      <c r="K226" s="28">
        <f>TABL12345[[#This Row],[خط (T/B  TOT) SAR]]+TABL12345[[#This Row],[خط (S/S  TOT) SAR2]]</f>
        <v>0</v>
      </c>
      <c r="L226" s="41"/>
      <c r="M226" s="42"/>
      <c r="N226" s="42"/>
      <c r="O226" s="39"/>
      <c r="P226" s="3">
        <f>TABL12345[[#This Row],[خط (S/S  TOT) SAR2]]-TABL12345[[#This Row],[(S/S TOT) AJD]]</f>
        <v>0</v>
      </c>
      <c r="Q226" s="39"/>
      <c r="R226" s="3">
        <f>TABL12345[[#This Row],[خط (T/B  TOT) SAR]]-TABL12345[[#This Row],[(T/B TOT) AJD]]</f>
        <v>0</v>
      </c>
      <c r="S226" s="3">
        <f>TABL12345[[#This Row],[الفرق بين بداية ونهاية خط  S/S]]+TABL12345[[#This Row],[الفرق بين بداية ونهاية خط  T/B]]</f>
        <v>0</v>
      </c>
      <c r="T226" s="3">
        <f t="shared" si="12"/>
        <v>0</v>
      </c>
      <c r="U226" s="41"/>
      <c r="V226" s="41"/>
      <c r="W226" s="3">
        <f t="shared" si="13"/>
        <v>0</v>
      </c>
      <c r="X226" s="3">
        <f t="shared" si="14"/>
        <v>0</v>
      </c>
      <c r="Y226" s="41"/>
      <c r="Z226" s="43"/>
      <c r="AA226" s="3">
        <f>TABL12345[[#This Row],[(RESV. STORGE) AJD]]/10</f>
        <v>0</v>
      </c>
      <c r="AB226" s="45">
        <f t="shared" si="15"/>
        <v>0</v>
      </c>
      <c r="AC226" s="5"/>
      <c r="AD226" s="39">
        <f>(TABL12345[[#This Row],[( S/S+T/B) AJD]]*1000)-((TABL12345[[#This Row],[(STORGE DIFF.) AJD]]*1000)+TABL12345[[#This Row],[البخر  AJD]]+(TABL12345[[#This Row],[(A/B + A/S) AJD]]*1000))</f>
        <v>0</v>
      </c>
      <c r="AE226" s="41"/>
      <c r="AF226" s="43"/>
      <c r="AG226" s="43"/>
      <c r="AH226" s="6">
        <f>TABL12345[[#This Row],[ (RESV. STORGE) BER]]/10</f>
        <v>0</v>
      </c>
      <c r="AI226" s="41"/>
      <c r="AJ226" s="43">
        <f>TABL12345[[#This Row],[(A/B TOT) AJD]]-TABL12345[[#This Row],[BER_ IN]]</f>
        <v>0</v>
      </c>
      <c r="AK226" s="43"/>
      <c r="AL226" s="43"/>
      <c r="AM226" s="32"/>
      <c r="AN226" s="32">
        <f>TABL12345[[#This Row],[ (RESV. STORGE) SER]]/10</f>
        <v>0</v>
      </c>
      <c r="AO226" s="68"/>
      <c r="AP226" s="68">
        <f>TABL12345[[#This Row],[(A/S TOT) AJD]]-TABL12345[[#This Row],[SER_ IN]]</f>
        <v>0</v>
      </c>
    </row>
    <row r="227" spans="1:42" ht="18.75" x14ac:dyDescent="0.25">
      <c r="A227" s="2">
        <v>46978</v>
      </c>
      <c r="B227" s="44"/>
      <c r="C227" s="44"/>
      <c r="D227" s="44"/>
      <c r="E227" s="28"/>
      <c r="F227" s="44"/>
      <c r="G227" s="40"/>
      <c r="H227" s="28"/>
      <c r="I227" s="40"/>
      <c r="J227" s="44"/>
      <c r="K227" s="28">
        <f>TABL12345[[#This Row],[خط (T/B  TOT) SAR]]+TABL12345[[#This Row],[خط (S/S  TOT) SAR2]]</f>
        <v>0</v>
      </c>
      <c r="L227" s="45"/>
      <c r="M227" s="46"/>
      <c r="N227" s="46"/>
      <c r="O227" s="40"/>
      <c r="P227" s="3">
        <f>TABL12345[[#This Row],[خط (S/S  TOT) SAR2]]-TABL12345[[#This Row],[(S/S TOT) AJD]]</f>
        <v>0</v>
      </c>
      <c r="Q227" s="40"/>
      <c r="R227" s="3">
        <f>TABL12345[[#This Row],[خط (T/B  TOT) SAR]]-TABL12345[[#This Row],[(T/B TOT) AJD]]</f>
        <v>0</v>
      </c>
      <c r="S227" s="3">
        <f>TABL12345[[#This Row],[الفرق بين بداية ونهاية خط  S/S]]+TABL12345[[#This Row],[الفرق بين بداية ونهاية خط  T/B]]</f>
        <v>0</v>
      </c>
      <c r="T227" s="3">
        <f t="shared" si="12"/>
        <v>0</v>
      </c>
      <c r="U227" s="44"/>
      <c r="V227" s="44"/>
      <c r="W227" s="3">
        <f t="shared" si="13"/>
        <v>0</v>
      </c>
      <c r="X227" s="3">
        <f t="shared" si="14"/>
        <v>0</v>
      </c>
      <c r="Y227" s="44"/>
      <c r="Z227" s="45"/>
      <c r="AA227" s="3">
        <f>TABL12345[[#This Row],[(RESV. STORGE) AJD]]/10</f>
        <v>0</v>
      </c>
      <c r="AB227" s="45">
        <f t="shared" si="15"/>
        <v>0</v>
      </c>
      <c r="AC227" s="5"/>
      <c r="AD227" s="40">
        <f>(TABL12345[[#This Row],[( S/S+T/B) AJD]]*1000)-((TABL12345[[#This Row],[(STORGE DIFF.) AJD]]*1000)+TABL12345[[#This Row],[البخر  AJD]]+(TABL12345[[#This Row],[(A/B + A/S) AJD]]*1000))</f>
        <v>0</v>
      </c>
      <c r="AE227" s="44"/>
      <c r="AF227" s="45"/>
      <c r="AG227" s="45"/>
      <c r="AH227" s="6">
        <f>TABL12345[[#This Row],[ (RESV. STORGE) BER]]/10</f>
        <v>0</v>
      </c>
      <c r="AI227" s="44"/>
      <c r="AJ227" s="45">
        <f>TABL12345[[#This Row],[(A/B TOT) AJD]]-TABL12345[[#This Row],[BER_ IN]]</f>
        <v>0</v>
      </c>
      <c r="AK227" s="45"/>
      <c r="AL227" s="45"/>
      <c r="AM227" s="32"/>
      <c r="AN227" s="32">
        <f>TABL12345[[#This Row],[ (RESV. STORGE) SER]]/10</f>
        <v>0</v>
      </c>
      <c r="AO227" s="68"/>
      <c r="AP227" s="68">
        <f>TABL12345[[#This Row],[(A/S TOT) AJD]]-TABL12345[[#This Row],[SER_ IN]]</f>
        <v>0</v>
      </c>
    </row>
    <row r="228" spans="1:42" ht="18.75" x14ac:dyDescent="0.25">
      <c r="A228" s="2">
        <v>46979</v>
      </c>
      <c r="B228" s="41"/>
      <c r="C228" s="41"/>
      <c r="D228" s="41"/>
      <c r="E228" s="28"/>
      <c r="F228" s="41"/>
      <c r="G228" s="39"/>
      <c r="H228" s="28"/>
      <c r="I228" s="39"/>
      <c r="J228" s="39"/>
      <c r="K228" s="28">
        <f>TABL12345[[#This Row],[خط (T/B  TOT) SAR]]+TABL12345[[#This Row],[خط (S/S  TOT) SAR2]]</f>
        <v>0</v>
      </c>
      <c r="L228" s="41"/>
      <c r="M228" s="42"/>
      <c r="N228" s="42"/>
      <c r="O228" s="39"/>
      <c r="P228" s="3">
        <f>TABL12345[[#This Row],[خط (S/S  TOT) SAR2]]-TABL12345[[#This Row],[(S/S TOT) AJD]]</f>
        <v>0</v>
      </c>
      <c r="Q228" s="39"/>
      <c r="R228" s="3">
        <f>TABL12345[[#This Row],[خط (T/B  TOT) SAR]]-TABL12345[[#This Row],[(T/B TOT) AJD]]</f>
        <v>0</v>
      </c>
      <c r="S228" s="3">
        <f>TABL12345[[#This Row],[الفرق بين بداية ونهاية خط  S/S]]+TABL12345[[#This Row],[الفرق بين بداية ونهاية خط  T/B]]</f>
        <v>0</v>
      </c>
      <c r="T228" s="3">
        <f t="shared" si="12"/>
        <v>0</v>
      </c>
      <c r="U228" s="41"/>
      <c r="V228" s="41"/>
      <c r="W228" s="3">
        <f t="shared" si="13"/>
        <v>0</v>
      </c>
      <c r="X228" s="3">
        <f t="shared" si="14"/>
        <v>0</v>
      </c>
      <c r="Y228" s="41"/>
      <c r="Z228" s="43"/>
      <c r="AA228" s="3">
        <f>TABL12345[[#This Row],[(RESV. STORGE) AJD]]/10</f>
        <v>0</v>
      </c>
      <c r="AB228" s="45">
        <f t="shared" si="15"/>
        <v>0</v>
      </c>
      <c r="AC228" s="5"/>
      <c r="AD228" s="39">
        <f>(TABL12345[[#This Row],[( S/S+T/B) AJD]]*1000)-((TABL12345[[#This Row],[(STORGE DIFF.) AJD]]*1000)+TABL12345[[#This Row],[البخر  AJD]]+(TABL12345[[#This Row],[(A/B + A/S) AJD]]*1000))</f>
        <v>0</v>
      </c>
      <c r="AE228" s="41"/>
      <c r="AF228" s="43"/>
      <c r="AG228" s="43"/>
      <c r="AH228" s="6">
        <f>TABL12345[[#This Row],[ (RESV. STORGE) BER]]/10</f>
        <v>0</v>
      </c>
      <c r="AI228" s="41"/>
      <c r="AJ228" s="43">
        <f>TABL12345[[#This Row],[(A/B TOT) AJD]]-TABL12345[[#This Row],[BER_ IN]]</f>
        <v>0</v>
      </c>
      <c r="AK228" s="43"/>
      <c r="AL228" s="43"/>
      <c r="AM228" s="32"/>
      <c r="AN228" s="32">
        <f>TABL12345[[#This Row],[ (RESV. STORGE) SER]]/10</f>
        <v>0</v>
      </c>
      <c r="AO228" s="68"/>
      <c r="AP228" s="68">
        <f>TABL12345[[#This Row],[(A/S TOT) AJD]]-TABL12345[[#This Row],[SER_ IN]]</f>
        <v>0</v>
      </c>
    </row>
    <row r="229" spans="1:42" ht="18.75" x14ac:dyDescent="0.25">
      <c r="A229" s="2">
        <v>46980</v>
      </c>
      <c r="B229" s="44"/>
      <c r="C229" s="44"/>
      <c r="D229" s="44"/>
      <c r="E229" s="28"/>
      <c r="F229" s="44"/>
      <c r="G229" s="40"/>
      <c r="H229" s="28"/>
      <c r="I229" s="40"/>
      <c r="J229" s="44"/>
      <c r="K229" s="28">
        <f>TABL12345[[#This Row],[خط (T/B  TOT) SAR]]+TABL12345[[#This Row],[خط (S/S  TOT) SAR2]]</f>
        <v>0</v>
      </c>
      <c r="L229" s="45"/>
      <c r="M229" s="46"/>
      <c r="N229" s="46"/>
      <c r="O229" s="40"/>
      <c r="P229" s="3">
        <f>TABL12345[[#This Row],[خط (S/S  TOT) SAR2]]-TABL12345[[#This Row],[(S/S TOT) AJD]]</f>
        <v>0</v>
      </c>
      <c r="Q229" s="40"/>
      <c r="R229" s="3">
        <f>TABL12345[[#This Row],[خط (T/B  TOT) SAR]]-TABL12345[[#This Row],[(T/B TOT) AJD]]</f>
        <v>0</v>
      </c>
      <c r="S229" s="3">
        <f>TABL12345[[#This Row],[الفرق بين بداية ونهاية خط  S/S]]+TABL12345[[#This Row],[الفرق بين بداية ونهاية خط  T/B]]</f>
        <v>0</v>
      </c>
      <c r="T229" s="3">
        <f t="shared" si="12"/>
        <v>0</v>
      </c>
      <c r="U229" s="44"/>
      <c r="V229" s="44"/>
      <c r="W229" s="3">
        <f t="shared" si="13"/>
        <v>0</v>
      </c>
      <c r="X229" s="3">
        <f t="shared" si="14"/>
        <v>0</v>
      </c>
      <c r="Y229" s="44"/>
      <c r="Z229" s="45"/>
      <c r="AA229" s="3">
        <f>TABL12345[[#This Row],[(RESV. STORGE) AJD]]/10</f>
        <v>0</v>
      </c>
      <c r="AB229" s="45">
        <f t="shared" si="15"/>
        <v>0</v>
      </c>
      <c r="AC229" s="5"/>
      <c r="AD229" s="40">
        <f>(TABL12345[[#This Row],[( S/S+T/B) AJD]]*1000)-((TABL12345[[#This Row],[(STORGE DIFF.) AJD]]*1000)+TABL12345[[#This Row],[البخر  AJD]]+(TABL12345[[#This Row],[(A/B + A/S) AJD]]*1000))</f>
        <v>0</v>
      </c>
      <c r="AE229" s="44"/>
      <c r="AF229" s="45"/>
      <c r="AG229" s="45"/>
      <c r="AH229" s="6">
        <f>TABL12345[[#This Row],[ (RESV. STORGE) BER]]/10</f>
        <v>0</v>
      </c>
      <c r="AI229" s="44"/>
      <c r="AJ229" s="45">
        <f>TABL12345[[#This Row],[(A/B TOT) AJD]]-TABL12345[[#This Row],[BER_ IN]]</f>
        <v>0</v>
      </c>
      <c r="AK229" s="45"/>
      <c r="AL229" s="45"/>
      <c r="AM229" s="32"/>
      <c r="AN229" s="32">
        <f>TABL12345[[#This Row],[ (RESV. STORGE) SER]]/10</f>
        <v>0</v>
      </c>
      <c r="AO229" s="68"/>
      <c r="AP229" s="68">
        <f>TABL12345[[#This Row],[(A/S TOT) AJD]]-TABL12345[[#This Row],[SER_ IN]]</f>
        <v>0</v>
      </c>
    </row>
    <row r="230" spans="1:42" ht="18.75" x14ac:dyDescent="0.25">
      <c r="A230" s="2">
        <v>46981</v>
      </c>
      <c r="B230" s="41"/>
      <c r="C230" s="41"/>
      <c r="D230" s="41"/>
      <c r="E230" s="28"/>
      <c r="F230" s="41"/>
      <c r="G230" s="39"/>
      <c r="H230" s="28"/>
      <c r="I230" s="39"/>
      <c r="J230" s="39"/>
      <c r="K230" s="28">
        <f>TABL12345[[#This Row],[خط (T/B  TOT) SAR]]+TABL12345[[#This Row],[خط (S/S  TOT) SAR2]]</f>
        <v>0</v>
      </c>
      <c r="L230" s="41"/>
      <c r="M230" s="42"/>
      <c r="N230" s="42"/>
      <c r="O230" s="39"/>
      <c r="P230" s="3">
        <f>TABL12345[[#This Row],[خط (S/S  TOT) SAR2]]-TABL12345[[#This Row],[(S/S TOT) AJD]]</f>
        <v>0</v>
      </c>
      <c r="Q230" s="39"/>
      <c r="R230" s="3">
        <f>TABL12345[[#This Row],[خط (T/B  TOT) SAR]]-TABL12345[[#This Row],[(T/B TOT) AJD]]</f>
        <v>0</v>
      </c>
      <c r="S230" s="3">
        <f>TABL12345[[#This Row],[الفرق بين بداية ونهاية خط  S/S]]+TABL12345[[#This Row],[الفرق بين بداية ونهاية خط  T/B]]</f>
        <v>0</v>
      </c>
      <c r="T230" s="3">
        <f t="shared" si="12"/>
        <v>0</v>
      </c>
      <c r="U230" s="41"/>
      <c r="V230" s="41"/>
      <c r="W230" s="3">
        <f t="shared" si="13"/>
        <v>0</v>
      </c>
      <c r="X230" s="3">
        <f t="shared" si="14"/>
        <v>0</v>
      </c>
      <c r="Y230" s="41"/>
      <c r="Z230" s="43"/>
      <c r="AA230" s="3">
        <f>TABL12345[[#This Row],[(RESV. STORGE) AJD]]/10</f>
        <v>0</v>
      </c>
      <c r="AB230" s="45">
        <f t="shared" si="15"/>
        <v>0</v>
      </c>
      <c r="AC230" s="5"/>
      <c r="AD230" s="39">
        <f>(TABL12345[[#This Row],[( S/S+T/B) AJD]]*1000)-((TABL12345[[#This Row],[(STORGE DIFF.) AJD]]*1000)+TABL12345[[#This Row],[البخر  AJD]]+(TABL12345[[#This Row],[(A/B + A/S) AJD]]*1000))</f>
        <v>0</v>
      </c>
      <c r="AE230" s="41"/>
      <c r="AF230" s="43"/>
      <c r="AG230" s="43"/>
      <c r="AH230" s="6">
        <f>TABL12345[[#This Row],[ (RESV. STORGE) BER]]/10</f>
        <v>0</v>
      </c>
      <c r="AI230" s="41"/>
      <c r="AJ230" s="43">
        <f>TABL12345[[#This Row],[(A/B TOT) AJD]]-TABL12345[[#This Row],[BER_ IN]]</f>
        <v>0</v>
      </c>
      <c r="AK230" s="43"/>
      <c r="AL230" s="43"/>
      <c r="AM230" s="32"/>
      <c r="AN230" s="32">
        <f>TABL12345[[#This Row],[ (RESV. STORGE) SER]]/10</f>
        <v>0</v>
      </c>
      <c r="AO230" s="68"/>
      <c r="AP230" s="68">
        <f>TABL12345[[#This Row],[(A/S TOT) AJD]]-TABL12345[[#This Row],[SER_ IN]]</f>
        <v>0</v>
      </c>
    </row>
    <row r="231" spans="1:42" ht="18.75" x14ac:dyDescent="0.25">
      <c r="A231" s="2">
        <v>46982</v>
      </c>
      <c r="B231" s="44"/>
      <c r="C231" s="44"/>
      <c r="D231" s="44"/>
      <c r="E231" s="28"/>
      <c r="F231" s="44"/>
      <c r="G231" s="40"/>
      <c r="H231" s="28"/>
      <c r="I231" s="40"/>
      <c r="J231" s="44"/>
      <c r="K231" s="28">
        <f>TABL12345[[#This Row],[خط (T/B  TOT) SAR]]+TABL12345[[#This Row],[خط (S/S  TOT) SAR2]]</f>
        <v>0</v>
      </c>
      <c r="L231" s="45"/>
      <c r="M231" s="46"/>
      <c r="N231" s="46"/>
      <c r="O231" s="40"/>
      <c r="P231" s="3">
        <f>TABL12345[[#This Row],[خط (S/S  TOT) SAR2]]-TABL12345[[#This Row],[(S/S TOT) AJD]]</f>
        <v>0</v>
      </c>
      <c r="Q231" s="40"/>
      <c r="R231" s="3">
        <f>TABL12345[[#This Row],[خط (T/B  TOT) SAR]]-TABL12345[[#This Row],[(T/B TOT) AJD]]</f>
        <v>0</v>
      </c>
      <c r="S231" s="3">
        <f>TABL12345[[#This Row],[الفرق بين بداية ونهاية خط  S/S]]+TABL12345[[#This Row],[الفرق بين بداية ونهاية خط  T/B]]</f>
        <v>0</v>
      </c>
      <c r="T231" s="3">
        <f t="shared" si="12"/>
        <v>0</v>
      </c>
      <c r="U231" s="44"/>
      <c r="V231" s="44"/>
      <c r="W231" s="3">
        <f t="shared" si="13"/>
        <v>0</v>
      </c>
      <c r="X231" s="3">
        <f t="shared" si="14"/>
        <v>0</v>
      </c>
      <c r="Y231" s="44"/>
      <c r="Z231" s="45"/>
      <c r="AA231" s="3">
        <f>TABL12345[[#This Row],[(RESV. STORGE) AJD]]/10</f>
        <v>0</v>
      </c>
      <c r="AB231" s="45">
        <f t="shared" si="15"/>
        <v>0</v>
      </c>
      <c r="AC231" s="5"/>
      <c r="AD231" s="40">
        <f>(TABL12345[[#This Row],[( S/S+T/B) AJD]]*1000)-((TABL12345[[#This Row],[(STORGE DIFF.) AJD]]*1000)+TABL12345[[#This Row],[البخر  AJD]]+(TABL12345[[#This Row],[(A/B + A/S) AJD]]*1000))</f>
        <v>0</v>
      </c>
      <c r="AE231" s="44"/>
      <c r="AF231" s="45"/>
      <c r="AG231" s="45"/>
      <c r="AH231" s="6">
        <f>TABL12345[[#This Row],[ (RESV. STORGE) BER]]/10</f>
        <v>0</v>
      </c>
      <c r="AI231" s="44"/>
      <c r="AJ231" s="45">
        <f>TABL12345[[#This Row],[(A/B TOT) AJD]]-TABL12345[[#This Row],[BER_ IN]]</f>
        <v>0</v>
      </c>
      <c r="AK231" s="45"/>
      <c r="AL231" s="45"/>
      <c r="AM231" s="32"/>
      <c r="AN231" s="32">
        <f>TABL12345[[#This Row],[ (RESV. STORGE) SER]]/10</f>
        <v>0</v>
      </c>
      <c r="AO231" s="68"/>
      <c r="AP231" s="68">
        <f>TABL12345[[#This Row],[(A/S TOT) AJD]]-TABL12345[[#This Row],[SER_ IN]]</f>
        <v>0</v>
      </c>
    </row>
    <row r="232" spans="1:42" ht="18.75" x14ac:dyDescent="0.25">
      <c r="A232" s="2">
        <v>46983</v>
      </c>
      <c r="B232" s="41"/>
      <c r="C232" s="41"/>
      <c r="D232" s="41"/>
      <c r="E232" s="28"/>
      <c r="F232" s="41"/>
      <c r="G232" s="39"/>
      <c r="H232" s="28"/>
      <c r="I232" s="72"/>
      <c r="J232" s="39"/>
      <c r="K232" s="28">
        <f>TABL12345[[#This Row],[خط (T/B  TOT) SAR]]+TABL12345[[#This Row],[خط (S/S  TOT) SAR2]]</f>
        <v>0</v>
      </c>
      <c r="L232" s="41"/>
      <c r="M232" s="42"/>
      <c r="N232" s="42"/>
      <c r="O232" s="39"/>
      <c r="P232" s="3">
        <f>TABL12345[[#This Row],[خط (S/S  TOT) SAR2]]-TABL12345[[#This Row],[(S/S TOT) AJD]]</f>
        <v>0</v>
      </c>
      <c r="Q232" s="39"/>
      <c r="R232" s="3">
        <f>TABL12345[[#This Row],[خط (T/B  TOT) SAR]]-TABL12345[[#This Row],[(T/B TOT) AJD]]</f>
        <v>0</v>
      </c>
      <c r="S232" s="3">
        <f>TABL12345[[#This Row],[الفرق بين بداية ونهاية خط  S/S]]+TABL12345[[#This Row],[الفرق بين بداية ونهاية خط  T/B]]</f>
        <v>0</v>
      </c>
      <c r="T232" s="3">
        <f t="shared" si="12"/>
        <v>0</v>
      </c>
      <c r="U232" s="41"/>
      <c r="V232" s="41"/>
      <c r="W232" s="3">
        <f t="shared" si="13"/>
        <v>0</v>
      </c>
      <c r="X232" s="3">
        <f t="shared" si="14"/>
        <v>0</v>
      </c>
      <c r="Y232" s="41"/>
      <c r="Z232" s="43"/>
      <c r="AA232" s="3">
        <f>TABL12345[[#This Row],[(RESV. STORGE) AJD]]/10</f>
        <v>0</v>
      </c>
      <c r="AB232" s="45">
        <f t="shared" si="15"/>
        <v>0</v>
      </c>
      <c r="AC232" s="5"/>
      <c r="AD232" s="39">
        <f>(TABL12345[[#This Row],[( S/S+T/B) AJD]]*1000)-((TABL12345[[#This Row],[(STORGE DIFF.) AJD]]*1000)+TABL12345[[#This Row],[البخر  AJD]]+(TABL12345[[#This Row],[(A/B + A/S) AJD]]*1000))</f>
        <v>0</v>
      </c>
      <c r="AE232" s="41"/>
      <c r="AF232" s="43"/>
      <c r="AG232" s="43"/>
      <c r="AH232" s="6">
        <f>TABL12345[[#This Row],[ (RESV. STORGE) BER]]/10</f>
        <v>0</v>
      </c>
      <c r="AI232" s="41"/>
      <c r="AJ232" s="43">
        <f>TABL12345[[#This Row],[(A/B TOT) AJD]]-TABL12345[[#This Row],[BER_ IN]]</f>
        <v>0</v>
      </c>
      <c r="AK232" s="43"/>
      <c r="AL232" s="43"/>
      <c r="AM232" s="32"/>
      <c r="AN232" s="32">
        <f>TABL12345[[#This Row],[ (RESV. STORGE) SER]]/10</f>
        <v>0</v>
      </c>
      <c r="AO232" s="68"/>
      <c r="AP232" s="68">
        <f>TABL12345[[#This Row],[(A/S TOT) AJD]]-TABL12345[[#This Row],[SER_ IN]]</f>
        <v>0</v>
      </c>
    </row>
    <row r="233" spans="1:42" ht="18.75" x14ac:dyDescent="0.25">
      <c r="A233" s="2">
        <v>46984</v>
      </c>
      <c r="B233" s="44"/>
      <c r="C233" s="44"/>
      <c r="D233" s="44"/>
      <c r="E233" s="28"/>
      <c r="F233" s="44"/>
      <c r="G233" s="40"/>
      <c r="H233" s="28"/>
      <c r="I233" s="40"/>
      <c r="J233" s="44"/>
      <c r="K233" s="28">
        <f>TABL12345[[#This Row],[خط (T/B  TOT) SAR]]+TABL12345[[#This Row],[خط (S/S  TOT) SAR2]]</f>
        <v>0</v>
      </c>
      <c r="L233" s="45"/>
      <c r="M233" s="46"/>
      <c r="N233" s="46"/>
      <c r="O233" s="40"/>
      <c r="P233" s="3">
        <f>TABL12345[[#This Row],[خط (S/S  TOT) SAR2]]-TABL12345[[#This Row],[(S/S TOT) AJD]]</f>
        <v>0</v>
      </c>
      <c r="Q233" s="40"/>
      <c r="R233" s="3">
        <f>TABL12345[[#This Row],[خط (T/B  TOT) SAR]]-TABL12345[[#This Row],[(T/B TOT) AJD]]</f>
        <v>0</v>
      </c>
      <c r="S233" s="3">
        <f>TABL12345[[#This Row],[الفرق بين بداية ونهاية خط  S/S]]+TABL12345[[#This Row],[الفرق بين بداية ونهاية خط  T/B]]</f>
        <v>0</v>
      </c>
      <c r="T233" s="3">
        <f t="shared" si="12"/>
        <v>0</v>
      </c>
      <c r="U233" s="44"/>
      <c r="V233" s="44"/>
      <c r="W233" s="3">
        <f t="shared" si="13"/>
        <v>0</v>
      </c>
      <c r="X233" s="3">
        <f t="shared" si="14"/>
        <v>0</v>
      </c>
      <c r="Y233" s="44"/>
      <c r="Z233" s="45"/>
      <c r="AA233" s="3">
        <f>TABL12345[[#This Row],[(RESV. STORGE) AJD]]/10</f>
        <v>0</v>
      </c>
      <c r="AB233" s="45">
        <f t="shared" si="15"/>
        <v>0</v>
      </c>
      <c r="AC233" s="5"/>
      <c r="AD233" s="40">
        <f>(TABL12345[[#This Row],[( S/S+T/B) AJD]]*1000)-((TABL12345[[#This Row],[(STORGE DIFF.) AJD]]*1000)+TABL12345[[#This Row],[البخر  AJD]]+(TABL12345[[#This Row],[(A/B + A/S) AJD]]*1000))</f>
        <v>0</v>
      </c>
      <c r="AE233" s="44"/>
      <c r="AF233" s="45"/>
      <c r="AG233" s="45"/>
      <c r="AH233" s="6">
        <f>TABL12345[[#This Row],[ (RESV. STORGE) BER]]/10</f>
        <v>0</v>
      </c>
      <c r="AI233" s="44"/>
      <c r="AJ233" s="45">
        <f>TABL12345[[#This Row],[(A/B TOT) AJD]]-TABL12345[[#This Row],[BER_ IN]]</f>
        <v>0</v>
      </c>
      <c r="AK233" s="45"/>
      <c r="AL233" s="45"/>
      <c r="AM233" s="32"/>
      <c r="AN233" s="32">
        <f>TABL12345[[#This Row],[ (RESV. STORGE) SER]]/10</f>
        <v>0</v>
      </c>
      <c r="AO233" s="68"/>
      <c r="AP233" s="68">
        <f>TABL12345[[#This Row],[(A/S TOT) AJD]]-TABL12345[[#This Row],[SER_ IN]]</f>
        <v>0</v>
      </c>
    </row>
    <row r="234" spans="1:42" ht="18.75" x14ac:dyDescent="0.25">
      <c r="A234" s="2">
        <v>46985</v>
      </c>
      <c r="B234" s="41"/>
      <c r="C234" s="41"/>
      <c r="D234" s="41"/>
      <c r="E234" s="28"/>
      <c r="F234" s="41"/>
      <c r="G234" s="39"/>
      <c r="H234" s="28"/>
      <c r="I234" s="39"/>
      <c r="J234" s="39"/>
      <c r="K234" s="28">
        <f>TABL12345[[#This Row],[خط (T/B  TOT) SAR]]+TABL12345[[#This Row],[خط (S/S  TOT) SAR2]]</f>
        <v>0</v>
      </c>
      <c r="L234" s="41"/>
      <c r="M234" s="42"/>
      <c r="N234" s="42"/>
      <c r="O234" s="39"/>
      <c r="P234" s="3">
        <f>TABL12345[[#This Row],[خط (S/S  TOT) SAR2]]-TABL12345[[#This Row],[(S/S TOT) AJD]]</f>
        <v>0</v>
      </c>
      <c r="Q234" s="39"/>
      <c r="R234" s="3">
        <f>TABL12345[[#This Row],[خط (T/B  TOT) SAR]]-TABL12345[[#This Row],[(T/B TOT) AJD]]</f>
        <v>0</v>
      </c>
      <c r="S234" s="3">
        <f>TABL12345[[#This Row],[الفرق بين بداية ونهاية خط  S/S]]+TABL12345[[#This Row],[الفرق بين بداية ونهاية خط  T/B]]</f>
        <v>0</v>
      </c>
      <c r="T234" s="3">
        <f t="shared" si="12"/>
        <v>0</v>
      </c>
      <c r="U234" s="41"/>
      <c r="V234" s="41"/>
      <c r="W234" s="3">
        <f t="shared" si="13"/>
        <v>0</v>
      </c>
      <c r="X234" s="3">
        <f t="shared" si="14"/>
        <v>0</v>
      </c>
      <c r="Y234" s="41"/>
      <c r="Z234" s="43"/>
      <c r="AA234" s="3">
        <f>TABL12345[[#This Row],[(RESV. STORGE) AJD]]/10</f>
        <v>0</v>
      </c>
      <c r="AB234" s="45">
        <f t="shared" si="15"/>
        <v>0</v>
      </c>
      <c r="AC234" s="5"/>
      <c r="AD234" s="39">
        <f>(TABL12345[[#This Row],[( S/S+T/B) AJD]]*1000)-((TABL12345[[#This Row],[(STORGE DIFF.) AJD]]*1000)+TABL12345[[#This Row],[البخر  AJD]]+(TABL12345[[#This Row],[(A/B + A/S) AJD]]*1000))</f>
        <v>0</v>
      </c>
      <c r="AE234" s="41"/>
      <c r="AF234" s="43"/>
      <c r="AG234" s="43"/>
      <c r="AH234" s="6">
        <f>TABL12345[[#This Row],[ (RESV. STORGE) BER]]/10</f>
        <v>0</v>
      </c>
      <c r="AI234" s="41"/>
      <c r="AJ234" s="43">
        <f>TABL12345[[#This Row],[(A/B TOT) AJD]]-TABL12345[[#This Row],[BER_ IN]]</f>
        <v>0</v>
      </c>
      <c r="AK234" s="43"/>
      <c r="AL234" s="43"/>
      <c r="AM234" s="32"/>
      <c r="AN234" s="32">
        <f>TABL12345[[#This Row],[ (RESV. STORGE) SER]]/10</f>
        <v>0</v>
      </c>
      <c r="AO234" s="68"/>
      <c r="AP234" s="68">
        <f>TABL12345[[#This Row],[(A/S TOT) AJD]]-TABL12345[[#This Row],[SER_ IN]]</f>
        <v>0</v>
      </c>
    </row>
    <row r="235" spans="1:42" ht="18.75" x14ac:dyDescent="0.25">
      <c r="A235" s="2">
        <v>46986</v>
      </c>
      <c r="B235" s="44"/>
      <c r="C235" s="44"/>
      <c r="D235" s="44"/>
      <c r="E235" s="28"/>
      <c r="F235" s="44"/>
      <c r="G235" s="40"/>
      <c r="H235" s="28"/>
      <c r="I235" s="40"/>
      <c r="J235" s="44"/>
      <c r="K235" s="28">
        <f>TABL12345[[#This Row],[خط (T/B  TOT) SAR]]+TABL12345[[#This Row],[خط (S/S  TOT) SAR2]]</f>
        <v>0</v>
      </c>
      <c r="L235" s="45"/>
      <c r="M235" s="46"/>
      <c r="N235" s="46"/>
      <c r="O235" s="40"/>
      <c r="P235" s="3">
        <f>TABL12345[[#This Row],[خط (S/S  TOT) SAR2]]-TABL12345[[#This Row],[(S/S TOT) AJD]]</f>
        <v>0</v>
      </c>
      <c r="Q235" s="40"/>
      <c r="R235" s="3">
        <f>TABL12345[[#This Row],[خط (T/B  TOT) SAR]]-TABL12345[[#This Row],[(T/B TOT) AJD]]</f>
        <v>0</v>
      </c>
      <c r="S235" s="3">
        <f>TABL12345[[#This Row],[الفرق بين بداية ونهاية خط  S/S]]+TABL12345[[#This Row],[الفرق بين بداية ونهاية خط  T/B]]</f>
        <v>0</v>
      </c>
      <c r="T235" s="3">
        <f t="shared" si="12"/>
        <v>0</v>
      </c>
      <c r="U235" s="44"/>
      <c r="V235" s="44"/>
      <c r="W235" s="3">
        <f t="shared" si="13"/>
        <v>0</v>
      </c>
      <c r="X235" s="3">
        <f t="shared" si="14"/>
        <v>0</v>
      </c>
      <c r="Y235" s="44"/>
      <c r="Z235" s="45"/>
      <c r="AA235" s="3">
        <f>TABL12345[[#This Row],[(RESV. STORGE) AJD]]/10</f>
        <v>0</v>
      </c>
      <c r="AB235" s="45">
        <f t="shared" si="15"/>
        <v>0</v>
      </c>
      <c r="AC235" s="5"/>
      <c r="AD235" s="40">
        <f>(TABL12345[[#This Row],[( S/S+T/B) AJD]]*1000)-((TABL12345[[#This Row],[(STORGE DIFF.) AJD]]*1000)+TABL12345[[#This Row],[البخر  AJD]]+(TABL12345[[#This Row],[(A/B + A/S) AJD]]*1000))</f>
        <v>0</v>
      </c>
      <c r="AE235" s="44"/>
      <c r="AF235" s="45"/>
      <c r="AG235" s="45"/>
      <c r="AH235" s="6">
        <f>TABL12345[[#This Row],[ (RESV. STORGE) BER]]/10</f>
        <v>0</v>
      </c>
      <c r="AI235" s="44"/>
      <c r="AJ235" s="45">
        <f>TABL12345[[#This Row],[(A/B TOT) AJD]]-TABL12345[[#This Row],[BER_ IN]]</f>
        <v>0</v>
      </c>
      <c r="AK235" s="45"/>
      <c r="AL235" s="45"/>
      <c r="AM235" s="32"/>
      <c r="AN235" s="32">
        <f>TABL12345[[#This Row],[ (RESV. STORGE) SER]]/10</f>
        <v>0</v>
      </c>
      <c r="AO235" s="68"/>
      <c r="AP235" s="68">
        <f>TABL12345[[#This Row],[(A/S TOT) AJD]]-TABL12345[[#This Row],[SER_ IN]]</f>
        <v>0</v>
      </c>
    </row>
    <row r="236" spans="1:42" ht="18.75" x14ac:dyDescent="0.25">
      <c r="A236" s="2">
        <v>46987</v>
      </c>
      <c r="B236" s="41"/>
      <c r="C236" s="41"/>
      <c r="D236" s="41"/>
      <c r="E236" s="28"/>
      <c r="F236" s="41"/>
      <c r="G236" s="39"/>
      <c r="H236" s="28"/>
      <c r="I236" s="39"/>
      <c r="J236" s="39"/>
      <c r="K236" s="28">
        <f>TABL12345[[#This Row],[خط (T/B  TOT) SAR]]+TABL12345[[#This Row],[خط (S/S  TOT) SAR2]]</f>
        <v>0</v>
      </c>
      <c r="L236" s="41"/>
      <c r="M236" s="42"/>
      <c r="N236" s="42"/>
      <c r="O236" s="39"/>
      <c r="P236" s="3">
        <f>TABL12345[[#This Row],[خط (S/S  TOT) SAR2]]-TABL12345[[#This Row],[(S/S TOT) AJD]]</f>
        <v>0</v>
      </c>
      <c r="Q236" s="39"/>
      <c r="R236" s="3">
        <f>TABL12345[[#This Row],[خط (T/B  TOT) SAR]]-TABL12345[[#This Row],[(T/B TOT) AJD]]</f>
        <v>0</v>
      </c>
      <c r="S236" s="3">
        <f>TABL12345[[#This Row],[الفرق بين بداية ونهاية خط  S/S]]+TABL12345[[#This Row],[الفرق بين بداية ونهاية خط  T/B]]</f>
        <v>0</v>
      </c>
      <c r="T236" s="3">
        <f t="shared" si="12"/>
        <v>0</v>
      </c>
      <c r="U236" s="41"/>
      <c r="V236" s="41"/>
      <c r="W236" s="3">
        <f t="shared" si="13"/>
        <v>0</v>
      </c>
      <c r="X236" s="3">
        <f t="shared" si="14"/>
        <v>0</v>
      </c>
      <c r="Y236" s="41"/>
      <c r="Z236" s="43"/>
      <c r="AA236" s="3">
        <f>TABL12345[[#This Row],[(RESV. STORGE) AJD]]/10</f>
        <v>0</v>
      </c>
      <c r="AB236" s="45">
        <f t="shared" si="15"/>
        <v>0</v>
      </c>
      <c r="AC236" s="5"/>
      <c r="AD236" s="39">
        <f>(TABL12345[[#This Row],[( S/S+T/B) AJD]]*1000)-((TABL12345[[#This Row],[(STORGE DIFF.) AJD]]*1000)+TABL12345[[#This Row],[البخر  AJD]]+(TABL12345[[#This Row],[(A/B + A/S) AJD]]*1000))</f>
        <v>0</v>
      </c>
      <c r="AE236" s="41"/>
      <c r="AF236" s="43"/>
      <c r="AG236" s="43"/>
      <c r="AH236" s="6">
        <f>TABL12345[[#This Row],[ (RESV. STORGE) BER]]/10</f>
        <v>0</v>
      </c>
      <c r="AI236" s="41"/>
      <c r="AJ236" s="43">
        <f>TABL12345[[#This Row],[(A/B TOT) AJD]]-TABL12345[[#This Row],[BER_ IN]]</f>
        <v>0</v>
      </c>
      <c r="AK236" s="43"/>
      <c r="AL236" s="43"/>
      <c r="AM236" s="32"/>
      <c r="AN236" s="32">
        <f>TABL12345[[#This Row],[ (RESV. STORGE) SER]]/10</f>
        <v>0</v>
      </c>
      <c r="AO236" s="68"/>
      <c r="AP236" s="68">
        <f>TABL12345[[#This Row],[(A/S TOT) AJD]]-TABL12345[[#This Row],[SER_ IN]]</f>
        <v>0</v>
      </c>
    </row>
    <row r="237" spans="1:42" ht="18.75" x14ac:dyDescent="0.25">
      <c r="A237" s="2">
        <v>46988</v>
      </c>
      <c r="B237" s="44"/>
      <c r="C237" s="44"/>
      <c r="D237" s="44"/>
      <c r="E237" s="28"/>
      <c r="F237" s="44"/>
      <c r="G237" s="40"/>
      <c r="H237" s="28"/>
      <c r="I237" s="40"/>
      <c r="J237" s="44"/>
      <c r="K237" s="28">
        <f>TABL12345[[#This Row],[خط (T/B  TOT) SAR]]+TABL12345[[#This Row],[خط (S/S  TOT) SAR2]]</f>
        <v>0</v>
      </c>
      <c r="L237" s="45"/>
      <c r="M237" s="46"/>
      <c r="N237" s="46"/>
      <c r="O237" s="40"/>
      <c r="P237" s="3">
        <f>TABL12345[[#This Row],[خط (S/S  TOT) SAR2]]-TABL12345[[#This Row],[(S/S TOT) AJD]]</f>
        <v>0</v>
      </c>
      <c r="Q237" s="40"/>
      <c r="R237" s="3">
        <f>TABL12345[[#This Row],[خط (T/B  TOT) SAR]]-TABL12345[[#This Row],[(T/B TOT) AJD]]</f>
        <v>0</v>
      </c>
      <c r="S237" s="3">
        <f>TABL12345[[#This Row],[الفرق بين بداية ونهاية خط  S/S]]+TABL12345[[#This Row],[الفرق بين بداية ونهاية خط  T/B]]</f>
        <v>0</v>
      </c>
      <c r="T237" s="3">
        <f t="shared" si="12"/>
        <v>0</v>
      </c>
      <c r="U237" s="44"/>
      <c r="V237" s="44"/>
      <c r="W237" s="3">
        <f t="shared" si="13"/>
        <v>0</v>
      </c>
      <c r="X237" s="3">
        <f t="shared" si="14"/>
        <v>0</v>
      </c>
      <c r="Y237" s="44"/>
      <c r="Z237" s="45"/>
      <c r="AA237" s="3">
        <f>TABL12345[[#This Row],[(RESV. STORGE) AJD]]/10</f>
        <v>0</v>
      </c>
      <c r="AB237" s="45">
        <f t="shared" si="15"/>
        <v>0</v>
      </c>
      <c r="AC237" s="5"/>
      <c r="AD237" s="40">
        <f>(TABL12345[[#This Row],[( S/S+T/B) AJD]]*1000)-((TABL12345[[#This Row],[(STORGE DIFF.) AJD]]*1000)+TABL12345[[#This Row],[البخر  AJD]]+(TABL12345[[#This Row],[(A/B + A/S) AJD]]*1000))</f>
        <v>0</v>
      </c>
      <c r="AE237" s="44"/>
      <c r="AF237" s="45"/>
      <c r="AG237" s="45"/>
      <c r="AH237" s="6">
        <f>TABL12345[[#This Row],[ (RESV. STORGE) BER]]/10</f>
        <v>0</v>
      </c>
      <c r="AI237" s="44"/>
      <c r="AJ237" s="45">
        <f>TABL12345[[#This Row],[(A/B TOT) AJD]]-TABL12345[[#This Row],[BER_ IN]]</f>
        <v>0</v>
      </c>
      <c r="AK237" s="45"/>
      <c r="AL237" s="45"/>
      <c r="AM237" s="32"/>
      <c r="AN237" s="32">
        <f>TABL12345[[#This Row],[ (RESV. STORGE) SER]]/10</f>
        <v>0</v>
      </c>
      <c r="AO237" s="68"/>
      <c r="AP237" s="68">
        <f>TABL12345[[#This Row],[(A/S TOT) AJD]]-TABL12345[[#This Row],[SER_ IN]]</f>
        <v>0</v>
      </c>
    </row>
    <row r="238" spans="1:42" ht="18.75" x14ac:dyDescent="0.25">
      <c r="A238" s="2">
        <v>46989</v>
      </c>
      <c r="B238" s="41"/>
      <c r="C238" s="41"/>
      <c r="D238" s="41"/>
      <c r="E238" s="28"/>
      <c r="F238" s="41"/>
      <c r="G238" s="39"/>
      <c r="H238" s="28"/>
      <c r="I238" s="39"/>
      <c r="J238" s="39"/>
      <c r="K238" s="28">
        <f>TABL12345[[#This Row],[خط (T/B  TOT) SAR]]+TABL12345[[#This Row],[خط (S/S  TOT) SAR2]]</f>
        <v>0</v>
      </c>
      <c r="L238" s="41"/>
      <c r="M238" s="42"/>
      <c r="N238" s="42"/>
      <c r="O238" s="39"/>
      <c r="P238" s="3">
        <f>TABL12345[[#This Row],[خط (S/S  TOT) SAR2]]-TABL12345[[#This Row],[(S/S TOT) AJD]]</f>
        <v>0</v>
      </c>
      <c r="Q238" s="39"/>
      <c r="R238" s="3">
        <f>TABL12345[[#This Row],[خط (T/B  TOT) SAR]]-TABL12345[[#This Row],[(T/B TOT) AJD]]</f>
        <v>0</v>
      </c>
      <c r="S238" s="3">
        <f>TABL12345[[#This Row],[الفرق بين بداية ونهاية خط  S/S]]+TABL12345[[#This Row],[الفرق بين بداية ونهاية خط  T/B]]</f>
        <v>0</v>
      </c>
      <c r="T238" s="3">
        <f t="shared" si="12"/>
        <v>0</v>
      </c>
      <c r="U238" s="41"/>
      <c r="V238" s="41"/>
      <c r="W238" s="3">
        <f t="shared" si="13"/>
        <v>0</v>
      </c>
      <c r="X238" s="3">
        <f t="shared" si="14"/>
        <v>0</v>
      </c>
      <c r="Y238" s="41"/>
      <c r="Z238" s="43"/>
      <c r="AA238" s="3">
        <f>TABL12345[[#This Row],[(RESV. STORGE) AJD]]/10</f>
        <v>0</v>
      </c>
      <c r="AB238" s="45">
        <f t="shared" si="15"/>
        <v>0</v>
      </c>
      <c r="AC238" s="5"/>
      <c r="AD238" s="39">
        <f>(TABL12345[[#This Row],[( S/S+T/B) AJD]]*1000)-((TABL12345[[#This Row],[(STORGE DIFF.) AJD]]*1000)+TABL12345[[#This Row],[البخر  AJD]]+(TABL12345[[#This Row],[(A/B + A/S) AJD]]*1000))</f>
        <v>0</v>
      </c>
      <c r="AE238" s="41"/>
      <c r="AF238" s="43"/>
      <c r="AG238" s="43"/>
      <c r="AH238" s="6">
        <f>TABL12345[[#This Row],[ (RESV. STORGE) BER]]/10</f>
        <v>0</v>
      </c>
      <c r="AI238" s="41"/>
      <c r="AJ238" s="43">
        <f>TABL12345[[#This Row],[(A/B TOT) AJD]]-TABL12345[[#This Row],[BER_ IN]]</f>
        <v>0</v>
      </c>
      <c r="AK238" s="43"/>
      <c r="AL238" s="43"/>
      <c r="AM238" s="32"/>
      <c r="AN238" s="32">
        <f>TABL12345[[#This Row],[ (RESV. STORGE) SER]]/10</f>
        <v>0</v>
      </c>
      <c r="AO238" s="68"/>
      <c r="AP238" s="68">
        <f>TABL12345[[#This Row],[(A/S TOT) AJD]]-TABL12345[[#This Row],[SER_ IN]]</f>
        <v>0</v>
      </c>
    </row>
    <row r="239" spans="1:42" ht="18.75" x14ac:dyDescent="0.25">
      <c r="A239" s="2">
        <v>46990</v>
      </c>
      <c r="B239" s="44"/>
      <c r="C239" s="44"/>
      <c r="D239" s="44"/>
      <c r="E239" s="28"/>
      <c r="F239" s="44"/>
      <c r="G239" s="40"/>
      <c r="H239" s="28"/>
      <c r="I239" s="40"/>
      <c r="J239" s="44"/>
      <c r="K239" s="28">
        <f>TABL12345[[#This Row],[خط (T/B  TOT) SAR]]+TABL12345[[#This Row],[خط (S/S  TOT) SAR2]]</f>
        <v>0</v>
      </c>
      <c r="L239" s="45"/>
      <c r="M239" s="46"/>
      <c r="N239" s="46"/>
      <c r="O239" s="40"/>
      <c r="P239" s="3">
        <f>TABL12345[[#This Row],[خط (S/S  TOT) SAR2]]-TABL12345[[#This Row],[(S/S TOT) AJD]]</f>
        <v>0</v>
      </c>
      <c r="Q239" s="40"/>
      <c r="R239" s="3">
        <f>TABL12345[[#This Row],[خط (T/B  TOT) SAR]]-TABL12345[[#This Row],[(T/B TOT) AJD]]</f>
        <v>0</v>
      </c>
      <c r="S239" s="3">
        <f>TABL12345[[#This Row],[الفرق بين بداية ونهاية خط  S/S]]+TABL12345[[#This Row],[الفرق بين بداية ونهاية خط  T/B]]</f>
        <v>0</v>
      </c>
      <c r="T239" s="3">
        <f t="shared" si="12"/>
        <v>0</v>
      </c>
      <c r="U239" s="44"/>
      <c r="V239" s="44"/>
      <c r="W239" s="3">
        <f t="shared" si="13"/>
        <v>0</v>
      </c>
      <c r="X239" s="3">
        <f t="shared" si="14"/>
        <v>0</v>
      </c>
      <c r="Y239" s="44"/>
      <c r="Z239" s="45"/>
      <c r="AA239" s="3">
        <f>TABL12345[[#This Row],[(RESV. STORGE) AJD]]/10</f>
        <v>0</v>
      </c>
      <c r="AB239" s="45">
        <f t="shared" si="15"/>
        <v>0</v>
      </c>
      <c r="AC239" s="5"/>
      <c r="AD239" s="40">
        <f>(TABL12345[[#This Row],[( S/S+T/B) AJD]]*1000)-((TABL12345[[#This Row],[(STORGE DIFF.) AJD]]*1000)+TABL12345[[#This Row],[البخر  AJD]]+(TABL12345[[#This Row],[(A/B + A/S) AJD]]*1000))</f>
        <v>0</v>
      </c>
      <c r="AE239" s="44"/>
      <c r="AF239" s="45"/>
      <c r="AG239" s="45"/>
      <c r="AH239" s="6">
        <f>TABL12345[[#This Row],[ (RESV. STORGE) BER]]/10</f>
        <v>0</v>
      </c>
      <c r="AI239" s="44"/>
      <c r="AJ239" s="45">
        <f>TABL12345[[#This Row],[(A/B TOT) AJD]]-TABL12345[[#This Row],[BER_ IN]]</f>
        <v>0</v>
      </c>
      <c r="AK239" s="45"/>
      <c r="AL239" s="45"/>
      <c r="AM239" s="32"/>
      <c r="AN239" s="32">
        <f>TABL12345[[#This Row],[ (RESV. STORGE) SER]]/10</f>
        <v>0</v>
      </c>
      <c r="AO239" s="68"/>
      <c r="AP239" s="68">
        <f>TABL12345[[#This Row],[(A/S TOT) AJD]]-TABL12345[[#This Row],[SER_ IN]]</f>
        <v>0</v>
      </c>
    </row>
    <row r="240" spans="1:42" ht="18.75" x14ac:dyDescent="0.25">
      <c r="A240" s="2">
        <v>46991</v>
      </c>
      <c r="B240" s="41"/>
      <c r="C240" s="41"/>
      <c r="D240" s="41"/>
      <c r="E240" s="28"/>
      <c r="F240" s="41"/>
      <c r="G240" s="39"/>
      <c r="H240" s="28"/>
      <c r="I240" s="39"/>
      <c r="J240" s="39"/>
      <c r="K240" s="28">
        <f>TABL12345[[#This Row],[خط (T/B  TOT) SAR]]+TABL12345[[#This Row],[خط (S/S  TOT) SAR2]]</f>
        <v>0</v>
      </c>
      <c r="L240" s="41"/>
      <c r="M240" s="42"/>
      <c r="N240" s="42"/>
      <c r="O240" s="39"/>
      <c r="P240" s="3">
        <f>TABL12345[[#This Row],[خط (S/S  TOT) SAR2]]-TABL12345[[#This Row],[(S/S TOT) AJD]]</f>
        <v>0</v>
      </c>
      <c r="Q240" s="39"/>
      <c r="R240" s="3">
        <f>TABL12345[[#This Row],[خط (T/B  TOT) SAR]]-TABL12345[[#This Row],[(T/B TOT) AJD]]</f>
        <v>0</v>
      </c>
      <c r="S240" s="3">
        <f>TABL12345[[#This Row],[الفرق بين بداية ونهاية خط  S/S]]+TABL12345[[#This Row],[الفرق بين بداية ونهاية خط  T/B]]</f>
        <v>0</v>
      </c>
      <c r="T240" s="3">
        <f t="shared" si="12"/>
        <v>0</v>
      </c>
      <c r="U240" s="41"/>
      <c r="V240" s="41"/>
      <c r="W240" s="3">
        <f t="shared" si="13"/>
        <v>0</v>
      </c>
      <c r="X240" s="3">
        <f t="shared" si="14"/>
        <v>0</v>
      </c>
      <c r="Y240" s="41"/>
      <c r="Z240" s="43"/>
      <c r="AA240" s="3">
        <f>TABL12345[[#This Row],[(RESV. STORGE) AJD]]/10</f>
        <v>0</v>
      </c>
      <c r="AB240" s="45">
        <f t="shared" si="15"/>
        <v>0</v>
      </c>
      <c r="AC240" s="5"/>
      <c r="AD240" s="39">
        <f>(TABL12345[[#This Row],[( S/S+T/B) AJD]]*1000)-((TABL12345[[#This Row],[(STORGE DIFF.) AJD]]*1000)+TABL12345[[#This Row],[البخر  AJD]]+(TABL12345[[#This Row],[(A/B + A/S) AJD]]*1000))</f>
        <v>0</v>
      </c>
      <c r="AE240" s="41"/>
      <c r="AF240" s="43"/>
      <c r="AG240" s="43"/>
      <c r="AH240" s="6">
        <f>TABL12345[[#This Row],[ (RESV. STORGE) BER]]/10</f>
        <v>0</v>
      </c>
      <c r="AI240" s="41"/>
      <c r="AJ240" s="43">
        <f>TABL12345[[#This Row],[(A/B TOT) AJD]]-TABL12345[[#This Row],[BER_ IN]]</f>
        <v>0</v>
      </c>
      <c r="AK240" s="43"/>
      <c r="AL240" s="43"/>
      <c r="AM240" s="32"/>
      <c r="AN240" s="32">
        <f>TABL12345[[#This Row],[ (RESV. STORGE) SER]]/10</f>
        <v>0</v>
      </c>
      <c r="AO240" s="68"/>
      <c r="AP240" s="68">
        <f>TABL12345[[#This Row],[(A/S TOT) AJD]]-TABL12345[[#This Row],[SER_ IN]]</f>
        <v>0</v>
      </c>
    </row>
    <row r="241" spans="1:42" ht="18.75" x14ac:dyDescent="0.25">
      <c r="A241" s="2">
        <v>46992</v>
      </c>
      <c r="B241" s="44"/>
      <c r="C241" s="44"/>
      <c r="D241" s="44"/>
      <c r="E241" s="28"/>
      <c r="F241" s="44"/>
      <c r="G241" s="40"/>
      <c r="H241" s="28"/>
      <c r="I241" s="40"/>
      <c r="J241" s="44"/>
      <c r="K241" s="28">
        <f>TABL12345[[#This Row],[خط (T/B  TOT) SAR]]+TABL12345[[#This Row],[خط (S/S  TOT) SAR2]]</f>
        <v>0</v>
      </c>
      <c r="L241" s="45"/>
      <c r="M241" s="46"/>
      <c r="N241" s="46"/>
      <c r="O241" s="40"/>
      <c r="P241" s="3">
        <f>TABL12345[[#This Row],[خط (S/S  TOT) SAR2]]-TABL12345[[#This Row],[(S/S TOT) AJD]]</f>
        <v>0</v>
      </c>
      <c r="Q241" s="40"/>
      <c r="R241" s="3">
        <f>TABL12345[[#This Row],[خط (T/B  TOT) SAR]]-TABL12345[[#This Row],[(T/B TOT) AJD]]</f>
        <v>0</v>
      </c>
      <c r="S241" s="3">
        <f>TABL12345[[#This Row],[الفرق بين بداية ونهاية خط  S/S]]+TABL12345[[#This Row],[الفرق بين بداية ونهاية خط  T/B]]</f>
        <v>0</v>
      </c>
      <c r="T241" s="3">
        <f t="shared" si="12"/>
        <v>0</v>
      </c>
      <c r="U241" s="44"/>
      <c r="V241" s="44"/>
      <c r="W241" s="3">
        <f t="shared" si="13"/>
        <v>0</v>
      </c>
      <c r="X241" s="3">
        <f t="shared" si="14"/>
        <v>0</v>
      </c>
      <c r="Y241" s="44"/>
      <c r="Z241" s="45"/>
      <c r="AA241" s="3">
        <f>TABL12345[[#This Row],[(RESV. STORGE) AJD]]/10</f>
        <v>0</v>
      </c>
      <c r="AB241" s="45">
        <f t="shared" si="15"/>
        <v>0</v>
      </c>
      <c r="AC241" s="5"/>
      <c r="AD241" s="40">
        <f>(TABL12345[[#This Row],[( S/S+T/B) AJD]]*1000)-((TABL12345[[#This Row],[(STORGE DIFF.) AJD]]*1000)+TABL12345[[#This Row],[البخر  AJD]]+(TABL12345[[#This Row],[(A/B + A/S) AJD]]*1000))</f>
        <v>0</v>
      </c>
      <c r="AE241" s="44"/>
      <c r="AF241" s="45"/>
      <c r="AG241" s="45"/>
      <c r="AH241" s="6">
        <f>TABL12345[[#This Row],[ (RESV. STORGE) BER]]/10</f>
        <v>0</v>
      </c>
      <c r="AI241" s="44"/>
      <c r="AJ241" s="45">
        <f>TABL12345[[#This Row],[(A/B TOT) AJD]]-TABL12345[[#This Row],[BER_ IN]]</f>
        <v>0</v>
      </c>
      <c r="AK241" s="45"/>
      <c r="AL241" s="45"/>
      <c r="AM241" s="32"/>
      <c r="AN241" s="32">
        <f>TABL12345[[#This Row],[ (RESV. STORGE) SER]]/10</f>
        <v>0</v>
      </c>
      <c r="AO241" s="68"/>
      <c r="AP241" s="68">
        <f>TABL12345[[#This Row],[(A/S TOT) AJD]]-TABL12345[[#This Row],[SER_ IN]]</f>
        <v>0</v>
      </c>
    </row>
    <row r="242" spans="1:42" ht="18.75" x14ac:dyDescent="0.25">
      <c r="A242" s="2">
        <v>46993</v>
      </c>
      <c r="B242" s="41"/>
      <c r="C242" s="41"/>
      <c r="D242" s="41"/>
      <c r="E242" s="28"/>
      <c r="F242" s="41"/>
      <c r="G242" s="39"/>
      <c r="H242" s="28"/>
      <c r="I242" s="39"/>
      <c r="J242" s="39"/>
      <c r="K242" s="28">
        <f>TABL12345[[#This Row],[خط (T/B  TOT) SAR]]+TABL12345[[#This Row],[خط (S/S  TOT) SAR2]]</f>
        <v>0</v>
      </c>
      <c r="L242" s="41"/>
      <c r="M242" s="42"/>
      <c r="N242" s="42"/>
      <c r="O242" s="39"/>
      <c r="P242" s="3">
        <f>TABL12345[[#This Row],[خط (S/S  TOT) SAR2]]-TABL12345[[#This Row],[(S/S TOT) AJD]]</f>
        <v>0</v>
      </c>
      <c r="Q242" s="39"/>
      <c r="R242" s="3">
        <f>TABL12345[[#This Row],[خط (T/B  TOT) SAR]]-TABL12345[[#This Row],[(T/B TOT) AJD]]</f>
        <v>0</v>
      </c>
      <c r="S242" s="3">
        <f>TABL12345[[#This Row],[الفرق بين بداية ونهاية خط  S/S]]+TABL12345[[#This Row],[الفرق بين بداية ونهاية خط  T/B]]</f>
        <v>0</v>
      </c>
      <c r="T242" s="3">
        <f t="shared" si="12"/>
        <v>0</v>
      </c>
      <c r="U242" s="41"/>
      <c r="V242" s="41"/>
      <c r="W242" s="3">
        <f t="shared" si="13"/>
        <v>0</v>
      </c>
      <c r="X242" s="3">
        <f t="shared" si="14"/>
        <v>0</v>
      </c>
      <c r="Y242" s="41"/>
      <c r="Z242" s="43"/>
      <c r="AA242" s="3">
        <f>TABL12345[[#This Row],[(RESV. STORGE) AJD]]/10</f>
        <v>0</v>
      </c>
      <c r="AB242" s="45">
        <f t="shared" si="15"/>
        <v>0</v>
      </c>
      <c r="AC242" s="5"/>
      <c r="AD242" s="39">
        <f>(TABL12345[[#This Row],[( S/S+T/B) AJD]]*1000)-((TABL12345[[#This Row],[(STORGE DIFF.) AJD]]*1000)+TABL12345[[#This Row],[البخر  AJD]]+(TABL12345[[#This Row],[(A/B + A/S) AJD]]*1000))</f>
        <v>0</v>
      </c>
      <c r="AE242" s="41"/>
      <c r="AF242" s="43"/>
      <c r="AG242" s="43"/>
      <c r="AH242" s="6">
        <f>TABL12345[[#This Row],[ (RESV. STORGE) BER]]/10</f>
        <v>0</v>
      </c>
      <c r="AI242" s="41"/>
      <c r="AJ242" s="43">
        <f>TABL12345[[#This Row],[(A/B TOT) AJD]]-TABL12345[[#This Row],[BER_ IN]]</f>
        <v>0</v>
      </c>
      <c r="AK242" s="43"/>
      <c r="AL242" s="43"/>
      <c r="AM242" s="32"/>
      <c r="AN242" s="32">
        <f>TABL12345[[#This Row],[ (RESV. STORGE) SER]]/10</f>
        <v>0</v>
      </c>
      <c r="AO242" s="68"/>
      <c r="AP242" s="68">
        <f>TABL12345[[#This Row],[(A/S TOT) AJD]]-TABL12345[[#This Row],[SER_ IN]]</f>
        <v>0</v>
      </c>
    </row>
    <row r="243" spans="1:42" ht="18.75" x14ac:dyDescent="0.25">
      <c r="A243" s="2">
        <v>46994</v>
      </c>
      <c r="B243" s="44"/>
      <c r="C243" s="44"/>
      <c r="D243" s="44"/>
      <c r="E243" s="28"/>
      <c r="F243" s="44"/>
      <c r="G243" s="40"/>
      <c r="H243" s="28"/>
      <c r="I243" s="40"/>
      <c r="J243" s="44"/>
      <c r="K243" s="28">
        <f>TABL12345[[#This Row],[خط (T/B  TOT) SAR]]+TABL12345[[#This Row],[خط (S/S  TOT) SAR2]]</f>
        <v>0</v>
      </c>
      <c r="L243" s="45"/>
      <c r="M243" s="46"/>
      <c r="N243" s="46"/>
      <c r="O243" s="40"/>
      <c r="P243" s="3">
        <f>TABL12345[[#This Row],[خط (S/S  TOT) SAR2]]-TABL12345[[#This Row],[(S/S TOT) AJD]]</f>
        <v>0</v>
      </c>
      <c r="Q243" s="40"/>
      <c r="R243" s="3">
        <f>TABL12345[[#This Row],[خط (T/B  TOT) SAR]]-TABL12345[[#This Row],[(T/B TOT) AJD]]</f>
        <v>0</v>
      </c>
      <c r="S243" s="3">
        <f>TABL12345[[#This Row],[الفرق بين بداية ونهاية خط  S/S]]+TABL12345[[#This Row],[الفرق بين بداية ونهاية خط  T/B]]</f>
        <v>0</v>
      </c>
      <c r="T243" s="3">
        <f t="shared" si="12"/>
        <v>0</v>
      </c>
      <c r="U243" s="44"/>
      <c r="V243" s="44"/>
      <c r="W243" s="3">
        <f t="shared" si="13"/>
        <v>0</v>
      </c>
      <c r="X243" s="3">
        <f t="shared" si="14"/>
        <v>0</v>
      </c>
      <c r="Y243" s="44"/>
      <c r="Z243" s="45"/>
      <c r="AA243" s="3">
        <f>TABL12345[[#This Row],[(RESV. STORGE) AJD]]/10</f>
        <v>0</v>
      </c>
      <c r="AB243" s="45">
        <f t="shared" si="15"/>
        <v>0</v>
      </c>
      <c r="AC243" s="5"/>
      <c r="AD243" s="70">
        <f>(TABL12345[[#This Row],[( S/S+T/B) AJD]]*1000)-((TABL12345[[#This Row],[(STORGE DIFF.) AJD]]*1000)+TABL12345[[#This Row],[البخر  AJD]]+(TABL12345[[#This Row],[(A/B + A/S) AJD]]*1000))</f>
        <v>0</v>
      </c>
      <c r="AE243" s="44"/>
      <c r="AF243" s="45"/>
      <c r="AG243" s="45"/>
      <c r="AH243" s="6">
        <f>TABL12345[[#This Row],[ (RESV. STORGE) BER]]/10</f>
        <v>0</v>
      </c>
      <c r="AI243" s="44"/>
      <c r="AJ243" s="91">
        <f>TABL12345[[#This Row],[(A/B TOT) AJD]]-TABL12345[[#This Row],[BER_ IN]]</f>
        <v>0</v>
      </c>
      <c r="AK243" s="45"/>
      <c r="AL243" s="45"/>
      <c r="AM243" s="32"/>
      <c r="AN243" s="32">
        <f>TABL12345[[#This Row],[ (RESV. STORGE) SER]]/10</f>
        <v>0</v>
      </c>
      <c r="AO243" s="68"/>
      <c r="AP243" s="68">
        <f>TABL12345[[#This Row],[(A/S TOT) AJD]]-TABL12345[[#This Row],[SER_ IN]]</f>
        <v>0</v>
      </c>
    </row>
    <row r="244" spans="1:42" ht="18.75" x14ac:dyDescent="0.25">
      <c r="A244" s="2">
        <v>46995</v>
      </c>
      <c r="B244" s="41"/>
      <c r="C244" s="41"/>
      <c r="D244" s="41"/>
      <c r="E244" s="28"/>
      <c r="F244" s="41"/>
      <c r="G244" s="39"/>
      <c r="H244" s="28"/>
      <c r="I244" s="39"/>
      <c r="J244" s="39"/>
      <c r="K244" s="28">
        <f>TABL12345[[#This Row],[خط (T/B  TOT) SAR]]+TABL12345[[#This Row],[خط (S/S  TOT) SAR2]]</f>
        <v>0</v>
      </c>
      <c r="L244" s="41"/>
      <c r="M244" s="42"/>
      <c r="N244" s="42"/>
      <c r="O244" s="39"/>
      <c r="P244" s="3">
        <f>TABL12345[[#This Row],[خط (S/S  TOT) SAR2]]-TABL12345[[#This Row],[(S/S TOT) AJD]]</f>
        <v>0</v>
      </c>
      <c r="Q244" s="39"/>
      <c r="R244" s="3">
        <f>TABL12345[[#This Row],[خط (T/B  TOT) SAR]]-TABL12345[[#This Row],[(T/B TOT) AJD]]</f>
        <v>0</v>
      </c>
      <c r="S244" s="3">
        <f>TABL12345[[#This Row],[الفرق بين بداية ونهاية خط  S/S]]+TABL12345[[#This Row],[الفرق بين بداية ونهاية خط  T/B]]</f>
        <v>0</v>
      </c>
      <c r="T244" s="3">
        <f t="shared" si="12"/>
        <v>0</v>
      </c>
      <c r="U244" s="41"/>
      <c r="V244" s="41"/>
      <c r="W244" s="3">
        <f t="shared" si="13"/>
        <v>0</v>
      </c>
      <c r="X244" s="3">
        <f t="shared" si="14"/>
        <v>0</v>
      </c>
      <c r="Y244" s="41"/>
      <c r="Z244" s="43"/>
      <c r="AA244" s="3">
        <f>TABL12345[[#This Row],[(RESV. STORGE) AJD]]/10</f>
        <v>0</v>
      </c>
      <c r="AB244" s="45">
        <f t="shared" si="15"/>
        <v>0</v>
      </c>
      <c r="AC244" s="5"/>
      <c r="AD244" s="39">
        <f>(TABL12345[[#This Row],[( S/S+T/B) AJD]]*1000)-((TABL12345[[#This Row],[(STORGE DIFF.) AJD]]*1000)+TABL12345[[#This Row],[البخر  AJD]]+(TABL12345[[#This Row],[(A/B + A/S) AJD]]*1000))</f>
        <v>0</v>
      </c>
      <c r="AE244" s="41"/>
      <c r="AF244" s="43"/>
      <c r="AG244" s="43"/>
      <c r="AH244" s="6">
        <f>TABL12345[[#This Row],[ (RESV. STORGE) BER]]/10</f>
        <v>0</v>
      </c>
      <c r="AI244" s="41"/>
      <c r="AJ244" s="43">
        <f>TABL12345[[#This Row],[(A/B TOT) AJD]]-TABL12345[[#This Row],[BER_ IN]]</f>
        <v>0</v>
      </c>
      <c r="AK244" s="43"/>
      <c r="AL244" s="43"/>
      <c r="AM244" s="32"/>
      <c r="AN244" s="32">
        <f>TABL12345[[#This Row],[ (RESV. STORGE) SER]]/10</f>
        <v>0</v>
      </c>
      <c r="AO244" s="68"/>
      <c r="AP244" s="68">
        <f>TABL12345[[#This Row],[(A/S TOT) AJD]]-TABL12345[[#This Row],[SER_ IN]]</f>
        <v>0</v>
      </c>
    </row>
    <row r="245" spans="1:42" ht="18.75" x14ac:dyDescent="0.25">
      <c r="A245" s="2">
        <v>46996</v>
      </c>
      <c r="B245" s="41"/>
      <c r="C245" s="41"/>
      <c r="D245" s="41"/>
      <c r="E245" s="35"/>
      <c r="F245" s="41"/>
      <c r="G245" s="39"/>
      <c r="H245" s="34"/>
      <c r="I245" s="39"/>
      <c r="J245" s="39"/>
      <c r="K245" s="34">
        <f>TABL12345[[#This Row],[خط (T/B  TOT) SAR]]+TABL12345[[#This Row],[خط (S/S  TOT) SAR2]]</f>
        <v>0</v>
      </c>
      <c r="L245" s="41"/>
      <c r="M245" s="42"/>
      <c r="N245" s="42"/>
      <c r="O245" s="39"/>
      <c r="P245" s="14">
        <f>TABL12345[[#This Row],[خط (S/S  TOT) SAR2]]-TABL12345[[#This Row],[(S/S TOT) AJD]]</f>
        <v>0</v>
      </c>
      <c r="Q245" s="39"/>
      <c r="R245" s="14">
        <f>TABL12345[[#This Row],[خط (T/B  TOT) SAR]]-TABL12345[[#This Row],[(T/B TOT) AJD]]</f>
        <v>0</v>
      </c>
      <c r="S245" s="14">
        <f>TABL12345[[#This Row],[الفرق بين بداية ونهاية خط  S/S]]+TABL12345[[#This Row],[الفرق بين بداية ونهاية خط  T/B]]</f>
        <v>0</v>
      </c>
      <c r="T245" s="9">
        <f t="shared" si="12"/>
        <v>0</v>
      </c>
      <c r="U245" s="41"/>
      <c r="V245" s="41"/>
      <c r="W245" s="9">
        <f t="shared" si="13"/>
        <v>0</v>
      </c>
      <c r="X245" s="9">
        <f t="shared" si="14"/>
        <v>0</v>
      </c>
      <c r="Y245" s="41"/>
      <c r="Z245" s="43"/>
      <c r="AA245" s="3">
        <f>TABL12345[[#This Row],[(RESV. STORGE) AJD]]/10</f>
        <v>0</v>
      </c>
      <c r="AB245" s="45">
        <f t="shared" si="15"/>
        <v>0</v>
      </c>
      <c r="AC245" s="5"/>
      <c r="AD245" s="39">
        <f>(TABL12345[[#This Row],[( S/S+T/B) AJD]]*1000)-((TABL12345[[#This Row],[(STORGE DIFF.) AJD]]*1000)+TABL12345[[#This Row],[البخر  AJD]]+(TABL12345[[#This Row],[(A/B + A/S) AJD]]*1000))</f>
        <v>0</v>
      </c>
      <c r="AE245" s="41"/>
      <c r="AF245" s="43"/>
      <c r="AG245" s="43"/>
      <c r="AH245" s="6">
        <f>TABL12345[[#This Row],[ (RESV. STORGE) BER]]/10</f>
        <v>0</v>
      </c>
      <c r="AI245" s="41"/>
      <c r="AJ245" s="43">
        <f>TABL12345[[#This Row],[(A/B TOT) AJD]]-TABL12345[[#This Row],[BER_ IN]]</f>
        <v>0</v>
      </c>
      <c r="AK245" s="43"/>
      <c r="AL245" s="43"/>
      <c r="AM245" s="32"/>
      <c r="AN245" s="32">
        <f>TABL12345[[#This Row],[ (RESV. STORGE) SER]]/10</f>
        <v>0</v>
      </c>
      <c r="AO245" s="68"/>
      <c r="AP245" s="68">
        <f>TABL12345[[#This Row],[(A/S TOT) AJD]]-TABL12345[[#This Row],[SER_ IN]]</f>
        <v>0</v>
      </c>
    </row>
    <row r="246" spans="1:42" ht="18.75" x14ac:dyDescent="0.25">
      <c r="A246" s="2">
        <v>46997</v>
      </c>
      <c r="B246" s="44"/>
      <c r="C246" s="44"/>
      <c r="D246" s="44"/>
      <c r="E246" s="35"/>
      <c r="F246" s="44"/>
      <c r="G246" s="40"/>
      <c r="H246" s="34"/>
      <c r="I246" s="40"/>
      <c r="J246" s="44"/>
      <c r="K246" s="34">
        <f>TABL12345[[#This Row],[خط (T/B  TOT) SAR]]+TABL12345[[#This Row],[خط (S/S  TOT) SAR2]]</f>
        <v>0</v>
      </c>
      <c r="L246" s="45"/>
      <c r="M246" s="46"/>
      <c r="N246" s="46"/>
      <c r="O246" s="40"/>
      <c r="P246" s="14">
        <f>TABL12345[[#This Row],[خط (S/S  TOT) SAR2]]-TABL12345[[#This Row],[(S/S TOT) AJD]]</f>
        <v>0</v>
      </c>
      <c r="Q246" s="40"/>
      <c r="R246" s="14">
        <f>TABL12345[[#This Row],[خط (T/B  TOT) SAR]]-TABL12345[[#This Row],[(T/B TOT) AJD]]</f>
        <v>0</v>
      </c>
      <c r="S246" s="14">
        <f>TABL12345[[#This Row],[الفرق بين بداية ونهاية خط  S/S]]+TABL12345[[#This Row],[الفرق بين بداية ونهاية خط  T/B]]</f>
        <v>0</v>
      </c>
      <c r="T246" s="9">
        <f t="shared" si="12"/>
        <v>0</v>
      </c>
      <c r="U246" s="44"/>
      <c r="V246" s="44"/>
      <c r="W246" s="9">
        <f t="shared" si="13"/>
        <v>0</v>
      </c>
      <c r="X246" s="9">
        <f t="shared" si="14"/>
        <v>0</v>
      </c>
      <c r="Y246" s="44"/>
      <c r="Z246" s="45"/>
      <c r="AA246" s="3">
        <f>TABL12345[[#This Row],[(RESV. STORGE) AJD]]/10</f>
        <v>0</v>
      </c>
      <c r="AB246" s="45">
        <f t="shared" si="15"/>
        <v>0</v>
      </c>
      <c r="AC246" s="5"/>
      <c r="AD246" s="40">
        <f>(TABL12345[[#This Row],[( S/S+T/B) AJD]]*1000)-((TABL12345[[#This Row],[(STORGE DIFF.) AJD]]*1000)+TABL12345[[#This Row],[البخر  AJD]]+(TABL12345[[#This Row],[(A/B + A/S) AJD]]*1000))</f>
        <v>0</v>
      </c>
      <c r="AE246" s="44"/>
      <c r="AF246" s="45"/>
      <c r="AG246" s="45"/>
      <c r="AH246" s="6">
        <f>TABL12345[[#This Row],[ (RESV. STORGE) BER]]/10</f>
        <v>0</v>
      </c>
      <c r="AI246" s="44"/>
      <c r="AJ246" s="45">
        <f>TABL12345[[#This Row],[(A/B TOT) AJD]]-TABL12345[[#This Row],[BER_ IN]]</f>
        <v>0</v>
      </c>
      <c r="AK246" s="45"/>
      <c r="AL246" s="45"/>
      <c r="AM246" s="32"/>
      <c r="AN246" s="32">
        <f>TABL12345[[#This Row],[ (RESV. STORGE) SER]]/10</f>
        <v>0</v>
      </c>
      <c r="AO246" s="68"/>
      <c r="AP246" s="68">
        <f>TABL12345[[#This Row],[(A/S TOT) AJD]]-TABL12345[[#This Row],[SER_ IN]]</f>
        <v>0</v>
      </c>
    </row>
    <row r="247" spans="1:42" ht="18.75" x14ac:dyDescent="0.25">
      <c r="A247" s="2">
        <v>46998</v>
      </c>
      <c r="B247" s="41"/>
      <c r="C247" s="41"/>
      <c r="D247" s="41"/>
      <c r="E247" s="35"/>
      <c r="F247" s="41"/>
      <c r="G247" s="39"/>
      <c r="H247" s="34"/>
      <c r="I247" s="39"/>
      <c r="J247" s="39"/>
      <c r="K247" s="34">
        <f>TABL12345[[#This Row],[خط (T/B  TOT) SAR]]+TABL12345[[#This Row],[خط (S/S  TOT) SAR2]]</f>
        <v>0</v>
      </c>
      <c r="L247" s="41"/>
      <c r="M247" s="42"/>
      <c r="N247" s="42"/>
      <c r="O247" s="39"/>
      <c r="P247" s="14">
        <f>TABL12345[[#This Row],[خط (S/S  TOT) SAR2]]-TABL12345[[#This Row],[(S/S TOT) AJD]]</f>
        <v>0</v>
      </c>
      <c r="Q247" s="39"/>
      <c r="R247" s="14">
        <f>TABL12345[[#This Row],[خط (T/B  TOT) SAR]]-TABL12345[[#This Row],[(T/B TOT) AJD]]</f>
        <v>0</v>
      </c>
      <c r="S247" s="14">
        <f>TABL12345[[#This Row],[الفرق بين بداية ونهاية خط  S/S]]+TABL12345[[#This Row],[الفرق بين بداية ونهاية خط  T/B]]</f>
        <v>0</v>
      </c>
      <c r="T247" s="9">
        <f t="shared" si="12"/>
        <v>0</v>
      </c>
      <c r="U247" s="41"/>
      <c r="V247" s="41"/>
      <c r="W247" s="9">
        <f t="shared" si="13"/>
        <v>0</v>
      </c>
      <c r="X247" s="9">
        <f t="shared" si="14"/>
        <v>0</v>
      </c>
      <c r="Y247" s="41"/>
      <c r="Z247" s="43"/>
      <c r="AA247" s="3">
        <f>TABL12345[[#This Row],[(RESV. STORGE) AJD]]/10</f>
        <v>0</v>
      </c>
      <c r="AB247" s="45">
        <f t="shared" si="15"/>
        <v>0</v>
      </c>
      <c r="AC247" s="5"/>
      <c r="AD247" s="39">
        <f>(TABL12345[[#This Row],[( S/S+T/B) AJD]]*1000)-((TABL12345[[#This Row],[(STORGE DIFF.) AJD]]*1000)+TABL12345[[#This Row],[البخر  AJD]]+(TABL12345[[#This Row],[(A/B + A/S) AJD]]*1000))</f>
        <v>0</v>
      </c>
      <c r="AE247" s="41"/>
      <c r="AF247" s="43"/>
      <c r="AG247" s="43"/>
      <c r="AH247" s="6">
        <f>TABL12345[[#This Row],[ (RESV. STORGE) BER]]/10</f>
        <v>0</v>
      </c>
      <c r="AI247" s="41"/>
      <c r="AJ247" s="43">
        <f>TABL12345[[#This Row],[(A/B TOT) AJD]]-TABL12345[[#This Row],[BER_ IN]]</f>
        <v>0</v>
      </c>
      <c r="AK247" s="43"/>
      <c r="AL247" s="43"/>
      <c r="AM247" s="32"/>
      <c r="AN247" s="32">
        <f>TABL12345[[#This Row],[ (RESV. STORGE) SER]]/10</f>
        <v>0</v>
      </c>
      <c r="AO247" s="68"/>
      <c r="AP247" s="68">
        <f>TABL12345[[#This Row],[(A/S TOT) AJD]]-TABL12345[[#This Row],[SER_ IN]]</f>
        <v>0</v>
      </c>
    </row>
    <row r="248" spans="1:42" ht="18.75" x14ac:dyDescent="0.25">
      <c r="A248" s="2">
        <v>46999</v>
      </c>
      <c r="B248" s="44"/>
      <c r="C248" s="44"/>
      <c r="D248" s="44"/>
      <c r="E248" s="35"/>
      <c r="F248" s="44"/>
      <c r="G248" s="40"/>
      <c r="H248" s="34"/>
      <c r="I248" s="40"/>
      <c r="J248" s="44"/>
      <c r="K248" s="34">
        <f>TABL12345[[#This Row],[خط (T/B  TOT) SAR]]+TABL12345[[#This Row],[خط (S/S  TOT) SAR2]]</f>
        <v>0</v>
      </c>
      <c r="L248" s="45"/>
      <c r="M248" s="46"/>
      <c r="N248" s="46"/>
      <c r="O248" s="40"/>
      <c r="P248" s="14">
        <f>TABL12345[[#This Row],[خط (S/S  TOT) SAR2]]-TABL12345[[#This Row],[(S/S TOT) AJD]]</f>
        <v>0</v>
      </c>
      <c r="Q248" s="40"/>
      <c r="R248" s="14">
        <f>TABL12345[[#This Row],[خط (T/B  TOT) SAR]]-TABL12345[[#This Row],[(T/B TOT) AJD]]</f>
        <v>0</v>
      </c>
      <c r="S248" s="14">
        <f>TABL12345[[#This Row],[الفرق بين بداية ونهاية خط  S/S]]+TABL12345[[#This Row],[الفرق بين بداية ونهاية خط  T/B]]</f>
        <v>0</v>
      </c>
      <c r="T248" s="9">
        <f t="shared" si="12"/>
        <v>0</v>
      </c>
      <c r="U248" s="44"/>
      <c r="V248" s="44"/>
      <c r="W248" s="9">
        <f t="shared" si="13"/>
        <v>0</v>
      </c>
      <c r="X248" s="9">
        <f t="shared" si="14"/>
        <v>0</v>
      </c>
      <c r="Y248" s="44"/>
      <c r="Z248" s="45"/>
      <c r="AA248" s="3">
        <f>TABL12345[[#This Row],[(RESV. STORGE) AJD]]/10</f>
        <v>0</v>
      </c>
      <c r="AB248" s="45">
        <f t="shared" si="15"/>
        <v>0</v>
      </c>
      <c r="AC248" s="5"/>
      <c r="AD248" s="40">
        <f>(TABL12345[[#This Row],[( S/S+T/B) AJD]]*1000)-((TABL12345[[#This Row],[(STORGE DIFF.) AJD]]*1000)+TABL12345[[#This Row],[البخر  AJD]]+(TABL12345[[#This Row],[(A/B + A/S) AJD]]*1000))</f>
        <v>0</v>
      </c>
      <c r="AE248" s="44"/>
      <c r="AF248" s="45"/>
      <c r="AG248" s="45"/>
      <c r="AH248" s="6">
        <f>TABL12345[[#This Row],[ (RESV. STORGE) BER]]/10</f>
        <v>0</v>
      </c>
      <c r="AI248" s="44"/>
      <c r="AJ248" s="45">
        <f>TABL12345[[#This Row],[(A/B TOT) AJD]]-TABL12345[[#This Row],[BER_ IN]]</f>
        <v>0</v>
      </c>
      <c r="AK248" s="45"/>
      <c r="AL248" s="45"/>
      <c r="AM248" s="32"/>
      <c r="AN248" s="32">
        <f>TABL12345[[#This Row],[ (RESV. STORGE) SER]]/10</f>
        <v>0</v>
      </c>
      <c r="AO248" s="68"/>
      <c r="AP248" s="68">
        <f>TABL12345[[#This Row],[(A/S TOT) AJD]]-TABL12345[[#This Row],[SER_ IN]]</f>
        <v>0</v>
      </c>
    </row>
    <row r="249" spans="1:42" ht="18.75" x14ac:dyDescent="0.25">
      <c r="A249" s="2">
        <v>47000</v>
      </c>
      <c r="B249" s="41"/>
      <c r="C249" s="41"/>
      <c r="D249" s="41"/>
      <c r="E249" s="35"/>
      <c r="F249" s="41"/>
      <c r="G249" s="39"/>
      <c r="H249" s="34"/>
      <c r="I249" s="39"/>
      <c r="J249" s="39"/>
      <c r="K249" s="34">
        <f>TABL12345[[#This Row],[خط (T/B  TOT) SAR]]+TABL12345[[#This Row],[خط (S/S  TOT) SAR2]]</f>
        <v>0</v>
      </c>
      <c r="L249" s="41"/>
      <c r="M249" s="42"/>
      <c r="N249" s="42"/>
      <c r="O249" s="39"/>
      <c r="P249" s="14">
        <f>TABL12345[[#This Row],[خط (S/S  TOT) SAR2]]-TABL12345[[#This Row],[(S/S TOT) AJD]]</f>
        <v>0</v>
      </c>
      <c r="Q249" s="39"/>
      <c r="R249" s="14">
        <f>TABL12345[[#This Row],[خط (T/B  TOT) SAR]]-TABL12345[[#This Row],[(T/B TOT) AJD]]</f>
        <v>0</v>
      </c>
      <c r="S249" s="14">
        <f>TABL12345[[#This Row],[الفرق بين بداية ونهاية خط  S/S]]+TABL12345[[#This Row],[الفرق بين بداية ونهاية خط  T/B]]</f>
        <v>0</v>
      </c>
      <c r="T249" s="9">
        <f t="shared" si="12"/>
        <v>0</v>
      </c>
      <c r="U249" s="41"/>
      <c r="V249" s="41"/>
      <c r="W249" s="9">
        <f t="shared" si="13"/>
        <v>0</v>
      </c>
      <c r="X249" s="9">
        <f t="shared" si="14"/>
        <v>0</v>
      </c>
      <c r="Y249" s="41"/>
      <c r="Z249" s="43"/>
      <c r="AA249" s="3">
        <f>TABL12345[[#This Row],[(RESV. STORGE) AJD]]/10</f>
        <v>0</v>
      </c>
      <c r="AB249" s="45">
        <f t="shared" si="15"/>
        <v>0</v>
      </c>
      <c r="AC249" s="5"/>
      <c r="AD249" s="39">
        <f>(TABL12345[[#This Row],[( S/S+T/B) AJD]]*1000)-((TABL12345[[#This Row],[(STORGE DIFF.) AJD]]*1000)+TABL12345[[#This Row],[البخر  AJD]]+(TABL12345[[#This Row],[(A/B + A/S) AJD]]*1000))</f>
        <v>0</v>
      </c>
      <c r="AE249" s="41"/>
      <c r="AF249" s="43"/>
      <c r="AG249" s="43"/>
      <c r="AH249" s="6">
        <f>TABL12345[[#This Row],[ (RESV. STORGE) BER]]/10</f>
        <v>0</v>
      </c>
      <c r="AI249" s="41"/>
      <c r="AJ249" s="43">
        <f>TABL12345[[#This Row],[(A/B TOT) AJD]]-TABL12345[[#This Row],[BER_ IN]]</f>
        <v>0</v>
      </c>
      <c r="AK249" s="43"/>
      <c r="AL249" s="43"/>
      <c r="AM249" s="32"/>
      <c r="AN249" s="32">
        <f>TABL12345[[#This Row],[ (RESV. STORGE) SER]]/10</f>
        <v>0</v>
      </c>
      <c r="AO249" s="68"/>
      <c r="AP249" s="68">
        <f>TABL12345[[#This Row],[(A/S TOT) AJD]]-TABL12345[[#This Row],[SER_ IN]]</f>
        <v>0</v>
      </c>
    </row>
    <row r="250" spans="1:42" ht="18.75" x14ac:dyDescent="0.25">
      <c r="A250" s="2">
        <v>47001</v>
      </c>
      <c r="B250" s="44"/>
      <c r="C250" s="44"/>
      <c r="D250" s="44"/>
      <c r="E250" s="35"/>
      <c r="F250" s="44"/>
      <c r="G250" s="40"/>
      <c r="H250" s="28"/>
      <c r="I250" s="40"/>
      <c r="J250" s="44"/>
      <c r="K250" s="28">
        <f>TABL12345[[#This Row],[خط (T/B  TOT) SAR]]+TABL12345[[#This Row],[خط (S/S  TOT) SAR2]]</f>
        <v>0</v>
      </c>
      <c r="L250" s="45"/>
      <c r="M250" s="46"/>
      <c r="N250" s="46"/>
      <c r="O250" s="40"/>
      <c r="P250" s="9">
        <f>TABL12345[[#This Row],[خط (S/S  TOT) SAR2]]-TABL12345[[#This Row],[(S/S TOT) AJD]]</f>
        <v>0</v>
      </c>
      <c r="Q250" s="40"/>
      <c r="R250" s="9">
        <f>TABL12345[[#This Row],[خط (T/B  TOT) SAR]]-TABL12345[[#This Row],[(T/B TOT) AJD]]</f>
        <v>0</v>
      </c>
      <c r="S250" s="9">
        <f>TABL12345[[#This Row],[الفرق بين بداية ونهاية خط  S/S]]+TABL12345[[#This Row],[الفرق بين بداية ونهاية خط  T/B]]</f>
        <v>0</v>
      </c>
      <c r="T250" s="9">
        <f t="shared" si="12"/>
        <v>0</v>
      </c>
      <c r="U250" s="44"/>
      <c r="V250" s="44"/>
      <c r="W250" s="9">
        <f t="shared" si="13"/>
        <v>0</v>
      </c>
      <c r="X250" s="9">
        <f t="shared" si="14"/>
        <v>0</v>
      </c>
      <c r="Y250" s="44"/>
      <c r="Z250" s="45"/>
      <c r="AA250" s="3">
        <f>TABL12345[[#This Row],[(RESV. STORGE) AJD]]/10</f>
        <v>0</v>
      </c>
      <c r="AB250" s="45">
        <f t="shared" si="15"/>
        <v>0</v>
      </c>
      <c r="AC250" s="5"/>
      <c r="AD250" s="40">
        <f>(TABL12345[[#This Row],[( S/S+T/B) AJD]]*1000)-((TABL12345[[#This Row],[(STORGE DIFF.) AJD]]*1000)+TABL12345[[#This Row],[البخر  AJD]]+(TABL12345[[#This Row],[(A/B + A/S) AJD]]*1000))</f>
        <v>0</v>
      </c>
      <c r="AE250" s="44"/>
      <c r="AF250" s="45"/>
      <c r="AG250" s="45"/>
      <c r="AH250" s="6">
        <f>TABL12345[[#This Row],[ (RESV. STORGE) BER]]/10</f>
        <v>0</v>
      </c>
      <c r="AI250" s="44"/>
      <c r="AJ250" s="45">
        <f>TABL12345[[#This Row],[(A/B TOT) AJD]]-TABL12345[[#This Row],[BER_ IN]]</f>
        <v>0</v>
      </c>
      <c r="AK250" s="45"/>
      <c r="AL250" s="45"/>
      <c r="AM250" s="32"/>
      <c r="AN250" s="32">
        <f>TABL12345[[#This Row],[ (RESV. STORGE) SER]]/10</f>
        <v>0</v>
      </c>
      <c r="AO250" s="68"/>
      <c r="AP250" s="68">
        <f>TABL12345[[#This Row],[(A/S TOT) AJD]]-TABL12345[[#This Row],[SER_ IN]]</f>
        <v>0</v>
      </c>
    </row>
    <row r="251" spans="1:42" ht="18.75" x14ac:dyDescent="0.25">
      <c r="A251" s="2">
        <v>47002</v>
      </c>
      <c r="B251" s="41"/>
      <c r="C251" s="41"/>
      <c r="D251" s="41"/>
      <c r="E251" s="35"/>
      <c r="F251" s="41"/>
      <c r="G251" s="39"/>
      <c r="H251" s="28"/>
      <c r="I251" s="39"/>
      <c r="J251" s="39"/>
      <c r="K251" s="28">
        <f>TABL12345[[#This Row],[خط (T/B  TOT) SAR]]+TABL12345[[#This Row],[خط (S/S  TOT) SAR2]]</f>
        <v>0</v>
      </c>
      <c r="L251" s="41"/>
      <c r="M251" s="42"/>
      <c r="N251" s="42"/>
      <c r="O251" s="39"/>
      <c r="P251" s="9">
        <f>TABL12345[[#This Row],[خط (S/S  TOT) SAR2]]-TABL12345[[#This Row],[(S/S TOT) AJD]]</f>
        <v>0</v>
      </c>
      <c r="Q251" s="39"/>
      <c r="R251" s="9">
        <f>TABL12345[[#This Row],[خط (T/B  TOT) SAR]]-TABL12345[[#This Row],[(T/B TOT) AJD]]</f>
        <v>0</v>
      </c>
      <c r="S251" s="9">
        <f>TABL12345[[#This Row],[الفرق بين بداية ونهاية خط  S/S]]+TABL12345[[#This Row],[الفرق بين بداية ونهاية خط  T/B]]</f>
        <v>0</v>
      </c>
      <c r="T251" s="9">
        <f t="shared" si="12"/>
        <v>0</v>
      </c>
      <c r="U251" s="41"/>
      <c r="V251" s="41"/>
      <c r="W251" s="9">
        <f t="shared" si="13"/>
        <v>0</v>
      </c>
      <c r="X251" s="9">
        <f t="shared" si="14"/>
        <v>0</v>
      </c>
      <c r="Y251" s="41"/>
      <c r="Z251" s="43"/>
      <c r="AA251" s="3">
        <f>TABL12345[[#This Row],[(RESV. STORGE) AJD]]/10</f>
        <v>0</v>
      </c>
      <c r="AB251" s="45">
        <f t="shared" si="15"/>
        <v>0</v>
      </c>
      <c r="AC251" s="5"/>
      <c r="AD251" s="39">
        <f>(TABL12345[[#This Row],[( S/S+T/B) AJD]]*1000)-((TABL12345[[#This Row],[(STORGE DIFF.) AJD]]*1000)+TABL12345[[#This Row],[البخر  AJD]]+(TABL12345[[#This Row],[(A/B + A/S) AJD]]*1000))</f>
        <v>0</v>
      </c>
      <c r="AE251" s="41"/>
      <c r="AF251" s="43"/>
      <c r="AG251" s="43"/>
      <c r="AH251" s="6">
        <f>TABL12345[[#This Row],[ (RESV. STORGE) BER]]/10</f>
        <v>0</v>
      </c>
      <c r="AI251" s="41"/>
      <c r="AJ251" s="43">
        <f>TABL12345[[#This Row],[(A/B TOT) AJD]]-TABL12345[[#This Row],[BER_ IN]]</f>
        <v>0</v>
      </c>
      <c r="AK251" s="43"/>
      <c r="AL251" s="43"/>
      <c r="AM251" s="32"/>
      <c r="AN251" s="32">
        <f>TABL12345[[#This Row],[ (RESV. STORGE) SER]]/10</f>
        <v>0</v>
      </c>
      <c r="AO251" s="68"/>
      <c r="AP251" s="68">
        <f>TABL12345[[#This Row],[(A/S TOT) AJD]]-TABL12345[[#This Row],[SER_ IN]]</f>
        <v>0</v>
      </c>
    </row>
    <row r="252" spans="1:42" ht="18.75" x14ac:dyDescent="0.25">
      <c r="A252" s="2">
        <v>47003</v>
      </c>
      <c r="B252" s="44"/>
      <c r="C252" s="44"/>
      <c r="D252" s="44"/>
      <c r="E252" s="35"/>
      <c r="F252" s="44"/>
      <c r="G252" s="40"/>
      <c r="H252" s="28"/>
      <c r="I252" s="40"/>
      <c r="J252" s="44"/>
      <c r="K252" s="28">
        <f>TABL12345[[#This Row],[خط (T/B  TOT) SAR]]+TABL12345[[#This Row],[خط (S/S  TOT) SAR2]]</f>
        <v>0</v>
      </c>
      <c r="L252" s="45"/>
      <c r="M252" s="46"/>
      <c r="N252" s="46"/>
      <c r="O252" s="40"/>
      <c r="P252" s="9">
        <f>TABL12345[[#This Row],[خط (S/S  TOT) SAR2]]-TABL12345[[#This Row],[(S/S TOT) AJD]]</f>
        <v>0</v>
      </c>
      <c r="Q252" s="40"/>
      <c r="R252" s="9">
        <f>TABL12345[[#This Row],[خط (T/B  TOT) SAR]]-TABL12345[[#This Row],[(T/B TOT) AJD]]</f>
        <v>0</v>
      </c>
      <c r="S252" s="9">
        <f>TABL12345[[#This Row],[الفرق بين بداية ونهاية خط  S/S]]+TABL12345[[#This Row],[الفرق بين بداية ونهاية خط  T/B]]</f>
        <v>0</v>
      </c>
      <c r="T252" s="9">
        <f t="shared" si="12"/>
        <v>0</v>
      </c>
      <c r="U252" s="44"/>
      <c r="V252" s="44"/>
      <c r="W252" s="9">
        <f t="shared" si="13"/>
        <v>0</v>
      </c>
      <c r="X252" s="9">
        <f t="shared" si="14"/>
        <v>0</v>
      </c>
      <c r="Y252" s="44"/>
      <c r="Z252" s="45"/>
      <c r="AA252" s="3">
        <f>TABL12345[[#This Row],[(RESV. STORGE) AJD]]/10</f>
        <v>0</v>
      </c>
      <c r="AB252" s="45">
        <f t="shared" si="15"/>
        <v>0</v>
      </c>
      <c r="AC252" s="5"/>
      <c r="AD252" s="40">
        <f>(TABL12345[[#This Row],[( S/S+T/B) AJD]]*1000)-((TABL12345[[#This Row],[(STORGE DIFF.) AJD]]*1000)+TABL12345[[#This Row],[البخر  AJD]]+(TABL12345[[#This Row],[(A/B + A/S) AJD]]*1000))</f>
        <v>0</v>
      </c>
      <c r="AE252" s="44"/>
      <c r="AF252" s="45"/>
      <c r="AG252" s="45"/>
      <c r="AH252" s="6">
        <f>TABL12345[[#This Row],[ (RESV. STORGE) BER]]/10</f>
        <v>0</v>
      </c>
      <c r="AI252" s="44"/>
      <c r="AJ252" s="45">
        <f>TABL12345[[#This Row],[(A/B TOT) AJD]]-TABL12345[[#This Row],[BER_ IN]]</f>
        <v>0</v>
      </c>
      <c r="AK252" s="45"/>
      <c r="AL252" s="45"/>
      <c r="AM252" s="32"/>
      <c r="AN252" s="32">
        <f>TABL12345[[#This Row],[ (RESV. STORGE) SER]]/10</f>
        <v>0</v>
      </c>
      <c r="AO252" s="68"/>
      <c r="AP252" s="68">
        <f>TABL12345[[#This Row],[(A/S TOT) AJD]]-TABL12345[[#This Row],[SER_ IN]]</f>
        <v>0</v>
      </c>
    </row>
    <row r="253" spans="1:42" ht="18.75" x14ac:dyDescent="0.25">
      <c r="A253" s="2">
        <v>47004</v>
      </c>
      <c r="B253" s="41"/>
      <c r="C253" s="41"/>
      <c r="D253" s="41"/>
      <c r="E253" s="35"/>
      <c r="F253" s="41"/>
      <c r="G253" s="39"/>
      <c r="H253" s="28"/>
      <c r="I253" s="39"/>
      <c r="J253" s="39"/>
      <c r="K253" s="28">
        <f>TABL12345[[#This Row],[خط (T/B  TOT) SAR]]+TABL12345[[#This Row],[خط (S/S  TOT) SAR2]]</f>
        <v>0</v>
      </c>
      <c r="L253" s="41"/>
      <c r="M253" s="42"/>
      <c r="N253" s="42"/>
      <c r="O253" s="39"/>
      <c r="P253" s="9">
        <f>TABL12345[[#This Row],[خط (S/S  TOT) SAR2]]-TABL12345[[#This Row],[(S/S TOT) AJD]]</f>
        <v>0</v>
      </c>
      <c r="Q253" s="39"/>
      <c r="R253" s="9">
        <f>TABL12345[[#This Row],[خط (T/B  TOT) SAR]]-TABL12345[[#This Row],[(T/B TOT) AJD]]</f>
        <v>0</v>
      </c>
      <c r="S253" s="9">
        <f>TABL12345[[#This Row],[الفرق بين بداية ونهاية خط  S/S]]+TABL12345[[#This Row],[الفرق بين بداية ونهاية خط  T/B]]</f>
        <v>0</v>
      </c>
      <c r="T253" s="9">
        <f t="shared" si="12"/>
        <v>0</v>
      </c>
      <c r="U253" s="41"/>
      <c r="V253" s="41"/>
      <c r="W253" s="9">
        <f t="shared" si="13"/>
        <v>0</v>
      </c>
      <c r="X253" s="9">
        <f t="shared" si="14"/>
        <v>0</v>
      </c>
      <c r="Y253" s="41"/>
      <c r="Z253" s="43"/>
      <c r="AA253" s="3">
        <f>TABL12345[[#This Row],[(RESV. STORGE) AJD]]/10</f>
        <v>0</v>
      </c>
      <c r="AB253" s="45">
        <f t="shared" si="15"/>
        <v>0</v>
      </c>
      <c r="AC253" s="5"/>
      <c r="AD253" s="39">
        <f>(TABL12345[[#This Row],[( S/S+T/B) AJD]]*1000)-((TABL12345[[#This Row],[(STORGE DIFF.) AJD]]*1000)+TABL12345[[#This Row],[البخر  AJD]]+(TABL12345[[#This Row],[(A/B + A/S) AJD]]*1000))</f>
        <v>0</v>
      </c>
      <c r="AE253" s="41"/>
      <c r="AF253" s="43"/>
      <c r="AG253" s="43"/>
      <c r="AH253" s="6">
        <f>TABL12345[[#This Row],[ (RESV. STORGE) BER]]/10</f>
        <v>0</v>
      </c>
      <c r="AI253" s="41"/>
      <c r="AJ253" s="43">
        <f>TABL12345[[#This Row],[(A/B TOT) AJD]]-TABL12345[[#This Row],[BER_ IN]]</f>
        <v>0</v>
      </c>
      <c r="AK253" s="43"/>
      <c r="AL253" s="43"/>
      <c r="AM253" s="32"/>
      <c r="AN253" s="32">
        <f>TABL12345[[#This Row],[ (RESV. STORGE) SER]]/10</f>
        <v>0</v>
      </c>
      <c r="AO253" s="68"/>
      <c r="AP253" s="68">
        <f>TABL12345[[#This Row],[(A/S TOT) AJD]]-TABL12345[[#This Row],[SER_ IN]]</f>
        <v>0</v>
      </c>
    </row>
    <row r="254" spans="1:42" ht="18.75" x14ac:dyDescent="0.25">
      <c r="A254" s="2">
        <v>47005</v>
      </c>
      <c r="B254" s="44"/>
      <c r="C254" s="44"/>
      <c r="D254" s="44"/>
      <c r="E254" s="35"/>
      <c r="F254" s="44"/>
      <c r="G254" s="40"/>
      <c r="H254" s="28"/>
      <c r="I254" s="40"/>
      <c r="J254" s="44"/>
      <c r="K254" s="28">
        <f>TABL12345[[#This Row],[خط (T/B  TOT) SAR]]+TABL12345[[#This Row],[خط (S/S  TOT) SAR2]]</f>
        <v>0</v>
      </c>
      <c r="L254" s="45"/>
      <c r="M254" s="46"/>
      <c r="N254" s="46"/>
      <c r="O254" s="40"/>
      <c r="P254" s="9">
        <f>TABL12345[[#This Row],[خط (S/S  TOT) SAR2]]-TABL12345[[#This Row],[(S/S TOT) AJD]]</f>
        <v>0</v>
      </c>
      <c r="Q254" s="40"/>
      <c r="R254" s="9">
        <f>TABL12345[[#This Row],[خط (T/B  TOT) SAR]]-TABL12345[[#This Row],[(T/B TOT) AJD]]</f>
        <v>0</v>
      </c>
      <c r="S254" s="9">
        <f>TABL12345[[#This Row],[الفرق بين بداية ونهاية خط  S/S]]+TABL12345[[#This Row],[الفرق بين بداية ونهاية خط  T/B]]</f>
        <v>0</v>
      </c>
      <c r="T254" s="9">
        <f t="shared" si="12"/>
        <v>0</v>
      </c>
      <c r="U254" s="44"/>
      <c r="V254" s="44"/>
      <c r="W254" s="9">
        <f t="shared" si="13"/>
        <v>0</v>
      </c>
      <c r="X254" s="9">
        <f t="shared" si="14"/>
        <v>0</v>
      </c>
      <c r="Y254" s="44"/>
      <c r="Z254" s="45"/>
      <c r="AA254" s="3">
        <f>TABL12345[[#This Row],[(RESV. STORGE) AJD]]/10</f>
        <v>0</v>
      </c>
      <c r="AB254" s="45">
        <f t="shared" si="15"/>
        <v>0</v>
      </c>
      <c r="AC254" s="5"/>
      <c r="AD254" s="40">
        <f>(TABL12345[[#This Row],[( S/S+T/B) AJD]]*1000)-((TABL12345[[#This Row],[(STORGE DIFF.) AJD]]*1000)+TABL12345[[#This Row],[البخر  AJD]]+(TABL12345[[#This Row],[(A/B + A/S) AJD]]*1000))</f>
        <v>0</v>
      </c>
      <c r="AE254" s="44"/>
      <c r="AF254" s="45"/>
      <c r="AG254" s="45"/>
      <c r="AH254" s="6">
        <f>TABL12345[[#This Row],[ (RESV. STORGE) BER]]/10</f>
        <v>0</v>
      </c>
      <c r="AI254" s="44"/>
      <c r="AJ254" s="45">
        <f>TABL12345[[#This Row],[(A/B TOT) AJD]]-TABL12345[[#This Row],[BER_ IN]]</f>
        <v>0</v>
      </c>
      <c r="AK254" s="45"/>
      <c r="AL254" s="45"/>
      <c r="AM254" s="32"/>
      <c r="AN254" s="32">
        <f>TABL12345[[#This Row],[ (RESV. STORGE) SER]]/10</f>
        <v>0</v>
      </c>
      <c r="AO254" s="68"/>
      <c r="AP254" s="68">
        <f>TABL12345[[#This Row],[(A/S TOT) AJD]]-TABL12345[[#This Row],[SER_ IN]]</f>
        <v>0</v>
      </c>
    </row>
    <row r="255" spans="1:42" ht="18.75" x14ac:dyDescent="0.25">
      <c r="A255" s="2">
        <v>47006</v>
      </c>
      <c r="B255" s="41"/>
      <c r="C255" s="41"/>
      <c r="D255" s="41"/>
      <c r="E255" s="35"/>
      <c r="F255" s="41"/>
      <c r="G255" s="39"/>
      <c r="H255" s="28"/>
      <c r="I255" s="39"/>
      <c r="J255" s="39"/>
      <c r="K255" s="28">
        <f>TABL12345[[#This Row],[خط (T/B  TOT) SAR]]+TABL12345[[#This Row],[خط (S/S  TOT) SAR2]]</f>
        <v>0</v>
      </c>
      <c r="L255" s="41"/>
      <c r="M255" s="42"/>
      <c r="N255" s="42"/>
      <c r="O255" s="39"/>
      <c r="P255" s="9">
        <f>TABL12345[[#This Row],[خط (S/S  TOT) SAR2]]-TABL12345[[#This Row],[(S/S TOT) AJD]]</f>
        <v>0</v>
      </c>
      <c r="Q255" s="39"/>
      <c r="R255" s="9">
        <f>TABL12345[[#This Row],[خط (T/B  TOT) SAR]]-TABL12345[[#This Row],[(T/B TOT) AJD]]</f>
        <v>0</v>
      </c>
      <c r="S255" s="9">
        <f>TABL12345[[#This Row],[الفرق بين بداية ونهاية خط  S/S]]+TABL12345[[#This Row],[الفرق بين بداية ونهاية خط  T/B]]</f>
        <v>0</v>
      </c>
      <c r="T255" s="9">
        <f t="shared" si="12"/>
        <v>0</v>
      </c>
      <c r="U255" s="41"/>
      <c r="V255" s="41"/>
      <c r="W255" s="9">
        <f t="shared" si="13"/>
        <v>0</v>
      </c>
      <c r="X255" s="9">
        <f t="shared" si="14"/>
        <v>0</v>
      </c>
      <c r="Y255" s="41"/>
      <c r="Z255" s="43"/>
      <c r="AA255" s="3">
        <f>TABL12345[[#This Row],[(RESV. STORGE) AJD]]/10</f>
        <v>0</v>
      </c>
      <c r="AB255" s="45">
        <f t="shared" si="15"/>
        <v>0</v>
      </c>
      <c r="AC255" s="5"/>
      <c r="AD255" s="39">
        <f>(TABL12345[[#This Row],[( S/S+T/B) AJD]]*1000)-((TABL12345[[#This Row],[(STORGE DIFF.) AJD]]*1000)+TABL12345[[#This Row],[البخر  AJD]]+(TABL12345[[#This Row],[(A/B + A/S) AJD]]*1000))</f>
        <v>0</v>
      </c>
      <c r="AE255" s="41"/>
      <c r="AF255" s="43"/>
      <c r="AG255" s="43"/>
      <c r="AH255" s="6">
        <f>TABL12345[[#This Row],[ (RESV. STORGE) BER]]/10</f>
        <v>0</v>
      </c>
      <c r="AI255" s="41"/>
      <c r="AJ255" s="43">
        <f>TABL12345[[#This Row],[(A/B TOT) AJD]]-TABL12345[[#This Row],[BER_ IN]]</f>
        <v>0</v>
      </c>
      <c r="AK255" s="43"/>
      <c r="AL255" s="43"/>
      <c r="AM255" s="32"/>
      <c r="AN255" s="32">
        <f>TABL12345[[#This Row],[ (RESV. STORGE) SER]]/10</f>
        <v>0</v>
      </c>
      <c r="AO255" s="68"/>
      <c r="AP255" s="68">
        <f>TABL12345[[#This Row],[(A/S TOT) AJD]]-TABL12345[[#This Row],[SER_ IN]]</f>
        <v>0</v>
      </c>
    </row>
    <row r="256" spans="1:42" ht="18.75" x14ac:dyDescent="0.25">
      <c r="A256" s="2">
        <v>47007</v>
      </c>
      <c r="B256" s="44"/>
      <c r="C256" s="44"/>
      <c r="D256" s="44"/>
      <c r="E256" s="35"/>
      <c r="F256" s="44"/>
      <c r="G256" s="40"/>
      <c r="H256" s="28"/>
      <c r="I256" s="40"/>
      <c r="J256" s="44"/>
      <c r="K256" s="28">
        <f>TABL12345[[#This Row],[خط (T/B  TOT) SAR]]+TABL12345[[#This Row],[خط (S/S  TOT) SAR2]]</f>
        <v>0</v>
      </c>
      <c r="L256" s="45"/>
      <c r="M256" s="46"/>
      <c r="N256" s="46"/>
      <c r="O256" s="40"/>
      <c r="P256" s="9">
        <f>TABL12345[[#This Row],[خط (S/S  TOT) SAR2]]-TABL12345[[#This Row],[(S/S TOT) AJD]]</f>
        <v>0</v>
      </c>
      <c r="Q256" s="40"/>
      <c r="R256" s="9">
        <f>TABL12345[[#This Row],[خط (T/B  TOT) SAR]]-TABL12345[[#This Row],[(T/B TOT) AJD]]</f>
        <v>0</v>
      </c>
      <c r="S256" s="9">
        <f>TABL12345[[#This Row],[الفرق بين بداية ونهاية خط  S/S]]+TABL12345[[#This Row],[الفرق بين بداية ونهاية خط  T/B]]</f>
        <v>0</v>
      </c>
      <c r="T256" s="9">
        <f t="shared" si="12"/>
        <v>0</v>
      </c>
      <c r="U256" s="44"/>
      <c r="V256" s="44"/>
      <c r="W256" s="9">
        <f t="shared" si="13"/>
        <v>0</v>
      </c>
      <c r="X256" s="9">
        <f t="shared" si="14"/>
        <v>0</v>
      </c>
      <c r="Y256" s="44"/>
      <c r="Z256" s="45"/>
      <c r="AA256" s="3">
        <f>TABL12345[[#This Row],[(RESV. STORGE) AJD]]/10</f>
        <v>0</v>
      </c>
      <c r="AB256" s="45">
        <f t="shared" si="15"/>
        <v>0</v>
      </c>
      <c r="AC256" s="5"/>
      <c r="AD256" s="40">
        <f>(TABL12345[[#This Row],[( S/S+T/B) AJD]]*1000)-((TABL12345[[#This Row],[(STORGE DIFF.) AJD]]*1000)+TABL12345[[#This Row],[البخر  AJD]]+(TABL12345[[#This Row],[(A/B + A/S) AJD]]*1000))</f>
        <v>0</v>
      </c>
      <c r="AE256" s="44"/>
      <c r="AF256" s="45"/>
      <c r="AG256" s="45"/>
      <c r="AH256" s="6">
        <f>TABL12345[[#This Row],[ (RESV. STORGE) BER]]/10</f>
        <v>0</v>
      </c>
      <c r="AI256" s="44"/>
      <c r="AJ256" s="45">
        <f>TABL12345[[#This Row],[(A/B TOT) AJD]]-TABL12345[[#This Row],[BER_ IN]]</f>
        <v>0</v>
      </c>
      <c r="AK256" s="45"/>
      <c r="AL256" s="45"/>
      <c r="AM256" s="32"/>
      <c r="AN256" s="32">
        <f>TABL12345[[#This Row],[ (RESV. STORGE) SER]]/10</f>
        <v>0</v>
      </c>
      <c r="AO256" s="68"/>
      <c r="AP256" s="68">
        <f>TABL12345[[#This Row],[(A/S TOT) AJD]]-TABL12345[[#This Row],[SER_ IN]]</f>
        <v>0</v>
      </c>
    </row>
    <row r="257" spans="1:42" ht="18.75" x14ac:dyDescent="0.25">
      <c r="A257" s="2">
        <v>47008</v>
      </c>
      <c r="B257" s="41"/>
      <c r="C257" s="41"/>
      <c r="D257" s="41"/>
      <c r="E257" s="35"/>
      <c r="F257" s="41"/>
      <c r="G257" s="39"/>
      <c r="H257" s="28"/>
      <c r="I257" s="39"/>
      <c r="J257" s="39"/>
      <c r="K257" s="28">
        <f>TABL12345[[#This Row],[خط (T/B  TOT) SAR]]+TABL12345[[#This Row],[خط (S/S  TOT) SAR2]]</f>
        <v>0</v>
      </c>
      <c r="L257" s="41"/>
      <c r="M257" s="42"/>
      <c r="N257" s="42"/>
      <c r="O257" s="39"/>
      <c r="P257" s="9">
        <f>TABL12345[[#This Row],[خط (S/S  TOT) SAR2]]-TABL12345[[#This Row],[(S/S TOT) AJD]]</f>
        <v>0</v>
      </c>
      <c r="Q257" s="39"/>
      <c r="R257" s="9">
        <f>TABL12345[[#This Row],[خط (T/B  TOT) SAR]]-TABL12345[[#This Row],[(T/B TOT) AJD]]</f>
        <v>0</v>
      </c>
      <c r="S257" s="9">
        <f>TABL12345[[#This Row],[الفرق بين بداية ونهاية خط  S/S]]+TABL12345[[#This Row],[الفرق بين بداية ونهاية خط  T/B]]</f>
        <v>0</v>
      </c>
      <c r="T257" s="9">
        <f t="shared" si="12"/>
        <v>0</v>
      </c>
      <c r="U257" s="41"/>
      <c r="V257" s="41"/>
      <c r="W257" s="9">
        <f t="shared" si="13"/>
        <v>0</v>
      </c>
      <c r="X257" s="9">
        <f t="shared" si="14"/>
        <v>0</v>
      </c>
      <c r="Y257" s="41"/>
      <c r="Z257" s="43"/>
      <c r="AA257" s="3">
        <f>TABL12345[[#This Row],[(RESV. STORGE) AJD]]/10</f>
        <v>0</v>
      </c>
      <c r="AB257" s="45">
        <f t="shared" si="15"/>
        <v>0</v>
      </c>
      <c r="AC257" s="5"/>
      <c r="AD257" s="39">
        <f>(TABL12345[[#This Row],[( S/S+T/B) AJD]]*1000)-((TABL12345[[#This Row],[(STORGE DIFF.) AJD]]*1000)+TABL12345[[#This Row],[البخر  AJD]]+(TABL12345[[#This Row],[(A/B + A/S) AJD]]*1000))</f>
        <v>0</v>
      </c>
      <c r="AE257" s="41"/>
      <c r="AF257" s="43"/>
      <c r="AG257" s="43"/>
      <c r="AH257" s="6">
        <f>TABL12345[[#This Row],[ (RESV. STORGE) BER]]/10</f>
        <v>0</v>
      </c>
      <c r="AI257" s="41"/>
      <c r="AJ257" s="43">
        <f>TABL12345[[#This Row],[(A/B TOT) AJD]]-TABL12345[[#This Row],[BER_ IN]]</f>
        <v>0</v>
      </c>
      <c r="AK257" s="43"/>
      <c r="AL257" s="43"/>
      <c r="AM257" s="32"/>
      <c r="AN257" s="32">
        <f>TABL12345[[#This Row],[ (RESV. STORGE) SER]]/10</f>
        <v>0</v>
      </c>
      <c r="AO257" s="68"/>
      <c r="AP257" s="68">
        <f>TABL12345[[#This Row],[(A/S TOT) AJD]]-TABL12345[[#This Row],[SER_ IN]]</f>
        <v>0</v>
      </c>
    </row>
    <row r="258" spans="1:42" ht="18.75" x14ac:dyDescent="0.25">
      <c r="A258" s="2">
        <v>47009</v>
      </c>
      <c r="B258" s="44"/>
      <c r="C258" s="44"/>
      <c r="D258" s="44"/>
      <c r="E258" s="35"/>
      <c r="F258" s="44"/>
      <c r="G258" s="40"/>
      <c r="H258" s="28"/>
      <c r="I258" s="40"/>
      <c r="J258" s="44"/>
      <c r="K258" s="28">
        <f>TABL12345[[#This Row],[خط (T/B  TOT) SAR]]+TABL12345[[#This Row],[خط (S/S  TOT) SAR2]]</f>
        <v>0</v>
      </c>
      <c r="L258" s="45"/>
      <c r="M258" s="46"/>
      <c r="N258" s="46"/>
      <c r="O258" s="40"/>
      <c r="P258" s="9">
        <f>TABL12345[[#This Row],[خط (S/S  TOT) SAR2]]-TABL12345[[#This Row],[(S/S TOT) AJD]]</f>
        <v>0</v>
      </c>
      <c r="Q258" s="40"/>
      <c r="R258" s="9">
        <f>TABL12345[[#This Row],[خط (T/B  TOT) SAR]]-TABL12345[[#This Row],[(T/B TOT) AJD]]</f>
        <v>0</v>
      </c>
      <c r="S258" s="9">
        <f>TABL12345[[#This Row],[الفرق بين بداية ونهاية خط  S/S]]+TABL12345[[#This Row],[الفرق بين بداية ونهاية خط  T/B]]</f>
        <v>0</v>
      </c>
      <c r="T258" s="9">
        <f t="shared" ref="T258:T321" si="16">O258+Q258</f>
        <v>0</v>
      </c>
      <c r="U258" s="44"/>
      <c r="V258" s="44"/>
      <c r="W258" s="9">
        <f t="shared" ref="W258:W321" si="17">U258+V258</f>
        <v>0</v>
      </c>
      <c r="X258" s="9">
        <f t="shared" ref="X258:X321" si="18">T258-W258</f>
        <v>0</v>
      </c>
      <c r="Y258" s="44"/>
      <c r="Z258" s="45"/>
      <c r="AA258" s="3">
        <f>TABL12345[[#This Row],[(RESV. STORGE) AJD]]/10</f>
        <v>0</v>
      </c>
      <c r="AB258" s="45">
        <f t="shared" si="15"/>
        <v>0</v>
      </c>
      <c r="AC258" s="5"/>
      <c r="AD258" s="40">
        <f>(TABL12345[[#This Row],[( S/S+T/B) AJD]]*1000)-((TABL12345[[#This Row],[(STORGE DIFF.) AJD]]*1000)+TABL12345[[#This Row],[البخر  AJD]]+(TABL12345[[#This Row],[(A/B + A/S) AJD]]*1000))</f>
        <v>0</v>
      </c>
      <c r="AE258" s="44"/>
      <c r="AF258" s="45"/>
      <c r="AG258" s="45"/>
      <c r="AH258" s="6">
        <f>TABL12345[[#This Row],[ (RESV. STORGE) BER]]/10</f>
        <v>0</v>
      </c>
      <c r="AI258" s="44"/>
      <c r="AJ258" s="45">
        <f>TABL12345[[#This Row],[(A/B TOT) AJD]]-TABL12345[[#This Row],[BER_ IN]]</f>
        <v>0</v>
      </c>
      <c r="AK258" s="45"/>
      <c r="AL258" s="45"/>
      <c r="AM258" s="32"/>
      <c r="AN258" s="32">
        <f>TABL12345[[#This Row],[ (RESV. STORGE) SER]]/10</f>
        <v>0</v>
      </c>
      <c r="AO258" s="68"/>
      <c r="AP258" s="68">
        <f>TABL12345[[#This Row],[(A/S TOT) AJD]]-TABL12345[[#This Row],[SER_ IN]]</f>
        <v>0</v>
      </c>
    </row>
    <row r="259" spans="1:42" ht="18.75" x14ac:dyDescent="0.25">
      <c r="A259" s="2">
        <v>47010</v>
      </c>
      <c r="B259" s="41"/>
      <c r="C259" s="41"/>
      <c r="D259" s="41"/>
      <c r="E259" s="35"/>
      <c r="F259" s="41"/>
      <c r="G259" s="39"/>
      <c r="H259" s="28"/>
      <c r="I259" s="39"/>
      <c r="J259" s="39"/>
      <c r="K259" s="28">
        <f>TABL12345[[#This Row],[خط (T/B  TOT) SAR]]+TABL12345[[#This Row],[خط (S/S  TOT) SAR2]]</f>
        <v>0</v>
      </c>
      <c r="L259" s="41"/>
      <c r="M259" s="42"/>
      <c r="N259" s="42"/>
      <c r="O259" s="39"/>
      <c r="P259" s="9">
        <f>TABL12345[[#This Row],[خط (S/S  TOT) SAR2]]-TABL12345[[#This Row],[(S/S TOT) AJD]]</f>
        <v>0</v>
      </c>
      <c r="Q259" s="39"/>
      <c r="R259" s="9">
        <f>TABL12345[[#This Row],[خط (T/B  TOT) SAR]]-TABL12345[[#This Row],[(T/B TOT) AJD]]</f>
        <v>0</v>
      </c>
      <c r="S259" s="9">
        <f>TABL12345[[#This Row],[الفرق بين بداية ونهاية خط  S/S]]+TABL12345[[#This Row],[الفرق بين بداية ونهاية خط  T/B]]</f>
        <v>0</v>
      </c>
      <c r="T259" s="9">
        <f t="shared" si="16"/>
        <v>0</v>
      </c>
      <c r="U259" s="41"/>
      <c r="V259" s="41"/>
      <c r="W259" s="9">
        <f t="shared" si="17"/>
        <v>0</v>
      </c>
      <c r="X259" s="9">
        <f t="shared" si="18"/>
        <v>0</v>
      </c>
      <c r="Y259" s="41"/>
      <c r="Z259" s="43"/>
      <c r="AA259" s="3">
        <f>TABL12345[[#This Row],[(RESV. STORGE) AJD]]/10</f>
        <v>0</v>
      </c>
      <c r="AB259" s="45">
        <f t="shared" si="15"/>
        <v>0</v>
      </c>
      <c r="AC259" s="5"/>
      <c r="AD259" s="39">
        <f>(TABL12345[[#This Row],[( S/S+T/B) AJD]]*1000)-((TABL12345[[#This Row],[(STORGE DIFF.) AJD]]*1000)+TABL12345[[#This Row],[البخر  AJD]]+(TABL12345[[#This Row],[(A/B + A/S) AJD]]*1000))</f>
        <v>0</v>
      </c>
      <c r="AE259" s="41"/>
      <c r="AF259" s="43"/>
      <c r="AG259" s="43"/>
      <c r="AH259" s="6">
        <f>TABL12345[[#This Row],[ (RESV. STORGE) BER]]/10</f>
        <v>0</v>
      </c>
      <c r="AI259" s="41"/>
      <c r="AJ259" s="43">
        <f>TABL12345[[#This Row],[(A/B TOT) AJD]]-TABL12345[[#This Row],[BER_ IN]]</f>
        <v>0</v>
      </c>
      <c r="AK259" s="43"/>
      <c r="AL259" s="43"/>
      <c r="AM259" s="32"/>
      <c r="AN259" s="32">
        <f>TABL12345[[#This Row],[ (RESV. STORGE) SER]]/10</f>
        <v>0</v>
      </c>
      <c r="AO259" s="68"/>
      <c r="AP259" s="68">
        <f>TABL12345[[#This Row],[(A/S TOT) AJD]]-TABL12345[[#This Row],[SER_ IN]]</f>
        <v>0</v>
      </c>
    </row>
    <row r="260" spans="1:42" ht="18.75" x14ac:dyDescent="0.25">
      <c r="A260" s="2">
        <v>47011</v>
      </c>
      <c r="B260" s="44"/>
      <c r="C260" s="44"/>
      <c r="D260" s="44"/>
      <c r="E260" s="35"/>
      <c r="F260" s="44"/>
      <c r="G260" s="40"/>
      <c r="H260" s="28"/>
      <c r="I260" s="40"/>
      <c r="J260" s="44"/>
      <c r="K260" s="28">
        <f>TABL12345[[#This Row],[خط (T/B  TOT) SAR]]+TABL12345[[#This Row],[خط (S/S  TOT) SAR2]]</f>
        <v>0</v>
      </c>
      <c r="L260" s="45"/>
      <c r="M260" s="46"/>
      <c r="N260" s="46"/>
      <c r="O260" s="40"/>
      <c r="P260" s="9">
        <f>TABL12345[[#This Row],[خط (S/S  TOT) SAR2]]-TABL12345[[#This Row],[(S/S TOT) AJD]]</f>
        <v>0</v>
      </c>
      <c r="Q260" s="40"/>
      <c r="R260" s="9">
        <f>TABL12345[[#This Row],[خط (T/B  TOT) SAR]]-TABL12345[[#This Row],[(T/B TOT) AJD]]</f>
        <v>0</v>
      </c>
      <c r="S260" s="9">
        <f>TABL12345[[#This Row],[الفرق بين بداية ونهاية خط  S/S]]+TABL12345[[#This Row],[الفرق بين بداية ونهاية خط  T/B]]</f>
        <v>0</v>
      </c>
      <c r="T260" s="9">
        <f t="shared" si="16"/>
        <v>0</v>
      </c>
      <c r="U260" s="44"/>
      <c r="V260" s="44"/>
      <c r="W260" s="9">
        <f t="shared" si="17"/>
        <v>0</v>
      </c>
      <c r="X260" s="9">
        <f t="shared" si="18"/>
        <v>0</v>
      </c>
      <c r="Y260" s="44"/>
      <c r="Z260" s="45"/>
      <c r="AA260" s="3">
        <f>TABL12345[[#This Row],[(RESV. STORGE) AJD]]/10</f>
        <v>0</v>
      </c>
      <c r="AB260" s="45">
        <f t="shared" ref="AB260:AB323" si="19">(Z260-Z259)/1000</f>
        <v>0</v>
      </c>
      <c r="AC260" s="5"/>
      <c r="AD260" s="40">
        <f>(TABL12345[[#This Row],[( S/S+T/B) AJD]]*1000)-((TABL12345[[#This Row],[(STORGE DIFF.) AJD]]*1000)+TABL12345[[#This Row],[البخر  AJD]]+(TABL12345[[#This Row],[(A/B + A/S) AJD]]*1000))</f>
        <v>0</v>
      </c>
      <c r="AE260" s="44"/>
      <c r="AF260" s="45"/>
      <c r="AG260" s="45"/>
      <c r="AH260" s="6">
        <f>TABL12345[[#This Row],[ (RESV. STORGE) BER]]/10</f>
        <v>0</v>
      </c>
      <c r="AI260" s="44"/>
      <c r="AJ260" s="45">
        <f>TABL12345[[#This Row],[(A/B TOT) AJD]]-TABL12345[[#This Row],[BER_ IN]]</f>
        <v>0</v>
      </c>
      <c r="AK260" s="45"/>
      <c r="AL260" s="45"/>
      <c r="AM260" s="32"/>
      <c r="AN260" s="32">
        <f>TABL12345[[#This Row],[ (RESV. STORGE) SER]]/10</f>
        <v>0</v>
      </c>
      <c r="AO260" s="68"/>
      <c r="AP260" s="68">
        <f>TABL12345[[#This Row],[(A/S TOT) AJD]]-TABL12345[[#This Row],[SER_ IN]]</f>
        <v>0</v>
      </c>
    </row>
    <row r="261" spans="1:42" ht="18.75" x14ac:dyDescent="0.25">
      <c r="A261" s="2">
        <v>47012</v>
      </c>
      <c r="B261" s="41"/>
      <c r="C261" s="41"/>
      <c r="D261" s="41"/>
      <c r="E261" s="35"/>
      <c r="F261" s="41"/>
      <c r="G261" s="39"/>
      <c r="H261" s="28"/>
      <c r="I261" s="39"/>
      <c r="J261" s="39"/>
      <c r="K261" s="28">
        <f>TABL12345[[#This Row],[خط (T/B  TOT) SAR]]+TABL12345[[#This Row],[خط (S/S  TOT) SAR2]]</f>
        <v>0</v>
      </c>
      <c r="L261" s="41"/>
      <c r="M261" s="42"/>
      <c r="N261" s="42"/>
      <c r="O261" s="39"/>
      <c r="P261" s="9">
        <f>TABL12345[[#This Row],[خط (S/S  TOT) SAR2]]-TABL12345[[#This Row],[(S/S TOT) AJD]]</f>
        <v>0</v>
      </c>
      <c r="Q261" s="39"/>
      <c r="R261" s="9">
        <f>TABL12345[[#This Row],[خط (T/B  TOT) SAR]]-TABL12345[[#This Row],[(T/B TOT) AJD]]</f>
        <v>0</v>
      </c>
      <c r="S261" s="9">
        <f>TABL12345[[#This Row],[الفرق بين بداية ونهاية خط  S/S]]+TABL12345[[#This Row],[الفرق بين بداية ونهاية خط  T/B]]</f>
        <v>0</v>
      </c>
      <c r="T261" s="9">
        <f t="shared" si="16"/>
        <v>0</v>
      </c>
      <c r="U261" s="41"/>
      <c r="V261" s="41"/>
      <c r="W261" s="9">
        <f t="shared" si="17"/>
        <v>0</v>
      </c>
      <c r="X261" s="9">
        <f t="shared" si="18"/>
        <v>0</v>
      </c>
      <c r="Y261" s="41"/>
      <c r="Z261" s="43"/>
      <c r="AA261" s="3">
        <f>TABL12345[[#This Row],[(RESV. STORGE) AJD]]/10</f>
        <v>0</v>
      </c>
      <c r="AB261" s="45">
        <f t="shared" si="19"/>
        <v>0</v>
      </c>
      <c r="AC261" s="5"/>
      <c r="AD261" s="39">
        <f>(TABL12345[[#This Row],[( S/S+T/B) AJD]]*1000)-((TABL12345[[#This Row],[(STORGE DIFF.) AJD]]*1000)+TABL12345[[#This Row],[البخر  AJD]]+(TABL12345[[#This Row],[(A/B + A/S) AJD]]*1000))</f>
        <v>0</v>
      </c>
      <c r="AE261" s="41"/>
      <c r="AF261" s="43"/>
      <c r="AG261" s="43"/>
      <c r="AH261" s="6">
        <f>TABL12345[[#This Row],[ (RESV. STORGE) BER]]/10</f>
        <v>0</v>
      </c>
      <c r="AI261" s="41"/>
      <c r="AJ261" s="43">
        <f>TABL12345[[#This Row],[(A/B TOT) AJD]]-TABL12345[[#This Row],[BER_ IN]]</f>
        <v>0</v>
      </c>
      <c r="AK261" s="43"/>
      <c r="AL261" s="43"/>
      <c r="AM261" s="32"/>
      <c r="AN261" s="32">
        <f>TABL12345[[#This Row],[ (RESV. STORGE) SER]]/10</f>
        <v>0</v>
      </c>
      <c r="AO261" s="68"/>
      <c r="AP261" s="68">
        <f>TABL12345[[#This Row],[(A/S TOT) AJD]]-TABL12345[[#This Row],[SER_ IN]]</f>
        <v>0</v>
      </c>
    </row>
    <row r="262" spans="1:42" ht="18.75" x14ac:dyDescent="0.25">
      <c r="A262" s="2">
        <v>47013</v>
      </c>
      <c r="B262" s="44"/>
      <c r="C262" s="44"/>
      <c r="D262" s="44"/>
      <c r="E262" s="35"/>
      <c r="F262" s="44"/>
      <c r="G262" s="40"/>
      <c r="H262" s="28"/>
      <c r="I262" s="40"/>
      <c r="J262" s="44"/>
      <c r="K262" s="28">
        <f>TABL12345[[#This Row],[خط (T/B  TOT) SAR]]+TABL12345[[#This Row],[خط (S/S  TOT) SAR2]]</f>
        <v>0</v>
      </c>
      <c r="L262" s="45"/>
      <c r="M262" s="46"/>
      <c r="N262" s="46"/>
      <c r="O262" s="40"/>
      <c r="P262" s="9">
        <f>TABL12345[[#This Row],[خط (S/S  TOT) SAR2]]-TABL12345[[#This Row],[(S/S TOT) AJD]]</f>
        <v>0</v>
      </c>
      <c r="Q262" s="40"/>
      <c r="R262" s="9">
        <f>TABL12345[[#This Row],[خط (T/B  TOT) SAR]]-TABL12345[[#This Row],[(T/B TOT) AJD]]</f>
        <v>0</v>
      </c>
      <c r="S262" s="9">
        <f>TABL12345[[#This Row],[الفرق بين بداية ونهاية خط  S/S]]+TABL12345[[#This Row],[الفرق بين بداية ونهاية خط  T/B]]</f>
        <v>0</v>
      </c>
      <c r="T262" s="9">
        <f t="shared" si="16"/>
        <v>0</v>
      </c>
      <c r="U262" s="44"/>
      <c r="V262" s="44"/>
      <c r="W262" s="9">
        <f t="shared" si="17"/>
        <v>0</v>
      </c>
      <c r="X262" s="9">
        <f t="shared" si="18"/>
        <v>0</v>
      </c>
      <c r="Y262" s="44"/>
      <c r="Z262" s="45"/>
      <c r="AA262" s="3">
        <f>TABL12345[[#This Row],[(RESV. STORGE) AJD]]/10</f>
        <v>0</v>
      </c>
      <c r="AB262" s="45">
        <f t="shared" si="19"/>
        <v>0</v>
      </c>
      <c r="AC262" s="5"/>
      <c r="AD262" s="40">
        <f>(TABL12345[[#This Row],[( S/S+T/B) AJD]]*1000)-((TABL12345[[#This Row],[(STORGE DIFF.) AJD]]*1000)+TABL12345[[#This Row],[البخر  AJD]]+(TABL12345[[#This Row],[(A/B + A/S) AJD]]*1000))</f>
        <v>0</v>
      </c>
      <c r="AE262" s="44"/>
      <c r="AF262" s="45"/>
      <c r="AG262" s="45"/>
      <c r="AH262" s="6">
        <f>TABL12345[[#This Row],[ (RESV. STORGE) BER]]/10</f>
        <v>0</v>
      </c>
      <c r="AI262" s="44"/>
      <c r="AJ262" s="45">
        <f>TABL12345[[#This Row],[(A/B TOT) AJD]]-TABL12345[[#This Row],[BER_ IN]]</f>
        <v>0</v>
      </c>
      <c r="AK262" s="45"/>
      <c r="AL262" s="45"/>
      <c r="AM262" s="32"/>
      <c r="AN262" s="32">
        <f>TABL12345[[#This Row],[ (RESV. STORGE) SER]]/10</f>
        <v>0</v>
      </c>
      <c r="AO262" s="68"/>
      <c r="AP262" s="68">
        <f>TABL12345[[#This Row],[(A/S TOT) AJD]]-TABL12345[[#This Row],[SER_ IN]]</f>
        <v>0</v>
      </c>
    </row>
    <row r="263" spans="1:42" ht="18.75" x14ac:dyDescent="0.25">
      <c r="A263" s="2">
        <v>47014</v>
      </c>
      <c r="B263" s="41"/>
      <c r="C263" s="41"/>
      <c r="D263" s="41"/>
      <c r="E263" s="35"/>
      <c r="F263" s="41"/>
      <c r="G263" s="39"/>
      <c r="H263" s="28"/>
      <c r="I263" s="39"/>
      <c r="J263" s="39"/>
      <c r="K263" s="28">
        <f>TABL12345[[#This Row],[خط (T/B  TOT) SAR]]+TABL12345[[#This Row],[خط (S/S  TOT) SAR2]]</f>
        <v>0</v>
      </c>
      <c r="L263" s="41"/>
      <c r="M263" s="42"/>
      <c r="N263" s="42"/>
      <c r="O263" s="39"/>
      <c r="P263" s="9">
        <f>TABL12345[[#This Row],[خط (S/S  TOT) SAR2]]-TABL12345[[#This Row],[(S/S TOT) AJD]]</f>
        <v>0</v>
      </c>
      <c r="Q263" s="39"/>
      <c r="R263" s="9">
        <f>TABL12345[[#This Row],[خط (T/B  TOT) SAR]]-TABL12345[[#This Row],[(T/B TOT) AJD]]</f>
        <v>0</v>
      </c>
      <c r="S263" s="9">
        <f>TABL12345[[#This Row],[الفرق بين بداية ونهاية خط  S/S]]+TABL12345[[#This Row],[الفرق بين بداية ونهاية خط  T/B]]</f>
        <v>0</v>
      </c>
      <c r="T263" s="9">
        <f t="shared" si="16"/>
        <v>0</v>
      </c>
      <c r="U263" s="41"/>
      <c r="V263" s="41"/>
      <c r="W263" s="9">
        <f t="shared" si="17"/>
        <v>0</v>
      </c>
      <c r="X263" s="9">
        <f t="shared" si="18"/>
        <v>0</v>
      </c>
      <c r="Y263" s="41"/>
      <c r="Z263" s="43"/>
      <c r="AA263" s="3">
        <f>TABL12345[[#This Row],[(RESV. STORGE) AJD]]/10</f>
        <v>0</v>
      </c>
      <c r="AB263" s="45">
        <f t="shared" si="19"/>
        <v>0</v>
      </c>
      <c r="AC263" s="5"/>
      <c r="AD263" s="39">
        <f>(TABL12345[[#This Row],[( S/S+T/B) AJD]]*1000)-((TABL12345[[#This Row],[(STORGE DIFF.) AJD]]*1000)+TABL12345[[#This Row],[البخر  AJD]]+(TABL12345[[#This Row],[(A/B + A/S) AJD]]*1000))</f>
        <v>0</v>
      </c>
      <c r="AE263" s="41"/>
      <c r="AF263" s="43"/>
      <c r="AG263" s="43"/>
      <c r="AH263" s="6">
        <f>TABL12345[[#This Row],[ (RESV. STORGE) BER]]/10</f>
        <v>0</v>
      </c>
      <c r="AI263" s="41"/>
      <c r="AJ263" s="43">
        <f>TABL12345[[#This Row],[(A/B TOT) AJD]]-TABL12345[[#This Row],[BER_ IN]]</f>
        <v>0</v>
      </c>
      <c r="AK263" s="43"/>
      <c r="AL263" s="43"/>
      <c r="AM263" s="32"/>
      <c r="AN263" s="32">
        <f>TABL12345[[#This Row],[ (RESV. STORGE) SER]]/10</f>
        <v>0</v>
      </c>
      <c r="AO263" s="68"/>
      <c r="AP263" s="68">
        <f>TABL12345[[#This Row],[(A/S TOT) AJD]]-TABL12345[[#This Row],[SER_ IN]]</f>
        <v>0</v>
      </c>
    </row>
    <row r="264" spans="1:42" ht="18.75" x14ac:dyDescent="0.25">
      <c r="A264" s="2">
        <v>47015</v>
      </c>
      <c r="B264" s="44"/>
      <c r="C264" s="44"/>
      <c r="D264" s="44"/>
      <c r="E264" s="35"/>
      <c r="F264" s="44"/>
      <c r="G264" s="40"/>
      <c r="H264" s="28"/>
      <c r="I264" s="40"/>
      <c r="J264" s="44"/>
      <c r="K264" s="28">
        <f>TABL12345[[#This Row],[خط (T/B  TOT) SAR]]+TABL12345[[#This Row],[خط (S/S  TOT) SAR2]]</f>
        <v>0</v>
      </c>
      <c r="L264" s="45"/>
      <c r="M264" s="46"/>
      <c r="N264" s="46"/>
      <c r="O264" s="40"/>
      <c r="P264" s="9">
        <f>TABL12345[[#This Row],[خط (S/S  TOT) SAR2]]-TABL12345[[#This Row],[(S/S TOT) AJD]]</f>
        <v>0</v>
      </c>
      <c r="Q264" s="40"/>
      <c r="R264" s="9">
        <f>TABL12345[[#This Row],[خط (T/B  TOT) SAR]]-TABL12345[[#This Row],[(T/B TOT) AJD]]</f>
        <v>0</v>
      </c>
      <c r="S264" s="9">
        <f>TABL12345[[#This Row],[الفرق بين بداية ونهاية خط  S/S]]+TABL12345[[#This Row],[الفرق بين بداية ونهاية خط  T/B]]</f>
        <v>0</v>
      </c>
      <c r="T264" s="9">
        <f t="shared" si="16"/>
        <v>0</v>
      </c>
      <c r="U264" s="44"/>
      <c r="V264" s="44"/>
      <c r="W264" s="9">
        <f t="shared" si="17"/>
        <v>0</v>
      </c>
      <c r="X264" s="9">
        <f t="shared" si="18"/>
        <v>0</v>
      </c>
      <c r="Y264" s="44"/>
      <c r="Z264" s="45"/>
      <c r="AA264" s="3">
        <f>TABL12345[[#This Row],[(RESV. STORGE) AJD]]/10</f>
        <v>0</v>
      </c>
      <c r="AB264" s="45">
        <f t="shared" si="19"/>
        <v>0</v>
      </c>
      <c r="AC264" s="5"/>
      <c r="AD264" s="40">
        <f>(TABL12345[[#This Row],[( S/S+T/B) AJD]]*1000)-((TABL12345[[#This Row],[(STORGE DIFF.) AJD]]*1000)+TABL12345[[#This Row],[البخر  AJD]]+(TABL12345[[#This Row],[(A/B + A/S) AJD]]*1000))</f>
        <v>0</v>
      </c>
      <c r="AE264" s="44"/>
      <c r="AF264" s="45"/>
      <c r="AG264" s="45"/>
      <c r="AH264" s="6">
        <f>TABL12345[[#This Row],[ (RESV. STORGE) BER]]/10</f>
        <v>0</v>
      </c>
      <c r="AI264" s="44"/>
      <c r="AJ264" s="45">
        <f>TABL12345[[#This Row],[(A/B TOT) AJD]]-TABL12345[[#This Row],[BER_ IN]]</f>
        <v>0</v>
      </c>
      <c r="AK264" s="45"/>
      <c r="AL264" s="45"/>
      <c r="AM264" s="32"/>
      <c r="AN264" s="32">
        <f>TABL12345[[#This Row],[ (RESV. STORGE) SER]]/10</f>
        <v>0</v>
      </c>
      <c r="AO264" s="68"/>
      <c r="AP264" s="68">
        <f>TABL12345[[#This Row],[(A/S TOT) AJD]]-TABL12345[[#This Row],[SER_ IN]]</f>
        <v>0</v>
      </c>
    </row>
    <row r="265" spans="1:42" ht="18.75" x14ac:dyDescent="0.25">
      <c r="A265" s="2">
        <v>47016</v>
      </c>
      <c r="B265" s="41"/>
      <c r="C265" s="41"/>
      <c r="D265" s="41"/>
      <c r="E265" s="35"/>
      <c r="F265" s="41"/>
      <c r="G265" s="39"/>
      <c r="H265" s="28"/>
      <c r="I265" s="39"/>
      <c r="J265" s="39"/>
      <c r="K265" s="28">
        <f>TABL12345[[#This Row],[خط (T/B  TOT) SAR]]+TABL12345[[#This Row],[خط (S/S  TOT) SAR2]]</f>
        <v>0</v>
      </c>
      <c r="L265" s="41"/>
      <c r="M265" s="42"/>
      <c r="N265" s="42"/>
      <c r="O265" s="39"/>
      <c r="P265" s="9">
        <f>TABL12345[[#This Row],[خط (S/S  TOT) SAR2]]-TABL12345[[#This Row],[(S/S TOT) AJD]]</f>
        <v>0</v>
      </c>
      <c r="Q265" s="39"/>
      <c r="R265" s="9">
        <f>TABL12345[[#This Row],[خط (T/B  TOT) SAR]]-TABL12345[[#This Row],[(T/B TOT) AJD]]</f>
        <v>0</v>
      </c>
      <c r="S265" s="9">
        <f>TABL12345[[#This Row],[الفرق بين بداية ونهاية خط  S/S]]+TABL12345[[#This Row],[الفرق بين بداية ونهاية خط  T/B]]</f>
        <v>0</v>
      </c>
      <c r="T265" s="9">
        <f t="shared" si="16"/>
        <v>0</v>
      </c>
      <c r="U265" s="41"/>
      <c r="V265" s="41"/>
      <c r="W265" s="9">
        <f t="shared" si="17"/>
        <v>0</v>
      </c>
      <c r="X265" s="9">
        <f t="shared" si="18"/>
        <v>0</v>
      </c>
      <c r="Y265" s="41"/>
      <c r="Z265" s="43"/>
      <c r="AA265" s="3">
        <f>TABL12345[[#This Row],[(RESV. STORGE) AJD]]/10</f>
        <v>0</v>
      </c>
      <c r="AB265" s="45">
        <f t="shared" si="19"/>
        <v>0</v>
      </c>
      <c r="AC265" s="5"/>
      <c r="AD265" s="39">
        <f>(TABL12345[[#This Row],[( S/S+T/B) AJD]]*1000)-((TABL12345[[#This Row],[(STORGE DIFF.) AJD]]*1000)+TABL12345[[#This Row],[البخر  AJD]]+(TABL12345[[#This Row],[(A/B + A/S) AJD]]*1000))</f>
        <v>0</v>
      </c>
      <c r="AE265" s="41"/>
      <c r="AF265" s="43"/>
      <c r="AG265" s="43"/>
      <c r="AH265" s="6">
        <f>TABL12345[[#This Row],[ (RESV. STORGE) BER]]/10</f>
        <v>0</v>
      </c>
      <c r="AI265" s="41"/>
      <c r="AJ265" s="43">
        <f>TABL12345[[#This Row],[(A/B TOT) AJD]]-TABL12345[[#This Row],[BER_ IN]]</f>
        <v>0</v>
      </c>
      <c r="AK265" s="43"/>
      <c r="AL265" s="43"/>
      <c r="AM265" s="32"/>
      <c r="AN265" s="32">
        <f>TABL12345[[#This Row],[ (RESV. STORGE) SER]]/10</f>
        <v>0</v>
      </c>
      <c r="AO265" s="68"/>
      <c r="AP265" s="68">
        <f>TABL12345[[#This Row],[(A/S TOT) AJD]]-TABL12345[[#This Row],[SER_ IN]]</f>
        <v>0</v>
      </c>
    </row>
    <row r="266" spans="1:42" ht="18.75" x14ac:dyDescent="0.25">
      <c r="A266" s="2">
        <v>47017</v>
      </c>
      <c r="B266" s="44"/>
      <c r="C266" s="44"/>
      <c r="D266" s="44"/>
      <c r="E266" s="35"/>
      <c r="F266" s="44"/>
      <c r="G266" s="40"/>
      <c r="H266" s="28"/>
      <c r="I266" s="40"/>
      <c r="J266" s="44"/>
      <c r="K266" s="28">
        <f>TABL12345[[#This Row],[خط (T/B  TOT) SAR]]+TABL12345[[#This Row],[خط (S/S  TOT) SAR2]]</f>
        <v>0</v>
      </c>
      <c r="L266" s="45"/>
      <c r="M266" s="46"/>
      <c r="N266" s="46"/>
      <c r="O266" s="40"/>
      <c r="P266" s="9">
        <f>TABL12345[[#This Row],[خط (S/S  TOT) SAR2]]-TABL12345[[#This Row],[(S/S TOT) AJD]]</f>
        <v>0</v>
      </c>
      <c r="Q266" s="40"/>
      <c r="R266" s="9">
        <f>TABL12345[[#This Row],[خط (T/B  TOT) SAR]]-TABL12345[[#This Row],[(T/B TOT) AJD]]</f>
        <v>0</v>
      </c>
      <c r="S266" s="9">
        <f>TABL12345[[#This Row],[الفرق بين بداية ونهاية خط  S/S]]+TABL12345[[#This Row],[الفرق بين بداية ونهاية خط  T/B]]</f>
        <v>0</v>
      </c>
      <c r="T266" s="9">
        <f t="shared" si="16"/>
        <v>0</v>
      </c>
      <c r="U266" s="44"/>
      <c r="V266" s="44"/>
      <c r="W266" s="9">
        <f t="shared" si="17"/>
        <v>0</v>
      </c>
      <c r="X266" s="9">
        <f t="shared" si="18"/>
        <v>0</v>
      </c>
      <c r="Y266" s="44"/>
      <c r="Z266" s="45"/>
      <c r="AA266" s="3">
        <f>TABL12345[[#This Row],[(RESV. STORGE) AJD]]/10</f>
        <v>0</v>
      </c>
      <c r="AB266" s="45">
        <f t="shared" si="19"/>
        <v>0</v>
      </c>
      <c r="AC266" s="5"/>
      <c r="AD266" s="40">
        <f>(TABL12345[[#This Row],[( S/S+T/B) AJD]]*1000)-((TABL12345[[#This Row],[(STORGE DIFF.) AJD]]*1000)+TABL12345[[#This Row],[البخر  AJD]]+(TABL12345[[#This Row],[(A/B + A/S) AJD]]*1000))</f>
        <v>0</v>
      </c>
      <c r="AE266" s="44"/>
      <c r="AF266" s="45"/>
      <c r="AG266" s="45"/>
      <c r="AH266" s="6">
        <f>TABL12345[[#This Row],[ (RESV. STORGE) BER]]/10</f>
        <v>0</v>
      </c>
      <c r="AI266" s="44"/>
      <c r="AJ266" s="45">
        <f>TABL12345[[#This Row],[(A/B TOT) AJD]]-TABL12345[[#This Row],[BER_ IN]]</f>
        <v>0</v>
      </c>
      <c r="AK266" s="45"/>
      <c r="AL266" s="45"/>
      <c r="AM266" s="32"/>
      <c r="AN266" s="32">
        <f>TABL12345[[#This Row],[ (RESV. STORGE) SER]]/10</f>
        <v>0</v>
      </c>
      <c r="AO266" s="68"/>
      <c r="AP266" s="68">
        <f>TABL12345[[#This Row],[(A/S TOT) AJD]]-TABL12345[[#This Row],[SER_ IN]]</f>
        <v>0</v>
      </c>
    </row>
    <row r="267" spans="1:42" ht="18.75" x14ac:dyDescent="0.25">
      <c r="A267" s="2">
        <v>47018</v>
      </c>
      <c r="B267" s="41"/>
      <c r="C267" s="41"/>
      <c r="D267" s="41"/>
      <c r="E267" s="35"/>
      <c r="F267" s="41"/>
      <c r="G267" s="39"/>
      <c r="H267" s="28"/>
      <c r="I267" s="39"/>
      <c r="J267" s="39"/>
      <c r="K267" s="28">
        <f>TABL12345[[#This Row],[خط (T/B  TOT) SAR]]+TABL12345[[#This Row],[خط (S/S  TOT) SAR2]]</f>
        <v>0</v>
      </c>
      <c r="L267" s="41"/>
      <c r="M267" s="42"/>
      <c r="N267" s="42"/>
      <c r="O267" s="39"/>
      <c r="P267" s="9">
        <f>TABL12345[[#This Row],[خط (S/S  TOT) SAR2]]-TABL12345[[#This Row],[(S/S TOT) AJD]]</f>
        <v>0</v>
      </c>
      <c r="Q267" s="39"/>
      <c r="R267" s="9">
        <f>TABL12345[[#This Row],[خط (T/B  TOT) SAR]]-TABL12345[[#This Row],[(T/B TOT) AJD]]</f>
        <v>0</v>
      </c>
      <c r="S267" s="9">
        <f>TABL12345[[#This Row],[الفرق بين بداية ونهاية خط  S/S]]+TABL12345[[#This Row],[الفرق بين بداية ونهاية خط  T/B]]</f>
        <v>0</v>
      </c>
      <c r="T267" s="9">
        <f t="shared" si="16"/>
        <v>0</v>
      </c>
      <c r="U267" s="41"/>
      <c r="V267" s="41"/>
      <c r="W267" s="9">
        <f t="shared" si="17"/>
        <v>0</v>
      </c>
      <c r="X267" s="9">
        <f t="shared" si="18"/>
        <v>0</v>
      </c>
      <c r="Y267" s="41"/>
      <c r="Z267" s="43"/>
      <c r="AA267" s="3">
        <f>TABL12345[[#This Row],[(RESV. STORGE) AJD]]/10</f>
        <v>0</v>
      </c>
      <c r="AB267" s="45">
        <f t="shared" si="19"/>
        <v>0</v>
      </c>
      <c r="AC267" s="5"/>
      <c r="AD267" s="39">
        <f>(TABL12345[[#This Row],[( S/S+T/B) AJD]]*1000)-((TABL12345[[#This Row],[(STORGE DIFF.) AJD]]*1000)+TABL12345[[#This Row],[البخر  AJD]]+(TABL12345[[#This Row],[(A/B + A/S) AJD]]*1000))</f>
        <v>0</v>
      </c>
      <c r="AE267" s="41"/>
      <c r="AF267" s="43"/>
      <c r="AG267" s="43"/>
      <c r="AH267" s="6">
        <f>TABL12345[[#This Row],[ (RESV. STORGE) BER]]/10</f>
        <v>0</v>
      </c>
      <c r="AI267" s="41"/>
      <c r="AJ267" s="43">
        <f>TABL12345[[#This Row],[(A/B TOT) AJD]]-TABL12345[[#This Row],[BER_ IN]]</f>
        <v>0</v>
      </c>
      <c r="AK267" s="43"/>
      <c r="AL267" s="43"/>
      <c r="AM267" s="32"/>
      <c r="AN267" s="32">
        <f>TABL12345[[#This Row],[ (RESV. STORGE) SER]]/10</f>
        <v>0</v>
      </c>
      <c r="AO267" s="68"/>
      <c r="AP267" s="68">
        <f>TABL12345[[#This Row],[(A/S TOT) AJD]]-TABL12345[[#This Row],[SER_ IN]]</f>
        <v>0</v>
      </c>
    </row>
    <row r="268" spans="1:42" ht="18.75" x14ac:dyDescent="0.25">
      <c r="A268" s="2">
        <v>47019</v>
      </c>
      <c r="B268" s="44"/>
      <c r="C268" s="44"/>
      <c r="D268" s="44"/>
      <c r="E268" s="35"/>
      <c r="F268" s="44"/>
      <c r="G268" s="40"/>
      <c r="H268" s="28"/>
      <c r="I268" s="40"/>
      <c r="J268" s="44"/>
      <c r="K268" s="28">
        <f>TABL12345[[#This Row],[خط (T/B  TOT) SAR]]+TABL12345[[#This Row],[خط (S/S  TOT) SAR2]]</f>
        <v>0</v>
      </c>
      <c r="L268" s="45"/>
      <c r="M268" s="46"/>
      <c r="N268" s="46"/>
      <c r="O268" s="40"/>
      <c r="P268" s="9">
        <f>TABL12345[[#This Row],[خط (S/S  TOT) SAR2]]-TABL12345[[#This Row],[(S/S TOT) AJD]]</f>
        <v>0</v>
      </c>
      <c r="Q268" s="40"/>
      <c r="R268" s="9">
        <f>TABL12345[[#This Row],[خط (T/B  TOT) SAR]]-TABL12345[[#This Row],[(T/B TOT) AJD]]</f>
        <v>0</v>
      </c>
      <c r="S268" s="9">
        <f>TABL12345[[#This Row],[الفرق بين بداية ونهاية خط  S/S]]+TABL12345[[#This Row],[الفرق بين بداية ونهاية خط  T/B]]</f>
        <v>0</v>
      </c>
      <c r="T268" s="9">
        <f t="shared" si="16"/>
        <v>0</v>
      </c>
      <c r="U268" s="44"/>
      <c r="V268" s="44"/>
      <c r="W268" s="9">
        <f t="shared" si="17"/>
        <v>0</v>
      </c>
      <c r="X268" s="9">
        <f t="shared" si="18"/>
        <v>0</v>
      </c>
      <c r="Y268" s="44"/>
      <c r="Z268" s="45"/>
      <c r="AA268" s="3">
        <f>TABL12345[[#This Row],[(RESV. STORGE) AJD]]/10</f>
        <v>0</v>
      </c>
      <c r="AB268" s="45">
        <f t="shared" si="19"/>
        <v>0</v>
      </c>
      <c r="AC268" s="5"/>
      <c r="AD268" s="40">
        <f>(TABL12345[[#This Row],[( S/S+T/B) AJD]]*1000)-((TABL12345[[#This Row],[(STORGE DIFF.) AJD]]*1000)+TABL12345[[#This Row],[البخر  AJD]]+(TABL12345[[#This Row],[(A/B + A/S) AJD]]*1000))</f>
        <v>0</v>
      </c>
      <c r="AE268" s="44"/>
      <c r="AF268" s="45"/>
      <c r="AG268" s="45"/>
      <c r="AH268" s="6">
        <f>TABL12345[[#This Row],[ (RESV. STORGE) BER]]/10</f>
        <v>0</v>
      </c>
      <c r="AI268" s="44"/>
      <c r="AJ268" s="45">
        <f>TABL12345[[#This Row],[(A/B TOT) AJD]]-TABL12345[[#This Row],[BER_ IN]]</f>
        <v>0</v>
      </c>
      <c r="AK268" s="45"/>
      <c r="AL268" s="45"/>
      <c r="AM268" s="32"/>
      <c r="AN268" s="32">
        <f>TABL12345[[#This Row],[ (RESV. STORGE) SER]]/10</f>
        <v>0</v>
      </c>
      <c r="AO268" s="68"/>
      <c r="AP268" s="68">
        <f>TABL12345[[#This Row],[(A/S TOT) AJD]]-TABL12345[[#This Row],[SER_ IN]]</f>
        <v>0</v>
      </c>
    </row>
    <row r="269" spans="1:42" ht="18.75" x14ac:dyDescent="0.25">
      <c r="A269" s="2">
        <v>47020</v>
      </c>
      <c r="B269" s="41"/>
      <c r="C269" s="41"/>
      <c r="D269" s="41"/>
      <c r="E269" s="35"/>
      <c r="F269" s="41"/>
      <c r="G269" s="39"/>
      <c r="H269" s="28"/>
      <c r="I269" s="39"/>
      <c r="J269" s="39"/>
      <c r="K269" s="28">
        <f>TABL12345[[#This Row],[خط (T/B  TOT) SAR]]+TABL12345[[#This Row],[خط (S/S  TOT) SAR2]]</f>
        <v>0</v>
      </c>
      <c r="L269" s="41"/>
      <c r="M269" s="42"/>
      <c r="N269" s="42"/>
      <c r="O269" s="39"/>
      <c r="P269" s="9">
        <f>TABL12345[[#This Row],[خط (S/S  TOT) SAR2]]-TABL12345[[#This Row],[(S/S TOT) AJD]]</f>
        <v>0</v>
      </c>
      <c r="Q269" s="39"/>
      <c r="R269" s="9">
        <f>TABL12345[[#This Row],[خط (T/B  TOT) SAR]]-TABL12345[[#This Row],[(T/B TOT) AJD]]</f>
        <v>0</v>
      </c>
      <c r="S269" s="9">
        <f>TABL12345[[#This Row],[الفرق بين بداية ونهاية خط  S/S]]+TABL12345[[#This Row],[الفرق بين بداية ونهاية خط  T/B]]</f>
        <v>0</v>
      </c>
      <c r="T269" s="9">
        <f t="shared" si="16"/>
        <v>0</v>
      </c>
      <c r="U269" s="41"/>
      <c r="V269" s="41"/>
      <c r="W269" s="9">
        <f t="shared" si="17"/>
        <v>0</v>
      </c>
      <c r="X269" s="9">
        <f t="shared" si="18"/>
        <v>0</v>
      </c>
      <c r="Y269" s="41"/>
      <c r="Z269" s="43"/>
      <c r="AA269" s="3">
        <f>TABL12345[[#This Row],[(RESV. STORGE) AJD]]/10</f>
        <v>0</v>
      </c>
      <c r="AB269" s="45">
        <f t="shared" si="19"/>
        <v>0</v>
      </c>
      <c r="AC269" s="5"/>
      <c r="AD269" s="39">
        <f>(TABL12345[[#This Row],[( S/S+T/B) AJD]]*1000)-((TABL12345[[#This Row],[(STORGE DIFF.) AJD]]*1000)+TABL12345[[#This Row],[البخر  AJD]]+(TABL12345[[#This Row],[(A/B + A/S) AJD]]*1000))</f>
        <v>0</v>
      </c>
      <c r="AE269" s="41"/>
      <c r="AF269" s="43"/>
      <c r="AG269" s="43"/>
      <c r="AH269" s="6">
        <f>TABL12345[[#This Row],[ (RESV. STORGE) BER]]/10</f>
        <v>0</v>
      </c>
      <c r="AI269" s="41"/>
      <c r="AJ269" s="43">
        <f>TABL12345[[#This Row],[(A/B TOT) AJD]]-TABL12345[[#This Row],[BER_ IN]]</f>
        <v>0</v>
      </c>
      <c r="AK269" s="43"/>
      <c r="AL269" s="43"/>
      <c r="AM269" s="32"/>
      <c r="AN269" s="32">
        <f>TABL12345[[#This Row],[ (RESV. STORGE) SER]]/10</f>
        <v>0</v>
      </c>
      <c r="AO269" s="68"/>
      <c r="AP269" s="68">
        <f>TABL12345[[#This Row],[(A/S TOT) AJD]]-TABL12345[[#This Row],[SER_ IN]]</f>
        <v>0</v>
      </c>
    </row>
    <row r="270" spans="1:42" ht="18.75" x14ac:dyDescent="0.25">
      <c r="A270" s="2">
        <v>47021</v>
      </c>
      <c r="B270" s="44"/>
      <c r="C270" s="44"/>
      <c r="D270" s="44"/>
      <c r="E270" s="35"/>
      <c r="F270" s="44"/>
      <c r="G270" s="40"/>
      <c r="H270" s="28"/>
      <c r="I270" s="40"/>
      <c r="J270" s="44"/>
      <c r="K270" s="28">
        <f>TABL12345[[#This Row],[خط (T/B  TOT) SAR]]+TABL12345[[#This Row],[خط (S/S  TOT) SAR2]]</f>
        <v>0</v>
      </c>
      <c r="L270" s="45"/>
      <c r="M270" s="46"/>
      <c r="N270" s="46"/>
      <c r="O270" s="40"/>
      <c r="P270" s="9">
        <f>TABL12345[[#This Row],[خط (S/S  TOT) SAR2]]-TABL12345[[#This Row],[(S/S TOT) AJD]]</f>
        <v>0</v>
      </c>
      <c r="Q270" s="40"/>
      <c r="R270" s="9">
        <f>TABL12345[[#This Row],[خط (T/B  TOT) SAR]]-TABL12345[[#This Row],[(T/B TOT) AJD]]</f>
        <v>0</v>
      </c>
      <c r="S270" s="9">
        <f>TABL12345[[#This Row],[الفرق بين بداية ونهاية خط  S/S]]+TABL12345[[#This Row],[الفرق بين بداية ونهاية خط  T/B]]</f>
        <v>0</v>
      </c>
      <c r="T270" s="9">
        <f t="shared" si="16"/>
        <v>0</v>
      </c>
      <c r="U270" s="44"/>
      <c r="V270" s="44"/>
      <c r="W270" s="9">
        <f t="shared" si="17"/>
        <v>0</v>
      </c>
      <c r="X270" s="9">
        <f t="shared" si="18"/>
        <v>0</v>
      </c>
      <c r="Y270" s="44"/>
      <c r="Z270" s="45"/>
      <c r="AA270" s="3">
        <f>TABL12345[[#This Row],[(RESV. STORGE) AJD]]/10</f>
        <v>0</v>
      </c>
      <c r="AB270" s="45">
        <f t="shared" si="19"/>
        <v>0</v>
      </c>
      <c r="AC270" s="5"/>
      <c r="AD270" s="40">
        <f>(TABL12345[[#This Row],[( S/S+T/B) AJD]]*1000)-((TABL12345[[#This Row],[(STORGE DIFF.) AJD]]*1000)+TABL12345[[#This Row],[البخر  AJD]]+(TABL12345[[#This Row],[(A/B + A/S) AJD]]*1000))</f>
        <v>0</v>
      </c>
      <c r="AE270" s="44"/>
      <c r="AF270" s="45"/>
      <c r="AG270" s="45"/>
      <c r="AH270" s="6">
        <f>TABL12345[[#This Row],[ (RESV. STORGE) BER]]/10</f>
        <v>0</v>
      </c>
      <c r="AI270" s="44"/>
      <c r="AJ270" s="45">
        <f>TABL12345[[#This Row],[(A/B TOT) AJD]]-TABL12345[[#This Row],[BER_ IN]]</f>
        <v>0</v>
      </c>
      <c r="AK270" s="45"/>
      <c r="AL270" s="45"/>
      <c r="AM270" s="32"/>
      <c r="AN270" s="32">
        <f>TABL12345[[#This Row],[ (RESV. STORGE) SER]]/10</f>
        <v>0</v>
      </c>
      <c r="AO270" s="68"/>
      <c r="AP270" s="68">
        <f>TABL12345[[#This Row],[(A/S TOT) AJD]]-TABL12345[[#This Row],[SER_ IN]]</f>
        <v>0</v>
      </c>
    </row>
    <row r="271" spans="1:42" ht="18.75" x14ac:dyDescent="0.25">
      <c r="A271" s="2">
        <v>47022</v>
      </c>
      <c r="B271" s="28"/>
      <c r="C271" s="28"/>
      <c r="D271" s="28"/>
      <c r="E271" s="35"/>
      <c r="F271" s="41"/>
      <c r="G271" s="39"/>
      <c r="H271" s="28"/>
      <c r="I271" s="28"/>
      <c r="J271" s="28"/>
      <c r="K271" s="28">
        <f>TABL12345[[#This Row],[خط (T/B  TOT) SAR]]+TABL12345[[#This Row],[خط (S/S  TOT) SAR2]]</f>
        <v>0</v>
      </c>
      <c r="L271" s="41"/>
      <c r="M271" s="42"/>
      <c r="N271" s="42"/>
      <c r="O271" s="39"/>
      <c r="P271" s="9">
        <f>TABL12345[[#This Row],[خط (S/S  TOT) SAR2]]-TABL12345[[#This Row],[(S/S TOT) AJD]]</f>
        <v>0</v>
      </c>
      <c r="Q271" s="9"/>
      <c r="R271" s="9">
        <f>TABL12345[[#This Row],[خط (T/B  TOT) SAR]]-TABL12345[[#This Row],[(T/B TOT) AJD]]</f>
        <v>0</v>
      </c>
      <c r="S271" s="9">
        <f>TABL12345[[#This Row],[الفرق بين بداية ونهاية خط  S/S]]+TABL12345[[#This Row],[الفرق بين بداية ونهاية خط  T/B]]</f>
        <v>0</v>
      </c>
      <c r="T271" s="9">
        <f t="shared" si="16"/>
        <v>0</v>
      </c>
      <c r="U271" s="41"/>
      <c r="V271" s="41"/>
      <c r="W271" s="9">
        <f t="shared" si="17"/>
        <v>0</v>
      </c>
      <c r="X271" s="9">
        <f t="shared" si="18"/>
        <v>0</v>
      </c>
      <c r="Y271" s="41"/>
      <c r="Z271" s="43"/>
      <c r="AA271" s="3">
        <f>TABL12345[[#This Row],[(RESV. STORGE) AJD]]/10</f>
        <v>0</v>
      </c>
      <c r="AB271" s="45">
        <f t="shared" si="19"/>
        <v>0</v>
      </c>
      <c r="AC271" s="5"/>
      <c r="AD271" s="39">
        <f>(TABL12345[[#This Row],[( S/S+T/B) AJD]]*1000)-((TABL12345[[#This Row],[(STORGE DIFF.) AJD]]*1000)+TABL12345[[#This Row],[البخر  AJD]]+(TABL12345[[#This Row],[(A/B + A/S) AJD]]*1000))</f>
        <v>0</v>
      </c>
      <c r="AE271" s="41"/>
      <c r="AF271" s="43"/>
      <c r="AG271" s="43"/>
      <c r="AH271" s="6">
        <f>TABL12345[[#This Row],[ (RESV. STORGE) BER]]/10</f>
        <v>0</v>
      </c>
      <c r="AI271" s="41"/>
      <c r="AJ271" s="43">
        <f>TABL12345[[#This Row],[(A/B TOT) AJD]]-TABL12345[[#This Row],[BER_ IN]]</f>
        <v>0</v>
      </c>
      <c r="AK271" s="43"/>
      <c r="AL271" s="43"/>
      <c r="AM271" s="32"/>
      <c r="AN271" s="32">
        <f>TABL12345[[#This Row],[ (RESV. STORGE) SER]]/10</f>
        <v>0</v>
      </c>
      <c r="AO271" s="68"/>
      <c r="AP271" s="68">
        <f>TABL12345[[#This Row],[(A/S TOT) AJD]]-TABL12345[[#This Row],[SER_ IN]]</f>
        <v>0</v>
      </c>
    </row>
    <row r="272" spans="1:42" ht="18.75" x14ac:dyDescent="0.25">
      <c r="A272" s="2">
        <v>47023</v>
      </c>
      <c r="B272" s="28"/>
      <c r="C272" s="28"/>
      <c r="D272" s="28"/>
      <c r="E272" s="35"/>
      <c r="F272" s="44"/>
      <c r="G272" s="40"/>
      <c r="H272" s="28"/>
      <c r="I272" s="28"/>
      <c r="J272" s="28"/>
      <c r="K272" s="28">
        <f>TABL12345[[#This Row],[خط (T/B  TOT) SAR]]+TABL12345[[#This Row],[خط (S/S  TOT) SAR2]]</f>
        <v>0</v>
      </c>
      <c r="L272" s="45"/>
      <c r="M272" s="46"/>
      <c r="N272" s="46"/>
      <c r="O272" s="9"/>
      <c r="P272" s="9">
        <f>TABL12345[[#This Row],[خط (S/S  TOT) SAR2]]-TABL12345[[#This Row],[(S/S TOT) AJD]]</f>
        <v>0</v>
      </c>
      <c r="Q272" s="9"/>
      <c r="R272" s="9">
        <f>TABL12345[[#This Row],[خط (T/B  TOT) SAR]]-TABL12345[[#This Row],[(T/B TOT) AJD]]</f>
        <v>0</v>
      </c>
      <c r="S272" s="9">
        <f>TABL12345[[#This Row],[الفرق بين بداية ونهاية خط  S/S]]+TABL12345[[#This Row],[الفرق بين بداية ونهاية خط  T/B]]</f>
        <v>0</v>
      </c>
      <c r="T272" s="9">
        <f t="shared" si="16"/>
        <v>0</v>
      </c>
      <c r="U272" s="9"/>
      <c r="V272" s="9"/>
      <c r="W272" s="9">
        <f t="shared" si="17"/>
        <v>0</v>
      </c>
      <c r="X272" s="9">
        <f t="shared" si="18"/>
        <v>0</v>
      </c>
      <c r="Y272" s="18"/>
      <c r="Z272" s="9"/>
      <c r="AA272" s="3">
        <f>TABL12345[[#This Row],[(RESV. STORGE) AJD]]/10</f>
        <v>0</v>
      </c>
      <c r="AB272" s="45">
        <f t="shared" si="19"/>
        <v>0</v>
      </c>
      <c r="AC272" s="5"/>
      <c r="AD272" s="40">
        <f>(TABL12345[[#This Row],[( S/S+T/B) AJD]]*1000)-((TABL12345[[#This Row],[(STORGE DIFF.) AJD]]*1000)+TABL12345[[#This Row],[البخر  AJD]]+(TABL12345[[#This Row],[(A/B + A/S) AJD]]*1000))</f>
        <v>0</v>
      </c>
      <c r="AE272" s="44"/>
      <c r="AF272" s="45"/>
      <c r="AG272" s="45"/>
      <c r="AH272" s="6">
        <f>TABL12345[[#This Row],[ (RESV. STORGE) BER]]/10</f>
        <v>0</v>
      </c>
      <c r="AI272" s="6"/>
      <c r="AJ272" s="33">
        <f>TABL12345[[#This Row],[(A/B TOT) AJD]]-TABL12345[[#This Row],[BER_ IN]]</f>
        <v>0</v>
      </c>
      <c r="AK272" s="6"/>
      <c r="AL272" s="6"/>
      <c r="AM272" s="32"/>
      <c r="AN272" s="32">
        <f>TABL12345[[#This Row],[ (RESV. STORGE) SER]]/10</f>
        <v>0</v>
      </c>
      <c r="AO272" s="68"/>
      <c r="AP272" s="68">
        <f>TABL12345[[#This Row],[(A/S TOT) AJD]]-TABL12345[[#This Row],[SER_ IN]]</f>
        <v>0</v>
      </c>
    </row>
    <row r="273" spans="1:42" ht="18.75" x14ac:dyDescent="0.25">
      <c r="A273" s="2">
        <v>47024</v>
      </c>
      <c r="B273" s="28"/>
      <c r="C273" s="28"/>
      <c r="D273" s="28"/>
      <c r="E273" s="35"/>
      <c r="F273" s="28"/>
      <c r="G273" s="28"/>
      <c r="H273" s="28"/>
      <c r="I273" s="28"/>
      <c r="J273" s="28"/>
      <c r="K273" s="28">
        <f>TABL12345[[#This Row],[خط (T/B  TOT) SAR]]+TABL12345[[#This Row],[خط (S/S  TOT) SAR2]]</f>
        <v>0</v>
      </c>
      <c r="L273" s="28"/>
      <c r="M273" s="29"/>
      <c r="N273" s="30"/>
      <c r="O273" s="9"/>
      <c r="P273" s="9">
        <f>TABL12345[[#This Row],[خط (S/S  TOT) SAR2]]-TABL12345[[#This Row],[(S/S TOT) AJD]]</f>
        <v>0</v>
      </c>
      <c r="Q273" s="9"/>
      <c r="R273" s="9">
        <f>TABL12345[[#This Row],[خط (T/B  TOT) SAR]]-TABL12345[[#This Row],[(T/B TOT) AJD]]</f>
        <v>0</v>
      </c>
      <c r="S273" s="9">
        <f>TABL12345[[#This Row],[الفرق بين بداية ونهاية خط  S/S]]+TABL12345[[#This Row],[الفرق بين بداية ونهاية خط  T/B]]</f>
        <v>0</v>
      </c>
      <c r="T273" s="9">
        <f t="shared" si="16"/>
        <v>0</v>
      </c>
      <c r="U273" s="9"/>
      <c r="V273" s="9"/>
      <c r="W273" s="9">
        <f t="shared" si="17"/>
        <v>0</v>
      </c>
      <c r="X273" s="9">
        <f t="shared" si="18"/>
        <v>0</v>
      </c>
      <c r="Y273" s="18"/>
      <c r="Z273" s="9"/>
      <c r="AA273" s="3">
        <f>TABL12345[[#This Row],[(RESV. STORGE) AJD]]/10</f>
        <v>0</v>
      </c>
      <c r="AB273" s="45">
        <f t="shared" si="19"/>
        <v>0</v>
      </c>
      <c r="AC273" s="5"/>
      <c r="AD273" s="39">
        <f>(TABL12345[[#This Row],[( S/S+T/B) AJD]]*1000)-((TABL12345[[#This Row],[(STORGE DIFF.) AJD]]*1000)+TABL12345[[#This Row],[البخر  AJD]]+(TABL12345[[#This Row],[(A/B + A/S) AJD]]*1000))</f>
        <v>0</v>
      </c>
      <c r="AE273" s="41"/>
      <c r="AF273" s="43"/>
      <c r="AG273" s="43"/>
      <c r="AH273" s="6">
        <f>TABL12345[[#This Row],[ (RESV. STORGE) BER]]/10</f>
        <v>0</v>
      </c>
      <c r="AI273" s="6"/>
      <c r="AJ273" s="33">
        <f>TABL12345[[#This Row],[(A/B TOT) AJD]]-TABL12345[[#This Row],[BER_ IN]]</f>
        <v>0</v>
      </c>
      <c r="AK273" s="6"/>
      <c r="AL273" s="6"/>
      <c r="AM273" s="32"/>
      <c r="AN273" s="32">
        <f>TABL12345[[#This Row],[ (RESV. STORGE) SER]]/10</f>
        <v>0</v>
      </c>
      <c r="AO273" s="68"/>
      <c r="AP273" s="68">
        <f>TABL12345[[#This Row],[(A/S TOT) AJD]]-TABL12345[[#This Row],[SER_ IN]]</f>
        <v>0</v>
      </c>
    </row>
    <row r="274" spans="1:42" ht="18.75" x14ac:dyDescent="0.25">
      <c r="A274" s="2">
        <v>47025</v>
      </c>
      <c r="B274" s="28"/>
      <c r="C274" s="28"/>
      <c r="D274" s="28"/>
      <c r="E274" s="35"/>
      <c r="F274" s="28"/>
      <c r="G274" s="28"/>
      <c r="H274" s="28"/>
      <c r="I274" s="28"/>
      <c r="J274" s="28"/>
      <c r="K274" s="28">
        <f>TABL12345[[#This Row],[خط (T/B  TOT) SAR]]+TABL12345[[#This Row],[خط (S/S  TOT) SAR2]]</f>
        <v>0</v>
      </c>
      <c r="L274" s="28"/>
      <c r="M274" s="29"/>
      <c r="N274" s="30"/>
      <c r="O274" s="9"/>
      <c r="P274" s="9">
        <f>TABL12345[[#This Row],[خط (S/S  TOT) SAR2]]-TABL12345[[#This Row],[(S/S TOT) AJD]]</f>
        <v>0</v>
      </c>
      <c r="Q274" s="9"/>
      <c r="R274" s="9">
        <f>TABL12345[[#This Row],[خط (T/B  TOT) SAR]]-TABL12345[[#This Row],[(T/B TOT) AJD]]</f>
        <v>0</v>
      </c>
      <c r="S274" s="9">
        <f>TABL12345[[#This Row],[الفرق بين بداية ونهاية خط  S/S]]+TABL12345[[#This Row],[الفرق بين بداية ونهاية خط  T/B]]</f>
        <v>0</v>
      </c>
      <c r="T274" s="9">
        <f t="shared" si="16"/>
        <v>0</v>
      </c>
      <c r="U274" s="9"/>
      <c r="V274" s="9"/>
      <c r="W274" s="9">
        <f t="shared" si="17"/>
        <v>0</v>
      </c>
      <c r="X274" s="9">
        <f t="shared" si="18"/>
        <v>0</v>
      </c>
      <c r="Y274" s="18"/>
      <c r="Z274" s="9"/>
      <c r="AA274" s="3">
        <f>TABL12345[[#This Row],[(RESV. STORGE) AJD]]/10</f>
        <v>0</v>
      </c>
      <c r="AB274" s="45">
        <f t="shared" si="19"/>
        <v>0</v>
      </c>
      <c r="AC274" s="5"/>
      <c r="AD274" s="6">
        <f>(TABL12345[[#This Row],[( S/S+T/B) AJD]]*1000)-((TABL12345[[#This Row],[(STORGE DIFF.) AJD]]*1000)+TABL12345[[#This Row],[البخر  AJD]]+(TABL12345[[#This Row],[(A/B + A/S) AJD]]*1000))</f>
        <v>0</v>
      </c>
      <c r="AE274" s="33"/>
      <c r="AF274" s="6"/>
      <c r="AG274" s="6"/>
      <c r="AH274" s="6">
        <f>TABL12345[[#This Row],[ (RESV. STORGE) BER]]/10</f>
        <v>0</v>
      </c>
      <c r="AI274" s="6"/>
      <c r="AJ274" s="33">
        <f>TABL12345[[#This Row],[(A/B TOT) AJD]]-TABL12345[[#This Row],[BER_ IN]]</f>
        <v>0</v>
      </c>
      <c r="AK274" s="6"/>
      <c r="AL274" s="6"/>
      <c r="AM274" s="32"/>
      <c r="AN274" s="32">
        <f>TABL12345[[#This Row],[ (RESV. STORGE) SER]]/10</f>
        <v>0</v>
      </c>
      <c r="AO274" s="68"/>
      <c r="AP274" s="68">
        <f>TABL12345[[#This Row],[(A/S TOT) AJD]]-TABL12345[[#This Row],[SER_ IN]]</f>
        <v>0</v>
      </c>
    </row>
    <row r="275" spans="1:42" ht="18.75" x14ac:dyDescent="0.25">
      <c r="A275" s="2">
        <v>47026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>
        <f>TABL12345[[#This Row],[خط (T/B  TOT) SAR]]+TABL12345[[#This Row],[خط (S/S  TOT) SAR2]]</f>
        <v>0</v>
      </c>
      <c r="L275" s="28"/>
      <c r="M275" s="29"/>
      <c r="N275" s="30"/>
      <c r="O275" s="14"/>
      <c r="P275" s="9">
        <f>TABL12345[[#This Row],[خط (S/S  TOT) SAR2]]-TABL12345[[#This Row],[(S/S TOT) AJD]]</f>
        <v>0</v>
      </c>
      <c r="Q275" s="14"/>
      <c r="R275" s="9">
        <f>TABL12345[[#This Row],[خط (T/B  TOT) SAR]]-TABL12345[[#This Row],[(T/B TOT) AJD]]</f>
        <v>0</v>
      </c>
      <c r="S275" s="9">
        <f>TABL12345[[#This Row],[الفرق بين بداية ونهاية خط  S/S]]+TABL12345[[#This Row],[الفرق بين بداية ونهاية خط  T/B]]</f>
        <v>0</v>
      </c>
      <c r="T275" s="9">
        <f t="shared" si="16"/>
        <v>0</v>
      </c>
      <c r="U275" s="14"/>
      <c r="V275" s="14"/>
      <c r="W275" s="9">
        <f t="shared" si="17"/>
        <v>0</v>
      </c>
      <c r="X275" s="9">
        <f t="shared" si="18"/>
        <v>0</v>
      </c>
      <c r="Y275" s="18"/>
      <c r="Z275" s="9"/>
      <c r="AA275" s="3">
        <f>TABL12345[[#This Row],[(RESV. STORGE) AJD]]/10</f>
        <v>0</v>
      </c>
      <c r="AB275" s="45">
        <f t="shared" si="19"/>
        <v>0</v>
      </c>
      <c r="AC275" s="5"/>
      <c r="AD275" s="6">
        <f>(TABL12345[[#This Row],[( S/S+T/B) AJD]]*1000)-((TABL12345[[#This Row],[(STORGE DIFF.) AJD]]*1000)+TABL12345[[#This Row],[البخر  AJD]]+(TABL12345[[#This Row],[(A/B + A/S) AJD]]*1000))</f>
        <v>0</v>
      </c>
      <c r="AE275" s="33"/>
      <c r="AF275" s="6"/>
      <c r="AG275" s="6"/>
      <c r="AH275" s="6">
        <f>TABL12345[[#This Row],[ (RESV. STORGE) BER]]/10</f>
        <v>0</v>
      </c>
      <c r="AI275" s="6"/>
      <c r="AJ275" s="33">
        <f>TABL12345[[#This Row],[(A/B TOT) AJD]]-TABL12345[[#This Row],[BER_ IN]]</f>
        <v>0</v>
      </c>
      <c r="AK275" s="6"/>
      <c r="AL275" s="6"/>
      <c r="AM275" s="32"/>
      <c r="AN275" s="32">
        <f>TABL12345[[#This Row],[ (RESV. STORGE) SER]]/10</f>
        <v>0</v>
      </c>
      <c r="AO275" s="68"/>
      <c r="AP275" s="68">
        <f>TABL12345[[#This Row],[(A/S TOT) AJD]]-TABL12345[[#This Row],[SER_ IN]]</f>
        <v>0</v>
      </c>
    </row>
    <row r="276" spans="1:42" ht="18.75" x14ac:dyDescent="0.25">
      <c r="A276" s="2">
        <v>47027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>
        <f>TABL12345[[#This Row],[خط (T/B  TOT) SAR]]+TABL12345[[#This Row],[خط (S/S  TOT) SAR2]]</f>
        <v>0</v>
      </c>
      <c r="L276" s="28"/>
      <c r="M276" s="29"/>
      <c r="N276" s="30"/>
      <c r="O276" s="14"/>
      <c r="P276" s="9">
        <f>TABL12345[[#This Row],[خط (S/S  TOT) SAR2]]-TABL12345[[#This Row],[(S/S TOT) AJD]]</f>
        <v>0</v>
      </c>
      <c r="Q276" s="14"/>
      <c r="R276" s="9">
        <f>TABL12345[[#This Row],[خط (T/B  TOT) SAR]]-TABL12345[[#This Row],[(T/B TOT) AJD]]</f>
        <v>0</v>
      </c>
      <c r="S276" s="9">
        <f>TABL12345[[#This Row],[الفرق بين بداية ونهاية خط  S/S]]+TABL12345[[#This Row],[الفرق بين بداية ونهاية خط  T/B]]</f>
        <v>0</v>
      </c>
      <c r="T276" s="9">
        <f t="shared" si="16"/>
        <v>0</v>
      </c>
      <c r="U276" s="14"/>
      <c r="V276" s="14"/>
      <c r="W276" s="9">
        <f t="shared" si="17"/>
        <v>0</v>
      </c>
      <c r="X276" s="9">
        <f t="shared" si="18"/>
        <v>0</v>
      </c>
      <c r="Y276" s="18"/>
      <c r="Z276" s="9"/>
      <c r="AA276" s="3">
        <f>TABL12345[[#This Row],[(RESV. STORGE) AJD]]/10</f>
        <v>0</v>
      </c>
      <c r="AB276" s="45">
        <f t="shared" si="19"/>
        <v>0</v>
      </c>
      <c r="AC276" s="5"/>
      <c r="AD276" s="6">
        <f>(TABL12345[[#This Row],[( S/S+T/B) AJD]]*1000)-((TABL12345[[#This Row],[(STORGE DIFF.) AJD]]*1000)+TABL12345[[#This Row],[البخر  AJD]]+(TABL12345[[#This Row],[(A/B + A/S) AJD]]*1000))</f>
        <v>0</v>
      </c>
      <c r="AE276" s="33"/>
      <c r="AF276" s="6"/>
      <c r="AG276" s="6"/>
      <c r="AH276" s="6">
        <f>TABL12345[[#This Row],[ (RESV. STORGE) BER]]/10</f>
        <v>0</v>
      </c>
      <c r="AI276" s="6"/>
      <c r="AJ276" s="33">
        <f>TABL12345[[#This Row],[(A/B TOT) AJD]]-TABL12345[[#This Row],[BER_ IN]]</f>
        <v>0</v>
      </c>
      <c r="AK276" s="6"/>
      <c r="AL276" s="6"/>
      <c r="AM276" s="32"/>
      <c r="AN276" s="32">
        <f>TABL12345[[#This Row],[ (RESV. STORGE) SER]]/10</f>
        <v>0</v>
      </c>
      <c r="AO276" s="68"/>
      <c r="AP276" s="68">
        <f>TABL12345[[#This Row],[(A/S TOT) AJD]]-TABL12345[[#This Row],[SER_ IN]]</f>
        <v>0</v>
      </c>
    </row>
    <row r="277" spans="1:42" ht="18.75" x14ac:dyDescent="0.25">
      <c r="A277" s="2">
        <v>47028</v>
      </c>
      <c r="B277" s="28"/>
      <c r="C277" s="28"/>
      <c r="D277" s="35"/>
      <c r="E277" s="28"/>
      <c r="F277" s="28"/>
      <c r="G277" s="28"/>
      <c r="H277" s="28"/>
      <c r="I277" s="28"/>
      <c r="J277" s="28"/>
      <c r="K277" s="28">
        <f>TABL12345[[#This Row],[خط (T/B  TOT) SAR]]+TABL12345[[#This Row],[خط (S/S  TOT) SAR2]]</f>
        <v>0</v>
      </c>
      <c r="L277" s="28"/>
      <c r="M277" s="29"/>
      <c r="N277" s="30"/>
      <c r="O277" s="14"/>
      <c r="P277" s="9">
        <f>TABL12345[[#This Row],[خط (S/S  TOT) SAR2]]-TABL12345[[#This Row],[(S/S TOT) AJD]]</f>
        <v>0</v>
      </c>
      <c r="Q277" s="14"/>
      <c r="R277" s="9">
        <f>TABL12345[[#This Row],[خط (T/B  TOT) SAR]]-TABL12345[[#This Row],[(T/B TOT) AJD]]</f>
        <v>0</v>
      </c>
      <c r="S277" s="9">
        <f>TABL12345[[#This Row],[الفرق بين بداية ونهاية خط  S/S]]+TABL12345[[#This Row],[الفرق بين بداية ونهاية خط  T/B]]</f>
        <v>0</v>
      </c>
      <c r="T277" s="9">
        <f t="shared" si="16"/>
        <v>0</v>
      </c>
      <c r="U277" s="14"/>
      <c r="V277" s="14"/>
      <c r="W277" s="9">
        <f t="shared" si="17"/>
        <v>0</v>
      </c>
      <c r="X277" s="9">
        <f t="shared" si="18"/>
        <v>0</v>
      </c>
      <c r="Y277" s="18"/>
      <c r="Z277" s="9"/>
      <c r="AA277" s="3">
        <f>TABL12345[[#This Row],[(RESV. STORGE) AJD]]/10</f>
        <v>0</v>
      </c>
      <c r="AB277" s="45">
        <f t="shared" si="19"/>
        <v>0</v>
      </c>
      <c r="AC277" s="5"/>
      <c r="AD277" s="6">
        <f>(TABL12345[[#This Row],[( S/S+T/B) AJD]]*1000)-((TABL12345[[#This Row],[(STORGE DIFF.) AJD]]*1000)+TABL12345[[#This Row],[البخر  AJD]]+(TABL12345[[#This Row],[(A/B + A/S) AJD]]*1000))</f>
        <v>0</v>
      </c>
      <c r="AE277" s="33"/>
      <c r="AF277" s="6"/>
      <c r="AG277" s="6"/>
      <c r="AH277" s="6">
        <f>TABL12345[[#This Row],[ (RESV. STORGE) BER]]/10</f>
        <v>0</v>
      </c>
      <c r="AI277" s="6"/>
      <c r="AJ277" s="33">
        <f>TABL12345[[#This Row],[(A/B TOT) AJD]]-TABL12345[[#This Row],[BER_ IN]]</f>
        <v>0</v>
      </c>
      <c r="AK277" s="6"/>
      <c r="AL277" s="6"/>
      <c r="AM277" s="32"/>
      <c r="AN277" s="32">
        <f>TABL12345[[#This Row],[ (RESV. STORGE) SER]]/10</f>
        <v>0</v>
      </c>
      <c r="AO277" s="68"/>
      <c r="AP277" s="68">
        <f>TABL12345[[#This Row],[(A/S TOT) AJD]]-TABL12345[[#This Row],[SER_ IN]]</f>
        <v>0</v>
      </c>
    </row>
    <row r="278" spans="1:42" ht="18.75" x14ac:dyDescent="0.25">
      <c r="A278" s="2">
        <v>47029</v>
      </c>
      <c r="B278" s="28"/>
      <c r="C278" s="28"/>
      <c r="D278" s="35"/>
      <c r="E278" s="28"/>
      <c r="F278" s="28"/>
      <c r="G278" s="28"/>
      <c r="H278" s="28"/>
      <c r="I278" s="28"/>
      <c r="J278" s="28"/>
      <c r="K278" s="28">
        <f>TABL12345[[#This Row],[خط (T/B  TOT) SAR]]+TABL12345[[#This Row],[خط (S/S  TOT) SAR2]]</f>
        <v>0</v>
      </c>
      <c r="L278" s="28"/>
      <c r="M278" s="29"/>
      <c r="N278" s="30"/>
      <c r="O278" s="14"/>
      <c r="P278" s="9">
        <f>TABL12345[[#This Row],[خط (S/S  TOT) SAR2]]-TABL12345[[#This Row],[(S/S TOT) AJD]]</f>
        <v>0</v>
      </c>
      <c r="Q278" s="14"/>
      <c r="R278" s="9">
        <f>TABL12345[[#This Row],[خط (T/B  TOT) SAR]]-TABL12345[[#This Row],[(T/B TOT) AJD]]</f>
        <v>0</v>
      </c>
      <c r="S278" s="9">
        <f>TABL12345[[#This Row],[الفرق بين بداية ونهاية خط  S/S]]+TABL12345[[#This Row],[الفرق بين بداية ونهاية خط  T/B]]</f>
        <v>0</v>
      </c>
      <c r="T278" s="9">
        <f t="shared" si="16"/>
        <v>0</v>
      </c>
      <c r="U278" s="14"/>
      <c r="V278" s="14"/>
      <c r="W278" s="9">
        <f t="shared" si="17"/>
        <v>0</v>
      </c>
      <c r="X278" s="9">
        <f t="shared" si="18"/>
        <v>0</v>
      </c>
      <c r="Y278" s="18"/>
      <c r="Z278" s="9"/>
      <c r="AA278" s="3">
        <f>TABL12345[[#This Row],[(RESV. STORGE) AJD]]/10</f>
        <v>0</v>
      </c>
      <c r="AB278" s="45">
        <f t="shared" si="19"/>
        <v>0</v>
      </c>
      <c r="AC278" s="5"/>
      <c r="AD278" s="6">
        <f>(TABL12345[[#This Row],[( S/S+T/B) AJD]]*1000)-((TABL12345[[#This Row],[(STORGE DIFF.) AJD]]*1000)+TABL12345[[#This Row],[البخر  AJD]]+(TABL12345[[#This Row],[(A/B + A/S) AJD]]*1000))</f>
        <v>0</v>
      </c>
      <c r="AE278" s="33"/>
      <c r="AF278" s="6"/>
      <c r="AG278" s="6"/>
      <c r="AH278" s="6">
        <f>TABL12345[[#This Row],[ (RESV. STORGE) BER]]/10</f>
        <v>0</v>
      </c>
      <c r="AI278" s="6"/>
      <c r="AJ278" s="33">
        <f>TABL12345[[#This Row],[(A/B TOT) AJD]]-TABL12345[[#This Row],[BER_ IN]]</f>
        <v>0</v>
      </c>
      <c r="AK278" s="6"/>
      <c r="AL278" s="6"/>
      <c r="AM278" s="32"/>
      <c r="AN278" s="32">
        <f>TABL12345[[#This Row],[ (RESV. STORGE) SER]]/10</f>
        <v>0</v>
      </c>
      <c r="AO278" s="68"/>
      <c r="AP278" s="68">
        <f>TABL12345[[#This Row],[(A/S TOT) AJD]]-TABL12345[[#This Row],[SER_ IN]]</f>
        <v>0</v>
      </c>
    </row>
    <row r="279" spans="1:42" ht="18.75" x14ac:dyDescent="0.25">
      <c r="A279" s="2">
        <v>47030</v>
      </c>
      <c r="B279" s="28"/>
      <c r="C279" s="28"/>
      <c r="D279" s="35"/>
      <c r="E279" s="28"/>
      <c r="F279" s="28"/>
      <c r="G279" s="28"/>
      <c r="H279" s="28"/>
      <c r="I279" s="28"/>
      <c r="J279" s="28"/>
      <c r="K279" s="28">
        <f>TABL12345[[#This Row],[خط (T/B  TOT) SAR]]+TABL12345[[#This Row],[خط (S/S  TOT) SAR2]]</f>
        <v>0</v>
      </c>
      <c r="L279" s="28"/>
      <c r="M279" s="29"/>
      <c r="N279" s="30"/>
      <c r="O279" s="14"/>
      <c r="P279" s="9">
        <f>TABL12345[[#This Row],[خط (S/S  TOT) SAR2]]-TABL12345[[#This Row],[(S/S TOT) AJD]]</f>
        <v>0</v>
      </c>
      <c r="Q279" s="14"/>
      <c r="R279" s="9">
        <f>TABL12345[[#This Row],[خط (T/B  TOT) SAR]]-TABL12345[[#This Row],[(T/B TOT) AJD]]</f>
        <v>0</v>
      </c>
      <c r="S279" s="9">
        <f>TABL12345[[#This Row],[الفرق بين بداية ونهاية خط  S/S]]+TABL12345[[#This Row],[الفرق بين بداية ونهاية خط  T/B]]</f>
        <v>0</v>
      </c>
      <c r="T279" s="9">
        <f t="shared" si="16"/>
        <v>0</v>
      </c>
      <c r="U279" s="14"/>
      <c r="V279" s="14"/>
      <c r="W279" s="9">
        <f t="shared" si="17"/>
        <v>0</v>
      </c>
      <c r="X279" s="9">
        <f t="shared" si="18"/>
        <v>0</v>
      </c>
      <c r="Y279" s="18"/>
      <c r="Z279" s="9"/>
      <c r="AA279" s="3">
        <f>TABL12345[[#This Row],[(RESV. STORGE) AJD]]/10</f>
        <v>0</v>
      </c>
      <c r="AB279" s="45">
        <f t="shared" si="19"/>
        <v>0</v>
      </c>
      <c r="AC279" s="5"/>
      <c r="AD279" s="6">
        <f>(TABL12345[[#This Row],[( S/S+T/B) AJD]]*1000)-((TABL12345[[#This Row],[(STORGE DIFF.) AJD]]*1000)+TABL12345[[#This Row],[البخر  AJD]]+(TABL12345[[#This Row],[(A/B + A/S) AJD]]*1000))</f>
        <v>0</v>
      </c>
      <c r="AE279" s="33"/>
      <c r="AF279" s="6"/>
      <c r="AG279" s="6"/>
      <c r="AH279" s="6">
        <f>TABL12345[[#This Row],[ (RESV. STORGE) BER]]/10</f>
        <v>0</v>
      </c>
      <c r="AI279" s="6"/>
      <c r="AJ279" s="33">
        <f>TABL12345[[#This Row],[(A/B TOT) AJD]]-TABL12345[[#This Row],[BER_ IN]]</f>
        <v>0</v>
      </c>
      <c r="AK279" s="6"/>
      <c r="AL279" s="6"/>
      <c r="AM279" s="32"/>
      <c r="AN279" s="32">
        <f>TABL12345[[#This Row],[ (RESV. STORGE) SER]]/10</f>
        <v>0</v>
      </c>
      <c r="AO279" s="68"/>
      <c r="AP279" s="68">
        <f>TABL12345[[#This Row],[(A/S TOT) AJD]]-TABL12345[[#This Row],[SER_ IN]]</f>
        <v>0</v>
      </c>
    </row>
    <row r="280" spans="1:42" ht="18.75" x14ac:dyDescent="0.25">
      <c r="A280" s="2">
        <v>47031</v>
      </c>
      <c r="B280" s="28"/>
      <c r="C280" s="28"/>
      <c r="D280" s="35"/>
      <c r="E280" s="28"/>
      <c r="F280" s="28"/>
      <c r="G280" s="28"/>
      <c r="H280" s="28"/>
      <c r="I280" s="28"/>
      <c r="J280" s="28"/>
      <c r="K280" s="28">
        <f>TABL12345[[#This Row],[خط (T/B  TOT) SAR]]+TABL12345[[#This Row],[خط (S/S  TOT) SAR2]]</f>
        <v>0</v>
      </c>
      <c r="L280" s="28"/>
      <c r="M280" s="29"/>
      <c r="N280" s="30"/>
      <c r="O280" s="14"/>
      <c r="P280" s="9">
        <f>TABL12345[[#This Row],[خط (S/S  TOT) SAR2]]-TABL12345[[#This Row],[(S/S TOT) AJD]]</f>
        <v>0</v>
      </c>
      <c r="Q280" s="14"/>
      <c r="R280" s="9">
        <f>TABL12345[[#This Row],[خط (T/B  TOT) SAR]]-TABL12345[[#This Row],[(T/B TOT) AJD]]</f>
        <v>0</v>
      </c>
      <c r="S280" s="9">
        <f>TABL12345[[#This Row],[الفرق بين بداية ونهاية خط  S/S]]+TABL12345[[#This Row],[الفرق بين بداية ونهاية خط  T/B]]</f>
        <v>0</v>
      </c>
      <c r="T280" s="9">
        <f t="shared" si="16"/>
        <v>0</v>
      </c>
      <c r="U280" s="14"/>
      <c r="V280" s="14"/>
      <c r="W280" s="9">
        <f t="shared" si="17"/>
        <v>0</v>
      </c>
      <c r="X280" s="9">
        <f t="shared" si="18"/>
        <v>0</v>
      </c>
      <c r="Y280" s="18"/>
      <c r="Z280" s="9"/>
      <c r="AA280" s="3">
        <f>TABL12345[[#This Row],[(RESV. STORGE) AJD]]/10</f>
        <v>0</v>
      </c>
      <c r="AB280" s="45">
        <f t="shared" si="19"/>
        <v>0</v>
      </c>
      <c r="AC280" s="5"/>
      <c r="AD280" s="6">
        <f>(TABL12345[[#This Row],[( S/S+T/B) AJD]]*1000)-((TABL12345[[#This Row],[(STORGE DIFF.) AJD]]*1000)+TABL12345[[#This Row],[البخر  AJD]]+(TABL12345[[#This Row],[(A/B + A/S) AJD]]*1000))</f>
        <v>0</v>
      </c>
      <c r="AE280" s="33"/>
      <c r="AF280" s="6"/>
      <c r="AG280" s="6"/>
      <c r="AH280" s="6">
        <f>TABL12345[[#This Row],[ (RESV. STORGE) BER]]/10</f>
        <v>0</v>
      </c>
      <c r="AI280" s="6"/>
      <c r="AJ280" s="33">
        <f>TABL12345[[#This Row],[(A/B TOT) AJD]]-TABL12345[[#This Row],[BER_ IN]]</f>
        <v>0</v>
      </c>
      <c r="AK280" s="6"/>
      <c r="AL280" s="6"/>
      <c r="AM280" s="32"/>
      <c r="AN280" s="32">
        <f>TABL12345[[#This Row],[ (RESV. STORGE) SER]]/10</f>
        <v>0</v>
      </c>
      <c r="AO280" s="68"/>
      <c r="AP280" s="68">
        <f>TABL12345[[#This Row],[(A/S TOT) AJD]]-TABL12345[[#This Row],[SER_ IN]]</f>
        <v>0</v>
      </c>
    </row>
    <row r="281" spans="1:42" ht="18.75" x14ac:dyDescent="0.25">
      <c r="A281" s="2">
        <v>47032</v>
      </c>
      <c r="B281" s="28"/>
      <c r="C281" s="28"/>
      <c r="D281" s="35"/>
      <c r="E281" s="28"/>
      <c r="F281" s="28"/>
      <c r="G281" s="28"/>
      <c r="H281" s="28"/>
      <c r="I281" s="28"/>
      <c r="J281" s="28"/>
      <c r="K281" s="28">
        <f>TABL12345[[#This Row],[خط (T/B  TOT) SAR]]+TABL12345[[#This Row],[خط (S/S  TOT) SAR2]]</f>
        <v>0</v>
      </c>
      <c r="L281" s="28"/>
      <c r="M281" s="29"/>
      <c r="N281" s="30"/>
      <c r="O281" s="14"/>
      <c r="P281" s="9">
        <f>TABL12345[[#This Row],[خط (S/S  TOT) SAR2]]-TABL12345[[#This Row],[(S/S TOT) AJD]]</f>
        <v>0</v>
      </c>
      <c r="Q281" s="14"/>
      <c r="R281" s="9">
        <f>TABL12345[[#This Row],[خط (T/B  TOT) SAR]]-TABL12345[[#This Row],[(T/B TOT) AJD]]</f>
        <v>0</v>
      </c>
      <c r="S281" s="9">
        <f>TABL12345[[#This Row],[الفرق بين بداية ونهاية خط  S/S]]+TABL12345[[#This Row],[الفرق بين بداية ونهاية خط  T/B]]</f>
        <v>0</v>
      </c>
      <c r="T281" s="9">
        <f t="shared" si="16"/>
        <v>0</v>
      </c>
      <c r="U281" s="14"/>
      <c r="V281" s="14"/>
      <c r="W281" s="9">
        <f t="shared" si="17"/>
        <v>0</v>
      </c>
      <c r="X281" s="9">
        <f t="shared" si="18"/>
        <v>0</v>
      </c>
      <c r="Y281" s="18"/>
      <c r="Z281" s="9"/>
      <c r="AA281" s="3">
        <f>TABL12345[[#This Row],[(RESV. STORGE) AJD]]/10</f>
        <v>0</v>
      </c>
      <c r="AB281" s="45">
        <f t="shared" si="19"/>
        <v>0</v>
      </c>
      <c r="AC281" s="5"/>
      <c r="AD281" s="6">
        <f>(TABL12345[[#This Row],[( S/S+T/B) AJD]]*1000)-((TABL12345[[#This Row],[(STORGE DIFF.) AJD]]*1000)+TABL12345[[#This Row],[البخر  AJD]]+(TABL12345[[#This Row],[(A/B + A/S) AJD]]*1000))</f>
        <v>0</v>
      </c>
      <c r="AE281" s="33"/>
      <c r="AF281" s="6"/>
      <c r="AG281" s="6"/>
      <c r="AH281" s="6">
        <f>TABL12345[[#This Row],[ (RESV. STORGE) BER]]/10</f>
        <v>0</v>
      </c>
      <c r="AI281" s="6"/>
      <c r="AJ281" s="33">
        <f>TABL12345[[#This Row],[(A/B TOT) AJD]]-TABL12345[[#This Row],[BER_ IN]]</f>
        <v>0</v>
      </c>
      <c r="AK281" s="6"/>
      <c r="AL281" s="6"/>
      <c r="AM281" s="32"/>
      <c r="AN281" s="32">
        <f>TABL12345[[#This Row],[ (RESV. STORGE) SER]]/10</f>
        <v>0</v>
      </c>
      <c r="AO281" s="68"/>
      <c r="AP281" s="68">
        <f>TABL12345[[#This Row],[(A/S TOT) AJD]]-TABL12345[[#This Row],[SER_ IN]]</f>
        <v>0</v>
      </c>
    </row>
    <row r="282" spans="1:42" ht="18.75" x14ac:dyDescent="0.25">
      <c r="A282" s="2">
        <v>47033</v>
      </c>
      <c r="B282" s="28"/>
      <c r="C282" s="28"/>
      <c r="D282" s="35"/>
      <c r="E282" s="28"/>
      <c r="F282" s="28"/>
      <c r="G282" s="28"/>
      <c r="H282" s="28"/>
      <c r="I282" s="28"/>
      <c r="J282" s="28"/>
      <c r="K282" s="28">
        <f>TABL12345[[#This Row],[خط (T/B  TOT) SAR]]+TABL12345[[#This Row],[خط (S/S  TOT) SAR2]]</f>
        <v>0</v>
      </c>
      <c r="L282" s="28"/>
      <c r="M282" s="29"/>
      <c r="N282" s="30"/>
      <c r="O282" s="14"/>
      <c r="P282" s="9">
        <f>TABL12345[[#This Row],[خط (S/S  TOT) SAR2]]-TABL12345[[#This Row],[(S/S TOT) AJD]]</f>
        <v>0</v>
      </c>
      <c r="Q282" s="14"/>
      <c r="R282" s="9">
        <f>TABL12345[[#This Row],[خط (T/B  TOT) SAR]]-TABL12345[[#This Row],[(T/B TOT) AJD]]</f>
        <v>0</v>
      </c>
      <c r="S282" s="9">
        <f>TABL12345[[#This Row],[الفرق بين بداية ونهاية خط  S/S]]+TABL12345[[#This Row],[الفرق بين بداية ونهاية خط  T/B]]</f>
        <v>0</v>
      </c>
      <c r="T282" s="9">
        <f t="shared" si="16"/>
        <v>0</v>
      </c>
      <c r="U282" s="14"/>
      <c r="V282" s="14"/>
      <c r="W282" s="9">
        <f t="shared" si="17"/>
        <v>0</v>
      </c>
      <c r="X282" s="9">
        <f t="shared" si="18"/>
        <v>0</v>
      </c>
      <c r="Y282" s="18"/>
      <c r="Z282" s="9"/>
      <c r="AA282" s="3">
        <f>TABL12345[[#This Row],[(RESV. STORGE) AJD]]/10</f>
        <v>0</v>
      </c>
      <c r="AB282" s="45">
        <f t="shared" si="19"/>
        <v>0</v>
      </c>
      <c r="AC282" s="5"/>
      <c r="AD282" s="6">
        <f>(TABL12345[[#This Row],[( S/S+T/B) AJD]]*1000)-((TABL12345[[#This Row],[(STORGE DIFF.) AJD]]*1000)+TABL12345[[#This Row],[البخر  AJD]]+(TABL12345[[#This Row],[(A/B + A/S) AJD]]*1000))</f>
        <v>0</v>
      </c>
      <c r="AE282" s="33"/>
      <c r="AF282" s="6"/>
      <c r="AG282" s="6"/>
      <c r="AH282" s="6">
        <f>TABL12345[[#This Row],[ (RESV. STORGE) BER]]/10</f>
        <v>0</v>
      </c>
      <c r="AI282" s="6"/>
      <c r="AJ282" s="33">
        <f>TABL12345[[#This Row],[(A/B TOT) AJD]]-TABL12345[[#This Row],[BER_ IN]]</f>
        <v>0</v>
      </c>
      <c r="AK282" s="6"/>
      <c r="AL282" s="6"/>
      <c r="AM282" s="32"/>
      <c r="AN282" s="32">
        <f>TABL12345[[#This Row],[ (RESV. STORGE) SER]]/10</f>
        <v>0</v>
      </c>
      <c r="AO282" s="68"/>
      <c r="AP282" s="68">
        <f>TABL12345[[#This Row],[(A/S TOT) AJD]]-TABL12345[[#This Row],[SER_ IN]]</f>
        <v>0</v>
      </c>
    </row>
    <row r="283" spans="1:42" ht="18.75" x14ac:dyDescent="0.25">
      <c r="A283" s="2">
        <v>47034</v>
      </c>
      <c r="B283" s="28"/>
      <c r="C283" s="28"/>
      <c r="D283" s="35"/>
      <c r="E283" s="28"/>
      <c r="F283" s="28"/>
      <c r="G283" s="28"/>
      <c r="H283" s="28"/>
      <c r="I283" s="28"/>
      <c r="J283" s="28"/>
      <c r="K283" s="28">
        <f>TABL12345[[#This Row],[خط (T/B  TOT) SAR]]+TABL12345[[#This Row],[خط (S/S  TOT) SAR2]]</f>
        <v>0</v>
      </c>
      <c r="L283" s="28"/>
      <c r="M283" s="29"/>
      <c r="N283" s="30"/>
      <c r="O283" s="14"/>
      <c r="P283" s="9">
        <f>TABL12345[[#This Row],[خط (S/S  TOT) SAR2]]-TABL12345[[#This Row],[(S/S TOT) AJD]]</f>
        <v>0</v>
      </c>
      <c r="Q283" s="14"/>
      <c r="R283" s="9">
        <f>TABL12345[[#This Row],[خط (T/B  TOT) SAR]]-TABL12345[[#This Row],[(T/B TOT) AJD]]</f>
        <v>0</v>
      </c>
      <c r="S283" s="9">
        <f>TABL12345[[#This Row],[الفرق بين بداية ونهاية خط  S/S]]+TABL12345[[#This Row],[الفرق بين بداية ونهاية خط  T/B]]</f>
        <v>0</v>
      </c>
      <c r="T283" s="9">
        <f t="shared" si="16"/>
        <v>0</v>
      </c>
      <c r="U283" s="14"/>
      <c r="V283" s="14"/>
      <c r="W283" s="9">
        <f t="shared" si="17"/>
        <v>0</v>
      </c>
      <c r="X283" s="9">
        <f t="shared" si="18"/>
        <v>0</v>
      </c>
      <c r="Y283" s="18"/>
      <c r="Z283" s="9"/>
      <c r="AA283" s="3">
        <f>TABL12345[[#This Row],[(RESV. STORGE) AJD]]/10</f>
        <v>0</v>
      </c>
      <c r="AB283" s="45">
        <f t="shared" si="19"/>
        <v>0</v>
      </c>
      <c r="AC283" s="5"/>
      <c r="AD283" s="6">
        <f>(TABL12345[[#This Row],[( S/S+T/B) AJD]]*1000)-((TABL12345[[#This Row],[(STORGE DIFF.) AJD]]*1000)+TABL12345[[#This Row],[البخر  AJD]]+(TABL12345[[#This Row],[(A/B + A/S) AJD]]*1000))</f>
        <v>0</v>
      </c>
      <c r="AE283" s="33"/>
      <c r="AF283" s="6"/>
      <c r="AG283" s="6"/>
      <c r="AH283" s="6">
        <f>TABL12345[[#This Row],[ (RESV. STORGE) BER]]/10</f>
        <v>0</v>
      </c>
      <c r="AI283" s="6"/>
      <c r="AJ283" s="33">
        <f>TABL12345[[#This Row],[(A/B TOT) AJD]]-TABL12345[[#This Row],[BER_ IN]]</f>
        <v>0</v>
      </c>
      <c r="AK283" s="6"/>
      <c r="AL283" s="6"/>
      <c r="AM283" s="32"/>
      <c r="AN283" s="32">
        <f>TABL12345[[#This Row],[ (RESV. STORGE) SER]]/10</f>
        <v>0</v>
      </c>
      <c r="AO283" s="68"/>
      <c r="AP283" s="68">
        <f>TABL12345[[#This Row],[(A/S TOT) AJD]]-TABL12345[[#This Row],[SER_ IN]]</f>
        <v>0</v>
      </c>
    </row>
    <row r="284" spans="1:42" ht="18.75" x14ac:dyDescent="0.25">
      <c r="A284" s="2">
        <v>47035</v>
      </c>
      <c r="B284" s="28"/>
      <c r="C284" s="28"/>
      <c r="D284" s="35"/>
      <c r="E284" s="28"/>
      <c r="F284" s="28"/>
      <c r="G284" s="28"/>
      <c r="H284" s="28"/>
      <c r="I284" s="28"/>
      <c r="J284" s="28"/>
      <c r="K284" s="28">
        <f>TABL12345[[#This Row],[خط (T/B  TOT) SAR]]+TABL12345[[#This Row],[خط (S/S  TOT) SAR2]]</f>
        <v>0</v>
      </c>
      <c r="L284" s="28"/>
      <c r="M284" s="29"/>
      <c r="N284" s="30"/>
      <c r="O284" s="14"/>
      <c r="P284" s="9">
        <f>TABL12345[[#This Row],[خط (S/S  TOT) SAR2]]-TABL12345[[#This Row],[(S/S TOT) AJD]]</f>
        <v>0</v>
      </c>
      <c r="Q284" s="14"/>
      <c r="R284" s="9">
        <f>TABL12345[[#This Row],[خط (T/B  TOT) SAR]]-TABL12345[[#This Row],[(T/B TOT) AJD]]</f>
        <v>0</v>
      </c>
      <c r="S284" s="9">
        <f>TABL12345[[#This Row],[الفرق بين بداية ونهاية خط  S/S]]+TABL12345[[#This Row],[الفرق بين بداية ونهاية خط  T/B]]</f>
        <v>0</v>
      </c>
      <c r="T284" s="9">
        <f t="shared" si="16"/>
        <v>0</v>
      </c>
      <c r="U284" s="14"/>
      <c r="V284" s="14"/>
      <c r="W284" s="9">
        <f t="shared" si="17"/>
        <v>0</v>
      </c>
      <c r="X284" s="9">
        <f t="shared" si="18"/>
        <v>0</v>
      </c>
      <c r="Y284" s="18"/>
      <c r="Z284" s="9"/>
      <c r="AA284" s="3">
        <f>TABL12345[[#This Row],[(RESV. STORGE) AJD]]/10</f>
        <v>0</v>
      </c>
      <c r="AB284" s="45">
        <f t="shared" si="19"/>
        <v>0</v>
      </c>
      <c r="AC284" s="5"/>
      <c r="AD284" s="6">
        <f>(TABL12345[[#This Row],[( S/S+T/B) AJD]]*1000)-((TABL12345[[#This Row],[(STORGE DIFF.) AJD]]*1000)+TABL12345[[#This Row],[البخر  AJD]]+(TABL12345[[#This Row],[(A/B + A/S) AJD]]*1000))</f>
        <v>0</v>
      </c>
      <c r="AE284" s="33"/>
      <c r="AF284" s="6"/>
      <c r="AG284" s="6"/>
      <c r="AH284" s="6">
        <f>TABL12345[[#This Row],[ (RESV. STORGE) BER]]/10</f>
        <v>0</v>
      </c>
      <c r="AI284" s="6"/>
      <c r="AJ284" s="33">
        <f>TABL12345[[#This Row],[(A/B TOT) AJD]]-TABL12345[[#This Row],[BER_ IN]]</f>
        <v>0</v>
      </c>
      <c r="AK284" s="6"/>
      <c r="AL284" s="6"/>
      <c r="AM284" s="32"/>
      <c r="AN284" s="32">
        <f>TABL12345[[#This Row],[ (RESV. STORGE) SER]]/10</f>
        <v>0</v>
      </c>
      <c r="AO284" s="68"/>
      <c r="AP284" s="68">
        <f>TABL12345[[#This Row],[(A/S TOT) AJD]]-TABL12345[[#This Row],[SER_ IN]]</f>
        <v>0</v>
      </c>
    </row>
    <row r="285" spans="1:42" ht="18.75" x14ac:dyDescent="0.25">
      <c r="A285" s="2">
        <v>47036</v>
      </c>
      <c r="B285" s="28"/>
      <c r="C285" s="28"/>
      <c r="D285" s="35"/>
      <c r="E285" s="28"/>
      <c r="F285" s="28"/>
      <c r="G285" s="28"/>
      <c r="H285" s="28"/>
      <c r="I285" s="28"/>
      <c r="J285" s="28"/>
      <c r="K285" s="28">
        <f>TABL12345[[#This Row],[خط (T/B  TOT) SAR]]+TABL12345[[#This Row],[خط (S/S  TOT) SAR2]]</f>
        <v>0</v>
      </c>
      <c r="L285" s="28"/>
      <c r="M285" s="29"/>
      <c r="N285" s="30"/>
      <c r="O285" s="14"/>
      <c r="P285" s="9">
        <f>TABL12345[[#This Row],[خط (S/S  TOT) SAR2]]-TABL12345[[#This Row],[(S/S TOT) AJD]]</f>
        <v>0</v>
      </c>
      <c r="Q285" s="14"/>
      <c r="R285" s="9">
        <f>TABL12345[[#This Row],[خط (T/B  TOT) SAR]]-TABL12345[[#This Row],[(T/B TOT) AJD]]</f>
        <v>0</v>
      </c>
      <c r="S285" s="9">
        <f>TABL12345[[#This Row],[الفرق بين بداية ونهاية خط  S/S]]+TABL12345[[#This Row],[الفرق بين بداية ونهاية خط  T/B]]</f>
        <v>0</v>
      </c>
      <c r="T285" s="9">
        <f t="shared" si="16"/>
        <v>0</v>
      </c>
      <c r="U285" s="14"/>
      <c r="V285" s="14"/>
      <c r="W285" s="9">
        <f t="shared" si="17"/>
        <v>0</v>
      </c>
      <c r="X285" s="9">
        <f t="shared" si="18"/>
        <v>0</v>
      </c>
      <c r="Y285" s="18"/>
      <c r="Z285" s="9"/>
      <c r="AA285" s="3">
        <f>TABL12345[[#This Row],[(RESV. STORGE) AJD]]/10</f>
        <v>0</v>
      </c>
      <c r="AB285" s="45">
        <f t="shared" si="19"/>
        <v>0</v>
      </c>
      <c r="AC285" s="5"/>
      <c r="AD285" s="6">
        <f>(TABL12345[[#This Row],[( S/S+T/B) AJD]]*1000)-((TABL12345[[#This Row],[(STORGE DIFF.) AJD]]*1000)+TABL12345[[#This Row],[البخر  AJD]]+(TABL12345[[#This Row],[(A/B + A/S) AJD]]*1000))</f>
        <v>0</v>
      </c>
      <c r="AE285" s="33"/>
      <c r="AF285" s="6"/>
      <c r="AG285" s="6"/>
      <c r="AH285" s="6">
        <f>TABL12345[[#This Row],[ (RESV. STORGE) BER]]/10</f>
        <v>0</v>
      </c>
      <c r="AI285" s="6"/>
      <c r="AJ285" s="33">
        <f>TABL12345[[#This Row],[(A/B TOT) AJD]]-TABL12345[[#This Row],[BER_ IN]]</f>
        <v>0</v>
      </c>
      <c r="AK285" s="6"/>
      <c r="AL285" s="6"/>
      <c r="AM285" s="32"/>
      <c r="AN285" s="32">
        <f>TABL12345[[#This Row],[ (RESV. STORGE) SER]]/10</f>
        <v>0</v>
      </c>
      <c r="AO285" s="68"/>
      <c r="AP285" s="68">
        <f>TABL12345[[#This Row],[(A/S TOT) AJD]]-TABL12345[[#This Row],[SER_ IN]]</f>
        <v>0</v>
      </c>
    </row>
    <row r="286" spans="1:42" ht="18.75" x14ac:dyDescent="0.25">
      <c r="A286" s="2">
        <v>47037</v>
      </c>
      <c r="B286" s="28"/>
      <c r="C286" s="28"/>
      <c r="D286" s="35"/>
      <c r="E286" s="28"/>
      <c r="F286" s="28"/>
      <c r="G286" s="28"/>
      <c r="H286" s="28"/>
      <c r="I286" s="28"/>
      <c r="J286" s="28"/>
      <c r="K286" s="28">
        <f>TABL12345[[#This Row],[خط (T/B  TOT) SAR]]+TABL12345[[#This Row],[خط (S/S  TOT) SAR2]]</f>
        <v>0</v>
      </c>
      <c r="L286" s="28"/>
      <c r="M286" s="29"/>
      <c r="N286" s="30"/>
      <c r="O286" s="14"/>
      <c r="P286" s="9">
        <f>TABL12345[[#This Row],[خط (S/S  TOT) SAR2]]-TABL12345[[#This Row],[(S/S TOT) AJD]]</f>
        <v>0</v>
      </c>
      <c r="Q286" s="14"/>
      <c r="R286" s="9">
        <f>TABL12345[[#This Row],[خط (T/B  TOT) SAR]]-TABL12345[[#This Row],[(T/B TOT) AJD]]</f>
        <v>0</v>
      </c>
      <c r="S286" s="9">
        <f>TABL12345[[#This Row],[الفرق بين بداية ونهاية خط  S/S]]+TABL12345[[#This Row],[الفرق بين بداية ونهاية خط  T/B]]</f>
        <v>0</v>
      </c>
      <c r="T286" s="9">
        <f t="shared" si="16"/>
        <v>0</v>
      </c>
      <c r="U286" s="14"/>
      <c r="V286" s="14"/>
      <c r="W286" s="9">
        <f t="shared" si="17"/>
        <v>0</v>
      </c>
      <c r="X286" s="9">
        <f t="shared" si="18"/>
        <v>0</v>
      </c>
      <c r="Y286" s="18"/>
      <c r="Z286" s="9"/>
      <c r="AA286" s="3">
        <f>TABL12345[[#This Row],[(RESV. STORGE) AJD]]/10</f>
        <v>0</v>
      </c>
      <c r="AB286" s="45">
        <f t="shared" si="19"/>
        <v>0</v>
      </c>
      <c r="AC286" s="5"/>
      <c r="AD286" s="6">
        <f>(TABL12345[[#This Row],[( S/S+T/B) AJD]]*1000)-((TABL12345[[#This Row],[(STORGE DIFF.) AJD]]*1000)+TABL12345[[#This Row],[البخر  AJD]]+(TABL12345[[#This Row],[(A/B + A/S) AJD]]*1000))</f>
        <v>0</v>
      </c>
      <c r="AE286" s="33"/>
      <c r="AF286" s="6"/>
      <c r="AG286" s="6"/>
      <c r="AH286" s="6">
        <f>TABL12345[[#This Row],[ (RESV. STORGE) BER]]/10</f>
        <v>0</v>
      </c>
      <c r="AI286" s="6"/>
      <c r="AJ286" s="33">
        <f>TABL12345[[#This Row],[(A/B TOT) AJD]]-TABL12345[[#This Row],[BER_ IN]]</f>
        <v>0</v>
      </c>
      <c r="AK286" s="6"/>
      <c r="AL286" s="6"/>
      <c r="AM286" s="32"/>
      <c r="AN286" s="32">
        <f>TABL12345[[#This Row],[ (RESV. STORGE) SER]]/10</f>
        <v>0</v>
      </c>
      <c r="AO286" s="68"/>
      <c r="AP286" s="68">
        <f>TABL12345[[#This Row],[(A/S TOT) AJD]]-TABL12345[[#This Row],[SER_ IN]]</f>
        <v>0</v>
      </c>
    </row>
    <row r="287" spans="1:42" ht="18.75" x14ac:dyDescent="0.25">
      <c r="A287" s="2">
        <v>47038</v>
      </c>
      <c r="B287" s="28"/>
      <c r="C287" s="28"/>
      <c r="D287" s="35"/>
      <c r="E287" s="28"/>
      <c r="F287" s="28"/>
      <c r="G287" s="28"/>
      <c r="H287" s="28"/>
      <c r="I287" s="28"/>
      <c r="J287" s="28"/>
      <c r="K287" s="28">
        <f>TABL12345[[#This Row],[خط (T/B  TOT) SAR]]+TABL12345[[#This Row],[خط (S/S  TOT) SAR2]]</f>
        <v>0</v>
      </c>
      <c r="L287" s="28"/>
      <c r="M287" s="29"/>
      <c r="N287" s="30"/>
      <c r="O287" s="14"/>
      <c r="P287" s="9">
        <f>TABL12345[[#This Row],[خط (S/S  TOT) SAR2]]-TABL12345[[#This Row],[(S/S TOT) AJD]]</f>
        <v>0</v>
      </c>
      <c r="Q287" s="14"/>
      <c r="R287" s="9">
        <f>TABL12345[[#This Row],[خط (T/B  TOT) SAR]]-TABL12345[[#This Row],[(T/B TOT) AJD]]</f>
        <v>0</v>
      </c>
      <c r="S287" s="9">
        <f>TABL12345[[#This Row],[الفرق بين بداية ونهاية خط  S/S]]+TABL12345[[#This Row],[الفرق بين بداية ونهاية خط  T/B]]</f>
        <v>0</v>
      </c>
      <c r="T287" s="9">
        <f t="shared" si="16"/>
        <v>0</v>
      </c>
      <c r="U287" s="14"/>
      <c r="V287" s="14"/>
      <c r="W287" s="9">
        <f t="shared" si="17"/>
        <v>0</v>
      </c>
      <c r="X287" s="9">
        <f t="shared" si="18"/>
        <v>0</v>
      </c>
      <c r="Y287" s="18"/>
      <c r="Z287" s="9"/>
      <c r="AA287" s="3">
        <f>TABL12345[[#This Row],[(RESV. STORGE) AJD]]/10</f>
        <v>0</v>
      </c>
      <c r="AB287" s="45">
        <f t="shared" si="19"/>
        <v>0</v>
      </c>
      <c r="AC287" s="5"/>
      <c r="AD287" s="6">
        <f>(TABL12345[[#This Row],[( S/S+T/B) AJD]]*1000)-((TABL12345[[#This Row],[(STORGE DIFF.) AJD]]*1000)+TABL12345[[#This Row],[البخر  AJD]]+(TABL12345[[#This Row],[(A/B + A/S) AJD]]*1000))</f>
        <v>0</v>
      </c>
      <c r="AE287" s="33"/>
      <c r="AF287" s="6"/>
      <c r="AG287" s="6"/>
      <c r="AH287" s="6">
        <f>TABL12345[[#This Row],[ (RESV. STORGE) BER]]/10</f>
        <v>0</v>
      </c>
      <c r="AI287" s="6"/>
      <c r="AJ287" s="33">
        <f>TABL12345[[#This Row],[(A/B TOT) AJD]]-TABL12345[[#This Row],[BER_ IN]]</f>
        <v>0</v>
      </c>
      <c r="AK287" s="6"/>
      <c r="AL287" s="6"/>
      <c r="AM287" s="32"/>
      <c r="AN287" s="32">
        <f>TABL12345[[#This Row],[ (RESV. STORGE) SER]]/10</f>
        <v>0</v>
      </c>
      <c r="AO287" s="68"/>
      <c r="AP287" s="68">
        <f>TABL12345[[#This Row],[(A/S TOT) AJD]]-TABL12345[[#This Row],[SER_ IN]]</f>
        <v>0</v>
      </c>
    </row>
    <row r="288" spans="1:42" ht="18.75" x14ac:dyDescent="0.25">
      <c r="A288" s="2">
        <v>47039</v>
      </c>
      <c r="B288" s="28"/>
      <c r="C288" s="28"/>
      <c r="D288" s="35"/>
      <c r="E288" s="28"/>
      <c r="F288" s="28"/>
      <c r="G288" s="28"/>
      <c r="H288" s="28"/>
      <c r="I288" s="28"/>
      <c r="J288" s="28"/>
      <c r="K288" s="28">
        <f>TABL12345[[#This Row],[خط (T/B  TOT) SAR]]+TABL12345[[#This Row],[خط (S/S  TOT) SAR2]]</f>
        <v>0</v>
      </c>
      <c r="L288" s="28"/>
      <c r="M288" s="29"/>
      <c r="N288" s="30"/>
      <c r="O288" s="14"/>
      <c r="P288" s="9">
        <f>TABL12345[[#This Row],[خط (S/S  TOT) SAR2]]-TABL12345[[#This Row],[(S/S TOT) AJD]]</f>
        <v>0</v>
      </c>
      <c r="Q288" s="14"/>
      <c r="R288" s="9">
        <f>TABL12345[[#This Row],[خط (T/B  TOT) SAR]]-TABL12345[[#This Row],[(T/B TOT) AJD]]</f>
        <v>0</v>
      </c>
      <c r="S288" s="9">
        <f>TABL12345[[#This Row],[الفرق بين بداية ونهاية خط  S/S]]+TABL12345[[#This Row],[الفرق بين بداية ونهاية خط  T/B]]</f>
        <v>0</v>
      </c>
      <c r="T288" s="9">
        <f t="shared" si="16"/>
        <v>0</v>
      </c>
      <c r="U288" s="14"/>
      <c r="V288" s="14"/>
      <c r="W288" s="9">
        <f t="shared" si="17"/>
        <v>0</v>
      </c>
      <c r="X288" s="9">
        <f t="shared" si="18"/>
        <v>0</v>
      </c>
      <c r="Y288" s="18"/>
      <c r="Z288" s="9"/>
      <c r="AA288" s="3">
        <f>TABL12345[[#This Row],[(RESV. STORGE) AJD]]/10</f>
        <v>0</v>
      </c>
      <c r="AB288" s="45">
        <f t="shared" si="19"/>
        <v>0</v>
      </c>
      <c r="AC288" s="5"/>
      <c r="AD288" s="6">
        <f>(TABL12345[[#This Row],[( S/S+T/B) AJD]]*1000)-((TABL12345[[#This Row],[(STORGE DIFF.) AJD]]*1000)+TABL12345[[#This Row],[البخر  AJD]]+(TABL12345[[#This Row],[(A/B + A/S) AJD]]*1000))</f>
        <v>0</v>
      </c>
      <c r="AE288" s="33"/>
      <c r="AF288" s="6"/>
      <c r="AG288" s="6"/>
      <c r="AH288" s="6">
        <f>TABL12345[[#This Row],[ (RESV. STORGE) BER]]/10</f>
        <v>0</v>
      </c>
      <c r="AI288" s="6"/>
      <c r="AJ288" s="33">
        <f>TABL12345[[#This Row],[(A/B TOT) AJD]]-TABL12345[[#This Row],[BER_ IN]]</f>
        <v>0</v>
      </c>
      <c r="AK288" s="6"/>
      <c r="AL288" s="6"/>
      <c r="AM288" s="32"/>
      <c r="AN288" s="32">
        <f>TABL12345[[#This Row],[ (RESV. STORGE) SER]]/10</f>
        <v>0</v>
      </c>
      <c r="AO288" s="68"/>
      <c r="AP288" s="68">
        <f>TABL12345[[#This Row],[(A/S TOT) AJD]]-TABL12345[[#This Row],[SER_ IN]]</f>
        <v>0</v>
      </c>
    </row>
    <row r="289" spans="1:42" ht="18.75" x14ac:dyDescent="0.25">
      <c r="A289" s="2">
        <v>47040</v>
      </c>
      <c r="B289" s="28"/>
      <c r="C289" s="28"/>
      <c r="D289" s="35"/>
      <c r="E289" s="28"/>
      <c r="F289" s="28"/>
      <c r="G289" s="28"/>
      <c r="H289" s="28"/>
      <c r="I289" s="28"/>
      <c r="J289" s="28"/>
      <c r="K289" s="28">
        <f>TABL12345[[#This Row],[خط (T/B  TOT) SAR]]+TABL12345[[#This Row],[خط (S/S  TOT) SAR2]]</f>
        <v>0</v>
      </c>
      <c r="L289" s="28"/>
      <c r="M289" s="29"/>
      <c r="N289" s="30"/>
      <c r="O289" s="14"/>
      <c r="P289" s="9">
        <f>TABL12345[[#This Row],[خط (S/S  TOT) SAR2]]-TABL12345[[#This Row],[(S/S TOT) AJD]]</f>
        <v>0</v>
      </c>
      <c r="Q289" s="14"/>
      <c r="R289" s="9">
        <f>TABL12345[[#This Row],[خط (T/B  TOT) SAR]]-TABL12345[[#This Row],[(T/B TOT) AJD]]</f>
        <v>0</v>
      </c>
      <c r="S289" s="9">
        <f>TABL12345[[#This Row],[الفرق بين بداية ونهاية خط  S/S]]+TABL12345[[#This Row],[الفرق بين بداية ونهاية خط  T/B]]</f>
        <v>0</v>
      </c>
      <c r="T289" s="9">
        <f t="shared" si="16"/>
        <v>0</v>
      </c>
      <c r="U289" s="14"/>
      <c r="V289" s="14"/>
      <c r="W289" s="9">
        <f t="shared" si="17"/>
        <v>0</v>
      </c>
      <c r="X289" s="9">
        <f t="shared" si="18"/>
        <v>0</v>
      </c>
      <c r="Y289" s="18"/>
      <c r="Z289" s="9"/>
      <c r="AA289" s="3">
        <f>TABL12345[[#This Row],[(RESV. STORGE) AJD]]/10</f>
        <v>0</v>
      </c>
      <c r="AB289" s="45">
        <f t="shared" si="19"/>
        <v>0</v>
      </c>
      <c r="AC289" s="5"/>
      <c r="AD289" s="6">
        <f>(TABL12345[[#This Row],[( S/S+T/B) AJD]]*1000)-((TABL12345[[#This Row],[(STORGE DIFF.) AJD]]*1000)+TABL12345[[#This Row],[البخر  AJD]]+(TABL12345[[#This Row],[(A/B + A/S) AJD]]*1000))</f>
        <v>0</v>
      </c>
      <c r="AE289" s="33"/>
      <c r="AF289" s="6"/>
      <c r="AG289" s="6"/>
      <c r="AH289" s="6">
        <f>TABL12345[[#This Row],[ (RESV. STORGE) BER]]/10</f>
        <v>0</v>
      </c>
      <c r="AI289" s="6"/>
      <c r="AJ289" s="33">
        <f>TABL12345[[#This Row],[(A/B TOT) AJD]]-TABL12345[[#This Row],[BER_ IN]]</f>
        <v>0</v>
      </c>
      <c r="AK289" s="6"/>
      <c r="AL289" s="6"/>
      <c r="AM289" s="32"/>
      <c r="AN289" s="32">
        <f>TABL12345[[#This Row],[ (RESV. STORGE) SER]]/10</f>
        <v>0</v>
      </c>
      <c r="AO289" s="68"/>
      <c r="AP289" s="68">
        <f>TABL12345[[#This Row],[(A/S TOT) AJD]]-TABL12345[[#This Row],[SER_ IN]]</f>
        <v>0</v>
      </c>
    </row>
    <row r="290" spans="1:42" ht="18.75" x14ac:dyDescent="0.25">
      <c r="A290" s="2">
        <v>47041</v>
      </c>
      <c r="B290" s="28"/>
      <c r="C290" s="28"/>
      <c r="D290" s="35"/>
      <c r="E290" s="28"/>
      <c r="F290" s="28"/>
      <c r="G290" s="28"/>
      <c r="H290" s="28"/>
      <c r="I290" s="28"/>
      <c r="J290" s="28"/>
      <c r="K290" s="28">
        <f>TABL12345[[#This Row],[خط (T/B  TOT) SAR]]+TABL12345[[#This Row],[خط (S/S  TOT) SAR2]]</f>
        <v>0</v>
      </c>
      <c r="L290" s="28"/>
      <c r="M290" s="29"/>
      <c r="N290" s="30"/>
      <c r="O290" s="14"/>
      <c r="P290" s="9">
        <f>TABL12345[[#This Row],[خط (S/S  TOT) SAR2]]-TABL12345[[#This Row],[(S/S TOT) AJD]]</f>
        <v>0</v>
      </c>
      <c r="Q290" s="14"/>
      <c r="R290" s="9">
        <f>TABL12345[[#This Row],[خط (T/B  TOT) SAR]]-TABL12345[[#This Row],[(T/B TOT) AJD]]</f>
        <v>0</v>
      </c>
      <c r="S290" s="9">
        <f>TABL12345[[#This Row],[الفرق بين بداية ونهاية خط  S/S]]+TABL12345[[#This Row],[الفرق بين بداية ونهاية خط  T/B]]</f>
        <v>0</v>
      </c>
      <c r="T290" s="9">
        <f t="shared" si="16"/>
        <v>0</v>
      </c>
      <c r="U290" s="14"/>
      <c r="V290" s="14"/>
      <c r="W290" s="9">
        <f t="shared" si="17"/>
        <v>0</v>
      </c>
      <c r="X290" s="9">
        <f t="shared" si="18"/>
        <v>0</v>
      </c>
      <c r="Y290" s="18"/>
      <c r="Z290" s="9"/>
      <c r="AA290" s="3">
        <f>TABL12345[[#This Row],[(RESV. STORGE) AJD]]/10</f>
        <v>0</v>
      </c>
      <c r="AB290" s="45">
        <f t="shared" si="19"/>
        <v>0</v>
      </c>
      <c r="AC290" s="5"/>
      <c r="AD290" s="6">
        <f>(TABL12345[[#This Row],[( S/S+T/B) AJD]]*1000)-((TABL12345[[#This Row],[(STORGE DIFF.) AJD]]*1000)+TABL12345[[#This Row],[البخر  AJD]]+(TABL12345[[#This Row],[(A/B + A/S) AJD]]*1000))</f>
        <v>0</v>
      </c>
      <c r="AE290" s="33"/>
      <c r="AF290" s="6"/>
      <c r="AG290" s="6"/>
      <c r="AH290" s="6">
        <f>TABL12345[[#This Row],[ (RESV. STORGE) BER]]/10</f>
        <v>0</v>
      </c>
      <c r="AI290" s="6"/>
      <c r="AJ290" s="33">
        <f>TABL12345[[#This Row],[(A/B TOT) AJD]]-TABL12345[[#This Row],[BER_ IN]]</f>
        <v>0</v>
      </c>
      <c r="AK290" s="6"/>
      <c r="AL290" s="6"/>
      <c r="AM290" s="32"/>
      <c r="AN290" s="32">
        <f>TABL12345[[#This Row],[ (RESV. STORGE) SER]]/10</f>
        <v>0</v>
      </c>
      <c r="AO290" s="68"/>
      <c r="AP290" s="68">
        <f>TABL12345[[#This Row],[(A/S TOT) AJD]]-TABL12345[[#This Row],[SER_ IN]]</f>
        <v>0</v>
      </c>
    </row>
    <row r="291" spans="1:42" ht="18.75" x14ac:dyDescent="0.25">
      <c r="A291" s="2">
        <v>47042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>
        <f>TABL12345[[#This Row],[خط (T/B  TOT) SAR]]+TABL12345[[#This Row],[خط (S/S  TOT) SAR2]]</f>
        <v>0</v>
      </c>
      <c r="L291" s="28"/>
      <c r="M291" s="29"/>
      <c r="N291" s="30"/>
      <c r="O291" s="14"/>
      <c r="P291" s="9">
        <f>TABL12345[[#This Row],[خط (S/S  TOT) SAR2]]-TABL12345[[#This Row],[(S/S TOT) AJD]]</f>
        <v>0</v>
      </c>
      <c r="Q291" s="14"/>
      <c r="R291" s="9">
        <f>TABL12345[[#This Row],[خط (T/B  TOT) SAR]]-TABL12345[[#This Row],[(T/B TOT) AJD]]</f>
        <v>0</v>
      </c>
      <c r="S291" s="9">
        <f>TABL12345[[#This Row],[الفرق بين بداية ونهاية خط  S/S]]+TABL12345[[#This Row],[الفرق بين بداية ونهاية خط  T/B]]</f>
        <v>0</v>
      </c>
      <c r="T291" s="9">
        <f t="shared" si="16"/>
        <v>0</v>
      </c>
      <c r="U291" s="14"/>
      <c r="V291" s="14"/>
      <c r="W291" s="9">
        <f t="shared" si="17"/>
        <v>0</v>
      </c>
      <c r="X291" s="9">
        <f t="shared" si="18"/>
        <v>0</v>
      </c>
      <c r="Y291" s="18"/>
      <c r="Z291" s="9"/>
      <c r="AA291" s="3">
        <f>TABL12345[[#This Row],[(RESV. STORGE) AJD]]/10</f>
        <v>0</v>
      </c>
      <c r="AB291" s="45">
        <f t="shared" si="19"/>
        <v>0</v>
      </c>
      <c r="AC291" s="5"/>
      <c r="AD291" s="6">
        <f>(TABL12345[[#This Row],[( S/S+T/B) AJD]]*1000)-((TABL12345[[#This Row],[(STORGE DIFF.) AJD]]*1000)+TABL12345[[#This Row],[البخر  AJD]]+(TABL12345[[#This Row],[(A/B + A/S) AJD]]*1000))</f>
        <v>0</v>
      </c>
      <c r="AE291" s="33"/>
      <c r="AF291" s="6"/>
      <c r="AG291" s="6"/>
      <c r="AH291" s="6">
        <f>TABL12345[[#This Row],[ (RESV. STORGE) BER]]/10</f>
        <v>0</v>
      </c>
      <c r="AI291" s="6"/>
      <c r="AJ291" s="33">
        <f>TABL12345[[#This Row],[(A/B TOT) AJD]]-TABL12345[[#This Row],[BER_ IN]]</f>
        <v>0</v>
      </c>
      <c r="AK291" s="6"/>
      <c r="AL291" s="6"/>
      <c r="AM291" s="32"/>
      <c r="AN291" s="32">
        <f>TABL12345[[#This Row],[ (RESV. STORGE) SER]]/10</f>
        <v>0</v>
      </c>
      <c r="AO291" s="68"/>
      <c r="AP291" s="68">
        <f>TABL12345[[#This Row],[(A/S TOT) AJD]]-TABL12345[[#This Row],[SER_ IN]]</f>
        <v>0</v>
      </c>
    </row>
    <row r="292" spans="1:42" ht="18.75" x14ac:dyDescent="0.25">
      <c r="A292" s="2">
        <v>47043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>
        <f>TABL12345[[#This Row],[خط (T/B  TOT) SAR]]+TABL12345[[#This Row],[خط (S/S  TOT) SAR2]]</f>
        <v>0</v>
      </c>
      <c r="L292" s="28"/>
      <c r="M292" s="29"/>
      <c r="N292" s="30"/>
      <c r="O292" s="9"/>
      <c r="P292" s="9">
        <f>TABL12345[[#This Row],[خط (S/S  TOT) SAR2]]-TABL12345[[#This Row],[(S/S TOT) AJD]]</f>
        <v>0</v>
      </c>
      <c r="Q292" s="9"/>
      <c r="R292" s="9">
        <f>TABL12345[[#This Row],[خط (T/B  TOT) SAR]]-TABL12345[[#This Row],[(T/B TOT) AJD]]</f>
        <v>0</v>
      </c>
      <c r="S292" s="9">
        <f>TABL12345[[#This Row],[الفرق بين بداية ونهاية خط  S/S]]+TABL12345[[#This Row],[الفرق بين بداية ونهاية خط  T/B]]</f>
        <v>0</v>
      </c>
      <c r="T292" s="9">
        <f t="shared" si="16"/>
        <v>0</v>
      </c>
      <c r="U292" s="9"/>
      <c r="V292" s="9"/>
      <c r="W292" s="9">
        <f t="shared" si="17"/>
        <v>0</v>
      </c>
      <c r="X292" s="9">
        <f t="shared" si="18"/>
        <v>0</v>
      </c>
      <c r="Y292" s="18"/>
      <c r="Z292" s="9"/>
      <c r="AA292" s="3">
        <f>TABL12345[[#This Row],[(RESV. STORGE) AJD]]/10</f>
        <v>0</v>
      </c>
      <c r="AB292" s="45">
        <f t="shared" si="19"/>
        <v>0</v>
      </c>
      <c r="AC292" s="5"/>
      <c r="AD292" s="6">
        <f>(TABL12345[[#This Row],[( S/S+T/B) AJD]]*1000)-((TABL12345[[#This Row],[(STORGE DIFF.) AJD]]*1000)+TABL12345[[#This Row],[البخر  AJD]]+(TABL12345[[#This Row],[(A/B + A/S) AJD]]*1000))</f>
        <v>0</v>
      </c>
      <c r="AE292" s="33"/>
      <c r="AF292" s="6"/>
      <c r="AG292" s="6"/>
      <c r="AH292" s="6">
        <f>TABL12345[[#This Row],[ (RESV. STORGE) BER]]/10</f>
        <v>0</v>
      </c>
      <c r="AI292" s="6"/>
      <c r="AJ292" s="33">
        <f>TABL12345[[#This Row],[(A/B TOT) AJD]]-TABL12345[[#This Row],[BER_ IN]]</f>
        <v>0</v>
      </c>
      <c r="AK292" s="6"/>
      <c r="AL292" s="6"/>
      <c r="AM292" s="32"/>
      <c r="AN292" s="32">
        <f>TABL12345[[#This Row],[ (RESV. STORGE) SER]]/10</f>
        <v>0</v>
      </c>
      <c r="AO292" s="68"/>
      <c r="AP292" s="68">
        <f>TABL12345[[#This Row],[(A/S TOT) AJD]]-TABL12345[[#This Row],[SER_ IN]]</f>
        <v>0</v>
      </c>
    </row>
    <row r="293" spans="1:42" ht="18.75" x14ac:dyDescent="0.25">
      <c r="A293" s="2">
        <v>47044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>
        <f>TABL12345[[#This Row],[خط (T/B  TOT) SAR]]+TABL12345[[#This Row],[خط (S/S  TOT) SAR2]]</f>
        <v>0</v>
      </c>
      <c r="L293" s="28"/>
      <c r="M293" s="29"/>
      <c r="N293" s="30"/>
      <c r="O293" s="9"/>
      <c r="P293" s="9">
        <f>TABL12345[[#This Row],[خط (S/S  TOT) SAR2]]-TABL12345[[#This Row],[(S/S TOT) AJD]]</f>
        <v>0</v>
      </c>
      <c r="Q293" s="9"/>
      <c r="R293" s="9">
        <f>TABL12345[[#This Row],[خط (T/B  TOT) SAR]]-TABL12345[[#This Row],[(T/B TOT) AJD]]</f>
        <v>0</v>
      </c>
      <c r="S293" s="9">
        <f>TABL12345[[#This Row],[الفرق بين بداية ونهاية خط  S/S]]+TABL12345[[#This Row],[الفرق بين بداية ونهاية خط  T/B]]</f>
        <v>0</v>
      </c>
      <c r="T293" s="9">
        <f t="shared" si="16"/>
        <v>0</v>
      </c>
      <c r="U293" s="9"/>
      <c r="V293" s="9"/>
      <c r="W293" s="9">
        <f t="shared" si="17"/>
        <v>0</v>
      </c>
      <c r="X293" s="9">
        <f t="shared" si="18"/>
        <v>0</v>
      </c>
      <c r="Y293" s="18"/>
      <c r="Z293" s="9"/>
      <c r="AA293" s="3">
        <f>TABL12345[[#This Row],[(RESV. STORGE) AJD]]/10</f>
        <v>0</v>
      </c>
      <c r="AB293" s="45">
        <f t="shared" si="19"/>
        <v>0</v>
      </c>
      <c r="AC293" s="5"/>
      <c r="AD293" s="6">
        <f>(TABL12345[[#This Row],[( S/S+T/B) AJD]]*1000)-((TABL12345[[#This Row],[(STORGE DIFF.) AJD]]*1000)+TABL12345[[#This Row],[البخر  AJD]]+(TABL12345[[#This Row],[(A/B + A/S) AJD]]*1000))</f>
        <v>0</v>
      </c>
      <c r="AE293" s="33"/>
      <c r="AF293" s="6"/>
      <c r="AG293" s="6"/>
      <c r="AH293" s="6">
        <f>TABL12345[[#This Row],[ (RESV. STORGE) BER]]/10</f>
        <v>0</v>
      </c>
      <c r="AI293" s="6"/>
      <c r="AJ293" s="33">
        <f>TABL12345[[#This Row],[(A/B TOT) AJD]]-TABL12345[[#This Row],[BER_ IN]]</f>
        <v>0</v>
      </c>
      <c r="AK293" s="6"/>
      <c r="AL293" s="6"/>
      <c r="AM293" s="32"/>
      <c r="AN293" s="32">
        <f>TABL12345[[#This Row],[ (RESV. STORGE) SER]]/10</f>
        <v>0</v>
      </c>
      <c r="AO293" s="68"/>
      <c r="AP293" s="68">
        <f>TABL12345[[#This Row],[(A/S TOT) AJD]]-TABL12345[[#This Row],[SER_ IN]]</f>
        <v>0</v>
      </c>
    </row>
    <row r="294" spans="1:42" ht="18.75" x14ac:dyDescent="0.25">
      <c r="A294" s="2">
        <v>47045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>
        <f>TABL12345[[#This Row],[خط (T/B  TOT) SAR]]+TABL12345[[#This Row],[خط (S/S  TOT) SAR2]]</f>
        <v>0</v>
      </c>
      <c r="L294" s="28"/>
      <c r="M294" s="29"/>
      <c r="N294" s="30"/>
      <c r="O294" s="9"/>
      <c r="P294" s="9">
        <f>TABL12345[[#This Row],[خط (S/S  TOT) SAR2]]-TABL12345[[#This Row],[(S/S TOT) AJD]]</f>
        <v>0</v>
      </c>
      <c r="Q294" s="9"/>
      <c r="R294" s="9">
        <f>TABL12345[[#This Row],[خط (T/B  TOT) SAR]]-TABL12345[[#This Row],[(T/B TOT) AJD]]</f>
        <v>0</v>
      </c>
      <c r="S294" s="9">
        <f>TABL12345[[#This Row],[الفرق بين بداية ونهاية خط  S/S]]+TABL12345[[#This Row],[الفرق بين بداية ونهاية خط  T/B]]</f>
        <v>0</v>
      </c>
      <c r="T294" s="9">
        <f t="shared" si="16"/>
        <v>0</v>
      </c>
      <c r="U294" s="9"/>
      <c r="V294" s="9"/>
      <c r="W294" s="9">
        <f t="shared" si="17"/>
        <v>0</v>
      </c>
      <c r="X294" s="9">
        <f t="shared" si="18"/>
        <v>0</v>
      </c>
      <c r="Y294" s="18"/>
      <c r="Z294" s="9"/>
      <c r="AA294" s="3">
        <f>TABL12345[[#This Row],[(RESV. STORGE) AJD]]/10</f>
        <v>0</v>
      </c>
      <c r="AB294" s="45">
        <f t="shared" si="19"/>
        <v>0</v>
      </c>
      <c r="AC294" s="5"/>
      <c r="AD294" s="6">
        <f>(TABL12345[[#This Row],[( S/S+T/B) AJD]]*1000)-((TABL12345[[#This Row],[(STORGE DIFF.) AJD]]*1000)+TABL12345[[#This Row],[البخر  AJD]]+(TABL12345[[#This Row],[(A/B + A/S) AJD]]*1000))</f>
        <v>0</v>
      </c>
      <c r="AE294" s="33"/>
      <c r="AF294" s="6"/>
      <c r="AG294" s="6"/>
      <c r="AH294" s="6">
        <f>TABL12345[[#This Row],[ (RESV. STORGE) BER]]/10</f>
        <v>0</v>
      </c>
      <c r="AI294" s="6"/>
      <c r="AJ294" s="33">
        <f>TABL12345[[#This Row],[(A/B TOT) AJD]]-TABL12345[[#This Row],[BER_ IN]]</f>
        <v>0</v>
      </c>
      <c r="AK294" s="6"/>
      <c r="AL294" s="6"/>
      <c r="AM294" s="32"/>
      <c r="AN294" s="32">
        <f>TABL12345[[#This Row],[ (RESV. STORGE) SER]]/10</f>
        <v>0</v>
      </c>
      <c r="AO294" s="68"/>
      <c r="AP294" s="68">
        <f>TABL12345[[#This Row],[(A/S TOT) AJD]]-TABL12345[[#This Row],[SER_ IN]]</f>
        <v>0</v>
      </c>
    </row>
    <row r="295" spans="1:42" ht="18.75" x14ac:dyDescent="0.25">
      <c r="A295" s="2">
        <v>47046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>
        <f>TABL12345[[#This Row],[خط (T/B  TOT) SAR]]+TABL12345[[#This Row],[خط (S/S  TOT) SAR2]]</f>
        <v>0</v>
      </c>
      <c r="L295" s="28"/>
      <c r="M295" s="29"/>
      <c r="N295" s="30"/>
      <c r="O295" s="9"/>
      <c r="P295" s="9">
        <f>TABL12345[[#This Row],[خط (S/S  TOT) SAR2]]-TABL12345[[#This Row],[(S/S TOT) AJD]]</f>
        <v>0</v>
      </c>
      <c r="Q295" s="9"/>
      <c r="R295" s="9">
        <f>TABL12345[[#This Row],[خط (T/B  TOT) SAR]]-TABL12345[[#This Row],[(T/B TOT) AJD]]</f>
        <v>0</v>
      </c>
      <c r="S295" s="9">
        <f>TABL12345[[#This Row],[الفرق بين بداية ونهاية خط  S/S]]+TABL12345[[#This Row],[الفرق بين بداية ونهاية خط  T/B]]</f>
        <v>0</v>
      </c>
      <c r="T295" s="9">
        <f t="shared" si="16"/>
        <v>0</v>
      </c>
      <c r="U295" s="9"/>
      <c r="V295" s="9"/>
      <c r="W295" s="9">
        <f t="shared" si="17"/>
        <v>0</v>
      </c>
      <c r="X295" s="9">
        <f t="shared" si="18"/>
        <v>0</v>
      </c>
      <c r="Y295" s="18"/>
      <c r="Z295" s="9"/>
      <c r="AA295" s="3">
        <f>TABL12345[[#This Row],[(RESV. STORGE) AJD]]/10</f>
        <v>0</v>
      </c>
      <c r="AB295" s="45">
        <f t="shared" si="19"/>
        <v>0</v>
      </c>
      <c r="AC295" s="5"/>
      <c r="AD295" s="6">
        <f>(TABL12345[[#This Row],[( S/S+T/B) AJD]]*1000)-((TABL12345[[#This Row],[(STORGE DIFF.) AJD]]*1000)+TABL12345[[#This Row],[البخر  AJD]]+(TABL12345[[#This Row],[(A/B + A/S) AJD]]*1000))</f>
        <v>0</v>
      </c>
      <c r="AE295" s="33"/>
      <c r="AF295" s="6"/>
      <c r="AG295" s="6"/>
      <c r="AH295" s="6">
        <f>TABL12345[[#This Row],[ (RESV. STORGE) BER]]/10</f>
        <v>0</v>
      </c>
      <c r="AI295" s="6"/>
      <c r="AJ295" s="33">
        <f>TABL12345[[#This Row],[(A/B TOT) AJD]]-TABL12345[[#This Row],[BER_ IN]]</f>
        <v>0</v>
      </c>
      <c r="AK295" s="6"/>
      <c r="AL295" s="6"/>
      <c r="AM295" s="32"/>
      <c r="AN295" s="32">
        <f>TABL12345[[#This Row],[ (RESV. STORGE) SER]]/10</f>
        <v>0</v>
      </c>
      <c r="AO295" s="68"/>
      <c r="AP295" s="68">
        <f>TABL12345[[#This Row],[(A/S TOT) AJD]]-TABL12345[[#This Row],[SER_ IN]]</f>
        <v>0</v>
      </c>
    </row>
    <row r="296" spans="1:42" ht="18.75" x14ac:dyDescent="0.25">
      <c r="A296" s="2">
        <v>47047</v>
      </c>
      <c r="B296" s="28"/>
      <c r="C296" s="28"/>
      <c r="D296" s="28"/>
      <c r="E296" s="28"/>
      <c r="F296" s="28"/>
      <c r="G296" s="28"/>
      <c r="H296" s="28"/>
      <c r="I296" s="28"/>
      <c r="J296" s="28"/>
      <c r="K296" s="28">
        <f>TABL12345[[#This Row],[خط (T/B  TOT) SAR]]+TABL12345[[#This Row],[خط (S/S  TOT) SAR2]]</f>
        <v>0</v>
      </c>
      <c r="L296" s="28"/>
      <c r="M296" s="29"/>
      <c r="N296" s="30"/>
      <c r="O296" s="9"/>
      <c r="P296" s="9">
        <f>TABL12345[[#This Row],[خط (S/S  TOT) SAR2]]-TABL12345[[#This Row],[(S/S TOT) AJD]]</f>
        <v>0</v>
      </c>
      <c r="Q296" s="9"/>
      <c r="R296" s="9">
        <f>TABL12345[[#This Row],[خط (T/B  TOT) SAR]]-TABL12345[[#This Row],[(T/B TOT) AJD]]</f>
        <v>0</v>
      </c>
      <c r="S296" s="9">
        <f>TABL12345[[#This Row],[الفرق بين بداية ونهاية خط  S/S]]+TABL12345[[#This Row],[الفرق بين بداية ونهاية خط  T/B]]</f>
        <v>0</v>
      </c>
      <c r="T296" s="9">
        <f t="shared" si="16"/>
        <v>0</v>
      </c>
      <c r="U296" s="9"/>
      <c r="V296" s="9"/>
      <c r="W296" s="9">
        <f t="shared" si="17"/>
        <v>0</v>
      </c>
      <c r="X296" s="9">
        <f t="shared" si="18"/>
        <v>0</v>
      </c>
      <c r="Y296" s="18"/>
      <c r="Z296" s="9"/>
      <c r="AA296" s="3">
        <f>TABL12345[[#This Row],[(RESV. STORGE) AJD]]/10</f>
        <v>0</v>
      </c>
      <c r="AB296" s="45">
        <f t="shared" si="19"/>
        <v>0</v>
      </c>
      <c r="AC296" s="5"/>
      <c r="AD296" s="6">
        <f>(TABL12345[[#This Row],[( S/S+T/B) AJD]]*1000)-((TABL12345[[#This Row],[(STORGE DIFF.) AJD]]*1000)+TABL12345[[#This Row],[البخر  AJD]]+(TABL12345[[#This Row],[(A/B + A/S) AJD]]*1000))</f>
        <v>0</v>
      </c>
      <c r="AE296" s="33"/>
      <c r="AF296" s="6"/>
      <c r="AG296" s="6"/>
      <c r="AH296" s="6">
        <f>TABL12345[[#This Row],[ (RESV. STORGE) BER]]/10</f>
        <v>0</v>
      </c>
      <c r="AI296" s="6"/>
      <c r="AJ296" s="33">
        <f>TABL12345[[#This Row],[(A/B TOT) AJD]]-TABL12345[[#This Row],[BER_ IN]]</f>
        <v>0</v>
      </c>
      <c r="AK296" s="6"/>
      <c r="AL296" s="6"/>
      <c r="AM296" s="32"/>
      <c r="AN296" s="32">
        <f>TABL12345[[#This Row],[ (RESV. STORGE) SER]]/10</f>
        <v>0</v>
      </c>
      <c r="AO296" s="68"/>
      <c r="AP296" s="68">
        <f>TABL12345[[#This Row],[(A/S TOT) AJD]]-TABL12345[[#This Row],[SER_ IN]]</f>
        <v>0</v>
      </c>
    </row>
    <row r="297" spans="1:42" ht="18.75" x14ac:dyDescent="0.25">
      <c r="A297" s="2">
        <v>47048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>
        <f>TABL12345[[#This Row],[خط (T/B  TOT) SAR]]+TABL12345[[#This Row],[خط (S/S  TOT) SAR2]]</f>
        <v>0</v>
      </c>
      <c r="L297" s="28"/>
      <c r="M297" s="29"/>
      <c r="N297" s="30"/>
      <c r="O297" s="9"/>
      <c r="P297" s="9">
        <f>TABL12345[[#This Row],[خط (S/S  TOT) SAR2]]-TABL12345[[#This Row],[(S/S TOT) AJD]]</f>
        <v>0</v>
      </c>
      <c r="Q297" s="9"/>
      <c r="R297" s="9">
        <f>TABL12345[[#This Row],[خط (T/B  TOT) SAR]]-TABL12345[[#This Row],[(T/B TOT) AJD]]</f>
        <v>0</v>
      </c>
      <c r="S297" s="9">
        <f>TABL12345[[#This Row],[الفرق بين بداية ونهاية خط  S/S]]+TABL12345[[#This Row],[الفرق بين بداية ونهاية خط  T/B]]</f>
        <v>0</v>
      </c>
      <c r="T297" s="9">
        <f t="shared" si="16"/>
        <v>0</v>
      </c>
      <c r="U297" s="9"/>
      <c r="V297" s="9"/>
      <c r="W297" s="9">
        <f t="shared" si="17"/>
        <v>0</v>
      </c>
      <c r="X297" s="9">
        <f t="shared" si="18"/>
        <v>0</v>
      </c>
      <c r="Y297" s="18"/>
      <c r="Z297" s="9"/>
      <c r="AA297" s="3">
        <f>TABL12345[[#This Row],[(RESV. STORGE) AJD]]/10</f>
        <v>0</v>
      </c>
      <c r="AB297" s="45">
        <f t="shared" si="19"/>
        <v>0</v>
      </c>
      <c r="AC297" s="5"/>
      <c r="AD297" s="6">
        <f>(TABL12345[[#This Row],[( S/S+T/B) AJD]]*1000)-((TABL12345[[#This Row],[(STORGE DIFF.) AJD]]*1000)+TABL12345[[#This Row],[البخر  AJD]]+(TABL12345[[#This Row],[(A/B + A/S) AJD]]*1000))</f>
        <v>0</v>
      </c>
      <c r="AE297" s="33"/>
      <c r="AF297" s="6"/>
      <c r="AG297" s="6"/>
      <c r="AH297" s="6">
        <f>TABL12345[[#This Row],[ (RESV. STORGE) BER]]/10</f>
        <v>0</v>
      </c>
      <c r="AI297" s="6"/>
      <c r="AJ297" s="33">
        <f>TABL12345[[#This Row],[(A/B TOT) AJD]]-TABL12345[[#This Row],[BER_ IN]]</f>
        <v>0</v>
      </c>
      <c r="AK297" s="6"/>
      <c r="AL297" s="6"/>
      <c r="AM297" s="32"/>
      <c r="AN297" s="32">
        <f>TABL12345[[#This Row],[ (RESV. STORGE) SER]]/10</f>
        <v>0</v>
      </c>
      <c r="AO297" s="68"/>
      <c r="AP297" s="68">
        <f>TABL12345[[#This Row],[(A/S TOT) AJD]]-TABL12345[[#This Row],[SER_ IN]]</f>
        <v>0</v>
      </c>
    </row>
    <row r="298" spans="1:42" ht="18.75" x14ac:dyDescent="0.25">
      <c r="A298" s="2">
        <v>47049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>
        <f>TABL12345[[#This Row],[خط (T/B  TOT) SAR]]+TABL12345[[#This Row],[خط (S/S  TOT) SAR2]]</f>
        <v>0</v>
      </c>
      <c r="L298" s="28"/>
      <c r="M298" s="29"/>
      <c r="N298" s="30"/>
      <c r="O298" s="9"/>
      <c r="P298" s="9">
        <f>TABL12345[[#This Row],[خط (S/S  TOT) SAR2]]-TABL12345[[#This Row],[(S/S TOT) AJD]]</f>
        <v>0</v>
      </c>
      <c r="Q298" s="9"/>
      <c r="R298" s="9">
        <f>TABL12345[[#This Row],[خط (T/B  TOT) SAR]]-TABL12345[[#This Row],[(T/B TOT) AJD]]</f>
        <v>0</v>
      </c>
      <c r="S298" s="9">
        <f>TABL12345[[#This Row],[الفرق بين بداية ونهاية خط  S/S]]+TABL12345[[#This Row],[الفرق بين بداية ونهاية خط  T/B]]</f>
        <v>0</v>
      </c>
      <c r="T298" s="9">
        <f t="shared" si="16"/>
        <v>0</v>
      </c>
      <c r="U298" s="9"/>
      <c r="V298" s="9"/>
      <c r="W298" s="9">
        <f t="shared" si="17"/>
        <v>0</v>
      </c>
      <c r="X298" s="9">
        <f t="shared" si="18"/>
        <v>0</v>
      </c>
      <c r="Y298" s="18"/>
      <c r="Z298" s="9"/>
      <c r="AA298" s="3">
        <f>TABL12345[[#This Row],[(RESV. STORGE) AJD]]/10</f>
        <v>0</v>
      </c>
      <c r="AB298" s="45">
        <f t="shared" si="19"/>
        <v>0</v>
      </c>
      <c r="AC298" s="5"/>
      <c r="AD298" s="6">
        <f>(TABL12345[[#This Row],[( S/S+T/B) AJD]]*1000)-((TABL12345[[#This Row],[(STORGE DIFF.) AJD]]*1000)+TABL12345[[#This Row],[البخر  AJD]]+(TABL12345[[#This Row],[(A/B + A/S) AJD]]*1000))</f>
        <v>0</v>
      </c>
      <c r="AE298" s="33"/>
      <c r="AF298" s="6"/>
      <c r="AG298" s="6"/>
      <c r="AH298" s="6">
        <f>TABL12345[[#This Row],[ (RESV. STORGE) BER]]/10</f>
        <v>0</v>
      </c>
      <c r="AI298" s="6"/>
      <c r="AJ298" s="33">
        <f>TABL12345[[#This Row],[(A/B TOT) AJD]]-TABL12345[[#This Row],[BER_ IN]]</f>
        <v>0</v>
      </c>
      <c r="AK298" s="6"/>
      <c r="AL298" s="6"/>
      <c r="AM298" s="32"/>
      <c r="AN298" s="32">
        <f>TABL12345[[#This Row],[ (RESV. STORGE) SER]]/10</f>
        <v>0</v>
      </c>
      <c r="AO298" s="68"/>
      <c r="AP298" s="68">
        <f>TABL12345[[#This Row],[(A/S TOT) AJD]]-TABL12345[[#This Row],[SER_ IN]]</f>
        <v>0</v>
      </c>
    </row>
    <row r="299" spans="1:42" ht="18.75" x14ac:dyDescent="0.25">
      <c r="A299" s="2">
        <v>47050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>
        <f>TABL12345[[#This Row],[خط (T/B  TOT) SAR]]+TABL12345[[#This Row],[خط (S/S  TOT) SAR2]]</f>
        <v>0</v>
      </c>
      <c r="L299" s="28"/>
      <c r="M299" s="29"/>
      <c r="N299" s="30"/>
      <c r="O299" s="9"/>
      <c r="P299" s="9">
        <f>TABL12345[[#This Row],[خط (S/S  TOT) SAR2]]-TABL12345[[#This Row],[(S/S TOT) AJD]]</f>
        <v>0</v>
      </c>
      <c r="Q299" s="9"/>
      <c r="R299" s="9">
        <f>TABL12345[[#This Row],[خط (T/B  TOT) SAR]]-TABL12345[[#This Row],[(T/B TOT) AJD]]</f>
        <v>0</v>
      </c>
      <c r="S299" s="9">
        <f>TABL12345[[#This Row],[الفرق بين بداية ونهاية خط  S/S]]+TABL12345[[#This Row],[الفرق بين بداية ونهاية خط  T/B]]</f>
        <v>0</v>
      </c>
      <c r="T299" s="9">
        <f t="shared" si="16"/>
        <v>0</v>
      </c>
      <c r="U299" s="9"/>
      <c r="V299" s="9"/>
      <c r="W299" s="9">
        <f t="shared" si="17"/>
        <v>0</v>
      </c>
      <c r="X299" s="9">
        <f t="shared" si="18"/>
        <v>0</v>
      </c>
      <c r="Y299" s="18"/>
      <c r="Z299" s="9"/>
      <c r="AA299" s="3">
        <f>TABL12345[[#This Row],[(RESV. STORGE) AJD]]/10</f>
        <v>0</v>
      </c>
      <c r="AB299" s="45">
        <f t="shared" si="19"/>
        <v>0</v>
      </c>
      <c r="AC299" s="5"/>
      <c r="AD299" s="6">
        <f>(TABL12345[[#This Row],[( S/S+T/B) AJD]]*1000)-((TABL12345[[#This Row],[(STORGE DIFF.) AJD]]*1000)+TABL12345[[#This Row],[البخر  AJD]]+(TABL12345[[#This Row],[(A/B + A/S) AJD]]*1000))</f>
        <v>0</v>
      </c>
      <c r="AE299" s="33"/>
      <c r="AF299" s="6"/>
      <c r="AG299" s="6"/>
      <c r="AH299" s="6">
        <f>TABL12345[[#This Row],[ (RESV. STORGE) BER]]/10</f>
        <v>0</v>
      </c>
      <c r="AI299" s="6"/>
      <c r="AJ299" s="33">
        <f>TABL12345[[#This Row],[(A/B TOT) AJD]]-TABL12345[[#This Row],[BER_ IN]]</f>
        <v>0</v>
      </c>
      <c r="AK299" s="6"/>
      <c r="AL299" s="6"/>
      <c r="AM299" s="32"/>
      <c r="AN299" s="32">
        <f>TABL12345[[#This Row],[ (RESV. STORGE) SER]]/10</f>
        <v>0</v>
      </c>
      <c r="AO299" s="68"/>
      <c r="AP299" s="68">
        <f>TABL12345[[#This Row],[(A/S TOT) AJD]]-TABL12345[[#This Row],[SER_ IN]]</f>
        <v>0</v>
      </c>
    </row>
    <row r="300" spans="1:42" ht="18.75" x14ac:dyDescent="0.25">
      <c r="A300" s="2">
        <v>47051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>
        <f>TABL12345[[#This Row],[خط (T/B  TOT) SAR]]+TABL12345[[#This Row],[خط (S/S  TOT) SAR2]]</f>
        <v>0</v>
      </c>
      <c r="L300" s="28"/>
      <c r="M300" s="29"/>
      <c r="N300" s="30"/>
      <c r="O300" s="9"/>
      <c r="P300" s="9">
        <f>TABL12345[[#This Row],[خط (S/S  TOT) SAR2]]-TABL12345[[#This Row],[(S/S TOT) AJD]]</f>
        <v>0</v>
      </c>
      <c r="Q300" s="9"/>
      <c r="R300" s="9">
        <f>TABL12345[[#This Row],[خط (T/B  TOT) SAR]]-TABL12345[[#This Row],[(T/B TOT) AJD]]</f>
        <v>0</v>
      </c>
      <c r="S300" s="9">
        <f>TABL12345[[#This Row],[الفرق بين بداية ونهاية خط  S/S]]+TABL12345[[#This Row],[الفرق بين بداية ونهاية خط  T/B]]</f>
        <v>0</v>
      </c>
      <c r="T300" s="9">
        <f t="shared" si="16"/>
        <v>0</v>
      </c>
      <c r="U300" s="9"/>
      <c r="V300" s="9"/>
      <c r="W300" s="9">
        <f t="shared" si="17"/>
        <v>0</v>
      </c>
      <c r="X300" s="9">
        <f t="shared" si="18"/>
        <v>0</v>
      </c>
      <c r="Y300" s="18"/>
      <c r="Z300" s="9"/>
      <c r="AA300" s="3">
        <f>TABL12345[[#This Row],[(RESV. STORGE) AJD]]/10</f>
        <v>0</v>
      </c>
      <c r="AB300" s="45">
        <f t="shared" si="19"/>
        <v>0</v>
      </c>
      <c r="AC300" s="5"/>
      <c r="AD300" s="6">
        <f>(TABL12345[[#This Row],[( S/S+T/B) AJD]]*1000)-((TABL12345[[#This Row],[(STORGE DIFF.) AJD]]*1000)+TABL12345[[#This Row],[البخر  AJD]]+(TABL12345[[#This Row],[(A/B + A/S) AJD]]*1000))</f>
        <v>0</v>
      </c>
      <c r="AE300" s="33"/>
      <c r="AF300" s="6"/>
      <c r="AG300" s="6"/>
      <c r="AH300" s="6">
        <f>TABL12345[[#This Row],[ (RESV. STORGE) BER]]/10</f>
        <v>0</v>
      </c>
      <c r="AI300" s="6"/>
      <c r="AJ300" s="33">
        <f>TABL12345[[#This Row],[(A/B TOT) AJD]]-TABL12345[[#This Row],[BER_ IN]]</f>
        <v>0</v>
      </c>
      <c r="AK300" s="6"/>
      <c r="AL300" s="6"/>
      <c r="AM300" s="32"/>
      <c r="AN300" s="32">
        <f>TABL12345[[#This Row],[ (RESV. STORGE) SER]]/10</f>
        <v>0</v>
      </c>
      <c r="AO300" s="68"/>
      <c r="AP300" s="68">
        <f>TABL12345[[#This Row],[(A/S TOT) AJD]]-TABL12345[[#This Row],[SER_ IN]]</f>
        <v>0</v>
      </c>
    </row>
    <row r="301" spans="1:42" ht="18.75" x14ac:dyDescent="0.25">
      <c r="A301" s="2">
        <v>47052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>
        <f>TABL12345[[#This Row],[خط (T/B  TOT) SAR]]+TABL12345[[#This Row],[خط (S/S  TOT) SAR2]]</f>
        <v>0</v>
      </c>
      <c r="L301" s="28"/>
      <c r="M301" s="29"/>
      <c r="N301" s="30"/>
      <c r="O301" s="9"/>
      <c r="P301" s="9">
        <f>TABL12345[[#This Row],[خط (S/S  TOT) SAR2]]-TABL12345[[#This Row],[(S/S TOT) AJD]]</f>
        <v>0</v>
      </c>
      <c r="Q301" s="9"/>
      <c r="R301" s="9">
        <f>TABL12345[[#This Row],[خط (T/B  TOT) SAR]]-TABL12345[[#This Row],[(T/B TOT) AJD]]</f>
        <v>0</v>
      </c>
      <c r="S301" s="9">
        <f>TABL12345[[#This Row],[الفرق بين بداية ونهاية خط  S/S]]+TABL12345[[#This Row],[الفرق بين بداية ونهاية خط  T/B]]</f>
        <v>0</v>
      </c>
      <c r="T301" s="9">
        <f t="shared" si="16"/>
        <v>0</v>
      </c>
      <c r="U301" s="9"/>
      <c r="V301" s="9"/>
      <c r="W301" s="9">
        <f t="shared" si="17"/>
        <v>0</v>
      </c>
      <c r="X301" s="9">
        <f t="shared" si="18"/>
        <v>0</v>
      </c>
      <c r="Y301" s="18"/>
      <c r="Z301" s="9"/>
      <c r="AA301" s="3">
        <f>TABL12345[[#This Row],[(RESV. STORGE) AJD]]/10</f>
        <v>0</v>
      </c>
      <c r="AB301" s="45">
        <f t="shared" si="19"/>
        <v>0</v>
      </c>
      <c r="AC301" s="5"/>
      <c r="AD301" s="6">
        <f>(TABL12345[[#This Row],[( S/S+T/B) AJD]]*1000)-((TABL12345[[#This Row],[(STORGE DIFF.) AJD]]*1000)+TABL12345[[#This Row],[البخر  AJD]]+(TABL12345[[#This Row],[(A/B + A/S) AJD]]*1000))</f>
        <v>0</v>
      </c>
      <c r="AE301" s="33"/>
      <c r="AF301" s="6"/>
      <c r="AG301" s="6"/>
      <c r="AH301" s="6">
        <f>TABL12345[[#This Row],[ (RESV. STORGE) BER]]/10</f>
        <v>0</v>
      </c>
      <c r="AI301" s="6"/>
      <c r="AJ301" s="33">
        <f>TABL12345[[#This Row],[(A/B TOT) AJD]]-TABL12345[[#This Row],[BER_ IN]]</f>
        <v>0</v>
      </c>
      <c r="AK301" s="6"/>
      <c r="AL301" s="6"/>
      <c r="AM301" s="32"/>
      <c r="AN301" s="32">
        <f>TABL12345[[#This Row],[ (RESV. STORGE) SER]]/10</f>
        <v>0</v>
      </c>
      <c r="AO301" s="68"/>
      <c r="AP301" s="68">
        <f>TABL12345[[#This Row],[(A/S TOT) AJD]]-TABL12345[[#This Row],[SER_ IN]]</f>
        <v>0</v>
      </c>
    </row>
    <row r="302" spans="1:42" ht="18.75" x14ac:dyDescent="0.25">
      <c r="A302" s="2">
        <v>47053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>
        <f>TABL12345[[#This Row],[خط (T/B  TOT) SAR]]+TABL12345[[#This Row],[خط (S/S  TOT) SAR2]]</f>
        <v>0</v>
      </c>
      <c r="L302" s="28"/>
      <c r="M302" s="29"/>
      <c r="N302" s="30"/>
      <c r="O302" s="9"/>
      <c r="P302" s="9">
        <f>TABL12345[[#This Row],[خط (S/S  TOT) SAR2]]-TABL12345[[#This Row],[(S/S TOT) AJD]]</f>
        <v>0</v>
      </c>
      <c r="Q302" s="9"/>
      <c r="R302" s="9">
        <f>TABL12345[[#This Row],[خط (T/B  TOT) SAR]]-TABL12345[[#This Row],[(T/B TOT) AJD]]</f>
        <v>0</v>
      </c>
      <c r="S302" s="9">
        <f>TABL12345[[#This Row],[الفرق بين بداية ونهاية خط  S/S]]+TABL12345[[#This Row],[الفرق بين بداية ونهاية خط  T/B]]</f>
        <v>0</v>
      </c>
      <c r="T302" s="9">
        <f t="shared" si="16"/>
        <v>0</v>
      </c>
      <c r="U302" s="9"/>
      <c r="V302" s="9"/>
      <c r="W302" s="9">
        <f t="shared" si="17"/>
        <v>0</v>
      </c>
      <c r="X302" s="9">
        <f t="shared" si="18"/>
        <v>0</v>
      </c>
      <c r="Y302" s="18"/>
      <c r="Z302" s="9"/>
      <c r="AA302" s="3">
        <f>TABL12345[[#This Row],[(RESV. STORGE) AJD]]/10</f>
        <v>0</v>
      </c>
      <c r="AB302" s="45">
        <f t="shared" si="19"/>
        <v>0</v>
      </c>
      <c r="AC302" s="5"/>
      <c r="AD302" s="6">
        <f>(TABL12345[[#This Row],[( S/S+T/B) AJD]]*1000)-((TABL12345[[#This Row],[(STORGE DIFF.) AJD]]*1000)+TABL12345[[#This Row],[البخر  AJD]]+(TABL12345[[#This Row],[(A/B + A/S) AJD]]*1000))</f>
        <v>0</v>
      </c>
      <c r="AE302" s="33"/>
      <c r="AF302" s="6"/>
      <c r="AG302" s="6"/>
      <c r="AH302" s="6">
        <f>TABL12345[[#This Row],[ (RESV. STORGE) BER]]/10</f>
        <v>0</v>
      </c>
      <c r="AI302" s="6"/>
      <c r="AJ302" s="33">
        <f>TABL12345[[#This Row],[(A/B TOT) AJD]]-TABL12345[[#This Row],[BER_ IN]]</f>
        <v>0</v>
      </c>
      <c r="AK302" s="6"/>
      <c r="AL302" s="6"/>
      <c r="AM302" s="32"/>
      <c r="AN302" s="32">
        <f>TABL12345[[#This Row],[ (RESV. STORGE) SER]]/10</f>
        <v>0</v>
      </c>
      <c r="AO302" s="68"/>
      <c r="AP302" s="68">
        <f>TABL12345[[#This Row],[(A/S TOT) AJD]]-TABL12345[[#This Row],[SER_ IN]]</f>
        <v>0</v>
      </c>
    </row>
    <row r="303" spans="1:42" ht="18.75" x14ac:dyDescent="0.25">
      <c r="A303" s="2">
        <v>47054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>
        <f>TABL12345[[#This Row],[خط (T/B  TOT) SAR]]+TABL12345[[#This Row],[خط (S/S  TOT) SAR2]]</f>
        <v>0</v>
      </c>
      <c r="L303" s="28"/>
      <c r="M303" s="29"/>
      <c r="N303" s="30"/>
      <c r="O303" s="9"/>
      <c r="P303" s="9">
        <f>TABL12345[[#This Row],[خط (S/S  TOT) SAR2]]-TABL12345[[#This Row],[(S/S TOT) AJD]]</f>
        <v>0</v>
      </c>
      <c r="Q303" s="9"/>
      <c r="R303" s="9">
        <f>TABL12345[[#This Row],[خط (T/B  TOT) SAR]]-TABL12345[[#This Row],[(T/B TOT) AJD]]</f>
        <v>0</v>
      </c>
      <c r="S303" s="9">
        <f>TABL12345[[#This Row],[الفرق بين بداية ونهاية خط  S/S]]+TABL12345[[#This Row],[الفرق بين بداية ونهاية خط  T/B]]</f>
        <v>0</v>
      </c>
      <c r="T303" s="9">
        <f t="shared" si="16"/>
        <v>0</v>
      </c>
      <c r="U303" s="9"/>
      <c r="V303" s="9"/>
      <c r="W303" s="9">
        <f t="shared" si="17"/>
        <v>0</v>
      </c>
      <c r="X303" s="9">
        <f t="shared" si="18"/>
        <v>0</v>
      </c>
      <c r="Y303" s="18"/>
      <c r="Z303" s="9"/>
      <c r="AA303" s="3">
        <f>TABL12345[[#This Row],[(RESV. STORGE) AJD]]/10</f>
        <v>0</v>
      </c>
      <c r="AB303" s="45">
        <f t="shared" si="19"/>
        <v>0</v>
      </c>
      <c r="AC303" s="5"/>
      <c r="AD303" s="6">
        <f>(TABL12345[[#This Row],[( S/S+T/B) AJD]]*1000)-((TABL12345[[#This Row],[(STORGE DIFF.) AJD]]*1000)+TABL12345[[#This Row],[البخر  AJD]]+(TABL12345[[#This Row],[(A/B + A/S) AJD]]*1000))</f>
        <v>0</v>
      </c>
      <c r="AE303" s="33"/>
      <c r="AF303" s="6"/>
      <c r="AG303" s="6"/>
      <c r="AH303" s="6">
        <f>TABL12345[[#This Row],[ (RESV. STORGE) BER]]/10</f>
        <v>0</v>
      </c>
      <c r="AI303" s="6"/>
      <c r="AJ303" s="33">
        <f>TABL12345[[#This Row],[(A/B TOT) AJD]]-TABL12345[[#This Row],[BER_ IN]]</f>
        <v>0</v>
      </c>
      <c r="AK303" s="6"/>
      <c r="AL303" s="6"/>
      <c r="AM303" s="32"/>
      <c r="AN303" s="32">
        <f>TABL12345[[#This Row],[ (RESV. STORGE) SER]]/10</f>
        <v>0</v>
      </c>
      <c r="AO303" s="68"/>
      <c r="AP303" s="68">
        <f>TABL12345[[#This Row],[(A/S TOT) AJD]]-TABL12345[[#This Row],[SER_ IN]]</f>
        <v>0</v>
      </c>
    </row>
    <row r="304" spans="1:42" ht="18.75" x14ac:dyDescent="0.25">
      <c r="A304" s="2">
        <v>47055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>
        <f>TABL12345[[#This Row],[خط (T/B  TOT) SAR]]+TABL12345[[#This Row],[خط (S/S  TOT) SAR2]]</f>
        <v>0</v>
      </c>
      <c r="L304" s="28"/>
      <c r="M304" s="29"/>
      <c r="N304" s="30"/>
      <c r="O304" s="9"/>
      <c r="P304" s="9">
        <f>TABL12345[[#This Row],[خط (S/S  TOT) SAR2]]-TABL12345[[#This Row],[(S/S TOT) AJD]]</f>
        <v>0</v>
      </c>
      <c r="Q304" s="9"/>
      <c r="R304" s="9">
        <f>TABL12345[[#This Row],[خط (T/B  TOT) SAR]]-TABL12345[[#This Row],[(T/B TOT) AJD]]</f>
        <v>0</v>
      </c>
      <c r="S304" s="9">
        <f>TABL12345[[#This Row],[الفرق بين بداية ونهاية خط  S/S]]+TABL12345[[#This Row],[الفرق بين بداية ونهاية خط  T/B]]</f>
        <v>0</v>
      </c>
      <c r="T304" s="9">
        <f t="shared" si="16"/>
        <v>0</v>
      </c>
      <c r="U304" s="9"/>
      <c r="V304" s="9"/>
      <c r="W304" s="9">
        <f t="shared" si="17"/>
        <v>0</v>
      </c>
      <c r="X304" s="9">
        <f t="shared" si="18"/>
        <v>0</v>
      </c>
      <c r="Y304" s="18"/>
      <c r="Z304" s="9"/>
      <c r="AA304" s="3">
        <f>TABL12345[[#This Row],[(RESV. STORGE) AJD]]/10</f>
        <v>0</v>
      </c>
      <c r="AB304" s="45">
        <f t="shared" si="19"/>
        <v>0</v>
      </c>
      <c r="AC304" s="5"/>
      <c r="AD304" s="6">
        <f>(TABL12345[[#This Row],[( S/S+T/B) AJD]]*1000)-((TABL12345[[#This Row],[(STORGE DIFF.) AJD]]*1000)+TABL12345[[#This Row],[البخر  AJD]]+(TABL12345[[#This Row],[(A/B + A/S) AJD]]*1000))</f>
        <v>0</v>
      </c>
      <c r="AE304" s="33"/>
      <c r="AF304" s="6"/>
      <c r="AG304" s="6"/>
      <c r="AH304" s="6">
        <f>TABL12345[[#This Row],[ (RESV. STORGE) BER]]/10</f>
        <v>0</v>
      </c>
      <c r="AI304" s="6"/>
      <c r="AJ304" s="33">
        <f>TABL12345[[#This Row],[(A/B TOT) AJD]]-TABL12345[[#This Row],[BER_ IN]]</f>
        <v>0</v>
      </c>
      <c r="AK304" s="6"/>
      <c r="AL304" s="6"/>
      <c r="AM304" s="32"/>
      <c r="AN304" s="32">
        <f>TABL12345[[#This Row],[ (RESV. STORGE) SER]]/10</f>
        <v>0</v>
      </c>
      <c r="AO304" s="68"/>
      <c r="AP304" s="68">
        <f>TABL12345[[#This Row],[(A/S TOT) AJD]]-TABL12345[[#This Row],[SER_ IN]]</f>
        <v>0</v>
      </c>
    </row>
    <row r="305" spans="1:42" ht="18.75" x14ac:dyDescent="0.25">
      <c r="A305" s="2">
        <v>47056</v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>
        <f>TABL12345[[#This Row],[خط (T/B  TOT) SAR]]+TABL12345[[#This Row],[خط (S/S  TOT) SAR2]]</f>
        <v>0</v>
      </c>
      <c r="L305" s="28"/>
      <c r="M305" s="29"/>
      <c r="N305" s="30"/>
      <c r="O305" s="9"/>
      <c r="P305" s="9">
        <f>TABL12345[[#This Row],[خط (S/S  TOT) SAR2]]-TABL12345[[#This Row],[(S/S TOT) AJD]]</f>
        <v>0</v>
      </c>
      <c r="Q305" s="9"/>
      <c r="R305" s="9">
        <f>TABL12345[[#This Row],[خط (T/B  TOT) SAR]]-TABL12345[[#This Row],[(T/B TOT) AJD]]</f>
        <v>0</v>
      </c>
      <c r="S305" s="9">
        <f>TABL12345[[#This Row],[الفرق بين بداية ونهاية خط  S/S]]+TABL12345[[#This Row],[الفرق بين بداية ونهاية خط  T/B]]</f>
        <v>0</v>
      </c>
      <c r="T305" s="9">
        <f t="shared" si="16"/>
        <v>0</v>
      </c>
      <c r="U305" s="9"/>
      <c r="V305" s="9"/>
      <c r="W305" s="9">
        <f t="shared" si="17"/>
        <v>0</v>
      </c>
      <c r="X305" s="9">
        <f t="shared" si="18"/>
        <v>0</v>
      </c>
      <c r="Y305" s="18"/>
      <c r="Z305" s="9"/>
      <c r="AA305" s="3">
        <f>TABL12345[[#This Row],[(RESV. STORGE) AJD]]/10</f>
        <v>0</v>
      </c>
      <c r="AB305" s="45">
        <f t="shared" si="19"/>
        <v>0</v>
      </c>
      <c r="AC305" s="5"/>
      <c r="AD305" s="6">
        <f>(TABL12345[[#This Row],[( S/S+T/B) AJD]]*1000)-((TABL12345[[#This Row],[(STORGE DIFF.) AJD]]*1000)+TABL12345[[#This Row],[البخر  AJD]]+(TABL12345[[#This Row],[(A/B + A/S) AJD]]*1000))</f>
        <v>0</v>
      </c>
      <c r="AE305" s="33"/>
      <c r="AF305" s="6"/>
      <c r="AG305" s="6"/>
      <c r="AH305" s="6">
        <f>TABL12345[[#This Row],[ (RESV. STORGE) BER]]/10</f>
        <v>0</v>
      </c>
      <c r="AI305" s="6"/>
      <c r="AJ305" s="33">
        <f>TABL12345[[#This Row],[(A/B TOT) AJD]]-TABL12345[[#This Row],[BER_ IN]]</f>
        <v>0</v>
      </c>
      <c r="AK305" s="6"/>
      <c r="AL305" s="6"/>
      <c r="AM305" s="32"/>
      <c r="AN305" s="32">
        <f>TABL12345[[#This Row],[ (RESV. STORGE) SER]]/10</f>
        <v>0</v>
      </c>
      <c r="AO305" s="68"/>
      <c r="AP305" s="68">
        <f>TABL12345[[#This Row],[(A/S TOT) AJD]]-TABL12345[[#This Row],[SER_ IN]]</f>
        <v>0</v>
      </c>
    </row>
    <row r="306" spans="1:42" ht="18.75" x14ac:dyDescent="0.25">
      <c r="A306" s="2">
        <v>47057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>
        <f>TABL12345[[#This Row],[خط (T/B  TOT) SAR]]+TABL12345[[#This Row],[خط (S/S  TOT) SAR2]]</f>
        <v>0</v>
      </c>
      <c r="L306" s="28"/>
      <c r="M306" s="29"/>
      <c r="N306" s="30"/>
      <c r="O306" s="39"/>
      <c r="P306" s="9">
        <f>TABL12345[[#This Row],[خط (S/S  TOT) SAR2]]-TABL12345[[#This Row],[(S/S TOT) AJD]]</f>
        <v>0</v>
      </c>
      <c r="Q306" s="9"/>
      <c r="R306" s="9">
        <f>TABL12345[[#This Row],[خط (T/B  TOT) SAR]]-TABL12345[[#This Row],[(T/B TOT) AJD]]</f>
        <v>0</v>
      </c>
      <c r="S306" s="9">
        <f>TABL12345[[#This Row],[الفرق بين بداية ونهاية خط  S/S]]+TABL12345[[#This Row],[الفرق بين بداية ونهاية خط  T/B]]</f>
        <v>0</v>
      </c>
      <c r="T306" s="9">
        <f t="shared" si="16"/>
        <v>0</v>
      </c>
      <c r="U306" s="9"/>
      <c r="V306" s="9"/>
      <c r="W306" s="9">
        <f t="shared" si="17"/>
        <v>0</v>
      </c>
      <c r="X306" s="9">
        <f t="shared" si="18"/>
        <v>0</v>
      </c>
      <c r="Y306" s="18"/>
      <c r="Z306" s="9"/>
      <c r="AA306" s="3">
        <f>TABL12345[[#This Row],[(RESV. STORGE) AJD]]/10</f>
        <v>0</v>
      </c>
      <c r="AB306" s="45">
        <f t="shared" si="19"/>
        <v>0</v>
      </c>
      <c r="AC306" s="5"/>
      <c r="AD306" s="6">
        <f>(TABL12345[[#This Row],[( S/S+T/B) AJD]]*1000)-((TABL12345[[#This Row],[(STORGE DIFF.) AJD]]*1000)+TABL12345[[#This Row],[البخر  AJD]]+(TABL12345[[#This Row],[(A/B + A/S) AJD]]*1000))</f>
        <v>0</v>
      </c>
      <c r="AE306" s="33"/>
      <c r="AF306" s="6"/>
      <c r="AG306" s="6"/>
      <c r="AH306" s="6">
        <f>TABL12345[[#This Row],[ (RESV. STORGE) BER]]/10</f>
        <v>0</v>
      </c>
      <c r="AI306" s="6"/>
      <c r="AJ306" s="33">
        <f>TABL12345[[#This Row],[(A/B TOT) AJD]]-TABL12345[[#This Row],[BER_ IN]]</f>
        <v>0</v>
      </c>
      <c r="AK306" s="6"/>
      <c r="AL306" s="6"/>
      <c r="AM306" s="32"/>
      <c r="AN306" s="32">
        <f>TABL12345[[#This Row],[ (RESV. STORGE) SER]]/10</f>
        <v>0</v>
      </c>
      <c r="AO306" s="68"/>
      <c r="AP306" s="68">
        <f>TABL12345[[#This Row],[(A/S TOT) AJD]]-TABL12345[[#This Row],[SER_ IN]]</f>
        <v>0</v>
      </c>
    </row>
    <row r="307" spans="1:42" ht="18.75" x14ac:dyDescent="0.25">
      <c r="A307" s="2">
        <v>47058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>
        <f>TABL12345[[#This Row],[خط (T/B  TOT) SAR]]+TABL12345[[#This Row],[خط (S/S  TOT) SAR2]]</f>
        <v>0</v>
      </c>
      <c r="L307" s="28"/>
      <c r="M307" s="29"/>
      <c r="N307" s="30"/>
      <c r="O307" s="40"/>
      <c r="P307" s="9">
        <f>TABL12345[[#This Row],[خط (S/S  TOT) SAR2]]-TABL12345[[#This Row],[(S/S TOT) AJD]]</f>
        <v>0</v>
      </c>
      <c r="Q307" s="9"/>
      <c r="R307" s="9">
        <f>TABL12345[[#This Row],[خط (T/B  TOT) SAR]]-TABL12345[[#This Row],[(T/B TOT) AJD]]</f>
        <v>0</v>
      </c>
      <c r="S307" s="9">
        <f>TABL12345[[#This Row],[الفرق بين بداية ونهاية خط  S/S]]+TABL12345[[#This Row],[الفرق بين بداية ونهاية خط  T/B]]</f>
        <v>0</v>
      </c>
      <c r="T307" s="9">
        <f t="shared" si="16"/>
        <v>0</v>
      </c>
      <c r="U307" s="9"/>
      <c r="V307" s="9"/>
      <c r="W307" s="9">
        <f t="shared" si="17"/>
        <v>0</v>
      </c>
      <c r="X307" s="9">
        <f t="shared" si="18"/>
        <v>0</v>
      </c>
      <c r="Y307" s="18"/>
      <c r="Z307" s="9"/>
      <c r="AA307" s="3">
        <f>TABL12345[[#This Row],[(RESV. STORGE) AJD]]/10</f>
        <v>0</v>
      </c>
      <c r="AB307" s="45">
        <f t="shared" si="19"/>
        <v>0</v>
      </c>
      <c r="AC307" s="5"/>
      <c r="AD307" s="6">
        <f>(TABL12345[[#This Row],[( S/S+T/B) AJD]]*1000)-((TABL12345[[#This Row],[(STORGE DIFF.) AJD]]*1000)+TABL12345[[#This Row],[البخر  AJD]]+(TABL12345[[#This Row],[(A/B + A/S) AJD]]*1000))</f>
        <v>0</v>
      </c>
      <c r="AE307" s="33"/>
      <c r="AF307" s="6"/>
      <c r="AG307" s="6"/>
      <c r="AH307" s="6">
        <f>TABL12345[[#This Row],[ (RESV. STORGE) BER]]/10</f>
        <v>0</v>
      </c>
      <c r="AI307" s="6"/>
      <c r="AJ307" s="33">
        <f>TABL12345[[#This Row],[(A/B TOT) AJD]]-TABL12345[[#This Row],[BER_ IN]]</f>
        <v>0</v>
      </c>
      <c r="AK307" s="6"/>
      <c r="AL307" s="6"/>
      <c r="AM307" s="32"/>
      <c r="AN307" s="32">
        <f>TABL12345[[#This Row],[ (RESV. STORGE) SER]]/10</f>
        <v>0</v>
      </c>
      <c r="AO307" s="68"/>
      <c r="AP307" s="68">
        <f>TABL12345[[#This Row],[(A/S TOT) AJD]]-TABL12345[[#This Row],[SER_ IN]]</f>
        <v>0</v>
      </c>
    </row>
    <row r="308" spans="1:42" ht="18.75" x14ac:dyDescent="0.25">
      <c r="A308" s="2">
        <v>47059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>
        <f>TABL12345[[#This Row],[خط (T/B  TOT) SAR]]+TABL12345[[#This Row],[خط (S/S  TOT) SAR2]]</f>
        <v>0</v>
      </c>
      <c r="L308" s="28"/>
      <c r="M308" s="29"/>
      <c r="N308" s="30"/>
      <c r="O308" s="39"/>
      <c r="P308" s="9">
        <f>TABL12345[[#This Row],[خط (S/S  TOT) SAR2]]-TABL12345[[#This Row],[(S/S TOT) AJD]]</f>
        <v>0</v>
      </c>
      <c r="Q308" s="9"/>
      <c r="R308" s="9">
        <f>TABL12345[[#This Row],[خط (T/B  TOT) SAR]]-TABL12345[[#This Row],[(T/B TOT) AJD]]</f>
        <v>0</v>
      </c>
      <c r="S308" s="9">
        <f>TABL12345[[#This Row],[الفرق بين بداية ونهاية خط  S/S]]+TABL12345[[#This Row],[الفرق بين بداية ونهاية خط  T/B]]</f>
        <v>0</v>
      </c>
      <c r="T308" s="9">
        <f t="shared" si="16"/>
        <v>0</v>
      </c>
      <c r="U308" s="9"/>
      <c r="V308" s="9"/>
      <c r="W308" s="9">
        <f t="shared" si="17"/>
        <v>0</v>
      </c>
      <c r="X308" s="9">
        <f t="shared" si="18"/>
        <v>0</v>
      </c>
      <c r="Y308" s="18"/>
      <c r="Z308" s="9"/>
      <c r="AA308" s="3">
        <f>TABL12345[[#This Row],[(RESV. STORGE) AJD]]/10</f>
        <v>0</v>
      </c>
      <c r="AB308" s="45">
        <f t="shared" si="19"/>
        <v>0</v>
      </c>
      <c r="AC308" s="5"/>
      <c r="AD308" s="6">
        <f>(TABL12345[[#This Row],[( S/S+T/B) AJD]]*1000)-((TABL12345[[#This Row],[(STORGE DIFF.) AJD]]*1000)+TABL12345[[#This Row],[البخر  AJD]]+(TABL12345[[#This Row],[(A/B + A/S) AJD]]*1000))</f>
        <v>0</v>
      </c>
      <c r="AE308" s="33"/>
      <c r="AF308" s="6"/>
      <c r="AG308" s="6"/>
      <c r="AH308" s="6">
        <f>TABL12345[[#This Row],[ (RESV. STORGE) BER]]/10</f>
        <v>0</v>
      </c>
      <c r="AI308" s="6"/>
      <c r="AJ308" s="33">
        <f>TABL12345[[#This Row],[(A/B TOT) AJD]]-TABL12345[[#This Row],[BER_ IN]]</f>
        <v>0</v>
      </c>
      <c r="AK308" s="6"/>
      <c r="AL308" s="6"/>
      <c r="AM308" s="32"/>
      <c r="AN308" s="32">
        <f>TABL12345[[#This Row],[ (RESV. STORGE) SER]]/10</f>
        <v>0</v>
      </c>
      <c r="AO308" s="68"/>
      <c r="AP308" s="68">
        <f>TABL12345[[#This Row],[(A/S TOT) AJD]]-TABL12345[[#This Row],[SER_ IN]]</f>
        <v>0</v>
      </c>
    </row>
    <row r="309" spans="1:42" ht="18.75" x14ac:dyDescent="0.25">
      <c r="A309" s="2">
        <v>47060</v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>
        <f>TABL12345[[#This Row],[خط (T/B  TOT) SAR]]+TABL12345[[#This Row],[خط (S/S  TOT) SAR2]]</f>
        <v>0</v>
      </c>
      <c r="L309" s="28"/>
      <c r="M309" s="29"/>
      <c r="N309" s="30"/>
      <c r="O309" s="40"/>
      <c r="P309" s="9">
        <f>TABL12345[[#This Row],[خط (S/S  TOT) SAR2]]-TABL12345[[#This Row],[(S/S TOT) AJD]]</f>
        <v>0</v>
      </c>
      <c r="Q309" s="9"/>
      <c r="R309" s="9">
        <f>TABL12345[[#This Row],[خط (T/B  TOT) SAR]]-TABL12345[[#This Row],[(T/B TOT) AJD]]</f>
        <v>0</v>
      </c>
      <c r="S309" s="9">
        <f>TABL12345[[#This Row],[الفرق بين بداية ونهاية خط  S/S]]+TABL12345[[#This Row],[الفرق بين بداية ونهاية خط  T/B]]</f>
        <v>0</v>
      </c>
      <c r="T309" s="9">
        <f t="shared" si="16"/>
        <v>0</v>
      </c>
      <c r="U309" s="9"/>
      <c r="V309" s="9"/>
      <c r="W309" s="9">
        <f t="shared" si="17"/>
        <v>0</v>
      </c>
      <c r="X309" s="9">
        <f t="shared" si="18"/>
        <v>0</v>
      </c>
      <c r="Y309" s="18"/>
      <c r="Z309" s="9"/>
      <c r="AA309" s="3">
        <f>TABL12345[[#This Row],[(RESV. STORGE) AJD]]/10</f>
        <v>0</v>
      </c>
      <c r="AB309" s="45">
        <f t="shared" si="19"/>
        <v>0</v>
      </c>
      <c r="AC309" s="5"/>
      <c r="AD309" s="6">
        <f>(TABL12345[[#This Row],[( S/S+T/B) AJD]]*1000)-((TABL12345[[#This Row],[(STORGE DIFF.) AJD]]*1000)+TABL12345[[#This Row],[البخر  AJD]]+(TABL12345[[#This Row],[(A/B + A/S) AJD]]*1000))</f>
        <v>0</v>
      </c>
      <c r="AE309" s="33"/>
      <c r="AF309" s="6"/>
      <c r="AG309" s="6"/>
      <c r="AH309" s="6">
        <f>TABL12345[[#This Row],[ (RESV. STORGE) BER]]/10</f>
        <v>0</v>
      </c>
      <c r="AI309" s="6"/>
      <c r="AJ309" s="33">
        <f>TABL12345[[#This Row],[(A/B TOT) AJD]]-TABL12345[[#This Row],[BER_ IN]]</f>
        <v>0</v>
      </c>
      <c r="AK309" s="6"/>
      <c r="AL309" s="6"/>
      <c r="AM309" s="32"/>
      <c r="AN309" s="32">
        <f>TABL12345[[#This Row],[ (RESV. STORGE) SER]]/10</f>
        <v>0</v>
      </c>
      <c r="AO309" s="68"/>
      <c r="AP309" s="68">
        <f>TABL12345[[#This Row],[(A/S TOT) AJD]]-TABL12345[[#This Row],[SER_ IN]]</f>
        <v>0</v>
      </c>
    </row>
    <row r="310" spans="1:42" ht="18.75" x14ac:dyDescent="0.25">
      <c r="A310" s="2">
        <v>47061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>
        <f>TABL12345[[#This Row],[خط (T/B  TOT) SAR]]+TABL12345[[#This Row],[خط (S/S  TOT) SAR2]]</f>
        <v>0</v>
      </c>
      <c r="L310" s="28"/>
      <c r="M310" s="29"/>
      <c r="N310" s="30"/>
      <c r="O310" s="39"/>
      <c r="P310" s="9">
        <f>TABL12345[[#This Row],[خط (S/S  TOT) SAR2]]-TABL12345[[#This Row],[(S/S TOT) AJD]]</f>
        <v>0</v>
      </c>
      <c r="Q310" s="9"/>
      <c r="R310" s="9">
        <f>TABL12345[[#This Row],[خط (T/B  TOT) SAR]]-TABL12345[[#This Row],[(T/B TOT) AJD]]</f>
        <v>0</v>
      </c>
      <c r="S310" s="9">
        <f>TABL12345[[#This Row],[الفرق بين بداية ونهاية خط  S/S]]+TABL12345[[#This Row],[الفرق بين بداية ونهاية خط  T/B]]</f>
        <v>0</v>
      </c>
      <c r="T310" s="9">
        <f t="shared" si="16"/>
        <v>0</v>
      </c>
      <c r="U310" s="9"/>
      <c r="V310" s="9"/>
      <c r="W310" s="9">
        <f t="shared" si="17"/>
        <v>0</v>
      </c>
      <c r="X310" s="9">
        <f t="shared" si="18"/>
        <v>0</v>
      </c>
      <c r="Y310" s="18"/>
      <c r="Z310" s="9"/>
      <c r="AA310" s="3">
        <f>TABL12345[[#This Row],[(RESV. STORGE) AJD]]/10</f>
        <v>0</v>
      </c>
      <c r="AB310" s="45">
        <f t="shared" si="19"/>
        <v>0</v>
      </c>
      <c r="AC310" s="5"/>
      <c r="AD310" s="6">
        <f>(TABL12345[[#This Row],[( S/S+T/B) AJD]]*1000)-((TABL12345[[#This Row],[(STORGE DIFF.) AJD]]*1000)+TABL12345[[#This Row],[البخر  AJD]]+(TABL12345[[#This Row],[(A/B + A/S) AJD]]*1000))</f>
        <v>0</v>
      </c>
      <c r="AE310" s="33"/>
      <c r="AF310" s="6"/>
      <c r="AG310" s="6"/>
      <c r="AH310" s="6">
        <f>TABL12345[[#This Row],[ (RESV. STORGE) BER]]/10</f>
        <v>0</v>
      </c>
      <c r="AI310" s="6"/>
      <c r="AJ310" s="33">
        <f>TABL12345[[#This Row],[(A/B TOT) AJD]]-TABL12345[[#This Row],[BER_ IN]]</f>
        <v>0</v>
      </c>
      <c r="AK310" s="6"/>
      <c r="AL310" s="6"/>
      <c r="AM310" s="32"/>
      <c r="AN310" s="32">
        <f>TABL12345[[#This Row],[ (RESV. STORGE) SER]]/10</f>
        <v>0</v>
      </c>
      <c r="AO310" s="68"/>
      <c r="AP310" s="68">
        <f>TABL12345[[#This Row],[(A/S TOT) AJD]]-TABL12345[[#This Row],[SER_ IN]]</f>
        <v>0</v>
      </c>
    </row>
    <row r="311" spans="1:42" ht="18.75" x14ac:dyDescent="0.25">
      <c r="A311" s="2">
        <v>47062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>
        <f>TABL12345[[#This Row],[خط (T/B  TOT) SAR]]+TABL12345[[#This Row],[خط (S/S  TOT) SAR2]]</f>
        <v>0</v>
      </c>
      <c r="L311" s="28"/>
      <c r="M311" s="29"/>
      <c r="N311" s="30"/>
      <c r="O311" s="40"/>
      <c r="P311" s="9">
        <f>TABL12345[[#This Row],[خط (S/S  TOT) SAR2]]-TABL12345[[#This Row],[(S/S TOT) AJD]]</f>
        <v>0</v>
      </c>
      <c r="Q311" s="9"/>
      <c r="R311" s="9">
        <f>TABL12345[[#This Row],[خط (T/B  TOT) SAR]]-TABL12345[[#This Row],[(T/B TOT) AJD]]</f>
        <v>0</v>
      </c>
      <c r="S311" s="9">
        <f>TABL12345[[#This Row],[الفرق بين بداية ونهاية خط  S/S]]+TABL12345[[#This Row],[الفرق بين بداية ونهاية خط  T/B]]</f>
        <v>0</v>
      </c>
      <c r="T311" s="9">
        <f t="shared" si="16"/>
        <v>0</v>
      </c>
      <c r="U311" s="9"/>
      <c r="V311" s="9"/>
      <c r="W311" s="9">
        <f t="shared" si="17"/>
        <v>0</v>
      </c>
      <c r="X311" s="9">
        <f t="shared" si="18"/>
        <v>0</v>
      </c>
      <c r="Y311" s="18"/>
      <c r="Z311" s="9"/>
      <c r="AA311" s="3">
        <f>TABL12345[[#This Row],[(RESV. STORGE) AJD]]/10</f>
        <v>0</v>
      </c>
      <c r="AB311" s="45">
        <f t="shared" si="19"/>
        <v>0</v>
      </c>
      <c r="AC311" s="5"/>
      <c r="AD311" s="6">
        <f>(TABL12345[[#This Row],[( S/S+T/B) AJD]]*1000)-((TABL12345[[#This Row],[(STORGE DIFF.) AJD]]*1000)+TABL12345[[#This Row],[البخر  AJD]]+(TABL12345[[#This Row],[(A/B + A/S) AJD]]*1000))</f>
        <v>0</v>
      </c>
      <c r="AE311" s="33"/>
      <c r="AF311" s="6"/>
      <c r="AG311" s="6"/>
      <c r="AH311" s="6">
        <f>TABL12345[[#This Row],[ (RESV. STORGE) BER]]/10</f>
        <v>0</v>
      </c>
      <c r="AI311" s="6"/>
      <c r="AJ311" s="33">
        <f>TABL12345[[#This Row],[(A/B TOT) AJD]]-TABL12345[[#This Row],[BER_ IN]]</f>
        <v>0</v>
      </c>
      <c r="AK311" s="6"/>
      <c r="AL311" s="6"/>
      <c r="AM311" s="32"/>
      <c r="AN311" s="32">
        <f>TABL12345[[#This Row],[ (RESV. STORGE) SER]]/10</f>
        <v>0</v>
      </c>
      <c r="AO311" s="68"/>
      <c r="AP311" s="68">
        <f>TABL12345[[#This Row],[(A/S TOT) AJD]]-TABL12345[[#This Row],[SER_ IN]]</f>
        <v>0</v>
      </c>
    </row>
    <row r="312" spans="1:42" ht="18.75" x14ac:dyDescent="0.25">
      <c r="A312" s="2">
        <v>47063</v>
      </c>
      <c r="B312" s="28"/>
      <c r="C312" s="28"/>
      <c r="D312" s="28"/>
      <c r="E312" s="28"/>
      <c r="F312" s="28"/>
      <c r="G312" s="28"/>
      <c r="H312" s="28"/>
      <c r="I312" s="28"/>
      <c r="J312" s="28"/>
      <c r="K312" s="28">
        <f>TABL12345[[#This Row],[خط (T/B  TOT) SAR]]+TABL12345[[#This Row],[خط (S/S  TOT) SAR2]]</f>
        <v>0</v>
      </c>
      <c r="L312" s="28"/>
      <c r="M312" s="29"/>
      <c r="N312" s="30"/>
      <c r="O312" s="39"/>
      <c r="P312" s="9">
        <f>TABL12345[[#This Row],[خط (S/S  TOT) SAR2]]-TABL12345[[#This Row],[(S/S TOT) AJD]]</f>
        <v>0</v>
      </c>
      <c r="Q312" s="9"/>
      <c r="R312" s="9">
        <f>TABL12345[[#This Row],[خط (T/B  TOT) SAR]]-TABL12345[[#This Row],[(T/B TOT) AJD]]</f>
        <v>0</v>
      </c>
      <c r="S312" s="9">
        <f>TABL12345[[#This Row],[الفرق بين بداية ونهاية خط  S/S]]+TABL12345[[#This Row],[الفرق بين بداية ونهاية خط  T/B]]</f>
        <v>0</v>
      </c>
      <c r="T312" s="9">
        <f t="shared" si="16"/>
        <v>0</v>
      </c>
      <c r="U312" s="9"/>
      <c r="V312" s="9"/>
      <c r="W312" s="9">
        <f t="shared" si="17"/>
        <v>0</v>
      </c>
      <c r="X312" s="9">
        <f t="shared" si="18"/>
        <v>0</v>
      </c>
      <c r="Y312" s="18"/>
      <c r="Z312" s="9"/>
      <c r="AA312" s="3">
        <f>TABL12345[[#This Row],[(RESV. STORGE) AJD]]/10</f>
        <v>0</v>
      </c>
      <c r="AB312" s="45">
        <f t="shared" si="19"/>
        <v>0</v>
      </c>
      <c r="AC312" s="5"/>
      <c r="AD312" s="6">
        <f>(TABL12345[[#This Row],[( S/S+T/B) AJD]]*1000)-((TABL12345[[#This Row],[(STORGE DIFF.) AJD]]*1000)+TABL12345[[#This Row],[البخر  AJD]]+(TABL12345[[#This Row],[(A/B + A/S) AJD]]*1000))</f>
        <v>0</v>
      </c>
      <c r="AE312" s="33"/>
      <c r="AF312" s="6"/>
      <c r="AG312" s="6"/>
      <c r="AH312" s="6">
        <f>TABL12345[[#This Row],[ (RESV. STORGE) BER]]/10</f>
        <v>0</v>
      </c>
      <c r="AI312" s="6"/>
      <c r="AJ312" s="33">
        <f>TABL12345[[#This Row],[(A/B TOT) AJD]]-TABL12345[[#This Row],[BER_ IN]]</f>
        <v>0</v>
      </c>
      <c r="AK312" s="6"/>
      <c r="AL312" s="6"/>
      <c r="AM312" s="32"/>
      <c r="AN312" s="32">
        <f>TABL12345[[#This Row],[ (RESV. STORGE) SER]]/10</f>
        <v>0</v>
      </c>
      <c r="AO312" s="68"/>
      <c r="AP312" s="68">
        <f>TABL12345[[#This Row],[(A/S TOT) AJD]]-TABL12345[[#This Row],[SER_ IN]]</f>
        <v>0</v>
      </c>
    </row>
    <row r="313" spans="1:42" ht="18.75" x14ac:dyDescent="0.25">
      <c r="A313" s="2">
        <v>47064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>
        <f>TABL12345[[#This Row],[خط (T/B  TOT) SAR]]+TABL12345[[#This Row],[خط (S/S  TOT) SAR2]]</f>
        <v>0</v>
      </c>
      <c r="L313" s="28"/>
      <c r="M313" s="29"/>
      <c r="N313" s="30"/>
      <c r="O313" s="40"/>
      <c r="P313" s="9">
        <f>TABL12345[[#This Row],[خط (S/S  TOT) SAR2]]-TABL12345[[#This Row],[(S/S TOT) AJD]]</f>
        <v>0</v>
      </c>
      <c r="Q313" s="9"/>
      <c r="R313" s="9">
        <f>TABL12345[[#This Row],[خط (T/B  TOT) SAR]]-TABL12345[[#This Row],[(T/B TOT) AJD]]</f>
        <v>0</v>
      </c>
      <c r="S313" s="9">
        <f>TABL12345[[#This Row],[الفرق بين بداية ونهاية خط  S/S]]+TABL12345[[#This Row],[الفرق بين بداية ونهاية خط  T/B]]</f>
        <v>0</v>
      </c>
      <c r="T313" s="9">
        <f t="shared" si="16"/>
        <v>0</v>
      </c>
      <c r="U313" s="9"/>
      <c r="V313" s="9"/>
      <c r="W313" s="9">
        <f t="shared" si="17"/>
        <v>0</v>
      </c>
      <c r="X313" s="9">
        <f t="shared" si="18"/>
        <v>0</v>
      </c>
      <c r="Y313" s="18"/>
      <c r="Z313" s="9"/>
      <c r="AA313" s="3">
        <f>TABL12345[[#This Row],[(RESV. STORGE) AJD]]/10</f>
        <v>0</v>
      </c>
      <c r="AB313" s="45">
        <f t="shared" si="19"/>
        <v>0</v>
      </c>
      <c r="AC313" s="5"/>
      <c r="AD313" s="6">
        <f>(TABL12345[[#This Row],[( S/S+T/B) AJD]]*1000)-((TABL12345[[#This Row],[(STORGE DIFF.) AJD]]*1000)+TABL12345[[#This Row],[البخر  AJD]]+(TABL12345[[#This Row],[(A/B + A/S) AJD]]*1000))</f>
        <v>0</v>
      </c>
      <c r="AE313" s="33"/>
      <c r="AF313" s="6"/>
      <c r="AG313" s="6"/>
      <c r="AH313" s="6">
        <f>TABL12345[[#This Row],[ (RESV. STORGE) BER]]/10</f>
        <v>0</v>
      </c>
      <c r="AI313" s="6"/>
      <c r="AJ313" s="33">
        <f>TABL12345[[#This Row],[(A/B TOT) AJD]]-TABL12345[[#This Row],[BER_ IN]]</f>
        <v>0</v>
      </c>
      <c r="AK313" s="6"/>
      <c r="AL313" s="6"/>
      <c r="AM313" s="32"/>
      <c r="AN313" s="32">
        <f>TABL12345[[#This Row],[ (RESV. STORGE) SER]]/10</f>
        <v>0</v>
      </c>
      <c r="AO313" s="68"/>
      <c r="AP313" s="68">
        <f>TABL12345[[#This Row],[(A/S TOT) AJD]]-TABL12345[[#This Row],[SER_ IN]]</f>
        <v>0</v>
      </c>
    </row>
    <row r="314" spans="1:42" ht="18.75" x14ac:dyDescent="0.25">
      <c r="A314" s="2">
        <v>47065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>
        <f>TABL12345[[#This Row],[خط (T/B  TOT) SAR]]+TABL12345[[#This Row],[خط (S/S  TOT) SAR2]]</f>
        <v>0</v>
      </c>
      <c r="L314" s="28"/>
      <c r="M314" s="29"/>
      <c r="N314" s="30"/>
      <c r="O314" s="39"/>
      <c r="P314" s="9">
        <f>TABL12345[[#This Row],[خط (S/S  TOT) SAR2]]-TABL12345[[#This Row],[(S/S TOT) AJD]]</f>
        <v>0</v>
      </c>
      <c r="Q314" s="9"/>
      <c r="R314" s="9">
        <f>TABL12345[[#This Row],[خط (T/B  TOT) SAR]]-TABL12345[[#This Row],[(T/B TOT) AJD]]</f>
        <v>0</v>
      </c>
      <c r="S314" s="9">
        <f>TABL12345[[#This Row],[الفرق بين بداية ونهاية خط  S/S]]+TABL12345[[#This Row],[الفرق بين بداية ونهاية خط  T/B]]</f>
        <v>0</v>
      </c>
      <c r="T314" s="9">
        <f t="shared" si="16"/>
        <v>0</v>
      </c>
      <c r="U314" s="9"/>
      <c r="V314" s="9"/>
      <c r="W314" s="9">
        <f t="shared" si="17"/>
        <v>0</v>
      </c>
      <c r="X314" s="9">
        <f t="shared" si="18"/>
        <v>0</v>
      </c>
      <c r="Y314" s="18"/>
      <c r="Z314" s="9"/>
      <c r="AA314" s="3">
        <f>TABL12345[[#This Row],[(RESV. STORGE) AJD]]/10</f>
        <v>0</v>
      </c>
      <c r="AB314" s="45">
        <f t="shared" si="19"/>
        <v>0</v>
      </c>
      <c r="AC314" s="5"/>
      <c r="AD314" s="6">
        <f>(TABL12345[[#This Row],[( S/S+T/B) AJD]]*1000)-((TABL12345[[#This Row],[(STORGE DIFF.) AJD]]*1000)+TABL12345[[#This Row],[البخر  AJD]]+(TABL12345[[#This Row],[(A/B + A/S) AJD]]*1000))</f>
        <v>0</v>
      </c>
      <c r="AE314" s="33"/>
      <c r="AF314" s="6"/>
      <c r="AG314" s="6"/>
      <c r="AH314" s="6">
        <f>TABL12345[[#This Row],[ (RESV. STORGE) BER]]/10</f>
        <v>0</v>
      </c>
      <c r="AI314" s="6"/>
      <c r="AJ314" s="33">
        <f>TABL12345[[#This Row],[(A/B TOT) AJD]]-TABL12345[[#This Row],[BER_ IN]]</f>
        <v>0</v>
      </c>
      <c r="AK314" s="6"/>
      <c r="AL314" s="6"/>
      <c r="AM314" s="32"/>
      <c r="AN314" s="32">
        <f>TABL12345[[#This Row],[ (RESV. STORGE) SER]]/10</f>
        <v>0</v>
      </c>
      <c r="AO314" s="68"/>
      <c r="AP314" s="68">
        <f>TABL12345[[#This Row],[(A/S TOT) AJD]]-TABL12345[[#This Row],[SER_ IN]]</f>
        <v>0</v>
      </c>
    </row>
    <row r="315" spans="1:42" ht="18.75" x14ac:dyDescent="0.25">
      <c r="A315" s="2">
        <v>47066</v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>
        <f>TABL12345[[#This Row],[خط (T/B  TOT) SAR]]+TABL12345[[#This Row],[خط (S/S  TOT) SAR2]]</f>
        <v>0</v>
      </c>
      <c r="L315" s="28"/>
      <c r="M315" s="29"/>
      <c r="N315" s="30"/>
      <c r="O315" s="40"/>
      <c r="P315" s="9">
        <f>TABL12345[[#This Row],[خط (S/S  TOT) SAR2]]-TABL12345[[#This Row],[(S/S TOT) AJD]]</f>
        <v>0</v>
      </c>
      <c r="Q315" s="9"/>
      <c r="R315" s="9">
        <f>TABL12345[[#This Row],[خط (T/B  TOT) SAR]]-TABL12345[[#This Row],[(T/B TOT) AJD]]</f>
        <v>0</v>
      </c>
      <c r="S315" s="9">
        <f>TABL12345[[#This Row],[الفرق بين بداية ونهاية خط  S/S]]+TABL12345[[#This Row],[الفرق بين بداية ونهاية خط  T/B]]</f>
        <v>0</v>
      </c>
      <c r="T315" s="9">
        <f t="shared" si="16"/>
        <v>0</v>
      </c>
      <c r="U315" s="9"/>
      <c r="V315" s="9"/>
      <c r="W315" s="9">
        <f t="shared" si="17"/>
        <v>0</v>
      </c>
      <c r="X315" s="9">
        <f t="shared" si="18"/>
        <v>0</v>
      </c>
      <c r="Y315" s="18"/>
      <c r="Z315" s="9"/>
      <c r="AA315" s="3">
        <f>TABL12345[[#This Row],[(RESV. STORGE) AJD]]/10</f>
        <v>0</v>
      </c>
      <c r="AB315" s="45">
        <f t="shared" si="19"/>
        <v>0</v>
      </c>
      <c r="AC315" s="5"/>
      <c r="AD315" s="6">
        <f>(TABL12345[[#This Row],[( S/S+T/B) AJD]]*1000)-((TABL12345[[#This Row],[(STORGE DIFF.) AJD]]*1000)+TABL12345[[#This Row],[البخر  AJD]]+(TABL12345[[#This Row],[(A/B + A/S) AJD]]*1000))</f>
        <v>0</v>
      </c>
      <c r="AE315" s="33"/>
      <c r="AF315" s="6"/>
      <c r="AG315" s="6"/>
      <c r="AH315" s="6">
        <f>TABL12345[[#This Row],[ (RESV. STORGE) BER]]/10</f>
        <v>0</v>
      </c>
      <c r="AI315" s="6"/>
      <c r="AJ315" s="33">
        <f>TABL12345[[#This Row],[(A/B TOT) AJD]]-TABL12345[[#This Row],[BER_ IN]]</f>
        <v>0</v>
      </c>
      <c r="AK315" s="6"/>
      <c r="AL315" s="6"/>
      <c r="AM315" s="32"/>
      <c r="AN315" s="32">
        <f>TABL12345[[#This Row],[ (RESV. STORGE) SER]]/10</f>
        <v>0</v>
      </c>
      <c r="AO315" s="68"/>
      <c r="AP315" s="68">
        <f>TABL12345[[#This Row],[(A/S TOT) AJD]]-TABL12345[[#This Row],[SER_ IN]]</f>
        <v>0</v>
      </c>
    </row>
    <row r="316" spans="1:42" ht="18.75" x14ac:dyDescent="0.25">
      <c r="A316" s="2">
        <v>47067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>
        <f>TABL12345[[#This Row],[خط (T/B  TOT) SAR]]+TABL12345[[#This Row],[خط (S/S  TOT) SAR2]]</f>
        <v>0</v>
      </c>
      <c r="L316" s="28"/>
      <c r="M316" s="29"/>
      <c r="N316" s="30"/>
      <c r="O316" s="39"/>
      <c r="P316" s="9">
        <f>TABL12345[[#This Row],[خط (S/S  TOT) SAR2]]-TABL12345[[#This Row],[(S/S TOT) AJD]]</f>
        <v>0</v>
      </c>
      <c r="Q316" s="9"/>
      <c r="R316" s="9">
        <f>TABL12345[[#This Row],[خط (T/B  TOT) SAR]]-TABL12345[[#This Row],[(T/B TOT) AJD]]</f>
        <v>0</v>
      </c>
      <c r="S316" s="9">
        <f>TABL12345[[#This Row],[الفرق بين بداية ونهاية خط  S/S]]+TABL12345[[#This Row],[الفرق بين بداية ونهاية خط  T/B]]</f>
        <v>0</v>
      </c>
      <c r="T316" s="9">
        <f t="shared" si="16"/>
        <v>0</v>
      </c>
      <c r="U316" s="9"/>
      <c r="V316" s="9"/>
      <c r="W316" s="9">
        <f t="shared" si="17"/>
        <v>0</v>
      </c>
      <c r="X316" s="9">
        <f t="shared" si="18"/>
        <v>0</v>
      </c>
      <c r="Y316" s="18"/>
      <c r="Z316" s="9"/>
      <c r="AA316" s="3">
        <f>TABL12345[[#This Row],[(RESV. STORGE) AJD]]/10</f>
        <v>0</v>
      </c>
      <c r="AB316" s="45">
        <f t="shared" si="19"/>
        <v>0</v>
      </c>
      <c r="AC316" s="5"/>
      <c r="AD316" s="6">
        <f>(TABL12345[[#This Row],[( S/S+T/B) AJD]]*1000)-((TABL12345[[#This Row],[(STORGE DIFF.) AJD]]*1000)+TABL12345[[#This Row],[البخر  AJD]]+(TABL12345[[#This Row],[(A/B + A/S) AJD]]*1000))</f>
        <v>0</v>
      </c>
      <c r="AE316" s="33"/>
      <c r="AF316" s="6"/>
      <c r="AG316" s="6"/>
      <c r="AH316" s="6">
        <f>TABL12345[[#This Row],[ (RESV. STORGE) BER]]/10</f>
        <v>0</v>
      </c>
      <c r="AI316" s="6"/>
      <c r="AJ316" s="33">
        <f>TABL12345[[#This Row],[(A/B TOT) AJD]]-TABL12345[[#This Row],[BER_ IN]]</f>
        <v>0</v>
      </c>
      <c r="AK316" s="6"/>
      <c r="AL316" s="6"/>
      <c r="AM316" s="32"/>
      <c r="AN316" s="32">
        <f>TABL12345[[#This Row],[ (RESV. STORGE) SER]]/10</f>
        <v>0</v>
      </c>
      <c r="AO316" s="68"/>
      <c r="AP316" s="68">
        <f>TABL12345[[#This Row],[(A/S TOT) AJD]]-TABL12345[[#This Row],[SER_ IN]]</f>
        <v>0</v>
      </c>
    </row>
    <row r="317" spans="1:42" ht="18.75" x14ac:dyDescent="0.25">
      <c r="A317" s="2">
        <v>47068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>
        <f>TABL12345[[#This Row],[خط (T/B  TOT) SAR]]+TABL12345[[#This Row],[خط (S/S  TOT) SAR2]]</f>
        <v>0</v>
      </c>
      <c r="L317" s="28"/>
      <c r="M317" s="29"/>
      <c r="N317" s="30"/>
      <c r="O317" s="40"/>
      <c r="P317" s="9">
        <f>TABL12345[[#This Row],[خط (S/S  TOT) SAR2]]-TABL12345[[#This Row],[(S/S TOT) AJD]]</f>
        <v>0</v>
      </c>
      <c r="Q317" s="9"/>
      <c r="R317" s="9">
        <f>TABL12345[[#This Row],[خط (T/B  TOT) SAR]]-TABL12345[[#This Row],[(T/B TOT) AJD]]</f>
        <v>0</v>
      </c>
      <c r="S317" s="9">
        <f>TABL12345[[#This Row],[الفرق بين بداية ونهاية خط  S/S]]+TABL12345[[#This Row],[الفرق بين بداية ونهاية خط  T/B]]</f>
        <v>0</v>
      </c>
      <c r="T317" s="9">
        <f t="shared" si="16"/>
        <v>0</v>
      </c>
      <c r="U317" s="9"/>
      <c r="V317" s="9"/>
      <c r="W317" s="9">
        <f t="shared" si="17"/>
        <v>0</v>
      </c>
      <c r="X317" s="9">
        <f t="shared" si="18"/>
        <v>0</v>
      </c>
      <c r="Y317" s="18"/>
      <c r="Z317" s="9"/>
      <c r="AA317" s="3">
        <f>TABL12345[[#This Row],[(RESV. STORGE) AJD]]/10</f>
        <v>0</v>
      </c>
      <c r="AB317" s="45">
        <f t="shared" si="19"/>
        <v>0</v>
      </c>
      <c r="AC317" s="5"/>
      <c r="AD317" s="6">
        <f>(TABL12345[[#This Row],[( S/S+T/B) AJD]]*1000)-((TABL12345[[#This Row],[(STORGE DIFF.) AJD]]*1000)+TABL12345[[#This Row],[البخر  AJD]]+(TABL12345[[#This Row],[(A/B + A/S) AJD]]*1000))</f>
        <v>0</v>
      </c>
      <c r="AE317" s="33"/>
      <c r="AF317" s="6"/>
      <c r="AG317" s="6"/>
      <c r="AH317" s="6">
        <f>TABL12345[[#This Row],[ (RESV. STORGE) BER]]/10</f>
        <v>0</v>
      </c>
      <c r="AI317" s="6"/>
      <c r="AJ317" s="33">
        <f>TABL12345[[#This Row],[(A/B TOT) AJD]]-TABL12345[[#This Row],[BER_ IN]]</f>
        <v>0</v>
      </c>
      <c r="AK317" s="6"/>
      <c r="AL317" s="6"/>
      <c r="AM317" s="32"/>
      <c r="AN317" s="32">
        <f>TABL12345[[#This Row],[ (RESV. STORGE) SER]]/10</f>
        <v>0</v>
      </c>
      <c r="AO317" s="68"/>
      <c r="AP317" s="68">
        <f>TABL12345[[#This Row],[(A/S TOT) AJD]]-TABL12345[[#This Row],[SER_ IN]]</f>
        <v>0</v>
      </c>
    </row>
    <row r="318" spans="1:42" ht="18.75" x14ac:dyDescent="0.25">
      <c r="A318" s="2">
        <v>47069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>
        <f>TABL12345[[#This Row],[خط (T/B  TOT) SAR]]+TABL12345[[#This Row],[خط (S/S  TOT) SAR2]]</f>
        <v>0</v>
      </c>
      <c r="L318" s="28"/>
      <c r="M318" s="29"/>
      <c r="N318" s="30"/>
      <c r="O318" s="39"/>
      <c r="P318" s="9">
        <f>TABL12345[[#This Row],[خط (S/S  TOT) SAR2]]-TABL12345[[#This Row],[(S/S TOT) AJD]]</f>
        <v>0</v>
      </c>
      <c r="Q318" s="9"/>
      <c r="R318" s="9">
        <f>TABL12345[[#This Row],[خط (T/B  TOT) SAR]]-TABL12345[[#This Row],[(T/B TOT) AJD]]</f>
        <v>0</v>
      </c>
      <c r="S318" s="9">
        <f>TABL12345[[#This Row],[الفرق بين بداية ونهاية خط  S/S]]+TABL12345[[#This Row],[الفرق بين بداية ونهاية خط  T/B]]</f>
        <v>0</v>
      </c>
      <c r="T318" s="9">
        <f t="shared" si="16"/>
        <v>0</v>
      </c>
      <c r="U318" s="9"/>
      <c r="V318" s="9"/>
      <c r="W318" s="9">
        <f t="shared" si="17"/>
        <v>0</v>
      </c>
      <c r="X318" s="9">
        <f t="shared" si="18"/>
        <v>0</v>
      </c>
      <c r="Y318" s="18"/>
      <c r="Z318" s="9"/>
      <c r="AA318" s="3">
        <f>TABL12345[[#This Row],[(RESV. STORGE) AJD]]/10</f>
        <v>0</v>
      </c>
      <c r="AB318" s="45">
        <f t="shared" si="19"/>
        <v>0</v>
      </c>
      <c r="AC318" s="5"/>
      <c r="AD318" s="6">
        <f>(TABL12345[[#This Row],[( S/S+T/B) AJD]]*1000)-((TABL12345[[#This Row],[(STORGE DIFF.) AJD]]*1000)+TABL12345[[#This Row],[البخر  AJD]]+(TABL12345[[#This Row],[(A/B + A/S) AJD]]*1000))</f>
        <v>0</v>
      </c>
      <c r="AE318" s="33"/>
      <c r="AF318" s="6"/>
      <c r="AG318" s="6"/>
      <c r="AH318" s="6">
        <f>TABL12345[[#This Row],[ (RESV. STORGE) BER]]/10</f>
        <v>0</v>
      </c>
      <c r="AI318" s="6"/>
      <c r="AJ318" s="33">
        <f>TABL12345[[#This Row],[(A/B TOT) AJD]]-TABL12345[[#This Row],[BER_ IN]]</f>
        <v>0</v>
      </c>
      <c r="AK318" s="6"/>
      <c r="AL318" s="6"/>
      <c r="AM318" s="32"/>
      <c r="AN318" s="32">
        <f>TABL12345[[#This Row],[ (RESV. STORGE) SER]]/10</f>
        <v>0</v>
      </c>
      <c r="AO318" s="68"/>
      <c r="AP318" s="68">
        <f>TABL12345[[#This Row],[(A/S TOT) AJD]]-TABL12345[[#This Row],[SER_ IN]]</f>
        <v>0</v>
      </c>
    </row>
    <row r="319" spans="1:42" ht="18.75" x14ac:dyDescent="0.25">
      <c r="A319" s="2">
        <v>47070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>
        <f>TABL12345[[#This Row],[خط (T/B  TOT) SAR]]+TABL12345[[#This Row],[خط (S/S  TOT) SAR2]]</f>
        <v>0</v>
      </c>
      <c r="L319" s="28"/>
      <c r="M319" s="29"/>
      <c r="N319" s="30"/>
      <c r="O319" s="40"/>
      <c r="P319" s="9">
        <f>TABL12345[[#This Row],[خط (S/S  TOT) SAR2]]-TABL12345[[#This Row],[(S/S TOT) AJD]]</f>
        <v>0</v>
      </c>
      <c r="Q319" s="9"/>
      <c r="R319" s="9">
        <f>TABL12345[[#This Row],[خط (T/B  TOT) SAR]]-TABL12345[[#This Row],[(T/B TOT) AJD]]</f>
        <v>0</v>
      </c>
      <c r="S319" s="9">
        <f>TABL12345[[#This Row],[الفرق بين بداية ونهاية خط  S/S]]+TABL12345[[#This Row],[الفرق بين بداية ونهاية خط  T/B]]</f>
        <v>0</v>
      </c>
      <c r="T319" s="9">
        <f t="shared" si="16"/>
        <v>0</v>
      </c>
      <c r="U319" s="9"/>
      <c r="V319" s="9"/>
      <c r="W319" s="9">
        <f t="shared" si="17"/>
        <v>0</v>
      </c>
      <c r="X319" s="9">
        <f t="shared" si="18"/>
        <v>0</v>
      </c>
      <c r="Y319" s="18"/>
      <c r="Z319" s="9"/>
      <c r="AA319" s="3">
        <f>TABL12345[[#This Row],[(RESV. STORGE) AJD]]/10</f>
        <v>0</v>
      </c>
      <c r="AB319" s="45">
        <f t="shared" si="19"/>
        <v>0</v>
      </c>
      <c r="AC319" s="5"/>
      <c r="AD319" s="6">
        <f>(TABL12345[[#This Row],[( S/S+T/B) AJD]]*1000)-((TABL12345[[#This Row],[(STORGE DIFF.) AJD]]*1000)+TABL12345[[#This Row],[البخر  AJD]]+(TABL12345[[#This Row],[(A/B + A/S) AJD]]*1000))</f>
        <v>0</v>
      </c>
      <c r="AE319" s="33"/>
      <c r="AF319" s="6"/>
      <c r="AG319" s="6"/>
      <c r="AH319" s="6">
        <f>TABL12345[[#This Row],[ (RESV. STORGE) BER]]/10</f>
        <v>0</v>
      </c>
      <c r="AI319" s="6"/>
      <c r="AJ319" s="33">
        <f>TABL12345[[#This Row],[(A/B TOT) AJD]]-TABL12345[[#This Row],[BER_ IN]]</f>
        <v>0</v>
      </c>
      <c r="AK319" s="6"/>
      <c r="AL319" s="6"/>
      <c r="AM319" s="32"/>
      <c r="AN319" s="32">
        <f>TABL12345[[#This Row],[ (RESV. STORGE) SER]]/10</f>
        <v>0</v>
      </c>
      <c r="AO319" s="68"/>
      <c r="AP319" s="68">
        <f>TABL12345[[#This Row],[(A/S TOT) AJD]]-TABL12345[[#This Row],[SER_ IN]]</f>
        <v>0</v>
      </c>
    </row>
    <row r="320" spans="1:42" ht="18.75" x14ac:dyDescent="0.25">
      <c r="A320" s="2">
        <v>47071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>
        <f>TABL12345[[#This Row],[خط (T/B  TOT) SAR]]+TABL12345[[#This Row],[خط (S/S  TOT) SAR2]]</f>
        <v>0</v>
      </c>
      <c r="L320" s="28"/>
      <c r="M320" s="29"/>
      <c r="N320" s="30"/>
      <c r="O320" s="39"/>
      <c r="P320" s="9">
        <f>TABL12345[[#This Row],[خط (S/S  TOT) SAR2]]-TABL12345[[#This Row],[(S/S TOT) AJD]]</f>
        <v>0</v>
      </c>
      <c r="Q320" s="9"/>
      <c r="R320" s="9">
        <f>TABL12345[[#This Row],[خط (T/B  TOT) SAR]]-TABL12345[[#This Row],[(T/B TOT) AJD]]</f>
        <v>0</v>
      </c>
      <c r="S320" s="9">
        <f>TABL12345[[#This Row],[الفرق بين بداية ونهاية خط  S/S]]+TABL12345[[#This Row],[الفرق بين بداية ونهاية خط  T/B]]</f>
        <v>0</v>
      </c>
      <c r="T320" s="9">
        <f t="shared" si="16"/>
        <v>0</v>
      </c>
      <c r="U320" s="9"/>
      <c r="V320" s="9"/>
      <c r="W320" s="9">
        <f t="shared" si="17"/>
        <v>0</v>
      </c>
      <c r="X320" s="9">
        <f t="shared" si="18"/>
        <v>0</v>
      </c>
      <c r="Y320" s="18"/>
      <c r="Z320" s="9"/>
      <c r="AA320" s="3">
        <f>TABL12345[[#This Row],[(RESV. STORGE) AJD]]/10</f>
        <v>0</v>
      </c>
      <c r="AB320" s="45">
        <f t="shared" si="19"/>
        <v>0</v>
      </c>
      <c r="AC320" s="5"/>
      <c r="AD320" s="6">
        <f>(TABL12345[[#This Row],[( S/S+T/B) AJD]]*1000)-((TABL12345[[#This Row],[(STORGE DIFF.) AJD]]*1000)+TABL12345[[#This Row],[البخر  AJD]]+(TABL12345[[#This Row],[(A/B + A/S) AJD]]*1000))</f>
        <v>0</v>
      </c>
      <c r="AE320" s="33"/>
      <c r="AF320" s="6"/>
      <c r="AG320" s="6"/>
      <c r="AH320" s="6">
        <f>TABL12345[[#This Row],[ (RESV. STORGE) BER]]/10</f>
        <v>0</v>
      </c>
      <c r="AI320" s="6"/>
      <c r="AJ320" s="33">
        <f>TABL12345[[#This Row],[(A/B TOT) AJD]]-TABL12345[[#This Row],[BER_ IN]]</f>
        <v>0</v>
      </c>
      <c r="AK320" s="6"/>
      <c r="AL320" s="6"/>
      <c r="AM320" s="32"/>
      <c r="AN320" s="32">
        <f>TABL12345[[#This Row],[ (RESV. STORGE) SER]]/10</f>
        <v>0</v>
      </c>
      <c r="AO320" s="68"/>
      <c r="AP320" s="68">
        <f>TABL12345[[#This Row],[(A/S TOT) AJD]]-TABL12345[[#This Row],[SER_ IN]]</f>
        <v>0</v>
      </c>
    </row>
    <row r="321" spans="1:42" ht="18.75" x14ac:dyDescent="0.25">
      <c r="A321" s="2">
        <v>47072</v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>
        <f>TABL12345[[#This Row],[خط (T/B  TOT) SAR]]+TABL12345[[#This Row],[خط (S/S  TOT) SAR2]]</f>
        <v>0</v>
      </c>
      <c r="L321" s="28"/>
      <c r="M321" s="29"/>
      <c r="N321" s="30"/>
      <c r="O321" s="40"/>
      <c r="P321" s="9">
        <f>TABL12345[[#This Row],[خط (S/S  TOT) SAR2]]-TABL12345[[#This Row],[(S/S TOT) AJD]]</f>
        <v>0</v>
      </c>
      <c r="Q321" s="9"/>
      <c r="R321" s="9">
        <f>TABL12345[[#This Row],[خط (T/B  TOT) SAR]]-TABL12345[[#This Row],[(T/B TOT) AJD]]</f>
        <v>0</v>
      </c>
      <c r="S321" s="9">
        <f>TABL12345[[#This Row],[الفرق بين بداية ونهاية خط  S/S]]+TABL12345[[#This Row],[الفرق بين بداية ونهاية خط  T/B]]</f>
        <v>0</v>
      </c>
      <c r="T321" s="9">
        <f t="shared" si="16"/>
        <v>0</v>
      </c>
      <c r="U321" s="9"/>
      <c r="V321" s="9"/>
      <c r="W321" s="9">
        <f t="shared" si="17"/>
        <v>0</v>
      </c>
      <c r="X321" s="9">
        <f t="shared" si="18"/>
        <v>0</v>
      </c>
      <c r="Y321" s="18"/>
      <c r="Z321" s="9"/>
      <c r="AA321" s="3">
        <f>TABL12345[[#This Row],[(RESV. STORGE) AJD]]/10</f>
        <v>0</v>
      </c>
      <c r="AB321" s="45">
        <f t="shared" si="19"/>
        <v>0</v>
      </c>
      <c r="AC321" s="5"/>
      <c r="AD321" s="6">
        <f>(TABL12345[[#This Row],[( S/S+T/B) AJD]]*1000)-((TABL12345[[#This Row],[(STORGE DIFF.) AJD]]*1000)+TABL12345[[#This Row],[البخر  AJD]]+(TABL12345[[#This Row],[(A/B + A/S) AJD]]*1000))</f>
        <v>0</v>
      </c>
      <c r="AE321" s="33"/>
      <c r="AF321" s="6"/>
      <c r="AG321" s="6"/>
      <c r="AH321" s="6">
        <f>TABL12345[[#This Row],[ (RESV. STORGE) BER]]/10</f>
        <v>0</v>
      </c>
      <c r="AI321" s="6"/>
      <c r="AJ321" s="33">
        <f>TABL12345[[#This Row],[(A/B TOT) AJD]]-TABL12345[[#This Row],[BER_ IN]]</f>
        <v>0</v>
      </c>
      <c r="AK321" s="6"/>
      <c r="AL321" s="6"/>
      <c r="AM321" s="32"/>
      <c r="AN321" s="32">
        <f>TABL12345[[#This Row],[ (RESV. STORGE) SER]]/10</f>
        <v>0</v>
      </c>
      <c r="AO321" s="68"/>
      <c r="AP321" s="68">
        <f>TABL12345[[#This Row],[(A/S TOT) AJD]]-TABL12345[[#This Row],[SER_ IN]]</f>
        <v>0</v>
      </c>
    </row>
    <row r="322" spans="1:42" ht="18.75" x14ac:dyDescent="0.25">
      <c r="A322" s="2">
        <v>47073</v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>
        <f>TABL12345[[#This Row],[خط (T/B  TOT) SAR]]+TABL12345[[#This Row],[خط (S/S  TOT) SAR2]]</f>
        <v>0</v>
      </c>
      <c r="L322" s="28"/>
      <c r="M322" s="29"/>
      <c r="N322" s="30"/>
      <c r="O322" s="39"/>
      <c r="P322" s="9">
        <f>TABL12345[[#This Row],[خط (S/S  TOT) SAR2]]-TABL12345[[#This Row],[(S/S TOT) AJD]]</f>
        <v>0</v>
      </c>
      <c r="Q322" s="9"/>
      <c r="R322" s="9">
        <f>TABL12345[[#This Row],[خط (T/B  TOT) SAR]]-TABL12345[[#This Row],[(T/B TOT) AJD]]</f>
        <v>0</v>
      </c>
      <c r="S322" s="9">
        <f>TABL12345[[#This Row],[الفرق بين بداية ونهاية خط  S/S]]+TABL12345[[#This Row],[الفرق بين بداية ونهاية خط  T/B]]</f>
        <v>0</v>
      </c>
      <c r="T322" s="9">
        <f t="shared" ref="T322:T366" si="20">O322+Q322</f>
        <v>0</v>
      </c>
      <c r="U322" s="9"/>
      <c r="V322" s="9"/>
      <c r="W322" s="9">
        <f t="shared" ref="W322:W366" si="21">U322+V322</f>
        <v>0</v>
      </c>
      <c r="X322" s="9">
        <f t="shared" ref="X322:X366" si="22">T322-W322</f>
        <v>0</v>
      </c>
      <c r="Y322" s="18"/>
      <c r="Z322" s="9"/>
      <c r="AA322" s="3">
        <f>TABL12345[[#This Row],[(RESV. STORGE) AJD]]/10</f>
        <v>0</v>
      </c>
      <c r="AB322" s="45">
        <f t="shared" si="19"/>
        <v>0</v>
      </c>
      <c r="AC322" s="5"/>
      <c r="AD322" s="6">
        <f>(TABL12345[[#This Row],[( S/S+T/B) AJD]]*1000)-((TABL12345[[#This Row],[(STORGE DIFF.) AJD]]*1000)+TABL12345[[#This Row],[البخر  AJD]]+(TABL12345[[#This Row],[(A/B + A/S) AJD]]*1000))</f>
        <v>0</v>
      </c>
      <c r="AE322" s="33"/>
      <c r="AF322" s="6"/>
      <c r="AG322" s="6"/>
      <c r="AH322" s="6">
        <f>TABL12345[[#This Row],[ (RESV. STORGE) BER]]/10</f>
        <v>0</v>
      </c>
      <c r="AI322" s="6"/>
      <c r="AJ322" s="33">
        <f>TABL12345[[#This Row],[(A/B TOT) AJD]]-TABL12345[[#This Row],[BER_ IN]]</f>
        <v>0</v>
      </c>
      <c r="AK322" s="6"/>
      <c r="AL322" s="6"/>
      <c r="AM322" s="32"/>
      <c r="AN322" s="32">
        <f>TABL12345[[#This Row],[ (RESV. STORGE) SER]]/10</f>
        <v>0</v>
      </c>
      <c r="AO322" s="68"/>
      <c r="AP322" s="68">
        <f>TABL12345[[#This Row],[(A/S TOT) AJD]]-TABL12345[[#This Row],[SER_ IN]]</f>
        <v>0</v>
      </c>
    </row>
    <row r="323" spans="1:42" ht="18.75" x14ac:dyDescent="0.25">
      <c r="A323" s="2">
        <v>47074</v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>
        <f>TABL12345[[#This Row],[خط (T/B  TOT) SAR]]+TABL12345[[#This Row],[خط (S/S  TOT) SAR2]]</f>
        <v>0</v>
      </c>
      <c r="L323" s="28"/>
      <c r="M323" s="29"/>
      <c r="N323" s="30"/>
      <c r="O323" s="40"/>
      <c r="P323" s="9">
        <f>TABL12345[[#This Row],[خط (S/S  TOT) SAR2]]-TABL12345[[#This Row],[(S/S TOT) AJD]]</f>
        <v>0</v>
      </c>
      <c r="Q323" s="9"/>
      <c r="R323" s="9">
        <f>TABL12345[[#This Row],[خط (T/B  TOT) SAR]]-TABL12345[[#This Row],[(T/B TOT) AJD]]</f>
        <v>0</v>
      </c>
      <c r="S323" s="9">
        <f>TABL12345[[#This Row],[الفرق بين بداية ونهاية خط  S/S]]+TABL12345[[#This Row],[الفرق بين بداية ونهاية خط  T/B]]</f>
        <v>0</v>
      </c>
      <c r="T323" s="9">
        <f t="shared" si="20"/>
        <v>0</v>
      </c>
      <c r="U323" s="9"/>
      <c r="V323" s="9"/>
      <c r="W323" s="9">
        <f t="shared" si="21"/>
        <v>0</v>
      </c>
      <c r="X323" s="9">
        <f t="shared" si="22"/>
        <v>0</v>
      </c>
      <c r="Y323" s="18"/>
      <c r="Z323" s="9"/>
      <c r="AA323" s="3">
        <f>TABL12345[[#This Row],[(RESV. STORGE) AJD]]/10</f>
        <v>0</v>
      </c>
      <c r="AB323" s="45">
        <f t="shared" si="19"/>
        <v>0</v>
      </c>
      <c r="AC323" s="5"/>
      <c r="AD323" s="6">
        <f>(TABL12345[[#This Row],[( S/S+T/B) AJD]]*1000)-((TABL12345[[#This Row],[(STORGE DIFF.) AJD]]*1000)+TABL12345[[#This Row],[البخر  AJD]]+(TABL12345[[#This Row],[(A/B + A/S) AJD]]*1000))</f>
        <v>0</v>
      </c>
      <c r="AE323" s="33"/>
      <c r="AF323" s="6"/>
      <c r="AG323" s="6"/>
      <c r="AH323" s="6">
        <f>TABL12345[[#This Row],[ (RESV. STORGE) BER]]/10</f>
        <v>0</v>
      </c>
      <c r="AI323" s="6"/>
      <c r="AJ323" s="33">
        <f>TABL12345[[#This Row],[(A/B TOT) AJD]]-TABL12345[[#This Row],[BER_ IN]]</f>
        <v>0</v>
      </c>
      <c r="AK323" s="6"/>
      <c r="AL323" s="6"/>
      <c r="AM323" s="32"/>
      <c r="AN323" s="32">
        <f>TABL12345[[#This Row],[ (RESV. STORGE) SER]]/10</f>
        <v>0</v>
      </c>
      <c r="AO323" s="68"/>
      <c r="AP323" s="68">
        <f>TABL12345[[#This Row],[(A/S TOT) AJD]]-TABL12345[[#This Row],[SER_ IN]]</f>
        <v>0</v>
      </c>
    </row>
    <row r="324" spans="1:42" ht="18.75" x14ac:dyDescent="0.25">
      <c r="A324" s="2">
        <v>47075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>
        <f>TABL12345[[#This Row],[خط (T/B  TOT) SAR]]+TABL12345[[#This Row],[خط (S/S  TOT) SAR2]]</f>
        <v>0</v>
      </c>
      <c r="L324" s="28"/>
      <c r="M324" s="29"/>
      <c r="N324" s="30"/>
      <c r="O324" s="39"/>
      <c r="P324" s="9">
        <f>TABL12345[[#This Row],[خط (S/S  TOT) SAR2]]-TABL12345[[#This Row],[(S/S TOT) AJD]]</f>
        <v>0</v>
      </c>
      <c r="Q324" s="9"/>
      <c r="R324" s="9">
        <f>TABL12345[[#This Row],[خط (T/B  TOT) SAR]]-TABL12345[[#This Row],[(T/B TOT) AJD]]</f>
        <v>0</v>
      </c>
      <c r="S324" s="9">
        <f>TABL12345[[#This Row],[الفرق بين بداية ونهاية خط  S/S]]+TABL12345[[#This Row],[الفرق بين بداية ونهاية خط  T/B]]</f>
        <v>0</v>
      </c>
      <c r="T324" s="9">
        <f t="shared" si="20"/>
        <v>0</v>
      </c>
      <c r="U324" s="9"/>
      <c r="V324" s="9"/>
      <c r="W324" s="9">
        <f t="shared" si="21"/>
        <v>0</v>
      </c>
      <c r="X324" s="9">
        <f t="shared" si="22"/>
        <v>0</v>
      </c>
      <c r="Y324" s="18"/>
      <c r="Z324" s="9"/>
      <c r="AA324" s="3">
        <f>TABL12345[[#This Row],[(RESV. STORGE) AJD]]/10</f>
        <v>0</v>
      </c>
      <c r="AB324" s="45">
        <f t="shared" ref="AB324:AB366" si="23">(Z324-Z323)/1000</f>
        <v>0</v>
      </c>
      <c r="AC324" s="5"/>
      <c r="AD324" s="6">
        <f>(TABL12345[[#This Row],[( S/S+T/B) AJD]]*1000)-((TABL12345[[#This Row],[(STORGE DIFF.) AJD]]*1000)+TABL12345[[#This Row],[البخر  AJD]]+(TABL12345[[#This Row],[(A/B + A/S) AJD]]*1000))</f>
        <v>0</v>
      </c>
      <c r="AE324" s="33"/>
      <c r="AF324" s="6"/>
      <c r="AG324" s="6"/>
      <c r="AH324" s="6">
        <f>TABL12345[[#This Row],[ (RESV. STORGE) BER]]/10</f>
        <v>0</v>
      </c>
      <c r="AI324" s="6"/>
      <c r="AJ324" s="33">
        <f>TABL12345[[#This Row],[(A/B TOT) AJD]]-TABL12345[[#This Row],[BER_ IN]]</f>
        <v>0</v>
      </c>
      <c r="AK324" s="6"/>
      <c r="AL324" s="6"/>
      <c r="AM324" s="32"/>
      <c r="AN324" s="32">
        <f>TABL12345[[#This Row],[ (RESV. STORGE) SER]]/10</f>
        <v>0</v>
      </c>
      <c r="AO324" s="68"/>
      <c r="AP324" s="68">
        <f>TABL12345[[#This Row],[(A/S TOT) AJD]]-TABL12345[[#This Row],[SER_ IN]]</f>
        <v>0</v>
      </c>
    </row>
    <row r="325" spans="1:42" ht="18.75" x14ac:dyDescent="0.25">
      <c r="A325" s="2">
        <v>47076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>
        <f>TABL12345[[#This Row],[خط (T/B  TOT) SAR]]+TABL12345[[#This Row],[خط (S/S  TOT) SAR2]]</f>
        <v>0</v>
      </c>
      <c r="L325" s="28"/>
      <c r="M325" s="29"/>
      <c r="N325" s="30"/>
      <c r="O325" s="40"/>
      <c r="P325" s="9">
        <f>TABL12345[[#This Row],[خط (S/S  TOT) SAR2]]-TABL12345[[#This Row],[(S/S TOT) AJD]]</f>
        <v>0</v>
      </c>
      <c r="Q325" s="9"/>
      <c r="R325" s="9">
        <f>TABL12345[[#This Row],[خط (T/B  TOT) SAR]]-TABL12345[[#This Row],[(T/B TOT) AJD]]</f>
        <v>0</v>
      </c>
      <c r="S325" s="9">
        <f>TABL12345[[#This Row],[الفرق بين بداية ونهاية خط  S/S]]+TABL12345[[#This Row],[الفرق بين بداية ونهاية خط  T/B]]</f>
        <v>0</v>
      </c>
      <c r="T325" s="9">
        <f t="shared" si="20"/>
        <v>0</v>
      </c>
      <c r="U325" s="9"/>
      <c r="V325" s="9"/>
      <c r="W325" s="9">
        <f t="shared" si="21"/>
        <v>0</v>
      </c>
      <c r="X325" s="9">
        <f t="shared" si="22"/>
        <v>0</v>
      </c>
      <c r="Y325" s="18"/>
      <c r="Z325" s="9"/>
      <c r="AA325" s="3">
        <f>TABL12345[[#This Row],[(RESV. STORGE) AJD]]/10</f>
        <v>0</v>
      </c>
      <c r="AB325" s="45">
        <f t="shared" si="23"/>
        <v>0</v>
      </c>
      <c r="AC325" s="5"/>
      <c r="AD325" s="6">
        <f>(TABL12345[[#This Row],[( S/S+T/B) AJD]]*1000)-((TABL12345[[#This Row],[(STORGE DIFF.) AJD]]*1000)+TABL12345[[#This Row],[البخر  AJD]]+(TABL12345[[#This Row],[(A/B + A/S) AJD]]*1000))</f>
        <v>0</v>
      </c>
      <c r="AE325" s="33"/>
      <c r="AF325" s="6"/>
      <c r="AG325" s="6"/>
      <c r="AH325" s="6">
        <f>TABL12345[[#This Row],[ (RESV. STORGE) BER]]/10</f>
        <v>0</v>
      </c>
      <c r="AI325" s="6"/>
      <c r="AJ325" s="33">
        <f>TABL12345[[#This Row],[(A/B TOT) AJD]]-TABL12345[[#This Row],[BER_ IN]]</f>
        <v>0</v>
      </c>
      <c r="AK325" s="6"/>
      <c r="AL325" s="6"/>
      <c r="AM325" s="32"/>
      <c r="AN325" s="32">
        <f>TABL12345[[#This Row],[ (RESV. STORGE) SER]]/10</f>
        <v>0</v>
      </c>
      <c r="AO325" s="68"/>
      <c r="AP325" s="68">
        <f>TABL12345[[#This Row],[(A/S TOT) AJD]]-TABL12345[[#This Row],[SER_ IN]]</f>
        <v>0</v>
      </c>
    </row>
    <row r="326" spans="1:42" ht="18.75" x14ac:dyDescent="0.25">
      <c r="A326" s="2">
        <v>47077</v>
      </c>
      <c r="B326" s="28"/>
      <c r="C326" s="28"/>
      <c r="D326" s="28"/>
      <c r="E326" s="28"/>
      <c r="F326" s="28"/>
      <c r="G326" s="28"/>
      <c r="H326" s="28"/>
      <c r="I326" s="28"/>
      <c r="J326" s="28"/>
      <c r="K326" s="28">
        <f>TABL12345[[#This Row],[خط (T/B  TOT) SAR]]+TABL12345[[#This Row],[خط (S/S  TOT) SAR2]]</f>
        <v>0</v>
      </c>
      <c r="L326" s="28"/>
      <c r="M326" s="29"/>
      <c r="N326" s="30"/>
      <c r="O326" s="39"/>
      <c r="P326" s="9">
        <f>TABL12345[[#This Row],[خط (S/S  TOT) SAR2]]-TABL12345[[#This Row],[(S/S TOT) AJD]]</f>
        <v>0</v>
      </c>
      <c r="Q326" s="9"/>
      <c r="R326" s="9">
        <f>TABL12345[[#This Row],[خط (T/B  TOT) SAR]]-TABL12345[[#This Row],[(T/B TOT) AJD]]</f>
        <v>0</v>
      </c>
      <c r="S326" s="9">
        <f>TABL12345[[#This Row],[الفرق بين بداية ونهاية خط  S/S]]+TABL12345[[#This Row],[الفرق بين بداية ونهاية خط  T/B]]</f>
        <v>0</v>
      </c>
      <c r="T326" s="9">
        <f t="shared" si="20"/>
        <v>0</v>
      </c>
      <c r="U326" s="9"/>
      <c r="V326" s="9"/>
      <c r="W326" s="9">
        <f t="shared" si="21"/>
        <v>0</v>
      </c>
      <c r="X326" s="9">
        <f t="shared" si="22"/>
        <v>0</v>
      </c>
      <c r="Y326" s="18"/>
      <c r="Z326" s="9"/>
      <c r="AA326" s="3">
        <f>TABL12345[[#This Row],[(RESV. STORGE) AJD]]/10</f>
        <v>0</v>
      </c>
      <c r="AB326" s="45">
        <f t="shared" si="23"/>
        <v>0</v>
      </c>
      <c r="AC326" s="5"/>
      <c r="AD326" s="6">
        <f>(TABL12345[[#This Row],[( S/S+T/B) AJD]]*1000)-((TABL12345[[#This Row],[(STORGE DIFF.) AJD]]*1000)+TABL12345[[#This Row],[البخر  AJD]]+(TABL12345[[#This Row],[(A/B + A/S) AJD]]*1000))</f>
        <v>0</v>
      </c>
      <c r="AE326" s="33"/>
      <c r="AF326" s="6"/>
      <c r="AG326" s="6"/>
      <c r="AH326" s="6">
        <f>TABL12345[[#This Row],[ (RESV. STORGE) BER]]/10</f>
        <v>0</v>
      </c>
      <c r="AI326" s="6"/>
      <c r="AJ326" s="33">
        <f>TABL12345[[#This Row],[(A/B TOT) AJD]]-TABL12345[[#This Row],[BER_ IN]]</f>
        <v>0</v>
      </c>
      <c r="AK326" s="6"/>
      <c r="AL326" s="6"/>
      <c r="AM326" s="32"/>
      <c r="AN326" s="32">
        <f>TABL12345[[#This Row],[ (RESV. STORGE) SER]]/10</f>
        <v>0</v>
      </c>
      <c r="AO326" s="68"/>
      <c r="AP326" s="68">
        <f>TABL12345[[#This Row],[(A/S TOT) AJD]]-TABL12345[[#This Row],[SER_ IN]]</f>
        <v>0</v>
      </c>
    </row>
    <row r="327" spans="1:42" ht="18.75" x14ac:dyDescent="0.25">
      <c r="A327" s="2">
        <v>47078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>
        <f>TABL12345[[#This Row],[خط (T/B  TOT) SAR]]+TABL12345[[#This Row],[خط (S/S  TOT) SAR2]]</f>
        <v>0</v>
      </c>
      <c r="L327" s="28"/>
      <c r="M327" s="29"/>
      <c r="N327" s="30"/>
      <c r="O327" s="40"/>
      <c r="P327" s="9">
        <f>TABL12345[[#This Row],[خط (S/S  TOT) SAR2]]-TABL12345[[#This Row],[(S/S TOT) AJD]]</f>
        <v>0</v>
      </c>
      <c r="Q327" s="9"/>
      <c r="R327" s="9">
        <f>TABL12345[[#This Row],[خط (T/B  TOT) SAR]]-TABL12345[[#This Row],[(T/B TOT) AJD]]</f>
        <v>0</v>
      </c>
      <c r="S327" s="9">
        <f>TABL12345[[#This Row],[الفرق بين بداية ونهاية خط  S/S]]+TABL12345[[#This Row],[الفرق بين بداية ونهاية خط  T/B]]</f>
        <v>0</v>
      </c>
      <c r="T327" s="9">
        <f t="shared" si="20"/>
        <v>0</v>
      </c>
      <c r="U327" s="9"/>
      <c r="V327" s="9"/>
      <c r="W327" s="9">
        <f t="shared" si="21"/>
        <v>0</v>
      </c>
      <c r="X327" s="9">
        <f t="shared" si="22"/>
        <v>0</v>
      </c>
      <c r="Y327" s="18"/>
      <c r="Z327" s="9"/>
      <c r="AA327" s="3">
        <f>TABL12345[[#This Row],[(RESV. STORGE) AJD]]/10</f>
        <v>0</v>
      </c>
      <c r="AB327" s="45">
        <f t="shared" si="23"/>
        <v>0</v>
      </c>
      <c r="AC327" s="5"/>
      <c r="AD327" s="6">
        <f>(TABL12345[[#This Row],[( S/S+T/B) AJD]]*1000)-((TABL12345[[#This Row],[(STORGE DIFF.) AJD]]*1000)+TABL12345[[#This Row],[البخر  AJD]]+(TABL12345[[#This Row],[(A/B + A/S) AJD]]*1000))</f>
        <v>0</v>
      </c>
      <c r="AE327" s="33"/>
      <c r="AF327" s="6"/>
      <c r="AG327" s="6"/>
      <c r="AH327" s="6">
        <f>TABL12345[[#This Row],[ (RESV. STORGE) BER]]/10</f>
        <v>0</v>
      </c>
      <c r="AI327" s="6"/>
      <c r="AJ327" s="33">
        <f>TABL12345[[#This Row],[(A/B TOT) AJD]]-TABL12345[[#This Row],[BER_ IN]]</f>
        <v>0</v>
      </c>
      <c r="AK327" s="6"/>
      <c r="AL327" s="6"/>
      <c r="AM327" s="32"/>
      <c r="AN327" s="32">
        <f>TABL12345[[#This Row],[ (RESV. STORGE) SER]]/10</f>
        <v>0</v>
      </c>
      <c r="AO327" s="68"/>
      <c r="AP327" s="68">
        <f>TABL12345[[#This Row],[(A/S TOT) AJD]]-TABL12345[[#This Row],[SER_ IN]]</f>
        <v>0</v>
      </c>
    </row>
    <row r="328" spans="1:42" ht="18.75" x14ac:dyDescent="0.25">
      <c r="A328" s="2">
        <v>47079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>
        <f>TABL12345[[#This Row],[خط (T/B  TOT) SAR]]+TABL12345[[#This Row],[خط (S/S  TOT) SAR2]]</f>
        <v>0</v>
      </c>
      <c r="L328" s="28"/>
      <c r="M328" s="29"/>
      <c r="N328" s="30"/>
      <c r="O328" s="39"/>
      <c r="P328" s="9">
        <f>TABL12345[[#This Row],[خط (S/S  TOT) SAR2]]-TABL12345[[#This Row],[(S/S TOT) AJD]]</f>
        <v>0</v>
      </c>
      <c r="Q328" s="9"/>
      <c r="R328" s="9">
        <f>TABL12345[[#This Row],[خط (T/B  TOT) SAR]]-TABL12345[[#This Row],[(T/B TOT) AJD]]</f>
        <v>0</v>
      </c>
      <c r="S328" s="9">
        <f>TABL12345[[#This Row],[الفرق بين بداية ونهاية خط  S/S]]+TABL12345[[#This Row],[الفرق بين بداية ونهاية خط  T/B]]</f>
        <v>0</v>
      </c>
      <c r="T328" s="9">
        <f t="shared" si="20"/>
        <v>0</v>
      </c>
      <c r="U328" s="9"/>
      <c r="V328" s="9"/>
      <c r="W328" s="9">
        <f t="shared" si="21"/>
        <v>0</v>
      </c>
      <c r="X328" s="9">
        <f t="shared" si="22"/>
        <v>0</v>
      </c>
      <c r="Y328" s="18"/>
      <c r="Z328" s="9"/>
      <c r="AA328" s="3">
        <f>TABL12345[[#This Row],[(RESV. STORGE) AJD]]/10</f>
        <v>0</v>
      </c>
      <c r="AB328" s="45">
        <f t="shared" si="23"/>
        <v>0</v>
      </c>
      <c r="AC328" s="5"/>
      <c r="AD328" s="6">
        <f>(TABL12345[[#This Row],[( S/S+T/B) AJD]]*1000)-((TABL12345[[#This Row],[(STORGE DIFF.) AJD]]*1000)+TABL12345[[#This Row],[البخر  AJD]]+(TABL12345[[#This Row],[(A/B + A/S) AJD]]*1000))</f>
        <v>0</v>
      </c>
      <c r="AE328" s="33"/>
      <c r="AF328" s="6"/>
      <c r="AG328" s="6"/>
      <c r="AH328" s="6">
        <f>TABL12345[[#This Row],[ (RESV. STORGE) BER]]/10</f>
        <v>0</v>
      </c>
      <c r="AI328" s="6"/>
      <c r="AJ328" s="33">
        <f>TABL12345[[#This Row],[(A/B TOT) AJD]]-TABL12345[[#This Row],[BER_ IN]]</f>
        <v>0</v>
      </c>
      <c r="AK328" s="6"/>
      <c r="AL328" s="6"/>
      <c r="AM328" s="32"/>
      <c r="AN328" s="32">
        <f>TABL12345[[#This Row],[ (RESV. STORGE) SER]]/10</f>
        <v>0</v>
      </c>
      <c r="AO328" s="68"/>
      <c r="AP328" s="68">
        <f>TABL12345[[#This Row],[(A/S TOT) AJD]]-TABL12345[[#This Row],[SER_ IN]]</f>
        <v>0</v>
      </c>
    </row>
    <row r="329" spans="1:42" ht="18.75" x14ac:dyDescent="0.25">
      <c r="A329" s="2">
        <v>47080</v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>
        <f>TABL12345[[#This Row],[خط (T/B  TOT) SAR]]+TABL12345[[#This Row],[خط (S/S  TOT) SAR2]]</f>
        <v>0</v>
      </c>
      <c r="L329" s="28"/>
      <c r="M329" s="29"/>
      <c r="N329" s="30"/>
      <c r="O329" s="40"/>
      <c r="P329" s="9">
        <f>TABL12345[[#This Row],[خط (S/S  TOT) SAR2]]-TABL12345[[#This Row],[(S/S TOT) AJD]]</f>
        <v>0</v>
      </c>
      <c r="Q329" s="9"/>
      <c r="R329" s="9">
        <f>TABL12345[[#This Row],[خط (T/B  TOT) SAR]]-TABL12345[[#This Row],[(T/B TOT) AJD]]</f>
        <v>0</v>
      </c>
      <c r="S329" s="9">
        <f>TABL12345[[#This Row],[الفرق بين بداية ونهاية خط  S/S]]+TABL12345[[#This Row],[الفرق بين بداية ونهاية خط  T/B]]</f>
        <v>0</v>
      </c>
      <c r="T329" s="9">
        <f t="shared" si="20"/>
        <v>0</v>
      </c>
      <c r="U329" s="9"/>
      <c r="V329" s="9"/>
      <c r="W329" s="9">
        <f t="shared" si="21"/>
        <v>0</v>
      </c>
      <c r="X329" s="9">
        <f t="shared" si="22"/>
        <v>0</v>
      </c>
      <c r="Y329" s="18"/>
      <c r="Z329" s="9"/>
      <c r="AA329" s="3">
        <f>TABL12345[[#This Row],[(RESV. STORGE) AJD]]/10</f>
        <v>0</v>
      </c>
      <c r="AB329" s="45">
        <f t="shared" si="23"/>
        <v>0</v>
      </c>
      <c r="AC329" s="5"/>
      <c r="AD329" s="6">
        <f>(TABL12345[[#This Row],[( S/S+T/B) AJD]]*1000)-((TABL12345[[#This Row],[(STORGE DIFF.) AJD]]*1000)+TABL12345[[#This Row],[البخر  AJD]]+(TABL12345[[#This Row],[(A/B + A/S) AJD]]*1000))</f>
        <v>0</v>
      </c>
      <c r="AE329" s="33"/>
      <c r="AF329" s="6"/>
      <c r="AG329" s="6"/>
      <c r="AH329" s="6">
        <f>TABL12345[[#This Row],[ (RESV. STORGE) BER]]/10</f>
        <v>0</v>
      </c>
      <c r="AI329" s="6"/>
      <c r="AJ329" s="33">
        <f>TABL12345[[#This Row],[(A/B TOT) AJD]]-TABL12345[[#This Row],[BER_ IN]]</f>
        <v>0</v>
      </c>
      <c r="AK329" s="6"/>
      <c r="AL329" s="6"/>
      <c r="AM329" s="32"/>
      <c r="AN329" s="32">
        <f>TABL12345[[#This Row],[ (RESV. STORGE) SER]]/10</f>
        <v>0</v>
      </c>
      <c r="AO329" s="68"/>
      <c r="AP329" s="68">
        <f>TABL12345[[#This Row],[(A/S TOT) AJD]]-TABL12345[[#This Row],[SER_ IN]]</f>
        <v>0</v>
      </c>
    </row>
    <row r="330" spans="1:42" ht="18.75" x14ac:dyDescent="0.25">
      <c r="A330" s="2">
        <v>47081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>
        <f>TABL12345[[#This Row],[خط (T/B  TOT) SAR]]+TABL12345[[#This Row],[خط (S/S  TOT) SAR2]]</f>
        <v>0</v>
      </c>
      <c r="L330" s="28"/>
      <c r="M330" s="29"/>
      <c r="N330" s="30"/>
      <c r="O330" s="39"/>
      <c r="P330" s="9">
        <f>TABL12345[[#This Row],[خط (S/S  TOT) SAR2]]-TABL12345[[#This Row],[(S/S TOT) AJD]]</f>
        <v>0</v>
      </c>
      <c r="Q330" s="9"/>
      <c r="R330" s="9">
        <f>TABL12345[[#This Row],[خط (T/B  TOT) SAR]]-TABL12345[[#This Row],[(T/B TOT) AJD]]</f>
        <v>0</v>
      </c>
      <c r="S330" s="9">
        <f>TABL12345[[#This Row],[الفرق بين بداية ونهاية خط  S/S]]+TABL12345[[#This Row],[الفرق بين بداية ونهاية خط  T/B]]</f>
        <v>0</v>
      </c>
      <c r="T330" s="9">
        <f t="shared" si="20"/>
        <v>0</v>
      </c>
      <c r="U330" s="9"/>
      <c r="V330" s="9"/>
      <c r="W330" s="9">
        <f t="shared" si="21"/>
        <v>0</v>
      </c>
      <c r="X330" s="9">
        <f t="shared" si="22"/>
        <v>0</v>
      </c>
      <c r="Y330" s="18"/>
      <c r="Z330" s="9"/>
      <c r="AA330" s="3">
        <f>TABL12345[[#This Row],[(RESV. STORGE) AJD]]/10</f>
        <v>0</v>
      </c>
      <c r="AB330" s="45">
        <f t="shared" si="23"/>
        <v>0</v>
      </c>
      <c r="AC330" s="5"/>
      <c r="AD330" s="6">
        <f>(TABL12345[[#This Row],[( S/S+T/B) AJD]]*1000)-((TABL12345[[#This Row],[(STORGE DIFF.) AJD]]*1000)+TABL12345[[#This Row],[البخر  AJD]]+(TABL12345[[#This Row],[(A/B + A/S) AJD]]*1000))</f>
        <v>0</v>
      </c>
      <c r="AE330" s="33"/>
      <c r="AF330" s="6"/>
      <c r="AG330" s="6"/>
      <c r="AH330" s="6">
        <f>TABL12345[[#This Row],[ (RESV. STORGE) BER]]/10</f>
        <v>0</v>
      </c>
      <c r="AI330" s="6"/>
      <c r="AJ330" s="33">
        <f>TABL12345[[#This Row],[(A/B TOT) AJD]]-TABL12345[[#This Row],[BER_ IN]]</f>
        <v>0</v>
      </c>
      <c r="AK330" s="6"/>
      <c r="AL330" s="6"/>
      <c r="AM330" s="32"/>
      <c r="AN330" s="32">
        <f>TABL12345[[#This Row],[ (RESV. STORGE) SER]]/10</f>
        <v>0</v>
      </c>
      <c r="AO330" s="68"/>
      <c r="AP330" s="68">
        <f>TABL12345[[#This Row],[(A/S TOT) AJD]]-TABL12345[[#This Row],[SER_ IN]]</f>
        <v>0</v>
      </c>
    </row>
    <row r="331" spans="1:42" ht="18.75" x14ac:dyDescent="0.25">
      <c r="A331" s="2">
        <v>47082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>
        <f>TABL12345[[#This Row],[خط (T/B  TOT) SAR]]+TABL12345[[#This Row],[خط (S/S  TOT) SAR2]]</f>
        <v>0</v>
      </c>
      <c r="L331" s="28"/>
      <c r="M331" s="29"/>
      <c r="N331" s="30"/>
      <c r="O331" s="40"/>
      <c r="P331" s="9">
        <f>TABL12345[[#This Row],[خط (S/S  TOT) SAR2]]-TABL12345[[#This Row],[(S/S TOT) AJD]]</f>
        <v>0</v>
      </c>
      <c r="Q331" s="9"/>
      <c r="R331" s="9">
        <f>TABL12345[[#This Row],[خط (T/B  TOT) SAR]]-TABL12345[[#This Row],[(T/B TOT) AJD]]</f>
        <v>0</v>
      </c>
      <c r="S331" s="9">
        <f>TABL12345[[#This Row],[الفرق بين بداية ونهاية خط  S/S]]+TABL12345[[#This Row],[الفرق بين بداية ونهاية خط  T/B]]</f>
        <v>0</v>
      </c>
      <c r="T331" s="9">
        <f t="shared" si="20"/>
        <v>0</v>
      </c>
      <c r="U331" s="9"/>
      <c r="V331" s="9"/>
      <c r="W331" s="9">
        <f t="shared" si="21"/>
        <v>0</v>
      </c>
      <c r="X331" s="9">
        <f t="shared" si="22"/>
        <v>0</v>
      </c>
      <c r="Y331" s="18"/>
      <c r="Z331" s="9"/>
      <c r="AA331" s="3">
        <f>TABL12345[[#This Row],[(RESV. STORGE) AJD]]/10</f>
        <v>0</v>
      </c>
      <c r="AB331" s="45">
        <f t="shared" si="23"/>
        <v>0</v>
      </c>
      <c r="AC331" s="5"/>
      <c r="AD331" s="6">
        <f>(TABL12345[[#This Row],[( S/S+T/B) AJD]]*1000)-((TABL12345[[#This Row],[(STORGE DIFF.) AJD]]*1000)+TABL12345[[#This Row],[البخر  AJD]]+(TABL12345[[#This Row],[(A/B + A/S) AJD]]*1000))</f>
        <v>0</v>
      </c>
      <c r="AE331" s="33"/>
      <c r="AF331" s="6"/>
      <c r="AG331" s="6"/>
      <c r="AH331" s="6">
        <f>TABL12345[[#This Row],[ (RESV. STORGE) BER]]/10</f>
        <v>0</v>
      </c>
      <c r="AI331" s="6"/>
      <c r="AJ331" s="33">
        <f>TABL12345[[#This Row],[(A/B TOT) AJD]]-TABL12345[[#This Row],[BER_ IN]]</f>
        <v>0</v>
      </c>
      <c r="AK331" s="6"/>
      <c r="AL331" s="6"/>
      <c r="AM331" s="32"/>
      <c r="AN331" s="32">
        <f>TABL12345[[#This Row],[ (RESV. STORGE) SER]]/10</f>
        <v>0</v>
      </c>
      <c r="AO331" s="68"/>
      <c r="AP331" s="68">
        <f>TABL12345[[#This Row],[(A/S TOT) AJD]]-TABL12345[[#This Row],[SER_ IN]]</f>
        <v>0</v>
      </c>
    </row>
    <row r="332" spans="1:42" ht="18.75" x14ac:dyDescent="0.25">
      <c r="A332" s="2">
        <v>47083</v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>
        <f>TABL12345[[#This Row],[خط (T/B  TOT) SAR]]+TABL12345[[#This Row],[خط (S/S  TOT) SAR2]]</f>
        <v>0</v>
      </c>
      <c r="L332" s="28"/>
      <c r="M332" s="29"/>
      <c r="N332" s="30"/>
      <c r="O332" s="39"/>
      <c r="P332" s="9">
        <f>TABL12345[[#This Row],[خط (S/S  TOT) SAR2]]-TABL12345[[#This Row],[(S/S TOT) AJD]]</f>
        <v>0</v>
      </c>
      <c r="Q332" s="9"/>
      <c r="R332" s="9">
        <f>TABL12345[[#This Row],[خط (T/B  TOT) SAR]]-TABL12345[[#This Row],[(T/B TOT) AJD]]</f>
        <v>0</v>
      </c>
      <c r="S332" s="9">
        <f>TABL12345[[#This Row],[الفرق بين بداية ونهاية خط  S/S]]+TABL12345[[#This Row],[الفرق بين بداية ونهاية خط  T/B]]</f>
        <v>0</v>
      </c>
      <c r="T332" s="9">
        <f t="shared" si="20"/>
        <v>0</v>
      </c>
      <c r="U332" s="9"/>
      <c r="V332" s="9"/>
      <c r="W332" s="9">
        <f t="shared" si="21"/>
        <v>0</v>
      </c>
      <c r="X332" s="9">
        <f t="shared" si="22"/>
        <v>0</v>
      </c>
      <c r="Y332" s="18"/>
      <c r="Z332" s="9"/>
      <c r="AA332" s="3">
        <f>TABL12345[[#This Row],[(RESV. STORGE) AJD]]/10</f>
        <v>0</v>
      </c>
      <c r="AB332" s="45">
        <f t="shared" si="23"/>
        <v>0</v>
      </c>
      <c r="AC332" s="5"/>
      <c r="AD332" s="6">
        <f>(TABL12345[[#This Row],[( S/S+T/B) AJD]]*1000)-((TABL12345[[#This Row],[(STORGE DIFF.) AJD]]*1000)+TABL12345[[#This Row],[البخر  AJD]]+(TABL12345[[#This Row],[(A/B + A/S) AJD]]*1000))</f>
        <v>0</v>
      </c>
      <c r="AE332" s="33"/>
      <c r="AF332" s="6"/>
      <c r="AG332" s="6"/>
      <c r="AH332" s="6">
        <f>TABL12345[[#This Row],[ (RESV. STORGE) BER]]/10</f>
        <v>0</v>
      </c>
      <c r="AI332" s="6"/>
      <c r="AJ332" s="33">
        <f>TABL12345[[#This Row],[(A/B TOT) AJD]]-TABL12345[[#This Row],[BER_ IN]]</f>
        <v>0</v>
      </c>
      <c r="AK332" s="6"/>
      <c r="AL332" s="6"/>
      <c r="AM332" s="32"/>
      <c r="AN332" s="32">
        <f>TABL12345[[#This Row],[ (RESV. STORGE) SER]]/10</f>
        <v>0</v>
      </c>
      <c r="AO332" s="68"/>
      <c r="AP332" s="68">
        <f>TABL12345[[#This Row],[(A/S TOT) AJD]]-TABL12345[[#This Row],[SER_ IN]]</f>
        <v>0</v>
      </c>
    </row>
    <row r="333" spans="1:42" ht="18.75" x14ac:dyDescent="0.25">
      <c r="A333" s="2">
        <v>47084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>
        <f>TABL12345[[#This Row],[خط (T/B  TOT) SAR]]+TABL12345[[#This Row],[خط (S/S  TOT) SAR2]]</f>
        <v>0</v>
      </c>
      <c r="L333" s="28"/>
      <c r="M333" s="29"/>
      <c r="N333" s="30"/>
      <c r="O333" s="40"/>
      <c r="P333" s="9">
        <f>TABL12345[[#This Row],[خط (S/S  TOT) SAR2]]-TABL12345[[#This Row],[(S/S TOT) AJD]]</f>
        <v>0</v>
      </c>
      <c r="Q333" s="9"/>
      <c r="R333" s="9">
        <f>TABL12345[[#This Row],[خط (T/B  TOT) SAR]]-TABL12345[[#This Row],[(T/B TOT) AJD]]</f>
        <v>0</v>
      </c>
      <c r="S333" s="9">
        <f>TABL12345[[#This Row],[الفرق بين بداية ونهاية خط  S/S]]+TABL12345[[#This Row],[الفرق بين بداية ونهاية خط  T/B]]</f>
        <v>0</v>
      </c>
      <c r="T333" s="9">
        <f t="shared" si="20"/>
        <v>0</v>
      </c>
      <c r="U333" s="9"/>
      <c r="V333" s="9"/>
      <c r="W333" s="9">
        <f t="shared" si="21"/>
        <v>0</v>
      </c>
      <c r="X333" s="9">
        <f t="shared" si="22"/>
        <v>0</v>
      </c>
      <c r="Y333" s="18"/>
      <c r="Z333" s="9"/>
      <c r="AA333" s="3">
        <f>TABL12345[[#This Row],[(RESV. STORGE) AJD]]/10</f>
        <v>0</v>
      </c>
      <c r="AB333" s="45">
        <f t="shared" si="23"/>
        <v>0</v>
      </c>
      <c r="AC333" s="5"/>
      <c r="AD333" s="6">
        <f>(TABL12345[[#This Row],[( S/S+T/B) AJD]]*1000)-((TABL12345[[#This Row],[(STORGE DIFF.) AJD]]*1000)+TABL12345[[#This Row],[البخر  AJD]]+(TABL12345[[#This Row],[(A/B + A/S) AJD]]*1000))</f>
        <v>0</v>
      </c>
      <c r="AE333" s="33"/>
      <c r="AF333" s="6"/>
      <c r="AG333" s="6"/>
      <c r="AH333" s="6">
        <f>TABL12345[[#This Row],[ (RESV. STORGE) BER]]/10</f>
        <v>0</v>
      </c>
      <c r="AI333" s="6"/>
      <c r="AJ333" s="33">
        <f>TABL12345[[#This Row],[(A/B TOT) AJD]]-TABL12345[[#This Row],[BER_ IN]]</f>
        <v>0</v>
      </c>
      <c r="AK333" s="6"/>
      <c r="AL333" s="6"/>
      <c r="AM333" s="32"/>
      <c r="AN333" s="32">
        <f>TABL12345[[#This Row],[ (RESV. STORGE) SER]]/10</f>
        <v>0</v>
      </c>
      <c r="AO333" s="68"/>
      <c r="AP333" s="68">
        <f>TABL12345[[#This Row],[(A/S TOT) AJD]]-TABL12345[[#This Row],[SER_ IN]]</f>
        <v>0</v>
      </c>
    </row>
    <row r="334" spans="1:42" ht="18.75" x14ac:dyDescent="0.25">
      <c r="A334" s="2">
        <v>47085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>
        <f>TABL12345[[#This Row],[خط (T/B  TOT) SAR]]+TABL12345[[#This Row],[خط (S/S  TOT) SAR2]]</f>
        <v>0</v>
      </c>
      <c r="L334" s="28"/>
      <c r="M334" s="29"/>
      <c r="N334" s="30"/>
      <c r="O334" s="39"/>
      <c r="P334" s="9">
        <f>TABL12345[[#This Row],[خط (S/S  TOT) SAR2]]-TABL12345[[#This Row],[(S/S TOT) AJD]]</f>
        <v>0</v>
      </c>
      <c r="Q334" s="9"/>
      <c r="R334" s="9">
        <f>TABL12345[[#This Row],[خط (T/B  TOT) SAR]]-TABL12345[[#This Row],[(T/B TOT) AJD]]</f>
        <v>0</v>
      </c>
      <c r="S334" s="9">
        <f>TABL12345[[#This Row],[الفرق بين بداية ونهاية خط  S/S]]+TABL12345[[#This Row],[الفرق بين بداية ونهاية خط  T/B]]</f>
        <v>0</v>
      </c>
      <c r="T334" s="9">
        <f t="shared" si="20"/>
        <v>0</v>
      </c>
      <c r="U334" s="9"/>
      <c r="V334" s="9"/>
      <c r="W334" s="9">
        <f t="shared" si="21"/>
        <v>0</v>
      </c>
      <c r="X334" s="9">
        <f t="shared" si="22"/>
        <v>0</v>
      </c>
      <c r="Y334" s="18"/>
      <c r="Z334" s="9"/>
      <c r="AA334" s="3">
        <f>TABL12345[[#This Row],[(RESV. STORGE) AJD]]/10</f>
        <v>0</v>
      </c>
      <c r="AB334" s="45">
        <f t="shared" si="23"/>
        <v>0</v>
      </c>
      <c r="AC334" s="5"/>
      <c r="AD334" s="6">
        <f>(TABL12345[[#This Row],[( S/S+T/B) AJD]]*1000)-((TABL12345[[#This Row],[(STORGE DIFF.) AJD]]*1000)+TABL12345[[#This Row],[البخر  AJD]]+(TABL12345[[#This Row],[(A/B + A/S) AJD]]*1000))</f>
        <v>0</v>
      </c>
      <c r="AE334" s="33"/>
      <c r="AF334" s="6"/>
      <c r="AG334" s="6"/>
      <c r="AH334" s="6">
        <f>TABL12345[[#This Row],[ (RESV. STORGE) BER]]/10</f>
        <v>0</v>
      </c>
      <c r="AI334" s="6"/>
      <c r="AJ334" s="33">
        <f>TABL12345[[#This Row],[(A/B TOT) AJD]]-TABL12345[[#This Row],[BER_ IN]]</f>
        <v>0</v>
      </c>
      <c r="AK334" s="6"/>
      <c r="AL334" s="6"/>
      <c r="AM334" s="32"/>
      <c r="AN334" s="32">
        <f>TABL12345[[#This Row],[ (RESV. STORGE) SER]]/10</f>
        <v>0</v>
      </c>
      <c r="AO334" s="68"/>
      <c r="AP334" s="68">
        <f>TABL12345[[#This Row],[(A/S TOT) AJD]]-TABL12345[[#This Row],[SER_ IN]]</f>
        <v>0</v>
      </c>
    </row>
    <row r="335" spans="1:42" ht="18.75" x14ac:dyDescent="0.25">
      <c r="A335" s="2">
        <v>47086</v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>
        <f>TABL12345[[#This Row],[خط (T/B  TOT) SAR]]+TABL12345[[#This Row],[خط (S/S  TOT) SAR2]]</f>
        <v>0</v>
      </c>
      <c r="L335" s="28"/>
      <c r="M335" s="29"/>
      <c r="N335" s="30"/>
      <c r="O335" s="40"/>
      <c r="P335" s="9">
        <f>TABL12345[[#This Row],[خط (S/S  TOT) SAR2]]-TABL12345[[#This Row],[(S/S TOT) AJD]]</f>
        <v>0</v>
      </c>
      <c r="Q335" s="9"/>
      <c r="R335" s="9">
        <f>TABL12345[[#This Row],[خط (T/B  TOT) SAR]]-TABL12345[[#This Row],[(T/B TOT) AJD]]</f>
        <v>0</v>
      </c>
      <c r="S335" s="9">
        <f>TABL12345[[#This Row],[الفرق بين بداية ونهاية خط  S/S]]+TABL12345[[#This Row],[الفرق بين بداية ونهاية خط  T/B]]</f>
        <v>0</v>
      </c>
      <c r="T335" s="9">
        <f t="shared" si="20"/>
        <v>0</v>
      </c>
      <c r="U335" s="9"/>
      <c r="V335" s="9"/>
      <c r="W335" s="9">
        <f t="shared" si="21"/>
        <v>0</v>
      </c>
      <c r="X335" s="9">
        <f t="shared" si="22"/>
        <v>0</v>
      </c>
      <c r="Y335" s="18"/>
      <c r="Z335" s="9"/>
      <c r="AA335" s="3">
        <f>TABL12345[[#This Row],[(RESV. STORGE) AJD]]/10</f>
        <v>0</v>
      </c>
      <c r="AB335" s="45">
        <f t="shared" si="23"/>
        <v>0</v>
      </c>
      <c r="AC335" s="5"/>
      <c r="AD335" s="6">
        <f>(TABL12345[[#This Row],[( S/S+T/B) AJD]]*1000)-((TABL12345[[#This Row],[(STORGE DIFF.) AJD]]*1000)+TABL12345[[#This Row],[البخر  AJD]]+(TABL12345[[#This Row],[(A/B + A/S) AJD]]*1000))</f>
        <v>0</v>
      </c>
      <c r="AE335" s="33"/>
      <c r="AF335" s="6"/>
      <c r="AG335" s="6"/>
      <c r="AH335" s="6">
        <f>TABL12345[[#This Row],[ (RESV. STORGE) BER]]/10</f>
        <v>0</v>
      </c>
      <c r="AI335" s="6"/>
      <c r="AJ335" s="33">
        <f>TABL12345[[#This Row],[(A/B TOT) AJD]]-TABL12345[[#This Row],[BER_ IN]]</f>
        <v>0</v>
      </c>
      <c r="AK335" s="6"/>
      <c r="AL335" s="6"/>
      <c r="AM335" s="32"/>
      <c r="AN335" s="32">
        <f>TABL12345[[#This Row],[ (RESV. STORGE) SER]]/10</f>
        <v>0</v>
      </c>
      <c r="AO335" s="68"/>
      <c r="AP335" s="68">
        <f>TABL12345[[#This Row],[(A/S TOT) AJD]]-TABL12345[[#This Row],[SER_ IN]]</f>
        <v>0</v>
      </c>
    </row>
    <row r="336" spans="1:42" ht="18.75" x14ac:dyDescent="0.25">
      <c r="A336" s="2">
        <v>47087</v>
      </c>
      <c r="B336" s="41"/>
      <c r="C336" s="41"/>
      <c r="D336" s="41"/>
      <c r="E336" s="41"/>
      <c r="F336" s="41"/>
      <c r="G336" s="39"/>
      <c r="H336" s="41"/>
      <c r="I336" s="39"/>
      <c r="J336" s="39"/>
      <c r="K336" s="28">
        <f>TABL12345[[#This Row],[خط (T/B  TOT) SAR]]+TABL12345[[#This Row],[خط (S/S  TOT) SAR2]]</f>
        <v>0</v>
      </c>
      <c r="L336" s="41"/>
      <c r="M336" s="42"/>
      <c r="N336" s="42"/>
      <c r="O336" s="39"/>
      <c r="P336" s="9">
        <f>TABL12345[[#This Row],[خط (S/S  TOT) SAR2]]-TABL12345[[#This Row],[(S/S TOT) AJD]]</f>
        <v>0</v>
      </c>
      <c r="Q336" s="39"/>
      <c r="R336" s="9">
        <f>TABL12345[[#This Row],[خط (T/B  TOT) SAR]]-TABL12345[[#This Row],[(T/B TOT) AJD]]</f>
        <v>0</v>
      </c>
      <c r="S336" s="9">
        <f>TABL12345[[#This Row],[الفرق بين بداية ونهاية خط  S/S]]+TABL12345[[#This Row],[الفرق بين بداية ونهاية خط  T/B]]</f>
        <v>0</v>
      </c>
      <c r="T336" s="9">
        <f t="shared" si="20"/>
        <v>0</v>
      </c>
      <c r="U336" s="41"/>
      <c r="V336" s="41"/>
      <c r="W336" s="9">
        <f t="shared" si="21"/>
        <v>0</v>
      </c>
      <c r="X336" s="9">
        <f t="shared" si="22"/>
        <v>0</v>
      </c>
      <c r="Y336" s="41"/>
      <c r="Z336" s="43"/>
      <c r="AA336" s="3">
        <f>TABL12345[[#This Row],[(RESV. STORGE) AJD]]/10</f>
        <v>0</v>
      </c>
      <c r="AB336" s="45">
        <f t="shared" si="23"/>
        <v>0</v>
      </c>
      <c r="AC336" s="5"/>
      <c r="AD336" s="39">
        <f>(TABL12345[[#This Row],[( S/S+T/B) AJD]]*1000)-((TABL12345[[#This Row],[(STORGE DIFF.) AJD]]*1000)+TABL12345[[#This Row],[البخر  AJD]]+(TABL12345[[#This Row],[(A/B + A/S) AJD]]*1000))</f>
        <v>0</v>
      </c>
      <c r="AE336" s="41"/>
      <c r="AF336" s="43"/>
      <c r="AG336" s="43"/>
      <c r="AH336" s="6">
        <f>TABL12345[[#This Row],[ (RESV. STORGE) BER]]/10</f>
        <v>0</v>
      </c>
      <c r="AI336" s="41"/>
      <c r="AJ336" s="43">
        <f>TABL12345[[#This Row],[(A/B TOT) AJD]]-TABL12345[[#This Row],[BER_ IN]]</f>
        <v>0</v>
      </c>
      <c r="AK336" s="43"/>
      <c r="AL336" s="43"/>
      <c r="AM336" s="32"/>
      <c r="AN336" s="32">
        <f>TABL12345[[#This Row],[ (RESV. STORGE) SER]]/10</f>
        <v>0</v>
      </c>
      <c r="AO336" s="68"/>
      <c r="AP336" s="68">
        <f>TABL12345[[#This Row],[(A/S TOT) AJD]]-TABL12345[[#This Row],[SER_ IN]]</f>
        <v>0</v>
      </c>
    </row>
    <row r="337" spans="1:42" ht="18.75" x14ac:dyDescent="0.25">
      <c r="A337" s="2">
        <v>47088</v>
      </c>
      <c r="B337" s="44"/>
      <c r="C337" s="44"/>
      <c r="D337" s="44"/>
      <c r="E337" s="44"/>
      <c r="F337" s="44"/>
      <c r="G337" s="40"/>
      <c r="H337" s="44"/>
      <c r="I337" s="40"/>
      <c r="J337" s="44"/>
      <c r="K337" s="28">
        <f>TABL12345[[#This Row],[خط (T/B  TOT) SAR]]+TABL12345[[#This Row],[خط (S/S  TOT) SAR2]]</f>
        <v>0</v>
      </c>
      <c r="L337" s="45"/>
      <c r="M337" s="46"/>
      <c r="N337" s="46"/>
      <c r="O337" s="40"/>
      <c r="P337" s="9">
        <f>TABL12345[[#This Row],[خط (S/S  TOT) SAR2]]-TABL12345[[#This Row],[(S/S TOT) AJD]]</f>
        <v>0</v>
      </c>
      <c r="Q337" s="40"/>
      <c r="R337" s="9">
        <f>TABL12345[[#This Row],[خط (T/B  TOT) SAR]]-TABL12345[[#This Row],[(T/B TOT) AJD]]</f>
        <v>0</v>
      </c>
      <c r="S337" s="9">
        <f>TABL12345[[#This Row],[الفرق بين بداية ونهاية خط  S/S]]+TABL12345[[#This Row],[الفرق بين بداية ونهاية خط  T/B]]</f>
        <v>0</v>
      </c>
      <c r="T337" s="9">
        <f t="shared" si="20"/>
        <v>0</v>
      </c>
      <c r="U337" s="44"/>
      <c r="V337" s="44"/>
      <c r="W337" s="9">
        <f t="shared" si="21"/>
        <v>0</v>
      </c>
      <c r="X337" s="9">
        <f t="shared" si="22"/>
        <v>0</v>
      </c>
      <c r="Y337" s="44"/>
      <c r="Z337" s="45"/>
      <c r="AA337" s="3">
        <f>TABL12345[[#This Row],[(RESV. STORGE) AJD]]/10</f>
        <v>0</v>
      </c>
      <c r="AB337" s="45">
        <f t="shared" si="23"/>
        <v>0</v>
      </c>
      <c r="AC337" s="5"/>
      <c r="AD337" s="40">
        <f>(TABL12345[[#This Row],[( S/S+T/B) AJD]]*1000)-((TABL12345[[#This Row],[(STORGE DIFF.) AJD]]*1000)+TABL12345[[#This Row],[البخر  AJD]]+(TABL12345[[#This Row],[(A/B + A/S) AJD]]*1000))</f>
        <v>0</v>
      </c>
      <c r="AE337" s="44"/>
      <c r="AF337" s="45"/>
      <c r="AG337" s="45"/>
      <c r="AH337" s="6">
        <f>TABL12345[[#This Row],[ (RESV. STORGE) BER]]/10</f>
        <v>0</v>
      </c>
      <c r="AI337" s="44"/>
      <c r="AJ337" s="45">
        <f>TABL12345[[#This Row],[(A/B TOT) AJD]]-TABL12345[[#This Row],[BER_ IN]]</f>
        <v>0</v>
      </c>
      <c r="AK337" s="45"/>
      <c r="AL337" s="45"/>
      <c r="AM337" s="32"/>
      <c r="AN337" s="32">
        <f>TABL12345[[#This Row],[ (RESV. STORGE) SER]]/10</f>
        <v>0</v>
      </c>
      <c r="AO337" s="68"/>
      <c r="AP337" s="68">
        <f>TABL12345[[#This Row],[(A/S TOT) AJD]]-TABL12345[[#This Row],[SER_ IN]]</f>
        <v>0</v>
      </c>
    </row>
    <row r="338" spans="1:42" ht="18.75" x14ac:dyDescent="0.25">
      <c r="A338" s="2">
        <v>47089</v>
      </c>
      <c r="B338" s="41"/>
      <c r="C338" s="41"/>
      <c r="D338" s="41"/>
      <c r="E338" s="41"/>
      <c r="F338" s="41"/>
      <c r="G338" s="39"/>
      <c r="H338" s="41"/>
      <c r="I338" s="39"/>
      <c r="J338" s="39"/>
      <c r="K338" s="28">
        <f>TABL12345[[#This Row],[خط (T/B  TOT) SAR]]+TABL12345[[#This Row],[خط (S/S  TOT) SAR2]]</f>
        <v>0</v>
      </c>
      <c r="L338" s="41"/>
      <c r="M338" s="42"/>
      <c r="N338" s="42"/>
      <c r="O338" s="39"/>
      <c r="P338" s="9">
        <f>TABL12345[[#This Row],[خط (S/S  TOT) SAR2]]-TABL12345[[#This Row],[(S/S TOT) AJD]]</f>
        <v>0</v>
      </c>
      <c r="Q338" s="39"/>
      <c r="R338" s="9">
        <f>TABL12345[[#This Row],[خط (T/B  TOT) SAR]]-TABL12345[[#This Row],[(T/B TOT) AJD]]</f>
        <v>0</v>
      </c>
      <c r="S338" s="9">
        <f>TABL12345[[#This Row],[الفرق بين بداية ونهاية خط  S/S]]+TABL12345[[#This Row],[الفرق بين بداية ونهاية خط  T/B]]</f>
        <v>0</v>
      </c>
      <c r="T338" s="9">
        <f t="shared" si="20"/>
        <v>0</v>
      </c>
      <c r="U338" s="41"/>
      <c r="V338" s="41"/>
      <c r="W338" s="9">
        <f t="shared" si="21"/>
        <v>0</v>
      </c>
      <c r="X338" s="9">
        <f t="shared" si="22"/>
        <v>0</v>
      </c>
      <c r="Y338" s="41"/>
      <c r="Z338" s="43"/>
      <c r="AA338" s="3">
        <f>TABL12345[[#This Row],[(RESV. STORGE) AJD]]/10</f>
        <v>0</v>
      </c>
      <c r="AB338" s="45">
        <f t="shared" si="23"/>
        <v>0</v>
      </c>
      <c r="AC338" s="5"/>
      <c r="AD338" s="39">
        <f>(TABL12345[[#This Row],[( S/S+T/B) AJD]]*1000)-((TABL12345[[#This Row],[(STORGE DIFF.) AJD]]*1000)+TABL12345[[#This Row],[البخر  AJD]]+(TABL12345[[#This Row],[(A/B + A/S) AJD]]*1000))</f>
        <v>0</v>
      </c>
      <c r="AE338" s="41"/>
      <c r="AF338" s="43"/>
      <c r="AG338" s="43"/>
      <c r="AH338" s="6">
        <f>TABL12345[[#This Row],[ (RESV. STORGE) BER]]/10</f>
        <v>0</v>
      </c>
      <c r="AI338" s="41"/>
      <c r="AJ338" s="43">
        <f>TABL12345[[#This Row],[(A/B TOT) AJD]]-TABL12345[[#This Row],[BER_ IN]]</f>
        <v>0</v>
      </c>
      <c r="AK338" s="43"/>
      <c r="AL338" s="43"/>
      <c r="AM338" s="32"/>
      <c r="AN338" s="32">
        <f>TABL12345[[#This Row],[ (RESV. STORGE) SER]]/10</f>
        <v>0</v>
      </c>
      <c r="AO338" s="68"/>
      <c r="AP338" s="68">
        <f>TABL12345[[#This Row],[(A/S TOT) AJD]]-TABL12345[[#This Row],[SER_ IN]]</f>
        <v>0</v>
      </c>
    </row>
    <row r="339" spans="1:42" ht="18.75" x14ac:dyDescent="0.25">
      <c r="A339" s="2">
        <v>47090</v>
      </c>
      <c r="B339" s="44"/>
      <c r="C339" s="44"/>
      <c r="D339" s="44"/>
      <c r="E339" s="44"/>
      <c r="F339" s="44"/>
      <c r="G339" s="40"/>
      <c r="H339" s="44"/>
      <c r="I339" s="40"/>
      <c r="J339" s="44"/>
      <c r="K339" s="28">
        <f>TABL12345[[#This Row],[خط (T/B  TOT) SAR]]+TABL12345[[#This Row],[خط (S/S  TOT) SAR2]]</f>
        <v>0</v>
      </c>
      <c r="L339" s="45"/>
      <c r="M339" s="46"/>
      <c r="N339" s="46"/>
      <c r="O339" s="40"/>
      <c r="P339" s="9">
        <f>TABL12345[[#This Row],[خط (S/S  TOT) SAR2]]-TABL12345[[#This Row],[(S/S TOT) AJD]]</f>
        <v>0</v>
      </c>
      <c r="Q339" s="40"/>
      <c r="R339" s="9">
        <f>TABL12345[[#This Row],[خط (T/B  TOT) SAR]]-TABL12345[[#This Row],[(T/B TOT) AJD]]</f>
        <v>0</v>
      </c>
      <c r="S339" s="9">
        <f>TABL12345[[#This Row],[الفرق بين بداية ونهاية خط  S/S]]+TABL12345[[#This Row],[الفرق بين بداية ونهاية خط  T/B]]</f>
        <v>0</v>
      </c>
      <c r="T339" s="9">
        <f t="shared" si="20"/>
        <v>0</v>
      </c>
      <c r="U339" s="44"/>
      <c r="V339" s="47"/>
      <c r="W339" s="9">
        <f t="shared" si="21"/>
        <v>0</v>
      </c>
      <c r="X339" s="9">
        <f t="shared" si="22"/>
        <v>0</v>
      </c>
      <c r="Y339" s="44"/>
      <c r="Z339" s="45"/>
      <c r="AA339" s="3">
        <f>TABL12345[[#This Row],[(RESV. STORGE) AJD]]/10</f>
        <v>0</v>
      </c>
      <c r="AB339" s="45">
        <f t="shared" si="23"/>
        <v>0</v>
      </c>
      <c r="AC339" s="5"/>
      <c r="AD339" s="40">
        <f>(TABL12345[[#This Row],[( S/S+T/B) AJD]]*1000)-((TABL12345[[#This Row],[(STORGE DIFF.) AJD]]*1000)+TABL12345[[#This Row],[البخر  AJD]]+(TABL12345[[#This Row],[(A/B + A/S) AJD]]*1000))</f>
        <v>0</v>
      </c>
      <c r="AE339" s="44"/>
      <c r="AF339" s="45"/>
      <c r="AG339" s="45"/>
      <c r="AH339" s="6">
        <f>TABL12345[[#This Row],[ (RESV. STORGE) BER]]/10</f>
        <v>0</v>
      </c>
      <c r="AI339" s="44"/>
      <c r="AJ339" s="45">
        <f>TABL12345[[#This Row],[(A/B TOT) AJD]]-TABL12345[[#This Row],[BER_ IN]]</f>
        <v>0</v>
      </c>
      <c r="AK339" s="45"/>
      <c r="AL339" s="45"/>
      <c r="AM339" s="32"/>
      <c r="AN339" s="32">
        <f>TABL12345[[#This Row],[ (RESV. STORGE) SER]]/10</f>
        <v>0</v>
      </c>
      <c r="AO339" s="68"/>
      <c r="AP339" s="68">
        <f>TABL12345[[#This Row],[(A/S TOT) AJD]]-TABL12345[[#This Row],[SER_ IN]]</f>
        <v>0</v>
      </c>
    </row>
    <row r="340" spans="1:42" ht="18.75" x14ac:dyDescent="0.25">
      <c r="A340" s="2">
        <v>47091</v>
      </c>
      <c r="B340" s="41"/>
      <c r="C340" s="41"/>
      <c r="D340" s="41"/>
      <c r="E340" s="41"/>
      <c r="F340" s="41"/>
      <c r="G340" s="39"/>
      <c r="H340" s="41"/>
      <c r="I340" s="39"/>
      <c r="J340" s="39"/>
      <c r="K340" s="28">
        <f>TABL12345[[#This Row],[خط (T/B  TOT) SAR]]+TABL12345[[#This Row],[خط (S/S  TOT) SAR2]]</f>
        <v>0</v>
      </c>
      <c r="L340" s="41"/>
      <c r="M340" s="42"/>
      <c r="N340" s="42"/>
      <c r="O340" s="39"/>
      <c r="P340" s="9">
        <f>TABL12345[[#This Row],[خط (S/S  TOT) SAR2]]-TABL12345[[#This Row],[(S/S TOT) AJD]]</f>
        <v>0</v>
      </c>
      <c r="Q340" s="39"/>
      <c r="R340" s="9">
        <f>TABL12345[[#This Row],[خط (T/B  TOT) SAR]]-TABL12345[[#This Row],[(T/B TOT) AJD]]</f>
        <v>0</v>
      </c>
      <c r="S340" s="9">
        <f>TABL12345[[#This Row],[الفرق بين بداية ونهاية خط  S/S]]+TABL12345[[#This Row],[الفرق بين بداية ونهاية خط  T/B]]</f>
        <v>0</v>
      </c>
      <c r="T340" s="9">
        <f t="shared" si="20"/>
        <v>0</v>
      </c>
      <c r="U340" s="41"/>
      <c r="V340" s="41"/>
      <c r="W340" s="9">
        <f t="shared" si="21"/>
        <v>0</v>
      </c>
      <c r="X340" s="9">
        <f t="shared" si="22"/>
        <v>0</v>
      </c>
      <c r="Y340" s="41"/>
      <c r="Z340" s="43"/>
      <c r="AA340" s="3">
        <f>TABL12345[[#This Row],[(RESV. STORGE) AJD]]/10</f>
        <v>0</v>
      </c>
      <c r="AB340" s="45">
        <f t="shared" si="23"/>
        <v>0</v>
      </c>
      <c r="AC340" s="5"/>
      <c r="AD340" s="39">
        <f>(TABL12345[[#This Row],[( S/S+T/B) AJD]]*1000)-((TABL12345[[#This Row],[(STORGE DIFF.) AJD]]*1000)+TABL12345[[#This Row],[البخر  AJD]]+(TABL12345[[#This Row],[(A/B + A/S) AJD]]*1000))</f>
        <v>0</v>
      </c>
      <c r="AE340" s="41"/>
      <c r="AF340" s="43"/>
      <c r="AG340" s="43"/>
      <c r="AH340" s="6">
        <f>TABL12345[[#This Row],[ (RESV. STORGE) BER]]/10</f>
        <v>0</v>
      </c>
      <c r="AI340" s="41"/>
      <c r="AJ340" s="43">
        <f>TABL12345[[#This Row],[(A/B TOT) AJD]]-TABL12345[[#This Row],[BER_ IN]]</f>
        <v>0</v>
      </c>
      <c r="AK340" s="43"/>
      <c r="AL340" s="43"/>
      <c r="AM340" s="32"/>
      <c r="AN340" s="32">
        <f>TABL12345[[#This Row],[ (RESV. STORGE) SER]]/10</f>
        <v>0</v>
      </c>
      <c r="AO340" s="68"/>
      <c r="AP340" s="68">
        <f>TABL12345[[#This Row],[(A/S TOT) AJD]]-TABL12345[[#This Row],[SER_ IN]]</f>
        <v>0</v>
      </c>
    </row>
    <row r="341" spans="1:42" ht="18.75" x14ac:dyDescent="0.25">
      <c r="A341" s="2">
        <v>47092</v>
      </c>
      <c r="B341" s="44"/>
      <c r="C341" s="44"/>
      <c r="D341" s="44"/>
      <c r="E341" s="44"/>
      <c r="F341" s="44"/>
      <c r="G341" s="40"/>
      <c r="H341" s="44"/>
      <c r="I341" s="40"/>
      <c r="J341" s="44"/>
      <c r="K341" s="28">
        <f>TABL12345[[#This Row],[خط (T/B  TOT) SAR]]+TABL12345[[#This Row],[خط (S/S  TOT) SAR2]]</f>
        <v>0</v>
      </c>
      <c r="L341" s="45"/>
      <c r="M341" s="46"/>
      <c r="N341" s="46"/>
      <c r="O341" s="40"/>
      <c r="P341" s="9">
        <f>TABL12345[[#This Row],[خط (S/S  TOT) SAR2]]-TABL12345[[#This Row],[(S/S TOT) AJD]]</f>
        <v>0</v>
      </c>
      <c r="Q341" s="40"/>
      <c r="R341" s="9">
        <f>TABL12345[[#This Row],[خط (T/B  TOT) SAR]]-TABL12345[[#This Row],[(T/B TOT) AJD]]</f>
        <v>0</v>
      </c>
      <c r="S341" s="9">
        <f>TABL12345[[#This Row],[الفرق بين بداية ونهاية خط  S/S]]+TABL12345[[#This Row],[الفرق بين بداية ونهاية خط  T/B]]</f>
        <v>0</v>
      </c>
      <c r="T341" s="9">
        <f t="shared" si="20"/>
        <v>0</v>
      </c>
      <c r="U341" s="44"/>
      <c r="V341" s="44"/>
      <c r="W341" s="9">
        <f t="shared" si="21"/>
        <v>0</v>
      </c>
      <c r="X341" s="9">
        <f t="shared" si="22"/>
        <v>0</v>
      </c>
      <c r="Y341" s="44"/>
      <c r="Z341" s="45"/>
      <c r="AA341" s="3">
        <f>TABL12345[[#This Row],[(RESV. STORGE) AJD]]/10</f>
        <v>0</v>
      </c>
      <c r="AB341" s="45">
        <f t="shared" si="23"/>
        <v>0</v>
      </c>
      <c r="AC341" s="5"/>
      <c r="AD341" s="40">
        <f>(TABL12345[[#This Row],[( S/S+T/B) AJD]]*1000)-((TABL12345[[#This Row],[(STORGE DIFF.) AJD]]*1000)+TABL12345[[#This Row],[البخر  AJD]]+(TABL12345[[#This Row],[(A/B + A/S) AJD]]*1000))</f>
        <v>0</v>
      </c>
      <c r="AE341" s="44"/>
      <c r="AF341" s="45"/>
      <c r="AG341" s="45"/>
      <c r="AH341" s="6">
        <f>TABL12345[[#This Row],[ (RESV. STORGE) BER]]/10</f>
        <v>0</v>
      </c>
      <c r="AI341" s="44"/>
      <c r="AJ341" s="45">
        <f>TABL12345[[#This Row],[(A/B TOT) AJD]]-TABL12345[[#This Row],[BER_ IN]]</f>
        <v>0</v>
      </c>
      <c r="AK341" s="45"/>
      <c r="AL341" s="45"/>
      <c r="AM341" s="32"/>
      <c r="AN341" s="32">
        <f>TABL12345[[#This Row],[ (RESV. STORGE) SER]]/10</f>
        <v>0</v>
      </c>
      <c r="AO341" s="68"/>
      <c r="AP341" s="68">
        <f>TABL12345[[#This Row],[(A/S TOT) AJD]]-TABL12345[[#This Row],[SER_ IN]]</f>
        <v>0</v>
      </c>
    </row>
    <row r="342" spans="1:42" ht="18.75" x14ac:dyDescent="0.25">
      <c r="A342" s="2">
        <v>47093</v>
      </c>
      <c r="B342" s="41"/>
      <c r="C342" s="41"/>
      <c r="D342" s="41"/>
      <c r="E342" s="41"/>
      <c r="F342" s="41"/>
      <c r="G342" s="39"/>
      <c r="H342" s="41"/>
      <c r="I342" s="39"/>
      <c r="J342" s="39"/>
      <c r="K342" s="28">
        <f>TABL12345[[#This Row],[خط (T/B  TOT) SAR]]+TABL12345[[#This Row],[خط (S/S  TOT) SAR2]]</f>
        <v>0</v>
      </c>
      <c r="L342" s="41"/>
      <c r="M342" s="42"/>
      <c r="N342" s="42"/>
      <c r="O342" s="39"/>
      <c r="P342" s="9">
        <f>TABL12345[[#This Row],[خط (S/S  TOT) SAR2]]-TABL12345[[#This Row],[(S/S TOT) AJD]]</f>
        <v>0</v>
      </c>
      <c r="Q342" s="39"/>
      <c r="R342" s="9">
        <f>TABL12345[[#This Row],[خط (T/B  TOT) SAR]]-TABL12345[[#This Row],[(T/B TOT) AJD]]</f>
        <v>0</v>
      </c>
      <c r="S342" s="9">
        <f>TABL12345[[#This Row],[الفرق بين بداية ونهاية خط  S/S]]+TABL12345[[#This Row],[الفرق بين بداية ونهاية خط  T/B]]</f>
        <v>0</v>
      </c>
      <c r="T342" s="9">
        <f t="shared" si="20"/>
        <v>0</v>
      </c>
      <c r="U342" s="41"/>
      <c r="V342" s="41"/>
      <c r="W342" s="9">
        <f t="shared" si="21"/>
        <v>0</v>
      </c>
      <c r="X342" s="9">
        <f t="shared" si="22"/>
        <v>0</v>
      </c>
      <c r="Y342" s="41"/>
      <c r="Z342" s="43"/>
      <c r="AA342" s="3">
        <f>TABL12345[[#This Row],[(RESV. STORGE) AJD]]/10</f>
        <v>0</v>
      </c>
      <c r="AB342" s="45">
        <f t="shared" si="23"/>
        <v>0</v>
      </c>
      <c r="AC342" s="5"/>
      <c r="AD342" s="39">
        <f>(TABL12345[[#This Row],[( S/S+T/B) AJD]]*1000)-((TABL12345[[#This Row],[(STORGE DIFF.) AJD]]*1000)+TABL12345[[#This Row],[البخر  AJD]]+(TABL12345[[#This Row],[(A/B + A/S) AJD]]*1000))</f>
        <v>0</v>
      </c>
      <c r="AE342" s="41"/>
      <c r="AF342" s="43"/>
      <c r="AG342" s="43"/>
      <c r="AH342" s="6">
        <f>TABL12345[[#This Row],[ (RESV. STORGE) BER]]/10</f>
        <v>0</v>
      </c>
      <c r="AI342" s="41"/>
      <c r="AJ342" s="43">
        <f>TABL12345[[#This Row],[(A/B TOT) AJD]]-TABL12345[[#This Row],[BER_ IN]]</f>
        <v>0</v>
      </c>
      <c r="AK342" s="43"/>
      <c r="AL342" s="43"/>
      <c r="AM342" s="32"/>
      <c r="AN342" s="32">
        <f>TABL12345[[#This Row],[ (RESV. STORGE) SER]]/10</f>
        <v>0</v>
      </c>
      <c r="AO342" s="68"/>
      <c r="AP342" s="68">
        <f>TABL12345[[#This Row],[(A/S TOT) AJD]]-TABL12345[[#This Row],[SER_ IN]]</f>
        <v>0</v>
      </c>
    </row>
    <row r="343" spans="1:42" ht="18.75" x14ac:dyDescent="0.25">
      <c r="A343" s="2">
        <v>47094</v>
      </c>
      <c r="B343" s="44"/>
      <c r="C343" s="44"/>
      <c r="D343" s="44"/>
      <c r="E343" s="44"/>
      <c r="F343" s="44"/>
      <c r="G343" s="40"/>
      <c r="H343" s="44"/>
      <c r="I343" s="40"/>
      <c r="J343" s="44"/>
      <c r="K343" s="28">
        <f>TABL12345[[#This Row],[خط (T/B  TOT) SAR]]+TABL12345[[#This Row],[خط (S/S  TOT) SAR2]]</f>
        <v>0</v>
      </c>
      <c r="L343" s="45"/>
      <c r="M343" s="46"/>
      <c r="N343" s="46"/>
      <c r="O343" s="40"/>
      <c r="P343" s="9">
        <f>TABL12345[[#This Row],[خط (S/S  TOT) SAR2]]-TABL12345[[#This Row],[(S/S TOT) AJD]]</f>
        <v>0</v>
      </c>
      <c r="Q343" s="40"/>
      <c r="R343" s="9">
        <f>TABL12345[[#This Row],[خط (T/B  TOT) SAR]]-TABL12345[[#This Row],[(T/B TOT) AJD]]</f>
        <v>0</v>
      </c>
      <c r="S343" s="9">
        <f>TABL12345[[#This Row],[الفرق بين بداية ونهاية خط  S/S]]+TABL12345[[#This Row],[الفرق بين بداية ونهاية خط  T/B]]</f>
        <v>0</v>
      </c>
      <c r="T343" s="9">
        <f t="shared" si="20"/>
        <v>0</v>
      </c>
      <c r="U343" s="44"/>
      <c r="V343" s="44"/>
      <c r="W343" s="9">
        <f t="shared" si="21"/>
        <v>0</v>
      </c>
      <c r="X343" s="9">
        <f t="shared" si="22"/>
        <v>0</v>
      </c>
      <c r="Y343" s="44"/>
      <c r="Z343" s="45"/>
      <c r="AA343" s="3">
        <f>TABL12345[[#This Row],[(RESV. STORGE) AJD]]/10</f>
        <v>0</v>
      </c>
      <c r="AB343" s="45">
        <f t="shared" si="23"/>
        <v>0</v>
      </c>
      <c r="AC343" s="5"/>
      <c r="AD343" s="40">
        <f>(TABL12345[[#This Row],[( S/S+T/B) AJD]]*1000)-((TABL12345[[#This Row],[(STORGE DIFF.) AJD]]*1000)+TABL12345[[#This Row],[البخر  AJD]]+(TABL12345[[#This Row],[(A/B + A/S) AJD]]*1000))</f>
        <v>0</v>
      </c>
      <c r="AE343" s="44"/>
      <c r="AF343" s="45"/>
      <c r="AG343" s="45"/>
      <c r="AH343" s="6">
        <f>TABL12345[[#This Row],[ (RESV. STORGE) BER]]/10</f>
        <v>0</v>
      </c>
      <c r="AI343" s="44"/>
      <c r="AJ343" s="45">
        <f>TABL12345[[#This Row],[(A/B TOT) AJD]]-TABL12345[[#This Row],[BER_ IN]]</f>
        <v>0</v>
      </c>
      <c r="AK343" s="45"/>
      <c r="AL343" s="45"/>
      <c r="AM343" s="32"/>
      <c r="AN343" s="32">
        <f>TABL12345[[#This Row],[ (RESV. STORGE) SER]]/10</f>
        <v>0</v>
      </c>
      <c r="AO343" s="68"/>
      <c r="AP343" s="68">
        <f>TABL12345[[#This Row],[(A/S TOT) AJD]]-TABL12345[[#This Row],[SER_ IN]]</f>
        <v>0</v>
      </c>
    </row>
    <row r="344" spans="1:42" ht="18.75" x14ac:dyDescent="0.25">
      <c r="A344" s="2">
        <v>47095</v>
      </c>
      <c r="B344" s="41"/>
      <c r="C344" s="41"/>
      <c r="D344" s="41"/>
      <c r="E344" s="41"/>
      <c r="F344" s="41"/>
      <c r="G344" s="39"/>
      <c r="H344" s="41"/>
      <c r="I344" s="39"/>
      <c r="J344" s="39"/>
      <c r="K344" s="28">
        <f>TABL12345[[#This Row],[خط (T/B  TOT) SAR]]+TABL12345[[#This Row],[خط (S/S  TOT) SAR2]]</f>
        <v>0</v>
      </c>
      <c r="L344" s="41"/>
      <c r="M344" s="42"/>
      <c r="N344" s="42"/>
      <c r="O344" s="39"/>
      <c r="P344" s="9">
        <f>TABL12345[[#This Row],[خط (S/S  TOT) SAR2]]-TABL12345[[#This Row],[(S/S TOT) AJD]]</f>
        <v>0</v>
      </c>
      <c r="Q344" s="39"/>
      <c r="R344" s="9">
        <f>TABL12345[[#This Row],[خط (T/B  TOT) SAR]]-TABL12345[[#This Row],[(T/B TOT) AJD]]</f>
        <v>0</v>
      </c>
      <c r="S344" s="9">
        <f>TABL12345[[#This Row],[الفرق بين بداية ونهاية خط  S/S]]+TABL12345[[#This Row],[الفرق بين بداية ونهاية خط  T/B]]</f>
        <v>0</v>
      </c>
      <c r="T344" s="9">
        <f t="shared" si="20"/>
        <v>0</v>
      </c>
      <c r="U344" s="41"/>
      <c r="V344" s="41"/>
      <c r="W344" s="9">
        <f t="shared" si="21"/>
        <v>0</v>
      </c>
      <c r="X344" s="9">
        <f t="shared" si="22"/>
        <v>0</v>
      </c>
      <c r="Y344" s="41"/>
      <c r="Z344" s="43"/>
      <c r="AA344" s="3">
        <f>TABL12345[[#This Row],[(RESV. STORGE) AJD]]/10</f>
        <v>0</v>
      </c>
      <c r="AB344" s="45">
        <f t="shared" si="23"/>
        <v>0</v>
      </c>
      <c r="AC344" s="5"/>
      <c r="AD344" s="39">
        <f>(TABL12345[[#This Row],[( S/S+T/B) AJD]]*1000)-((TABL12345[[#This Row],[(STORGE DIFF.) AJD]]*1000)+TABL12345[[#This Row],[البخر  AJD]]+(TABL12345[[#This Row],[(A/B + A/S) AJD]]*1000))</f>
        <v>0</v>
      </c>
      <c r="AE344" s="41"/>
      <c r="AF344" s="43"/>
      <c r="AG344" s="43"/>
      <c r="AH344" s="6">
        <f>TABL12345[[#This Row],[ (RESV. STORGE) BER]]/10</f>
        <v>0</v>
      </c>
      <c r="AI344" s="41"/>
      <c r="AJ344" s="43">
        <f>TABL12345[[#This Row],[(A/B TOT) AJD]]-TABL12345[[#This Row],[BER_ IN]]</f>
        <v>0</v>
      </c>
      <c r="AK344" s="43"/>
      <c r="AL344" s="43"/>
      <c r="AM344" s="32"/>
      <c r="AN344" s="32">
        <f>TABL12345[[#This Row],[ (RESV. STORGE) SER]]/10</f>
        <v>0</v>
      </c>
      <c r="AO344" s="68"/>
      <c r="AP344" s="68">
        <f>TABL12345[[#This Row],[(A/S TOT) AJD]]-TABL12345[[#This Row],[SER_ IN]]</f>
        <v>0</v>
      </c>
    </row>
    <row r="345" spans="1:42" ht="18.75" x14ac:dyDescent="0.25">
      <c r="A345" s="2">
        <v>47096</v>
      </c>
      <c r="B345" s="44"/>
      <c r="C345" s="44"/>
      <c r="D345" s="44"/>
      <c r="E345" s="44"/>
      <c r="F345" s="44"/>
      <c r="G345" s="40"/>
      <c r="H345" s="44"/>
      <c r="I345" s="40"/>
      <c r="J345" s="44"/>
      <c r="K345" s="28">
        <f>TABL12345[[#This Row],[خط (T/B  TOT) SAR]]+TABL12345[[#This Row],[خط (S/S  TOT) SAR2]]</f>
        <v>0</v>
      </c>
      <c r="L345" s="45"/>
      <c r="M345" s="46"/>
      <c r="N345" s="46"/>
      <c r="O345" s="40"/>
      <c r="P345" s="9">
        <f>TABL12345[[#This Row],[خط (S/S  TOT) SAR2]]-TABL12345[[#This Row],[(S/S TOT) AJD]]</f>
        <v>0</v>
      </c>
      <c r="Q345" s="40"/>
      <c r="R345" s="9">
        <f>TABL12345[[#This Row],[خط (T/B  TOT) SAR]]-TABL12345[[#This Row],[(T/B TOT) AJD]]</f>
        <v>0</v>
      </c>
      <c r="S345" s="9">
        <f>TABL12345[[#This Row],[الفرق بين بداية ونهاية خط  S/S]]+TABL12345[[#This Row],[الفرق بين بداية ونهاية خط  T/B]]</f>
        <v>0</v>
      </c>
      <c r="T345" s="9">
        <f t="shared" si="20"/>
        <v>0</v>
      </c>
      <c r="U345" s="44"/>
      <c r="V345" s="44"/>
      <c r="W345" s="9">
        <f t="shared" si="21"/>
        <v>0</v>
      </c>
      <c r="X345" s="9">
        <f t="shared" si="22"/>
        <v>0</v>
      </c>
      <c r="Y345" s="44"/>
      <c r="Z345" s="45"/>
      <c r="AA345" s="3">
        <f>TABL12345[[#This Row],[(RESV. STORGE) AJD]]/10</f>
        <v>0</v>
      </c>
      <c r="AB345" s="45">
        <f t="shared" si="23"/>
        <v>0</v>
      </c>
      <c r="AC345" s="5"/>
      <c r="AD345" s="40">
        <f>(TABL12345[[#This Row],[( S/S+T/B) AJD]]*1000)-((TABL12345[[#This Row],[(STORGE DIFF.) AJD]]*1000)+TABL12345[[#This Row],[البخر  AJD]]+(TABL12345[[#This Row],[(A/B + A/S) AJD]]*1000))</f>
        <v>0</v>
      </c>
      <c r="AE345" s="44"/>
      <c r="AF345" s="45"/>
      <c r="AG345" s="45"/>
      <c r="AH345" s="6">
        <f>TABL12345[[#This Row],[ (RESV. STORGE) BER]]/10</f>
        <v>0</v>
      </c>
      <c r="AI345" s="44"/>
      <c r="AJ345" s="45">
        <f>TABL12345[[#This Row],[(A/B TOT) AJD]]-TABL12345[[#This Row],[BER_ IN]]</f>
        <v>0</v>
      </c>
      <c r="AK345" s="45"/>
      <c r="AL345" s="45"/>
      <c r="AM345" s="32"/>
      <c r="AN345" s="32">
        <f>TABL12345[[#This Row],[ (RESV. STORGE) SER]]/10</f>
        <v>0</v>
      </c>
      <c r="AO345" s="68"/>
      <c r="AP345" s="68">
        <f>TABL12345[[#This Row],[(A/S TOT) AJD]]-TABL12345[[#This Row],[SER_ IN]]</f>
        <v>0</v>
      </c>
    </row>
    <row r="346" spans="1:42" ht="18.75" x14ac:dyDescent="0.25">
      <c r="A346" s="2">
        <v>47097</v>
      </c>
      <c r="B346" s="41"/>
      <c r="C346" s="41"/>
      <c r="D346" s="41"/>
      <c r="E346" s="41"/>
      <c r="F346" s="41"/>
      <c r="G346" s="39"/>
      <c r="H346" s="41"/>
      <c r="I346" s="39"/>
      <c r="J346" s="39"/>
      <c r="K346" s="28">
        <f>TABL12345[[#This Row],[خط (T/B  TOT) SAR]]+TABL12345[[#This Row],[خط (S/S  TOT) SAR2]]</f>
        <v>0</v>
      </c>
      <c r="L346" s="41"/>
      <c r="M346" s="42"/>
      <c r="N346" s="42"/>
      <c r="O346" s="39"/>
      <c r="P346" s="9">
        <f>TABL12345[[#This Row],[خط (S/S  TOT) SAR2]]-TABL12345[[#This Row],[(S/S TOT) AJD]]</f>
        <v>0</v>
      </c>
      <c r="Q346" s="39"/>
      <c r="R346" s="9">
        <f>TABL12345[[#This Row],[خط (T/B  TOT) SAR]]-TABL12345[[#This Row],[(T/B TOT) AJD]]</f>
        <v>0</v>
      </c>
      <c r="S346" s="9">
        <f>TABL12345[[#This Row],[الفرق بين بداية ونهاية خط  S/S]]+TABL12345[[#This Row],[الفرق بين بداية ونهاية خط  T/B]]</f>
        <v>0</v>
      </c>
      <c r="T346" s="9">
        <f t="shared" si="20"/>
        <v>0</v>
      </c>
      <c r="U346" s="41"/>
      <c r="V346" s="41"/>
      <c r="W346" s="9">
        <f t="shared" si="21"/>
        <v>0</v>
      </c>
      <c r="X346" s="9">
        <f t="shared" si="22"/>
        <v>0</v>
      </c>
      <c r="Y346" s="41"/>
      <c r="Z346" s="43"/>
      <c r="AA346" s="3">
        <f>TABL12345[[#This Row],[(RESV. STORGE) AJD]]/10</f>
        <v>0</v>
      </c>
      <c r="AB346" s="45">
        <f t="shared" si="23"/>
        <v>0</v>
      </c>
      <c r="AC346" s="5"/>
      <c r="AD346" s="39">
        <f>(TABL12345[[#This Row],[( S/S+T/B) AJD]]*1000)-((TABL12345[[#This Row],[(STORGE DIFF.) AJD]]*1000)+TABL12345[[#This Row],[البخر  AJD]]+(TABL12345[[#This Row],[(A/B + A/S) AJD]]*1000))</f>
        <v>0</v>
      </c>
      <c r="AE346" s="41"/>
      <c r="AF346" s="43"/>
      <c r="AG346" s="48"/>
      <c r="AH346" s="6">
        <f>TABL12345[[#This Row],[ (RESV. STORGE) BER]]/10</f>
        <v>0</v>
      </c>
      <c r="AI346" s="41"/>
      <c r="AJ346" s="48">
        <f>TABL12345[[#This Row],[(A/B TOT) AJD]]-TABL12345[[#This Row],[BER_ IN]]</f>
        <v>0</v>
      </c>
      <c r="AK346" s="43"/>
      <c r="AL346" s="43"/>
      <c r="AM346" s="32"/>
      <c r="AN346" s="32">
        <f>TABL12345[[#This Row],[ (RESV. STORGE) SER]]/10</f>
        <v>0</v>
      </c>
      <c r="AO346" s="68"/>
      <c r="AP346" s="68">
        <f>TABL12345[[#This Row],[(A/S TOT) AJD]]-TABL12345[[#This Row],[SER_ IN]]</f>
        <v>0</v>
      </c>
    </row>
    <row r="347" spans="1:42" ht="18.75" x14ac:dyDescent="0.25">
      <c r="A347" s="2">
        <v>47098</v>
      </c>
      <c r="B347" s="44"/>
      <c r="C347" s="44"/>
      <c r="D347" s="44"/>
      <c r="E347" s="44"/>
      <c r="F347" s="44"/>
      <c r="G347" s="40"/>
      <c r="H347" s="44"/>
      <c r="I347" s="40"/>
      <c r="J347" s="44"/>
      <c r="K347" s="28">
        <f>TABL12345[[#This Row],[خط (T/B  TOT) SAR]]+TABL12345[[#This Row],[خط (S/S  TOT) SAR2]]</f>
        <v>0</v>
      </c>
      <c r="L347" s="45"/>
      <c r="M347" s="46"/>
      <c r="N347" s="46"/>
      <c r="O347" s="40"/>
      <c r="P347" s="9">
        <f>TABL12345[[#This Row],[خط (S/S  TOT) SAR2]]-TABL12345[[#This Row],[(S/S TOT) AJD]]</f>
        <v>0</v>
      </c>
      <c r="Q347" s="40"/>
      <c r="R347" s="9">
        <f>TABL12345[[#This Row],[خط (T/B  TOT) SAR]]-TABL12345[[#This Row],[(T/B TOT) AJD]]</f>
        <v>0</v>
      </c>
      <c r="S347" s="9">
        <f>TABL12345[[#This Row],[الفرق بين بداية ونهاية خط  S/S]]+TABL12345[[#This Row],[الفرق بين بداية ونهاية خط  T/B]]</f>
        <v>0</v>
      </c>
      <c r="T347" s="9">
        <f t="shared" si="20"/>
        <v>0</v>
      </c>
      <c r="U347" s="44"/>
      <c r="V347" s="44"/>
      <c r="W347" s="9">
        <f t="shared" si="21"/>
        <v>0</v>
      </c>
      <c r="X347" s="9">
        <f t="shared" si="22"/>
        <v>0</v>
      </c>
      <c r="Y347" s="44"/>
      <c r="Z347" s="45"/>
      <c r="AA347" s="3">
        <f>TABL12345[[#This Row],[(RESV. STORGE) AJD]]/10</f>
        <v>0</v>
      </c>
      <c r="AB347" s="45">
        <f t="shared" si="23"/>
        <v>0</v>
      </c>
      <c r="AC347" s="5"/>
      <c r="AD347" s="40">
        <f>(TABL12345[[#This Row],[( S/S+T/B) AJD]]*1000)-((TABL12345[[#This Row],[(STORGE DIFF.) AJD]]*1000)+TABL12345[[#This Row],[البخر  AJD]]+(TABL12345[[#This Row],[(A/B + A/S) AJD]]*1000))</f>
        <v>0</v>
      </c>
      <c r="AE347" s="44"/>
      <c r="AF347" s="45"/>
      <c r="AG347" s="45"/>
      <c r="AH347" s="6">
        <f>TABL12345[[#This Row],[ (RESV. STORGE) BER]]/10</f>
        <v>0</v>
      </c>
      <c r="AI347" s="44"/>
      <c r="AJ347" s="45">
        <f>TABL12345[[#This Row],[(A/B TOT) AJD]]-TABL12345[[#This Row],[BER_ IN]]</f>
        <v>0</v>
      </c>
      <c r="AK347" s="45"/>
      <c r="AL347" s="45"/>
      <c r="AM347" s="32"/>
      <c r="AN347" s="32">
        <f>TABL12345[[#This Row],[ (RESV. STORGE) SER]]/10</f>
        <v>0</v>
      </c>
      <c r="AO347" s="68"/>
      <c r="AP347" s="68">
        <f>TABL12345[[#This Row],[(A/S TOT) AJD]]-TABL12345[[#This Row],[SER_ IN]]</f>
        <v>0</v>
      </c>
    </row>
    <row r="348" spans="1:42" ht="18.75" x14ac:dyDescent="0.25">
      <c r="A348" s="2">
        <v>47099</v>
      </c>
      <c r="B348" s="41"/>
      <c r="C348" s="41"/>
      <c r="D348" s="41"/>
      <c r="E348" s="41"/>
      <c r="F348" s="41"/>
      <c r="G348" s="39"/>
      <c r="H348" s="41"/>
      <c r="I348" s="39"/>
      <c r="J348" s="39"/>
      <c r="K348" s="28">
        <f>TABL12345[[#This Row],[خط (T/B  TOT) SAR]]+TABL12345[[#This Row],[خط (S/S  TOT) SAR2]]</f>
        <v>0</v>
      </c>
      <c r="L348" s="41"/>
      <c r="M348" s="42"/>
      <c r="N348" s="42"/>
      <c r="O348" s="39"/>
      <c r="P348" s="9">
        <f>TABL12345[[#This Row],[خط (S/S  TOT) SAR2]]-TABL12345[[#This Row],[(S/S TOT) AJD]]</f>
        <v>0</v>
      </c>
      <c r="Q348" s="39"/>
      <c r="R348" s="9">
        <f>TABL12345[[#This Row],[خط (T/B  TOT) SAR]]-TABL12345[[#This Row],[(T/B TOT) AJD]]</f>
        <v>0</v>
      </c>
      <c r="S348" s="9">
        <f>TABL12345[[#This Row],[الفرق بين بداية ونهاية خط  S/S]]+TABL12345[[#This Row],[الفرق بين بداية ونهاية خط  T/B]]</f>
        <v>0</v>
      </c>
      <c r="T348" s="9">
        <f t="shared" si="20"/>
        <v>0</v>
      </c>
      <c r="U348" s="41"/>
      <c r="V348" s="41"/>
      <c r="W348" s="9">
        <f t="shared" si="21"/>
        <v>0</v>
      </c>
      <c r="X348" s="9">
        <f t="shared" si="22"/>
        <v>0</v>
      </c>
      <c r="Y348" s="41"/>
      <c r="Z348" s="43"/>
      <c r="AA348" s="3">
        <f>TABL12345[[#This Row],[(RESV. STORGE) AJD]]/10</f>
        <v>0</v>
      </c>
      <c r="AB348" s="45">
        <f t="shared" si="23"/>
        <v>0</v>
      </c>
      <c r="AC348" s="5"/>
      <c r="AD348" s="39">
        <f>(TABL12345[[#This Row],[( S/S+T/B) AJD]]*1000)-((TABL12345[[#This Row],[(STORGE DIFF.) AJD]]*1000)+TABL12345[[#This Row],[البخر  AJD]]+(TABL12345[[#This Row],[(A/B + A/S) AJD]]*1000))</f>
        <v>0</v>
      </c>
      <c r="AE348" s="41"/>
      <c r="AF348" s="43"/>
      <c r="AG348" s="43"/>
      <c r="AH348" s="6">
        <f>TABL12345[[#This Row],[ (RESV. STORGE) BER]]/10</f>
        <v>0</v>
      </c>
      <c r="AI348" s="41"/>
      <c r="AJ348" s="43">
        <f>TABL12345[[#This Row],[(A/B TOT) AJD]]-TABL12345[[#This Row],[BER_ IN]]</f>
        <v>0</v>
      </c>
      <c r="AK348" s="43"/>
      <c r="AL348" s="43"/>
      <c r="AM348" s="32"/>
      <c r="AN348" s="32">
        <f>TABL12345[[#This Row],[ (RESV. STORGE) SER]]/10</f>
        <v>0</v>
      </c>
      <c r="AO348" s="68"/>
      <c r="AP348" s="68">
        <f>TABL12345[[#This Row],[(A/S TOT) AJD]]-TABL12345[[#This Row],[SER_ IN]]</f>
        <v>0</v>
      </c>
    </row>
    <row r="349" spans="1:42" ht="18.75" x14ac:dyDescent="0.25">
      <c r="A349" s="2">
        <v>47100</v>
      </c>
      <c r="B349" s="44"/>
      <c r="C349" s="44"/>
      <c r="D349" s="44"/>
      <c r="E349" s="44"/>
      <c r="F349" s="44"/>
      <c r="G349" s="40"/>
      <c r="H349" s="44"/>
      <c r="I349" s="40"/>
      <c r="J349" s="44"/>
      <c r="K349" s="28">
        <f>TABL12345[[#This Row],[خط (T/B  TOT) SAR]]+TABL12345[[#This Row],[خط (S/S  TOT) SAR2]]</f>
        <v>0</v>
      </c>
      <c r="L349" s="45"/>
      <c r="M349" s="46"/>
      <c r="N349" s="46"/>
      <c r="O349" s="40"/>
      <c r="P349" s="9">
        <f>TABL12345[[#This Row],[خط (S/S  TOT) SAR2]]-TABL12345[[#This Row],[(S/S TOT) AJD]]</f>
        <v>0</v>
      </c>
      <c r="Q349" s="40"/>
      <c r="R349" s="9">
        <f>TABL12345[[#This Row],[خط (T/B  TOT) SAR]]-TABL12345[[#This Row],[(T/B TOT) AJD]]</f>
        <v>0</v>
      </c>
      <c r="S349" s="9">
        <f>TABL12345[[#This Row],[الفرق بين بداية ونهاية خط  S/S]]+TABL12345[[#This Row],[الفرق بين بداية ونهاية خط  T/B]]</f>
        <v>0</v>
      </c>
      <c r="T349" s="9">
        <f t="shared" si="20"/>
        <v>0</v>
      </c>
      <c r="U349" s="44"/>
      <c r="V349" s="44"/>
      <c r="W349" s="9">
        <f t="shared" si="21"/>
        <v>0</v>
      </c>
      <c r="X349" s="9">
        <f t="shared" si="22"/>
        <v>0</v>
      </c>
      <c r="Y349" s="44"/>
      <c r="Z349" s="45"/>
      <c r="AA349" s="3">
        <f>TABL12345[[#This Row],[(RESV. STORGE) AJD]]/10</f>
        <v>0</v>
      </c>
      <c r="AB349" s="45">
        <f t="shared" si="23"/>
        <v>0</v>
      </c>
      <c r="AC349" s="5"/>
      <c r="AD349" s="40">
        <f>(TABL12345[[#This Row],[( S/S+T/B) AJD]]*1000)-((TABL12345[[#This Row],[(STORGE DIFF.) AJD]]*1000)+TABL12345[[#This Row],[البخر  AJD]]+(TABL12345[[#This Row],[(A/B + A/S) AJD]]*1000))</f>
        <v>0</v>
      </c>
      <c r="AE349" s="44"/>
      <c r="AF349" s="45"/>
      <c r="AG349" s="45"/>
      <c r="AH349" s="6">
        <f>TABL12345[[#This Row],[ (RESV. STORGE) BER]]/10</f>
        <v>0</v>
      </c>
      <c r="AI349" s="44"/>
      <c r="AJ349" s="45">
        <f>TABL12345[[#This Row],[(A/B TOT) AJD]]-TABL12345[[#This Row],[BER_ IN]]</f>
        <v>0</v>
      </c>
      <c r="AK349" s="45"/>
      <c r="AL349" s="45"/>
      <c r="AM349" s="32"/>
      <c r="AN349" s="32">
        <f>TABL12345[[#This Row],[ (RESV. STORGE) SER]]/10</f>
        <v>0</v>
      </c>
      <c r="AO349" s="68"/>
      <c r="AP349" s="68">
        <f>TABL12345[[#This Row],[(A/S TOT) AJD]]-TABL12345[[#This Row],[SER_ IN]]</f>
        <v>0</v>
      </c>
    </row>
    <row r="350" spans="1:42" ht="18.75" x14ac:dyDescent="0.25">
      <c r="A350" s="2">
        <v>47101</v>
      </c>
      <c r="B350" s="41"/>
      <c r="C350" s="41"/>
      <c r="D350" s="41"/>
      <c r="E350" s="41"/>
      <c r="F350" s="41"/>
      <c r="G350" s="39"/>
      <c r="H350" s="41"/>
      <c r="I350" s="39"/>
      <c r="J350" s="39"/>
      <c r="K350" s="28">
        <f>TABL12345[[#This Row],[خط (T/B  TOT) SAR]]+TABL12345[[#This Row],[خط (S/S  TOT) SAR2]]</f>
        <v>0</v>
      </c>
      <c r="L350" s="41"/>
      <c r="M350" s="42"/>
      <c r="N350" s="42"/>
      <c r="O350" s="39"/>
      <c r="P350" s="9">
        <f>TABL12345[[#This Row],[خط (S/S  TOT) SAR2]]-TABL12345[[#This Row],[(S/S TOT) AJD]]</f>
        <v>0</v>
      </c>
      <c r="Q350" s="39"/>
      <c r="R350" s="9">
        <f>TABL12345[[#This Row],[خط (T/B  TOT) SAR]]-TABL12345[[#This Row],[(T/B TOT) AJD]]</f>
        <v>0</v>
      </c>
      <c r="S350" s="9">
        <f>TABL12345[[#This Row],[الفرق بين بداية ونهاية خط  S/S]]+TABL12345[[#This Row],[الفرق بين بداية ونهاية خط  T/B]]</f>
        <v>0</v>
      </c>
      <c r="T350" s="9">
        <f t="shared" si="20"/>
        <v>0</v>
      </c>
      <c r="U350" s="41"/>
      <c r="V350" s="41"/>
      <c r="W350" s="9">
        <f t="shared" si="21"/>
        <v>0</v>
      </c>
      <c r="X350" s="9">
        <f t="shared" si="22"/>
        <v>0</v>
      </c>
      <c r="Y350" s="41"/>
      <c r="Z350" s="43"/>
      <c r="AA350" s="3">
        <f>TABL12345[[#This Row],[(RESV. STORGE) AJD]]/10</f>
        <v>0</v>
      </c>
      <c r="AB350" s="45">
        <f t="shared" si="23"/>
        <v>0</v>
      </c>
      <c r="AC350" s="5"/>
      <c r="AD350" s="39">
        <f>(TABL12345[[#This Row],[( S/S+T/B) AJD]]*1000)-((TABL12345[[#This Row],[(STORGE DIFF.) AJD]]*1000)+TABL12345[[#This Row],[البخر  AJD]]+(TABL12345[[#This Row],[(A/B + A/S) AJD]]*1000))</f>
        <v>0</v>
      </c>
      <c r="AE350" s="41"/>
      <c r="AF350" s="43"/>
      <c r="AG350" s="43"/>
      <c r="AH350" s="6">
        <f>TABL12345[[#This Row],[ (RESV. STORGE) BER]]/10</f>
        <v>0</v>
      </c>
      <c r="AI350" s="41"/>
      <c r="AJ350" s="43">
        <f>TABL12345[[#This Row],[(A/B TOT) AJD]]-TABL12345[[#This Row],[BER_ IN]]</f>
        <v>0</v>
      </c>
      <c r="AK350" s="43"/>
      <c r="AL350" s="43"/>
      <c r="AM350" s="32"/>
      <c r="AN350" s="32">
        <f>TABL12345[[#This Row],[ (RESV. STORGE) SER]]/10</f>
        <v>0</v>
      </c>
      <c r="AO350" s="68"/>
      <c r="AP350" s="68">
        <f>TABL12345[[#This Row],[(A/S TOT) AJD]]-TABL12345[[#This Row],[SER_ IN]]</f>
        <v>0</v>
      </c>
    </row>
    <row r="351" spans="1:42" ht="18.75" x14ac:dyDescent="0.25">
      <c r="A351" s="2">
        <v>47102</v>
      </c>
      <c r="B351" s="44"/>
      <c r="C351" s="44"/>
      <c r="D351" s="44"/>
      <c r="E351" s="44"/>
      <c r="F351" s="44"/>
      <c r="G351" s="40"/>
      <c r="H351" s="44"/>
      <c r="I351" s="40"/>
      <c r="J351" s="44"/>
      <c r="K351" s="28">
        <f>TABL12345[[#This Row],[خط (T/B  TOT) SAR]]+TABL12345[[#This Row],[خط (S/S  TOT) SAR2]]</f>
        <v>0</v>
      </c>
      <c r="L351" s="45"/>
      <c r="M351" s="46"/>
      <c r="N351" s="46"/>
      <c r="O351" s="40"/>
      <c r="P351" s="9">
        <f>TABL12345[[#This Row],[خط (S/S  TOT) SAR2]]-TABL12345[[#This Row],[(S/S TOT) AJD]]</f>
        <v>0</v>
      </c>
      <c r="Q351" s="40"/>
      <c r="R351" s="9">
        <f>TABL12345[[#This Row],[خط (T/B  TOT) SAR]]-TABL12345[[#This Row],[(T/B TOT) AJD]]</f>
        <v>0</v>
      </c>
      <c r="S351" s="9">
        <f>TABL12345[[#This Row],[الفرق بين بداية ونهاية خط  S/S]]+TABL12345[[#This Row],[الفرق بين بداية ونهاية خط  T/B]]</f>
        <v>0</v>
      </c>
      <c r="T351" s="9">
        <f t="shared" si="20"/>
        <v>0</v>
      </c>
      <c r="U351" s="44"/>
      <c r="V351" s="44"/>
      <c r="W351" s="9">
        <f t="shared" si="21"/>
        <v>0</v>
      </c>
      <c r="X351" s="9">
        <f t="shared" si="22"/>
        <v>0</v>
      </c>
      <c r="Y351" s="44"/>
      <c r="Z351" s="45"/>
      <c r="AA351" s="3">
        <f>TABL12345[[#This Row],[(RESV. STORGE) AJD]]/10</f>
        <v>0</v>
      </c>
      <c r="AB351" s="45">
        <f t="shared" si="23"/>
        <v>0</v>
      </c>
      <c r="AC351" s="5"/>
      <c r="AD351" s="40">
        <f>(TABL12345[[#This Row],[( S/S+T/B) AJD]]*1000)-((TABL12345[[#This Row],[(STORGE DIFF.) AJD]]*1000)+TABL12345[[#This Row],[البخر  AJD]]+(TABL12345[[#This Row],[(A/B + A/S) AJD]]*1000))</f>
        <v>0</v>
      </c>
      <c r="AE351" s="44"/>
      <c r="AF351" s="45"/>
      <c r="AG351" s="45"/>
      <c r="AH351" s="6">
        <f>TABL12345[[#This Row],[ (RESV. STORGE) BER]]/10</f>
        <v>0</v>
      </c>
      <c r="AI351" s="44"/>
      <c r="AJ351" s="45">
        <f>TABL12345[[#This Row],[(A/B TOT) AJD]]-TABL12345[[#This Row],[BER_ IN]]</f>
        <v>0</v>
      </c>
      <c r="AK351" s="45"/>
      <c r="AL351" s="45"/>
      <c r="AM351" s="32"/>
      <c r="AN351" s="32">
        <f>TABL12345[[#This Row],[ (RESV. STORGE) SER]]/10</f>
        <v>0</v>
      </c>
      <c r="AO351" s="68"/>
      <c r="AP351" s="68">
        <f>TABL12345[[#This Row],[(A/S TOT) AJD]]-TABL12345[[#This Row],[SER_ IN]]</f>
        <v>0</v>
      </c>
    </row>
    <row r="352" spans="1:42" ht="18.75" x14ac:dyDescent="0.25">
      <c r="A352" s="2">
        <v>47103</v>
      </c>
      <c r="B352" s="41"/>
      <c r="C352" s="41"/>
      <c r="D352" s="41"/>
      <c r="E352" s="41"/>
      <c r="F352" s="41"/>
      <c r="G352" s="39"/>
      <c r="H352" s="41"/>
      <c r="I352" s="39"/>
      <c r="J352" s="39"/>
      <c r="K352" s="28">
        <f>TABL12345[[#This Row],[خط (T/B  TOT) SAR]]+TABL12345[[#This Row],[خط (S/S  TOT) SAR2]]</f>
        <v>0</v>
      </c>
      <c r="L352" s="41"/>
      <c r="M352" s="42"/>
      <c r="N352" s="42"/>
      <c r="O352" s="39"/>
      <c r="P352" s="9">
        <f>TABL12345[[#This Row],[خط (S/S  TOT) SAR2]]-TABL12345[[#This Row],[(S/S TOT) AJD]]</f>
        <v>0</v>
      </c>
      <c r="Q352" s="39"/>
      <c r="R352" s="9">
        <f>TABL12345[[#This Row],[خط (T/B  TOT) SAR]]-TABL12345[[#This Row],[(T/B TOT) AJD]]</f>
        <v>0</v>
      </c>
      <c r="S352" s="9">
        <f>TABL12345[[#This Row],[الفرق بين بداية ونهاية خط  S/S]]+TABL12345[[#This Row],[الفرق بين بداية ونهاية خط  T/B]]</f>
        <v>0</v>
      </c>
      <c r="T352" s="9">
        <f t="shared" si="20"/>
        <v>0</v>
      </c>
      <c r="U352" s="41"/>
      <c r="V352" s="41"/>
      <c r="W352" s="9">
        <f t="shared" si="21"/>
        <v>0</v>
      </c>
      <c r="X352" s="9">
        <f t="shared" si="22"/>
        <v>0</v>
      </c>
      <c r="Y352" s="41"/>
      <c r="Z352" s="43"/>
      <c r="AA352" s="3">
        <f>TABL12345[[#This Row],[(RESV. STORGE) AJD]]/10</f>
        <v>0</v>
      </c>
      <c r="AB352" s="45">
        <f t="shared" si="23"/>
        <v>0</v>
      </c>
      <c r="AC352" s="5"/>
      <c r="AD352" s="39">
        <f>(TABL12345[[#This Row],[( S/S+T/B) AJD]]*1000)-((TABL12345[[#This Row],[(STORGE DIFF.) AJD]]*1000)+TABL12345[[#This Row],[البخر  AJD]]+(TABL12345[[#This Row],[(A/B + A/S) AJD]]*1000))</f>
        <v>0</v>
      </c>
      <c r="AE352" s="41"/>
      <c r="AF352" s="43"/>
      <c r="AG352" s="43"/>
      <c r="AH352" s="6">
        <f>TABL12345[[#This Row],[ (RESV. STORGE) BER]]/10</f>
        <v>0</v>
      </c>
      <c r="AI352" s="41"/>
      <c r="AJ352" s="43">
        <f>TABL12345[[#This Row],[(A/B TOT) AJD]]-TABL12345[[#This Row],[BER_ IN]]</f>
        <v>0</v>
      </c>
      <c r="AK352" s="43"/>
      <c r="AL352" s="43"/>
      <c r="AM352" s="32"/>
      <c r="AN352" s="32">
        <f>TABL12345[[#This Row],[ (RESV. STORGE) SER]]/10</f>
        <v>0</v>
      </c>
      <c r="AO352" s="68"/>
      <c r="AP352" s="68">
        <f>TABL12345[[#This Row],[(A/S TOT) AJD]]-TABL12345[[#This Row],[SER_ IN]]</f>
        <v>0</v>
      </c>
    </row>
    <row r="353" spans="1:42" ht="18.75" x14ac:dyDescent="0.25">
      <c r="A353" s="2">
        <v>47104</v>
      </c>
      <c r="B353" s="44"/>
      <c r="C353" s="44"/>
      <c r="D353" s="44"/>
      <c r="E353" s="44"/>
      <c r="F353" s="44"/>
      <c r="G353" s="40"/>
      <c r="H353" s="44"/>
      <c r="I353" s="40"/>
      <c r="J353" s="44"/>
      <c r="K353" s="28">
        <f>TABL12345[[#This Row],[خط (T/B  TOT) SAR]]+TABL12345[[#This Row],[خط (S/S  TOT) SAR2]]</f>
        <v>0</v>
      </c>
      <c r="L353" s="45"/>
      <c r="M353" s="46"/>
      <c r="N353" s="46"/>
      <c r="O353" s="40"/>
      <c r="P353" s="9">
        <f>TABL12345[[#This Row],[خط (S/S  TOT) SAR2]]-TABL12345[[#This Row],[(S/S TOT) AJD]]</f>
        <v>0</v>
      </c>
      <c r="Q353" s="40"/>
      <c r="R353" s="9">
        <f>TABL12345[[#This Row],[خط (T/B  TOT) SAR]]-TABL12345[[#This Row],[(T/B TOT) AJD]]</f>
        <v>0</v>
      </c>
      <c r="S353" s="9">
        <f>TABL12345[[#This Row],[الفرق بين بداية ونهاية خط  S/S]]+TABL12345[[#This Row],[الفرق بين بداية ونهاية خط  T/B]]</f>
        <v>0</v>
      </c>
      <c r="T353" s="9">
        <f t="shared" si="20"/>
        <v>0</v>
      </c>
      <c r="U353" s="44"/>
      <c r="V353" s="44"/>
      <c r="W353" s="9">
        <f t="shared" si="21"/>
        <v>0</v>
      </c>
      <c r="X353" s="9">
        <f t="shared" si="22"/>
        <v>0</v>
      </c>
      <c r="Y353" s="44"/>
      <c r="Z353" s="45"/>
      <c r="AA353" s="3">
        <f>TABL12345[[#This Row],[(RESV. STORGE) AJD]]/10</f>
        <v>0</v>
      </c>
      <c r="AB353" s="45">
        <f t="shared" si="23"/>
        <v>0</v>
      </c>
      <c r="AC353" s="5"/>
      <c r="AD353" s="40">
        <f>(TABL12345[[#This Row],[( S/S+T/B) AJD]]*1000)-((TABL12345[[#This Row],[(STORGE DIFF.) AJD]]*1000)+TABL12345[[#This Row],[البخر  AJD]]+(TABL12345[[#This Row],[(A/B + A/S) AJD]]*1000))</f>
        <v>0</v>
      </c>
      <c r="AE353" s="44"/>
      <c r="AF353" s="45"/>
      <c r="AG353" s="45"/>
      <c r="AH353" s="6">
        <f>TABL12345[[#This Row],[ (RESV. STORGE) BER]]/10</f>
        <v>0</v>
      </c>
      <c r="AI353" s="44"/>
      <c r="AJ353" s="45">
        <f>TABL12345[[#This Row],[(A/B TOT) AJD]]-TABL12345[[#This Row],[BER_ IN]]</f>
        <v>0</v>
      </c>
      <c r="AK353" s="45"/>
      <c r="AL353" s="45"/>
      <c r="AM353" s="32"/>
      <c r="AN353" s="32">
        <f>TABL12345[[#This Row],[ (RESV. STORGE) SER]]/10</f>
        <v>0</v>
      </c>
      <c r="AO353" s="68"/>
      <c r="AP353" s="68">
        <f>TABL12345[[#This Row],[(A/S TOT) AJD]]-TABL12345[[#This Row],[SER_ IN]]</f>
        <v>0</v>
      </c>
    </row>
    <row r="354" spans="1:42" ht="18.75" x14ac:dyDescent="0.25">
      <c r="A354" s="2">
        <v>47105</v>
      </c>
      <c r="B354" s="41"/>
      <c r="C354" s="41"/>
      <c r="D354" s="41"/>
      <c r="E354" s="41"/>
      <c r="F354" s="41"/>
      <c r="G354" s="39"/>
      <c r="H354" s="41"/>
      <c r="I354" s="39"/>
      <c r="J354" s="39"/>
      <c r="K354" s="28">
        <f>TABL12345[[#This Row],[خط (T/B  TOT) SAR]]+TABL12345[[#This Row],[خط (S/S  TOT) SAR2]]</f>
        <v>0</v>
      </c>
      <c r="L354" s="41"/>
      <c r="M354" s="42"/>
      <c r="N354" s="42"/>
      <c r="O354" s="39"/>
      <c r="P354" s="9">
        <f>TABL12345[[#This Row],[خط (S/S  TOT) SAR2]]-TABL12345[[#This Row],[(S/S TOT) AJD]]</f>
        <v>0</v>
      </c>
      <c r="Q354" s="39"/>
      <c r="R354" s="9">
        <f>TABL12345[[#This Row],[خط (T/B  TOT) SAR]]-TABL12345[[#This Row],[(T/B TOT) AJD]]</f>
        <v>0</v>
      </c>
      <c r="S354" s="9">
        <f>TABL12345[[#This Row],[الفرق بين بداية ونهاية خط  S/S]]+TABL12345[[#This Row],[الفرق بين بداية ونهاية خط  T/B]]</f>
        <v>0</v>
      </c>
      <c r="T354" s="9">
        <f t="shared" si="20"/>
        <v>0</v>
      </c>
      <c r="U354" s="41"/>
      <c r="V354" s="41"/>
      <c r="W354" s="9">
        <f t="shared" si="21"/>
        <v>0</v>
      </c>
      <c r="X354" s="9">
        <f t="shared" si="22"/>
        <v>0</v>
      </c>
      <c r="Y354" s="41"/>
      <c r="Z354" s="43"/>
      <c r="AA354" s="3">
        <f>TABL12345[[#This Row],[(RESV. STORGE) AJD]]/10</f>
        <v>0</v>
      </c>
      <c r="AB354" s="45">
        <f t="shared" si="23"/>
        <v>0</v>
      </c>
      <c r="AC354" s="5"/>
      <c r="AD354" s="39">
        <f>(TABL12345[[#This Row],[( S/S+T/B) AJD]]*1000)-((TABL12345[[#This Row],[(STORGE DIFF.) AJD]]*1000)+TABL12345[[#This Row],[البخر  AJD]]+(TABL12345[[#This Row],[(A/B + A/S) AJD]]*1000))</f>
        <v>0</v>
      </c>
      <c r="AE354" s="41"/>
      <c r="AF354" s="43"/>
      <c r="AG354" s="43"/>
      <c r="AH354" s="6">
        <f>TABL12345[[#This Row],[ (RESV. STORGE) BER]]/10</f>
        <v>0</v>
      </c>
      <c r="AI354" s="41"/>
      <c r="AJ354" s="43">
        <f>TABL12345[[#This Row],[(A/B TOT) AJD]]-TABL12345[[#This Row],[BER_ IN]]</f>
        <v>0</v>
      </c>
      <c r="AK354" s="43"/>
      <c r="AL354" s="43"/>
      <c r="AM354" s="32"/>
      <c r="AN354" s="32">
        <f>TABL12345[[#This Row],[ (RESV. STORGE) SER]]/10</f>
        <v>0</v>
      </c>
      <c r="AO354" s="68"/>
      <c r="AP354" s="68">
        <f>TABL12345[[#This Row],[(A/S TOT) AJD]]-TABL12345[[#This Row],[SER_ IN]]</f>
        <v>0</v>
      </c>
    </row>
    <row r="355" spans="1:42" ht="18.75" x14ac:dyDescent="0.25">
      <c r="A355" s="2">
        <v>47106</v>
      </c>
      <c r="B355" s="44"/>
      <c r="C355" s="44"/>
      <c r="D355" s="44"/>
      <c r="E355" s="44"/>
      <c r="F355" s="44"/>
      <c r="G355" s="40"/>
      <c r="H355" s="44"/>
      <c r="I355" s="40"/>
      <c r="J355" s="44"/>
      <c r="K355" s="28">
        <f>TABL12345[[#This Row],[خط (T/B  TOT) SAR]]+TABL12345[[#This Row],[خط (S/S  TOT) SAR2]]</f>
        <v>0</v>
      </c>
      <c r="L355" s="45"/>
      <c r="M355" s="46"/>
      <c r="N355" s="46"/>
      <c r="O355" s="40"/>
      <c r="P355" s="9">
        <f>TABL12345[[#This Row],[خط (S/S  TOT) SAR2]]-TABL12345[[#This Row],[(S/S TOT) AJD]]</f>
        <v>0</v>
      </c>
      <c r="Q355" s="40"/>
      <c r="R355" s="9">
        <f>TABL12345[[#This Row],[خط (T/B  TOT) SAR]]-TABL12345[[#This Row],[(T/B TOT) AJD]]</f>
        <v>0</v>
      </c>
      <c r="S355" s="9">
        <f>TABL12345[[#This Row],[الفرق بين بداية ونهاية خط  S/S]]+TABL12345[[#This Row],[الفرق بين بداية ونهاية خط  T/B]]</f>
        <v>0</v>
      </c>
      <c r="T355" s="9">
        <f t="shared" si="20"/>
        <v>0</v>
      </c>
      <c r="U355" s="44"/>
      <c r="V355" s="44"/>
      <c r="W355" s="9">
        <f t="shared" si="21"/>
        <v>0</v>
      </c>
      <c r="X355" s="9">
        <f t="shared" si="22"/>
        <v>0</v>
      </c>
      <c r="Y355" s="44"/>
      <c r="Z355" s="45"/>
      <c r="AA355" s="3">
        <f>TABL12345[[#This Row],[(RESV. STORGE) AJD]]/10</f>
        <v>0</v>
      </c>
      <c r="AB355" s="45">
        <f t="shared" si="23"/>
        <v>0</v>
      </c>
      <c r="AC355" s="5"/>
      <c r="AD355" s="40">
        <f>(TABL12345[[#This Row],[( S/S+T/B) AJD]]*1000)-((TABL12345[[#This Row],[(STORGE DIFF.) AJD]]*1000)+TABL12345[[#This Row],[البخر  AJD]]+(TABL12345[[#This Row],[(A/B + A/S) AJD]]*1000))</f>
        <v>0</v>
      </c>
      <c r="AE355" s="44"/>
      <c r="AF355" s="45"/>
      <c r="AG355" s="45"/>
      <c r="AH355" s="6">
        <f>TABL12345[[#This Row],[ (RESV. STORGE) BER]]/10</f>
        <v>0</v>
      </c>
      <c r="AI355" s="44"/>
      <c r="AJ355" s="45">
        <f>TABL12345[[#This Row],[(A/B TOT) AJD]]-TABL12345[[#This Row],[BER_ IN]]</f>
        <v>0</v>
      </c>
      <c r="AK355" s="45"/>
      <c r="AL355" s="45"/>
      <c r="AM355" s="32"/>
      <c r="AN355" s="32">
        <f>TABL12345[[#This Row],[ (RESV. STORGE) SER]]/10</f>
        <v>0</v>
      </c>
      <c r="AO355" s="68"/>
      <c r="AP355" s="68">
        <f>TABL12345[[#This Row],[(A/S TOT) AJD]]-TABL12345[[#This Row],[SER_ IN]]</f>
        <v>0</v>
      </c>
    </row>
    <row r="356" spans="1:42" ht="18.75" x14ac:dyDescent="0.25">
      <c r="A356" s="2">
        <v>47107</v>
      </c>
      <c r="B356" s="41"/>
      <c r="C356" s="41"/>
      <c r="D356" s="41"/>
      <c r="E356" s="41"/>
      <c r="F356" s="41"/>
      <c r="G356" s="39"/>
      <c r="H356" s="41"/>
      <c r="I356" s="39"/>
      <c r="J356" s="39"/>
      <c r="K356" s="28">
        <f>TABL12345[[#This Row],[خط (T/B  TOT) SAR]]+TABL12345[[#This Row],[خط (S/S  TOT) SAR2]]</f>
        <v>0</v>
      </c>
      <c r="L356" s="41"/>
      <c r="M356" s="42"/>
      <c r="N356" s="42"/>
      <c r="O356" s="39"/>
      <c r="P356" s="9">
        <f>TABL12345[[#This Row],[خط (S/S  TOT) SAR2]]-TABL12345[[#This Row],[(S/S TOT) AJD]]</f>
        <v>0</v>
      </c>
      <c r="Q356" s="39"/>
      <c r="R356" s="9">
        <f>TABL12345[[#This Row],[خط (T/B  TOT) SAR]]-TABL12345[[#This Row],[(T/B TOT) AJD]]</f>
        <v>0</v>
      </c>
      <c r="S356" s="9">
        <f>TABL12345[[#This Row],[الفرق بين بداية ونهاية خط  S/S]]+TABL12345[[#This Row],[الفرق بين بداية ونهاية خط  T/B]]</f>
        <v>0</v>
      </c>
      <c r="T356" s="9">
        <f t="shared" si="20"/>
        <v>0</v>
      </c>
      <c r="U356" s="41"/>
      <c r="V356" s="41"/>
      <c r="W356" s="9">
        <f t="shared" si="21"/>
        <v>0</v>
      </c>
      <c r="X356" s="9">
        <f t="shared" si="22"/>
        <v>0</v>
      </c>
      <c r="Y356" s="41"/>
      <c r="Z356" s="43"/>
      <c r="AA356" s="3">
        <f>TABL12345[[#This Row],[(RESV. STORGE) AJD]]/10</f>
        <v>0</v>
      </c>
      <c r="AB356" s="45">
        <f t="shared" si="23"/>
        <v>0</v>
      </c>
      <c r="AC356" s="5"/>
      <c r="AD356" s="39">
        <f>(TABL12345[[#This Row],[( S/S+T/B) AJD]]*1000)-((TABL12345[[#This Row],[(STORGE DIFF.) AJD]]*1000)+TABL12345[[#This Row],[البخر  AJD]]+(TABL12345[[#This Row],[(A/B + A/S) AJD]]*1000))</f>
        <v>0</v>
      </c>
      <c r="AE356" s="41"/>
      <c r="AF356" s="43"/>
      <c r="AG356" s="43"/>
      <c r="AH356" s="6">
        <f>TABL12345[[#This Row],[ (RESV. STORGE) BER]]/10</f>
        <v>0</v>
      </c>
      <c r="AI356" s="41"/>
      <c r="AJ356" s="43">
        <f>TABL12345[[#This Row],[(A/B TOT) AJD]]-TABL12345[[#This Row],[BER_ IN]]</f>
        <v>0</v>
      </c>
      <c r="AK356" s="43"/>
      <c r="AL356" s="43"/>
      <c r="AM356" s="32"/>
      <c r="AN356" s="32">
        <f>TABL12345[[#This Row],[ (RESV. STORGE) SER]]/10</f>
        <v>0</v>
      </c>
      <c r="AO356" s="68"/>
      <c r="AP356" s="68">
        <f>TABL12345[[#This Row],[(A/S TOT) AJD]]-TABL12345[[#This Row],[SER_ IN]]</f>
        <v>0</v>
      </c>
    </row>
    <row r="357" spans="1:42" ht="18.75" x14ac:dyDescent="0.25">
      <c r="A357" s="2">
        <v>47108</v>
      </c>
      <c r="B357" s="44"/>
      <c r="C357" s="44"/>
      <c r="D357" s="44"/>
      <c r="E357" s="44"/>
      <c r="F357" s="44"/>
      <c r="G357" s="40"/>
      <c r="H357" s="44"/>
      <c r="I357" s="40"/>
      <c r="J357" s="44"/>
      <c r="K357" s="28">
        <f>TABL12345[[#This Row],[خط (T/B  TOT) SAR]]+TABL12345[[#This Row],[خط (S/S  TOT) SAR2]]</f>
        <v>0</v>
      </c>
      <c r="L357" s="45"/>
      <c r="M357" s="46"/>
      <c r="N357" s="46"/>
      <c r="O357" s="40"/>
      <c r="P357" s="9">
        <f>TABL12345[[#This Row],[خط (S/S  TOT) SAR2]]-TABL12345[[#This Row],[(S/S TOT) AJD]]</f>
        <v>0</v>
      </c>
      <c r="Q357" s="40"/>
      <c r="R357" s="9">
        <f>TABL12345[[#This Row],[خط (T/B  TOT) SAR]]-TABL12345[[#This Row],[(T/B TOT) AJD]]</f>
        <v>0</v>
      </c>
      <c r="S357" s="9">
        <f>TABL12345[[#This Row],[الفرق بين بداية ونهاية خط  S/S]]+TABL12345[[#This Row],[الفرق بين بداية ونهاية خط  T/B]]</f>
        <v>0</v>
      </c>
      <c r="T357" s="9">
        <f t="shared" si="20"/>
        <v>0</v>
      </c>
      <c r="U357" s="44"/>
      <c r="V357" s="44"/>
      <c r="W357" s="9">
        <f t="shared" si="21"/>
        <v>0</v>
      </c>
      <c r="X357" s="9">
        <f t="shared" si="22"/>
        <v>0</v>
      </c>
      <c r="Y357" s="44"/>
      <c r="Z357" s="45"/>
      <c r="AA357" s="3">
        <f>TABL12345[[#This Row],[(RESV. STORGE) AJD]]/10</f>
        <v>0</v>
      </c>
      <c r="AB357" s="45">
        <f t="shared" si="23"/>
        <v>0</v>
      </c>
      <c r="AC357" s="5"/>
      <c r="AD357" s="40">
        <f>(TABL12345[[#This Row],[( S/S+T/B) AJD]]*1000)-((TABL12345[[#This Row],[(STORGE DIFF.) AJD]]*1000)+TABL12345[[#This Row],[البخر  AJD]]+(TABL12345[[#This Row],[(A/B + A/S) AJD]]*1000))</f>
        <v>0</v>
      </c>
      <c r="AE357" s="44"/>
      <c r="AF357" s="45"/>
      <c r="AG357" s="45"/>
      <c r="AH357" s="6">
        <f>TABL12345[[#This Row],[ (RESV. STORGE) BER]]/10</f>
        <v>0</v>
      </c>
      <c r="AI357" s="44"/>
      <c r="AJ357" s="45">
        <f>TABL12345[[#This Row],[(A/B TOT) AJD]]-TABL12345[[#This Row],[BER_ IN]]</f>
        <v>0</v>
      </c>
      <c r="AK357" s="45"/>
      <c r="AL357" s="45"/>
      <c r="AM357" s="32"/>
      <c r="AN357" s="32">
        <f>TABL12345[[#This Row],[ (RESV. STORGE) SER]]/10</f>
        <v>0</v>
      </c>
      <c r="AO357" s="68"/>
      <c r="AP357" s="68">
        <f>TABL12345[[#This Row],[(A/S TOT) AJD]]-TABL12345[[#This Row],[SER_ IN]]</f>
        <v>0</v>
      </c>
    </row>
    <row r="358" spans="1:42" ht="18.75" x14ac:dyDescent="0.25">
      <c r="A358" s="2">
        <v>47109</v>
      </c>
      <c r="B358" s="41"/>
      <c r="C358" s="41"/>
      <c r="D358" s="41"/>
      <c r="E358" s="41"/>
      <c r="F358" s="41"/>
      <c r="G358" s="39"/>
      <c r="H358" s="41"/>
      <c r="I358" s="39"/>
      <c r="J358" s="39"/>
      <c r="K358" s="28">
        <f>TABL12345[[#This Row],[خط (T/B  TOT) SAR]]+TABL12345[[#This Row],[خط (S/S  TOT) SAR2]]</f>
        <v>0</v>
      </c>
      <c r="L358" s="41"/>
      <c r="M358" s="42"/>
      <c r="N358" s="42"/>
      <c r="O358" s="39"/>
      <c r="P358" s="9">
        <f>TABL12345[[#This Row],[خط (S/S  TOT) SAR2]]-TABL12345[[#This Row],[(S/S TOT) AJD]]</f>
        <v>0</v>
      </c>
      <c r="Q358" s="39"/>
      <c r="R358" s="9">
        <f>TABL12345[[#This Row],[خط (T/B  TOT) SAR]]-TABL12345[[#This Row],[(T/B TOT) AJD]]</f>
        <v>0</v>
      </c>
      <c r="S358" s="9">
        <f>TABL12345[[#This Row],[الفرق بين بداية ونهاية خط  S/S]]+TABL12345[[#This Row],[الفرق بين بداية ونهاية خط  T/B]]</f>
        <v>0</v>
      </c>
      <c r="T358" s="9">
        <f t="shared" si="20"/>
        <v>0</v>
      </c>
      <c r="U358" s="41"/>
      <c r="V358" s="41"/>
      <c r="W358" s="9">
        <f t="shared" si="21"/>
        <v>0</v>
      </c>
      <c r="X358" s="9">
        <f t="shared" si="22"/>
        <v>0</v>
      </c>
      <c r="Y358" s="41"/>
      <c r="Z358" s="43"/>
      <c r="AA358" s="3">
        <f>TABL12345[[#This Row],[(RESV. STORGE) AJD]]/10</f>
        <v>0</v>
      </c>
      <c r="AB358" s="45">
        <f t="shared" si="23"/>
        <v>0</v>
      </c>
      <c r="AC358" s="5"/>
      <c r="AD358" s="39">
        <f>(TABL12345[[#This Row],[( S/S+T/B) AJD]]*1000)-((TABL12345[[#This Row],[(STORGE DIFF.) AJD]]*1000)+TABL12345[[#This Row],[البخر  AJD]]+(TABL12345[[#This Row],[(A/B + A/S) AJD]]*1000))</f>
        <v>0</v>
      </c>
      <c r="AE358" s="41"/>
      <c r="AF358" s="43"/>
      <c r="AG358" s="43"/>
      <c r="AH358" s="6">
        <f>TABL12345[[#This Row],[ (RESV. STORGE) BER]]/10</f>
        <v>0</v>
      </c>
      <c r="AI358" s="41"/>
      <c r="AJ358" s="43">
        <f>TABL12345[[#This Row],[(A/B TOT) AJD]]-TABL12345[[#This Row],[BER_ IN]]</f>
        <v>0</v>
      </c>
      <c r="AK358" s="43"/>
      <c r="AL358" s="43"/>
      <c r="AM358" s="32"/>
      <c r="AN358" s="32">
        <f>TABL12345[[#This Row],[ (RESV. STORGE) SER]]/10</f>
        <v>0</v>
      </c>
      <c r="AO358" s="68"/>
      <c r="AP358" s="68">
        <f>TABL12345[[#This Row],[(A/S TOT) AJD]]-TABL12345[[#This Row],[SER_ IN]]</f>
        <v>0</v>
      </c>
    </row>
    <row r="359" spans="1:42" ht="18.75" x14ac:dyDescent="0.25">
      <c r="A359" s="2">
        <v>47110</v>
      </c>
      <c r="B359" s="44"/>
      <c r="C359" s="44"/>
      <c r="D359" s="44"/>
      <c r="E359" s="44"/>
      <c r="F359" s="44"/>
      <c r="G359" s="40"/>
      <c r="H359" s="44"/>
      <c r="I359" s="40"/>
      <c r="J359" s="44"/>
      <c r="K359" s="28">
        <f>TABL12345[[#This Row],[خط (T/B  TOT) SAR]]+TABL12345[[#This Row],[خط (S/S  TOT) SAR2]]</f>
        <v>0</v>
      </c>
      <c r="L359" s="45"/>
      <c r="M359" s="46"/>
      <c r="N359" s="46"/>
      <c r="O359" s="40"/>
      <c r="P359" s="9">
        <f>TABL12345[[#This Row],[خط (S/S  TOT) SAR2]]-TABL12345[[#This Row],[(S/S TOT) AJD]]</f>
        <v>0</v>
      </c>
      <c r="Q359" s="40"/>
      <c r="R359" s="9">
        <f>TABL12345[[#This Row],[خط (T/B  TOT) SAR]]-TABL12345[[#This Row],[(T/B TOT) AJD]]</f>
        <v>0</v>
      </c>
      <c r="S359" s="9">
        <f>TABL12345[[#This Row],[الفرق بين بداية ونهاية خط  S/S]]+TABL12345[[#This Row],[الفرق بين بداية ونهاية خط  T/B]]</f>
        <v>0</v>
      </c>
      <c r="T359" s="9">
        <f t="shared" si="20"/>
        <v>0</v>
      </c>
      <c r="U359" s="44"/>
      <c r="V359" s="44"/>
      <c r="W359" s="9">
        <f t="shared" si="21"/>
        <v>0</v>
      </c>
      <c r="X359" s="9">
        <f t="shared" si="22"/>
        <v>0</v>
      </c>
      <c r="Y359" s="44"/>
      <c r="Z359" s="45"/>
      <c r="AA359" s="3">
        <f>TABL12345[[#This Row],[(RESV. STORGE) AJD]]/10</f>
        <v>0</v>
      </c>
      <c r="AB359" s="45">
        <f t="shared" si="23"/>
        <v>0</v>
      </c>
      <c r="AC359" s="5"/>
      <c r="AD359" s="40">
        <f>(TABL12345[[#This Row],[( S/S+T/B) AJD]]*1000)-((TABL12345[[#This Row],[(STORGE DIFF.) AJD]]*1000)+TABL12345[[#This Row],[البخر  AJD]]+(TABL12345[[#This Row],[(A/B + A/S) AJD]]*1000))</f>
        <v>0</v>
      </c>
      <c r="AE359" s="44"/>
      <c r="AF359" s="45"/>
      <c r="AG359" s="45"/>
      <c r="AH359" s="6">
        <f>TABL12345[[#This Row],[ (RESV. STORGE) BER]]/10</f>
        <v>0</v>
      </c>
      <c r="AI359" s="44"/>
      <c r="AJ359" s="45">
        <f>TABL12345[[#This Row],[(A/B TOT) AJD]]-TABL12345[[#This Row],[BER_ IN]]</f>
        <v>0</v>
      </c>
      <c r="AK359" s="45"/>
      <c r="AL359" s="45"/>
      <c r="AM359" s="32"/>
      <c r="AN359" s="32">
        <f>TABL12345[[#This Row],[ (RESV. STORGE) SER]]/10</f>
        <v>0</v>
      </c>
      <c r="AO359" s="68"/>
      <c r="AP359" s="68">
        <f>TABL12345[[#This Row],[(A/S TOT) AJD]]-TABL12345[[#This Row],[SER_ IN]]</f>
        <v>0</v>
      </c>
    </row>
    <row r="360" spans="1:42" ht="18.75" x14ac:dyDescent="0.25">
      <c r="A360" s="2">
        <v>47111</v>
      </c>
      <c r="B360" s="41"/>
      <c r="C360" s="41"/>
      <c r="D360" s="41"/>
      <c r="E360" s="41"/>
      <c r="F360" s="41"/>
      <c r="G360" s="39"/>
      <c r="H360" s="41"/>
      <c r="I360" s="39"/>
      <c r="J360" s="39"/>
      <c r="K360" s="28">
        <f>TABL12345[[#This Row],[خط (T/B  TOT) SAR]]+TABL12345[[#This Row],[خط (S/S  TOT) SAR2]]</f>
        <v>0</v>
      </c>
      <c r="L360" s="41"/>
      <c r="M360" s="42"/>
      <c r="N360" s="42"/>
      <c r="O360" s="39"/>
      <c r="P360" s="9">
        <f>TABL12345[[#This Row],[خط (S/S  TOT) SAR2]]-TABL12345[[#This Row],[(S/S TOT) AJD]]</f>
        <v>0</v>
      </c>
      <c r="Q360" s="39"/>
      <c r="R360" s="9">
        <f>TABL12345[[#This Row],[خط (T/B  TOT) SAR]]-TABL12345[[#This Row],[(T/B TOT) AJD]]</f>
        <v>0</v>
      </c>
      <c r="S360" s="9">
        <f>TABL12345[[#This Row],[الفرق بين بداية ونهاية خط  S/S]]+TABL12345[[#This Row],[الفرق بين بداية ونهاية خط  T/B]]</f>
        <v>0</v>
      </c>
      <c r="T360" s="9">
        <f t="shared" si="20"/>
        <v>0</v>
      </c>
      <c r="U360" s="41"/>
      <c r="V360" s="41"/>
      <c r="W360" s="9">
        <f t="shared" si="21"/>
        <v>0</v>
      </c>
      <c r="X360" s="9">
        <f t="shared" si="22"/>
        <v>0</v>
      </c>
      <c r="Y360" s="41"/>
      <c r="Z360" s="43"/>
      <c r="AA360" s="3">
        <f>TABL12345[[#This Row],[(RESV. STORGE) AJD]]/10</f>
        <v>0</v>
      </c>
      <c r="AB360" s="45">
        <f t="shared" si="23"/>
        <v>0</v>
      </c>
      <c r="AC360" s="5"/>
      <c r="AD360" s="39">
        <f>(TABL12345[[#This Row],[( S/S+T/B) AJD]]*1000)-((TABL12345[[#This Row],[(STORGE DIFF.) AJD]]*1000)+TABL12345[[#This Row],[البخر  AJD]]+(TABL12345[[#This Row],[(A/B + A/S) AJD]]*1000))</f>
        <v>0</v>
      </c>
      <c r="AE360" s="41"/>
      <c r="AF360" s="43"/>
      <c r="AG360" s="43"/>
      <c r="AH360" s="6">
        <f>TABL12345[[#This Row],[ (RESV. STORGE) BER]]/10</f>
        <v>0</v>
      </c>
      <c r="AI360" s="41"/>
      <c r="AJ360" s="43">
        <f>TABL12345[[#This Row],[(A/B TOT) AJD]]-TABL12345[[#This Row],[BER_ IN]]</f>
        <v>0</v>
      </c>
      <c r="AK360" s="43"/>
      <c r="AL360" s="43"/>
      <c r="AM360" s="32"/>
      <c r="AN360" s="32">
        <f>TABL12345[[#This Row],[ (RESV. STORGE) SER]]/10</f>
        <v>0</v>
      </c>
      <c r="AO360" s="68"/>
      <c r="AP360" s="68">
        <f>TABL12345[[#This Row],[(A/S TOT) AJD]]-TABL12345[[#This Row],[SER_ IN]]</f>
        <v>0</v>
      </c>
    </row>
    <row r="361" spans="1:42" ht="18.75" x14ac:dyDescent="0.25">
      <c r="A361" s="2">
        <v>47112</v>
      </c>
      <c r="B361" s="44"/>
      <c r="C361" s="44"/>
      <c r="D361" s="44"/>
      <c r="E361" s="44"/>
      <c r="F361" s="44"/>
      <c r="G361" s="40"/>
      <c r="H361" s="44"/>
      <c r="I361" s="40"/>
      <c r="J361" s="44"/>
      <c r="K361" s="28">
        <f>TABL12345[[#This Row],[خط (T/B  TOT) SAR]]+TABL12345[[#This Row],[خط (S/S  TOT) SAR2]]</f>
        <v>0</v>
      </c>
      <c r="L361" s="45"/>
      <c r="M361" s="46"/>
      <c r="N361" s="46"/>
      <c r="O361" s="40"/>
      <c r="P361" s="9">
        <f>TABL12345[[#This Row],[خط (S/S  TOT) SAR2]]-TABL12345[[#This Row],[(S/S TOT) AJD]]</f>
        <v>0</v>
      </c>
      <c r="Q361" s="40"/>
      <c r="R361" s="9">
        <f>TABL12345[[#This Row],[خط (T/B  TOT) SAR]]-TABL12345[[#This Row],[(T/B TOT) AJD]]</f>
        <v>0</v>
      </c>
      <c r="S361" s="9">
        <f>TABL12345[[#This Row],[الفرق بين بداية ونهاية خط  S/S]]+TABL12345[[#This Row],[الفرق بين بداية ونهاية خط  T/B]]</f>
        <v>0</v>
      </c>
      <c r="T361" s="9">
        <f t="shared" si="20"/>
        <v>0</v>
      </c>
      <c r="U361" s="44"/>
      <c r="V361" s="44"/>
      <c r="W361" s="9">
        <f t="shared" si="21"/>
        <v>0</v>
      </c>
      <c r="X361" s="9">
        <f t="shared" si="22"/>
        <v>0</v>
      </c>
      <c r="Y361" s="44"/>
      <c r="Z361" s="45"/>
      <c r="AA361" s="3">
        <f>TABL12345[[#This Row],[(RESV. STORGE) AJD]]/10</f>
        <v>0</v>
      </c>
      <c r="AB361" s="45">
        <f t="shared" si="23"/>
        <v>0</v>
      </c>
      <c r="AC361" s="5"/>
      <c r="AD361" s="40">
        <f>(TABL12345[[#This Row],[( S/S+T/B) AJD]]*1000)-((TABL12345[[#This Row],[(STORGE DIFF.) AJD]]*1000)+TABL12345[[#This Row],[البخر  AJD]]+(TABL12345[[#This Row],[(A/B + A/S) AJD]]*1000))</f>
        <v>0</v>
      </c>
      <c r="AE361" s="44"/>
      <c r="AF361" s="45"/>
      <c r="AG361" s="45"/>
      <c r="AH361" s="6">
        <f>TABL12345[[#This Row],[ (RESV. STORGE) BER]]/10</f>
        <v>0</v>
      </c>
      <c r="AI361" s="44"/>
      <c r="AJ361" s="45">
        <f>TABL12345[[#This Row],[(A/B TOT) AJD]]-TABL12345[[#This Row],[BER_ IN]]</f>
        <v>0</v>
      </c>
      <c r="AK361" s="45"/>
      <c r="AL361" s="45"/>
      <c r="AM361" s="32"/>
      <c r="AN361" s="32">
        <f>TABL12345[[#This Row],[ (RESV. STORGE) SER]]/10</f>
        <v>0</v>
      </c>
      <c r="AO361" s="68"/>
      <c r="AP361" s="68">
        <f>TABL12345[[#This Row],[(A/S TOT) AJD]]-TABL12345[[#This Row],[SER_ IN]]</f>
        <v>0</v>
      </c>
    </row>
    <row r="362" spans="1:42" ht="18.75" x14ac:dyDescent="0.25">
      <c r="A362" s="2">
        <v>47113</v>
      </c>
      <c r="B362" s="41"/>
      <c r="C362" s="41"/>
      <c r="D362" s="41"/>
      <c r="E362" s="41"/>
      <c r="F362" s="41"/>
      <c r="G362" s="39"/>
      <c r="H362" s="41"/>
      <c r="I362" s="39"/>
      <c r="J362" s="39"/>
      <c r="K362" s="28">
        <f>TABL12345[[#This Row],[خط (T/B  TOT) SAR]]+TABL12345[[#This Row],[خط (S/S  TOT) SAR2]]</f>
        <v>0</v>
      </c>
      <c r="L362" s="41"/>
      <c r="M362" s="42"/>
      <c r="N362" s="42"/>
      <c r="O362" s="39"/>
      <c r="P362" s="9">
        <f>TABL12345[[#This Row],[خط (S/S  TOT) SAR2]]-TABL12345[[#This Row],[(S/S TOT) AJD]]</f>
        <v>0</v>
      </c>
      <c r="Q362" s="39"/>
      <c r="R362" s="9">
        <f>TABL12345[[#This Row],[خط (T/B  TOT) SAR]]-TABL12345[[#This Row],[(T/B TOT) AJD]]</f>
        <v>0</v>
      </c>
      <c r="S362" s="9">
        <f>TABL12345[[#This Row],[الفرق بين بداية ونهاية خط  S/S]]+TABL12345[[#This Row],[الفرق بين بداية ونهاية خط  T/B]]</f>
        <v>0</v>
      </c>
      <c r="T362" s="9">
        <f t="shared" si="20"/>
        <v>0</v>
      </c>
      <c r="U362" s="41"/>
      <c r="V362" s="41"/>
      <c r="W362" s="9">
        <f t="shared" si="21"/>
        <v>0</v>
      </c>
      <c r="X362" s="9">
        <f t="shared" si="22"/>
        <v>0</v>
      </c>
      <c r="Y362" s="41"/>
      <c r="Z362" s="43"/>
      <c r="AA362" s="3">
        <f>TABL12345[[#This Row],[(RESV. STORGE) AJD]]/10</f>
        <v>0</v>
      </c>
      <c r="AB362" s="45">
        <f t="shared" si="23"/>
        <v>0</v>
      </c>
      <c r="AC362" s="5"/>
      <c r="AD362" s="39">
        <f>(TABL12345[[#This Row],[( S/S+T/B) AJD]]*1000)-((TABL12345[[#This Row],[(STORGE DIFF.) AJD]]*1000)+TABL12345[[#This Row],[البخر  AJD]]+(TABL12345[[#This Row],[(A/B + A/S) AJD]]*1000))</f>
        <v>0</v>
      </c>
      <c r="AE362" s="41"/>
      <c r="AF362" s="43"/>
      <c r="AG362" s="43"/>
      <c r="AH362" s="6">
        <f>TABL12345[[#This Row],[ (RESV. STORGE) BER]]/10</f>
        <v>0</v>
      </c>
      <c r="AI362" s="41"/>
      <c r="AJ362" s="43">
        <f>TABL12345[[#This Row],[(A/B TOT) AJD]]-TABL12345[[#This Row],[BER_ IN]]</f>
        <v>0</v>
      </c>
      <c r="AK362" s="43"/>
      <c r="AL362" s="43"/>
      <c r="AM362" s="32"/>
      <c r="AN362" s="32">
        <f>TABL12345[[#This Row],[ (RESV. STORGE) SER]]/10</f>
        <v>0</v>
      </c>
      <c r="AO362" s="68"/>
      <c r="AP362" s="68">
        <f>TABL12345[[#This Row],[(A/S TOT) AJD]]-TABL12345[[#This Row],[SER_ IN]]</f>
        <v>0</v>
      </c>
    </row>
    <row r="363" spans="1:42" ht="18.75" x14ac:dyDescent="0.25">
      <c r="A363" s="2">
        <v>47114</v>
      </c>
      <c r="B363" s="44"/>
      <c r="C363" s="44"/>
      <c r="D363" s="44"/>
      <c r="E363" s="44"/>
      <c r="F363" s="44"/>
      <c r="G363" s="40"/>
      <c r="H363" s="44"/>
      <c r="I363" s="40"/>
      <c r="J363" s="44"/>
      <c r="K363" s="28">
        <f>TABL12345[[#This Row],[خط (T/B  TOT) SAR]]+TABL12345[[#This Row],[خط (S/S  TOT) SAR2]]</f>
        <v>0</v>
      </c>
      <c r="L363" s="45"/>
      <c r="M363" s="46"/>
      <c r="N363" s="46"/>
      <c r="O363" s="40"/>
      <c r="P363" s="9">
        <f>TABL12345[[#This Row],[خط (S/S  TOT) SAR2]]-TABL12345[[#This Row],[(S/S TOT) AJD]]</f>
        <v>0</v>
      </c>
      <c r="Q363" s="40"/>
      <c r="R363" s="9">
        <f>TABL12345[[#This Row],[خط (T/B  TOT) SAR]]-TABL12345[[#This Row],[(T/B TOT) AJD]]</f>
        <v>0</v>
      </c>
      <c r="S363" s="9">
        <f>TABL12345[[#This Row],[الفرق بين بداية ونهاية خط  S/S]]+TABL12345[[#This Row],[الفرق بين بداية ونهاية خط  T/B]]</f>
        <v>0</v>
      </c>
      <c r="T363" s="9">
        <f t="shared" si="20"/>
        <v>0</v>
      </c>
      <c r="U363" s="44"/>
      <c r="V363" s="44"/>
      <c r="W363" s="9">
        <f t="shared" si="21"/>
        <v>0</v>
      </c>
      <c r="X363" s="9">
        <f t="shared" si="22"/>
        <v>0</v>
      </c>
      <c r="Y363" s="44"/>
      <c r="Z363" s="45"/>
      <c r="AA363" s="3">
        <f>TABL12345[[#This Row],[(RESV. STORGE) AJD]]/10</f>
        <v>0</v>
      </c>
      <c r="AB363" s="45">
        <f t="shared" si="23"/>
        <v>0</v>
      </c>
      <c r="AC363" s="5"/>
      <c r="AD363" s="40">
        <f>(TABL12345[[#This Row],[( S/S+T/B) AJD]]*1000)-((TABL12345[[#This Row],[(STORGE DIFF.) AJD]]*1000)+TABL12345[[#This Row],[البخر  AJD]]+(TABL12345[[#This Row],[(A/B + A/S) AJD]]*1000))</f>
        <v>0</v>
      </c>
      <c r="AE363" s="44"/>
      <c r="AF363" s="45"/>
      <c r="AG363" s="45"/>
      <c r="AH363" s="6">
        <f>TABL12345[[#This Row],[ (RESV. STORGE) BER]]/10</f>
        <v>0</v>
      </c>
      <c r="AI363" s="44"/>
      <c r="AJ363" s="45">
        <f>TABL12345[[#This Row],[(A/B TOT) AJD]]-TABL12345[[#This Row],[BER_ IN]]</f>
        <v>0</v>
      </c>
      <c r="AK363" s="45"/>
      <c r="AL363" s="45"/>
      <c r="AM363" s="32"/>
      <c r="AN363" s="32">
        <f>TABL12345[[#This Row],[ (RESV. STORGE) SER]]/10</f>
        <v>0</v>
      </c>
      <c r="AO363" s="68"/>
      <c r="AP363" s="68">
        <f>TABL12345[[#This Row],[(A/S TOT) AJD]]-TABL12345[[#This Row],[SER_ IN]]</f>
        <v>0</v>
      </c>
    </row>
    <row r="364" spans="1:42" ht="18.75" x14ac:dyDescent="0.25">
      <c r="A364" s="2">
        <v>47115</v>
      </c>
      <c r="B364" s="41"/>
      <c r="C364" s="41"/>
      <c r="D364" s="41"/>
      <c r="E364" s="41"/>
      <c r="F364" s="41"/>
      <c r="G364" s="39"/>
      <c r="H364" s="41"/>
      <c r="I364" s="39"/>
      <c r="J364" s="39"/>
      <c r="K364" s="28">
        <f>TABL12345[[#This Row],[خط (T/B  TOT) SAR]]+TABL12345[[#This Row],[خط (S/S  TOT) SAR2]]</f>
        <v>0</v>
      </c>
      <c r="L364" s="41"/>
      <c r="M364" s="42"/>
      <c r="N364" s="42"/>
      <c r="O364" s="39"/>
      <c r="P364" s="9">
        <f>TABL12345[[#This Row],[خط (S/S  TOT) SAR2]]-TABL12345[[#This Row],[(S/S TOT) AJD]]</f>
        <v>0</v>
      </c>
      <c r="Q364" s="39"/>
      <c r="R364" s="9">
        <f>TABL12345[[#This Row],[خط (T/B  TOT) SAR]]-TABL12345[[#This Row],[(T/B TOT) AJD]]</f>
        <v>0</v>
      </c>
      <c r="S364" s="9">
        <f>TABL12345[[#This Row],[الفرق بين بداية ونهاية خط  S/S]]+TABL12345[[#This Row],[الفرق بين بداية ونهاية خط  T/B]]</f>
        <v>0</v>
      </c>
      <c r="T364" s="9">
        <f t="shared" si="20"/>
        <v>0</v>
      </c>
      <c r="U364" s="41"/>
      <c r="V364" s="41"/>
      <c r="W364" s="9">
        <f t="shared" si="21"/>
        <v>0</v>
      </c>
      <c r="X364" s="9">
        <f t="shared" si="22"/>
        <v>0</v>
      </c>
      <c r="Y364" s="41"/>
      <c r="Z364" s="43"/>
      <c r="AA364" s="3">
        <f>TABL12345[[#This Row],[(RESV. STORGE) AJD]]/10</f>
        <v>0</v>
      </c>
      <c r="AB364" s="45">
        <f t="shared" si="23"/>
        <v>0</v>
      </c>
      <c r="AC364" s="5"/>
      <c r="AD364" s="39">
        <f>(TABL12345[[#This Row],[( S/S+T/B) AJD]]*1000)-((TABL12345[[#This Row],[(STORGE DIFF.) AJD]]*1000)+TABL12345[[#This Row],[البخر  AJD]]+(TABL12345[[#This Row],[(A/B + A/S) AJD]]*1000))</f>
        <v>0</v>
      </c>
      <c r="AE364" s="41"/>
      <c r="AF364" s="43"/>
      <c r="AG364" s="43"/>
      <c r="AH364" s="6">
        <f>TABL12345[[#This Row],[ (RESV. STORGE) BER]]/10</f>
        <v>0</v>
      </c>
      <c r="AI364" s="41"/>
      <c r="AJ364" s="43">
        <f>TABL12345[[#This Row],[(A/B TOT) AJD]]-TABL12345[[#This Row],[BER_ IN]]</f>
        <v>0</v>
      </c>
      <c r="AK364" s="43"/>
      <c r="AL364" s="43"/>
      <c r="AM364" s="32"/>
      <c r="AN364" s="32">
        <f>TABL12345[[#This Row],[ (RESV. STORGE) SER]]/10</f>
        <v>0</v>
      </c>
      <c r="AO364" s="68"/>
      <c r="AP364" s="68">
        <f>TABL12345[[#This Row],[(A/S TOT) AJD]]-TABL12345[[#This Row],[SER_ IN]]</f>
        <v>0</v>
      </c>
    </row>
    <row r="365" spans="1:42" ht="18.75" x14ac:dyDescent="0.25">
      <c r="A365" s="2">
        <v>47116</v>
      </c>
      <c r="B365" s="44"/>
      <c r="C365" s="44"/>
      <c r="D365" s="44"/>
      <c r="E365" s="44"/>
      <c r="F365" s="44"/>
      <c r="G365" s="40"/>
      <c r="H365" s="44"/>
      <c r="I365" s="40"/>
      <c r="J365" s="44"/>
      <c r="K365" s="28">
        <f>TABL12345[[#This Row],[خط (T/B  TOT) SAR]]+TABL12345[[#This Row],[خط (S/S  TOT) SAR2]]</f>
        <v>0</v>
      </c>
      <c r="L365" s="45"/>
      <c r="M365" s="46"/>
      <c r="N365" s="46"/>
      <c r="O365" s="40"/>
      <c r="P365" s="9">
        <f>TABL12345[[#This Row],[خط (S/S  TOT) SAR2]]-TABL12345[[#This Row],[(S/S TOT) AJD]]</f>
        <v>0</v>
      </c>
      <c r="Q365" s="40"/>
      <c r="R365" s="9">
        <f>TABL12345[[#This Row],[خط (T/B  TOT) SAR]]-TABL12345[[#This Row],[(T/B TOT) AJD]]</f>
        <v>0</v>
      </c>
      <c r="S365" s="9">
        <f>TABL12345[[#This Row],[الفرق بين بداية ونهاية خط  S/S]]+TABL12345[[#This Row],[الفرق بين بداية ونهاية خط  T/B]]</f>
        <v>0</v>
      </c>
      <c r="T365" s="9">
        <f t="shared" si="20"/>
        <v>0</v>
      </c>
      <c r="U365" s="44"/>
      <c r="V365" s="44"/>
      <c r="W365" s="9">
        <f t="shared" si="21"/>
        <v>0</v>
      </c>
      <c r="X365" s="9">
        <f t="shared" si="22"/>
        <v>0</v>
      </c>
      <c r="Y365" s="44"/>
      <c r="Z365" s="45"/>
      <c r="AA365" s="3">
        <f>TABL12345[[#This Row],[(RESV. STORGE) AJD]]/10</f>
        <v>0</v>
      </c>
      <c r="AB365" s="45">
        <f t="shared" si="23"/>
        <v>0</v>
      </c>
      <c r="AC365" s="5"/>
      <c r="AD365" s="50">
        <f>(TABL12345[[#This Row],[( S/S+T/B) AJD]]*1000)-((TABL12345[[#This Row],[(STORGE DIFF.) AJD]]*1000)+TABL12345[[#This Row],[البخر  AJD]]+(TABL12345[[#This Row],[(A/B + A/S) AJD]]*1000))</f>
        <v>0</v>
      </c>
      <c r="AE365" s="44"/>
      <c r="AF365" s="45"/>
      <c r="AG365" s="45"/>
      <c r="AH365" s="6">
        <f>TABL12345[[#This Row],[ (RESV. STORGE) BER]]/10</f>
        <v>0</v>
      </c>
      <c r="AI365" s="44"/>
      <c r="AJ365" s="92">
        <f>TABL12345[[#This Row],[(A/B TOT) AJD]]-TABL12345[[#This Row],[BER_ IN]]</f>
        <v>0</v>
      </c>
      <c r="AK365" s="45"/>
      <c r="AL365" s="45"/>
      <c r="AM365" s="32"/>
      <c r="AN365" s="32">
        <f>TABL12345[[#This Row],[ (RESV. STORGE) SER]]/10</f>
        <v>0</v>
      </c>
      <c r="AO365" s="68"/>
      <c r="AP365" s="68">
        <f>TABL12345[[#This Row],[(A/S TOT) AJD]]-TABL12345[[#This Row],[SER_ IN]]</f>
        <v>0</v>
      </c>
    </row>
    <row r="366" spans="1:42" ht="18.75" x14ac:dyDescent="0.25">
      <c r="A366" s="2">
        <v>47117</v>
      </c>
      <c r="B366" s="41"/>
      <c r="C366" s="41"/>
      <c r="D366" s="41"/>
      <c r="E366" s="41"/>
      <c r="F366" s="41"/>
      <c r="G366" s="39"/>
      <c r="H366" s="41"/>
      <c r="I366" s="39"/>
      <c r="J366" s="39"/>
      <c r="K366" s="51">
        <f>TABL12345[[#This Row],[خط (T/B  TOT) SAR]]+TABL12345[[#This Row],[خط (S/S  TOT) SAR2]]</f>
        <v>0</v>
      </c>
      <c r="L366" s="41"/>
      <c r="M366" s="42"/>
      <c r="N366" s="42"/>
      <c r="O366" s="39"/>
      <c r="P366" s="19">
        <f>TABL12345[[#This Row],[خط (S/S  TOT) SAR2]]-TABL12345[[#This Row],[(S/S TOT) AJD]]</f>
        <v>0</v>
      </c>
      <c r="Q366" s="39"/>
      <c r="R366" s="19">
        <f>TABL12345[[#This Row],[خط (T/B  TOT) SAR]]-TABL12345[[#This Row],[(T/B TOT) AJD]]</f>
        <v>0</v>
      </c>
      <c r="S366" s="19">
        <f>TABL12345[[#This Row],[الفرق بين بداية ونهاية خط  S/S]]+TABL12345[[#This Row],[الفرق بين بداية ونهاية خط  T/B]]</f>
        <v>0</v>
      </c>
      <c r="T366" s="19">
        <f t="shared" si="20"/>
        <v>0</v>
      </c>
      <c r="U366" s="41"/>
      <c r="V366" s="41"/>
      <c r="W366" s="19">
        <f t="shared" si="21"/>
        <v>0</v>
      </c>
      <c r="X366" s="19">
        <f t="shared" si="22"/>
        <v>0</v>
      </c>
      <c r="Y366" s="41"/>
      <c r="Z366" s="43"/>
      <c r="AA366" s="3">
        <f>TABL12345[[#This Row],[(RESV. STORGE) AJD]]/10</f>
        <v>0</v>
      </c>
      <c r="AB366" s="45">
        <f t="shared" si="23"/>
        <v>0</v>
      </c>
      <c r="AC366" s="5"/>
      <c r="AD366" s="50">
        <f>(TABL12345[[#This Row],[( S/S+T/B) AJD]]*1000)-((TABL12345[[#This Row],[(STORGE DIFF.) AJD]]*1000)+TABL12345[[#This Row],[البخر  AJD]]+(TABL12345[[#This Row],[(A/B + A/S) AJD]]*1000))</f>
        <v>0</v>
      </c>
      <c r="AE366" s="41"/>
      <c r="AF366" s="43"/>
      <c r="AG366" s="43"/>
      <c r="AH366" s="21">
        <f>TABL12345[[#This Row],[ (RESV. STORGE) BER]]/10</f>
        <v>0</v>
      </c>
      <c r="AI366" s="41"/>
      <c r="AJ366" s="43">
        <f>TABL12345[[#This Row],[(A/B TOT) AJD]]-TABL12345[[#This Row],[BER_ IN]]</f>
        <v>0</v>
      </c>
      <c r="AK366" s="43"/>
      <c r="AL366" s="43"/>
      <c r="AM366" s="32"/>
      <c r="AN366" s="32">
        <f>TABL12345[[#This Row],[ (RESV. STORGE) SER]]/10</f>
        <v>0</v>
      </c>
      <c r="AO366" s="83"/>
      <c r="AP366" s="83">
        <f>TABL12345[[#This Row],[(A/S TOT) AJD]]-TABL12345[[#This Row],[SER_ IN]]</f>
        <v>0</v>
      </c>
    </row>
    <row r="367" spans="1:42" x14ac:dyDescent="0.25">
      <c r="A367" s="59"/>
      <c r="B367" s="60"/>
      <c r="C367" s="61"/>
      <c r="D367" s="61"/>
      <c r="E367" s="61"/>
      <c r="F367" s="61"/>
      <c r="G367" s="61"/>
      <c r="H367" s="61"/>
      <c r="I367" s="62"/>
      <c r="J367" s="61"/>
      <c r="K367" s="62"/>
      <c r="L367" s="61"/>
      <c r="M367" s="63"/>
      <c r="N367" s="64"/>
      <c r="O367" s="52"/>
      <c r="P367" s="19"/>
      <c r="Q367" s="52"/>
      <c r="R367" s="19"/>
      <c r="S367" s="19"/>
      <c r="T367" s="19"/>
      <c r="U367" s="52"/>
      <c r="V367" s="52"/>
      <c r="W367" s="19"/>
      <c r="X367" s="19"/>
      <c r="Y367" s="53"/>
      <c r="Z367" s="52"/>
      <c r="AA367" s="19"/>
      <c r="AB367" s="19"/>
      <c r="AC367" s="65"/>
      <c r="AD367" s="54"/>
      <c r="AE367" s="52"/>
      <c r="AF367" s="20"/>
      <c r="AG367" s="19"/>
      <c r="AH367" s="19"/>
      <c r="AI367" s="19"/>
      <c r="AJ367" s="21"/>
      <c r="AK367" s="55"/>
      <c r="AL367" s="19"/>
      <c r="AM367" s="54"/>
      <c r="AN367" s="66"/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BDB2-6E73-4B3D-B7A4-90A3A0234479}">
  <dimension ref="A1:AP367"/>
  <sheetViews>
    <sheetView rightToLeft="1" topLeftCell="A331" workbookViewId="0">
      <selection activeCell="D367" sqref="D367"/>
    </sheetView>
  </sheetViews>
  <sheetFormatPr defaultRowHeight="15" x14ac:dyDescent="0.25"/>
  <cols>
    <col min="1" max="1" width="12.5" customWidth="1"/>
    <col min="2" max="2" width="7.875" style="56" customWidth="1"/>
    <col min="3" max="3" width="8.125" style="56" customWidth="1"/>
    <col min="4" max="4" width="7.75" style="56" customWidth="1"/>
    <col min="5" max="5" width="8.25" style="56" customWidth="1"/>
    <col min="6" max="6" width="8.125" style="56" customWidth="1"/>
    <col min="7" max="7" width="8" style="56" customWidth="1"/>
    <col min="8" max="8" width="7.25" style="56" customWidth="1"/>
    <col min="9" max="9" width="9.375" style="56" customWidth="1"/>
    <col min="10" max="11" width="10.625" style="56" customWidth="1"/>
    <col min="12" max="12" width="11.375" style="56" customWidth="1"/>
    <col min="13" max="13" width="10.625" style="57" customWidth="1"/>
    <col min="14" max="14" width="8.25" style="58" customWidth="1"/>
    <col min="15" max="15" width="10.375" style="7" customWidth="1"/>
    <col min="16" max="16" width="7.875" style="7" customWidth="1"/>
    <col min="17" max="17" width="8.875" style="7" customWidth="1"/>
    <col min="18" max="19" width="10.5" style="7" customWidth="1"/>
    <col min="20" max="20" width="9.75" style="7" customWidth="1"/>
    <col min="21" max="21" width="7" style="7" customWidth="1"/>
    <col min="22" max="22" width="6.875" style="7" customWidth="1"/>
    <col min="23" max="23" width="8.5" style="7" customWidth="1"/>
    <col min="24" max="24" width="11.125" style="7" customWidth="1"/>
    <col min="25" max="25" width="10.875" style="7" customWidth="1"/>
    <col min="26" max="27" width="9.125" style="7" customWidth="1"/>
    <col min="28" max="29" width="9.625" style="7" customWidth="1"/>
    <col min="30" max="30" width="15.75" style="7" customWidth="1"/>
    <col min="31" max="32" width="9.625" style="7" customWidth="1"/>
    <col min="33" max="33" width="11.25" style="7" customWidth="1"/>
    <col min="34" max="34" width="9.625" style="7" customWidth="1"/>
    <col min="35" max="35" width="14.25" style="7" customWidth="1"/>
    <col min="36" max="37" width="9.625" style="7" customWidth="1"/>
    <col min="38" max="38" width="14.5" style="7" customWidth="1"/>
    <col min="39" max="39" width="9.625" style="7" customWidth="1"/>
    <col min="40" max="40" width="11.625" style="7" customWidth="1"/>
  </cols>
  <sheetData>
    <row r="1" spans="1:42" s="27" customFormat="1" ht="55.5" customHeight="1" x14ac:dyDescent="0.2">
      <c r="A1" s="22" t="s">
        <v>0</v>
      </c>
      <c r="B1" s="23" t="s">
        <v>14</v>
      </c>
      <c r="C1" s="23" t="s">
        <v>15</v>
      </c>
      <c r="D1" s="23" t="s">
        <v>16</v>
      </c>
      <c r="E1" s="23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23</v>
      </c>
      <c r="L1" s="25" t="s">
        <v>24</v>
      </c>
      <c r="M1" s="25" t="s">
        <v>25</v>
      </c>
      <c r="N1" s="25" t="s">
        <v>26</v>
      </c>
      <c r="O1" s="26" t="s">
        <v>8</v>
      </c>
      <c r="P1" s="26" t="s">
        <v>9</v>
      </c>
      <c r="Q1" s="26" t="s">
        <v>10</v>
      </c>
      <c r="R1" s="26" t="s">
        <v>11</v>
      </c>
      <c r="S1" s="26" t="s">
        <v>27</v>
      </c>
      <c r="T1" s="26" t="s">
        <v>12</v>
      </c>
      <c r="U1" s="26" t="s">
        <v>1</v>
      </c>
      <c r="V1" s="26" t="s">
        <v>2</v>
      </c>
      <c r="W1" s="26" t="s">
        <v>3</v>
      </c>
      <c r="X1" s="26" t="s">
        <v>13</v>
      </c>
      <c r="Y1" s="26" t="s">
        <v>4</v>
      </c>
      <c r="Z1" s="26" t="s">
        <v>5</v>
      </c>
      <c r="AA1" s="26" t="s">
        <v>39</v>
      </c>
      <c r="AB1" s="26" t="s">
        <v>6</v>
      </c>
      <c r="AC1" s="26" t="s">
        <v>7</v>
      </c>
      <c r="AD1" s="26" t="s">
        <v>28</v>
      </c>
      <c r="AE1" s="1" t="s">
        <v>29</v>
      </c>
      <c r="AF1" s="1" t="s">
        <v>30</v>
      </c>
      <c r="AG1" s="1" t="s">
        <v>31</v>
      </c>
      <c r="AH1" s="1" t="s">
        <v>40</v>
      </c>
      <c r="AI1" s="1" t="s">
        <v>32</v>
      </c>
      <c r="AJ1" s="1" t="s">
        <v>33</v>
      </c>
      <c r="AK1" s="26" t="s">
        <v>34</v>
      </c>
      <c r="AL1" s="26" t="s">
        <v>35</v>
      </c>
      <c r="AM1" s="26" t="s">
        <v>36</v>
      </c>
      <c r="AN1" s="26" t="s">
        <v>41</v>
      </c>
      <c r="AO1" s="26" t="s">
        <v>37</v>
      </c>
      <c r="AP1" s="26" t="s">
        <v>38</v>
      </c>
    </row>
    <row r="2" spans="1:42" ht="18.75" x14ac:dyDescent="0.25">
      <c r="A2" s="2">
        <v>47119</v>
      </c>
      <c r="B2" s="41"/>
      <c r="C2" s="41"/>
      <c r="D2" s="41"/>
      <c r="E2" s="41"/>
      <c r="F2" s="41"/>
      <c r="G2" s="39"/>
      <c r="H2" s="41"/>
      <c r="I2" s="39"/>
      <c r="J2" s="39"/>
      <c r="K2" s="28">
        <f>TABL12345[[#This Row],[خط (T/B  TOT) SAR]]+TABL12345[[#This Row],[خط (S/S  TOT) SAR2]]</f>
        <v>0</v>
      </c>
      <c r="L2" s="41"/>
      <c r="M2" s="42"/>
      <c r="N2" s="42"/>
      <c r="O2" s="39"/>
      <c r="P2" s="3">
        <f>TABL12345[[#This Row],[خط (S/S  TOT) SAR2]]-TABL12345[[#This Row],[(S/S TOT) AJD]]</f>
        <v>0</v>
      </c>
      <c r="Q2" s="39"/>
      <c r="R2" s="3">
        <f>TABL12345[[#This Row],[خط (T/B  TOT) SAR]]-TABL12345[[#This Row],[(T/B TOT) AJD]]</f>
        <v>0</v>
      </c>
      <c r="S2" s="3">
        <f>TABL12345[[#This Row],[الفرق بين بداية ونهاية خط  S/S]]+TABL12345[[#This Row],[الفرق بين بداية ونهاية خط  T/B]]</f>
        <v>0</v>
      </c>
      <c r="T2" s="3">
        <f t="shared" ref="T2:T65" si="0">O2+Q2</f>
        <v>0</v>
      </c>
      <c r="U2" s="41"/>
      <c r="V2" s="41"/>
      <c r="W2" s="3">
        <f t="shared" ref="W2:W65" si="1">U2+V2</f>
        <v>0</v>
      </c>
      <c r="X2" s="3">
        <f t="shared" ref="X2:X65" si="2">T2-W2</f>
        <v>0</v>
      </c>
      <c r="Y2" s="41"/>
      <c r="Z2" s="43"/>
      <c r="AA2" s="3">
        <f>TABL12345[[#This Row],[(RESV. STORGE) AJD]]/10</f>
        <v>0</v>
      </c>
      <c r="AB2" s="43">
        <v>-10</v>
      </c>
      <c r="AC2" s="5"/>
      <c r="AD2" s="39">
        <f>(TABL12345[[#This Row],[( S/S+T/B) AJD]]*1000)-((TABL12345[[#This Row],[(STORGE DIFF.) AJD]]*1000)+TABL12345[[#This Row],[البخر  AJD]]+(TABL12345[[#This Row],[(A/B + A/S) AJD]]*1000))</f>
        <v>10000</v>
      </c>
      <c r="AE2" s="41"/>
      <c r="AF2" s="43"/>
      <c r="AG2" s="43"/>
      <c r="AH2" s="5">
        <f>TABL12345[[#This Row],[ (RESV. STORGE) BER]]/10</f>
        <v>0</v>
      </c>
      <c r="AI2" s="41"/>
      <c r="AJ2" s="41">
        <f>TABL12345[[#This Row],[(A/B TOT) AJD]]-TABL12345[[#This Row],[BER_ IN]]</f>
        <v>0</v>
      </c>
      <c r="AK2" s="43"/>
      <c r="AL2" s="43"/>
      <c r="AM2" s="32"/>
      <c r="AN2" s="32">
        <f>TABL12345[[#This Row],[ (RESV. STORGE) SER]]/10</f>
        <v>0</v>
      </c>
      <c r="AO2" s="82"/>
      <c r="AP2" s="82">
        <f>TABL12345[[#This Row],[(A/S TOT) AJD]]-TABL12345[[#This Row],[SER_ IN]]</f>
        <v>0</v>
      </c>
    </row>
    <row r="3" spans="1:42" ht="18.75" x14ac:dyDescent="0.25">
      <c r="A3" s="2">
        <v>47120</v>
      </c>
      <c r="B3" s="44"/>
      <c r="C3" s="44"/>
      <c r="D3" s="44"/>
      <c r="E3" s="44"/>
      <c r="F3" s="44"/>
      <c r="G3" s="40"/>
      <c r="H3" s="44"/>
      <c r="I3" s="40"/>
      <c r="J3" s="44"/>
      <c r="K3" s="28">
        <f>TABL12345[[#This Row],[خط (T/B  TOT) SAR]]+TABL12345[[#This Row],[خط (S/S  TOT) SAR2]]</f>
        <v>0</v>
      </c>
      <c r="L3" s="45"/>
      <c r="M3" s="46"/>
      <c r="N3" s="46"/>
      <c r="O3" s="40"/>
      <c r="P3" s="3">
        <f>TABL12345[[#This Row],[خط (S/S  TOT) SAR2]]-TABL12345[[#This Row],[(S/S TOT) AJD]]</f>
        <v>0</v>
      </c>
      <c r="Q3" s="40"/>
      <c r="R3" s="3">
        <f>TABL12345[[#This Row],[خط (T/B  TOT) SAR]]-TABL12345[[#This Row],[(T/B TOT) AJD]]</f>
        <v>0</v>
      </c>
      <c r="S3" s="3">
        <f>TABL12345[[#This Row],[الفرق بين بداية ونهاية خط  S/S]]+TABL12345[[#This Row],[الفرق بين بداية ونهاية خط  T/B]]</f>
        <v>0</v>
      </c>
      <c r="T3" s="3">
        <f t="shared" si="0"/>
        <v>0</v>
      </c>
      <c r="U3" s="44"/>
      <c r="V3" s="44"/>
      <c r="W3" s="3">
        <f t="shared" si="1"/>
        <v>0</v>
      </c>
      <c r="X3" s="3">
        <f t="shared" si="2"/>
        <v>0</v>
      </c>
      <c r="Y3" s="44"/>
      <c r="Z3" s="45"/>
      <c r="AA3" s="3">
        <f>TABL12345[[#This Row],[(RESV. STORGE) AJD]]/10</f>
        <v>0</v>
      </c>
      <c r="AB3" s="45">
        <f>(Z3-Z2)/1000</f>
        <v>0</v>
      </c>
      <c r="AC3" s="5"/>
      <c r="AD3" s="40">
        <f>(TABL12345[[#This Row],[( S/S+T/B) AJD]]*1000)-((TABL12345[[#This Row],[(STORGE DIFF.) AJD]]*1000)+TABL12345[[#This Row],[البخر  AJD]]+(TABL12345[[#This Row],[(A/B + A/S) AJD]]*1000))</f>
        <v>0</v>
      </c>
      <c r="AE3" s="44"/>
      <c r="AF3" s="45"/>
      <c r="AG3" s="45"/>
      <c r="AH3" s="6">
        <f>TABL12345[[#This Row],[ (RESV. STORGE) BER]]/10</f>
        <v>0</v>
      </c>
      <c r="AI3" s="44"/>
      <c r="AJ3" s="44">
        <f>TABL12345[[#This Row],[(A/B TOT) AJD]]-TABL12345[[#This Row],[BER_ IN]]</f>
        <v>0</v>
      </c>
      <c r="AK3" s="45"/>
      <c r="AL3" s="45"/>
      <c r="AM3" s="32"/>
      <c r="AN3" s="32">
        <f>TABL12345[[#This Row],[ (RESV. STORGE) SER]]/10</f>
        <v>0</v>
      </c>
      <c r="AO3" s="68"/>
      <c r="AP3" s="68">
        <f>TABL12345[[#This Row],[(A/S TOT) AJD]]-TABL12345[[#This Row],[SER_ IN]]</f>
        <v>0</v>
      </c>
    </row>
    <row r="4" spans="1:42" ht="18.75" x14ac:dyDescent="0.25">
      <c r="A4" s="2">
        <v>47121</v>
      </c>
      <c r="B4" s="41"/>
      <c r="C4" s="41"/>
      <c r="D4" s="41"/>
      <c r="E4" s="41"/>
      <c r="F4" s="41"/>
      <c r="G4" s="39"/>
      <c r="H4" s="41"/>
      <c r="I4" s="39"/>
      <c r="J4" s="39"/>
      <c r="K4" s="28">
        <f>TABL12345[[#This Row],[خط (T/B  TOT) SAR]]+TABL12345[[#This Row],[خط (S/S  TOT) SAR2]]</f>
        <v>0</v>
      </c>
      <c r="L4" s="41"/>
      <c r="M4" s="42"/>
      <c r="N4" s="42"/>
      <c r="O4" s="39"/>
      <c r="P4" s="3">
        <f>TABL12345[[#This Row],[خط (S/S  TOT) SAR2]]-TABL12345[[#This Row],[(S/S TOT) AJD]]</f>
        <v>0</v>
      </c>
      <c r="Q4" s="39"/>
      <c r="R4" s="3">
        <f>TABL12345[[#This Row],[خط (T/B  TOT) SAR]]-TABL12345[[#This Row],[(T/B TOT) AJD]]</f>
        <v>0</v>
      </c>
      <c r="S4" s="3">
        <f>TABL12345[[#This Row],[الفرق بين بداية ونهاية خط  S/S]]+TABL12345[[#This Row],[الفرق بين بداية ونهاية خط  T/B]]</f>
        <v>0</v>
      </c>
      <c r="T4" s="3">
        <f t="shared" si="0"/>
        <v>0</v>
      </c>
      <c r="U4" s="41"/>
      <c r="V4" s="41"/>
      <c r="W4" s="3">
        <f t="shared" si="1"/>
        <v>0</v>
      </c>
      <c r="X4" s="3">
        <f t="shared" si="2"/>
        <v>0</v>
      </c>
      <c r="Y4" s="41"/>
      <c r="Z4" s="43"/>
      <c r="AA4" s="3">
        <f>TABL12345[[#This Row],[(RESV. STORGE) AJD]]/10</f>
        <v>0</v>
      </c>
      <c r="AB4" s="43">
        <f t="shared" ref="AB4:AB67" si="3">(Z4-Z3)/1000</f>
        <v>0</v>
      </c>
      <c r="AC4" s="5"/>
      <c r="AD4" s="39">
        <f>(TABL12345[[#This Row],[( S/S+T/B) AJD]]*1000)-((TABL12345[[#This Row],[(STORGE DIFF.) AJD]]*1000)+TABL12345[[#This Row],[البخر  AJD]]+(TABL12345[[#This Row],[(A/B + A/S) AJD]]*1000))</f>
        <v>0</v>
      </c>
      <c r="AE4" s="41"/>
      <c r="AF4" s="43"/>
      <c r="AG4" s="43"/>
      <c r="AH4" s="6">
        <f>TABL12345[[#This Row],[ (RESV. STORGE) BER]]/10</f>
        <v>0</v>
      </c>
      <c r="AI4" s="41"/>
      <c r="AJ4" s="41">
        <f>TABL12345[[#This Row],[(A/B TOT) AJD]]-TABL12345[[#This Row],[BER_ IN]]</f>
        <v>0</v>
      </c>
      <c r="AK4" s="43"/>
      <c r="AL4" s="43"/>
      <c r="AM4" s="32"/>
      <c r="AN4" s="32">
        <f>TABL12345[[#This Row],[ (RESV. STORGE) SER]]/10</f>
        <v>0</v>
      </c>
      <c r="AO4" s="68"/>
      <c r="AP4" s="68">
        <f>TABL12345[[#This Row],[(A/S TOT) AJD]]-TABL12345[[#This Row],[SER_ IN]]</f>
        <v>0</v>
      </c>
    </row>
    <row r="5" spans="1:42" ht="18.75" x14ac:dyDescent="0.25">
      <c r="A5" s="2">
        <v>47122</v>
      </c>
      <c r="B5" s="44"/>
      <c r="C5" s="44"/>
      <c r="D5" s="44"/>
      <c r="E5" s="44"/>
      <c r="F5" s="44"/>
      <c r="G5" s="40"/>
      <c r="H5" s="44"/>
      <c r="I5" s="40"/>
      <c r="J5" s="44"/>
      <c r="K5" s="28">
        <f>TABL12345[[#This Row],[خط (T/B  TOT) SAR]]+TABL12345[[#This Row],[خط (S/S  TOT) SAR2]]</f>
        <v>0</v>
      </c>
      <c r="L5" s="45"/>
      <c r="M5" s="46"/>
      <c r="N5" s="46"/>
      <c r="O5" s="40"/>
      <c r="P5" s="3">
        <f>TABL12345[[#This Row],[خط (S/S  TOT) SAR2]]-TABL12345[[#This Row],[(S/S TOT) AJD]]</f>
        <v>0</v>
      </c>
      <c r="Q5" s="40"/>
      <c r="R5" s="3">
        <f>TABL12345[[#This Row],[خط (T/B  TOT) SAR]]-TABL12345[[#This Row],[(T/B TOT) AJD]]</f>
        <v>0</v>
      </c>
      <c r="S5" s="3">
        <f>TABL12345[[#This Row],[الفرق بين بداية ونهاية خط  S/S]]+TABL12345[[#This Row],[الفرق بين بداية ونهاية خط  T/B]]</f>
        <v>0</v>
      </c>
      <c r="T5" s="3">
        <f t="shared" si="0"/>
        <v>0</v>
      </c>
      <c r="U5" s="44"/>
      <c r="V5" s="44"/>
      <c r="W5" s="3">
        <f t="shared" si="1"/>
        <v>0</v>
      </c>
      <c r="X5" s="3">
        <f t="shared" si="2"/>
        <v>0</v>
      </c>
      <c r="Y5" s="44"/>
      <c r="Z5" s="45"/>
      <c r="AA5" s="3">
        <f>TABL12345[[#This Row],[(RESV. STORGE) AJD]]/10</f>
        <v>0</v>
      </c>
      <c r="AB5" s="45">
        <f t="shared" si="3"/>
        <v>0</v>
      </c>
      <c r="AC5" s="5"/>
      <c r="AD5" s="40">
        <f>(TABL12345[[#This Row],[( S/S+T/B) AJD]]*1000)-((TABL12345[[#This Row],[(STORGE DIFF.) AJD]]*1000)+TABL12345[[#This Row],[البخر  AJD]]+(TABL12345[[#This Row],[(A/B + A/S) AJD]]*1000))</f>
        <v>0</v>
      </c>
      <c r="AE5" s="44"/>
      <c r="AF5" s="45"/>
      <c r="AG5" s="45"/>
      <c r="AH5" s="6">
        <f>TABL12345[[#This Row],[ (RESV. STORGE) BER]]/10</f>
        <v>0</v>
      </c>
      <c r="AI5" s="44"/>
      <c r="AJ5" s="44">
        <f>TABL12345[[#This Row],[(A/B TOT) AJD]]-TABL12345[[#This Row],[BER_ IN]]</f>
        <v>0</v>
      </c>
      <c r="AK5" s="45"/>
      <c r="AL5" s="45"/>
      <c r="AM5" s="32"/>
      <c r="AN5" s="32">
        <f>TABL12345[[#This Row],[ (RESV. STORGE) SER]]/10</f>
        <v>0</v>
      </c>
      <c r="AO5" s="68"/>
      <c r="AP5" s="68">
        <f>TABL12345[[#This Row],[(A/S TOT) AJD]]-TABL12345[[#This Row],[SER_ IN]]</f>
        <v>0</v>
      </c>
    </row>
    <row r="6" spans="1:42" ht="18.75" x14ac:dyDescent="0.25">
      <c r="A6" s="2">
        <v>47123</v>
      </c>
      <c r="B6" s="41"/>
      <c r="C6" s="41"/>
      <c r="D6" s="41"/>
      <c r="E6" s="41"/>
      <c r="F6" s="41"/>
      <c r="G6" s="39"/>
      <c r="H6" s="41"/>
      <c r="I6" s="39"/>
      <c r="J6" s="39"/>
      <c r="K6" s="28">
        <f>TABL12345[[#This Row],[خط (T/B  TOT) SAR]]+TABL12345[[#This Row],[خط (S/S  TOT) SAR2]]</f>
        <v>0</v>
      </c>
      <c r="L6" s="41"/>
      <c r="M6" s="42"/>
      <c r="N6" s="42"/>
      <c r="O6" s="39"/>
      <c r="P6" s="3">
        <f>TABL12345[[#This Row],[خط (S/S  TOT) SAR2]]-TABL12345[[#This Row],[(S/S TOT) AJD]]</f>
        <v>0</v>
      </c>
      <c r="Q6" s="39"/>
      <c r="R6" s="3">
        <f>TABL12345[[#This Row],[خط (T/B  TOT) SAR]]-TABL12345[[#This Row],[(T/B TOT) AJD]]</f>
        <v>0</v>
      </c>
      <c r="S6" s="3">
        <f>TABL12345[[#This Row],[الفرق بين بداية ونهاية خط  S/S]]+TABL12345[[#This Row],[الفرق بين بداية ونهاية خط  T/B]]</f>
        <v>0</v>
      </c>
      <c r="T6" s="3">
        <f t="shared" si="0"/>
        <v>0</v>
      </c>
      <c r="U6" s="41"/>
      <c r="V6" s="41"/>
      <c r="W6" s="3">
        <f t="shared" si="1"/>
        <v>0</v>
      </c>
      <c r="X6" s="3">
        <f t="shared" si="2"/>
        <v>0</v>
      </c>
      <c r="Y6" s="41"/>
      <c r="Z6" s="43"/>
      <c r="AA6" s="3">
        <f>TABL12345[[#This Row],[(RESV. STORGE) AJD]]/10</f>
        <v>0</v>
      </c>
      <c r="AB6" s="43">
        <f t="shared" si="3"/>
        <v>0</v>
      </c>
      <c r="AC6" s="5"/>
      <c r="AD6" s="39">
        <f>(TABL12345[[#This Row],[( S/S+T/B) AJD]]*1000)-((TABL12345[[#This Row],[(STORGE DIFF.) AJD]]*1000)+TABL12345[[#This Row],[البخر  AJD]]+(TABL12345[[#This Row],[(A/B + A/S) AJD]]*1000))</f>
        <v>0</v>
      </c>
      <c r="AE6" s="41"/>
      <c r="AF6" s="43"/>
      <c r="AG6" s="43"/>
      <c r="AH6" s="6">
        <f>TABL12345[[#This Row],[ (RESV. STORGE) BER]]/10</f>
        <v>0</v>
      </c>
      <c r="AI6" s="41"/>
      <c r="AJ6" s="41">
        <f>TABL12345[[#This Row],[(A/B TOT) AJD]]-TABL12345[[#This Row],[BER_ IN]]</f>
        <v>0</v>
      </c>
      <c r="AK6" s="43"/>
      <c r="AL6" s="43"/>
      <c r="AM6" s="32"/>
      <c r="AN6" s="32">
        <f>TABL12345[[#This Row],[ (RESV. STORGE) SER]]/10</f>
        <v>0</v>
      </c>
      <c r="AO6" s="68"/>
      <c r="AP6" s="68">
        <f>TABL12345[[#This Row],[(A/S TOT) AJD]]-TABL12345[[#This Row],[SER_ IN]]</f>
        <v>0</v>
      </c>
    </row>
    <row r="7" spans="1:42" ht="18.75" x14ac:dyDescent="0.25">
      <c r="A7" s="2">
        <v>47124</v>
      </c>
      <c r="B7" s="44"/>
      <c r="C7" s="44"/>
      <c r="D7" s="44"/>
      <c r="E7" s="44"/>
      <c r="F7" s="44"/>
      <c r="G7" s="40"/>
      <c r="H7" s="44"/>
      <c r="I7" s="40"/>
      <c r="J7" s="44"/>
      <c r="K7" s="28">
        <f>TABL12345[[#This Row],[خط (T/B  TOT) SAR]]+TABL12345[[#This Row],[خط (S/S  TOT) SAR2]]</f>
        <v>0</v>
      </c>
      <c r="L7" s="45"/>
      <c r="M7" s="46"/>
      <c r="N7" s="46"/>
      <c r="O7" s="40"/>
      <c r="P7" s="3">
        <f>TABL12345[[#This Row],[خط (S/S  TOT) SAR2]]-TABL12345[[#This Row],[(S/S TOT) AJD]]</f>
        <v>0</v>
      </c>
      <c r="Q7" s="40"/>
      <c r="R7" s="3">
        <f>TABL12345[[#This Row],[خط (T/B  TOT) SAR]]-TABL12345[[#This Row],[(T/B TOT) AJD]]</f>
        <v>0</v>
      </c>
      <c r="S7" s="3">
        <f>TABL12345[[#This Row],[الفرق بين بداية ونهاية خط  S/S]]+TABL12345[[#This Row],[الفرق بين بداية ونهاية خط  T/B]]</f>
        <v>0</v>
      </c>
      <c r="T7" s="3">
        <f t="shared" si="0"/>
        <v>0</v>
      </c>
      <c r="U7" s="44"/>
      <c r="V7" s="44"/>
      <c r="W7" s="3">
        <f t="shared" si="1"/>
        <v>0</v>
      </c>
      <c r="X7" s="3">
        <f t="shared" si="2"/>
        <v>0</v>
      </c>
      <c r="Y7" s="67"/>
      <c r="Z7" s="45"/>
      <c r="AA7" s="3">
        <f>TABL12345[[#This Row],[(RESV. STORGE) AJD]]/10</f>
        <v>0</v>
      </c>
      <c r="AB7" s="45">
        <f t="shared" si="3"/>
        <v>0</v>
      </c>
      <c r="AC7" s="5"/>
      <c r="AD7" s="40">
        <f>(TABL12345[[#This Row],[( S/S+T/B) AJD]]*1000)-((TABL12345[[#This Row],[(STORGE DIFF.) AJD]]*1000)+TABL12345[[#This Row],[البخر  AJD]]+(TABL12345[[#This Row],[(A/B + A/S) AJD]]*1000))</f>
        <v>0</v>
      </c>
      <c r="AE7" s="44"/>
      <c r="AF7" s="45"/>
      <c r="AG7" s="45"/>
      <c r="AH7" s="6">
        <f>TABL12345[[#This Row],[ (RESV. STORGE) BER]]/10</f>
        <v>0</v>
      </c>
      <c r="AI7" s="44"/>
      <c r="AJ7" s="44">
        <f>TABL12345[[#This Row],[(A/B TOT) AJD]]-TABL12345[[#This Row],[BER_ IN]]</f>
        <v>0</v>
      </c>
      <c r="AK7" s="45"/>
      <c r="AL7" s="45"/>
      <c r="AM7" s="32"/>
      <c r="AN7" s="32">
        <f>TABL12345[[#This Row],[ (RESV. STORGE) SER]]/10</f>
        <v>0</v>
      </c>
      <c r="AO7" s="68"/>
      <c r="AP7" s="68">
        <f>TABL12345[[#This Row],[(A/S TOT) AJD]]-TABL12345[[#This Row],[SER_ IN]]</f>
        <v>0</v>
      </c>
    </row>
    <row r="8" spans="1:42" ht="18.75" x14ac:dyDescent="0.25">
      <c r="A8" s="2">
        <v>47125</v>
      </c>
      <c r="B8" s="41"/>
      <c r="C8" s="41"/>
      <c r="D8" s="41"/>
      <c r="E8" s="41"/>
      <c r="F8" s="41"/>
      <c r="G8" s="39"/>
      <c r="H8" s="41"/>
      <c r="I8" s="39"/>
      <c r="J8" s="39"/>
      <c r="K8" s="28">
        <f>TABL12345[[#This Row],[خط (T/B  TOT) SAR]]+TABL12345[[#This Row],[خط (S/S  TOT) SAR2]]</f>
        <v>0</v>
      </c>
      <c r="L8" s="41"/>
      <c r="M8" s="42"/>
      <c r="N8" s="42"/>
      <c r="O8" s="39"/>
      <c r="P8" s="3">
        <f>TABL12345[[#This Row],[خط (S/S  TOT) SAR2]]-TABL12345[[#This Row],[(S/S TOT) AJD]]</f>
        <v>0</v>
      </c>
      <c r="Q8" s="39"/>
      <c r="R8" s="3">
        <f>TABL12345[[#This Row],[خط (T/B  TOT) SAR]]-TABL12345[[#This Row],[(T/B TOT) AJD]]</f>
        <v>0</v>
      </c>
      <c r="S8" s="3">
        <f>TABL12345[[#This Row],[الفرق بين بداية ونهاية خط  S/S]]+TABL12345[[#This Row],[الفرق بين بداية ونهاية خط  T/B]]</f>
        <v>0</v>
      </c>
      <c r="T8" s="3">
        <f t="shared" si="0"/>
        <v>0</v>
      </c>
      <c r="U8" s="41"/>
      <c r="V8" s="41"/>
      <c r="W8" s="3">
        <f t="shared" si="1"/>
        <v>0</v>
      </c>
      <c r="X8" s="3">
        <f t="shared" si="2"/>
        <v>0</v>
      </c>
      <c r="Y8" s="41"/>
      <c r="Z8" s="43"/>
      <c r="AA8" s="3">
        <f>TABL12345[[#This Row],[(RESV. STORGE) AJD]]/10</f>
        <v>0</v>
      </c>
      <c r="AB8" s="43">
        <f t="shared" si="3"/>
        <v>0</v>
      </c>
      <c r="AC8" s="5"/>
      <c r="AD8" s="39">
        <f>(TABL12345[[#This Row],[( S/S+T/B) AJD]]*1000)-((TABL12345[[#This Row],[(STORGE DIFF.) AJD]]*1000)+TABL12345[[#This Row],[البخر  AJD]]+(TABL12345[[#This Row],[(A/B + A/S) AJD]]*1000))</f>
        <v>0</v>
      </c>
      <c r="AE8" s="41"/>
      <c r="AF8" s="43"/>
      <c r="AG8" s="43"/>
      <c r="AH8" s="6">
        <f>TABL12345[[#This Row],[ (RESV. STORGE) BER]]/10</f>
        <v>0</v>
      </c>
      <c r="AI8" s="41"/>
      <c r="AJ8" s="41">
        <f>TABL12345[[#This Row],[(A/B TOT) AJD]]-TABL12345[[#This Row],[BER_ IN]]</f>
        <v>0</v>
      </c>
      <c r="AK8" s="43"/>
      <c r="AL8" s="43"/>
      <c r="AM8" s="32"/>
      <c r="AN8" s="32">
        <f>TABL12345[[#This Row],[ (RESV. STORGE) SER]]/10</f>
        <v>0</v>
      </c>
      <c r="AO8" s="68"/>
      <c r="AP8" s="68">
        <f>TABL12345[[#This Row],[(A/S TOT) AJD]]-TABL12345[[#This Row],[SER_ IN]]</f>
        <v>0</v>
      </c>
    </row>
    <row r="9" spans="1:42" ht="18.75" x14ac:dyDescent="0.25">
      <c r="A9" s="2">
        <v>47126</v>
      </c>
      <c r="B9" s="44"/>
      <c r="C9" s="44"/>
      <c r="D9" s="44"/>
      <c r="E9" s="44"/>
      <c r="F9" s="44"/>
      <c r="G9" s="40"/>
      <c r="H9" s="44"/>
      <c r="I9" s="40"/>
      <c r="J9" s="44"/>
      <c r="K9" s="28">
        <f>TABL12345[[#This Row],[خط (T/B  TOT) SAR]]+TABL12345[[#This Row],[خط (S/S  TOT) SAR2]]</f>
        <v>0</v>
      </c>
      <c r="L9" s="45"/>
      <c r="M9" s="46"/>
      <c r="N9" s="46"/>
      <c r="O9" s="40"/>
      <c r="P9" s="3">
        <f>TABL12345[[#This Row],[خط (S/S  TOT) SAR2]]-TABL12345[[#This Row],[(S/S TOT) AJD]]</f>
        <v>0</v>
      </c>
      <c r="Q9" s="40"/>
      <c r="R9" s="3">
        <f>TABL12345[[#This Row],[خط (T/B  TOT) SAR]]-TABL12345[[#This Row],[(T/B TOT) AJD]]</f>
        <v>0</v>
      </c>
      <c r="S9" s="3">
        <f>TABL12345[[#This Row],[الفرق بين بداية ونهاية خط  S/S]]+TABL12345[[#This Row],[الفرق بين بداية ونهاية خط  T/B]]</f>
        <v>0</v>
      </c>
      <c r="T9" s="3">
        <f t="shared" si="0"/>
        <v>0</v>
      </c>
      <c r="U9" s="44"/>
      <c r="V9" s="44"/>
      <c r="W9" s="3">
        <f t="shared" si="1"/>
        <v>0</v>
      </c>
      <c r="X9" s="3">
        <f t="shared" si="2"/>
        <v>0</v>
      </c>
      <c r="Y9" s="44"/>
      <c r="Z9" s="45"/>
      <c r="AA9" s="3">
        <f>TABL12345[[#This Row],[(RESV. STORGE) AJD]]/10</f>
        <v>0</v>
      </c>
      <c r="AB9" s="45">
        <f t="shared" si="3"/>
        <v>0</v>
      </c>
      <c r="AC9" s="5"/>
      <c r="AD9" s="40">
        <f>(TABL12345[[#This Row],[( S/S+T/B) AJD]]*1000)-((TABL12345[[#This Row],[(STORGE DIFF.) AJD]]*1000)+TABL12345[[#This Row],[البخر  AJD]]+(TABL12345[[#This Row],[(A/B + A/S) AJD]]*1000))</f>
        <v>0</v>
      </c>
      <c r="AE9" s="44"/>
      <c r="AF9" s="45"/>
      <c r="AG9" s="45"/>
      <c r="AH9" s="6">
        <f>TABL12345[[#This Row],[ (RESV. STORGE) BER]]/10</f>
        <v>0</v>
      </c>
      <c r="AI9" s="44"/>
      <c r="AJ9" s="44">
        <f>TABL12345[[#This Row],[(A/B TOT) AJD]]-TABL12345[[#This Row],[BER_ IN]]</f>
        <v>0</v>
      </c>
      <c r="AK9" s="45"/>
      <c r="AL9" s="45"/>
      <c r="AM9" s="32"/>
      <c r="AN9" s="32">
        <f>TABL12345[[#This Row],[ (RESV. STORGE) SER]]/10</f>
        <v>0</v>
      </c>
      <c r="AO9" s="68"/>
      <c r="AP9" s="68">
        <f>TABL12345[[#This Row],[(A/S TOT) AJD]]-TABL12345[[#This Row],[SER_ IN]]</f>
        <v>0</v>
      </c>
    </row>
    <row r="10" spans="1:42" ht="18.75" x14ac:dyDescent="0.25">
      <c r="A10" s="2">
        <v>47127</v>
      </c>
      <c r="B10" s="41"/>
      <c r="C10" s="41"/>
      <c r="D10" s="41"/>
      <c r="E10" s="41"/>
      <c r="F10" s="41"/>
      <c r="G10" s="39"/>
      <c r="H10" s="41"/>
      <c r="I10" s="39"/>
      <c r="J10" s="39"/>
      <c r="K10" s="28">
        <f>TABL12345[[#This Row],[خط (T/B  TOT) SAR]]+TABL12345[[#This Row],[خط (S/S  TOT) SAR2]]</f>
        <v>0</v>
      </c>
      <c r="L10" s="41"/>
      <c r="M10" s="42"/>
      <c r="N10" s="42"/>
      <c r="O10" s="39"/>
      <c r="P10" s="3">
        <f>TABL12345[[#This Row],[خط (S/S  TOT) SAR2]]-TABL12345[[#This Row],[(S/S TOT) AJD]]</f>
        <v>0</v>
      </c>
      <c r="Q10" s="39"/>
      <c r="R10" s="3">
        <f>TABL12345[[#This Row],[خط (T/B  TOT) SAR]]-TABL12345[[#This Row],[(T/B TOT) AJD]]</f>
        <v>0</v>
      </c>
      <c r="S10" s="3">
        <f>TABL12345[[#This Row],[الفرق بين بداية ونهاية خط  S/S]]+TABL12345[[#This Row],[الفرق بين بداية ونهاية خط  T/B]]</f>
        <v>0</v>
      </c>
      <c r="T10" s="3">
        <f t="shared" si="0"/>
        <v>0</v>
      </c>
      <c r="U10" s="41"/>
      <c r="V10" s="41"/>
      <c r="W10" s="3">
        <f t="shared" si="1"/>
        <v>0</v>
      </c>
      <c r="X10" s="3">
        <f t="shared" si="2"/>
        <v>0</v>
      </c>
      <c r="Y10" s="41"/>
      <c r="Z10" s="43"/>
      <c r="AA10" s="3">
        <f>TABL12345[[#This Row],[(RESV. STORGE) AJD]]/10</f>
        <v>0</v>
      </c>
      <c r="AB10" s="43">
        <f t="shared" si="3"/>
        <v>0</v>
      </c>
      <c r="AC10" s="5"/>
      <c r="AD10" s="39">
        <f>(TABL12345[[#This Row],[( S/S+T/B) AJD]]*1000)-((TABL12345[[#This Row],[(STORGE DIFF.) AJD]]*1000)+TABL12345[[#This Row],[البخر  AJD]]+(TABL12345[[#This Row],[(A/B + A/S) AJD]]*1000))</f>
        <v>0</v>
      </c>
      <c r="AE10" s="41"/>
      <c r="AF10" s="43"/>
      <c r="AG10" s="43"/>
      <c r="AH10" s="6">
        <f>TABL12345[[#This Row],[ (RESV. STORGE) BER]]/10</f>
        <v>0</v>
      </c>
      <c r="AI10" s="41"/>
      <c r="AJ10" s="41">
        <f>TABL12345[[#This Row],[(A/B TOT) AJD]]-TABL12345[[#This Row],[BER_ IN]]</f>
        <v>0</v>
      </c>
      <c r="AK10" s="43"/>
      <c r="AL10" s="43"/>
      <c r="AM10" s="32"/>
      <c r="AN10" s="32">
        <f>TABL12345[[#This Row],[ (RESV. STORGE) SER]]/10</f>
        <v>0</v>
      </c>
      <c r="AO10" s="68"/>
      <c r="AP10" s="68">
        <f>TABL12345[[#This Row],[(A/S TOT) AJD]]-TABL12345[[#This Row],[SER_ IN]]</f>
        <v>0</v>
      </c>
    </row>
    <row r="11" spans="1:42" ht="18.75" x14ac:dyDescent="0.25">
      <c r="A11" s="2">
        <v>47128</v>
      </c>
      <c r="B11" s="44"/>
      <c r="C11" s="44"/>
      <c r="D11" s="44"/>
      <c r="E11" s="44"/>
      <c r="F11" s="44"/>
      <c r="G11" s="40"/>
      <c r="H11" s="44"/>
      <c r="I11" s="40"/>
      <c r="J11" s="44"/>
      <c r="K11" s="28">
        <f>TABL12345[[#This Row],[خط (T/B  TOT) SAR]]+TABL12345[[#This Row],[خط (S/S  TOT) SAR2]]</f>
        <v>0</v>
      </c>
      <c r="L11" s="45"/>
      <c r="M11" s="46"/>
      <c r="N11" s="46"/>
      <c r="O11" s="40"/>
      <c r="P11" s="3">
        <f>TABL12345[[#This Row],[خط (S/S  TOT) SAR2]]-TABL12345[[#This Row],[(S/S TOT) AJD]]</f>
        <v>0</v>
      </c>
      <c r="Q11" s="40"/>
      <c r="R11" s="3">
        <f>TABL12345[[#This Row],[خط (T/B  TOT) SAR]]-TABL12345[[#This Row],[(T/B TOT) AJD]]</f>
        <v>0</v>
      </c>
      <c r="S11" s="3">
        <f>TABL12345[[#This Row],[الفرق بين بداية ونهاية خط  S/S]]+TABL12345[[#This Row],[الفرق بين بداية ونهاية خط  T/B]]</f>
        <v>0</v>
      </c>
      <c r="T11" s="3">
        <f t="shared" si="0"/>
        <v>0</v>
      </c>
      <c r="U11" s="44"/>
      <c r="V11" s="44"/>
      <c r="W11" s="3">
        <f t="shared" si="1"/>
        <v>0</v>
      </c>
      <c r="X11" s="3">
        <f t="shared" si="2"/>
        <v>0</v>
      </c>
      <c r="Y11" s="44"/>
      <c r="Z11" s="45"/>
      <c r="AA11" s="3">
        <f>TABL12345[[#This Row],[(RESV. STORGE) AJD]]/10</f>
        <v>0</v>
      </c>
      <c r="AB11" s="45">
        <f t="shared" si="3"/>
        <v>0</v>
      </c>
      <c r="AC11" s="5"/>
      <c r="AD11" s="40">
        <f>(TABL12345[[#This Row],[( S/S+T/B) AJD]]*1000)-((TABL12345[[#This Row],[(STORGE DIFF.) AJD]]*1000)+TABL12345[[#This Row],[البخر  AJD]]+(TABL12345[[#This Row],[(A/B + A/S) AJD]]*1000))</f>
        <v>0</v>
      </c>
      <c r="AE11" s="44"/>
      <c r="AF11" s="45"/>
      <c r="AG11" s="45"/>
      <c r="AH11" s="6">
        <f>TABL12345[[#This Row],[ (RESV. STORGE) BER]]/10</f>
        <v>0</v>
      </c>
      <c r="AI11" s="44"/>
      <c r="AJ11" s="44">
        <f>TABL12345[[#This Row],[(A/B TOT) AJD]]-TABL12345[[#This Row],[BER_ IN]]</f>
        <v>0</v>
      </c>
      <c r="AK11" s="45"/>
      <c r="AL11" s="45"/>
      <c r="AM11" s="32"/>
      <c r="AN11" s="32">
        <f>TABL12345[[#This Row],[ (RESV. STORGE) SER]]/10</f>
        <v>0</v>
      </c>
      <c r="AO11" s="68"/>
      <c r="AP11" s="68">
        <f>TABL12345[[#This Row],[(A/S TOT) AJD]]-TABL12345[[#This Row],[SER_ IN]]</f>
        <v>0</v>
      </c>
    </row>
    <row r="12" spans="1:42" ht="18.75" x14ac:dyDescent="0.25">
      <c r="A12" s="2">
        <v>47129</v>
      </c>
      <c r="B12" s="41"/>
      <c r="C12" s="41"/>
      <c r="D12" s="41"/>
      <c r="E12" s="41"/>
      <c r="F12" s="41"/>
      <c r="G12" s="39"/>
      <c r="H12" s="41"/>
      <c r="I12" s="39"/>
      <c r="J12" s="39"/>
      <c r="K12" s="28">
        <f>TABL12345[[#This Row],[خط (T/B  TOT) SAR]]+TABL12345[[#This Row],[خط (S/S  TOT) SAR2]]</f>
        <v>0</v>
      </c>
      <c r="L12" s="41"/>
      <c r="M12" s="42"/>
      <c r="N12" s="42"/>
      <c r="O12" s="39"/>
      <c r="P12" s="3">
        <f>TABL12345[[#This Row],[خط (S/S  TOT) SAR2]]-TABL12345[[#This Row],[(S/S TOT) AJD]]</f>
        <v>0</v>
      </c>
      <c r="Q12" s="39"/>
      <c r="R12" s="3">
        <f>TABL12345[[#This Row],[خط (T/B  TOT) SAR]]-TABL12345[[#This Row],[(T/B TOT) AJD]]</f>
        <v>0</v>
      </c>
      <c r="S12" s="3">
        <f>TABL12345[[#This Row],[الفرق بين بداية ونهاية خط  S/S]]+TABL12345[[#This Row],[الفرق بين بداية ونهاية خط  T/B]]</f>
        <v>0</v>
      </c>
      <c r="T12" s="3">
        <f t="shared" si="0"/>
        <v>0</v>
      </c>
      <c r="U12" s="41"/>
      <c r="V12" s="41"/>
      <c r="W12" s="3">
        <f t="shared" si="1"/>
        <v>0</v>
      </c>
      <c r="X12" s="3">
        <f t="shared" si="2"/>
        <v>0</v>
      </c>
      <c r="Y12" s="41"/>
      <c r="Z12" s="43"/>
      <c r="AA12" s="3">
        <f>TABL12345[[#This Row],[(RESV. STORGE) AJD]]/10</f>
        <v>0</v>
      </c>
      <c r="AB12" s="43">
        <f t="shared" si="3"/>
        <v>0</v>
      </c>
      <c r="AC12" s="5"/>
      <c r="AD12" s="39">
        <f>(TABL12345[[#This Row],[( S/S+T/B) AJD]]*1000)-((TABL12345[[#This Row],[(STORGE DIFF.) AJD]]*1000)+TABL12345[[#This Row],[البخر  AJD]]+(TABL12345[[#This Row],[(A/B + A/S) AJD]]*1000))</f>
        <v>0</v>
      </c>
      <c r="AE12" s="41"/>
      <c r="AF12" s="43"/>
      <c r="AG12" s="68"/>
      <c r="AH12" s="6">
        <f>TABL12345[[#This Row],[ (RESV. STORGE) BER]]/10</f>
        <v>0</v>
      </c>
      <c r="AI12" s="41"/>
      <c r="AJ12" s="69">
        <f>TABL12345[[#This Row],[(A/B TOT) AJD]]-TABL12345[[#This Row],[BER_ IN]]</f>
        <v>0</v>
      </c>
      <c r="AK12" s="43"/>
      <c r="AL12" s="43"/>
      <c r="AM12" s="32"/>
      <c r="AN12" s="32">
        <f>TABL12345[[#This Row],[ (RESV. STORGE) SER]]/10</f>
        <v>0</v>
      </c>
      <c r="AO12" s="68"/>
      <c r="AP12" s="68">
        <f>TABL12345[[#This Row],[(A/S TOT) AJD]]-TABL12345[[#This Row],[SER_ IN]]</f>
        <v>0</v>
      </c>
    </row>
    <row r="13" spans="1:42" ht="18.75" x14ac:dyDescent="0.25">
      <c r="A13" s="2">
        <v>47130</v>
      </c>
      <c r="B13" s="44"/>
      <c r="C13" s="44"/>
      <c r="D13" s="44"/>
      <c r="E13" s="44"/>
      <c r="F13" s="44"/>
      <c r="G13" s="40"/>
      <c r="H13" s="44"/>
      <c r="I13" s="40"/>
      <c r="J13" s="44"/>
      <c r="K13" s="28">
        <f>TABL12345[[#This Row],[خط (T/B  TOT) SAR]]+TABL12345[[#This Row],[خط (S/S  TOT) SAR2]]</f>
        <v>0</v>
      </c>
      <c r="L13" s="45"/>
      <c r="M13" s="46"/>
      <c r="N13" s="46"/>
      <c r="O13" s="40"/>
      <c r="P13" s="3">
        <f>TABL12345[[#This Row],[خط (S/S  TOT) SAR2]]-TABL12345[[#This Row],[(S/S TOT) AJD]]</f>
        <v>0</v>
      </c>
      <c r="Q13" s="40"/>
      <c r="R13" s="3">
        <f>TABL12345[[#This Row],[خط (T/B  TOT) SAR]]-TABL12345[[#This Row],[(T/B TOT) AJD]]</f>
        <v>0</v>
      </c>
      <c r="S13" s="3">
        <f>TABL12345[[#This Row],[الفرق بين بداية ونهاية خط  S/S]]+TABL12345[[#This Row],[الفرق بين بداية ونهاية خط  T/B]]</f>
        <v>0</v>
      </c>
      <c r="T13" s="3">
        <f t="shared" si="0"/>
        <v>0</v>
      </c>
      <c r="U13" s="44"/>
      <c r="V13" s="44"/>
      <c r="W13" s="3">
        <f t="shared" si="1"/>
        <v>0</v>
      </c>
      <c r="X13" s="3">
        <f t="shared" si="2"/>
        <v>0</v>
      </c>
      <c r="Y13" s="44"/>
      <c r="Z13" s="45"/>
      <c r="AA13" s="3">
        <f>TABL12345[[#This Row],[(RESV. STORGE) AJD]]/10</f>
        <v>0</v>
      </c>
      <c r="AB13" s="45">
        <f t="shared" si="3"/>
        <v>0</v>
      </c>
      <c r="AC13" s="5"/>
      <c r="AD13" s="40">
        <f>(TABL12345[[#This Row],[( S/S+T/B) AJD]]*1000)-((TABL12345[[#This Row],[(STORGE DIFF.) AJD]]*1000)+TABL12345[[#This Row],[البخر  AJD]]+(TABL12345[[#This Row],[(A/B + A/S) AJD]]*1000))</f>
        <v>0</v>
      </c>
      <c r="AE13" s="44"/>
      <c r="AF13" s="45"/>
      <c r="AG13" s="45"/>
      <c r="AH13" s="6">
        <f>TABL12345[[#This Row],[ (RESV. STORGE) BER]]/10</f>
        <v>0</v>
      </c>
      <c r="AI13" s="44"/>
      <c r="AJ13" s="44">
        <f>TABL12345[[#This Row],[(A/B TOT) AJD]]-TABL12345[[#This Row],[BER_ IN]]</f>
        <v>0</v>
      </c>
      <c r="AK13" s="45"/>
      <c r="AL13" s="45"/>
      <c r="AM13" s="32"/>
      <c r="AN13" s="32">
        <f>TABL12345[[#This Row],[ (RESV. STORGE) SER]]/10</f>
        <v>0</v>
      </c>
      <c r="AO13" s="68"/>
      <c r="AP13" s="68">
        <f>TABL12345[[#This Row],[(A/S TOT) AJD]]-TABL12345[[#This Row],[SER_ IN]]</f>
        <v>0</v>
      </c>
    </row>
    <row r="14" spans="1:42" ht="18.75" x14ac:dyDescent="0.25">
      <c r="A14" s="2">
        <v>47131</v>
      </c>
      <c r="B14" s="41"/>
      <c r="C14" s="41"/>
      <c r="D14" s="41"/>
      <c r="E14" s="41"/>
      <c r="F14" s="41"/>
      <c r="G14" s="39"/>
      <c r="H14" s="41"/>
      <c r="I14" s="39"/>
      <c r="J14" s="39"/>
      <c r="K14" s="28">
        <f>TABL12345[[#This Row],[خط (T/B  TOT) SAR]]+TABL12345[[#This Row],[خط (S/S  TOT) SAR2]]</f>
        <v>0</v>
      </c>
      <c r="L14" s="41"/>
      <c r="M14" s="42"/>
      <c r="N14" s="42"/>
      <c r="O14" s="39"/>
      <c r="P14" s="3">
        <f>TABL12345[[#This Row],[خط (S/S  TOT) SAR2]]-TABL12345[[#This Row],[(S/S TOT) AJD]]</f>
        <v>0</v>
      </c>
      <c r="Q14" s="39"/>
      <c r="R14" s="3">
        <f>TABL12345[[#This Row],[خط (T/B  TOT) SAR]]-TABL12345[[#This Row],[(T/B TOT) AJD]]</f>
        <v>0</v>
      </c>
      <c r="S14" s="3">
        <f>TABL12345[[#This Row],[الفرق بين بداية ونهاية خط  S/S]]+TABL12345[[#This Row],[الفرق بين بداية ونهاية خط  T/B]]</f>
        <v>0</v>
      </c>
      <c r="T14" s="3">
        <f t="shared" si="0"/>
        <v>0</v>
      </c>
      <c r="U14" s="41"/>
      <c r="V14" s="41"/>
      <c r="W14" s="3">
        <f t="shared" si="1"/>
        <v>0</v>
      </c>
      <c r="X14" s="3">
        <f t="shared" si="2"/>
        <v>0</v>
      </c>
      <c r="Y14" s="41"/>
      <c r="Z14" s="43"/>
      <c r="AA14" s="3">
        <f>TABL12345[[#This Row],[(RESV. STORGE) AJD]]/10</f>
        <v>0</v>
      </c>
      <c r="AB14" s="43">
        <f t="shared" si="3"/>
        <v>0</v>
      </c>
      <c r="AC14" s="5"/>
      <c r="AD14" s="39">
        <f>(TABL12345[[#This Row],[( S/S+T/B) AJD]]*1000)-((TABL12345[[#This Row],[(STORGE DIFF.) AJD]]*1000)+TABL12345[[#This Row],[البخر  AJD]]+(TABL12345[[#This Row],[(A/B + A/S) AJD]]*1000))</f>
        <v>0</v>
      </c>
      <c r="AE14" s="41"/>
      <c r="AF14" s="43"/>
      <c r="AG14" s="43"/>
      <c r="AH14" s="6">
        <f>TABL12345[[#This Row],[ (RESV. STORGE) BER]]/10</f>
        <v>0</v>
      </c>
      <c r="AI14" s="41"/>
      <c r="AJ14" s="41">
        <f>TABL12345[[#This Row],[(A/B TOT) AJD]]-TABL12345[[#This Row],[BER_ IN]]</f>
        <v>0</v>
      </c>
      <c r="AK14" s="43"/>
      <c r="AL14" s="43"/>
      <c r="AM14" s="32"/>
      <c r="AN14" s="32">
        <f>TABL12345[[#This Row],[ (RESV. STORGE) SER]]/10</f>
        <v>0</v>
      </c>
      <c r="AO14" s="68"/>
      <c r="AP14" s="68">
        <f>TABL12345[[#This Row],[(A/S TOT) AJD]]-TABL12345[[#This Row],[SER_ IN]]</f>
        <v>0</v>
      </c>
    </row>
    <row r="15" spans="1:42" ht="18.75" x14ac:dyDescent="0.25">
      <c r="A15" s="2">
        <v>47132</v>
      </c>
      <c r="B15" s="44"/>
      <c r="C15" s="44"/>
      <c r="D15" s="44"/>
      <c r="E15" s="44"/>
      <c r="F15" s="44"/>
      <c r="G15" s="40"/>
      <c r="H15" s="44"/>
      <c r="I15" s="40"/>
      <c r="J15" s="44"/>
      <c r="K15" s="28">
        <f>TABL12345[[#This Row],[خط (T/B  TOT) SAR]]+TABL12345[[#This Row],[خط (S/S  TOT) SAR2]]</f>
        <v>0</v>
      </c>
      <c r="L15" s="45"/>
      <c r="M15" s="46"/>
      <c r="N15" s="46"/>
      <c r="O15" s="40"/>
      <c r="P15" s="3">
        <f>TABL12345[[#This Row],[خط (S/S  TOT) SAR2]]-TABL12345[[#This Row],[(S/S TOT) AJD]]</f>
        <v>0</v>
      </c>
      <c r="Q15" s="40"/>
      <c r="R15" s="3">
        <f>TABL12345[[#This Row],[خط (T/B  TOT) SAR]]-TABL12345[[#This Row],[(T/B TOT) AJD]]</f>
        <v>0</v>
      </c>
      <c r="S15" s="3">
        <f>TABL12345[[#This Row],[الفرق بين بداية ونهاية خط  S/S]]+TABL12345[[#This Row],[الفرق بين بداية ونهاية خط  T/B]]</f>
        <v>0</v>
      </c>
      <c r="T15" s="3">
        <f t="shared" si="0"/>
        <v>0</v>
      </c>
      <c r="U15" s="44"/>
      <c r="V15" s="44"/>
      <c r="W15" s="3">
        <f t="shared" si="1"/>
        <v>0</v>
      </c>
      <c r="X15" s="3">
        <f t="shared" si="2"/>
        <v>0</v>
      </c>
      <c r="Y15" s="44"/>
      <c r="Z15" s="45"/>
      <c r="AA15" s="3">
        <f>TABL12345[[#This Row],[(RESV. STORGE) AJD]]/10</f>
        <v>0</v>
      </c>
      <c r="AB15" s="45">
        <f t="shared" si="3"/>
        <v>0</v>
      </c>
      <c r="AC15" s="5"/>
      <c r="AD15" s="40">
        <f>(TABL12345[[#This Row],[( S/S+T/B) AJD]]*1000)-((TABL12345[[#This Row],[(STORGE DIFF.) AJD]]*1000)+TABL12345[[#This Row],[البخر  AJD]]+(TABL12345[[#This Row],[(A/B + A/S) AJD]]*1000))</f>
        <v>0</v>
      </c>
      <c r="AE15" s="44"/>
      <c r="AF15" s="45"/>
      <c r="AG15" s="45"/>
      <c r="AH15" s="6">
        <f>TABL12345[[#This Row],[ (RESV. STORGE) BER]]/10</f>
        <v>0</v>
      </c>
      <c r="AI15" s="44"/>
      <c r="AJ15" s="44">
        <f>TABL12345[[#This Row],[(A/B TOT) AJD]]-TABL12345[[#This Row],[BER_ IN]]</f>
        <v>0</v>
      </c>
      <c r="AK15" s="45"/>
      <c r="AL15" s="45"/>
      <c r="AM15" s="32"/>
      <c r="AN15" s="32">
        <f>TABL12345[[#This Row],[ (RESV. STORGE) SER]]/10</f>
        <v>0</v>
      </c>
      <c r="AO15" s="68"/>
      <c r="AP15" s="68">
        <f>TABL12345[[#This Row],[(A/S TOT) AJD]]-TABL12345[[#This Row],[SER_ IN]]</f>
        <v>0</v>
      </c>
    </row>
    <row r="16" spans="1:42" ht="18.75" x14ac:dyDescent="0.25">
      <c r="A16" s="2">
        <v>47133</v>
      </c>
      <c r="B16" s="41"/>
      <c r="C16" s="41"/>
      <c r="D16" s="41"/>
      <c r="E16" s="41"/>
      <c r="F16" s="41"/>
      <c r="G16" s="39"/>
      <c r="H16" s="41"/>
      <c r="I16" s="39"/>
      <c r="J16" s="39"/>
      <c r="K16" s="28">
        <f>TABL12345[[#This Row],[خط (T/B  TOT) SAR]]+TABL12345[[#This Row],[خط (S/S  TOT) SAR2]]</f>
        <v>0</v>
      </c>
      <c r="L16" s="41"/>
      <c r="M16" s="42"/>
      <c r="N16" s="42"/>
      <c r="O16" s="39"/>
      <c r="P16" s="3">
        <f>TABL12345[[#This Row],[خط (S/S  TOT) SAR2]]-TABL12345[[#This Row],[(S/S TOT) AJD]]</f>
        <v>0</v>
      </c>
      <c r="Q16" s="39"/>
      <c r="R16" s="3">
        <f>TABL12345[[#This Row],[خط (T/B  TOT) SAR]]-TABL12345[[#This Row],[(T/B TOT) AJD]]</f>
        <v>0</v>
      </c>
      <c r="S16" s="3">
        <f>TABL12345[[#This Row],[الفرق بين بداية ونهاية خط  S/S]]+TABL12345[[#This Row],[الفرق بين بداية ونهاية خط  T/B]]</f>
        <v>0</v>
      </c>
      <c r="T16" s="3">
        <f t="shared" si="0"/>
        <v>0</v>
      </c>
      <c r="U16" s="41"/>
      <c r="V16" s="41"/>
      <c r="W16" s="3">
        <f t="shared" si="1"/>
        <v>0</v>
      </c>
      <c r="X16" s="3">
        <f t="shared" si="2"/>
        <v>0</v>
      </c>
      <c r="Y16" s="41"/>
      <c r="Z16" s="43"/>
      <c r="AA16" s="3">
        <f>TABL12345[[#This Row],[(RESV. STORGE) AJD]]/10</f>
        <v>0</v>
      </c>
      <c r="AB16" s="43">
        <f t="shared" si="3"/>
        <v>0</v>
      </c>
      <c r="AC16" s="5"/>
      <c r="AD16" s="39">
        <f>(TABL12345[[#This Row],[( S/S+T/B) AJD]]*1000)-((TABL12345[[#This Row],[(STORGE DIFF.) AJD]]*1000)+TABL12345[[#This Row],[البخر  AJD]]+(TABL12345[[#This Row],[(A/B + A/S) AJD]]*1000))</f>
        <v>0</v>
      </c>
      <c r="AE16" s="41"/>
      <c r="AF16" s="43"/>
      <c r="AG16" s="43"/>
      <c r="AH16" s="6">
        <f>TABL12345[[#This Row],[ (RESV. STORGE) BER]]/10</f>
        <v>0</v>
      </c>
      <c r="AI16" s="41"/>
      <c r="AJ16" s="41">
        <f>TABL12345[[#This Row],[(A/B TOT) AJD]]-TABL12345[[#This Row],[BER_ IN]]</f>
        <v>0</v>
      </c>
      <c r="AK16" s="43"/>
      <c r="AL16" s="43"/>
      <c r="AM16" s="32"/>
      <c r="AN16" s="32">
        <f>TABL12345[[#This Row],[ (RESV. STORGE) SER]]/10</f>
        <v>0</v>
      </c>
      <c r="AO16" s="68"/>
      <c r="AP16" s="68">
        <f>TABL12345[[#This Row],[(A/S TOT) AJD]]-TABL12345[[#This Row],[SER_ IN]]</f>
        <v>0</v>
      </c>
    </row>
    <row r="17" spans="1:42" ht="18.75" x14ac:dyDescent="0.25">
      <c r="A17" s="2">
        <v>47134</v>
      </c>
      <c r="B17" s="44"/>
      <c r="C17" s="44"/>
      <c r="D17" s="44"/>
      <c r="E17" s="44"/>
      <c r="F17" s="44"/>
      <c r="G17" s="40"/>
      <c r="H17" s="44"/>
      <c r="I17" s="40"/>
      <c r="J17" s="44"/>
      <c r="K17" s="28">
        <f>TABL12345[[#This Row],[خط (T/B  TOT) SAR]]+TABL12345[[#This Row],[خط (S/S  TOT) SAR2]]</f>
        <v>0</v>
      </c>
      <c r="L17" s="45"/>
      <c r="M17" s="46"/>
      <c r="N17" s="46"/>
      <c r="O17" s="40"/>
      <c r="P17" s="3">
        <f>TABL12345[[#This Row],[خط (S/S  TOT) SAR2]]-TABL12345[[#This Row],[(S/S TOT) AJD]]</f>
        <v>0</v>
      </c>
      <c r="Q17" s="40"/>
      <c r="R17" s="3">
        <f>TABL12345[[#This Row],[خط (T/B  TOT) SAR]]-TABL12345[[#This Row],[(T/B TOT) AJD]]</f>
        <v>0</v>
      </c>
      <c r="S17" s="3">
        <f>TABL12345[[#This Row],[الفرق بين بداية ونهاية خط  S/S]]+TABL12345[[#This Row],[الفرق بين بداية ونهاية خط  T/B]]</f>
        <v>0</v>
      </c>
      <c r="T17" s="3">
        <f t="shared" si="0"/>
        <v>0</v>
      </c>
      <c r="U17" s="44"/>
      <c r="V17" s="44"/>
      <c r="W17" s="3">
        <f t="shared" si="1"/>
        <v>0</v>
      </c>
      <c r="X17" s="3">
        <f t="shared" si="2"/>
        <v>0</v>
      </c>
      <c r="Y17" s="44"/>
      <c r="Z17" s="45"/>
      <c r="AA17" s="3">
        <f>TABL12345[[#This Row],[(RESV. STORGE) AJD]]/10</f>
        <v>0</v>
      </c>
      <c r="AB17" s="45">
        <f t="shared" si="3"/>
        <v>0</v>
      </c>
      <c r="AC17" s="5"/>
      <c r="AD17" s="40">
        <f>(TABL12345[[#This Row],[( S/S+T/B) AJD]]*1000)-((TABL12345[[#This Row],[(STORGE DIFF.) AJD]]*1000)+TABL12345[[#This Row],[البخر  AJD]]+(TABL12345[[#This Row],[(A/B + A/S) AJD]]*1000))</f>
        <v>0</v>
      </c>
      <c r="AE17" s="44"/>
      <c r="AF17" s="45"/>
      <c r="AG17" s="45"/>
      <c r="AH17" s="6">
        <f>TABL12345[[#This Row],[ (RESV. STORGE) BER]]/10</f>
        <v>0</v>
      </c>
      <c r="AI17" s="44"/>
      <c r="AJ17" s="44">
        <f>TABL12345[[#This Row],[(A/B TOT) AJD]]-TABL12345[[#This Row],[BER_ IN]]</f>
        <v>0</v>
      </c>
      <c r="AK17" s="45"/>
      <c r="AL17" s="45"/>
      <c r="AM17" s="32"/>
      <c r="AN17" s="32">
        <f>TABL12345[[#This Row],[ (RESV. STORGE) SER]]/10</f>
        <v>0</v>
      </c>
      <c r="AO17" s="68"/>
      <c r="AP17" s="68">
        <f>TABL12345[[#This Row],[(A/S TOT) AJD]]-TABL12345[[#This Row],[SER_ IN]]</f>
        <v>0</v>
      </c>
    </row>
    <row r="18" spans="1:42" ht="18.75" x14ac:dyDescent="0.25">
      <c r="A18" s="2">
        <v>47135</v>
      </c>
      <c r="B18" s="41"/>
      <c r="C18" s="41"/>
      <c r="D18" s="41"/>
      <c r="E18" s="41"/>
      <c r="F18" s="41"/>
      <c r="G18" s="39"/>
      <c r="H18" s="41"/>
      <c r="I18" s="39"/>
      <c r="J18" s="39"/>
      <c r="K18" s="28">
        <f>TABL12345[[#This Row],[خط (T/B  TOT) SAR]]+TABL12345[[#This Row],[خط (S/S  TOT) SAR2]]</f>
        <v>0</v>
      </c>
      <c r="L18" s="41"/>
      <c r="M18" s="42"/>
      <c r="N18" s="42"/>
      <c r="O18" s="39"/>
      <c r="P18" s="3">
        <f>TABL12345[[#This Row],[خط (S/S  TOT) SAR2]]-TABL12345[[#This Row],[(S/S TOT) AJD]]</f>
        <v>0</v>
      </c>
      <c r="Q18" s="39"/>
      <c r="R18" s="3">
        <f>TABL12345[[#This Row],[خط (T/B  TOT) SAR]]-TABL12345[[#This Row],[(T/B TOT) AJD]]</f>
        <v>0</v>
      </c>
      <c r="S18" s="3">
        <f>TABL12345[[#This Row],[الفرق بين بداية ونهاية خط  S/S]]+TABL12345[[#This Row],[الفرق بين بداية ونهاية خط  T/B]]</f>
        <v>0</v>
      </c>
      <c r="T18" s="3">
        <f t="shared" si="0"/>
        <v>0</v>
      </c>
      <c r="U18" s="41"/>
      <c r="V18" s="41"/>
      <c r="W18" s="3">
        <f t="shared" si="1"/>
        <v>0</v>
      </c>
      <c r="X18" s="3">
        <f t="shared" si="2"/>
        <v>0</v>
      </c>
      <c r="Y18" s="41"/>
      <c r="Z18" s="43"/>
      <c r="AA18" s="3">
        <f>TABL12345[[#This Row],[(RESV. STORGE) AJD]]/10</f>
        <v>0</v>
      </c>
      <c r="AB18" s="43">
        <f t="shared" si="3"/>
        <v>0</v>
      </c>
      <c r="AC18" s="5"/>
      <c r="AD18" s="39">
        <f>(TABL12345[[#This Row],[( S/S+T/B) AJD]]*1000)-((TABL12345[[#This Row],[(STORGE DIFF.) AJD]]*1000)+TABL12345[[#This Row],[البخر  AJD]]+(TABL12345[[#This Row],[(A/B + A/S) AJD]]*1000))</f>
        <v>0</v>
      </c>
      <c r="AE18" s="41"/>
      <c r="AF18" s="43"/>
      <c r="AG18" s="43"/>
      <c r="AH18" s="6">
        <f>TABL12345[[#This Row],[ (RESV. STORGE) BER]]/10</f>
        <v>0</v>
      </c>
      <c r="AI18" s="41"/>
      <c r="AJ18" s="41">
        <f>TABL12345[[#This Row],[(A/B TOT) AJD]]-TABL12345[[#This Row],[BER_ IN]]</f>
        <v>0</v>
      </c>
      <c r="AK18" s="43"/>
      <c r="AL18" s="43"/>
      <c r="AM18" s="32"/>
      <c r="AN18" s="32">
        <f>TABL12345[[#This Row],[ (RESV. STORGE) SER]]/10</f>
        <v>0</v>
      </c>
      <c r="AO18" s="68"/>
      <c r="AP18" s="68">
        <f>TABL12345[[#This Row],[(A/S TOT) AJD]]-TABL12345[[#This Row],[SER_ IN]]</f>
        <v>0</v>
      </c>
    </row>
    <row r="19" spans="1:42" ht="18.75" x14ac:dyDescent="0.25">
      <c r="A19" s="2">
        <v>47136</v>
      </c>
      <c r="B19" s="44"/>
      <c r="C19" s="44"/>
      <c r="D19" s="44"/>
      <c r="E19" s="44"/>
      <c r="F19" s="44"/>
      <c r="G19" s="40"/>
      <c r="H19" s="44"/>
      <c r="I19" s="40"/>
      <c r="J19" s="44"/>
      <c r="K19" s="28">
        <f>TABL12345[[#This Row],[خط (T/B  TOT) SAR]]+TABL12345[[#This Row],[خط (S/S  TOT) SAR2]]</f>
        <v>0</v>
      </c>
      <c r="L19" s="45"/>
      <c r="M19" s="46"/>
      <c r="N19" s="46"/>
      <c r="O19" s="40"/>
      <c r="P19" s="3">
        <f>TABL12345[[#This Row],[خط (S/S  TOT) SAR2]]-TABL12345[[#This Row],[(S/S TOT) AJD]]</f>
        <v>0</v>
      </c>
      <c r="Q19" s="40"/>
      <c r="R19" s="3">
        <f>TABL12345[[#This Row],[خط (T/B  TOT) SAR]]-TABL12345[[#This Row],[(T/B TOT) AJD]]</f>
        <v>0</v>
      </c>
      <c r="S19" s="3">
        <f>TABL12345[[#This Row],[الفرق بين بداية ونهاية خط  S/S]]+TABL12345[[#This Row],[الفرق بين بداية ونهاية خط  T/B]]</f>
        <v>0</v>
      </c>
      <c r="T19" s="3">
        <f t="shared" si="0"/>
        <v>0</v>
      </c>
      <c r="U19" s="44"/>
      <c r="V19" s="44"/>
      <c r="W19" s="3">
        <f t="shared" si="1"/>
        <v>0</v>
      </c>
      <c r="X19" s="3">
        <f t="shared" si="2"/>
        <v>0</v>
      </c>
      <c r="Y19" s="44"/>
      <c r="Z19" s="45"/>
      <c r="AA19" s="3">
        <f>TABL12345[[#This Row],[(RESV. STORGE) AJD]]/10</f>
        <v>0</v>
      </c>
      <c r="AB19" s="45">
        <f t="shared" si="3"/>
        <v>0</v>
      </c>
      <c r="AC19" s="5"/>
      <c r="AD19" s="40">
        <f>(TABL12345[[#This Row],[( S/S+T/B) AJD]]*1000)-((TABL12345[[#This Row],[(STORGE DIFF.) AJD]]*1000)+TABL12345[[#This Row],[البخر  AJD]]+(TABL12345[[#This Row],[(A/B + A/S) AJD]]*1000))</f>
        <v>0</v>
      </c>
      <c r="AE19" s="44"/>
      <c r="AF19" s="45"/>
      <c r="AG19" s="45"/>
      <c r="AH19" s="6">
        <f>TABL12345[[#This Row],[ (RESV. STORGE) BER]]/10</f>
        <v>0</v>
      </c>
      <c r="AI19" s="44"/>
      <c r="AJ19" s="44">
        <f>TABL12345[[#This Row],[(A/B TOT) AJD]]-TABL12345[[#This Row],[BER_ IN]]</f>
        <v>0</v>
      </c>
      <c r="AK19" s="45"/>
      <c r="AL19" s="45"/>
      <c r="AM19" s="32"/>
      <c r="AN19" s="32">
        <f>TABL12345[[#This Row],[ (RESV. STORGE) SER]]/10</f>
        <v>0</v>
      </c>
      <c r="AO19" s="68"/>
      <c r="AP19" s="68">
        <f>TABL12345[[#This Row],[(A/S TOT) AJD]]-TABL12345[[#This Row],[SER_ IN]]</f>
        <v>0</v>
      </c>
    </row>
    <row r="20" spans="1:42" ht="18.75" x14ac:dyDescent="0.25">
      <c r="A20" s="2">
        <v>47137</v>
      </c>
      <c r="B20" s="41"/>
      <c r="C20" s="41"/>
      <c r="D20" s="41"/>
      <c r="E20" s="41"/>
      <c r="F20" s="41"/>
      <c r="G20" s="39"/>
      <c r="H20" s="41"/>
      <c r="I20" s="39"/>
      <c r="J20" s="39"/>
      <c r="K20" s="28">
        <f>TABL12345[[#This Row],[خط (T/B  TOT) SAR]]+TABL12345[[#This Row],[خط (S/S  TOT) SAR2]]</f>
        <v>0</v>
      </c>
      <c r="L20" s="41"/>
      <c r="M20" s="42"/>
      <c r="N20" s="42"/>
      <c r="O20" s="39"/>
      <c r="P20" s="3">
        <f>TABL12345[[#This Row],[خط (S/S  TOT) SAR2]]-TABL12345[[#This Row],[(S/S TOT) AJD]]</f>
        <v>0</v>
      </c>
      <c r="Q20" s="39"/>
      <c r="R20" s="3">
        <f>TABL12345[[#This Row],[خط (T/B  TOT) SAR]]-TABL12345[[#This Row],[(T/B TOT) AJD]]</f>
        <v>0</v>
      </c>
      <c r="S20" s="3">
        <f>TABL12345[[#This Row],[الفرق بين بداية ونهاية خط  S/S]]+TABL12345[[#This Row],[الفرق بين بداية ونهاية خط  T/B]]</f>
        <v>0</v>
      </c>
      <c r="T20" s="3">
        <f t="shared" si="0"/>
        <v>0</v>
      </c>
      <c r="U20" s="41"/>
      <c r="V20" s="41"/>
      <c r="W20" s="3">
        <f t="shared" si="1"/>
        <v>0</v>
      </c>
      <c r="X20" s="3">
        <f t="shared" si="2"/>
        <v>0</v>
      </c>
      <c r="Y20" s="41"/>
      <c r="Z20" s="43"/>
      <c r="AA20" s="3">
        <f>TABL12345[[#This Row],[(RESV. STORGE) AJD]]/10</f>
        <v>0</v>
      </c>
      <c r="AB20" s="43">
        <f t="shared" si="3"/>
        <v>0</v>
      </c>
      <c r="AC20" s="5"/>
      <c r="AD20" s="39">
        <f>(TABL12345[[#This Row],[( S/S+T/B) AJD]]*1000)-((TABL12345[[#This Row],[(STORGE DIFF.) AJD]]*1000)+TABL12345[[#This Row],[البخر  AJD]]+(TABL12345[[#This Row],[(A/B + A/S) AJD]]*1000))</f>
        <v>0</v>
      </c>
      <c r="AE20" s="41"/>
      <c r="AF20" s="43"/>
      <c r="AG20" s="43"/>
      <c r="AH20" s="6">
        <f>TABL12345[[#This Row],[ (RESV. STORGE) BER]]/10</f>
        <v>0</v>
      </c>
      <c r="AI20" s="41"/>
      <c r="AJ20" s="41">
        <f>TABL12345[[#This Row],[(A/B TOT) AJD]]-TABL12345[[#This Row],[BER_ IN]]</f>
        <v>0</v>
      </c>
      <c r="AK20" s="43"/>
      <c r="AL20" s="43"/>
      <c r="AM20" s="32"/>
      <c r="AN20" s="32">
        <f>TABL12345[[#This Row],[ (RESV. STORGE) SER]]/10</f>
        <v>0</v>
      </c>
      <c r="AO20" s="68"/>
      <c r="AP20" s="68">
        <f>TABL12345[[#This Row],[(A/S TOT) AJD]]-TABL12345[[#This Row],[SER_ IN]]</f>
        <v>0</v>
      </c>
    </row>
    <row r="21" spans="1:42" ht="18.75" x14ac:dyDescent="0.25">
      <c r="A21" s="2">
        <v>47138</v>
      </c>
      <c r="B21" s="44"/>
      <c r="C21" s="44"/>
      <c r="D21" s="44"/>
      <c r="E21" s="44"/>
      <c r="F21" s="44"/>
      <c r="G21" s="40"/>
      <c r="H21" s="44"/>
      <c r="I21" s="40"/>
      <c r="J21" s="44"/>
      <c r="K21" s="28">
        <f>TABL12345[[#This Row],[خط (T/B  TOT) SAR]]+TABL12345[[#This Row],[خط (S/S  TOT) SAR2]]</f>
        <v>0</v>
      </c>
      <c r="L21" s="45"/>
      <c r="M21" s="46"/>
      <c r="N21" s="46"/>
      <c r="O21" s="40"/>
      <c r="P21" s="3">
        <f>TABL12345[[#This Row],[خط (S/S  TOT) SAR2]]-TABL12345[[#This Row],[(S/S TOT) AJD]]</f>
        <v>0</v>
      </c>
      <c r="Q21" s="40"/>
      <c r="R21" s="3">
        <f>TABL12345[[#This Row],[خط (T/B  TOT) SAR]]-TABL12345[[#This Row],[(T/B TOT) AJD]]</f>
        <v>0</v>
      </c>
      <c r="S21" s="3">
        <f>TABL12345[[#This Row],[الفرق بين بداية ونهاية خط  S/S]]+TABL12345[[#This Row],[الفرق بين بداية ونهاية خط  T/B]]</f>
        <v>0</v>
      </c>
      <c r="T21" s="3">
        <f t="shared" si="0"/>
        <v>0</v>
      </c>
      <c r="U21" s="44"/>
      <c r="V21" s="44"/>
      <c r="W21" s="3">
        <f t="shared" si="1"/>
        <v>0</v>
      </c>
      <c r="X21" s="3">
        <f t="shared" si="2"/>
        <v>0</v>
      </c>
      <c r="Y21" s="44"/>
      <c r="Z21" s="45"/>
      <c r="AA21" s="3">
        <f>TABL12345[[#This Row],[(RESV. STORGE) AJD]]/10</f>
        <v>0</v>
      </c>
      <c r="AB21" s="45">
        <f t="shared" si="3"/>
        <v>0</v>
      </c>
      <c r="AC21" s="5"/>
      <c r="AD21" s="40">
        <f>(TABL12345[[#This Row],[( S/S+T/B) AJD]]*1000)-((TABL12345[[#This Row],[(STORGE DIFF.) AJD]]*1000)+TABL12345[[#This Row],[البخر  AJD]]+(TABL12345[[#This Row],[(A/B + A/S) AJD]]*1000))</f>
        <v>0</v>
      </c>
      <c r="AE21" s="44"/>
      <c r="AF21" s="45"/>
      <c r="AG21" s="45"/>
      <c r="AH21" s="6">
        <f>TABL12345[[#This Row],[ (RESV. STORGE) BER]]/10</f>
        <v>0</v>
      </c>
      <c r="AI21" s="44"/>
      <c r="AJ21" s="44">
        <f>TABL12345[[#This Row],[(A/B TOT) AJD]]-TABL12345[[#This Row],[BER_ IN]]</f>
        <v>0</v>
      </c>
      <c r="AK21" s="45"/>
      <c r="AL21" s="45"/>
      <c r="AM21" s="32"/>
      <c r="AN21" s="32">
        <f>TABL12345[[#This Row],[ (RESV. STORGE) SER]]/10</f>
        <v>0</v>
      </c>
      <c r="AO21" s="68"/>
      <c r="AP21" s="68">
        <f>TABL12345[[#This Row],[(A/S TOT) AJD]]-TABL12345[[#This Row],[SER_ IN]]</f>
        <v>0</v>
      </c>
    </row>
    <row r="22" spans="1:42" ht="18.75" x14ac:dyDescent="0.25">
      <c r="A22" s="2">
        <v>47139</v>
      </c>
      <c r="B22" s="41"/>
      <c r="C22" s="41"/>
      <c r="D22" s="41"/>
      <c r="E22" s="41"/>
      <c r="F22" s="41"/>
      <c r="G22" s="39"/>
      <c r="H22" s="41"/>
      <c r="I22" s="39"/>
      <c r="J22" s="39"/>
      <c r="K22" s="28">
        <f>TABL12345[[#This Row],[خط (T/B  TOT) SAR]]+TABL12345[[#This Row],[خط (S/S  TOT) SAR2]]</f>
        <v>0</v>
      </c>
      <c r="L22" s="41"/>
      <c r="M22" s="42"/>
      <c r="N22" s="42"/>
      <c r="O22" s="39"/>
      <c r="P22" s="3">
        <f>TABL12345[[#This Row],[خط (S/S  TOT) SAR2]]-TABL12345[[#This Row],[(S/S TOT) AJD]]</f>
        <v>0</v>
      </c>
      <c r="Q22" s="39"/>
      <c r="R22" s="3">
        <f>TABL12345[[#This Row],[خط (T/B  TOT) SAR]]-TABL12345[[#This Row],[(T/B TOT) AJD]]</f>
        <v>0</v>
      </c>
      <c r="S22" s="3">
        <f>TABL12345[[#This Row],[الفرق بين بداية ونهاية خط  S/S]]+TABL12345[[#This Row],[الفرق بين بداية ونهاية خط  T/B]]</f>
        <v>0</v>
      </c>
      <c r="T22" s="3">
        <f t="shared" si="0"/>
        <v>0</v>
      </c>
      <c r="U22" s="41"/>
      <c r="V22" s="41"/>
      <c r="W22" s="3">
        <f t="shared" si="1"/>
        <v>0</v>
      </c>
      <c r="X22" s="3">
        <f t="shared" si="2"/>
        <v>0</v>
      </c>
      <c r="Y22" s="41"/>
      <c r="Z22" s="43"/>
      <c r="AA22" s="3">
        <f>TABL12345[[#This Row],[(RESV. STORGE) AJD]]/10</f>
        <v>0</v>
      </c>
      <c r="AB22" s="43">
        <f t="shared" si="3"/>
        <v>0</v>
      </c>
      <c r="AC22" s="5"/>
      <c r="AD22" s="39">
        <f>(TABL12345[[#This Row],[( S/S+T/B) AJD]]*1000)-((TABL12345[[#This Row],[(STORGE DIFF.) AJD]]*1000)+TABL12345[[#This Row],[البخر  AJD]]+(TABL12345[[#This Row],[(A/B + A/S) AJD]]*1000))</f>
        <v>0</v>
      </c>
      <c r="AE22" s="41"/>
      <c r="AF22" s="43"/>
      <c r="AG22" s="43"/>
      <c r="AH22" s="6">
        <f>TABL12345[[#This Row],[ (RESV. STORGE) BER]]/10</f>
        <v>0</v>
      </c>
      <c r="AI22" s="41"/>
      <c r="AJ22" s="41">
        <f>TABL12345[[#This Row],[(A/B TOT) AJD]]-TABL12345[[#This Row],[BER_ IN]]</f>
        <v>0</v>
      </c>
      <c r="AK22" s="43"/>
      <c r="AL22" s="43"/>
      <c r="AM22" s="32"/>
      <c r="AN22" s="32">
        <f>TABL12345[[#This Row],[ (RESV. STORGE) SER]]/10</f>
        <v>0</v>
      </c>
      <c r="AO22" s="68"/>
      <c r="AP22" s="68">
        <f>TABL12345[[#This Row],[(A/S TOT) AJD]]-TABL12345[[#This Row],[SER_ IN]]</f>
        <v>0</v>
      </c>
    </row>
    <row r="23" spans="1:42" ht="18.75" x14ac:dyDescent="0.25">
      <c r="A23" s="2">
        <v>47140</v>
      </c>
      <c r="B23" s="44"/>
      <c r="C23" s="44"/>
      <c r="D23" s="44"/>
      <c r="E23" s="44"/>
      <c r="F23" s="44"/>
      <c r="G23" s="40"/>
      <c r="H23" s="44"/>
      <c r="I23" s="40"/>
      <c r="J23" s="44"/>
      <c r="K23" s="28">
        <f>TABL12345[[#This Row],[خط (T/B  TOT) SAR]]+TABL12345[[#This Row],[خط (S/S  TOT) SAR2]]</f>
        <v>0</v>
      </c>
      <c r="L23" s="45"/>
      <c r="M23" s="46"/>
      <c r="N23" s="46"/>
      <c r="O23" s="40"/>
      <c r="P23" s="3">
        <f>TABL12345[[#This Row],[خط (S/S  TOT) SAR2]]-TABL12345[[#This Row],[(S/S TOT) AJD]]</f>
        <v>0</v>
      </c>
      <c r="Q23" s="40"/>
      <c r="R23" s="3">
        <f>TABL12345[[#This Row],[خط (T/B  TOT) SAR]]-TABL12345[[#This Row],[(T/B TOT) AJD]]</f>
        <v>0</v>
      </c>
      <c r="S23" s="3">
        <f>TABL12345[[#This Row],[الفرق بين بداية ونهاية خط  S/S]]+TABL12345[[#This Row],[الفرق بين بداية ونهاية خط  T/B]]</f>
        <v>0</v>
      </c>
      <c r="T23" s="3">
        <f t="shared" si="0"/>
        <v>0</v>
      </c>
      <c r="U23" s="44"/>
      <c r="V23" s="44"/>
      <c r="W23" s="3">
        <f t="shared" si="1"/>
        <v>0</v>
      </c>
      <c r="X23" s="3">
        <f t="shared" si="2"/>
        <v>0</v>
      </c>
      <c r="Y23" s="44"/>
      <c r="Z23" s="45"/>
      <c r="AA23" s="3">
        <f>TABL12345[[#This Row],[(RESV. STORGE) AJD]]/10</f>
        <v>0</v>
      </c>
      <c r="AB23" s="45">
        <f t="shared" si="3"/>
        <v>0</v>
      </c>
      <c r="AC23" s="5"/>
      <c r="AD23" s="40">
        <f>(TABL12345[[#This Row],[( S/S+T/B) AJD]]*1000)-((TABL12345[[#This Row],[(STORGE DIFF.) AJD]]*1000)+TABL12345[[#This Row],[البخر  AJD]]+(TABL12345[[#This Row],[(A/B + A/S) AJD]]*1000))</f>
        <v>0</v>
      </c>
      <c r="AE23" s="44"/>
      <c r="AF23" s="45"/>
      <c r="AG23" s="45"/>
      <c r="AH23" s="6">
        <f>TABL12345[[#This Row],[ (RESV. STORGE) BER]]/10</f>
        <v>0</v>
      </c>
      <c r="AI23" s="44"/>
      <c r="AJ23" s="44">
        <f>TABL12345[[#This Row],[(A/B TOT) AJD]]-TABL12345[[#This Row],[BER_ IN]]</f>
        <v>0</v>
      </c>
      <c r="AK23" s="45"/>
      <c r="AL23" s="45"/>
      <c r="AM23" s="32"/>
      <c r="AN23" s="32">
        <f>TABL12345[[#This Row],[ (RESV. STORGE) SER]]/10</f>
        <v>0</v>
      </c>
      <c r="AO23" s="68"/>
      <c r="AP23" s="68">
        <f>TABL12345[[#This Row],[(A/S TOT) AJD]]-TABL12345[[#This Row],[SER_ IN]]</f>
        <v>0</v>
      </c>
    </row>
    <row r="24" spans="1:42" ht="18.75" x14ac:dyDescent="0.25">
      <c r="A24" s="2">
        <v>47141</v>
      </c>
      <c r="B24" s="41"/>
      <c r="C24" s="41"/>
      <c r="D24" s="41"/>
      <c r="E24" s="41"/>
      <c r="F24" s="41"/>
      <c r="G24" s="39"/>
      <c r="H24" s="41"/>
      <c r="I24" s="39"/>
      <c r="J24" s="39"/>
      <c r="K24" s="28">
        <f>TABL12345[[#This Row],[خط (T/B  TOT) SAR]]+TABL12345[[#This Row],[خط (S/S  TOT) SAR2]]</f>
        <v>0</v>
      </c>
      <c r="L24" s="41"/>
      <c r="M24" s="42"/>
      <c r="N24" s="42"/>
      <c r="O24" s="39"/>
      <c r="P24" s="3">
        <f>TABL12345[[#This Row],[خط (S/S  TOT) SAR2]]-TABL12345[[#This Row],[(S/S TOT) AJD]]</f>
        <v>0</v>
      </c>
      <c r="Q24" s="39"/>
      <c r="R24" s="3">
        <f>TABL12345[[#This Row],[خط (T/B  TOT) SAR]]-TABL12345[[#This Row],[(T/B TOT) AJD]]</f>
        <v>0</v>
      </c>
      <c r="S24" s="3">
        <f>TABL12345[[#This Row],[الفرق بين بداية ونهاية خط  S/S]]+TABL12345[[#This Row],[الفرق بين بداية ونهاية خط  T/B]]</f>
        <v>0</v>
      </c>
      <c r="T24" s="3">
        <f t="shared" si="0"/>
        <v>0</v>
      </c>
      <c r="U24" s="41"/>
      <c r="V24" s="41"/>
      <c r="W24" s="3">
        <f t="shared" si="1"/>
        <v>0</v>
      </c>
      <c r="X24" s="3">
        <f t="shared" si="2"/>
        <v>0</v>
      </c>
      <c r="Y24" s="41"/>
      <c r="Z24" s="43"/>
      <c r="AA24" s="3">
        <f>TABL12345[[#This Row],[(RESV. STORGE) AJD]]/10</f>
        <v>0</v>
      </c>
      <c r="AB24" s="43">
        <f t="shared" si="3"/>
        <v>0</v>
      </c>
      <c r="AC24" s="5"/>
      <c r="AD24" s="39">
        <f>(TABL12345[[#This Row],[( S/S+T/B) AJD]]*1000)-((TABL12345[[#This Row],[(STORGE DIFF.) AJD]]*1000)+TABL12345[[#This Row],[البخر  AJD]]+(TABL12345[[#This Row],[(A/B + A/S) AJD]]*1000))</f>
        <v>0</v>
      </c>
      <c r="AE24" s="41"/>
      <c r="AF24" s="43"/>
      <c r="AG24" s="43"/>
      <c r="AH24" s="6">
        <f>TABL12345[[#This Row],[ (RESV. STORGE) BER]]/10</f>
        <v>0</v>
      </c>
      <c r="AI24" s="41"/>
      <c r="AJ24" s="41">
        <f>TABL12345[[#This Row],[(A/B TOT) AJD]]-TABL12345[[#This Row],[BER_ IN]]</f>
        <v>0</v>
      </c>
      <c r="AK24" s="43"/>
      <c r="AL24" s="43"/>
      <c r="AM24" s="32"/>
      <c r="AN24" s="32">
        <f>TABL12345[[#This Row],[ (RESV. STORGE) SER]]/10</f>
        <v>0</v>
      </c>
      <c r="AO24" s="68"/>
      <c r="AP24" s="68">
        <f>TABL12345[[#This Row],[(A/S TOT) AJD]]-TABL12345[[#This Row],[SER_ IN]]</f>
        <v>0</v>
      </c>
    </row>
    <row r="25" spans="1:42" ht="18.75" x14ac:dyDescent="0.25">
      <c r="A25" s="2">
        <v>47142</v>
      </c>
      <c r="B25" s="44"/>
      <c r="C25" s="44"/>
      <c r="D25" s="44"/>
      <c r="E25" s="44"/>
      <c r="F25" s="44"/>
      <c r="G25" s="40"/>
      <c r="H25" s="44"/>
      <c r="I25" s="40"/>
      <c r="J25" s="44"/>
      <c r="K25" s="28">
        <f>TABL12345[[#This Row],[خط (T/B  TOT) SAR]]+TABL12345[[#This Row],[خط (S/S  TOT) SAR2]]</f>
        <v>0</v>
      </c>
      <c r="L25" s="45"/>
      <c r="M25" s="46"/>
      <c r="N25" s="46"/>
      <c r="O25" s="40"/>
      <c r="P25" s="3">
        <f>TABL12345[[#This Row],[خط (S/S  TOT) SAR2]]-TABL12345[[#This Row],[(S/S TOT) AJD]]</f>
        <v>0</v>
      </c>
      <c r="Q25" s="40"/>
      <c r="R25" s="3">
        <f>TABL12345[[#This Row],[خط (T/B  TOT) SAR]]-TABL12345[[#This Row],[(T/B TOT) AJD]]</f>
        <v>0</v>
      </c>
      <c r="S25" s="3">
        <f>TABL12345[[#This Row],[الفرق بين بداية ونهاية خط  S/S]]+TABL12345[[#This Row],[الفرق بين بداية ونهاية خط  T/B]]</f>
        <v>0</v>
      </c>
      <c r="T25" s="3">
        <f t="shared" si="0"/>
        <v>0</v>
      </c>
      <c r="U25" s="44"/>
      <c r="V25" s="44"/>
      <c r="W25" s="3">
        <f t="shared" si="1"/>
        <v>0</v>
      </c>
      <c r="X25" s="3">
        <f t="shared" si="2"/>
        <v>0</v>
      </c>
      <c r="Y25" s="44"/>
      <c r="Z25" s="45"/>
      <c r="AA25" s="3">
        <f>TABL12345[[#This Row],[(RESV. STORGE) AJD]]/10</f>
        <v>0</v>
      </c>
      <c r="AB25" s="45">
        <f t="shared" si="3"/>
        <v>0</v>
      </c>
      <c r="AC25" s="5"/>
      <c r="AD25" s="40">
        <f>(TABL12345[[#This Row],[( S/S+T/B) AJD]]*1000)-((TABL12345[[#This Row],[(STORGE DIFF.) AJD]]*1000)+TABL12345[[#This Row],[البخر  AJD]]+(TABL12345[[#This Row],[(A/B + A/S) AJD]]*1000))</f>
        <v>0</v>
      </c>
      <c r="AE25" s="44"/>
      <c r="AF25" s="45"/>
      <c r="AG25" s="45"/>
      <c r="AH25" s="6">
        <f>TABL12345[[#This Row],[ (RESV. STORGE) BER]]/10</f>
        <v>0</v>
      </c>
      <c r="AI25" s="44"/>
      <c r="AJ25" s="44">
        <f>TABL12345[[#This Row],[(A/B TOT) AJD]]-TABL12345[[#This Row],[BER_ IN]]</f>
        <v>0</v>
      </c>
      <c r="AK25" s="45"/>
      <c r="AL25" s="45"/>
      <c r="AM25" s="32"/>
      <c r="AN25" s="32">
        <f>TABL12345[[#This Row],[ (RESV. STORGE) SER]]/10</f>
        <v>0</v>
      </c>
      <c r="AO25" s="68"/>
      <c r="AP25" s="68">
        <f>TABL12345[[#This Row],[(A/S TOT) AJD]]-TABL12345[[#This Row],[SER_ IN]]</f>
        <v>0</v>
      </c>
    </row>
    <row r="26" spans="1:42" ht="18.75" x14ac:dyDescent="0.25">
      <c r="A26" s="2">
        <v>47143</v>
      </c>
      <c r="B26" s="41"/>
      <c r="C26" s="41"/>
      <c r="D26" s="41"/>
      <c r="E26" s="41"/>
      <c r="F26" s="41"/>
      <c r="G26" s="39"/>
      <c r="H26" s="41"/>
      <c r="I26" s="39"/>
      <c r="J26" s="39"/>
      <c r="K26" s="28">
        <f>TABL12345[[#This Row],[خط (T/B  TOT) SAR]]+TABL12345[[#This Row],[خط (S/S  TOT) SAR2]]</f>
        <v>0</v>
      </c>
      <c r="L26" s="41"/>
      <c r="M26" s="42"/>
      <c r="N26" s="42"/>
      <c r="O26" s="39"/>
      <c r="P26" s="3">
        <f>TABL12345[[#This Row],[خط (S/S  TOT) SAR2]]-TABL12345[[#This Row],[(S/S TOT) AJD]]</f>
        <v>0</v>
      </c>
      <c r="Q26" s="39"/>
      <c r="R26" s="3">
        <f>TABL12345[[#This Row],[خط (T/B  TOT) SAR]]-TABL12345[[#This Row],[(T/B TOT) AJD]]</f>
        <v>0</v>
      </c>
      <c r="S26" s="3">
        <f>TABL12345[[#This Row],[الفرق بين بداية ونهاية خط  S/S]]+TABL12345[[#This Row],[الفرق بين بداية ونهاية خط  T/B]]</f>
        <v>0</v>
      </c>
      <c r="T26" s="3">
        <f t="shared" si="0"/>
        <v>0</v>
      </c>
      <c r="U26" s="41"/>
      <c r="V26" s="41"/>
      <c r="W26" s="3">
        <f t="shared" si="1"/>
        <v>0</v>
      </c>
      <c r="X26" s="3">
        <f t="shared" si="2"/>
        <v>0</v>
      </c>
      <c r="Y26" s="41"/>
      <c r="Z26" s="43"/>
      <c r="AA26" s="3">
        <f>TABL12345[[#This Row],[(RESV. STORGE) AJD]]/10</f>
        <v>0</v>
      </c>
      <c r="AB26" s="43">
        <f t="shared" si="3"/>
        <v>0</v>
      </c>
      <c r="AC26" s="5"/>
      <c r="AD26" s="39">
        <f>(TABL12345[[#This Row],[( S/S+T/B) AJD]]*1000)-((TABL12345[[#This Row],[(STORGE DIFF.) AJD]]*1000)+TABL12345[[#This Row],[البخر  AJD]]+(TABL12345[[#This Row],[(A/B + A/S) AJD]]*1000))</f>
        <v>0</v>
      </c>
      <c r="AE26" s="41"/>
      <c r="AF26" s="43"/>
      <c r="AG26" s="43"/>
      <c r="AH26" s="6">
        <f>TABL12345[[#This Row],[ (RESV. STORGE) BER]]/10</f>
        <v>0</v>
      </c>
      <c r="AI26" s="41"/>
      <c r="AJ26" s="41">
        <f>TABL12345[[#This Row],[(A/B TOT) AJD]]-TABL12345[[#This Row],[BER_ IN]]</f>
        <v>0</v>
      </c>
      <c r="AK26" s="43"/>
      <c r="AL26" s="43"/>
      <c r="AM26" s="32"/>
      <c r="AN26" s="32">
        <f>TABL12345[[#This Row],[ (RESV. STORGE) SER]]/10</f>
        <v>0</v>
      </c>
      <c r="AO26" s="68"/>
      <c r="AP26" s="68">
        <f>TABL12345[[#This Row],[(A/S TOT) AJD]]-TABL12345[[#This Row],[SER_ IN]]</f>
        <v>0</v>
      </c>
    </row>
    <row r="27" spans="1:42" ht="18.75" x14ac:dyDescent="0.25">
      <c r="A27" s="2">
        <v>47144</v>
      </c>
      <c r="B27" s="44"/>
      <c r="C27" s="44"/>
      <c r="D27" s="44"/>
      <c r="E27" s="44"/>
      <c r="F27" s="44"/>
      <c r="G27" s="40"/>
      <c r="H27" s="44"/>
      <c r="I27" s="40"/>
      <c r="J27" s="44"/>
      <c r="K27" s="28">
        <f>TABL12345[[#This Row],[خط (T/B  TOT) SAR]]+TABL12345[[#This Row],[خط (S/S  TOT) SAR2]]</f>
        <v>0</v>
      </c>
      <c r="L27" s="45"/>
      <c r="M27" s="46"/>
      <c r="N27" s="46"/>
      <c r="O27" s="40"/>
      <c r="P27" s="3">
        <f>TABL12345[[#This Row],[خط (S/S  TOT) SAR2]]-TABL12345[[#This Row],[(S/S TOT) AJD]]</f>
        <v>0</v>
      </c>
      <c r="Q27" s="40"/>
      <c r="R27" s="3">
        <f>TABL12345[[#This Row],[خط (T/B  TOT) SAR]]-TABL12345[[#This Row],[(T/B TOT) AJD]]</f>
        <v>0</v>
      </c>
      <c r="S27" s="3">
        <f>TABL12345[[#This Row],[الفرق بين بداية ونهاية خط  S/S]]+TABL12345[[#This Row],[الفرق بين بداية ونهاية خط  T/B]]</f>
        <v>0</v>
      </c>
      <c r="T27" s="3">
        <f t="shared" si="0"/>
        <v>0</v>
      </c>
      <c r="U27" s="44"/>
      <c r="V27" s="44"/>
      <c r="W27" s="3">
        <f t="shared" si="1"/>
        <v>0</v>
      </c>
      <c r="X27" s="3">
        <f t="shared" si="2"/>
        <v>0</v>
      </c>
      <c r="Y27" s="44"/>
      <c r="Z27" s="45"/>
      <c r="AA27" s="3">
        <f>TABL12345[[#This Row],[(RESV. STORGE) AJD]]/10</f>
        <v>0</v>
      </c>
      <c r="AB27" s="45">
        <f t="shared" si="3"/>
        <v>0</v>
      </c>
      <c r="AC27" s="5"/>
      <c r="AD27" s="40">
        <f>(TABL12345[[#This Row],[( S/S+T/B) AJD]]*1000)-((TABL12345[[#This Row],[(STORGE DIFF.) AJD]]*1000)+TABL12345[[#This Row],[البخر  AJD]]+(TABL12345[[#This Row],[(A/B + A/S) AJD]]*1000))</f>
        <v>0</v>
      </c>
      <c r="AE27" s="44"/>
      <c r="AF27" s="45"/>
      <c r="AG27" s="45"/>
      <c r="AH27" s="6">
        <f>TABL12345[[#This Row],[ (RESV. STORGE) BER]]/10</f>
        <v>0</v>
      </c>
      <c r="AI27" s="44"/>
      <c r="AJ27" s="44">
        <f>TABL12345[[#This Row],[(A/B TOT) AJD]]-TABL12345[[#This Row],[BER_ IN]]</f>
        <v>0</v>
      </c>
      <c r="AK27" s="45"/>
      <c r="AL27" s="45"/>
      <c r="AM27" s="32"/>
      <c r="AN27" s="32">
        <f>TABL12345[[#This Row],[ (RESV. STORGE) SER]]/10</f>
        <v>0</v>
      </c>
      <c r="AO27" s="68"/>
      <c r="AP27" s="68">
        <f>TABL12345[[#This Row],[(A/S TOT) AJD]]-TABL12345[[#This Row],[SER_ IN]]</f>
        <v>0</v>
      </c>
    </row>
    <row r="28" spans="1:42" ht="18.75" x14ac:dyDescent="0.25">
      <c r="A28" s="2">
        <v>47145</v>
      </c>
      <c r="B28" s="41"/>
      <c r="C28" s="41"/>
      <c r="D28" s="41"/>
      <c r="E28" s="41"/>
      <c r="F28" s="41"/>
      <c r="G28" s="39"/>
      <c r="H28" s="41"/>
      <c r="I28" s="39"/>
      <c r="J28" s="39"/>
      <c r="K28" s="28">
        <f>TABL12345[[#This Row],[خط (T/B  TOT) SAR]]+TABL12345[[#This Row],[خط (S/S  TOT) SAR2]]</f>
        <v>0</v>
      </c>
      <c r="L28" s="41"/>
      <c r="M28" s="42"/>
      <c r="N28" s="42"/>
      <c r="O28" s="39"/>
      <c r="P28" s="3">
        <f>TABL12345[[#This Row],[خط (S/S  TOT) SAR2]]-TABL12345[[#This Row],[(S/S TOT) AJD]]</f>
        <v>0</v>
      </c>
      <c r="Q28" s="39"/>
      <c r="R28" s="3">
        <f>TABL12345[[#This Row],[خط (T/B  TOT) SAR]]-TABL12345[[#This Row],[(T/B TOT) AJD]]</f>
        <v>0</v>
      </c>
      <c r="S28" s="3">
        <f>TABL12345[[#This Row],[الفرق بين بداية ونهاية خط  S/S]]+TABL12345[[#This Row],[الفرق بين بداية ونهاية خط  T/B]]</f>
        <v>0</v>
      </c>
      <c r="T28" s="3">
        <f t="shared" si="0"/>
        <v>0</v>
      </c>
      <c r="U28" s="41"/>
      <c r="V28" s="41"/>
      <c r="W28" s="3">
        <f t="shared" si="1"/>
        <v>0</v>
      </c>
      <c r="X28" s="3">
        <f t="shared" si="2"/>
        <v>0</v>
      </c>
      <c r="Y28" s="41"/>
      <c r="Z28" s="43"/>
      <c r="AA28" s="3">
        <f>TABL12345[[#This Row],[(RESV. STORGE) AJD]]/10</f>
        <v>0</v>
      </c>
      <c r="AB28" s="43">
        <f t="shared" si="3"/>
        <v>0</v>
      </c>
      <c r="AC28" s="5"/>
      <c r="AD28" s="39">
        <f>(TABL12345[[#This Row],[( S/S+T/B) AJD]]*1000)-((TABL12345[[#This Row],[(STORGE DIFF.) AJD]]*1000)+TABL12345[[#This Row],[البخر  AJD]]+(TABL12345[[#This Row],[(A/B + A/S) AJD]]*1000))</f>
        <v>0</v>
      </c>
      <c r="AE28" s="41"/>
      <c r="AF28" s="43"/>
      <c r="AG28" s="43"/>
      <c r="AH28" s="6">
        <f>TABL12345[[#This Row],[ (RESV. STORGE) BER]]/10</f>
        <v>0</v>
      </c>
      <c r="AI28" s="41"/>
      <c r="AJ28" s="41">
        <f>TABL12345[[#This Row],[(A/B TOT) AJD]]-TABL12345[[#This Row],[BER_ IN]]</f>
        <v>0</v>
      </c>
      <c r="AK28" s="43"/>
      <c r="AL28" s="43"/>
      <c r="AM28" s="32"/>
      <c r="AN28" s="32">
        <f>TABL12345[[#This Row],[ (RESV. STORGE) SER]]/10</f>
        <v>0</v>
      </c>
      <c r="AO28" s="68"/>
      <c r="AP28" s="68">
        <f>TABL12345[[#This Row],[(A/S TOT) AJD]]-TABL12345[[#This Row],[SER_ IN]]</f>
        <v>0</v>
      </c>
    </row>
    <row r="29" spans="1:42" ht="18.75" x14ac:dyDescent="0.25">
      <c r="A29" s="2">
        <v>47146</v>
      </c>
      <c r="B29" s="44"/>
      <c r="C29" s="44"/>
      <c r="D29" s="44"/>
      <c r="E29" s="44"/>
      <c r="F29" s="44"/>
      <c r="G29" s="40"/>
      <c r="H29" s="44"/>
      <c r="I29" s="40"/>
      <c r="J29" s="44"/>
      <c r="K29" s="28">
        <f>TABL12345[[#This Row],[خط (T/B  TOT) SAR]]+TABL12345[[#This Row],[خط (S/S  TOT) SAR2]]</f>
        <v>0</v>
      </c>
      <c r="L29" s="45"/>
      <c r="M29" s="46"/>
      <c r="N29" s="46"/>
      <c r="O29" s="40"/>
      <c r="P29" s="3">
        <f>TABL12345[[#This Row],[خط (S/S  TOT) SAR2]]-TABL12345[[#This Row],[(S/S TOT) AJD]]</f>
        <v>0</v>
      </c>
      <c r="Q29" s="40"/>
      <c r="R29" s="3">
        <f>TABL12345[[#This Row],[خط (T/B  TOT) SAR]]-TABL12345[[#This Row],[(T/B TOT) AJD]]</f>
        <v>0</v>
      </c>
      <c r="S29" s="3">
        <f>TABL12345[[#This Row],[الفرق بين بداية ونهاية خط  S/S]]+TABL12345[[#This Row],[الفرق بين بداية ونهاية خط  T/B]]</f>
        <v>0</v>
      </c>
      <c r="T29" s="3">
        <f t="shared" si="0"/>
        <v>0</v>
      </c>
      <c r="U29" s="44"/>
      <c r="V29" s="44"/>
      <c r="W29" s="3">
        <f t="shared" si="1"/>
        <v>0</v>
      </c>
      <c r="X29" s="3">
        <f t="shared" si="2"/>
        <v>0</v>
      </c>
      <c r="Y29" s="44"/>
      <c r="Z29" s="45"/>
      <c r="AA29" s="3">
        <f>TABL12345[[#This Row],[(RESV. STORGE) AJD]]/10</f>
        <v>0</v>
      </c>
      <c r="AB29" s="45">
        <f t="shared" si="3"/>
        <v>0</v>
      </c>
      <c r="AC29" s="5"/>
      <c r="AD29" s="40">
        <f>(TABL12345[[#This Row],[( S/S+T/B) AJD]]*1000)-((TABL12345[[#This Row],[(STORGE DIFF.) AJD]]*1000)+TABL12345[[#This Row],[البخر  AJD]]+(TABL12345[[#This Row],[(A/B + A/S) AJD]]*1000))</f>
        <v>0</v>
      </c>
      <c r="AE29" s="44"/>
      <c r="AF29" s="45"/>
      <c r="AG29" s="45"/>
      <c r="AH29" s="6">
        <f>TABL12345[[#This Row],[ (RESV. STORGE) BER]]/10</f>
        <v>0</v>
      </c>
      <c r="AI29" s="44"/>
      <c r="AJ29" s="44">
        <f>TABL12345[[#This Row],[(A/B TOT) AJD]]-TABL12345[[#This Row],[BER_ IN]]</f>
        <v>0</v>
      </c>
      <c r="AK29" s="45"/>
      <c r="AL29" s="45"/>
      <c r="AM29" s="32"/>
      <c r="AN29" s="32">
        <f>TABL12345[[#This Row],[ (RESV. STORGE) SER]]/10</f>
        <v>0</v>
      </c>
      <c r="AO29" s="68"/>
      <c r="AP29" s="68">
        <f>TABL12345[[#This Row],[(A/S TOT) AJD]]-TABL12345[[#This Row],[SER_ IN]]</f>
        <v>0</v>
      </c>
    </row>
    <row r="30" spans="1:42" ht="18.75" x14ac:dyDescent="0.25">
      <c r="A30" s="2">
        <v>47147</v>
      </c>
      <c r="B30" s="41"/>
      <c r="C30" s="41"/>
      <c r="D30" s="41"/>
      <c r="E30" s="41"/>
      <c r="F30" s="41"/>
      <c r="G30" s="39"/>
      <c r="H30" s="41"/>
      <c r="I30" s="39"/>
      <c r="J30" s="39"/>
      <c r="K30" s="28">
        <f>TABL12345[[#This Row],[خط (T/B  TOT) SAR]]+TABL12345[[#This Row],[خط (S/S  TOT) SAR2]]</f>
        <v>0</v>
      </c>
      <c r="L30" s="41"/>
      <c r="M30" s="42"/>
      <c r="N30" s="42"/>
      <c r="O30" s="39"/>
      <c r="P30" s="3">
        <f>TABL12345[[#This Row],[خط (S/S  TOT) SAR2]]-TABL12345[[#This Row],[(S/S TOT) AJD]]</f>
        <v>0</v>
      </c>
      <c r="Q30" s="39"/>
      <c r="R30" s="3">
        <f>TABL12345[[#This Row],[خط (T/B  TOT) SAR]]-TABL12345[[#This Row],[(T/B TOT) AJD]]</f>
        <v>0</v>
      </c>
      <c r="S30" s="3">
        <f>TABL12345[[#This Row],[الفرق بين بداية ونهاية خط  S/S]]+TABL12345[[#This Row],[الفرق بين بداية ونهاية خط  T/B]]</f>
        <v>0</v>
      </c>
      <c r="T30" s="3">
        <f t="shared" si="0"/>
        <v>0</v>
      </c>
      <c r="U30" s="41"/>
      <c r="V30" s="41"/>
      <c r="W30" s="3">
        <f t="shared" si="1"/>
        <v>0</v>
      </c>
      <c r="X30" s="3">
        <f t="shared" si="2"/>
        <v>0</v>
      </c>
      <c r="Y30" s="41"/>
      <c r="Z30" s="43"/>
      <c r="AA30" s="3">
        <f>TABL12345[[#This Row],[(RESV. STORGE) AJD]]/10</f>
        <v>0</v>
      </c>
      <c r="AB30" s="43">
        <f t="shared" si="3"/>
        <v>0</v>
      </c>
      <c r="AC30" s="5"/>
      <c r="AD30" s="39">
        <f>(TABL12345[[#This Row],[( S/S+T/B) AJD]]*1000)-((TABL12345[[#This Row],[(STORGE DIFF.) AJD]]*1000)+TABL12345[[#This Row],[البخر  AJD]]+(TABL12345[[#This Row],[(A/B + A/S) AJD]]*1000))</f>
        <v>0</v>
      </c>
      <c r="AE30" s="41"/>
      <c r="AF30" s="43"/>
      <c r="AG30" s="43"/>
      <c r="AH30" s="6">
        <f>TABL12345[[#This Row],[ (RESV. STORGE) BER]]/10</f>
        <v>0</v>
      </c>
      <c r="AI30" s="41"/>
      <c r="AJ30" s="41">
        <f>TABL12345[[#This Row],[(A/B TOT) AJD]]-TABL12345[[#This Row],[BER_ IN]]</f>
        <v>0</v>
      </c>
      <c r="AK30" s="43"/>
      <c r="AL30" s="43"/>
      <c r="AM30" s="32"/>
      <c r="AN30" s="32">
        <f>TABL12345[[#This Row],[ (RESV. STORGE) SER]]/10</f>
        <v>0</v>
      </c>
      <c r="AO30" s="68"/>
      <c r="AP30" s="68">
        <f>TABL12345[[#This Row],[(A/S TOT) AJD]]-TABL12345[[#This Row],[SER_ IN]]</f>
        <v>0</v>
      </c>
    </row>
    <row r="31" spans="1:42" ht="19.5" thickBot="1" x14ac:dyDescent="0.3">
      <c r="A31" s="2">
        <v>47148</v>
      </c>
      <c r="B31" s="44"/>
      <c r="C31" s="44"/>
      <c r="D31" s="44"/>
      <c r="E31" s="44"/>
      <c r="F31" s="44"/>
      <c r="G31" s="40"/>
      <c r="H31" s="44"/>
      <c r="I31" s="40"/>
      <c r="J31" s="44"/>
      <c r="K31" s="28">
        <f>TABL12345[[#This Row],[خط (T/B  TOT) SAR]]+TABL12345[[#This Row],[خط (S/S  TOT) SAR2]]</f>
        <v>0</v>
      </c>
      <c r="L31" s="45"/>
      <c r="M31" s="46"/>
      <c r="N31" s="46"/>
      <c r="O31" s="40"/>
      <c r="P31" s="3">
        <f>TABL12345[[#This Row],[خط (S/S  TOT) SAR2]]-TABL12345[[#This Row],[(S/S TOT) AJD]]</f>
        <v>0</v>
      </c>
      <c r="Q31" s="40"/>
      <c r="R31" s="3">
        <f>TABL12345[[#This Row],[خط (T/B  TOT) SAR]]-TABL12345[[#This Row],[(T/B TOT) AJD]]</f>
        <v>0</v>
      </c>
      <c r="S31" s="3">
        <f>TABL12345[[#This Row],[الفرق بين بداية ونهاية خط  S/S]]+TABL12345[[#This Row],[الفرق بين بداية ونهاية خط  T/B]]</f>
        <v>0</v>
      </c>
      <c r="T31" s="3">
        <f t="shared" si="0"/>
        <v>0</v>
      </c>
      <c r="U31" s="44"/>
      <c r="V31" s="44"/>
      <c r="W31" s="3">
        <f t="shared" si="1"/>
        <v>0</v>
      </c>
      <c r="X31" s="3">
        <f t="shared" si="2"/>
        <v>0</v>
      </c>
      <c r="Y31" s="44"/>
      <c r="Z31" s="45"/>
      <c r="AA31" s="3">
        <f>TABL12345[[#This Row],[(RESV. STORGE) AJD]]/10</f>
        <v>0</v>
      </c>
      <c r="AB31" s="45">
        <f t="shared" si="3"/>
        <v>0</v>
      </c>
      <c r="AC31" s="5"/>
      <c r="AD31" s="70">
        <f>(TABL12345[[#This Row],[( S/S+T/B) AJD]]*1000)-((TABL12345[[#This Row],[(STORGE DIFF.) AJD]]*1000)+TABL12345[[#This Row],[البخر  AJD]]+(TABL12345[[#This Row],[(A/B + A/S) AJD]]*1000))</f>
        <v>0</v>
      </c>
      <c r="AE31" s="44"/>
      <c r="AF31" s="45"/>
      <c r="AG31" s="45"/>
      <c r="AH31" s="6">
        <f>TABL12345[[#This Row],[ (RESV. STORGE) BER]]/10</f>
        <v>0</v>
      </c>
      <c r="AI31" s="44"/>
      <c r="AJ31" s="67">
        <f>TABL12345[[#This Row],[(A/B TOT) AJD]]-TABL12345[[#This Row],[BER_ IN]]</f>
        <v>0</v>
      </c>
      <c r="AK31" s="45"/>
      <c r="AL31" s="45"/>
      <c r="AM31" s="32"/>
      <c r="AN31" s="32">
        <f>TABL12345[[#This Row],[ (RESV. STORGE) SER]]/10</f>
        <v>0</v>
      </c>
      <c r="AO31" s="68"/>
      <c r="AP31" s="68">
        <f>TABL12345[[#This Row],[(A/S TOT) AJD]]-TABL12345[[#This Row],[SER_ IN]]</f>
        <v>0</v>
      </c>
    </row>
    <row r="32" spans="1:42" ht="20.25" thickTop="1" thickBot="1" x14ac:dyDescent="0.3">
      <c r="A32" s="2">
        <v>47149</v>
      </c>
      <c r="B32" s="41"/>
      <c r="C32" s="41"/>
      <c r="D32" s="41"/>
      <c r="E32" s="41"/>
      <c r="F32" s="41"/>
      <c r="G32" s="39"/>
      <c r="H32" s="41"/>
      <c r="I32" s="39"/>
      <c r="J32" s="39"/>
      <c r="K32" s="28">
        <f>TABL12345[[#This Row],[خط (T/B  TOT) SAR]]+TABL12345[[#This Row],[خط (S/S  TOT) SAR2]]</f>
        <v>0</v>
      </c>
      <c r="L32" s="41"/>
      <c r="M32" s="42"/>
      <c r="N32" s="42"/>
      <c r="O32" s="39"/>
      <c r="P32" s="3">
        <f>TABL12345[[#This Row],[خط (S/S  TOT) SAR2]]-TABL12345[[#This Row],[(S/S TOT) AJD]]</f>
        <v>0</v>
      </c>
      <c r="Q32" s="39"/>
      <c r="R32" s="3">
        <f>TABL12345[[#This Row],[خط (T/B  TOT) SAR]]-TABL12345[[#This Row],[(T/B TOT) AJD]]</f>
        <v>0</v>
      </c>
      <c r="S32" s="3">
        <f>TABL12345[[#This Row],[الفرق بين بداية ونهاية خط  S/S]]+TABL12345[[#This Row],[الفرق بين بداية ونهاية خط  T/B]]</f>
        <v>0</v>
      </c>
      <c r="T32" s="3">
        <f t="shared" si="0"/>
        <v>0</v>
      </c>
      <c r="U32" s="41"/>
      <c r="V32" s="41"/>
      <c r="W32" s="3">
        <f t="shared" si="1"/>
        <v>0</v>
      </c>
      <c r="X32" s="3">
        <f t="shared" si="2"/>
        <v>0</v>
      </c>
      <c r="Y32" s="41"/>
      <c r="Z32" s="43"/>
      <c r="AA32" s="3">
        <f>TABL12345[[#This Row],[(RESV. STORGE) AJD]]/10</f>
        <v>0</v>
      </c>
      <c r="AB32" s="71">
        <f t="shared" si="3"/>
        <v>0</v>
      </c>
      <c r="AC32" s="5"/>
      <c r="AD32" s="39">
        <f>(TABL12345[[#This Row],[( S/S+T/B) AJD]]*1000)-((TABL12345[[#This Row],[(STORGE DIFF.) AJD]]*1000)+TABL12345[[#This Row],[البخر  AJD]]+(TABL12345[[#This Row],[(A/B + A/S) AJD]]*1000))</f>
        <v>0</v>
      </c>
      <c r="AE32" s="41"/>
      <c r="AF32" s="43"/>
      <c r="AG32" s="43"/>
      <c r="AH32" s="6">
        <f>TABL12345[[#This Row],[ (RESV. STORGE) BER]]/10</f>
        <v>0</v>
      </c>
      <c r="AI32" s="41"/>
      <c r="AJ32" s="41">
        <f>TABL12345[[#This Row],[(A/B TOT) AJD]]-TABL12345[[#This Row],[BER_ IN]]</f>
        <v>0</v>
      </c>
      <c r="AK32" s="43"/>
      <c r="AL32" s="43"/>
      <c r="AM32" s="32"/>
      <c r="AN32" s="32">
        <f>TABL12345[[#This Row],[ (RESV. STORGE) SER]]/10</f>
        <v>0</v>
      </c>
      <c r="AO32" s="68"/>
      <c r="AP32" s="68">
        <f>TABL12345[[#This Row],[(A/S TOT) AJD]]-TABL12345[[#This Row],[SER_ IN]]</f>
        <v>0</v>
      </c>
    </row>
    <row r="33" spans="1:42" ht="19.5" thickTop="1" x14ac:dyDescent="0.25">
      <c r="A33" s="2">
        <v>47150</v>
      </c>
      <c r="B33" s="41"/>
      <c r="C33" s="41"/>
      <c r="D33" s="41"/>
      <c r="E33" s="44"/>
      <c r="F33" s="41"/>
      <c r="G33" s="39"/>
      <c r="H33" s="28"/>
      <c r="I33" s="39"/>
      <c r="J33" s="39"/>
      <c r="K33" s="28">
        <f>TABL12345[[#This Row],[خط (T/B  TOT) SAR]]+TABL12345[[#This Row],[خط (S/S  TOT) SAR2]]</f>
        <v>0</v>
      </c>
      <c r="L33" s="41"/>
      <c r="M33" s="42"/>
      <c r="N33" s="42"/>
      <c r="O33" s="39"/>
      <c r="P33" s="3">
        <f>TABL12345[[#This Row],[خط (S/S  TOT) SAR2]]-TABL12345[[#This Row],[(S/S TOT) AJD]]</f>
        <v>0</v>
      </c>
      <c r="Q33" s="39"/>
      <c r="R33" s="3">
        <f>TABL12345[[#This Row],[خط (T/B  TOT) SAR]]-TABL12345[[#This Row],[(T/B TOT) AJD]]</f>
        <v>0</v>
      </c>
      <c r="S33" s="3">
        <f>TABL12345[[#This Row],[الفرق بين بداية ونهاية خط  S/S]]+TABL12345[[#This Row],[الفرق بين بداية ونهاية خط  T/B]]</f>
        <v>0</v>
      </c>
      <c r="T33" s="3">
        <f t="shared" si="0"/>
        <v>0</v>
      </c>
      <c r="U33" s="41"/>
      <c r="V33" s="41"/>
      <c r="W33" s="3">
        <f t="shared" si="1"/>
        <v>0</v>
      </c>
      <c r="X33" s="3">
        <f t="shared" si="2"/>
        <v>0</v>
      </c>
      <c r="Y33" s="41"/>
      <c r="Z33" s="43"/>
      <c r="AA33" s="3">
        <f>TABL12345[[#This Row],[(RESV. STORGE) AJD]]/10</f>
        <v>0</v>
      </c>
      <c r="AB33" s="43">
        <f t="shared" si="3"/>
        <v>0</v>
      </c>
      <c r="AC33" s="5"/>
      <c r="AD33" s="39">
        <f>(TABL12345[[#This Row],[( S/S+T/B) AJD]]*1000)-((TABL12345[[#This Row],[(STORGE DIFF.) AJD]]*1000)+TABL12345[[#This Row],[البخر  AJD]]+(TABL12345[[#This Row],[(A/B + A/S) AJD]]*1000))</f>
        <v>0</v>
      </c>
      <c r="AE33" s="41"/>
      <c r="AF33" s="43"/>
      <c r="AG33" s="43"/>
      <c r="AH33" s="6">
        <f>TABL12345[[#This Row],[ (RESV. STORGE) BER]]/10</f>
        <v>0</v>
      </c>
      <c r="AI33" s="41"/>
      <c r="AJ33" s="41">
        <f>TABL12345[[#This Row],[(A/B TOT) AJD]]-TABL12345[[#This Row],[BER_ IN]]</f>
        <v>0</v>
      </c>
      <c r="AK33" s="43"/>
      <c r="AL33" s="43"/>
      <c r="AM33" s="32"/>
      <c r="AN33" s="32">
        <f>TABL12345[[#This Row],[ (RESV. STORGE) SER]]/10</f>
        <v>0</v>
      </c>
      <c r="AO33" s="68"/>
      <c r="AP33" s="68">
        <f>TABL12345[[#This Row],[(A/S TOT) AJD]]-TABL12345[[#This Row],[SER_ IN]]</f>
        <v>0</v>
      </c>
    </row>
    <row r="34" spans="1:42" ht="18.75" x14ac:dyDescent="0.25">
      <c r="A34" s="2">
        <v>47151</v>
      </c>
      <c r="B34" s="44"/>
      <c r="C34" s="44"/>
      <c r="D34" s="44"/>
      <c r="E34" s="41"/>
      <c r="F34" s="44"/>
      <c r="G34" s="40"/>
      <c r="H34" s="28"/>
      <c r="I34" s="40"/>
      <c r="J34" s="44"/>
      <c r="K34" s="28">
        <f>TABL12345[[#This Row],[خط (T/B  TOT) SAR]]+TABL12345[[#This Row],[خط (S/S  TOT) SAR2]]</f>
        <v>0</v>
      </c>
      <c r="L34" s="45"/>
      <c r="M34" s="46"/>
      <c r="N34" s="46"/>
      <c r="O34" s="40"/>
      <c r="P34" s="3">
        <f>TABL12345[[#This Row],[خط (S/S  TOT) SAR2]]-TABL12345[[#This Row],[(S/S TOT) AJD]]</f>
        <v>0</v>
      </c>
      <c r="Q34" s="40"/>
      <c r="R34" s="3">
        <f>TABL12345[[#This Row],[خط (T/B  TOT) SAR]]-TABL12345[[#This Row],[(T/B TOT) AJD]]</f>
        <v>0</v>
      </c>
      <c r="S34" s="3">
        <f>TABL12345[[#This Row],[الفرق بين بداية ونهاية خط  S/S]]+TABL12345[[#This Row],[الفرق بين بداية ونهاية خط  T/B]]</f>
        <v>0</v>
      </c>
      <c r="T34" s="3">
        <f t="shared" si="0"/>
        <v>0</v>
      </c>
      <c r="U34" s="44"/>
      <c r="V34" s="44"/>
      <c r="W34" s="3">
        <f t="shared" si="1"/>
        <v>0</v>
      </c>
      <c r="X34" s="3">
        <f t="shared" si="2"/>
        <v>0</v>
      </c>
      <c r="Y34" s="44"/>
      <c r="Z34" s="45"/>
      <c r="AA34" s="3">
        <f>TABL12345[[#This Row],[(RESV. STORGE) AJD]]/10</f>
        <v>0</v>
      </c>
      <c r="AB34" s="45">
        <f t="shared" si="3"/>
        <v>0</v>
      </c>
      <c r="AC34" s="5"/>
      <c r="AD34" s="40">
        <f>(TABL12345[[#This Row],[( S/S+T/B) AJD]]*1000)-((TABL12345[[#This Row],[(STORGE DIFF.) AJD]]*1000)+TABL12345[[#This Row],[البخر  AJD]]+(TABL12345[[#This Row],[(A/B + A/S) AJD]]*1000))</f>
        <v>0</v>
      </c>
      <c r="AE34" s="44"/>
      <c r="AF34" s="45"/>
      <c r="AG34" s="45"/>
      <c r="AH34" s="6">
        <f>TABL12345[[#This Row],[ (RESV. STORGE) BER]]/10</f>
        <v>0</v>
      </c>
      <c r="AI34" s="44"/>
      <c r="AJ34" s="44">
        <f>TABL12345[[#This Row],[(A/B TOT) AJD]]-TABL12345[[#This Row],[BER_ IN]]</f>
        <v>0</v>
      </c>
      <c r="AK34" s="45"/>
      <c r="AL34" s="45"/>
      <c r="AM34" s="32"/>
      <c r="AN34" s="32">
        <f>TABL12345[[#This Row],[ (RESV. STORGE) SER]]/10</f>
        <v>0</v>
      </c>
      <c r="AO34" s="68"/>
      <c r="AP34" s="68">
        <f>TABL12345[[#This Row],[(A/S TOT) AJD]]-TABL12345[[#This Row],[SER_ IN]]</f>
        <v>0</v>
      </c>
    </row>
    <row r="35" spans="1:42" ht="18.75" x14ac:dyDescent="0.25">
      <c r="A35" s="2">
        <v>47152</v>
      </c>
      <c r="B35" s="41"/>
      <c r="C35" s="41"/>
      <c r="D35" s="41"/>
      <c r="E35" s="44"/>
      <c r="F35" s="41"/>
      <c r="G35" s="39"/>
      <c r="H35" s="28"/>
      <c r="I35" s="39"/>
      <c r="J35" s="39"/>
      <c r="K35" s="28">
        <f>TABL12345[[#This Row],[خط (T/B  TOT) SAR]]+TABL12345[[#This Row],[خط (S/S  TOT) SAR2]]</f>
        <v>0</v>
      </c>
      <c r="L35" s="41"/>
      <c r="M35" s="42"/>
      <c r="N35" s="42"/>
      <c r="O35" s="39"/>
      <c r="P35" s="3">
        <f>TABL12345[[#This Row],[خط (S/S  TOT) SAR2]]-TABL12345[[#This Row],[(S/S TOT) AJD]]</f>
        <v>0</v>
      </c>
      <c r="Q35" s="39"/>
      <c r="R35" s="3">
        <f>TABL12345[[#This Row],[خط (T/B  TOT) SAR]]-TABL12345[[#This Row],[(T/B TOT) AJD]]</f>
        <v>0</v>
      </c>
      <c r="S35" s="3">
        <f>TABL12345[[#This Row],[الفرق بين بداية ونهاية خط  S/S]]+TABL12345[[#This Row],[الفرق بين بداية ونهاية خط  T/B]]</f>
        <v>0</v>
      </c>
      <c r="T35" s="3">
        <f t="shared" si="0"/>
        <v>0</v>
      </c>
      <c r="U35" s="41"/>
      <c r="V35" s="41"/>
      <c r="W35" s="3">
        <f t="shared" si="1"/>
        <v>0</v>
      </c>
      <c r="X35" s="3">
        <f t="shared" si="2"/>
        <v>0</v>
      </c>
      <c r="Y35" s="41"/>
      <c r="Z35" s="43"/>
      <c r="AA35" s="3">
        <f>TABL12345[[#This Row],[(RESV. STORGE) AJD]]/10</f>
        <v>0</v>
      </c>
      <c r="AB35" s="43">
        <f t="shared" si="3"/>
        <v>0</v>
      </c>
      <c r="AC35" s="5"/>
      <c r="AD35" s="39">
        <f>(TABL12345[[#This Row],[( S/S+T/B) AJD]]*1000)-((TABL12345[[#This Row],[(STORGE DIFF.) AJD]]*1000)+TABL12345[[#This Row],[البخر  AJD]]+(TABL12345[[#This Row],[(A/B + A/S) AJD]]*1000))</f>
        <v>0</v>
      </c>
      <c r="AE35" s="41"/>
      <c r="AF35" s="43"/>
      <c r="AG35" s="43"/>
      <c r="AH35" s="6">
        <f>TABL12345[[#This Row],[ (RESV. STORGE) BER]]/10</f>
        <v>0</v>
      </c>
      <c r="AI35" s="41"/>
      <c r="AJ35" s="41">
        <f>TABL12345[[#This Row],[(A/B TOT) AJD]]-TABL12345[[#This Row],[BER_ IN]]</f>
        <v>0</v>
      </c>
      <c r="AK35" s="43"/>
      <c r="AL35" s="43"/>
      <c r="AM35" s="32"/>
      <c r="AN35" s="32">
        <f>TABL12345[[#This Row],[ (RESV. STORGE) SER]]/10</f>
        <v>0</v>
      </c>
      <c r="AO35" s="68"/>
      <c r="AP35" s="68">
        <f>TABL12345[[#This Row],[(A/S TOT) AJD]]-TABL12345[[#This Row],[SER_ IN]]</f>
        <v>0</v>
      </c>
    </row>
    <row r="36" spans="1:42" ht="18.75" x14ac:dyDescent="0.25">
      <c r="A36" s="2">
        <v>47153</v>
      </c>
      <c r="B36" s="44"/>
      <c r="C36" s="44"/>
      <c r="D36" s="44"/>
      <c r="E36" s="44"/>
      <c r="F36" s="44"/>
      <c r="G36" s="40"/>
      <c r="H36" s="28"/>
      <c r="I36" s="40"/>
      <c r="J36" s="44"/>
      <c r="K36" s="28">
        <f>TABL12345[[#This Row],[خط (T/B  TOT) SAR]]+TABL12345[[#This Row],[خط (S/S  TOT) SAR2]]</f>
        <v>0</v>
      </c>
      <c r="L36" s="45"/>
      <c r="M36" s="46"/>
      <c r="N36" s="46"/>
      <c r="O36" s="40"/>
      <c r="P36" s="3">
        <f>TABL12345[[#This Row],[خط (S/S  TOT) SAR2]]-TABL12345[[#This Row],[(S/S TOT) AJD]]</f>
        <v>0</v>
      </c>
      <c r="Q36" s="40"/>
      <c r="R36" s="3">
        <f>TABL12345[[#This Row],[خط (T/B  TOT) SAR]]-TABL12345[[#This Row],[(T/B TOT) AJD]]</f>
        <v>0</v>
      </c>
      <c r="S36" s="3">
        <f>TABL12345[[#This Row],[الفرق بين بداية ونهاية خط  S/S]]+TABL12345[[#This Row],[الفرق بين بداية ونهاية خط  T/B]]</f>
        <v>0</v>
      </c>
      <c r="T36" s="3">
        <f t="shared" si="0"/>
        <v>0</v>
      </c>
      <c r="U36" s="44"/>
      <c r="V36" s="44"/>
      <c r="W36" s="3">
        <f t="shared" si="1"/>
        <v>0</v>
      </c>
      <c r="X36" s="3">
        <f t="shared" si="2"/>
        <v>0</v>
      </c>
      <c r="Y36" s="44"/>
      <c r="Z36" s="45"/>
      <c r="AA36" s="3">
        <f>TABL12345[[#This Row],[(RESV. STORGE) AJD]]/10</f>
        <v>0</v>
      </c>
      <c r="AB36" s="45">
        <f t="shared" si="3"/>
        <v>0</v>
      </c>
      <c r="AC36" s="5"/>
      <c r="AD36" s="40">
        <f>(TABL12345[[#This Row],[( S/S+T/B) AJD]]*1000)-((TABL12345[[#This Row],[(STORGE DIFF.) AJD]]*1000)+TABL12345[[#This Row],[البخر  AJD]]+(TABL12345[[#This Row],[(A/B + A/S) AJD]]*1000))</f>
        <v>0</v>
      </c>
      <c r="AE36" s="44"/>
      <c r="AF36" s="45"/>
      <c r="AG36" s="45"/>
      <c r="AH36" s="6">
        <f>TABL12345[[#This Row],[ (RESV. STORGE) BER]]/10</f>
        <v>0</v>
      </c>
      <c r="AI36" s="44"/>
      <c r="AJ36" s="44">
        <f>TABL12345[[#This Row],[(A/B TOT) AJD]]-TABL12345[[#This Row],[BER_ IN]]</f>
        <v>0</v>
      </c>
      <c r="AK36" s="45"/>
      <c r="AL36" s="45"/>
      <c r="AM36" s="32"/>
      <c r="AN36" s="32">
        <f>TABL12345[[#This Row],[ (RESV. STORGE) SER]]/10</f>
        <v>0</v>
      </c>
      <c r="AO36" s="68"/>
      <c r="AP36" s="68">
        <f>TABL12345[[#This Row],[(A/S TOT) AJD]]-TABL12345[[#This Row],[SER_ IN]]</f>
        <v>0</v>
      </c>
    </row>
    <row r="37" spans="1:42" ht="18.75" x14ac:dyDescent="0.25">
      <c r="A37" s="2">
        <v>47154</v>
      </c>
      <c r="B37" s="41"/>
      <c r="C37" s="41"/>
      <c r="D37" s="41"/>
      <c r="E37" s="41"/>
      <c r="F37" s="41"/>
      <c r="G37" s="39"/>
      <c r="H37" s="28"/>
      <c r="I37" s="39"/>
      <c r="J37" s="39"/>
      <c r="K37" s="28">
        <f>TABL12345[[#This Row],[خط (T/B  TOT) SAR]]+TABL12345[[#This Row],[خط (S/S  TOT) SAR2]]</f>
        <v>0</v>
      </c>
      <c r="L37" s="41"/>
      <c r="M37" s="42"/>
      <c r="N37" s="42"/>
      <c r="O37" s="39"/>
      <c r="P37" s="3">
        <f>TABL12345[[#This Row],[خط (S/S  TOT) SAR2]]-TABL12345[[#This Row],[(S/S TOT) AJD]]</f>
        <v>0</v>
      </c>
      <c r="Q37" s="39"/>
      <c r="R37" s="3">
        <f>TABL12345[[#This Row],[خط (T/B  TOT) SAR]]-TABL12345[[#This Row],[(T/B TOT) AJD]]</f>
        <v>0</v>
      </c>
      <c r="S37" s="3">
        <f>TABL12345[[#This Row],[الفرق بين بداية ونهاية خط  S/S]]+TABL12345[[#This Row],[الفرق بين بداية ونهاية خط  T/B]]</f>
        <v>0</v>
      </c>
      <c r="T37" s="3">
        <f t="shared" si="0"/>
        <v>0</v>
      </c>
      <c r="U37" s="41"/>
      <c r="V37" s="41"/>
      <c r="W37" s="3">
        <f t="shared" si="1"/>
        <v>0</v>
      </c>
      <c r="X37" s="3">
        <f t="shared" si="2"/>
        <v>0</v>
      </c>
      <c r="Y37" s="41"/>
      <c r="Z37" s="43"/>
      <c r="AA37" s="3">
        <f>TABL12345[[#This Row],[(RESV. STORGE) AJD]]/10</f>
        <v>0</v>
      </c>
      <c r="AB37" s="43">
        <f t="shared" si="3"/>
        <v>0</v>
      </c>
      <c r="AC37" s="5"/>
      <c r="AD37" s="39">
        <f>(TABL12345[[#This Row],[( S/S+T/B) AJD]]*1000)-((TABL12345[[#This Row],[(STORGE DIFF.) AJD]]*1000)+TABL12345[[#This Row],[البخر  AJD]]+(TABL12345[[#This Row],[(A/B + A/S) AJD]]*1000))</f>
        <v>0</v>
      </c>
      <c r="AE37" s="41"/>
      <c r="AF37" s="43"/>
      <c r="AG37" s="43"/>
      <c r="AH37" s="6">
        <f>TABL12345[[#This Row],[ (RESV. STORGE) BER]]/10</f>
        <v>0</v>
      </c>
      <c r="AI37" s="41"/>
      <c r="AJ37" s="41">
        <f>TABL12345[[#This Row],[(A/B TOT) AJD]]-TABL12345[[#This Row],[BER_ IN]]</f>
        <v>0</v>
      </c>
      <c r="AK37" s="43"/>
      <c r="AL37" s="43"/>
      <c r="AM37" s="32"/>
      <c r="AN37" s="32">
        <f>TABL12345[[#This Row],[ (RESV. STORGE) SER]]/10</f>
        <v>0</v>
      </c>
      <c r="AO37" s="68"/>
      <c r="AP37" s="68">
        <f>TABL12345[[#This Row],[(A/S TOT) AJD]]-TABL12345[[#This Row],[SER_ IN]]</f>
        <v>0</v>
      </c>
    </row>
    <row r="38" spans="1:42" ht="18.75" x14ac:dyDescent="0.25">
      <c r="A38" s="2">
        <v>47155</v>
      </c>
      <c r="B38" s="44"/>
      <c r="C38" s="44"/>
      <c r="D38" s="44"/>
      <c r="E38" s="44"/>
      <c r="F38" s="44"/>
      <c r="G38" s="40"/>
      <c r="H38" s="28"/>
      <c r="I38" s="40"/>
      <c r="J38" s="44"/>
      <c r="K38" s="28">
        <f>TABL12345[[#This Row],[خط (T/B  TOT) SAR]]+TABL12345[[#This Row],[خط (S/S  TOT) SAR2]]</f>
        <v>0</v>
      </c>
      <c r="L38" s="45"/>
      <c r="M38" s="46"/>
      <c r="N38" s="46"/>
      <c r="O38" s="40"/>
      <c r="P38" s="3">
        <f>TABL12345[[#This Row],[خط (S/S  TOT) SAR2]]-TABL12345[[#This Row],[(S/S TOT) AJD]]</f>
        <v>0</v>
      </c>
      <c r="Q38" s="40"/>
      <c r="R38" s="3">
        <f>TABL12345[[#This Row],[خط (T/B  TOT) SAR]]-TABL12345[[#This Row],[(T/B TOT) AJD]]</f>
        <v>0</v>
      </c>
      <c r="S38" s="3">
        <f>TABL12345[[#This Row],[الفرق بين بداية ونهاية خط  S/S]]+TABL12345[[#This Row],[الفرق بين بداية ونهاية خط  T/B]]</f>
        <v>0</v>
      </c>
      <c r="T38" s="3">
        <f t="shared" si="0"/>
        <v>0</v>
      </c>
      <c r="U38" s="44"/>
      <c r="V38" s="44"/>
      <c r="W38" s="3">
        <f t="shared" si="1"/>
        <v>0</v>
      </c>
      <c r="X38" s="3">
        <f t="shared" si="2"/>
        <v>0</v>
      </c>
      <c r="Y38" s="44"/>
      <c r="Z38" s="45"/>
      <c r="AA38" s="3">
        <f>TABL12345[[#This Row],[(RESV. STORGE) AJD]]/10</f>
        <v>0</v>
      </c>
      <c r="AB38" s="45">
        <f t="shared" si="3"/>
        <v>0</v>
      </c>
      <c r="AC38" s="5"/>
      <c r="AD38" s="40">
        <f>(TABL12345[[#This Row],[( S/S+T/B) AJD]]*1000)-((TABL12345[[#This Row],[(STORGE DIFF.) AJD]]*1000)+TABL12345[[#This Row],[البخر  AJD]]+(TABL12345[[#This Row],[(A/B + A/S) AJD]]*1000))</f>
        <v>0</v>
      </c>
      <c r="AE38" s="44"/>
      <c r="AF38" s="45"/>
      <c r="AG38" s="45"/>
      <c r="AH38" s="6">
        <f>TABL12345[[#This Row],[ (RESV. STORGE) BER]]/10</f>
        <v>0</v>
      </c>
      <c r="AI38" s="44"/>
      <c r="AJ38" s="44">
        <f>TABL12345[[#This Row],[(A/B TOT) AJD]]-TABL12345[[#This Row],[BER_ IN]]</f>
        <v>0</v>
      </c>
      <c r="AK38" s="45"/>
      <c r="AL38" s="45"/>
      <c r="AM38" s="32"/>
      <c r="AN38" s="32">
        <f>TABL12345[[#This Row],[ (RESV. STORGE) SER]]/10</f>
        <v>0</v>
      </c>
      <c r="AO38" s="68"/>
      <c r="AP38" s="68">
        <f>TABL12345[[#This Row],[(A/S TOT) AJD]]-TABL12345[[#This Row],[SER_ IN]]</f>
        <v>0</v>
      </c>
    </row>
    <row r="39" spans="1:42" ht="18.75" x14ac:dyDescent="0.25">
      <c r="A39" s="2">
        <v>47156</v>
      </c>
      <c r="B39" s="41"/>
      <c r="C39" s="41"/>
      <c r="D39" s="41"/>
      <c r="E39" s="41"/>
      <c r="F39" s="41"/>
      <c r="G39" s="39"/>
      <c r="H39" s="28"/>
      <c r="I39" s="39"/>
      <c r="J39" s="39"/>
      <c r="K39" s="28">
        <f>TABL12345[[#This Row],[خط (T/B  TOT) SAR]]+TABL12345[[#This Row],[خط (S/S  TOT) SAR2]]</f>
        <v>0</v>
      </c>
      <c r="L39" s="41"/>
      <c r="M39" s="42"/>
      <c r="N39" s="42"/>
      <c r="O39" s="39"/>
      <c r="P39" s="3">
        <f>TABL12345[[#This Row],[خط (S/S  TOT) SAR2]]-TABL12345[[#This Row],[(S/S TOT) AJD]]</f>
        <v>0</v>
      </c>
      <c r="Q39" s="39"/>
      <c r="R39" s="3">
        <f>TABL12345[[#This Row],[خط (T/B  TOT) SAR]]-TABL12345[[#This Row],[(T/B TOT) AJD]]</f>
        <v>0</v>
      </c>
      <c r="S39" s="3">
        <f>TABL12345[[#This Row],[الفرق بين بداية ونهاية خط  S/S]]+TABL12345[[#This Row],[الفرق بين بداية ونهاية خط  T/B]]</f>
        <v>0</v>
      </c>
      <c r="T39" s="3">
        <f t="shared" si="0"/>
        <v>0</v>
      </c>
      <c r="U39" s="41"/>
      <c r="V39" s="41"/>
      <c r="W39" s="3">
        <f t="shared" si="1"/>
        <v>0</v>
      </c>
      <c r="X39" s="3">
        <f t="shared" si="2"/>
        <v>0</v>
      </c>
      <c r="Y39" s="41"/>
      <c r="Z39" s="43"/>
      <c r="AA39" s="3">
        <f>TABL12345[[#This Row],[(RESV. STORGE) AJD]]/10</f>
        <v>0</v>
      </c>
      <c r="AB39" s="43">
        <f t="shared" si="3"/>
        <v>0</v>
      </c>
      <c r="AC39" s="5"/>
      <c r="AD39" s="39">
        <f>(TABL12345[[#This Row],[( S/S+T/B) AJD]]*1000)-((TABL12345[[#This Row],[(STORGE DIFF.) AJD]]*1000)+TABL12345[[#This Row],[البخر  AJD]]+(TABL12345[[#This Row],[(A/B + A/S) AJD]]*1000))</f>
        <v>0</v>
      </c>
      <c r="AE39" s="41"/>
      <c r="AF39" s="43"/>
      <c r="AG39" s="43"/>
      <c r="AH39" s="6">
        <f>TABL12345[[#This Row],[ (RESV. STORGE) BER]]/10</f>
        <v>0</v>
      </c>
      <c r="AI39" s="41"/>
      <c r="AJ39" s="41">
        <f>TABL12345[[#This Row],[(A/B TOT) AJD]]-TABL12345[[#This Row],[BER_ IN]]</f>
        <v>0</v>
      </c>
      <c r="AK39" s="43"/>
      <c r="AL39" s="43"/>
      <c r="AM39" s="32"/>
      <c r="AN39" s="32">
        <f>TABL12345[[#This Row],[ (RESV. STORGE) SER]]/10</f>
        <v>0</v>
      </c>
      <c r="AO39" s="68"/>
      <c r="AP39" s="68">
        <f>TABL12345[[#This Row],[(A/S TOT) AJD]]-TABL12345[[#This Row],[SER_ IN]]</f>
        <v>0</v>
      </c>
    </row>
    <row r="40" spans="1:42" ht="18.75" x14ac:dyDescent="0.25">
      <c r="A40" s="2">
        <v>47157</v>
      </c>
      <c r="B40" s="44"/>
      <c r="C40" s="44"/>
      <c r="D40" s="44"/>
      <c r="E40" s="44"/>
      <c r="F40" s="44"/>
      <c r="G40" s="40"/>
      <c r="H40" s="28"/>
      <c r="I40" s="40"/>
      <c r="J40" s="44"/>
      <c r="K40" s="28">
        <f>TABL12345[[#This Row],[خط (T/B  TOT) SAR]]+TABL12345[[#This Row],[خط (S/S  TOT) SAR2]]</f>
        <v>0</v>
      </c>
      <c r="L40" s="45"/>
      <c r="M40" s="46"/>
      <c r="N40" s="46"/>
      <c r="O40" s="40"/>
      <c r="P40" s="3">
        <f>TABL12345[[#This Row],[خط (S/S  TOT) SAR2]]-TABL12345[[#This Row],[(S/S TOT) AJD]]</f>
        <v>0</v>
      </c>
      <c r="Q40" s="40"/>
      <c r="R40" s="3">
        <f>TABL12345[[#This Row],[خط (T/B  TOT) SAR]]-TABL12345[[#This Row],[(T/B TOT) AJD]]</f>
        <v>0</v>
      </c>
      <c r="S40" s="3">
        <f>TABL12345[[#This Row],[الفرق بين بداية ونهاية خط  S/S]]+TABL12345[[#This Row],[الفرق بين بداية ونهاية خط  T/B]]</f>
        <v>0</v>
      </c>
      <c r="T40" s="3">
        <f t="shared" si="0"/>
        <v>0</v>
      </c>
      <c r="U40" s="44"/>
      <c r="V40" s="44"/>
      <c r="W40" s="3">
        <f t="shared" si="1"/>
        <v>0</v>
      </c>
      <c r="X40" s="3">
        <f t="shared" si="2"/>
        <v>0</v>
      </c>
      <c r="Y40" s="44"/>
      <c r="Z40" s="45"/>
      <c r="AA40" s="3">
        <f>TABL12345[[#This Row],[(RESV. STORGE) AJD]]/10</f>
        <v>0</v>
      </c>
      <c r="AB40" s="45">
        <f t="shared" si="3"/>
        <v>0</v>
      </c>
      <c r="AC40" s="5"/>
      <c r="AD40" s="40">
        <f>(TABL12345[[#This Row],[( S/S+T/B) AJD]]*1000)-((TABL12345[[#This Row],[(STORGE DIFF.) AJD]]*1000)+TABL12345[[#This Row],[البخر  AJD]]+(TABL12345[[#This Row],[(A/B + A/S) AJD]]*1000))</f>
        <v>0</v>
      </c>
      <c r="AE40" s="44"/>
      <c r="AF40" s="45"/>
      <c r="AG40" s="45"/>
      <c r="AH40" s="6">
        <f>TABL12345[[#This Row],[ (RESV. STORGE) BER]]/10</f>
        <v>0</v>
      </c>
      <c r="AI40" s="44"/>
      <c r="AJ40" s="44">
        <f>TABL12345[[#This Row],[(A/B TOT) AJD]]-TABL12345[[#This Row],[BER_ IN]]</f>
        <v>0</v>
      </c>
      <c r="AK40" s="45"/>
      <c r="AL40" s="45"/>
      <c r="AM40" s="32"/>
      <c r="AN40" s="32">
        <f>TABL12345[[#This Row],[ (RESV. STORGE) SER]]/10</f>
        <v>0</v>
      </c>
      <c r="AO40" s="68"/>
      <c r="AP40" s="68">
        <f>TABL12345[[#This Row],[(A/S TOT) AJD]]-TABL12345[[#This Row],[SER_ IN]]</f>
        <v>0</v>
      </c>
    </row>
    <row r="41" spans="1:42" ht="18.75" x14ac:dyDescent="0.25">
      <c r="A41" s="2">
        <v>47158</v>
      </c>
      <c r="B41" s="41"/>
      <c r="C41" s="41"/>
      <c r="D41" s="41"/>
      <c r="E41" s="41"/>
      <c r="F41" s="41"/>
      <c r="G41" s="39"/>
      <c r="H41" s="28"/>
      <c r="I41" s="39"/>
      <c r="J41" s="39"/>
      <c r="K41" s="28">
        <f>TABL12345[[#This Row],[خط (T/B  TOT) SAR]]+TABL12345[[#This Row],[خط (S/S  TOT) SAR2]]</f>
        <v>0</v>
      </c>
      <c r="L41" s="41"/>
      <c r="M41" s="42"/>
      <c r="N41" s="42"/>
      <c r="O41" s="39"/>
      <c r="P41" s="3">
        <f>TABL12345[[#This Row],[خط (S/S  TOT) SAR2]]-TABL12345[[#This Row],[(S/S TOT) AJD]]</f>
        <v>0</v>
      </c>
      <c r="Q41" s="39"/>
      <c r="R41" s="3">
        <f>TABL12345[[#This Row],[خط (T/B  TOT) SAR]]-TABL12345[[#This Row],[(T/B TOT) AJD]]</f>
        <v>0</v>
      </c>
      <c r="S41" s="3">
        <f>TABL12345[[#This Row],[الفرق بين بداية ونهاية خط  S/S]]+TABL12345[[#This Row],[الفرق بين بداية ونهاية خط  T/B]]</f>
        <v>0</v>
      </c>
      <c r="T41" s="3">
        <f t="shared" si="0"/>
        <v>0</v>
      </c>
      <c r="U41" s="41"/>
      <c r="V41" s="41"/>
      <c r="W41" s="3">
        <f t="shared" si="1"/>
        <v>0</v>
      </c>
      <c r="X41" s="3">
        <f t="shared" si="2"/>
        <v>0</v>
      </c>
      <c r="Y41" s="41"/>
      <c r="Z41" s="43"/>
      <c r="AA41" s="3">
        <f>TABL12345[[#This Row],[(RESV. STORGE) AJD]]/10</f>
        <v>0</v>
      </c>
      <c r="AB41" s="43">
        <f t="shared" si="3"/>
        <v>0</v>
      </c>
      <c r="AC41" s="5"/>
      <c r="AD41" s="39">
        <f>(TABL12345[[#This Row],[( S/S+T/B) AJD]]*1000)-((TABL12345[[#This Row],[(STORGE DIFF.) AJD]]*1000)+TABL12345[[#This Row],[البخر  AJD]]+(TABL12345[[#This Row],[(A/B + A/S) AJD]]*1000))</f>
        <v>0</v>
      </c>
      <c r="AE41" s="41"/>
      <c r="AF41" s="43"/>
      <c r="AG41" s="43"/>
      <c r="AH41" s="6">
        <f>TABL12345[[#This Row],[ (RESV. STORGE) BER]]/10</f>
        <v>0</v>
      </c>
      <c r="AI41" s="41"/>
      <c r="AJ41" s="41">
        <f>TABL12345[[#This Row],[(A/B TOT) AJD]]-TABL12345[[#This Row],[BER_ IN]]</f>
        <v>0</v>
      </c>
      <c r="AK41" s="43"/>
      <c r="AL41" s="43"/>
      <c r="AM41" s="32"/>
      <c r="AN41" s="32">
        <f>TABL12345[[#This Row],[ (RESV. STORGE) SER]]/10</f>
        <v>0</v>
      </c>
      <c r="AO41" s="68"/>
      <c r="AP41" s="68">
        <f>TABL12345[[#This Row],[(A/S TOT) AJD]]-TABL12345[[#This Row],[SER_ IN]]</f>
        <v>0</v>
      </c>
    </row>
    <row r="42" spans="1:42" ht="18.75" x14ac:dyDescent="0.25">
      <c r="A42" s="2">
        <v>47159</v>
      </c>
      <c r="B42" s="44"/>
      <c r="C42" s="44"/>
      <c r="D42" s="44"/>
      <c r="E42" s="44"/>
      <c r="F42" s="44"/>
      <c r="G42" s="40"/>
      <c r="H42" s="28"/>
      <c r="I42" s="40"/>
      <c r="J42" s="44"/>
      <c r="K42" s="28">
        <f>TABL12345[[#This Row],[خط (T/B  TOT) SAR]]+TABL12345[[#This Row],[خط (S/S  TOT) SAR2]]</f>
        <v>0</v>
      </c>
      <c r="L42" s="45"/>
      <c r="M42" s="46"/>
      <c r="N42" s="46"/>
      <c r="O42" s="40"/>
      <c r="P42" s="3">
        <f>TABL12345[[#This Row],[خط (S/S  TOT) SAR2]]-TABL12345[[#This Row],[(S/S TOT) AJD]]</f>
        <v>0</v>
      </c>
      <c r="Q42" s="40"/>
      <c r="R42" s="3">
        <f>TABL12345[[#This Row],[خط (T/B  TOT) SAR]]-TABL12345[[#This Row],[(T/B TOT) AJD]]</f>
        <v>0</v>
      </c>
      <c r="S42" s="3">
        <f>TABL12345[[#This Row],[الفرق بين بداية ونهاية خط  S/S]]+TABL12345[[#This Row],[الفرق بين بداية ونهاية خط  T/B]]</f>
        <v>0</v>
      </c>
      <c r="T42" s="3">
        <f t="shared" si="0"/>
        <v>0</v>
      </c>
      <c r="U42" s="44"/>
      <c r="V42" s="44"/>
      <c r="W42" s="3">
        <f t="shared" si="1"/>
        <v>0</v>
      </c>
      <c r="X42" s="3">
        <f t="shared" si="2"/>
        <v>0</v>
      </c>
      <c r="Y42" s="44"/>
      <c r="Z42" s="45"/>
      <c r="AA42" s="3">
        <f>TABL12345[[#This Row],[(RESV. STORGE) AJD]]/10</f>
        <v>0</v>
      </c>
      <c r="AB42" s="45">
        <f t="shared" si="3"/>
        <v>0</v>
      </c>
      <c r="AC42" s="5"/>
      <c r="AD42" s="40">
        <f>(TABL12345[[#This Row],[( S/S+T/B) AJD]]*1000)-((TABL12345[[#This Row],[(STORGE DIFF.) AJD]]*1000)+TABL12345[[#This Row],[البخر  AJD]]+(TABL12345[[#This Row],[(A/B + A/S) AJD]]*1000))</f>
        <v>0</v>
      </c>
      <c r="AE42" s="44"/>
      <c r="AF42" s="45"/>
      <c r="AG42" s="45"/>
      <c r="AH42" s="6">
        <f>TABL12345[[#This Row],[ (RESV. STORGE) BER]]/10</f>
        <v>0</v>
      </c>
      <c r="AI42" s="44"/>
      <c r="AJ42" s="44">
        <f>TABL12345[[#This Row],[(A/B TOT) AJD]]-TABL12345[[#This Row],[BER_ IN]]</f>
        <v>0</v>
      </c>
      <c r="AK42" s="45"/>
      <c r="AL42" s="45"/>
      <c r="AM42" s="32"/>
      <c r="AN42" s="32">
        <f>TABL12345[[#This Row],[ (RESV. STORGE) SER]]/10</f>
        <v>0</v>
      </c>
      <c r="AO42" s="68"/>
      <c r="AP42" s="68">
        <f>TABL12345[[#This Row],[(A/S TOT) AJD]]-TABL12345[[#This Row],[SER_ IN]]</f>
        <v>0</v>
      </c>
    </row>
    <row r="43" spans="1:42" ht="18.75" x14ac:dyDescent="0.25">
      <c r="A43" s="2">
        <v>47160</v>
      </c>
      <c r="B43" s="41"/>
      <c r="C43" s="41"/>
      <c r="D43" s="41"/>
      <c r="E43" s="41"/>
      <c r="F43" s="41"/>
      <c r="G43" s="39"/>
      <c r="H43" s="28"/>
      <c r="I43" s="39"/>
      <c r="J43" s="39"/>
      <c r="K43" s="28">
        <f>TABL12345[[#This Row],[خط (T/B  TOT) SAR]]+TABL12345[[#This Row],[خط (S/S  TOT) SAR2]]</f>
        <v>0</v>
      </c>
      <c r="L43" s="41"/>
      <c r="M43" s="42"/>
      <c r="N43" s="42"/>
      <c r="O43" s="39"/>
      <c r="P43" s="3">
        <f>TABL12345[[#This Row],[خط (S/S  TOT) SAR2]]-TABL12345[[#This Row],[(S/S TOT) AJD]]</f>
        <v>0</v>
      </c>
      <c r="Q43" s="39"/>
      <c r="R43" s="3">
        <f>TABL12345[[#This Row],[خط (T/B  TOT) SAR]]-TABL12345[[#This Row],[(T/B TOT) AJD]]</f>
        <v>0</v>
      </c>
      <c r="S43" s="3">
        <f>TABL12345[[#This Row],[الفرق بين بداية ونهاية خط  S/S]]+TABL12345[[#This Row],[الفرق بين بداية ونهاية خط  T/B]]</f>
        <v>0</v>
      </c>
      <c r="T43" s="3">
        <f t="shared" si="0"/>
        <v>0</v>
      </c>
      <c r="U43" s="41"/>
      <c r="V43" s="41"/>
      <c r="W43" s="3">
        <f t="shared" si="1"/>
        <v>0</v>
      </c>
      <c r="X43" s="3">
        <f t="shared" si="2"/>
        <v>0</v>
      </c>
      <c r="Y43" s="41"/>
      <c r="Z43" s="43"/>
      <c r="AA43" s="3">
        <f>TABL12345[[#This Row],[(RESV. STORGE) AJD]]/10</f>
        <v>0</v>
      </c>
      <c r="AB43" s="43">
        <f t="shared" si="3"/>
        <v>0</v>
      </c>
      <c r="AC43" s="5"/>
      <c r="AD43" s="39">
        <f>(TABL12345[[#This Row],[( S/S+T/B) AJD]]*1000)-((TABL12345[[#This Row],[(STORGE DIFF.) AJD]]*1000)+TABL12345[[#This Row],[البخر  AJD]]+(TABL12345[[#This Row],[(A/B + A/S) AJD]]*1000))</f>
        <v>0</v>
      </c>
      <c r="AE43" s="41"/>
      <c r="AF43" s="43"/>
      <c r="AG43" s="43"/>
      <c r="AH43" s="6">
        <f>TABL12345[[#This Row],[ (RESV. STORGE) BER]]/10</f>
        <v>0</v>
      </c>
      <c r="AI43" s="41"/>
      <c r="AJ43" s="41">
        <f>TABL12345[[#This Row],[(A/B TOT) AJD]]-TABL12345[[#This Row],[BER_ IN]]</f>
        <v>0</v>
      </c>
      <c r="AK43" s="43"/>
      <c r="AL43" s="43"/>
      <c r="AM43" s="32"/>
      <c r="AN43" s="32">
        <f>TABL12345[[#This Row],[ (RESV. STORGE) SER]]/10</f>
        <v>0</v>
      </c>
      <c r="AO43" s="68"/>
      <c r="AP43" s="68">
        <f>TABL12345[[#This Row],[(A/S TOT) AJD]]-TABL12345[[#This Row],[SER_ IN]]</f>
        <v>0</v>
      </c>
    </row>
    <row r="44" spans="1:42" ht="18.75" x14ac:dyDescent="0.25">
      <c r="A44" s="2">
        <v>47161</v>
      </c>
      <c r="B44" s="44"/>
      <c r="C44" s="44"/>
      <c r="D44" s="44"/>
      <c r="E44" s="44"/>
      <c r="F44" s="44"/>
      <c r="G44" s="40"/>
      <c r="H44" s="28"/>
      <c r="I44" s="40"/>
      <c r="J44" s="44"/>
      <c r="K44" s="28">
        <f>TABL12345[[#This Row],[خط (T/B  TOT) SAR]]+TABL12345[[#This Row],[خط (S/S  TOT) SAR2]]</f>
        <v>0</v>
      </c>
      <c r="L44" s="45"/>
      <c r="M44" s="46"/>
      <c r="N44" s="46"/>
      <c r="O44" s="40"/>
      <c r="P44" s="3">
        <f>TABL12345[[#This Row],[خط (S/S  TOT) SAR2]]-TABL12345[[#This Row],[(S/S TOT) AJD]]</f>
        <v>0</v>
      </c>
      <c r="Q44" s="40"/>
      <c r="R44" s="3">
        <f>TABL12345[[#This Row],[خط (T/B  TOT) SAR]]-TABL12345[[#This Row],[(T/B TOT) AJD]]</f>
        <v>0</v>
      </c>
      <c r="S44" s="3">
        <f>TABL12345[[#This Row],[الفرق بين بداية ونهاية خط  S/S]]+TABL12345[[#This Row],[الفرق بين بداية ونهاية خط  T/B]]</f>
        <v>0</v>
      </c>
      <c r="T44" s="3">
        <f t="shared" si="0"/>
        <v>0</v>
      </c>
      <c r="U44" s="44"/>
      <c r="V44" s="44"/>
      <c r="W44" s="3">
        <f t="shared" si="1"/>
        <v>0</v>
      </c>
      <c r="X44" s="3">
        <f t="shared" si="2"/>
        <v>0</v>
      </c>
      <c r="Y44" s="44"/>
      <c r="Z44" s="45"/>
      <c r="AA44" s="3">
        <f>TABL12345[[#This Row],[(RESV. STORGE) AJD]]/10</f>
        <v>0</v>
      </c>
      <c r="AB44" s="45">
        <f t="shared" si="3"/>
        <v>0</v>
      </c>
      <c r="AC44" s="5"/>
      <c r="AD44" s="40">
        <f>(TABL12345[[#This Row],[( S/S+T/B) AJD]]*1000)-((TABL12345[[#This Row],[(STORGE DIFF.) AJD]]*1000)+TABL12345[[#This Row],[البخر  AJD]]+(TABL12345[[#This Row],[(A/B + A/S) AJD]]*1000))</f>
        <v>0</v>
      </c>
      <c r="AE44" s="44"/>
      <c r="AF44" s="45"/>
      <c r="AG44" s="45"/>
      <c r="AH44" s="6">
        <f>TABL12345[[#This Row],[ (RESV. STORGE) BER]]/10</f>
        <v>0</v>
      </c>
      <c r="AI44" s="44"/>
      <c r="AJ44" s="44">
        <f>TABL12345[[#This Row],[(A/B TOT) AJD]]-TABL12345[[#This Row],[BER_ IN]]</f>
        <v>0</v>
      </c>
      <c r="AK44" s="45"/>
      <c r="AL44" s="45"/>
      <c r="AM44" s="32"/>
      <c r="AN44" s="32">
        <f>TABL12345[[#This Row],[ (RESV. STORGE) SER]]/10</f>
        <v>0</v>
      </c>
      <c r="AO44" s="68"/>
      <c r="AP44" s="68">
        <f>TABL12345[[#This Row],[(A/S TOT) AJD]]-TABL12345[[#This Row],[SER_ IN]]</f>
        <v>0</v>
      </c>
    </row>
    <row r="45" spans="1:42" ht="18.75" x14ac:dyDescent="0.25">
      <c r="A45" s="2">
        <v>47162</v>
      </c>
      <c r="B45" s="41"/>
      <c r="C45" s="41"/>
      <c r="D45" s="41"/>
      <c r="E45" s="41"/>
      <c r="F45" s="41"/>
      <c r="G45" s="39"/>
      <c r="H45" s="28"/>
      <c r="I45" s="39"/>
      <c r="J45" s="39"/>
      <c r="K45" s="28">
        <f>TABL12345[[#This Row],[خط (T/B  TOT) SAR]]+TABL12345[[#This Row],[خط (S/S  TOT) SAR2]]</f>
        <v>0</v>
      </c>
      <c r="L45" s="41"/>
      <c r="M45" s="42"/>
      <c r="N45" s="42"/>
      <c r="O45" s="39"/>
      <c r="P45" s="3">
        <f>TABL12345[[#This Row],[خط (S/S  TOT) SAR2]]-TABL12345[[#This Row],[(S/S TOT) AJD]]</f>
        <v>0</v>
      </c>
      <c r="Q45" s="39"/>
      <c r="R45" s="3">
        <f>TABL12345[[#This Row],[خط (T/B  TOT) SAR]]-TABL12345[[#This Row],[(T/B TOT) AJD]]</f>
        <v>0</v>
      </c>
      <c r="S45" s="3">
        <f>TABL12345[[#This Row],[الفرق بين بداية ونهاية خط  S/S]]+TABL12345[[#This Row],[الفرق بين بداية ونهاية خط  T/B]]</f>
        <v>0</v>
      </c>
      <c r="T45" s="3">
        <f t="shared" si="0"/>
        <v>0</v>
      </c>
      <c r="U45" s="41"/>
      <c r="V45" s="41"/>
      <c r="W45" s="3">
        <f t="shared" si="1"/>
        <v>0</v>
      </c>
      <c r="X45" s="3">
        <f t="shared" si="2"/>
        <v>0</v>
      </c>
      <c r="Y45" s="41"/>
      <c r="Z45" s="43"/>
      <c r="AA45" s="3">
        <f>TABL12345[[#This Row],[(RESV. STORGE) AJD]]/10</f>
        <v>0</v>
      </c>
      <c r="AB45" s="43">
        <f t="shared" si="3"/>
        <v>0</v>
      </c>
      <c r="AC45" s="5"/>
      <c r="AD45" s="39">
        <f>(TABL12345[[#This Row],[( S/S+T/B) AJD]]*1000)-((TABL12345[[#This Row],[(STORGE DIFF.) AJD]]*1000)+TABL12345[[#This Row],[البخر  AJD]]+(TABL12345[[#This Row],[(A/B + A/S) AJD]]*1000))</f>
        <v>0</v>
      </c>
      <c r="AE45" s="41"/>
      <c r="AF45" s="43"/>
      <c r="AG45" s="43"/>
      <c r="AH45" s="6">
        <f>TABL12345[[#This Row],[ (RESV. STORGE) BER]]/10</f>
        <v>0</v>
      </c>
      <c r="AI45" s="41"/>
      <c r="AJ45" s="41">
        <f>TABL12345[[#This Row],[(A/B TOT) AJD]]-TABL12345[[#This Row],[BER_ IN]]</f>
        <v>0</v>
      </c>
      <c r="AK45" s="43"/>
      <c r="AL45" s="43"/>
      <c r="AM45" s="32"/>
      <c r="AN45" s="32">
        <f>TABL12345[[#This Row],[ (RESV. STORGE) SER]]/10</f>
        <v>0</v>
      </c>
      <c r="AO45" s="68"/>
      <c r="AP45" s="68">
        <f>TABL12345[[#This Row],[(A/S TOT) AJD]]-TABL12345[[#This Row],[SER_ IN]]</f>
        <v>0</v>
      </c>
    </row>
    <row r="46" spans="1:42" ht="18.75" x14ac:dyDescent="0.25">
      <c r="A46" s="2">
        <v>47163</v>
      </c>
      <c r="B46" s="44"/>
      <c r="C46" s="44"/>
      <c r="D46" s="44"/>
      <c r="E46" s="44"/>
      <c r="F46" s="44"/>
      <c r="G46" s="40"/>
      <c r="H46" s="28"/>
      <c r="I46" s="40"/>
      <c r="J46" s="44"/>
      <c r="K46" s="28">
        <f>TABL12345[[#This Row],[خط (T/B  TOT) SAR]]+TABL12345[[#This Row],[خط (S/S  TOT) SAR2]]</f>
        <v>0</v>
      </c>
      <c r="L46" s="45"/>
      <c r="M46" s="46"/>
      <c r="N46" s="46"/>
      <c r="O46" s="40"/>
      <c r="P46" s="3">
        <f>TABL12345[[#This Row],[خط (S/S  TOT) SAR2]]-TABL12345[[#This Row],[(S/S TOT) AJD]]</f>
        <v>0</v>
      </c>
      <c r="Q46" s="40"/>
      <c r="R46" s="3">
        <f>TABL12345[[#This Row],[خط (T/B  TOT) SAR]]-TABL12345[[#This Row],[(T/B TOT) AJD]]</f>
        <v>0</v>
      </c>
      <c r="S46" s="3">
        <f>TABL12345[[#This Row],[الفرق بين بداية ونهاية خط  S/S]]+TABL12345[[#This Row],[الفرق بين بداية ونهاية خط  T/B]]</f>
        <v>0</v>
      </c>
      <c r="T46" s="3">
        <f t="shared" si="0"/>
        <v>0</v>
      </c>
      <c r="U46" s="44"/>
      <c r="V46" s="44"/>
      <c r="W46" s="3">
        <f t="shared" si="1"/>
        <v>0</v>
      </c>
      <c r="X46" s="3">
        <f t="shared" si="2"/>
        <v>0</v>
      </c>
      <c r="Y46" s="44"/>
      <c r="Z46" s="45"/>
      <c r="AA46" s="3">
        <f>TABL12345[[#This Row],[(RESV. STORGE) AJD]]/10</f>
        <v>0</v>
      </c>
      <c r="AB46" s="45">
        <f t="shared" si="3"/>
        <v>0</v>
      </c>
      <c r="AC46" s="5"/>
      <c r="AD46" s="40">
        <f>(TABL12345[[#This Row],[( S/S+T/B) AJD]]*1000)-((TABL12345[[#This Row],[(STORGE DIFF.) AJD]]*1000)+TABL12345[[#This Row],[البخر  AJD]]+(TABL12345[[#This Row],[(A/B + A/S) AJD]]*1000))</f>
        <v>0</v>
      </c>
      <c r="AE46" s="44"/>
      <c r="AF46" s="45"/>
      <c r="AG46" s="45"/>
      <c r="AH46" s="6">
        <f>TABL12345[[#This Row],[ (RESV. STORGE) BER]]/10</f>
        <v>0</v>
      </c>
      <c r="AI46" s="44"/>
      <c r="AJ46" s="44">
        <f>TABL12345[[#This Row],[(A/B TOT) AJD]]-TABL12345[[#This Row],[BER_ IN]]</f>
        <v>0</v>
      </c>
      <c r="AK46" s="45"/>
      <c r="AL46" s="45"/>
      <c r="AM46" s="32"/>
      <c r="AN46" s="32">
        <f>TABL12345[[#This Row],[ (RESV. STORGE) SER]]/10</f>
        <v>0</v>
      </c>
      <c r="AO46" s="68"/>
      <c r="AP46" s="68">
        <f>TABL12345[[#This Row],[(A/S TOT) AJD]]-TABL12345[[#This Row],[SER_ IN]]</f>
        <v>0</v>
      </c>
    </row>
    <row r="47" spans="1:42" ht="18.75" x14ac:dyDescent="0.25">
      <c r="A47" s="2">
        <v>47164</v>
      </c>
      <c r="B47" s="41"/>
      <c r="C47" s="41"/>
      <c r="D47" s="41"/>
      <c r="E47" s="41"/>
      <c r="F47" s="41"/>
      <c r="G47" s="39"/>
      <c r="H47" s="28"/>
      <c r="I47" s="39"/>
      <c r="J47" s="39"/>
      <c r="K47" s="28">
        <f>TABL12345[[#This Row],[خط (T/B  TOT) SAR]]+TABL12345[[#This Row],[خط (S/S  TOT) SAR2]]</f>
        <v>0</v>
      </c>
      <c r="L47" s="41"/>
      <c r="M47" s="42"/>
      <c r="N47" s="42"/>
      <c r="O47" s="39"/>
      <c r="P47" s="3">
        <f>TABL12345[[#This Row],[خط (S/S  TOT) SAR2]]-TABL12345[[#This Row],[(S/S TOT) AJD]]</f>
        <v>0</v>
      </c>
      <c r="Q47" s="39"/>
      <c r="R47" s="3">
        <f>TABL12345[[#This Row],[خط (T/B  TOT) SAR]]-TABL12345[[#This Row],[(T/B TOT) AJD]]</f>
        <v>0</v>
      </c>
      <c r="S47" s="3">
        <f>TABL12345[[#This Row],[الفرق بين بداية ونهاية خط  S/S]]+TABL12345[[#This Row],[الفرق بين بداية ونهاية خط  T/B]]</f>
        <v>0</v>
      </c>
      <c r="T47" s="3">
        <f t="shared" si="0"/>
        <v>0</v>
      </c>
      <c r="U47" s="41"/>
      <c r="V47" s="41"/>
      <c r="W47" s="3">
        <f t="shared" si="1"/>
        <v>0</v>
      </c>
      <c r="X47" s="3">
        <f t="shared" si="2"/>
        <v>0</v>
      </c>
      <c r="Y47" s="41"/>
      <c r="Z47" s="43"/>
      <c r="AA47" s="3">
        <f>TABL12345[[#This Row],[(RESV. STORGE) AJD]]/10</f>
        <v>0</v>
      </c>
      <c r="AB47" s="43">
        <f t="shared" si="3"/>
        <v>0</v>
      </c>
      <c r="AC47" s="5"/>
      <c r="AD47" s="39">
        <f>(TABL12345[[#This Row],[( S/S+T/B) AJD]]*1000)-((TABL12345[[#This Row],[(STORGE DIFF.) AJD]]*1000)+TABL12345[[#This Row],[البخر  AJD]]+(TABL12345[[#This Row],[(A/B + A/S) AJD]]*1000))</f>
        <v>0</v>
      </c>
      <c r="AE47" s="41"/>
      <c r="AF47" s="43"/>
      <c r="AG47" s="43"/>
      <c r="AH47" s="6">
        <f>TABL12345[[#This Row],[ (RESV. STORGE) BER]]/10</f>
        <v>0</v>
      </c>
      <c r="AI47" s="41"/>
      <c r="AJ47" s="41">
        <f>TABL12345[[#This Row],[(A/B TOT) AJD]]-TABL12345[[#This Row],[BER_ IN]]</f>
        <v>0</v>
      </c>
      <c r="AK47" s="43"/>
      <c r="AL47" s="43"/>
      <c r="AM47" s="32"/>
      <c r="AN47" s="32">
        <f>TABL12345[[#This Row],[ (RESV. STORGE) SER]]/10</f>
        <v>0</v>
      </c>
      <c r="AO47" s="68"/>
      <c r="AP47" s="68">
        <f>TABL12345[[#This Row],[(A/S TOT) AJD]]-TABL12345[[#This Row],[SER_ IN]]</f>
        <v>0</v>
      </c>
    </row>
    <row r="48" spans="1:42" ht="18.75" x14ac:dyDescent="0.25">
      <c r="A48" s="2">
        <v>47165</v>
      </c>
      <c r="B48" s="44"/>
      <c r="C48" s="44"/>
      <c r="D48" s="44"/>
      <c r="E48" s="44"/>
      <c r="F48" s="44"/>
      <c r="G48" s="40"/>
      <c r="H48" s="28"/>
      <c r="I48" s="40"/>
      <c r="J48" s="44"/>
      <c r="K48" s="28">
        <f>TABL12345[[#This Row],[خط (T/B  TOT) SAR]]+TABL12345[[#This Row],[خط (S/S  TOT) SAR2]]</f>
        <v>0</v>
      </c>
      <c r="L48" s="45"/>
      <c r="M48" s="46"/>
      <c r="N48" s="46"/>
      <c r="O48" s="40"/>
      <c r="P48" s="3">
        <f>TABL12345[[#This Row],[خط (S/S  TOT) SAR2]]-TABL12345[[#This Row],[(S/S TOT) AJD]]</f>
        <v>0</v>
      </c>
      <c r="Q48" s="40"/>
      <c r="R48" s="3">
        <f>TABL12345[[#This Row],[خط (T/B  TOT) SAR]]-TABL12345[[#This Row],[(T/B TOT) AJD]]</f>
        <v>0</v>
      </c>
      <c r="S48" s="3">
        <f>TABL12345[[#This Row],[الفرق بين بداية ونهاية خط  S/S]]+TABL12345[[#This Row],[الفرق بين بداية ونهاية خط  T/B]]</f>
        <v>0</v>
      </c>
      <c r="T48" s="3">
        <f t="shared" si="0"/>
        <v>0</v>
      </c>
      <c r="U48" s="44"/>
      <c r="V48" s="44"/>
      <c r="W48" s="3">
        <f t="shared" si="1"/>
        <v>0</v>
      </c>
      <c r="X48" s="3">
        <f t="shared" si="2"/>
        <v>0</v>
      </c>
      <c r="Y48" s="44"/>
      <c r="Z48" s="45"/>
      <c r="AA48" s="3">
        <f>TABL12345[[#This Row],[(RESV. STORGE) AJD]]/10</f>
        <v>0</v>
      </c>
      <c r="AB48" s="45">
        <f t="shared" si="3"/>
        <v>0</v>
      </c>
      <c r="AC48" s="5"/>
      <c r="AD48" s="40">
        <f>(TABL12345[[#This Row],[( S/S+T/B) AJD]]*1000)-((TABL12345[[#This Row],[(STORGE DIFF.) AJD]]*1000)+TABL12345[[#This Row],[البخر  AJD]]+(TABL12345[[#This Row],[(A/B + A/S) AJD]]*1000))</f>
        <v>0</v>
      </c>
      <c r="AE48" s="44"/>
      <c r="AF48" s="45"/>
      <c r="AG48" s="45"/>
      <c r="AH48" s="6">
        <f>TABL12345[[#This Row],[ (RESV. STORGE) BER]]/10</f>
        <v>0</v>
      </c>
      <c r="AI48" s="44"/>
      <c r="AJ48" s="44">
        <f>TABL12345[[#This Row],[(A/B TOT) AJD]]-TABL12345[[#This Row],[BER_ IN]]</f>
        <v>0</v>
      </c>
      <c r="AK48" s="45"/>
      <c r="AL48" s="45"/>
      <c r="AM48" s="32"/>
      <c r="AN48" s="32">
        <f>TABL12345[[#This Row],[ (RESV. STORGE) SER]]/10</f>
        <v>0</v>
      </c>
      <c r="AO48" s="68"/>
      <c r="AP48" s="68">
        <f>TABL12345[[#This Row],[(A/S TOT) AJD]]-TABL12345[[#This Row],[SER_ IN]]</f>
        <v>0</v>
      </c>
    </row>
    <row r="49" spans="1:42" ht="18.75" x14ac:dyDescent="0.25">
      <c r="A49" s="2">
        <v>47166</v>
      </c>
      <c r="B49" s="41"/>
      <c r="C49" s="41"/>
      <c r="D49" s="41"/>
      <c r="E49" s="41"/>
      <c r="F49" s="41"/>
      <c r="G49" s="39"/>
      <c r="H49" s="28"/>
      <c r="I49" s="39"/>
      <c r="J49" s="39"/>
      <c r="K49" s="28">
        <f>TABL12345[[#This Row],[خط (T/B  TOT) SAR]]+TABL12345[[#This Row],[خط (S/S  TOT) SAR2]]</f>
        <v>0</v>
      </c>
      <c r="L49" s="41"/>
      <c r="M49" s="42"/>
      <c r="N49" s="42"/>
      <c r="O49" s="39"/>
      <c r="P49" s="3">
        <f>TABL12345[[#This Row],[خط (S/S  TOT) SAR2]]-TABL12345[[#This Row],[(S/S TOT) AJD]]</f>
        <v>0</v>
      </c>
      <c r="Q49" s="39"/>
      <c r="R49" s="3">
        <f>TABL12345[[#This Row],[خط (T/B  TOT) SAR]]-TABL12345[[#This Row],[(T/B TOT) AJD]]</f>
        <v>0</v>
      </c>
      <c r="S49" s="3">
        <f>TABL12345[[#This Row],[الفرق بين بداية ونهاية خط  S/S]]+TABL12345[[#This Row],[الفرق بين بداية ونهاية خط  T/B]]</f>
        <v>0</v>
      </c>
      <c r="T49" s="3">
        <f t="shared" si="0"/>
        <v>0</v>
      </c>
      <c r="U49" s="41"/>
      <c r="V49" s="41"/>
      <c r="W49" s="3">
        <f t="shared" si="1"/>
        <v>0</v>
      </c>
      <c r="X49" s="3">
        <f t="shared" si="2"/>
        <v>0</v>
      </c>
      <c r="Y49" s="41"/>
      <c r="Z49" s="43"/>
      <c r="AA49" s="3">
        <f>TABL12345[[#This Row],[(RESV. STORGE) AJD]]/10</f>
        <v>0</v>
      </c>
      <c r="AB49" s="43">
        <f t="shared" si="3"/>
        <v>0</v>
      </c>
      <c r="AC49" s="5"/>
      <c r="AD49" s="39">
        <f>(TABL12345[[#This Row],[( S/S+T/B) AJD]]*1000)-((TABL12345[[#This Row],[(STORGE DIFF.) AJD]]*1000)+TABL12345[[#This Row],[البخر  AJD]]+(TABL12345[[#This Row],[(A/B + A/S) AJD]]*1000))</f>
        <v>0</v>
      </c>
      <c r="AE49" s="41"/>
      <c r="AF49" s="43"/>
      <c r="AG49" s="43"/>
      <c r="AH49" s="6">
        <f>TABL12345[[#This Row],[ (RESV. STORGE) BER]]/10</f>
        <v>0</v>
      </c>
      <c r="AI49" s="41"/>
      <c r="AJ49" s="41">
        <f>TABL12345[[#This Row],[(A/B TOT) AJD]]-TABL12345[[#This Row],[BER_ IN]]</f>
        <v>0</v>
      </c>
      <c r="AK49" s="43"/>
      <c r="AL49" s="43"/>
      <c r="AM49" s="32"/>
      <c r="AN49" s="32">
        <f>TABL12345[[#This Row],[ (RESV. STORGE) SER]]/10</f>
        <v>0</v>
      </c>
      <c r="AO49" s="68"/>
      <c r="AP49" s="68">
        <f>TABL12345[[#This Row],[(A/S TOT) AJD]]-TABL12345[[#This Row],[SER_ IN]]</f>
        <v>0</v>
      </c>
    </row>
    <row r="50" spans="1:42" ht="18.75" x14ac:dyDescent="0.25">
      <c r="A50" s="2">
        <v>47167</v>
      </c>
      <c r="B50" s="44"/>
      <c r="C50" s="44"/>
      <c r="D50" s="44"/>
      <c r="E50" s="44"/>
      <c r="F50" s="44"/>
      <c r="G50" s="40"/>
      <c r="H50" s="28"/>
      <c r="I50" s="40"/>
      <c r="J50" s="44"/>
      <c r="K50" s="28">
        <f>TABL12345[[#This Row],[خط (T/B  TOT) SAR]]+TABL12345[[#This Row],[خط (S/S  TOT) SAR2]]</f>
        <v>0</v>
      </c>
      <c r="L50" s="45"/>
      <c r="M50" s="46"/>
      <c r="N50" s="46"/>
      <c r="O50" s="40"/>
      <c r="P50" s="3">
        <f>TABL12345[[#This Row],[خط (S/S  TOT) SAR2]]-TABL12345[[#This Row],[(S/S TOT) AJD]]</f>
        <v>0</v>
      </c>
      <c r="Q50" s="40"/>
      <c r="R50" s="3">
        <f>TABL12345[[#This Row],[خط (T/B  TOT) SAR]]-TABL12345[[#This Row],[(T/B TOT) AJD]]</f>
        <v>0</v>
      </c>
      <c r="S50" s="3">
        <f>TABL12345[[#This Row],[الفرق بين بداية ونهاية خط  S/S]]+TABL12345[[#This Row],[الفرق بين بداية ونهاية خط  T/B]]</f>
        <v>0</v>
      </c>
      <c r="T50" s="3">
        <f t="shared" si="0"/>
        <v>0</v>
      </c>
      <c r="U50" s="44"/>
      <c r="V50" s="44"/>
      <c r="W50" s="3">
        <f t="shared" si="1"/>
        <v>0</v>
      </c>
      <c r="X50" s="3">
        <f t="shared" si="2"/>
        <v>0</v>
      </c>
      <c r="Y50" s="44"/>
      <c r="Z50" s="45"/>
      <c r="AA50" s="3">
        <f>TABL12345[[#This Row],[(RESV. STORGE) AJD]]/10</f>
        <v>0</v>
      </c>
      <c r="AB50" s="45">
        <f t="shared" si="3"/>
        <v>0</v>
      </c>
      <c r="AC50" s="5"/>
      <c r="AD50" s="40">
        <f>(TABL12345[[#This Row],[( S/S+T/B) AJD]]*1000)-((TABL12345[[#This Row],[(STORGE DIFF.) AJD]]*1000)+TABL12345[[#This Row],[البخر  AJD]]+(TABL12345[[#This Row],[(A/B + A/S) AJD]]*1000))</f>
        <v>0</v>
      </c>
      <c r="AE50" s="44"/>
      <c r="AF50" s="45"/>
      <c r="AG50" s="45"/>
      <c r="AH50" s="6">
        <f>TABL12345[[#This Row],[ (RESV. STORGE) BER]]/10</f>
        <v>0</v>
      </c>
      <c r="AI50" s="44"/>
      <c r="AJ50" s="44">
        <f>TABL12345[[#This Row],[(A/B TOT) AJD]]-TABL12345[[#This Row],[BER_ IN]]</f>
        <v>0</v>
      </c>
      <c r="AK50" s="45"/>
      <c r="AL50" s="45"/>
      <c r="AM50" s="32"/>
      <c r="AN50" s="32">
        <f>TABL12345[[#This Row],[ (RESV. STORGE) SER]]/10</f>
        <v>0</v>
      </c>
      <c r="AO50" s="68"/>
      <c r="AP50" s="68">
        <f>TABL12345[[#This Row],[(A/S TOT) AJD]]-TABL12345[[#This Row],[SER_ IN]]</f>
        <v>0</v>
      </c>
    </row>
    <row r="51" spans="1:42" ht="18.75" x14ac:dyDescent="0.25">
      <c r="A51" s="2">
        <v>47168</v>
      </c>
      <c r="B51" s="41"/>
      <c r="C51" s="41"/>
      <c r="D51" s="41"/>
      <c r="E51" s="41"/>
      <c r="F51" s="41"/>
      <c r="G51" s="39"/>
      <c r="H51" s="28"/>
      <c r="I51" s="39"/>
      <c r="J51" s="39"/>
      <c r="K51" s="28">
        <f>TABL12345[[#This Row],[خط (T/B  TOT) SAR]]+TABL12345[[#This Row],[خط (S/S  TOT) SAR2]]</f>
        <v>0</v>
      </c>
      <c r="L51" s="41"/>
      <c r="M51" s="42"/>
      <c r="N51" s="42"/>
      <c r="O51" s="39"/>
      <c r="P51" s="3">
        <f>TABL12345[[#This Row],[خط (S/S  TOT) SAR2]]-TABL12345[[#This Row],[(S/S TOT) AJD]]</f>
        <v>0</v>
      </c>
      <c r="Q51" s="39"/>
      <c r="R51" s="3">
        <f>TABL12345[[#This Row],[خط (T/B  TOT) SAR]]-TABL12345[[#This Row],[(T/B TOT) AJD]]</f>
        <v>0</v>
      </c>
      <c r="S51" s="3">
        <f>TABL12345[[#This Row],[الفرق بين بداية ونهاية خط  S/S]]+TABL12345[[#This Row],[الفرق بين بداية ونهاية خط  T/B]]</f>
        <v>0</v>
      </c>
      <c r="T51" s="3">
        <f t="shared" si="0"/>
        <v>0</v>
      </c>
      <c r="U51" s="41"/>
      <c r="V51" s="41"/>
      <c r="W51" s="3">
        <f t="shared" si="1"/>
        <v>0</v>
      </c>
      <c r="X51" s="3">
        <f t="shared" si="2"/>
        <v>0</v>
      </c>
      <c r="Y51" s="41"/>
      <c r="Z51" s="43"/>
      <c r="AA51" s="3">
        <f>TABL12345[[#This Row],[(RESV. STORGE) AJD]]/10</f>
        <v>0</v>
      </c>
      <c r="AB51" s="43">
        <f t="shared" si="3"/>
        <v>0</v>
      </c>
      <c r="AC51" s="5"/>
      <c r="AD51" s="39">
        <f>(TABL12345[[#This Row],[( S/S+T/B) AJD]]*1000)-((TABL12345[[#This Row],[(STORGE DIFF.) AJD]]*1000)+TABL12345[[#This Row],[البخر  AJD]]+(TABL12345[[#This Row],[(A/B + A/S) AJD]]*1000))</f>
        <v>0</v>
      </c>
      <c r="AE51" s="41"/>
      <c r="AF51" s="43"/>
      <c r="AG51" s="43"/>
      <c r="AH51" s="6">
        <f>TABL12345[[#This Row],[ (RESV. STORGE) BER]]/10</f>
        <v>0</v>
      </c>
      <c r="AI51" s="41"/>
      <c r="AJ51" s="41">
        <f>TABL12345[[#This Row],[(A/B TOT) AJD]]-TABL12345[[#This Row],[BER_ IN]]</f>
        <v>0</v>
      </c>
      <c r="AK51" s="43"/>
      <c r="AL51" s="43"/>
      <c r="AM51" s="32"/>
      <c r="AN51" s="32">
        <f>TABL12345[[#This Row],[ (RESV. STORGE) SER]]/10</f>
        <v>0</v>
      </c>
      <c r="AO51" s="68"/>
      <c r="AP51" s="68">
        <f>TABL12345[[#This Row],[(A/S TOT) AJD]]-TABL12345[[#This Row],[SER_ IN]]</f>
        <v>0</v>
      </c>
    </row>
    <row r="52" spans="1:42" ht="18.75" x14ac:dyDescent="0.25">
      <c r="A52" s="2">
        <v>47169</v>
      </c>
      <c r="B52" s="44"/>
      <c r="C52" s="44"/>
      <c r="D52" s="44"/>
      <c r="E52" s="44"/>
      <c r="F52" s="44"/>
      <c r="G52" s="40"/>
      <c r="H52" s="28"/>
      <c r="I52" s="40"/>
      <c r="J52" s="44"/>
      <c r="K52" s="28">
        <f>TABL12345[[#This Row],[خط (T/B  TOT) SAR]]+TABL12345[[#This Row],[خط (S/S  TOT) SAR2]]</f>
        <v>0</v>
      </c>
      <c r="L52" s="45"/>
      <c r="M52" s="46"/>
      <c r="N52" s="46"/>
      <c r="O52" s="40"/>
      <c r="P52" s="3">
        <f>TABL12345[[#This Row],[خط (S/S  TOT) SAR2]]-TABL12345[[#This Row],[(S/S TOT) AJD]]</f>
        <v>0</v>
      </c>
      <c r="Q52" s="40"/>
      <c r="R52" s="3">
        <f>TABL12345[[#This Row],[خط (T/B  TOT) SAR]]-TABL12345[[#This Row],[(T/B TOT) AJD]]</f>
        <v>0</v>
      </c>
      <c r="S52" s="3">
        <f>TABL12345[[#This Row],[الفرق بين بداية ونهاية خط  S/S]]+TABL12345[[#This Row],[الفرق بين بداية ونهاية خط  T/B]]</f>
        <v>0</v>
      </c>
      <c r="T52" s="3">
        <f t="shared" si="0"/>
        <v>0</v>
      </c>
      <c r="U52" s="44"/>
      <c r="V52" s="44"/>
      <c r="W52" s="3">
        <f t="shared" si="1"/>
        <v>0</v>
      </c>
      <c r="X52" s="3">
        <f t="shared" si="2"/>
        <v>0</v>
      </c>
      <c r="Y52" s="44"/>
      <c r="Z52" s="45"/>
      <c r="AA52" s="3">
        <f>TABL12345[[#This Row],[(RESV. STORGE) AJD]]/10</f>
        <v>0</v>
      </c>
      <c r="AB52" s="45">
        <f t="shared" si="3"/>
        <v>0</v>
      </c>
      <c r="AC52" s="5"/>
      <c r="AD52" s="40">
        <f>(TABL12345[[#This Row],[( S/S+T/B) AJD]]*1000)-((TABL12345[[#This Row],[(STORGE DIFF.) AJD]]*1000)+TABL12345[[#This Row],[البخر  AJD]]+(TABL12345[[#This Row],[(A/B + A/S) AJD]]*1000))</f>
        <v>0</v>
      </c>
      <c r="AE52" s="44"/>
      <c r="AF52" s="45"/>
      <c r="AG52" s="45"/>
      <c r="AH52" s="6">
        <f>TABL12345[[#This Row],[ (RESV. STORGE) BER]]/10</f>
        <v>0</v>
      </c>
      <c r="AI52" s="44"/>
      <c r="AJ52" s="44">
        <f>TABL12345[[#This Row],[(A/B TOT) AJD]]-TABL12345[[#This Row],[BER_ IN]]</f>
        <v>0</v>
      </c>
      <c r="AK52" s="45"/>
      <c r="AL52" s="45"/>
      <c r="AM52" s="32"/>
      <c r="AN52" s="32">
        <f>TABL12345[[#This Row],[ (RESV. STORGE) SER]]/10</f>
        <v>0</v>
      </c>
      <c r="AO52" s="68"/>
      <c r="AP52" s="68">
        <f>TABL12345[[#This Row],[(A/S TOT) AJD]]-TABL12345[[#This Row],[SER_ IN]]</f>
        <v>0</v>
      </c>
    </row>
    <row r="53" spans="1:42" ht="18.75" x14ac:dyDescent="0.25">
      <c r="A53" s="2">
        <v>47170</v>
      </c>
      <c r="B53" s="41"/>
      <c r="C53" s="41"/>
      <c r="D53" s="41"/>
      <c r="E53" s="41"/>
      <c r="F53" s="41"/>
      <c r="G53" s="39"/>
      <c r="H53" s="28"/>
      <c r="I53" s="39"/>
      <c r="J53" s="39"/>
      <c r="K53" s="28">
        <f>TABL12345[[#This Row],[خط (T/B  TOT) SAR]]+TABL12345[[#This Row],[خط (S/S  TOT) SAR2]]</f>
        <v>0</v>
      </c>
      <c r="L53" s="41"/>
      <c r="M53" s="42"/>
      <c r="N53" s="42"/>
      <c r="O53" s="39"/>
      <c r="P53" s="3">
        <f>TABL12345[[#This Row],[خط (S/S  TOT) SAR2]]-TABL12345[[#This Row],[(S/S TOT) AJD]]</f>
        <v>0</v>
      </c>
      <c r="Q53" s="39"/>
      <c r="R53" s="3">
        <f>TABL12345[[#This Row],[خط (T/B  TOT) SAR]]-TABL12345[[#This Row],[(T/B TOT) AJD]]</f>
        <v>0</v>
      </c>
      <c r="S53" s="3">
        <f>TABL12345[[#This Row],[الفرق بين بداية ونهاية خط  S/S]]+TABL12345[[#This Row],[الفرق بين بداية ونهاية خط  T/B]]</f>
        <v>0</v>
      </c>
      <c r="T53" s="3">
        <f t="shared" si="0"/>
        <v>0</v>
      </c>
      <c r="U53" s="41"/>
      <c r="V53" s="41"/>
      <c r="W53" s="3">
        <f t="shared" si="1"/>
        <v>0</v>
      </c>
      <c r="X53" s="3">
        <f t="shared" si="2"/>
        <v>0</v>
      </c>
      <c r="Y53" s="41"/>
      <c r="Z53" s="43"/>
      <c r="AA53" s="3">
        <f>TABL12345[[#This Row],[(RESV. STORGE) AJD]]/10</f>
        <v>0</v>
      </c>
      <c r="AB53" s="43">
        <f t="shared" si="3"/>
        <v>0</v>
      </c>
      <c r="AC53" s="5"/>
      <c r="AD53" s="39">
        <f>(TABL12345[[#This Row],[( S/S+T/B) AJD]]*1000)-((TABL12345[[#This Row],[(STORGE DIFF.) AJD]]*1000)+TABL12345[[#This Row],[البخر  AJD]]+(TABL12345[[#This Row],[(A/B + A/S) AJD]]*1000))</f>
        <v>0</v>
      </c>
      <c r="AE53" s="41"/>
      <c r="AF53" s="43"/>
      <c r="AG53" s="43"/>
      <c r="AH53" s="6">
        <f>TABL12345[[#This Row],[ (RESV. STORGE) BER]]/10</f>
        <v>0</v>
      </c>
      <c r="AI53" s="41"/>
      <c r="AJ53" s="41">
        <f>TABL12345[[#This Row],[(A/B TOT) AJD]]-TABL12345[[#This Row],[BER_ IN]]</f>
        <v>0</v>
      </c>
      <c r="AK53" s="43"/>
      <c r="AL53" s="43"/>
      <c r="AM53" s="32"/>
      <c r="AN53" s="32">
        <f>TABL12345[[#This Row],[ (RESV. STORGE) SER]]/10</f>
        <v>0</v>
      </c>
      <c r="AO53" s="68"/>
      <c r="AP53" s="68">
        <f>TABL12345[[#This Row],[(A/S TOT) AJD]]-TABL12345[[#This Row],[SER_ IN]]</f>
        <v>0</v>
      </c>
    </row>
    <row r="54" spans="1:42" ht="18.75" x14ac:dyDescent="0.25">
      <c r="A54" s="2">
        <v>47171</v>
      </c>
      <c r="B54" s="44"/>
      <c r="C54" s="44"/>
      <c r="D54" s="44"/>
      <c r="E54" s="44"/>
      <c r="F54" s="44"/>
      <c r="G54" s="40"/>
      <c r="H54" s="28"/>
      <c r="I54" s="40"/>
      <c r="J54" s="44"/>
      <c r="K54" s="28">
        <f>TABL12345[[#This Row],[خط (T/B  TOT) SAR]]+TABL12345[[#This Row],[خط (S/S  TOT) SAR2]]</f>
        <v>0</v>
      </c>
      <c r="L54" s="45"/>
      <c r="M54" s="46"/>
      <c r="N54" s="46"/>
      <c r="O54" s="40"/>
      <c r="P54" s="3">
        <f>TABL12345[[#This Row],[خط (S/S  TOT) SAR2]]-TABL12345[[#This Row],[(S/S TOT) AJD]]</f>
        <v>0</v>
      </c>
      <c r="Q54" s="40"/>
      <c r="R54" s="3">
        <f>TABL12345[[#This Row],[خط (T/B  TOT) SAR]]-TABL12345[[#This Row],[(T/B TOT) AJD]]</f>
        <v>0</v>
      </c>
      <c r="S54" s="3">
        <f>TABL12345[[#This Row],[الفرق بين بداية ونهاية خط  S/S]]+TABL12345[[#This Row],[الفرق بين بداية ونهاية خط  T/B]]</f>
        <v>0</v>
      </c>
      <c r="T54" s="3">
        <f t="shared" si="0"/>
        <v>0</v>
      </c>
      <c r="U54" s="44"/>
      <c r="V54" s="44"/>
      <c r="W54" s="3">
        <f t="shared" si="1"/>
        <v>0</v>
      </c>
      <c r="X54" s="3">
        <f t="shared" si="2"/>
        <v>0</v>
      </c>
      <c r="Y54" s="44"/>
      <c r="Z54" s="45"/>
      <c r="AA54" s="3">
        <f>TABL12345[[#This Row],[(RESV. STORGE) AJD]]/10</f>
        <v>0</v>
      </c>
      <c r="AB54" s="45">
        <f t="shared" si="3"/>
        <v>0</v>
      </c>
      <c r="AC54" s="5"/>
      <c r="AD54" s="40">
        <f>(TABL12345[[#This Row],[( S/S+T/B) AJD]]*1000)-((TABL12345[[#This Row],[(STORGE DIFF.) AJD]]*1000)+TABL12345[[#This Row],[البخر  AJD]]+(TABL12345[[#This Row],[(A/B + A/S) AJD]]*1000))</f>
        <v>0</v>
      </c>
      <c r="AE54" s="44"/>
      <c r="AF54" s="45"/>
      <c r="AG54" s="45"/>
      <c r="AH54" s="6">
        <f>TABL12345[[#This Row],[ (RESV. STORGE) BER]]/10</f>
        <v>0</v>
      </c>
      <c r="AI54" s="44"/>
      <c r="AJ54" s="44">
        <f>TABL12345[[#This Row],[(A/B TOT) AJD]]-TABL12345[[#This Row],[BER_ IN]]</f>
        <v>0</v>
      </c>
      <c r="AK54" s="45"/>
      <c r="AL54" s="45"/>
      <c r="AM54" s="32"/>
      <c r="AN54" s="32">
        <f>TABL12345[[#This Row],[ (RESV. STORGE) SER]]/10</f>
        <v>0</v>
      </c>
      <c r="AO54" s="68"/>
      <c r="AP54" s="68">
        <f>TABL12345[[#This Row],[(A/S TOT) AJD]]-TABL12345[[#This Row],[SER_ IN]]</f>
        <v>0</v>
      </c>
    </row>
    <row r="55" spans="1:42" ht="18.75" x14ac:dyDescent="0.25">
      <c r="A55" s="2">
        <v>47172</v>
      </c>
      <c r="B55" s="41"/>
      <c r="C55" s="41"/>
      <c r="D55" s="41"/>
      <c r="E55" s="41"/>
      <c r="F55" s="41"/>
      <c r="G55" s="39"/>
      <c r="H55" s="28"/>
      <c r="I55" s="39"/>
      <c r="J55" s="39"/>
      <c r="K55" s="28">
        <f>TABL12345[[#This Row],[خط (T/B  TOT) SAR]]+TABL12345[[#This Row],[خط (S/S  TOT) SAR2]]</f>
        <v>0</v>
      </c>
      <c r="L55" s="41"/>
      <c r="M55" s="42"/>
      <c r="N55" s="42"/>
      <c r="O55" s="39"/>
      <c r="P55" s="3">
        <f>TABL12345[[#This Row],[خط (S/S  TOT) SAR2]]-TABL12345[[#This Row],[(S/S TOT) AJD]]</f>
        <v>0</v>
      </c>
      <c r="Q55" s="39"/>
      <c r="R55" s="3">
        <f>TABL12345[[#This Row],[خط (T/B  TOT) SAR]]-TABL12345[[#This Row],[(T/B TOT) AJD]]</f>
        <v>0</v>
      </c>
      <c r="S55" s="3">
        <f>TABL12345[[#This Row],[الفرق بين بداية ونهاية خط  S/S]]+TABL12345[[#This Row],[الفرق بين بداية ونهاية خط  T/B]]</f>
        <v>0</v>
      </c>
      <c r="T55" s="3">
        <f t="shared" si="0"/>
        <v>0</v>
      </c>
      <c r="U55" s="41"/>
      <c r="V55" s="41"/>
      <c r="W55" s="3">
        <f t="shared" si="1"/>
        <v>0</v>
      </c>
      <c r="X55" s="3">
        <f t="shared" si="2"/>
        <v>0</v>
      </c>
      <c r="Y55" s="41"/>
      <c r="Z55" s="43"/>
      <c r="AA55" s="3">
        <f>TABL12345[[#This Row],[(RESV. STORGE) AJD]]/10</f>
        <v>0</v>
      </c>
      <c r="AB55" s="43">
        <f t="shared" si="3"/>
        <v>0</v>
      </c>
      <c r="AC55" s="5"/>
      <c r="AD55" s="39">
        <f>(TABL12345[[#This Row],[( S/S+T/B) AJD]]*1000)-((TABL12345[[#This Row],[(STORGE DIFF.) AJD]]*1000)+TABL12345[[#This Row],[البخر  AJD]]+(TABL12345[[#This Row],[(A/B + A/S) AJD]]*1000))</f>
        <v>0</v>
      </c>
      <c r="AE55" s="41"/>
      <c r="AF55" s="43"/>
      <c r="AG55" s="43"/>
      <c r="AH55" s="6">
        <f>TABL12345[[#This Row],[ (RESV. STORGE) BER]]/10</f>
        <v>0</v>
      </c>
      <c r="AI55" s="41"/>
      <c r="AJ55" s="41">
        <f>TABL12345[[#This Row],[(A/B TOT) AJD]]-TABL12345[[#This Row],[BER_ IN]]</f>
        <v>0</v>
      </c>
      <c r="AK55" s="43"/>
      <c r="AL55" s="43"/>
      <c r="AM55" s="32"/>
      <c r="AN55" s="32">
        <f>TABL12345[[#This Row],[ (RESV. STORGE) SER]]/10</f>
        <v>0</v>
      </c>
      <c r="AO55" s="68"/>
      <c r="AP55" s="68">
        <f>TABL12345[[#This Row],[(A/S TOT) AJD]]-TABL12345[[#This Row],[SER_ IN]]</f>
        <v>0</v>
      </c>
    </row>
    <row r="56" spans="1:42" ht="18.75" x14ac:dyDescent="0.25">
      <c r="A56" s="2">
        <v>47173</v>
      </c>
      <c r="B56" s="44"/>
      <c r="C56" s="44"/>
      <c r="D56" s="44"/>
      <c r="E56" s="44"/>
      <c r="F56" s="44"/>
      <c r="G56" s="40"/>
      <c r="H56" s="28"/>
      <c r="I56" s="40"/>
      <c r="J56" s="44"/>
      <c r="K56" s="28">
        <f>TABL12345[[#This Row],[خط (T/B  TOT) SAR]]+TABL12345[[#This Row],[خط (S/S  TOT) SAR2]]</f>
        <v>0</v>
      </c>
      <c r="L56" s="45"/>
      <c r="M56" s="46"/>
      <c r="N56" s="46"/>
      <c r="O56" s="40"/>
      <c r="P56" s="3">
        <f>TABL12345[[#This Row],[خط (S/S  TOT) SAR2]]-TABL12345[[#This Row],[(S/S TOT) AJD]]</f>
        <v>0</v>
      </c>
      <c r="Q56" s="40"/>
      <c r="R56" s="3">
        <f>TABL12345[[#This Row],[خط (T/B  TOT) SAR]]-TABL12345[[#This Row],[(T/B TOT) AJD]]</f>
        <v>0</v>
      </c>
      <c r="S56" s="3">
        <f>TABL12345[[#This Row],[الفرق بين بداية ونهاية خط  S/S]]+TABL12345[[#This Row],[الفرق بين بداية ونهاية خط  T/B]]</f>
        <v>0</v>
      </c>
      <c r="T56" s="3">
        <f t="shared" si="0"/>
        <v>0</v>
      </c>
      <c r="U56" s="44"/>
      <c r="V56" s="44"/>
      <c r="W56" s="3">
        <f t="shared" si="1"/>
        <v>0</v>
      </c>
      <c r="X56" s="3">
        <f t="shared" si="2"/>
        <v>0</v>
      </c>
      <c r="Y56" s="44"/>
      <c r="Z56" s="45"/>
      <c r="AA56" s="3">
        <f>TABL12345[[#This Row],[(RESV. STORGE) AJD]]/10</f>
        <v>0</v>
      </c>
      <c r="AB56" s="45">
        <f t="shared" si="3"/>
        <v>0</v>
      </c>
      <c r="AC56" s="5"/>
      <c r="AD56" s="40">
        <f>(TABL12345[[#This Row],[( S/S+T/B) AJD]]*1000)-((TABL12345[[#This Row],[(STORGE DIFF.) AJD]]*1000)+TABL12345[[#This Row],[البخر  AJD]]+(TABL12345[[#This Row],[(A/B + A/S) AJD]]*1000))</f>
        <v>0</v>
      </c>
      <c r="AE56" s="44"/>
      <c r="AF56" s="45"/>
      <c r="AG56" s="45"/>
      <c r="AH56" s="6">
        <f>TABL12345[[#This Row],[ (RESV. STORGE) BER]]/10</f>
        <v>0</v>
      </c>
      <c r="AI56" s="44"/>
      <c r="AJ56" s="44">
        <f>TABL12345[[#This Row],[(A/B TOT) AJD]]-TABL12345[[#This Row],[BER_ IN]]</f>
        <v>0</v>
      </c>
      <c r="AK56" s="45"/>
      <c r="AL56" s="45"/>
      <c r="AM56" s="32"/>
      <c r="AN56" s="32">
        <f>TABL12345[[#This Row],[ (RESV. STORGE) SER]]/10</f>
        <v>0</v>
      </c>
      <c r="AO56" s="68"/>
      <c r="AP56" s="68">
        <f>TABL12345[[#This Row],[(A/S TOT) AJD]]-TABL12345[[#This Row],[SER_ IN]]</f>
        <v>0</v>
      </c>
    </row>
    <row r="57" spans="1:42" ht="18.75" x14ac:dyDescent="0.25">
      <c r="A57" s="2">
        <v>47174</v>
      </c>
      <c r="B57" s="41"/>
      <c r="C57" s="41"/>
      <c r="D57" s="41"/>
      <c r="E57" s="41"/>
      <c r="F57" s="41"/>
      <c r="G57" s="39"/>
      <c r="H57" s="28"/>
      <c r="I57" s="39"/>
      <c r="J57" s="39"/>
      <c r="K57" s="28">
        <f>TABL12345[[#This Row],[خط (T/B  TOT) SAR]]+TABL12345[[#This Row],[خط (S/S  TOT) SAR2]]</f>
        <v>0</v>
      </c>
      <c r="L57" s="41"/>
      <c r="M57" s="42"/>
      <c r="N57" s="42"/>
      <c r="O57" s="39"/>
      <c r="P57" s="3">
        <f>TABL12345[[#This Row],[خط (S/S  TOT) SAR2]]-TABL12345[[#This Row],[(S/S TOT) AJD]]</f>
        <v>0</v>
      </c>
      <c r="Q57" s="39"/>
      <c r="R57" s="3">
        <f>TABL12345[[#This Row],[خط (T/B  TOT) SAR]]-TABL12345[[#This Row],[(T/B TOT) AJD]]</f>
        <v>0</v>
      </c>
      <c r="S57" s="3">
        <f>TABL12345[[#This Row],[الفرق بين بداية ونهاية خط  S/S]]+TABL12345[[#This Row],[الفرق بين بداية ونهاية خط  T/B]]</f>
        <v>0</v>
      </c>
      <c r="T57" s="3">
        <f t="shared" si="0"/>
        <v>0</v>
      </c>
      <c r="U57" s="41"/>
      <c r="V57" s="41"/>
      <c r="W57" s="3">
        <f t="shared" si="1"/>
        <v>0</v>
      </c>
      <c r="X57" s="3">
        <f t="shared" si="2"/>
        <v>0</v>
      </c>
      <c r="Y57" s="41"/>
      <c r="Z57" s="43"/>
      <c r="AA57" s="3">
        <f>TABL12345[[#This Row],[(RESV. STORGE) AJD]]/10</f>
        <v>0</v>
      </c>
      <c r="AB57" s="43">
        <f t="shared" si="3"/>
        <v>0</v>
      </c>
      <c r="AC57" s="5"/>
      <c r="AD57" s="39">
        <f>(TABL12345[[#This Row],[( S/S+T/B) AJD]]*1000)-((TABL12345[[#This Row],[(STORGE DIFF.) AJD]]*1000)+TABL12345[[#This Row],[البخر  AJD]]+(TABL12345[[#This Row],[(A/B + A/S) AJD]]*1000))</f>
        <v>0</v>
      </c>
      <c r="AE57" s="41"/>
      <c r="AF57" s="43"/>
      <c r="AG57" s="43"/>
      <c r="AH57" s="6">
        <f>TABL12345[[#This Row],[ (RESV. STORGE) BER]]/10</f>
        <v>0</v>
      </c>
      <c r="AI57" s="41"/>
      <c r="AJ57" s="41">
        <f>TABL12345[[#This Row],[(A/B TOT) AJD]]-TABL12345[[#This Row],[BER_ IN]]</f>
        <v>0</v>
      </c>
      <c r="AK57" s="43"/>
      <c r="AL57" s="43"/>
      <c r="AM57" s="32"/>
      <c r="AN57" s="32">
        <f>TABL12345[[#This Row],[ (RESV. STORGE) SER]]/10</f>
        <v>0</v>
      </c>
      <c r="AO57" s="68"/>
      <c r="AP57" s="68">
        <f>TABL12345[[#This Row],[(A/S TOT) AJD]]-TABL12345[[#This Row],[SER_ IN]]</f>
        <v>0</v>
      </c>
    </row>
    <row r="58" spans="1:42" ht="18.75" x14ac:dyDescent="0.25">
      <c r="A58" s="2">
        <v>47175</v>
      </c>
      <c r="B58" s="44"/>
      <c r="C58" s="44"/>
      <c r="D58" s="44"/>
      <c r="E58" s="44"/>
      <c r="F58" s="44"/>
      <c r="G58" s="40"/>
      <c r="H58" s="28"/>
      <c r="I58" s="40"/>
      <c r="J58" s="44"/>
      <c r="K58" s="28">
        <f>TABL12345[[#This Row],[خط (T/B  TOT) SAR]]+TABL12345[[#This Row],[خط (S/S  TOT) SAR2]]</f>
        <v>0</v>
      </c>
      <c r="L58" s="45"/>
      <c r="M58" s="46"/>
      <c r="N58" s="46"/>
      <c r="O58" s="40"/>
      <c r="P58" s="3">
        <f>TABL12345[[#This Row],[خط (S/S  TOT) SAR2]]-TABL12345[[#This Row],[(S/S TOT) AJD]]</f>
        <v>0</v>
      </c>
      <c r="Q58" s="40"/>
      <c r="R58" s="3">
        <f>TABL12345[[#This Row],[خط (T/B  TOT) SAR]]-TABL12345[[#This Row],[(T/B TOT) AJD]]</f>
        <v>0</v>
      </c>
      <c r="S58" s="3">
        <f>TABL12345[[#This Row],[الفرق بين بداية ونهاية خط  S/S]]+TABL12345[[#This Row],[الفرق بين بداية ونهاية خط  T/B]]</f>
        <v>0</v>
      </c>
      <c r="T58" s="3">
        <f t="shared" si="0"/>
        <v>0</v>
      </c>
      <c r="U58" s="44"/>
      <c r="V58" s="44"/>
      <c r="W58" s="3">
        <f t="shared" si="1"/>
        <v>0</v>
      </c>
      <c r="X58" s="3">
        <f t="shared" si="2"/>
        <v>0</v>
      </c>
      <c r="Y58" s="44"/>
      <c r="Z58" s="45"/>
      <c r="AA58" s="3">
        <f>TABL12345[[#This Row],[(RESV. STORGE) AJD]]/10</f>
        <v>0</v>
      </c>
      <c r="AB58" s="45">
        <f t="shared" si="3"/>
        <v>0</v>
      </c>
      <c r="AC58" s="5"/>
      <c r="AD58" s="40">
        <f>(TABL12345[[#This Row],[( S/S+T/B) AJD]]*1000)-((TABL12345[[#This Row],[(STORGE DIFF.) AJD]]*1000)+TABL12345[[#This Row],[البخر  AJD]]+(TABL12345[[#This Row],[(A/B + A/S) AJD]]*1000))</f>
        <v>0</v>
      </c>
      <c r="AE58" s="44"/>
      <c r="AF58" s="45"/>
      <c r="AG58" s="45"/>
      <c r="AH58" s="6">
        <f>TABL12345[[#This Row],[ (RESV. STORGE) BER]]/10</f>
        <v>0</v>
      </c>
      <c r="AI58" s="44"/>
      <c r="AJ58" s="44">
        <f>TABL12345[[#This Row],[(A/B TOT) AJD]]-TABL12345[[#This Row],[BER_ IN]]</f>
        <v>0</v>
      </c>
      <c r="AK58" s="45"/>
      <c r="AL58" s="45"/>
      <c r="AM58" s="32"/>
      <c r="AN58" s="32">
        <f>TABL12345[[#This Row],[ (RESV. STORGE) SER]]/10</f>
        <v>0</v>
      </c>
      <c r="AO58" s="68"/>
      <c r="AP58" s="68">
        <f>TABL12345[[#This Row],[(A/S TOT) AJD]]-TABL12345[[#This Row],[SER_ IN]]</f>
        <v>0</v>
      </c>
    </row>
    <row r="59" spans="1:42" ht="18.75" x14ac:dyDescent="0.25">
      <c r="A59" s="2">
        <v>47176</v>
      </c>
      <c r="B59" s="41"/>
      <c r="C59" s="41"/>
      <c r="D59" s="41"/>
      <c r="E59" s="41"/>
      <c r="F59" s="41"/>
      <c r="G59" s="39"/>
      <c r="H59" s="28"/>
      <c r="I59" s="39"/>
      <c r="J59" s="39"/>
      <c r="K59" s="28">
        <f>TABL12345[[#This Row],[خط (T/B  TOT) SAR]]+TABL12345[[#This Row],[خط (S/S  TOT) SAR2]]</f>
        <v>0</v>
      </c>
      <c r="L59" s="41"/>
      <c r="M59" s="42"/>
      <c r="N59" s="42"/>
      <c r="O59" s="39"/>
      <c r="P59" s="3">
        <f>TABL12345[[#This Row],[خط (S/S  TOT) SAR2]]-TABL12345[[#This Row],[(S/S TOT) AJD]]</f>
        <v>0</v>
      </c>
      <c r="Q59" s="39"/>
      <c r="R59" s="3">
        <f>TABL12345[[#This Row],[خط (T/B  TOT) SAR]]-TABL12345[[#This Row],[(T/B TOT) AJD]]</f>
        <v>0</v>
      </c>
      <c r="S59" s="3">
        <f>TABL12345[[#This Row],[الفرق بين بداية ونهاية خط  S/S]]+TABL12345[[#This Row],[الفرق بين بداية ونهاية خط  T/B]]</f>
        <v>0</v>
      </c>
      <c r="T59" s="3">
        <f t="shared" si="0"/>
        <v>0</v>
      </c>
      <c r="U59" s="41"/>
      <c r="V59" s="41"/>
      <c r="W59" s="3">
        <f t="shared" si="1"/>
        <v>0</v>
      </c>
      <c r="X59" s="3">
        <f t="shared" si="2"/>
        <v>0</v>
      </c>
      <c r="Y59" s="41"/>
      <c r="Z59" s="43"/>
      <c r="AA59" s="3">
        <f>TABL12345[[#This Row],[(RESV. STORGE) AJD]]/10</f>
        <v>0</v>
      </c>
      <c r="AB59" s="43">
        <f t="shared" si="3"/>
        <v>0</v>
      </c>
      <c r="AC59" s="5"/>
      <c r="AD59" s="39">
        <f>(TABL12345[[#This Row],[( S/S+T/B) AJD]]*1000)-((TABL12345[[#This Row],[(STORGE DIFF.) AJD]]*1000)+TABL12345[[#This Row],[البخر  AJD]]+(TABL12345[[#This Row],[(A/B + A/S) AJD]]*1000))</f>
        <v>0</v>
      </c>
      <c r="AE59" s="41"/>
      <c r="AF59" s="43"/>
      <c r="AG59" s="43"/>
      <c r="AH59" s="6">
        <f>TABL12345[[#This Row],[ (RESV. STORGE) BER]]/10</f>
        <v>0</v>
      </c>
      <c r="AI59" s="41"/>
      <c r="AJ59" s="41">
        <f>TABL12345[[#This Row],[(A/B TOT) AJD]]-TABL12345[[#This Row],[BER_ IN]]</f>
        <v>0</v>
      </c>
      <c r="AK59" s="43"/>
      <c r="AL59" s="43"/>
      <c r="AM59" s="32"/>
      <c r="AN59" s="32">
        <f>TABL12345[[#This Row],[ (RESV. STORGE) SER]]/10</f>
        <v>0</v>
      </c>
      <c r="AO59" s="68"/>
      <c r="AP59" s="68">
        <f>TABL12345[[#This Row],[(A/S TOT) AJD]]-TABL12345[[#This Row],[SER_ IN]]</f>
        <v>0</v>
      </c>
    </row>
    <row r="60" spans="1:42" ht="18.75" x14ac:dyDescent="0.25">
      <c r="A60" s="2">
        <v>47177</v>
      </c>
      <c r="B60" s="44"/>
      <c r="C60" s="44"/>
      <c r="D60" s="44"/>
      <c r="E60" s="44"/>
      <c r="F60" s="44"/>
      <c r="G60" s="40"/>
      <c r="H60" s="28"/>
      <c r="I60" s="40"/>
      <c r="J60" s="44"/>
      <c r="K60" s="28">
        <f>TABL12345[[#This Row],[خط (T/B  TOT) SAR]]+TABL12345[[#This Row],[خط (S/S  TOT) SAR2]]</f>
        <v>0</v>
      </c>
      <c r="L60" s="45"/>
      <c r="M60" s="46"/>
      <c r="N60" s="46"/>
      <c r="O60" s="40"/>
      <c r="P60" s="3">
        <f>TABL12345[[#This Row],[خط (S/S  TOT) SAR2]]-TABL12345[[#This Row],[(S/S TOT) AJD]]</f>
        <v>0</v>
      </c>
      <c r="Q60" s="40"/>
      <c r="R60" s="3">
        <f>TABL12345[[#This Row],[خط (T/B  TOT) SAR]]-TABL12345[[#This Row],[(T/B TOT) AJD]]</f>
        <v>0</v>
      </c>
      <c r="S60" s="3">
        <f>TABL12345[[#This Row],[الفرق بين بداية ونهاية خط  S/S]]+TABL12345[[#This Row],[الفرق بين بداية ونهاية خط  T/B]]</f>
        <v>0</v>
      </c>
      <c r="T60" s="3">
        <f t="shared" si="0"/>
        <v>0</v>
      </c>
      <c r="U60" s="44"/>
      <c r="V60" s="44"/>
      <c r="W60" s="3">
        <f t="shared" si="1"/>
        <v>0</v>
      </c>
      <c r="X60" s="3">
        <f t="shared" si="2"/>
        <v>0</v>
      </c>
      <c r="Y60" s="44"/>
      <c r="Z60" s="45"/>
      <c r="AA60" s="3">
        <f>TABL12345[[#This Row],[(RESV. STORGE) AJD]]/10</f>
        <v>0</v>
      </c>
      <c r="AB60" s="45">
        <f t="shared" si="3"/>
        <v>0</v>
      </c>
      <c r="AC60" s="5"/>
      <c r="AD60" s="40">
        <f>(TABL12345[[#This Row],[( S/S+T/B) AJD]]*1000)-((TABL12345[[#This Row],[(STORGE DIFF.) AJD]]*1000)+TABL12345[[#This Row],[البخر  AJD]]+(TABL12345[[#This Row],[(A/B + A/S) AJD]]*1000))</f>
        <v>0</v>
      </c>
      <c r="AE60" s="44"/>
      <c r="AF60" s="45"/>
      <c r="AG60" s="45"/>
      <c r="AH60" s="6">
        <f>TABL12345[[#This Row],[ (RESV. STORGE) BER]]/10</f>
        <v>0</v>
      </c>
      <c r="AI60" s="44"/>
      <c r="AJ60" s="44">
        <f>TABL12345[[#This Row],[(A/B TOT) AJD]]-TABL12345[[#This Row],[BER_ IN]]</f>
        <v>0</v>
      </c>
      <c r="AK60" s="45"/>
      <c r="AL60" s="45"/>
      <c r="AM60" s="32"/>
      <c r="AN60" s="32">
        <f>TABL12345[[#This Row],[ (RESV. STORGE) SER]]/10</f>
        <v>0</v>
      </c>
      <c r="AO60" s="68"/>
      <c r="AP60" s="68">
        <f>TABL12345[[#This Row],[(A/S TOT) AJD]]-TABL12345[[#This Row],[SER_ IN]]</f>
        <v>0</v>
      </c>
    </row>
    <row r="61" spans="1:42" ht="18.75" x14ac:dyDescent="0.25">
      <c r="A61" s="2">
        <v>47178</v>
      </c>
      <c r="B61" s="41"/>
      <c r="C61" s="41"/>
      <c r="D61" s="41"/>
      <c r="E61" s="44"/>
      <c r="F61" s="41"/>
      <c r="G61" s="39"/>
      <c r="H61" s="28"/>
      <c r="I61" s="39"/>
      <c r="J61" s="39"/>
      <c r="K61" s="28">
        <f>TABL12345[[#This Row],[خط (T/B  TOT) SAR]]+TABL12345[[#This Row],[خط (S/S  TOT) SAR2]]</f>
        <v>0</v>
      </c>
      <c r="L61" s="41"/>
      <c r="M61" s="42"/>
      <c r="N61" s="42"/>
      <c r="O61" s="39"/>
      <c r="P61" s="3">
        <f>TABL12345[[#This Row],[خط (S/S  TOT) SAR2]]-TABL12345[[#This Row],[(S/S TOT) AJD]]</f>
        <v>0</v>
      </c>
      <c r="Q61" s="39"/>
      <c r="R61" s="3">
        <f>TABL12345[[#This Row],[خط (T/B  TOT) SAR]]-TABL12345[[#This Row],[(T/B TOT) AJD]]</f>
        <v>0</v>
      </c>
      <c r="S61" s="3">
        <f>TABL12345[[#This Row],[الفرق بين بداية ونهاية خط  S/S]]+TABL12345[[#This Row],[الفرق بين بداية ونهاية خط  T/B]]</f>
        <v>0</v>
      </c>
      <c r="T61" s="3">
        <f t="shared" si="0"/>
        <v>0</v>
      </c>
      <c r="U61" s="41"/>
      <c r="V61" s="41"/>
      <c r="W61" s="3">
        <f t="shared" si="1"/>
        <v>0</v>
      </c>
      <c r="X61" s="3">
        <f t="shared" si="2"/>
        <v>0</v>
      </c>
      <c r="Y61" s="41"/>
      <c r="Z61" s="43"/>
      <c r="AA61" s="3">
        <f>TABL12345[[#This Row],[(RESV. STORGE) AJD]]/10</f>
        <v>0</v>
      </c>
      <c r="AB61" s="43">
        <f t="shared" si="3"/>
        <v>0</v>
      </c>
      <c r="AC61" s="5"/>
      <c r="AD61" s="39">
        <f>(TABL12345[[#This Row],[( S/S+T/B) AJD]]*1000)-((TABL12345[[#This Row],[(STORGE DIFF.) AJD]]*1000)+TABL12345[[#This Row],[البخر  AJD]]+(TABL12345[[#This Row],[(A/B + A/S) AJD]]*1000))</f>
        <v>0</v>
      </c>
      <c r="AE61" s="41"/>
      <c r="AF61" s="43"/>
      <c r="AG61" s="43"/>
      <c r="AH61" s="6">
        <f>TABL12345[[#This Row],[ (RESV. STORGE) BER]]/10</f>
        <v>0</v>
      </c>
      <c r="AI61" s="41"/>
      <c r="AJ61" s="41">
        <f>TABL12345[[#This Row],[(A/B TOT) AJD]]-TABL12345[[#This Row],[BER_ IN]]</f>
        <v>0</v>
      </c>
      <c r="AK61" s="43"/>
      <c r="AL61" s="43"/>
      <c r="AM61" s="32"/>
      <c r="AN61" s="32">
        <f>TABL12345[[#This Row],[ (RESV. STORGE) SER]]/10</f>
        <v>0</v>
      </c>
      <c r="AO61" s="68"/>
      <c r="AP61" s="68">
        <f>TABL12345[[#This Row],[(A/S TOT) AJD]]-TABL12345[[#This Row],[SER_ IN]]</f>
        <v>0</v>
      </c>
    </row>
    <row r="62" spans="1:42" ht="18.75" x14ac:dyDescent="0.25">
      <c r="A62" s="2">
        <v>47179</v>
      </c>
      <c r="B62" s="44"/>
      <c r="C62" s="44"/>
      <c r="D62" s="44"/>
      <c r="E62" s="44"/>
      <c r="F62" s="44"/>
      <c r="G62" s="40"/>
      <c r="H62" s="28"/>
      <c r="I62" s="40"/>
      <c r="J62" s="44"/>
      <c r="K62" s="28">
        <f>TABL12345[[#This Row],[خط (T/B  TOT) SAR]]+TABL12345[[#This Row],[خط (S/S  TOT) SAR2]]</f>
        <v>0</v>
      </c>
      <c r="L62" s="45"/>
      <c r="M62" s="46"/>
      <c r="N62" s="46"/>
      <c r="O62" s="40"/>
      <c r="P62" s="3">
        <f>TABL12345[[#This Row],[خط (S/S  TOT) SAR2]]-TABL12345[[#This Row],[(S/S TOT) AJD]]</f>
        <v>0</v>
      </c>
      <c r="Q62" s="40"/>
      <c r="R62" s="3">
        <f>TABL12345[[#This Row],[خط (T/B  TOT) SAR]]-TABL12345[[#This Row],[(T/B TOT) AJD]]</f>
        <v>0</v>
      </c>
      <c r="S62" s="3">
        <f>TABL12345[[#This Row],[الفرق بين بداية ونهاية خط  S/S]]+TABL12345[[#This Row],[الفرق بين بداية ونهاية خط  T/B]]</f>
        <v>0</v>
      </c>
      <c r="T62" s="3">
        <f t="shared" si="0"/>
        <v>0</v>
      </c>
      <c r="U62" s="44"/>
      <c r="V62" s="44"/>
      <c r="W62" s="3">
        <f t="shared" si="1"/>
        <v>0</v>
      </c>
      <c r="X62" s="3">
        <f t="shared" si="2"/>
        <v>0</v>
      </c>
      <c r="Y62" s="44"/>
      <c r="Z62" s="45"/>
      <c r="AA62" s="3">
        <f>TABL12345[[#This Row],[(RESV. STORGE) AJD]]/10</f>
        <v>0</v>
      </c>
      <c r="AB62" s="45">
        <f t="shared" si="3"/>
        <v>0</v>
      </c>
      <c r="AC62" s="5"/>
      <c r="AD62" s="40">
        <f>(TABL12345[[#This Row],[( S/S+T/B) AJD]]*1000)-((TABL12345[[#This Row],[(STORGE DIFF.) AJD]]*1000)+TABL12345[[#This Row],[البخر  AJD]]+(TABL12345[[#This Row],[(A/B + A/S) AJD]]*1000))</f>
        <v>0</v>
      </c>
      <c r="AE62" s="44"/>
      <c r="AF62" s="45"/>
      <c r="AG62" s="45"/>
      <c r="AH62" s="6">
        <f>TABL12345[[#This Row],[ (RESV. STORGE) BER]]/10</f>
        <v>0</v>
      </c>
      <c r="AI62" s="44"/>
      <c r="AJ62" s="44">
        <f>TABL12345[[#This Row],[(A/B TOT) AJD]]-TABL12345[[#This Row],[BER_ IN]]</f>
        <v>0</v>
      </c>
      <c r="AK62" s="45"/>
      <c r="AL62" s="45"/>
      <c r="AM62" s="32"/>
      <c r="AN62" s="32">
        <f>TABL12345[[#This Row],[ (RESV. STORGE) SER]]/10</f>
        <v>0</v>
      </c>
      <c r="AO62" s="68"/>
      <c r="AP62" s="68">
        <f>TABL12345[[#This Row],[(A/S TOT) AJD]]-TABL12345[[#This Row],[SER_ IN]]</f>
        <v>0</v>
      </c>
    </row>
    <row r="63" spans="1:42" ht="18.75" x14ac:dyDescent="0.25">
      <c r="A63" s="2">
        <v>47180</v>
      </c>
      <c r="B63" s="41"/>
      <c r="C63" s="41"/>
      <c r="D63" s="41"/>
      <c r="E63" s="44"/>
      <c r="F63" s="41"/>
      <c r="G63" s="39"/>
      <c r="H63" s="28"/>
      <c r="I63" s="39"/>
      <c r="J63" s="39"/>
      <c r="K63" s="28">
        <f>TABL12345[[#This Row],[خط (T/B  TOT) SAR]]+TABL12345[[#This Row],[خط (S/S  TOT) SAR2]]</f>
        <v>0</v>
      </c>
      <c r="L63" s="41"/>
      <c r="M63" s="42"/>
      <c r="N63" s="42"/>
      <c r="O63" s="39"/>
      <c r="P63" s="3">
        <f>TABL12345[[#This Row],[خط (S/S  TOT) SAR2]]-TABL12345[[#This Row],[(S/S TOT) AJD]]</f>
        <v>0</v>
      </c>
      <c r="Q63" s="39"/>
      <c r="R63" s="3">
        <f>TABL12345[[#This Row],[خط (T/B  TOT) SAR]]-TABL12345[[#This Row],[(T/B TOT) AJD]]</f>
        <v>0</v>
      </c>
      <c r="S63" s="3">
        <f>TABL12345[[#This Row],[الفرق بين بداية ونهاية خط  S/S]]+TABL12345[[#This Row],[الفرق بين بداية ونهاية خط  T/B]]</f>
        <v>0</v>
      </c>
      <c r="T63" s="3">
        <f t="shared" si="0"/>
        <v>0</v>
      </c>
      <c r="U63" s="41"/>
      <c r="V63" s="41"/>
      <c r="W63" s="3">
        <f t="shared" si="1"/>
        <v>0</v>
      </c>
      <c r="X63" s="3">
        <f t="shared" si="2"/>
        <v>0</v>
      </c>
      <c r="Y63" s="41"/>
      <c r="Z63" s="43"/>
      <c r="AA63" s="3">
        <f>TABL12345[[#This Row],[(RESV. STORGE) AJD]]/10</f>
        <v>0</v>
      </c>
      <c r="AB63" s="43">
        <f t="shared" si="3"/>
        <v>0</v>
      </c>
      <c r="AC63" s="5"/>
      <c r="AD63" s="39">
        <f>(TABL12345[[#This Row],[( S/S+T/B) AJD]]*1000)-((TABL12345[[#This Row],[(STORGE DIFF.) AJD]]*1000)+TABL12345[[#This Row],[البخر  AJD]]+(TABL12345[[#This Row],[(A/B + A/S) AJD]]*1000))</f>
        <v>0</v>
      </c>
      <c r="AE63" s="41"/>
      <c r="AF63" s="43"/>
      <c r="AG63" s="43"/>
      <c r="AH63" s="6">
        <f>TABL12345[[#This Row],[ (RESV. STORGE) BER]]/10</f>
        <v>0</v>
      </c>
      <c r="AI63" s="41"/>
      <c r="AJ63" s="41">
        <f>TABL12345[[#This Row],[(A/B TOT) AJD]]-TABL12345[[#This Row],[BER_ IN]]</f>
        <v>0</v>
      </c>
      <c r="AK63" s="43"/>
      <c r="AL63" s="43"/>
      <c r="AM63" s="32"/>
      <c r="AN63" s="32">
        <f>TABL12345[[#This Row],[ (RESV. STORGE) SER]]/10</f>
        <v>0</v>
      </c>
      <c r="AO63" s="68"/>
      <c r="AP63" s="68">
        <f>TABL12345[[#This Row],[(A/S TOT) AJD]]-TABL12345[[#This Row],[SER_ IN]]</f>
        <v>0</v>
      </c>
    </row>
    <row r="64" spans="1:42" ht="18.75" x14ac:dyDescent="0.25">
      <c r="A64" s="2">
        <v>47181</v>
      </c>
      <c r="B64" s="44"/>
      <c r="C64" s="44"/>
      <c r="D64" s="44"/>
      <c r="E64" s="28"/>
      <c r="F64" s="44"/>
      <c r="G64" s="40"/>
      <c r="H64" s="28"/>
      <c r="I64" s="40"/>
      <c r="J64" s="44"/>
      <c r="K64" s="28">
        <f>TABL12345[[#This Row],[خط (T/B  TOT) SAR]]+TABL12345[[#This Row],[خط (S/S  TOT) SAR2]]</f>
        <v>0</v>
      </c>
      <c r="L64" s="45"/>
      <c r="M64" s="46"/>
      <c r="N64" s="46"/>
      <c r="O64" s="40"/>
      <c r="P64" s="3">
        <f>TABL12345[[#This Row],[خط (S/S  TOT) SAR2]]-TABL12345[[#This Row],[(S/S TOT) AJD]]</f>
        <v>0</v>
      </c>
      <c r="Q64" s="40"/>
      <c r="R64" s="3">
        <f>TABL12345[[#This Row],[خط (T/B  TOT) SAR]]-TABL12345[[#This Row],[(T/B TOT) AJD]]</f>
        <v>0</v>
      </c>
      <c r="S64" s="3">
        <f>TABL12345[[#This Row],[الفرق بين بداية ونهاية خط  S/S]]+TABL12345[[#This Row],[الفرق بين بداية ونهاية خط  T/B]]</f>
        <v>0</v>
      </c>
      <c r="T64" s="3">
        <f t="shared" si="0"/>
        <v>0</v>
      </c>
      <c r="U64" s="44"/>
      <c r="V64" s="44"/>
      <c r="W64" s="3">
        <f t="shared" si="1"/>
        <v>0</v>
      </c>
      <c r="X64" s="3">
        <f t="shared" si="2"/>
        <v>0</v>
      </c>
      <c r="Y64" s="44"/>
      <c r="Z64" s="45"/>
      <c r="AA64" s="3">
        <f>TABL12345[[#This Row],[(RESV. STORGE) AJD]]/10</f>
        <v>0</v>
      </c>
      <c r="AB64" s="45">
        <f t="shared" si="3"/>
        <v>0</v>
      </c>
      <c r="AC64" s="5"/>
      <c r="AD64" s="40">
        <f>(TABL12345[[#This Row],[( S/S+T/B) AJD]]*1000)-((TABL12345[[#This Row],[(STORGE DIFF.) AJD]]*1000)+TABL12345[[#This Row],[البخر  AJD]]+(TABL12345[[#This Row],[(A/B + A/S) AJD]]*1000))</f>
        <v>0</v>
      </c>
      <c r="AE64" s="44"/>
      <c r="AF64" s="45"/>
      <c r="AG64" s="45"/>
      <c r="AH64" s="6">
        <f>TABL12345[[#This Row],[ (RESV. STORGE) BER]]/10</f>
        <v>0</v>
      </c>
      <c r="AI64" s="44"/>
      <c r="AJ64" s="44">
        <f>TABL12345[[#This Row],[(A/B TOT) AJD]]-TABL12345[[#This Row],[BER_ IN]]</f>
        <v>0</v>
      </c>
      <c r="AK64" s="45"/>
      <c r="AL64" s="45"/>
      <c r="AM64" s="32"/>
      <c r="AN64" s="32">
        <f>TABL12345[[#This Row],[ (RESV. STORGE) SER]]/10</f>
        <v>0</v>
      </c>
      <c r="AO64" s="68"/>
      <c r="AP64" s="68">
        <f>TABL12345[[#This Row],[(A/S TOT) AJD]]-TABL12345[[#This Row],[SER_ IN]]</f>
        <v>0</v>
      </c>
    </row>
    <row r="65" spans="1:42" ht="18.75" x14ac:dyDescent="0.25">
      <c r="A65" s="2">
        <v>47182</v>
      </c>
      <c r="B65" s="41"/>
      <c r="C65" s="41"/>
      <c r="D65" s="41"/>
      <c r="E65" s="28"/>
      <c r="F65" s="41"/>
      <c r="G65" s="39"/>
      <c r="H65" s="28"/>
      <c r="I65" s="39"/>
      <c r="J65" s="39"/>
      <c r="K65" s="28">
        <f>TABL12345[[#This Row],[خط (T/B  TOT) SAR]]+TABL12345[[#This Row],[خط (S/S  TOT) SAR2]]</f>
        <v>0</v>
      </c>
      <c r="L65" s="41"/>
      <c r="M65" s="42"/>
      <c r="N65" s="42"/>
      <c r="O65" s="39"/>
      <c r="P65" s="3">
        <f>TABL12345[[#This Row],[خط (S/S  TOT) SAR2]]-TABL12345[[#This Row],[(S/S TOT) AJD]]</f>
        <v>0</v>
      </c>
      <c r="Q65" s="39"/>
      <c r="R65" s="3">
        <f>TABL12345[[#This Row],[خط (T/B  TOT) SAR]]-TABL12345[[#This Row],[(T/B TOT) AJD]]</f>
        <v>0</v>
      </c>
      <c r="S65" s="3">
        <f>TABL12345[[#This Row],[الفرق بين بداية ونهاية خط  S/S]]+TABL12345[[#This Row],[الفرق بين بداية ونهاية خط  T/B]]</f>
        <v>0</v>
      </c>
      <c r="T65" s="3">
        <f t="shared" si="0"/>
        <v>0</v>
      </c>
      <c r="U65" s="41"/>
      <c r="V65" s="41"/>
      <c r="W65" s="3">
        <f t="shared" si="1"/>
        <v>0</v>
      </c>
      <c r="X65" s="3">
        <f t="shared" si="2"/>
        <v>0</v>
      </c>
      <c r="Y65" s="41"/>
      <c r="Z65" s="43"/>
      <c r="AA65" s="3">
        <f>TABL12345[[#This Row],[(RESV. STORGE) AJD]]/10</f>
        <v>0</v>
      </c>
      <c r="AB65" s="43">
        <f t="shared" si="3"/>
        <v>0</v>
      </c>
      <c r="AC65" s="5"/>
      <c r="AD65" s="39">
        <f>(TABL12345[[#This Row],[( S/S+T/B) AJD]]*1000)-((TABL12345[[#This Row],[(STORGE DIFF.) AJD]]*1000)+TABL12345[[#This Row],[البخر  AJD]]+(TABL12345[[#This Row],[(A/B + A/S) AJD]]*1000))</f>
        <v>0</v>
      </c>
      <c r="AE65" s="41"/>
      <c r="AF65" s="43"/>
      <c r="AG65" s="43"/>
      <c r="AH65" s="6">
        <f>TABL12345[[#This Row],[ (RESV. STORGE) BER]]/10</f>
        <v>0</v>
      </c>
      <c r="AI65" s="41"/>
      <c r="AJ65" s="41">
        <f>TABL12345[[#This Row],[(A/B TOT) AJD]]-TABL12345[[#This Row],[BER_ IN]]</f>
        <v>0</v>
      </c>
      <c r="AK65" s="43"/>
      <c r="AL65" s="43"/>
      <c r="AM65" s="32"/>
      <c r="AN65" s="32">
        <f>TABL12345[[#This Row],[ (RESV. STORGE) SER]]/10</f>
        <v>0</v>
      </c>
      <c r="AO65" s="68"/>
      <c r="AP65" s="68">
        <f>TABL12345[[#This Row],[(A/S TOT) AJD]]-TABL12345[[#This Row],[SER_ IN]]</f>
        <v>0</v>
      </c>
    </row>
    <row r="66" spans="1:42" ht="18.75" x14ac:dyDescent="0.25">
      <c r="A66" s="2">
        <v>47183</v>
      </c>
      <c r="B66" s="44"/>
      <c r="C66" s="44"/>
      <c r="D66" s="44"/>
      <c r="E66" s="28"/>
      <c r="F66" s="44"/>
      <c r="G66" s="40"/>
      <c r="H66" s="28"/>
      <c r="I66" s="40"/>
      <c r="J66" s="44"/>
      <c r="K66" s="28">
        <f>TABL12345[[#This Row],[خط (T/B  TOT) SAR]]+TABL12345[[#This Row],[خط (S/S  TOT) SAR2]]</f>
        <v>0</v>
      </c>
      <c r="L66" s="45"/>
      <c r="M66" s="46"/>
      <c r="N66" s="46"/>
      <c r="O66" s="40"/>
      <c r="P66" s="3">
        <f>TABL12345[[#This Row],[خط (S/S  TOT) SAR2]]-TABL12345[[#This Row],[(S/S TOT) AJD]]</f>
        <v>0</v>
      </c>
      <c r="Q66" s="40"/>
      <c r="R66" s="3">
        <f>TABL12345[[#This Row],[خط (T/B  TOT) SAR]]-TABL12345[[#This Row],[(T/B TOT) AJD]]</f>
        <v>0</v>
      </c>
      <c r="S66" s="3">
        <f>TABL12345[[#This Row],[الفرق بين بداية ونهاية خط  S/S]]+TABL12345[[#This Row],[الفرق بين بداية ونهاية خط  T/B]]</f>
        <v>0</v>
      </c>
      <c r="T66" s="3">
        <f t="shared" ref="T66:T129" si="4">O66+Q66</f>
        <v>0</v>
      </c>
      <c r="U66" s="44"/>
      <c r="V66" s="44"/>
      <c r="W66" s="3">
        <f t="shared" ref="W66:W129" si="5">U66+V66</f>
        <v>0</v>
      </c>
      <c r="X66" s="3">
        <f t="shared" ref="X66:X129" si="6">T66-W66</f>
        <v>0</v>
      </c>
      <c r="Y66" s="44"/>
      <c r="Z66" s="45"/>
      <c r="AA66" s="3">
        <f>TABL12345[[#This Row],[(RESV. STORGE) AJD]]/10</f>
        <v>0</v>
      </c>
      <c r="AB66" s="45">
        <f t="shared" si="3"/>
        <v>0</v>
      </c>
      <c r="AC66" s="5"/>
      <c r="AD66" s="40">
        <f>(TABL12345[[#This Row],[( S/S+T/B) AJD]]*1000)-((TABL12345[[#This Row],[(STORGE DIFF.) AJD]]*1000)+TABL12345[[#This Row],[البخر  AJD]]+(TABL12345[[#This Row],[(A/B + A/S) AJD]]*1000))</f>
        <v>0</v>
      </c>
      <c r="AE66" s="44"/>
      <c r="AF66" s="45"/>
      <c r="AG66" s="45"/>
      <c r="AH66" s="6">
        <f>TABL12345[[#This Row],[ (RESV. STORGE) BER]]/10</f>
        <v>0</v>
      </c>
      <c r="AI66" s="44"/>
      <c r="AJ66" s="44">
        <f>TABL12345[[#This Row],[(A/B TOT) AJD]]-TABL12345[[#This Row],[BER_ IN]]</f>
        <v>0</v>
      </c>
      <c r="AK66" s="45"/>
      <c r="AL66" s="45"/>
      <c r="AM66" s="32"/>
      <c r="AN66" s="32">
        <f>TABL12345[[#This Row],[ (RESV. STORGE) SER]]/10</f>
        <v>0</v>
      </c>
      <c r="AO66" s="68"/>
      <c r="AP66" s="68">
        <f>TABL12345[[#This Row],[(A/S TOT) AJD]]-TABL12345[[#This Row],[SER_ IN]]</f>
        <v>0</v>
      </c>
    </row>
    <row r="67" spans="1:42" ht="18.75" x14ac:dyDescent="0.25">
      <c r="A67" s="2">
        <v>47184</v>
      </c>
      <c r="B67" s="41"/>
      <c r="C67" s="41"/>
      <c r="D67" s="41"/>
      <c r="E67" s="28"/>
      <c r="F67" s="41"/>
      <c r="G67" s="39"/>
      <c r="H67" s="28"/>
      <c r="I67" s="39"/>
      <c r="J67" s="39"/>
      <c r="K67" s="28">
        <f>TABL12345[[#This Row],[خط (T/B  TOT) SAR]]+TABL12345[[#This Row],[خط (S/S  TOT) SAR2]]</f>
        <v>0</v>
      </c>
      <c r="L67" s="41"/>
      <c r="M67" s="42"/>
      <c r="N67" s="42"/>
      <c r="O67" s="39"/>
      <c r="P67" s="3">
        <f>TABL12345[[#This Row],[خط (S/S  TOT) SAR2]]-TABL12345[[#This Row],[(S/S TOT) AJD]]</f>
        <v>0</v>
      </c>
      <c r="Q67" s="39"/>
      <c r="R67" s="3">
        <f>TABL12345[[#This Row],[خط (T/B  TOT) SAR]]-TABL12345[[#This Row],[(T/B TOT) AJD]]</f>
        <v>0</v>
      </c>
      <c r="S67" s="3">
        <f>TABL12345[[#This Row],[الفرق بين بداية ونهاية خط  S/S]]+TABL12345[[#This Row],[الفرق بين بداية ونهاية خط  T/B]]</f>
        <v>0</v>
      </c>
      <c r="T67" s="3">
        <f t="shared" si="4"/>
        <v>0</v>
      </c>
      <c r="U67" s="41"/>
      <c r="V67" s="41"/>
      <c r="W67" s="3">
        <f t="shared" si="5"/>
        <v>0</v>
      </c>
      <c r="X67" s="3">
        <f t="shared" si="6"/>
        <v>0</v>
      </c>
      <c r="Y67" s="41"/>
      <c r="Z67" s="43"/>
      <c r="AA67" s="3">
        <f>TABL12345[[#This Row],[(RESV. STORGE) AJD]]/10</f>
        <v>0</v>
      </c>
      <c r="AB67" s="43">
        <f t="shared" si="3"/>
        <v>0</v>
      </c>
      <c r="AC67" s="5"/>
      <c r="AD67" s="39">
        <f>(TABL12345[[#This Row],[( S/S+T/B) AJD]]*1000)-((TABL12345[[#This Row],[(STORGE DIFF.) AJD]]*1000)+TABL12345[[#This Row],[البخر  AJD]]+(TABL12345[[#This Row],[(A/B + A/S) AJD]]*1000))</f>
        <v>0</v>
      </c>
      <c r="AE67" s="41"/>
      <c r="AF67" s="43"/>
      <c r="AG67" s="43"/>
      <c r="AH67" s="6">
        <f>TABL12345[[#This Row],[ (RESV. STORGE) BER]]/10</f>
        <v>0</v>
      </c>
      <c r="AI67" s="41"/>
      <c r="AJ67" s="41">
        <f>TABL12345[[#This Row],[(A/B TOT) AJD]]-TABL12345[[#This Row],[BER_ IN]]</f>
        <v>0</v>
      </c>
      <c r="AK67" s="43"/>
      <c r="AL67" s="43"/>
      <c r="AM67" s="32"/>
      <c r="AN67" s="32">
        <f>TABL12345[[#This Row],[ (RESV. STORGE) SER]]/10</f>
        <v>0</v>
      </c>
      <c r="AO67" s="68"/>
      <c r="AP67" s="68">
        <f>TABL12345[[#This Row],[(A/S TOT) AJD]]-TABL12345[[#This Row],[SER_ IN]]</f>
        <v>0</v>
      </c>
    </row>
    <row r="68" spans="1:42" ht="18.75" x14ac:dyDescent="0.25">
      <c r="A68" s="2">
        <v>47185</v>
      </c>
      <c r="B68" s="44"/>
      <c r="C68" s="44"/>
      <c r="D68" s="44"/>
      <c r="E68" s="28"/>
      <c r="F68" s="44"/>
      <c r="G68" s="40"/>
      <c r="H68" s="28"/>
      <c r="I68" s="40"/>
      <c r="J68" s="44"/>
      <c r="K68" s="28">
        <f>TABL12345[[#This Row],[خط (T/B  TOT) SAR]]+TABL12345[[#This Row],[خط (S/S  TOT) SAR2]]</f>
        <v>0</v>
      </c>
      <c r="L68" s="45"/>
      <c r="M68" s="46"/>
      <c r="N68" s="46"/>
      <c r="O68" s="40"/>
      <c r="P68" s="3">
        <f>TABL12345[[#This Row],[خط (S/S  TOT) SAR2]]-TABL12345[[#This Row],[(S/S TOT) AJD]]</f>
        <v>0</v>
      </c>
      <c r="Q68" s="40"/>
      <c r="R68" s="3">
        <f>TABL12345[[#This Row],[خط (T/B  TOT) SAR]]-TABL12345[[#This Row],[(T/B TOT) AJD]]</f>
        <v>0</v>
      </c>
      <c r="S68" s="3">
        <f>TABL12345[[#This Row],[الفرق بين بداية ونهاية خط  S/S]]+TABL12345[[#This Row],[الفرق بين بداية ونهاية خط  T/B]]</f>
        <v>0</v>
      </c>
      <c r="T68" s="3">
        <f t="shared" si="4"/>
        <v>0</v>
      </c>
      <c r="U68" s="44"/>
      <c r="V68" s="44"/>
      <c r="W68" s="3">
        <f t="shared" si="5"/>
        <v>0</v>
      </c>
      <c r="X68" s="3">
        <f t="shared" si="6"/>
        <v>0</v>
      </c>
      <c r="Y68" s="44"/>
      <c r="Z68" s="45"/>
      <c r="AA68" s="3">
        <f>TABL12345[[#This Row],[(RESV. STORGE) AJD]]/10</f>
        <v>0</v>
      </c>
      <c r="AB68" s="45">
        <f t="shared" ref="AB68:AB131" si="7">(Z68-Z67)/1000</f>
        <v>0</v>
      </c>
      <c r="AC68" s="5"/>
      <c r="AD68" s="40">
        <f>(TABL12345[[#This Row],[( S/S+T/B) AJD]]*1000)-((TABL12345[[#This Row],[(STORGE DIFF.) AJD]]*1000)+TABL12345[[#This Row],[البخر  AJD]]+(TABL12345[[#This Row],[(A/B + A/S) AJD]]*1000))</f>
        <v>0</v>
      </c>
      <c r="AE68" s="44"/>
      <c r="AF68" s="45"/>
      <c r="AG68" s="45"/>
      <c r="AH68" s="6">
        <f>TABL12345[[#This Row],[ (RESV. STORGE) BER]]/10</f>
        <v>0</v>
      </c>
      <c r="AI68" s="44"/>
      <c r="AJ68" s="44">
        <f>TABL12345[[#This Row],[(A/B TOT) AJD]]-TABL12345[[#This Row],[BER_ IN]]</f>
        <v>0</v>
      </c>
      <c r="AK68" s="45"/>
      <c r="AL68" s="45"/>
      <c r="AM68" s="32"/>
      <c r="AN68" s="32">
        <f>TABL12345[[#This Row],[ (RESV. STORGE) SER]]/10</f>
        <v>0</v>
      </c>
      <c r="AO68" s="68"/>
      <c r="AP68" s="68">
        <f>TABL12345[[#This Row],[(A/S TOT) AJD]]-TABL12345[[#This Row],[SER_ IN]]</f>
        <v>0</v>
      </c>
    </row>
    <row r="69" spans="1:42" ht="18.75" x14ac:dyDescent="0.25">
      <c r="A69" s="2">
        <v>47186</v>
      </c>
      <c r="B69" s="41"/>
      <c r="C69" s="41"/>
      <c r="D69" s="41"/>
      <c r="E69" s="28"/>
      <c r="F69" s="41"/>
      <c r="G69" s="39"/>
      <c r="H69" s="28"/>
      <c r="I69" s="39"/>
      <c r="J69" s="39"/>
      <c r="K69" s="28">
        <f>TABL12345[[#This Row],[خط (T/B  TOT) SAR]]+TABL12345[[#This Row],[خط (S/S  TOT) SAR2]]</f>
        <v>0</v>
      </c>
      <c r="L69" s="41"/>
      <c r="M69" s="42"/>
      <c r="N69" s="42"/>
      <c r="O69" s="39"/>
      <c r="P69" s="3">
        <f>TABL12345[[#This Row],[خط (S/S  TOT) SAR2]]-TABL12345[[#This Row],[(S/S TOT) AJD]]</f>
        <v>0</v>
      </c>
      <c r="Q69" s="39"/>
      <c r="R69" s="3">
        <f>TABL12345[[#This Row],[خط (T/B  TOT) SAR]]-TABL12345[[#This Row],[(T/B TOT) AJD]]</f>
        <v>0</v>
      </c>
      <c r="S69" s="3">
        <f>TABL12345[[#This Row],[الفرق بين بداية ونهاية خط  S/S]]+TABL12345[[#This Row],[الفرق بين بداية ونهاية خط  T/B]]</f>
        <v>0</v>
      </c>
      <c r="T69" s="3">
        <f t="shared" si="4"/>
        <v>0</v>
      </c>
      <c r="U69" s="41"/>
      <c r="V69" s="41"/>
      <c r="W69" s="3">
        <f t="shared" si="5"/>
        <v>0</v>
      </c>
      <c r="X69" s="3">
        <f t="shared" si="6"/>
        <v>0</v>
      </c>
      <c r="Y69" s="41"/>
      <c r="Z69" s="43"/>
      <c r="AA69" s="3">
        <f>TABL12345[[#This Row],[(RESV. STORGE) AJD]]/10</f>
        <v>0</v>
      </c>
      <c r="AB69" s="43">
        <f t="shared" si="7"/>
        <v>0</v>
      </c>
      <c r="AC69" s="5"/>
      <c r="AD69" s="39">
        <f>(TABL12345[[#This Row],[( S/S+T/B) AJD]]*1000)-((TABL12345[[#This Row],[(STORGE DIFF.) AJD]]*1000)+TABL12345[[#This Row],[البخر  AJD]]+(TABL12345[[#This Row],[(A/B + A/S) AJD]]*1000))</f>
        <v>0</v>
      </c>
      <c r="AE69" s="41"/>
      <c r="AF69" s="43"/>
      <c r="AG69" s="43"/>
      <c r="AH69" s="6">
        <f>TABL12345[[#This Row],[ (RESV. STORGE) BER]]/10</f>
        <v>0</v>
      </c>
      <c r="AI69" s="41"/>
      <c r="AJ69" s="41">
        <f>TABL12345[[#This Row],[(A/B TOT) AJD]]-TABL12345[[#This Row],[BER_ IN]]</f>
        <v>0</v>
      </c>
      <c r="AK69" s="43"/>
      <c r="AL69" s="43"/>
      <c r="AM69" s="32"/>
      <c r="AN69" s="32">
        <f>TABL12345[[#This Row],[ (RESV. STORGE) SER]]/10</f>
        <v>0</v>
      </c>
      <c r="AO69" s="68"/>
      <c r="AP69" s="68">
        <f>TABL12345[[#This Row],[(A/S TOT) AJD]]-TABL12345[[#This Row],[SER_ IN]]</f>
        <v>0</v>
      </c>
    </row>
    <row r="70" spans="1:42" ht="18.75" x14ac:dyDescent="0.25">
      <c r="A70" s="2">
        <v>47187</v>
      </c>
      <c r="B70" s="44"/>
      <c r="C70" s="44"/>
      <c r="D70" s="44"/>
      <c r="E70" s="28"/>
      <c r="F70" s="44"/>
      <c r="G70" s="40"/>
      <c r="H70" s="28"/>
      <c r="I70" s="40"/>
      <c r="J70" s="44"/>
      <c r="K70" s="28">
        <f>TABL12345[[#This Row],[خط (T/B  TOT) SAR]]+TABL12345[[#This Row],[خط (S/S  TOT) SAR2]]</f>
        <v>0</v>
      </c>
      <c r="L70" s="45"/>
      <c r="M70" s="46"/>
      <c r="N70" s="46"/>
      <c r="O70" s="40"/>
      <c r="P70" s="3">
        <f>TABL12345[[#This Row],[خط (S/S  TOT) SAR2]]-TABL12345[[#This Row],[(S/S TOT) AJD]]</f>
        <v>0</v>
      </c>
      <c r="Q70" s="40"/>
      <c r="R70" s="3">
        <f>TABL12345[[#This Row],[خط (T/B  TOT) SAR]]-TABL12345[[#This Row],[(T/B TOT) AJD]]</f>
        <v>0</v>
      </c>
      <c r="S70" s="3">
        <f>TABL12345[[#This Row],[الفرق بين بداية ونهاية خط  S/S]]+TABL12345[[#This Row],[الفرق بين بداية ونهاية خط  T/B]]</f>
        <v>0</v>
      </c>
      <c r="T70" s="3">
        <f t="shared" si="4"/>
        <v>0</v>
      </c>
      <c r="U70" s="44"/>
      <c r="V70" s="44"/>
      <c r="W70" s="3">
        <f t="shared" si="5"/>
        <v>0</v>
      </c>
      <c r="X70" s="3">
        <f t="shared" si="6"/>
        <v>0</v>
      </c>
      <c r="Y70" s="44"/>
      <c r="Z70" s="45"/>
      <c r="AA70" s="3">
        <f>TABL12345[[#This Row],[(RESV. STORGE) AJD]]/10</f>
        <v>0</v>
      </c>
      <c r="AB70" s="45">
        <f t="shared" si="7"/>
        <v>0</v>
      </c>
      <c r="AC70" s="5"/>
      <c r="AD70" s="40">
        <f>(TABL12345[[#This Row],[( S/S+T/B) AJD]]*1000)-((TABL12345[[#This Row],[(STORGE DIFF.) AJD]]*1000)+TABL12345[[#This Row],[البخر  AJD]]+(TABL12345[[#This Row],[(A/B + A/S) AJD]]*1000))</f>
        <v>0</v>
      </c>
      <c r="AE70" s="44"/>
      <c r="AF70" s="45"/>
      <c r="AG70" s="45"/>
      <c r="AH70" s="6">
        <f>TABL12345[[#This Row],[ (RESV. STORGE) BER]]/10</f>
        <v>0</v>
      </c>
      <c r="AI70" s="44"/>
      <c r="AJ70" s="44">
        <f>TABL12345[[#This Row],[(A/B TOT) AJD]]-TABL12345[[#This Row],[BER_ IN]]</f>
        <v>0</v>
      </c>
      <c r="AK70" s="45"/>
      <c r="AL70" s="45"/>
      <c r="AM70" s="32"/>
      <c r="AN70" s="32">
        <f>TABL12345[[#This Row],[ (RESV. STORGE) SER]]/10</f>
        <v>0</v>
      </c>
      <c r="AO70" s="68"/>
      <c r="AP70" s="68">
        <f>TABL12345[[#This Row],[(A/S TOT) AJD]]-TABL12345[[#This Row],[SER_ IN]]</f>
        <v>0</v>
      </c>
    </row>
    <row r="71" spans="1:42" ht="18.75" x14ac:dyDescent="0.25">
      <c r="A71" s="2">
        <v>47188</v>
      </c>
      <c r="B71" s="41"/>
      <c r="C71" s="41"/>
      <c r="D71" s="41"/>
      <c r="E71" s="28"/>
      <c r="F71" s="41"/>
      <c r="G71" s="39"/>
      <c r="H71" s="28"/>
      <c r="I71" s="39"/>
      <c r="J71" s="39"/>
      <c r="K71" s="28">
        <f>TABL12345[[#This Row],[خط (T/B  TOT) SAR]]+TABL12345[[#This Row],[خط (S/S  TOT) SAR2]]</f>
        <v>0</v>
      </c>
      <c r="L71" s="41"/>
      <c r="M71" s="42"/>
      <c r="N71" s="42"/>
      <c r="O71" s="39"/>
      <c r="P71" s="3">
        <f>TABL12345[[#This Row],[خط (S/S  TOT) SAR2]]-TABL12345[[#This Row],[(S/S TOT) AJD]]</f>
        <v>0</v>
      </c>
      <c r="Q71" s="39"/>
      <c r="R71" s="3">
        <f>TABL12345[[#This Row],[خط (T/B  TOT) SAR]]-TABL12345[[#This Row],[(T/B TOT) AJD]]</f>
        <v>0</v>
      </c>
      <c r="S71" s="3">
        <f>TABL12345[[#This Row],[الفرق بين بداية ونهاية خط  S/S]]+TABL12345[[#This Row],[الفرق بين بداية ونهاية خط  T/B]]</f>
        <v>0</v>
      </c>
      <c r="T71" s="3">
        <f t="shared" si="4"/>
        <v>0</v>
      </c>
      <c r="U71" s="41"/>
      <c r="V71" s="41"/>
      <c r="W71" s="3">
        <f t="shared" si="5"/>
        <v>0</v>
      </c>
      <c r="X71" s="3">
        <f t="shared" si="6"/>
        <v>0</v>
      </c>
      <c r="Y71" s="41"/>
      <c r="Z71" s="43"/>
      <c r="AA71" s="3">
        <f>TABL12345[[#This Row],[(RESV. STORGE) AJD]]/10</f>
        <v>0</v>
      </c>
      <c r="AB71" s="43">
        <f t="shared" si="7"/>
        <v>0</v>
      </c>
      <c r="AC71" s="5"/>
      <c r="AD71" s="39">
        <f>(TABL12345[[#This Row],[( S/S+T/B) AJD]]*1000)-((TABL12345[[#This Row],[(STORGE DIFF.) AJD]]*1000)+TABL12345[[#This Row],[البخر  AJD]]+(TABL12345[[#This Row],[(A/B + A/S) AJD]]*1000))</f>
        <v>0</v>
      </c>
      <c r="AE71" s="41"/>
      <c r="AF71" s="43"/>
      <c r="AG71" s="68"/>
      <c r="AH71" s="6">
        <f>TABL12345[[#This Row],[ (RESV. STORGE) BER]]/10</f>
        <v>0</v>
      </c>
      <c r="AI71" s="41"/>
      <c r="AJ71" s="69">
        <f>TABL12345[[#This Row],[(A/B TOT) AJD]]-TABL12345[[#This Row],[BER_ IN]]</f>
        <v>0</v>
      </c>
      <c r="AK71" s="43"/>
      <c r="AL71" s="43"/>
      <c r="AM71" s="32"/>
      <c r="AN71" s="32">
        <f>TABL12345[[#This Row],[ (RESV. STORGE) SER]]/10</f>
        <v>0</v>
      </c>
      <c r="AO71" s="68"/>
      <c r="AP71" s="68">
        <f>TABL12345[[#This Row],[(A/S TOT) AJD]]-TABL12345[[#This Row],[SER_ IN]]</f>
        <v>0</v>
      </c>
    </row>
    <row r="72" spans="1:42" ht="18.75" x14ac:dyDescent="0.25">
      <c r="A72" s="2">
        <v>47189</v>
      </c>
      <c r="B72" s="44"/>
      <c r="C72" s="44"/>
      <c r="D72" s="44"/>
      <c r="E72" s="28"/>
      <c r="F72" s="44"/>
      <c r="G72" s="40"/>
      <c r="H72" s="28"/>
      <c r="I72" s="40"/>
      <c r="J72" s="44"/>
      <c r="K72" s="28">
        <f>TABL12345[[#This Row],[خط (T/B  TOT) SAR]]+TABL12345[[#This Row],[خط (S/S  TOT) SAR2]]</f>
        <v>0</v>
      </c>
      <c r="L72" s="45"/>
      <c r="M72" s="46"/>
      <c r="N72" s="46"/>
      <c r="O72" s="40"/>
      <c r="P72" s="3">
        <f>TABL12345[[#This Row],[خط (S/S  TOT) SAR2]]-TABL12345[[#This Row],[(S/S TOT) AJD]]</f>
        <v>0</v>
      </c>
      <c r="Q72" s="40"/>
      <c r="R72" s="3">
        <f>TABL12345[[#This Row],[خط (T/B  TOT) SAR]]-TABL12345[[#This Row],[(T/B TOT) AJD]]</f>
        <v>0</v>
      </c>
      <c r="S72" s="3">
        <f>TABL12345[[#This Row],[الفرق بين بداية ونهاية خط  S/S]]+TABL12345[[#This Row],[الفرق بين بداية ونهاية خط  T/B]]</f>
        <v>0</v>
      </c>
      <c r="T72" s="3">
        <f t="shared" si="4"/>
        <v>0</v>
      </c>
      <c r="U72" s="44"/>
      <c r="V72" s="44"/>
      <c r="W72" s="3">
        <f t="shared" si="5"/>
        <v>0</v>
      </c>
      <c r="X72" s="3">
        <f t="shared" si="6"/>
        <v>0</v>
      </c>
      <c r="Y72" s="44"/>
      <c r="Z72" s="45"/>
      <c r="AA72" s="3">
        <f>TABL12345[[#This Row],[(RESV. STORGE) AJD]]/10</f>
        <v>0</v>
      </c>
      <c r="AB72" s="45">
        <f t="shared" si="7"/>
        <v>0</v>
      </c>
      <c r="AC72" s="5"/>
      <c r="AD72" s="40">
        <f>(TABL12345[[#This Row],[( S/S+T/B) AJD]]*1000)-((TABL12345[[#This Row],[(STORGE DIFF.) AJD]]*1000)+TABL12345[[#This Row],[البخر  AJD]]+(TABL12345[[#This Row],[(A/B + A/S) AJD]]*1000))</f>
        <v>0</v>
      </c>
      <c r="AE72" s="44"/>
      <c r="AF72" s="45"/>
      <c r="AG72" s="45"/>
      <c r="AH72" s="6">
        <f>TABL12345[[#This Row],[ (RESV. STORGE) BER]]/10</f>
        <v>0</v>
      </c>
      <c r="AI72" s="44"/>
      <c r="AJ72" s="44">
        <f>TABL12345[[#This Row],[(A/B TOT) AJD]]-TABL12345[[#This Row],[BER_ IN]]</f>
        <v>0</v>
      </c>
      <c r="AK72" s="45"/>
      <c r="AL72" s="45"/>
      <c r="AM72" s="32"/>
      <c r="AN72" s="32">
        <f>TABL12345[[#This Row],[ (RESV. STORGE) SER]]/10</f>
        <v>0</v>
      </c>
      <c r="AO72" s="68"/>
      <c r="AP72" s="68">
        <f>TABL12345[[#This Row],[(A/S TOT) AJD]]-TABL12345[[#This Row],[SER_ IN]]</f>
        <v>0</v>
      </c>
    </row>
    <row r="73" spans="1:42" ht="18.75" x14ac:dyDescent="0.25">
      <c r="A73" s="2">
        <v>47190</v>
      </c>
      <c r="B73" s="41"/>
      <c r="C73" s="41"/>
      <c r="D73" s="41"/>
      <c r="E73" s="28"/>
      <c r="F73" s="41"/>
      <c r="G73" s="39"/>
      <c r="H73" s="28"/>
      <c r="I73" s="39"/>
      <c r="J73" s="39"/>
      <c r="K73" s="28">
        <f>TABL12345[[#This Row],[خط (T/B  TOT) SAR]]+TABL12345[[#This Row],[خط (S/S  TOT) SAR2]]</f>
        <v>0</v>
      </c>
      <c r="L73" s="41"/>
      <c r="M73" s="42"/>
      <c r="N73" s="42"/>
      <c r="O73" s="39"/>
      <c r="P73" s="3">
        <f>TABL12345[[#This Row],[خط (S/S  TOT) SAR2]]-TABL12345[[#This Row],[(S/S TOT) AJD]]</f>
        <v>0</v>
      </c>
      <c r="Q73" s="39"/>
      <c r="R73" s="3">
        <f>TABL12345[[#This Row],[خط (T/B  TOT) SAR]]-TABL12345[[#This Row],[(T/B TOT) AJD]]</f>
        <v>0</v>
      </c>
      <c r="S73" s="3">
        <f>TABL12345[[#This Row],[الفرق بين بداية ونهاية خط  S/S]]+TABL12345[[#This Row],[الفرق بين بداية ونهاية خط  T/B]]</f>
        <v>0</v>
      </c>
      <c r="T73" s="3">
        <f t="shared" si="4"/>
        <v>0</v>
      </c>
      <c r="U73" s="41"/>
      <c r="V73" s="41"/>
      <c r="W73" s="3">
        <f t="shared" si="5"/>
        <v>0</v>
      </c>
      <c r="X73" s="3">
        <f t="shared" si="6"/>
        <v>0</v>
      </c>
      <c r="Y73" s="41"/>
      <c r="Z73" s="43"/>
      <c r="AA73" s="3">
        <f>TABL12345[[#This Row],[(RESV. STORGE) AJD]]/10</f>
        <v>0</v>
      </c>
      <c r="AB73" s="43">
        <f t="shared" si="7"/>
        <v>0</v>
      </c>
      <c r="AC73" s="5"/>
      <c r="AD73" s="39">
        <f>(TABL12345[[#This Row],[( S/S+T/B) AJD]]*1000)-((TABL12345[[#This Row],[(STORGE DIFF.) AJD]]*1000)+TABL12345[[#This Row],[البخر  AJD]]+(TABL12345[[#This Row],[(A/B + A/S) AJD]]*1000))</f>
        <v>0</v>
      </c>
      <c r="AE73" s="41"/>
      <c r="AF73" s="43"/>
      <c r="AG73" s="43"/>
      <c r="AH73" s="6">
        <f>TABL12345[[#This Row],[ (RESV. STORGE) BER]]/10</f>
        <v>0</v>
      </c>
      <c r="AI73" s="41"/>
      <c r="AJ73" s="41">
        <f>TABL12345[[#This Row],[(A/B TOT) AJD]]-TABL12345[[#This Row],[BER_ IN]]</f>
        <v>0</v>
      </c>
      <c r="AK73" s="43"/>
      <c r="AL73" s="43"/>
      <c r="AM73" s="32"/>
      <c r="AN73" s="32">
        <f>TABL12345[[#This Row],[ (RESV. STORGE) SER]]/10</f>
        <v>0</v>
      </c>
      <c r="AO73" s="68"/>
      <c r="AP73" s="68">
        <f>TABL12345[[#This Row],[(A/S TOT) AJD]]-TABL12345[[#This Row],[SER_ IN]]</f>
        <v>0</v>
      </c>
    </row>
    <row r="74" spans="1:42" ht="18.75" x14ac:dyDescent="0.25">
      <c r="A74" s="2">
        <v>47191</v>
      </c>
      <c r="B74" s="44"/>
      <c r="C74" s="44"/>
      <c r="D74" s="44"/>
      <c r="E74" s="28"/>
      <c r="F74" s="44"/>
      <c r="G74" s="40"/>
      <c r="H74" s="28"/>
      <c r="I74" s="40"/>
      <c r="J74" s="44"/>
      <c r="K74" s="28">
        <f>TABL12345[[#This Row],[خط (T/B  TOT) SAR]]+TABL12345[[#This Row],[خط (S/S  TOT) SAR2]]</f>
        <v>0</v>
      </c>
      <c r="L74" s="45"/>
      <c r="M74" s="46"/>
      <c r="N74" s="46"/>
      <c r="O74" s="40"/>
      <c r="P74" s="3">
        <f>TABL12345[[#This Row],[خط (S/S  TOT) SAR2]]-TABL12345[[#This Row],[(S/S TOT) AJD]]</f>
        <v>0</v>
      </c>
      <c r="Q74" s="40"/>
      <c r="R74" s="3">
        <f>TABL12345[[#This Row],[خط (T/B  TOT) SAR]]-TABL12345[[#This Row],[(T/B TOT) AJD]]</f>
        <v>0</v>
      </c>
      <c r="S74" s="3">
        <f>TABL12345[[#This Row],[الفرق بين بداية ونهاية خط  S/S]]+TABL12345[[#This Row],[الفرق بين بداية ونهاية خط  T/B]]</f>
        <v>0</v>
      </c>
      <c r="T74" s="3">
        <f t="shared" si="4"/>
        <v>0</v>
      </c>
      <c r="U74" s="44"/>
      <c r="V74" s="44"/>
      <c r="W74" s="3">
        <f t="shared" si="5"/>
        <v>0</v>
      </c>
      <c r="X74" s="3">
        <f t="shared" si="6"/>
        <v>0</v>
      </c>
      <c r="Y74" s="44"/>
      <c r="Z74" s="45"/>
      <c r="AA74" s="3">
        <f>TABL12345[[#This Row],[(RESV. STORGE) AJD]]/10</f>
        <v>0</v>
      </c>
      <c r="AB74" s="45">
        <f t="shared" si="7"/>
        <v>0</v>
      </c>
      <c r="AC74" s="5"/>
      <c r="AD74" s="40">
        <f>(TABL12345[[#This Row],[( S/S+T/B) AJD]]*1000)-((TABL12345[[#This Row],[(STORGE DIFF.) AJD]]*1000)+TABL12345[[#This Row],[البخر  AJD]]+(TABL12345[[#This Row],[(A/B + A/S) AJD]]*1000))</f>
        <v>0</v>
      </c>
      <c r="AE74" s="44"/>
      <c r="AF74" s="45"/>
      <c r="AG74" s="45"/>
      <c r="AH74" s="6">
        <f>TABL12345[[#This Row],[ (RESV. STORGE) BER]]/10</f>
        <v>0</v>
      </c>
      <c r="AI74" s="44"/>
      <c r="AJ74" s="44">
        <f>TABL12345[[#This Row],[(A/B TOT) AJD]]-TABL12345[[#This Row],[BER_ IN]]</f>
        <v>0</v>
      </c>
      <c r="AK74" s="45"/>
      <c r="AL74" s="45"/>
      <c r="AM74" s="32"/>
      <c r="AN74" s="32">
        <f>TABL12345[[#This Row],[ (RESV. STORGE) SER]]/10</f>
        <v>0</v>
      </c>
      <c r="AO74" s="68"/>
      <c r="AP74" s="68">
        <f>TABL12345[[#This Row],[(A/S TOT) AJD]]-TABL12345[[#This Row],[SER_ IN]]</f>
        <v>0</v>
      </c>
    </row>
    <row r="75" spans="1:42" ht="18.75" x14ac:dyDescent="0.25">
      <c r="A75" s="2">
        <v>47192</v>
      </c>
      <c r="B75" s="41"/>
      <c r="C75" s="41"/>
      <c r="D75" s="41"/>
      <c r="E75" s="28"/>
      <c r="F75" s="41"/>
      <c r="G75" s="39"/>
      <c r="H75" s="28"/>
      <c r="I75" s="39"/>
      <c r="J75" s="39"/>
      <c r="K75" s="28">
        <f>TABL12345[[#This Row],[خط (T/B  TOT) SAR]]+TABL12345[[#This Row],[خط (S/S  TOT) SAR2]]</f>
        <v>0</v>
      </c>
      <c r="L75" s="41"/>
      <c r="M75" s="42"/>
      <c r="N75" s="42"/>
      <c r="O75" s="39"/>
      <c r="P75" s="3">
        <f>TABL12345[[#This Row],[خط (S/S  TOT) SAR2]]-TABL12345[[#This Row],[(S/S TOT) AJD]]</f>
        <v>0</v>
      </c>
      <c r="Q75" s="39"/>
      <c r="R75" s="3">
        <f>TABL12345[[#This Row],[خط (T/B  TOT) SAR]]-TABL12345[[#This Row],[(T/B TOT) AJD]]</f>
        <v>0</v>
      </c>
      <c r="S75" s="3">
        <f>TABL12345[[#This Row],[الفرق بين بداية ونهاية خط  S/S]]+TABL12345[[#This Row],[الفرق بين بداية ونهاية خط  T/B]]</f>
        <v>0</v>
      </c>
      <c r="T75" s="3">
        <f t="shared" si="4"/>
        <v>0</v>
      </c>
      <c r="U75" s="41"/>
      <c r="V75" s="41"/>
      <c r="W75" s="3">
        <f t="shared" si="5"/>
        <v>0</v>
      </c>
      <c r="X75" s="3">
        <f t="shared" si="6"/>
        <v>0</v>
      </c>
      <c r="Y75" s="41"/>
      <c r="Z75" s="43"/>
      <c r="AA75" s="3">
        <f>TABL12345[[#This Row],[(RESV. STORGE) AJD]]/10</f>
        <v>0</v>
      </c>
      <c r="AB75" s="43">
        <f t="shared" si="7"/>
        <v>0</v>
      </c>
      <c r="AC75" s="5"/>
      <c r="AD75" s="39">
        <f>(TABL12345[[#This Row],[( S/S+T/B) AJD]]*1000)-((TABL12345[[#This Row],[(STORGE DIFF.) AJD]]*1000)+TABL12345[[#This Row],[البخر  AJD]]+(TABL12345[[#This Row],[(A/B + A/S) AJD]]*1000))</f>
        <v>0</v>
      </c>
      <c r="AE75" s="41"/>
      <c r="AF75" s="43"/>
      <c r="AG75" s="43"/>
      <c r="AH75" s="6">
        <f>TABL12345[[#This Row],[ (RESV. STORGE) BER]]/10</f>
        <v>0</v>
      </c>
      <c r="AI75" s="41"/>
      <c r="AJ75" s="41">
        <f>TABL12345[[#This Row],[(A/B TOT) AJD]]-TABL12345[[#This Row],[BER_ IN]]</f>
        <v>0</v>
      </c>
      <c r="AK75" s="43"/>
      <c r="AL75" s="43"/>
      <c r="AM75" s="32"/>
      <c r="AN75" s="32">
        <f>TABL12345[[#This Row],[ (RESV. STORGE) SER]]/10</f>
        <v>0</v>
      </c>
      <c r="AO75" s="68"/>
      <c r="AP75" s="68">
        <f>TABL12345[[#This Row],[(A/S TOT) AJD]]-TABL12345[[#This Row],[SER_ IN]]</f>
        <v>0</v>
      </c>
    </row>
    <row r="76" spans="1:42" ht="18.75" x14ac:dyDescent="0.25">
      <c r="A76" s="2">
        <v>47193</v>
      </c>
      <c r="B76" s="44"/>
      <c r="C76" s="44"/>
      <c r="D76" s="44"/>
      <c r="E76" s="28"/>
      <c r="F76" s="44"/>
      <c r="G76" s="40"/>
      <c r="H76" s="28"/>
      <c r="I76" s="40"/>
      <c r="J76" s="44"/>
      <c r="K76" s="28">
        <f>TABL12345[[#This Row],[خط (T/B  TOT) SAR]]+TABL12345[[#This Row],[خط (S/S  TOT) SAR2]]</f>
        <v>0</v>
      </c>
      <c r="L76" s="45"/>
      <c r="M76" s="46"/>
      <c r="N76" s="46"/>
      <c r="O76" s="40"/>
      <c r="P76" s="3">
        <f>TABL12345[[#This Row],[خط (S/S  TOT) SAR2]]-TABL12345[[#This Row],[(S/S TOT) AJD]]</f>
        <v>0</v>
      </c>
      <c r="Q76" s="40"/>
      <c r="R76" s="3">
        <f>TABL12345[[#This Row],[خط (T/B  TOT) SAR]]-TABL12345[[#This Row],[(T/B TOT) AJD]]</f>
        <v>0</v>
      </c>
      <c r="S76" s="3">
        <f>TABL12345[[#This Row],[الفرق بين بداية ونهاية خط  S/S]]+TABL12345[[#This Row],[الفرق بين بداية ونهاية خط  T/B]]</f>
        <v>0</v>
      </c>
      <c r="T76" s="3">
        <f t="shared" si="4"/>
        <v>0</v>
      </c>
      <c r="U76" s="44"/>
      <c r="V76" s="44"/>
      <c r="W76" s="3">
        <f t="shared" si="5"/>
        <v>0</v>
      </c>
      <c r="X76" s="3">
        <f t="shared" si="6"/>
        <v>0</v>
      </c>
      <c r="Y76" s="44"/>
      <c r="Z76" s="45"/>
      <c r="AA76" s="3">
        <f>TABL12345[[#This Row],[(RESV. STORGE) AJD]]/10</f>
        <v>0</v>
      </c>
      <c r="AB76" s="45">
        <f t="shared" si="7"/>
        <v>0</v>
      </c>
      <c r="AC76" s="5"/>
      <c r="AD76" s="40">
        <f>(TABL12345[[#This Row],[( S/S+T/B) AJD]]*1000)-((TABL12345[[#This Row],[(STORGE DIFF.) AJD]]*1000)+TABL12345[[#This Row],[البخر  AJD]]+(TABL12345[[#This Row],[(A/B + A/S) AJD]]*1000))</f>
        <v>0</v>
      </c>
      <c r="AE76" s="44"/>
      <c r="AF76" s="45"/>
      <c r="AG76" s="45"/>
      <c r="AH76" s="6">
        <f>TABL12345[[#This Row],[ (RESV. STORGE) BER]]/10</f>
        <v>0</v>
      </c>
      <c r="AI76" s="44"/>
      <c r="AJ76" s="44">
        <f>TABL12345[[#This Row],[(A/B TOT) AJD]]-TABL12345[[#This Row],[BER_ IN]]</f>
        <v>0</v>
      </c>
      <c r="AK76" s="45"/>
      <c r="AL76" s="45"/>
      <c r="AM76" s="32"/>
      <c r="AN76" s="32">
        <f>TABL12345[[#This Row],[ (RESV. STORGE) SER]]/10</f>
        <v>0</v>
      </c>
      <c r="AO76" s="68"/>
      <c r="AP76" s="68">
        <f>TABL12345[[#This Row],[(A/S TOT) AJD]]-TABL12345[[#This Row],[SER_ IN]]</f>
        <v>0</v>
      </c>
    </row>
    <row r="77" spans="1:42" ht="18.75" x14ac:dyDescent="0.25">
      <c r="A77" s="2">
        <v>47194</v>
      </c>
      <c r="B77" s="41"/>
      <c r="C77" s="41"/>
      <c r="D77" s="41"/>
      <c r="E77" s="28"/>
      <c r="F77" s="41"/>
      <c r="G77" s="39"/>
      <c r="H77" s="28"/>
      <c r="I77" s="39"/>
      <c r="J77" s="39"/>
      <c r="K77" s="28">
        <f>TABL12345[[#This Row],[خط (T/B  TOT) SAR]]+TABL12345[[#This Row],[خط (S/S  TOT) SAR2]]</f>
        <v>0</v>
      </c>
      <c r="L77" s="41"/>
      <c r="M77" s="42"/>
      <c r="N77" s="42"/>
      <c r="O77" s="39"/>
      <c r="P77" s="3">
        <f>TABL12345[[#This Row],[خط (S/S  TOT) SAR2]]-TABL12345[[#This Row],[(S/S TOT) AJD]]</f>
        <v>0</v>
      </c>
      <c r="Q77" s="39"/>
      <c r="R77" s="3">
        <f>TABL12345[[#This Row],[خط (T/B  TOT) SAR]]-TABL12345[[#This Row],[(T/B TOT) AJD]]</f>
        <v>0</v>
      </c>
      <c r="S77" s="3">
        <f>TABL12345[[#This Row],[الفرق بين بداية ونهاية خط  S/S]]+TABL12345[[#This Row],[الفرق بين بداية ونهاية خط  T/B]]</f>
        <v>0</v>
      </c>
      <c r="T77" s="3">
        <f t="shared" si="4"/>
        <v>0</v>
      </c>
      <c r="U77" s="41"/>
      <c r="V77" s="41"/>
      <c r="W77" s="3">
        <f t="shared" si="5"/>
        <v>0</v>
      </c>
      <c r="X77" s="3">
        <f t="shared" si="6"/>
        <v>0</v>
      </c>
      <c r="Y77" s="41"/>
      <c r="Z77" s="43"/>
      <c r="AA77" s="3">
        <f>TABL12345[[#This Row],[(RESV. STORGE) AJD]]/10</f>
        <v>0</v>
      </c>
      <c r="AB77" s="43">
        <f t="shared" si="7"/>
        <v>0</v>
      </c>
      <c r="AC77" s="5"/>
      <c r="AD77" s="39">
        <f>(TABL12345[[#This Row],[( S/S+T/B) AJD]]*1000)-((TABL12345[[#This Row],[(STORGE DIFF.) AJD]]*1000)+TABL12345[[#This Row],[البخر  AJD]]+(TABL12345[[#This Row],[(A/B + A/S) AJD]]*1000))</f>
        <v>0</v>
      </c>
      <c r="AE77" s="41"/>
      <c r="AF77" s="43"/>
      <c r="AG77" s="43"/>
      <c r="AH77" s="6">
        <f>TABL12345[[#This Row],[ (RESV. STORGE) BER]]/10</f>
        <v>0</v>
      </c>
      <c r="AI77" s="41"/>
      <c r="AJ77" s="41">
        <f>TABL12345[[#This Row],[(A/B TOT) AJD]]-TABL12345[[#This Row],[BER_ IN]]</f>
        <v>0</v>
      </c>
      <c r="AK77" s="43"/>
      <c r="AL77" s="43"/>
      <c r="AM77" s="32"/>
      <c r="AN77" s="32">
        <f>TABL12345[[#This Row],[ (RESV. STORGE) SER]]/10</f>
        <v>0</v>
      </c>
      <c r="AO77" s="68"/>
      <c r="AP77" s="68">
        <f>TABL12345[[#This Row],[(A/S TOT) AJD]]-TABL12345[[#This Row],[SER_ IN]]</f>
        <v>0</v>
      </c>
    </row>
    <row r="78" spans="1:42" ht="18.75" x14ac:dyDescent="0.25">
      <c r="A78" s="2">
        <v>47195</v>
      </c>
      <c r="B78" s="44"/>
      <c r="C78" s="44"/>
      <c r="D78" s="44"/>
      <c r="E78" s="28"/>
      <c r="F78" s="44"/>
      <c r="G78" s="40"/>
      <c r="H78" s="28"/>
      <c r="I78" s="40"/>
      <c r="J78" s="44"/>
      <c r="K78" s="28">
        <f>TABL12345[[#This Row],[خط (T/B  TOT) SAR]]+TABL12345[[#This Row],[خط (S/S  TOT) SAR2]]</f>
        <v>0</v>
      </c>
      <c r="L78" s="45"/>
      <c r="M78" s="46"/>
      <c r="N78" s="46"/>
      <c r="O78" s="40"/>
      <c r="P78" s="3">
        <f>TABL12345[[#This Row],[خط (S/S  TOT) SAR2]]-TABL12345[[#This Row],[(S/S TOT) AJD]]</f>
        <v>0</v>
      </c>
      <c r="Q78" s="40"/>
      <c r="R78" s="3">
        <f>TABL12345[[#This Row],[خط (T/B  TOT) SAR]]-TABL12345[[#This Row],[(T/B TOT) AJD]]</f>
        <v>0</v>
      </c>
      <c r="S78" s="3">
        <f>TABL12345[[#This Row],[الفرق بين بداية ونهاية خط  S/S]]+TABL12345[[#This Row],[الفرق بين بداية ونهاية خط  T/B]]</f>
        <v>0</v>
      </c>
      <c r="T78" s="3">
        <f t="shared" si="4"/>
        <v>0</v>
      </c>
      <c r="U78" s="44"/>
      <c r="V78" s="44"/>
      <c r="W78" s="3">
        <f t="shared" si="5"/>
        <v>0</v>
      </c>
      <c r="X78" s="3">
        <f t="shared" si="6"/>
        <v>0</v>
      </c>
      <c r="Y78" s="44"/>
      <c r="Z78" s="45"/>
      <c r="AA78" s="3">
        <f>TABL12345[[#This Row],[(RESV. STORGE) AJD]]/10</f>
        <v>0</v>
      </c>
      <c r="AB78" s="45">
        <f t="shared" si="7"/>
        <v>0</v>
      </c>
      <c r="AC78" s="5"/>
      <c r="AD78" s="40">
        <f>(TABL12345[[#This Row],[( S/S+T/B) AJD]]*1000)-((TABL12345[[#This Row],[(STORGE DIFF.) AJD]]*1000)+TABL12345[[#This Row],[البخر  AJD]]+(TABL12345[[#This Row],[(A/B + A/S) AJD]]*1000))</f>
        <v>0</v>
      </c>
      <c r="AE78" s="44"/>
      <c r="AF78" s="45"/>
      <c r="AG78" s="45"/>
      <c r="AH78" s="6">
        <f>TABL12345[[#This Row],[ (RESV. STORGE) BER]]/10</f>
        <v>0</v>
      </c>
      <c r="AI78" s="44"/>
      <c r="AJ78" s="44">
        <f>TABL12345[[#This Row],[(A/B TOT) AJD]]-TABL12345[[#This Row],[BER_ IN]]</f>
        <v>0</v>
      </c>
      <c r="AK78" s="45"/>
      <c r="AL78" s="45"/>
      <c r="AM78" s="32"/>
      <c r="AN78" s="32">
        <f>TABL12345[[#This Row],[ (RESV. STORGE) SER]]/10</f>
        <v>0</v>
      </c>
      <c r="AO78" s="68"/>
      <c r="AP78" s="68">
        <f>TABL12345[[#This Row],[(A/S TOT) AJD]]-TABL12345[[#This Row],[SER_ IN]]</f>
        <v>0</v>
      </c>
    </row>
    <row r="79" spans="1:42" ht="18.75" x14ac:dyDescent="0.25">
      <c r="A79" s="2">
        <v>47196</v>
      </c>
      <c r="B79" s="41"/>
      <c r="C79" s="41"/>
      <c r="D79" s="41"/>
      <c r="E79" s="28"/>
      <c r="F79" s="41"/>
      <c r="G79" s="39"/>
      <c r="H79" s="28"/>
      <c r="I79" s="39"/>
      <c r="J79" s="39"/>
      <c r="K79" s="28">
        <f>TABL12345[[#This Row],[خط (T/B  TOT) SAR]]+TABL12345[[#This Row],[خط (S/S  TOT) SAR2]]</f>
        <v>0</v>
      </c>
      <c r="L79" s="41"/>
      <c r="M79" s="42"/>
      <c r="N79" s="42"/>
      <c r="O79" s="39"/>
      <c r="P79" s="3">
        <f>TABL12345[[#This Row],[خط (S/S  TOT) SAR2]]-TABL12345[[#This Row],[(S/S TOT) AJD]]</f>
        <v>0</v>
      </c>
      <c r="Q79" s="39"/>
      <c r="R79" s="3">
        <f>TABL12345[[#This Row],[خط (T/B  TOT) SAR]]-TABL12345[[#This Row],[(T/B TOT) AJD]]</f>
        <v>0</v>
      </c>
      <c r="S79" s="3">
        <f>TABL12345[[#This Row],[الفرق بين بداية ونهاية خط  S/S]]+TABL12345[[#This Row],[الفرق بين بداية ونهاية خط  T/B]]</f>
        <v>0</v>
      </c>
      <c r="T79" s="3">
        <f t="shared" si="4"/>
        <v>0</v>
      </c>
      <c r="U79" s="41"/>
      <c r="V79" s="41"/>
      <c r="W79" s="3">
        <f t="shared" si="5"/>
        <v>0</v>
      </c>
      <c r="X79" s="3">
        <f t="shared" si="6"/>
        <v>0</v>
      </c>
      <c r="Y79" s="41"/>
      <c r="Z79" s="43"/>
      <c r="AA79" s="3">
        <f>TABL12345[[#This Row],[(RESV. STORGE) AJD]]/10</f>
        <v>0</v>
      </c>
      <c r="AB79" s="43">
        <f t="shared" si="7"/>
        <v>0</v>
      </c>
      <c r="AC79" s="5"/>
      <c r="AD79" s="39">
        <f>(TABL12345[[#This Row],[( S/S+T/B) AJD]]*1000)-((TABL12345[[#This Row],[(STORGE DIFF.) AJD]]*1000)+TABL12345[[#This Row],[البخر  AJD]]+(TABL12345[[#This Row],[(A/B + A/S) AJD]]*1000))</f>
        <v>0</v>
      </c>
      <c r="AE79" s="41"/>
      <c r="AF79" s="43"/>
      <c r="AG79" s="43"/>
      <c r="AH79" s="6">
        <f>TABL12345[[#This Row],[ (RESV. STORGE) BER]]/10</f>
        <v>0</v>
      </c>
      <c r="AI79" s="41"/>
      <c r="AJ79" s="41">
        <f>TABL12345[[#This Row],[(A/B TOT) AJD]]-TABL12345[[#This Row],[BER_ IN]]</f>
        <v>0</v>
      </c>
      <c r="AK79" s="43"/>
      <c r="AL79" s="43"/>
      <c r="AM79" s="32"/>
      <c r="AN79" s="32">
        <f>TABL12345[[#This Row],[ (RESV. STORGE) SER]]/10</f>
        <v>0</v>
      </c>
      <c r="AO79" s="68"/>
      <c r="AP79" s="68">
        <f>TABL12345[[#This Row],[(A/S TOT) AJD]]-TABL12345[[#This Row],[SER_ IN]]</f>
        <v>0</v>
      </c>
    </row>
    <row r="80" spans="1:42" ht="18.75" x14ac:dyDescent="0.25">
      <c r="A80" s="2">
        <v>47197</v>
      </c>
      <c r="B80" s="44"/>
      <c r="C80" s="44"/>
      <c r="D80" s="44"/>
      <c r="E80" s="28"/>
      <c r="F80" s="44"/>
      <c r="G80" s="40"/>
      <c r="H80" s="28"/>
      <c r="I80" s="40"/>
      <c r="J80" s="44"/>
      <c r="K80" s="28">
        <f>TABL12345[[#This Row],[خط (T/B  TOT) SAR]]+TABL12345[[#This Row],[خط (S/S  TOT) SAR2]]</f>
        <v>0</v>
      </c>
      <c r="L80" s="45"/>
      <c r="M80" s="46"/>
      <c r="N80" s="46"/>
      <c r="O80" s="40"/>
      <c r="P80" s="3">
        <f>TABL12345[[#This Row],[خط (S/S  TOT) SAR2]]-TABL12345[[#This Row],[(S/S TOT) AJD]]</f>
        <v>0</v>
      </c>
      <c r="Q80" s="40"/>
      <c r="R80" s="3">
        <f>TABL12345[[#This Row],[خط (T/B  TOT) SAR]]-TABL12345[[#This Row],[(T/B TOT) AJD]]</f>
        <v>0</v>
      </c>
      <c r="S80" s="3">
        <f>TABL12345[[#This Row],[الفرق بين بداية ونهاية خط  S/S]]+TABL12345[[#This Row],[الفرق بين بداية ونهاية خط  T/B]]</f>
        <v>0</v>
      </c>
      <c r="T80" s="3">
        <f t="shared" si="4"/>
        <v>0</v>
      </c>
      <c r="U80" s="44"/>
      <c r="V80" s="44"/>
      <c r="W80" s="3">
        <f t="shared" si="5"/>
        <v>0</v>
      </c>
      <c r="X80" s="3">
        <f t="shared" si="6"/>
        <v>0</v>
      </c>
      <c r="Y80" s="44"/>
      <c r="Z80" s="45"/>
      <c r="AA80" s="3">
        <f>TABL12345[[#This Row],[(RESV. STORGE) AJD]]/10</f>
        <v>0</v>
      </c>
      <c r="AB80" s="45">
        <f t="shared" si="7"/>
        <v>0</v>
      </c>
      <c r="AC80" s="5"/>
      <c r="AD80" s="40">
        <f>(TABL12345[[#This Row],[( S/S+T/B) AJD]]*1000)-((TABL12345[[#This Row],[(STORGE DIFF.) AJD]]*1000)+TABL12345[[#This Row],[البخر  AJD]]+(TABL12345[[#This Row],[(A/B + A/S) AJD]]*1000))</f>
        <v>0</v>
      </c>
      <c r="AE80" s="44"/>
      <c r="AF80" s="45"/>
      <c r="AG80" s="45"/>
      <c r="AH80" s="6">
        <f>TABL12345[[#This Row],[ (RESV. STORGE) BER]]/10</f>
        <v>0</v>
      </c>
      <c r="AI80" s="44"/>
      <c r="AJ80" s="44">
        <f>TABL12345[[#This Row],[(A/B TOT) AJD]]-TABL12345[[#This Row],[BER_ IN]]</f>
        <v>0</v>
      </c>
      <c r="AK80" s="45"/>
      <c r="AL80" s="45"/>
      <c r="AM80" s="32"/>
      <c r="AN80" s="32">
        <f>TABL12345[[#This Row],[ (RESV. STORGE) SER]]/10</f>
        <v>0</v>
      </c>
      <c r="AO80" s="68"/>
      <c r="AP80" s="68">
        <f>TABL12345[[#This Row],[(A/S TOT) AJD]]-TABL12345[[#This Row],[SER_ IN]]</f>
        <v>0</v>
      </c>
    </row>
    <row r="81" spans="1:42" ht="18.75" x14ac:dyDescent="0.25">
      <c r="A81" s="2">
        <v>47198</v>
      </c>
      <c r="B81" s="41"/>
      <c r="C81" s="41"/>
      <c r="D81" s="41"/>
      <c r="E81" s="28"/>
      <c r="F81" s="41"/>
      <c r="G81" s="39"/>
      <c r="H81" s="28"/>
      <c r="I81" s="39"/>
      <c r="J81" s="39"/>
      <c r="K81" s="28">
        <f>TABL12345[[#This Row],[خط (T/B  TOT) SAR]]+TABL12345[[#This Row],[خط (S/S  TOT) SAR2]]</f>
        <v>0</v>
      </c>
      <c r="L81" s="41"/>
      <c r="M81" s="42"/>
      <c r="N81" s="42"/>
      <c r="O81" s="39"/>
      <c r="P81" s="3">
        <f>TABL12345[[#This Row],[خط (S/S  TOT) SAR2]]-TABL12345[[#This Row],[(S/S TOT) AJD]]</f>
        <v>0</v>
      </c>
      <c r="Q81" s="39"/>
      <c r="R81" s="3">
        <f>TABL12345[[#This Row],[خط (T/B  TOT) SAR]]-TABL12345[[#This Row],[(T/B TOT) AJD]]</f>
        <v>0</v>
      </c>
      <c r="S81" s="3">
        <f>TABL12345[[#This Row],[الفرق بين بداية ونهاية خط  S/S]]+TABL12345[[#This Row],[الفرق بين بداية ونهاية خط  T/B]]</f>
        <v>0</v>
      </c>
      <c r="T81" s="3">
        <f t="shared" si="4"/>
        <v>0</v>
      </c>
      <c r="U81" s="41"/>
      <c r="V81" s="41"/>
      <c r="W81" s="3">
        <f t="shared" si="5"/>
        <v>0</v>
      </c>
      <c r="X81" s="3">
        <f t="shared" si="6"/>
        <v>0</v>
      </c>
      <c r="Y81" s="41"/>
      <c r="Z81" s="43"/>
      <c r="AA81" s="3">
        <f>TABL12345[[#This Row],[(RESV. STORGE) AJD]]/10</f>
        <v>0</v>
      </c>
      <c r="AB81" s="43">
        <f t="shared" si="7"/>
        <v>0</v>
      </c>
      <c r="AC81" s="5"/>
      <c r="AD81" s="39">
        <f>(TABL12345[[#This Row],[( S/S+T/B) AJD]]*1000)-((TABL12345[[#This Row],[(STORGE DIFF.) AJD]]*1000)+TABL12345[[#This Row],[البخر  AJD]]+(TABL12345[[#This Row],[(A/B + A/S) AJD]]*1000))</f>
        <v>0</v>
      </c>
      <c r="AE81" s="41"/>
      <c r="AF81" s="43"/>
      <c r="AG81" s="43"/>
      <c r="AH81" s="6">
        <f>TABL12345[[#This Row],[ (RESV. STORGE) BER]]/10</f>
        <v>0</v>
      </c>
      <c r="AI81" s="41"/>
      <c r="AJ81" s="41">
        <f>TABL12345[[#This Row],[(A/B TOT) AJD]]-TABL12345[[#This Row],[BER_ IN]]</f>
        <v>0</v>
      </c>
      <c r="AK81" s="43"/>
      <c r="AL81" s="43"/>
      <c r="AM81" s="32"/>
      <c r="AN81" s="32">
        <f>TABL12345[[#This Row],[ (RESV. STORGE) SER]]/10</f>
        <v>0</v>
      </c>
      <c r="AO81" s="68"/>
      <c r="AP81" s="68">
        <f>TABL12345[[#This Row],[(A/S TOT) AJD]]-TABL12345[[#This Row],[SER_ IN]]</f>
        <v>0</v>
      </c>
    </row>
    <row r="82" spans="1:42" ht="18.75" x14ac:dyDescent="0.25">
      <c r="A82" s="2">
        <v>47199</v>
      </c>
      <c r="B82" s="44"/>
      <c r="C82" s="44"/>
      <c r="D82" s="44"/>
      <c r="E82" s="28"/>
      <c r="F82" s="44"/>
      <c r="G82" s="40"/>
      <c r="H82" s="28"/>
      <c r="I82" s="40"/>
      <c r="J82" s="44"/>
      <c r="K82" s="28">
        <f>TABL12345[[#This Row],[خط (T/B  TOT) SAR]]+TABL12345[[#This Row],[خط (S/S  TOT) SAR2]]</f>
        <v>0</v>
      </c>
      <c r="L82" s="45"/>
      <c r="M82" s="46"/>
      <c r="N82" s="46"/>
      <c r="O82" s="40"/>
      <c r="P82" s="3">
        <f>TABL12345[[#This Row],[خط (S/S  TOT) SAR2]]-TABL12345[[#This Row],[(S/S TOT) AJD]]</f>
        <v>0</v>
      </c>
      <c r="Q82" s="40"/>
      <c r="R82" s="3">
        <f>TABL12345[[#This Row],[خط (T/B  TOT) SAR]]-TABL12345[[#This Row],[(T/B TOT) AJD]]</f>
        <v>0</v>
      </c>
      <c r="S82" s="3">
        <f>TABL12345[[#This Row],[الفرق بين بداية ونهاية خط  S/S]]+TABL12345[[#This Row],[الفرق بين بداية ونهاية خط  T/B]]</f>
        <v>0</v>
      </c>
      <c r="T82" s="3">
        <f t="shared" si="4"/>
        <v>0</v>
      </c>
      <c r="U82" s="44"/>
      <c r="V82" s="44"/>
      <c r="W82" s="3">
        <f t="shared" si="5"/>
        <v>0</v>
      </c>
      <c r="X82" s="3">
        <f t="shared" si="6"/>
        <v>0</v>
      </c>
      <c r="Y82" s="44"/>
      <c r="Z82" s="45"/>
      <c r="AA82" s="3">
        <f>TABL12345[[#This Row],[(RESV. STORGE) AJD]]/10</f>
        <v>0</v>
      </c>
      <c r="AB82" s="45">
        <f t="shared" si="7"/>
        <v>0</v>
      </c>
      <c r="AC82" s="5"/>
      <c r="AD82" s="40">
        <f>(TABL12345[[#This Row],[( S/S+T/B) AJD]]*1000)-((TABL12345[[#This Row],[(STORGE DIFF.) AJD]]*1000)+TABL12345[[#This Row],[البخر  AJD]]+(TABL12345[[#This Row],[(A/B + A/S) AJD]]*1000))</f>
        <v>0</v>
      </c>
      <c r="AE82" s="44"/>
      <c r="AF82" s="45"/>
      <c r="AG82" s="45"/>
      <c r="AH82" s="6">
        <f>TABL12345[[#This Row],[ (RESV. STORGE) BER]]/10</f>
        <v>0</v>
      </c>
      <c r="AI82" s="44"/>
      <c r="AJ82" s="44">
        <f>TABL12345[[#This Row],[(A/B TOT) AJD]]-TABL12345[[#This Row],[BER_ IN]]</f>
        <v>0</v>
      </c>
      <c r="AK82" s="45"/>
      <c r="AL82" s="45"/>
      <c r="AM82" s="32"/>
      <c r="AN82" s="32">
        <f>TABL12345[[#This Row],[ (RESV. STORGE) SER]]/10</f>
        <v>0</v>
      </c>
      <c r="AO82" s="68"/>
      <c r="AP82" s="68">
        <f>TABL12345[[#This Row],[(A/S TOT) AJD]]-TABL12345[[#This Row],[SER_ IN]]</f>
        <v>0</v>
      </c>
    </row>
    <row r="83" spans="1:42" ht="18.75" x14ac:dyDescent="0.25">
      <c r="A83" s="2">
        <v>47200</v>
      </c>
      <c r="B83" s="41"/>
      <c r="C83" s="41"/>
      <c r="D83" s="41"/>
      <c r="E83" s="28"/>
      <c r="F83" s="41"/>
      <c r="G83" s="39"/>
      <c r="H83" s="28"/>
      <c r="I83" s="39"/>
      <c r="J83" s="39"/>
      <c r="K83" s="28">
        <f>TABL12345[[#This Row],[خط (T/B  TOT) SAR]]+TABL12345[[#This Row],[خط (S/S  TOT) SAR2]]</f>
        <v>0</v>
      </c>
      <c r="L83" s="41"/>
      <c r="M83" s="42"/>
      <c r="N83" s="42"/>
      <c r="O83" s="39"/>
      <c r="P83" s="3">
        <f>TABL12345[[#This Row],[خط (S/S  TOT) SAR2]]-TABL12345[[#This Row],[(S/S TOT) AJD]]</f>
        <v>0</v>
      </c>
      <c r="Q83" s="39"/>
      <c r="R83" s="3">
        <f>TABL12345[[#This Row],[خط (T/B  TOT) SAR]]-TABL12345[[#This Row],[(T/B TOT) AJD]]</f>
        <v>0</v>
      </c>
      <c r="S83" s="3">
        <f>TABL12345[[#This Row],[الفرق بين بداية ونهاية خط  S/S]]+TABL12345[[#This Row],[الفرق بين بداية ونهاية خط  T/B]]</f>
        <v>0</v>
      </c>
      <c r="T83" s="3">
        <f t="shared" si="4"/>
        <v>0</v>
      </c>
      <c r="U83" s="41"/>
      <c r="V83" s="41"/>
      <c r="W83" s="3">
        <f t="shared" si="5"/>
        <v>0</v>
      </c>
      <c r="X83" s="3">
        <f t="shared" si="6"/>
        <v>0</v>
      </c>
      <c r="Y83" s="41"/>
      <c r="Z83" s="43"/>
      <c r="AA83" s="3">
        <f>TABL12345[[#This Row],[(RESV. STORGE) AJD]]/10</f>
        <v>0</v>
      </c>
      <c r="AB83" s="43">
        <f t="shared" si="7"/>
        <v>0</v>
      </c>
      <c r="AC83" s="5"/>
      <c r="AD83" s="39">
        <f>(TABL12345[[#This Row],[( S/S+T/B) AJD]]*1000)-((TABL12345[[#This Row],[(STORGE DIFF.) AJD]]*1000)+TABL12345[[#This Row],[البخر  AJD]]+(TABL12345[[#This Row],[(A/B + A/S) AJD]]*1000))</f>
        <v>0</v>
      </c>
      <c r="AE83" s="41"/>
      <c r="AF83" s="43"/>
      <c r="AG83" s="43"/>
      <c r="AH83" s="6">
        <f>TABL12345[[#This Row],[ (RESV. STORGE) BER]]/10</f>
        <v>0</v>
      </c>
      <c r="AI83" s="41"/>
      <c r="AJ83" s="41">
        <f>TABL12345[[#This Row],[(A/B TOT) AJD]]-TABL12345[[#This Row],[BER_ IN]]</f>
        <v>0</v>
      </c>
      <c r="AK83" s="43"/>
      <c r="AL83" s="43"/>
      <c r="AM83" s="32"/>
      <c r="AN83" s="32">
        <f>TABL12345[[#This Row],[ (RESV. STORGE) SER]]/10</f>
        <v>0</v>
      </c>
      <c r="AO83" s="68"/>
      <c r="AP83" s="68">
        <f>TABL12345[[#This Row],[(A/S TOT) AJD]]-TABL12345[[#This Row],[SER_ IN]]</f>
        <v>0</v>
      </c>
    </row>
    <row r="84" spans="1:42" ht="18.75" x14ac:dyDescent="0.25">
      <c r="A84" s="2">
        <v>47201</v>
      </c>
      <c r="B84" s="44"/>
      <c r="C84" s="44"/>
      <c r="D84" s="44"/>
      <c r="E84" s="28"/>
      <c r="F84" s="44"/>
      <c r="G84" s="40"/>
      <c r="H84" s="28"/>
      <c r="I84" s="40"/>
      <c r="J84" s="44"/>
      <c r="K84" s="28">
        <f>TABL12345[[#This Row],[خط (T/B  TOT) SAR]]+TABL12345[[#This Row],[خط (S/S  TOT) SAR2]]</f>
        <v>0</v>
      </c>
      <c r="L84" s="45"/>
      <c r="M84" s="46"/>
      <c r="N84" s="46"/>
      <c r="O84" s="40"/>
      <c r="P84" s="3">
        <f>TABL12345[[#This Row],[خط (S/S  TOT) SAR2]]-TABL12345[[#This Row],[(S/S TOT) AJD]]</f>
        <v>0</v>
      </c>
      <c r="Q84" s="40"/>
      <c r="R84" s="3">
        <f>TABL12345[[#This Row],[خط (T/B  TOT) SAR]]-TABL12345[[#This Row],[(T/B TOT) AJD]]</f>
        <v>0</v>
      </c>
      <c r="S84" s="3">
        <f>TABL12345[[#This Row],[الفرق بين بداية ونهاية خط  S/S]]+TABL12345[[#This Row],[الفرق بين بداية ونهاية خط  T/B]]</f>
        <v>0</v>
      </c>
      <c r="T84" s="3">
        <f t="shared" si="4"/>
        <v>0</v>
      </c>
      <c r="U84" s="44"/>
      <c r="V84" s="44"/>
      <c r="W84" s="3">
        <f t="shared" si="5"/>
        <v>0</v>
      </c>
      <c r="X84" s="3">
        <f t="shared" si="6"/>
        <v>0</v>
      </c>
      <c r="Y84" s="44"/>
      <c r="Z84" s="45"/>
      <c r="AA84" s="3">
        <f>TABL12345[[#This Row],[(RESV. STORGE) AJD]]/10</f>
        <v>0</v>
      </c>
      <c r="AB84" s="45">
        <f t="shared" si="7"/>
        <v>0</v>
      </c>
      <c r="AC84" s="5"/>
      <c r="AD84" s="40">
        <f>(TABL12345[[#This Row],[( S/S+T/B) AJD]]*1000)-((TABL12345[[#This Row],[(STORGE DIFF.) AJD]]*1000)+TABL12345[[#This Row],[البخر  AJD]]+(TABL12345[[#This Row],[(A/B + A/S) AJD]]*1000))</f>
        <v>0</v>
      </c>
      <c r="AE84" s="44"/>
      <c r="AF84" s="45"/>
      <c r="AG84" s="45"/>
      <c r="AH84" s="6">
        <f>TABL12345[[#This Row],[ (RESV. STORGE) BER]]/10</f>
        <v>0</v>
      </c>
      <c r="AI84" s="44"/>
      <c r="AJ84" s="44">
        <f>TABL12345[[#This Row],[(A/B TOT) AJD]]-TABL12345[[#This Row],[BER_ IN]]</f>
        <v>0</v>
      </c>
      <c r="AK84" s="45"/>
      <c r="AL84" s="45"/>
      <c r="AM84" s="32"/>
      <c r="AN84" s="32">
        <f>TABL12345[[#This Row],[ (RESV. STORGE) SER]]/10</f>
        <v>0</v>
      </c>
      <c r="AO84" s="68"/>
      <c r="AP84" s="68">
        <f>TABL12345[[#This Row],[(A/S TOT) AJD]]-TABL12345[[#This Row],[SER_ IN]]</f>
        <v>0</v>
      </c>
    </row>
    <row r="85" spans="1:42" ht="18.75" x14ac:dyDescent="0.25">
      <c r="A85" s="2">
        <v>47202</v>
      </c>
      <c r="B85" s="41"/>
      <c r="C85" s="41"/>
      <c r="D85" s="41"/>
      <c r="E85" s="28"/>
      <c r="F85" s="41"/>
      <c r="G85" s="39"/>
      <c r="H85" s="28"/>
      <c r="I85" s="39"/>
      <c r="J85" s="39"/>
      <c r="K85" s="28">
        <f>TABL12345[[#This Row],[خط (T/B  TOT) SAR]]+TABL12345[[#This Row],[خط (S/S  TOT) SAR2]]</f>
        <v>0</v>
      </c>
      <c r="L85" s="41"/>
      <c r="M85" s="42"/>
      <c r="N85" s="42"/>
      <c r="O85" s="39"/>
      <c r="P85" s="3">
        <f>TABL12345[[#This Row],[خط (S/S  TOT) SAR2]]-TABL12345[[#This Row],[(S/S TOT) AJD]]</f>
        <v>0</v>
      </c>
      <c r="Q85" s="39"/>
      <c r="R85" s="3">
        <f>TABL12345[[#This Row],[خط (T/B  TOT) SAR]]-TABL12345[[#This Row],[(T/B TOT) AJD]]</f>
        <v>0</v>
      </c>
      <c r="S85" s="3">
        <f>TABL12345[[#This Row],[الفرق بين بداية ونهاية خط  S/S]]+TABL12345[[#This Row],[الفرق بين بداية ونهاية خط  T/B]]</f>
        <v>0</v>
      </c>
      <c r="T85" s="3">
        <f t="shared" si="4"/>
        <v>0</v>
      </c>
      <c r="U85" s="41"/>
      <c r="V85" s="41"/>
      <c r="W85" s="3">
        <f t="shared" si="5"/>
        <v>0</v>
      </c>
      <c r="X85" s="3">
        <f t="shared" si="6"/>
        <v>0</v>
      </c>
      <c r="Y85" s="41"/>
      <c r="Z85" s="43"/>
      <c r="AA85" s="3">
        <f>TABL12345[[#This Row],[(RESV. STORGE) AJD]]/10</f>
        <v>0</v>
      </c>
      <c r="AB85" s="43">
        <f t="shared" si="7"/>
        <v>0</v>
      </c>
      <c r="AC85" s="5"/>
      <c r="AD85" s="39">
        <f>(TABL12345[[#This Row],[( S/S+T/B) AJD]]*1000)-((TABL12345[[#This Row],[(STORGE DIFF.) AJD]]*1000)+TABL12345[[#This Row],[البخر  AJD]]+(TABL12345[[#This Row],[(A/B + A/S) AJD]]*1000))</f>
        <v>0</v>
      </c>
      <c r="AE85" s="41"/>
      <c r="AF85" s="43"/>
      <c r="AG85" s="43"/>
      <c r="AH85" s="6">
        <f>TABL12345[[#This Row],[ (RESV. STORGE) BER]]/10</f>
        <v>0</v>
      </c>
      <c r="AI85" s="41"/>
      <c r="AJ85" s="41">
        <f>TABL12345[[#This Row],[(A/B TOT) AJD]]-TABL12345[[#This Row],[BER_ IN]]</f>
        <v>0</v>
      </c>
      <c r="AK85" s="43"/>
      <c r="AL85" s="43"/>
      <c r="AM85" s="32"/>
      <c r="AN85" s="32">
        <f>TABL12345[[#This Row],[ (RESV. STORGE) SER]]/10</f>
        <v>0</v>
      </c>
      <c r="AO85" s="68"/>
      <c r="AP85" s="68">
        <f>TABL12345[[#This Row],[(A/S TOT) AJD]]-TABL12345[[#This Row],[SER_ IN]]</f>
        <v>0</v>
      </c>
    </row>
    <row r="86" spans="1:42" ht="18.75" x14ac:dyDescent="0.25">
      <c r="A86" s="2">
        <v>47203</v>
      </c>
      <c r="B86" s="44"/>
      <c r="C86" s="44"/>
      <c r="D86" s="44"/>
      <c r="E86" s="28"/>
      <c r="F86" s="44"/>
      <c r="G86" s="40"/>
      <c r="H86" s="28"/>
      <c r="I86" s="40"/>
      <c r="J86" s="44"/>
      <c r="K86" s="28">
        <f>TABL12345[[#This Row],[خط (T/B  TOT) SAR]]+TABL12345[[#This Row],[خط (S/S  TOT) SAR2]]</f>
        <v>0</v>
      </c>
      <c r="L86" s="45"/>
      <c r="M86" s="46"/>
      <c r="N86" s="46"/>
      <c r="O86" s="40"/>
      <c r="P86" s="3">
        <f>TABL12345[[#This Row],[خط (S/S  TOT) SAR2]]-TABL12345[[#This Row],[(S/S TOT) AJD]]</f>
        <v>0</v>
      </c>
      <c r="Q86" s="40"/>
      <c r="R86" s="3">
        <f>TABL12345[[#This Row],[خط (T/B  TOT) SAR]]-TABL12345[[#This Row],[(T/B TOT) AJD]]</f>
        <v>0</v>
      </c>
      <c r="S86" s="3">
        <f>TABL12345[[#This Row],[الفرق بين بداية ونهاية خط  S/S]]+TABL12345[[#This Row],[الفرق بين بداية ونهاية خط  T/B]]</f>
        <v>0</v>
      </c>
      <c r="T86" s="3">
        <f t="shared" si="4"/>
        <v>0</v>
      </c>
      <c r="U86" s="44"/>
      <c r="V86" s="44"/>
      <c r="W86" s="3">
        <f t="shared" si="5"/>
        <v>0</v>
      </c>
      <c r="X86" s="3">
        <f t="shared" si="6"/>
        <v>0</v>
      </c>
      <c r="Y86" s="44"/>
      <c r="Z86" s="45"/>
      <c r="AA86" s="3">
        <f>TABL12345[[#This Row],[(RESV. STORGE) AJD]]/10</f>
        <v>0</v>
      </c>
      <c r="AB86" s="45">
        <f t="shared" si="7"/>
        <v>0</v>
      </c>
      <c r="AC86" s="5"/>
      <c r="AD86" s="40">
        <f>(TABL12345[[#This Row],[( S/S+T/B) AJD]]*1000)-((TABL12345[[#This Row],[(STORGE DIFF.) AJD]]*1000)+TABL12345[[#This Row],[البخر  AJD]]+(TABL12345[[#This Row],[(A/B + A/S) AJD]]*1000))</f>
        <v>0</v>
      </c>
      <c r="AE86" s="44"/>
      <c r="AF86" s="45"/>
      <c r="AG86" s="45"/>
      <c r="AH86" s="6">
        <f>TABL12345[[#This Row],[ (RESV. STORGE) BER]]/10</f>
        <v>0</v>
      </c>
      <c r="AI86" s="44"/>
      <c r="AJ86" s="44">
        <f>TABL12345[[#This Row],[(A/B TOT) AJD]]-TABL12345[[#This Row],[BER_ IN]]</f>
        <v>0</v>
      </c>
      <c r="AK86" s="45"/>
      <c r="AL86" s="45"/>
      <c r="AM86" s="32"/>
      <c r="AN86" s="32">
        <f>TABL12345[[#This Row],[ (RESV. STORGE) SER]]/10</f>
        <v>0</v>
      </c>
      <c r="AO86" s="68"/>
      <c r="AP86" s="68">
        <f>TABL12345[[#This Row],[(A/S TOT) AJD]]-TABL12345[[#This Row],[SER_ IN]]</f>
        <v>0</v>
      </c>
    </row>
    <row r="87" spans="1:42" ht="18.75" x14ac:dyDescent="0.25">
      <c r="A87" s="2">
        <v>47204</v>
      </c>
      <c r="B87" s="41"/>
      <c r="C87" s="41"/>
      <c r="D87" s="41"/>
      <c r="E87" s="28"/>
      <c r="F87" s="41"/>
      <c r="G87" s="39"/>
      <c r="H87" s="28"/>
      <c r="I87" s="39"/>
      <c r="J87" s="39"/>
      <c r="K87" s="28">
        <f>TABL12345[[#This Row],[خط (T/B  TOT) SAR]]+TABL12345[[#This Row],[خط (S/S  TOT) SAR2]]</f>
        <v>0</v>
      </c>
      <c r="L87" s="41"/>
      <c r="M87" s="42"/>
      <c r="N87" s="42"/>
      <c r="O87" s="39"/>
      <c r="P87" s="3">
        <f>TABL12345[[#This Row],[خط (S/S  TOT) SAR2]]-TABL12345[[#This Row],[(S/S TOT) AJD]]</f>
        <v>0</v>
      </c>
      <c r="Q87" s="39"/>
      <c r="R87" s="3">
        <f>TABL12345[[#This Row],[خط (T/B  TOT) SAR]]-TABL12345[[#This Row],[(T/B TOT) AJD]]</f>
        <v>0</v>
      </c>
      <c r="S87" s="3">
        <f>TABL12345[[#This Row],[الفرق بين بداية ونهاية خط  S/S]]+TABL12345[[#This Row],[الفرق بين بداية ونهاية خط  T/B]]</f>
        <v>0</v>
      </c>
      <c r="T87" s="3">
        <f t="shared" si="4"/>
        <v>0</v>
      </c>
      <c r="U87" s="41"/>
      <c r="V87" s="41"/>
      <c r="W87" s="3">
        <f t="shared" si="5"/>
        <v>0</v>
      </c>
      <c r="X87" s="3">
        <f t="shared" si="6"/>
        <v>0</v>
      </c>
      <c r="Y87" s="41"/>
      <c r="Z87" s="43"/>
      <c r="AA87" s="3">
        <f>TABL12345[[#This Row],[(RESV. STORGE) AJD]]/10</f>
        <v>0</v>
      </c>
      <c r="AB87" s="43">
        <f t="shared" si="7"/>
        <v>0</v>
      </c>
      <c r="AC87" s="5"/>
      <c r="AD87" s="39">
        <f>(TABL12345[[#This Row],[( S/S+T/B) AJD]]*1000)-((TABL12345[[#This Row],[(STORGE DIFF.) AJD]]*1000)+TABL12345[[#This Row],[البخر  AJD]]+(TABL12345[[#This Row],[(A/B + A/S) AJD]]*1000))</f>
        <v>0</v>
      </c>
      <c r="AE87" s="41"/>
      <c r="AF87" s="43"/>
      <c r="AG87" s="43"/>
      <c r="AH87" s="6">
        <f>TABL12345[[#This Row],[ (RESV. STORGE) BER]]/10</f>
        <v>0</v>
      </c>
      <c r="AI87" s="41"/>
      <c r="AJ87" s="41">
        <f>TABL12345[[#This Row],[(A/B TOT) AJD]]-TABL12345[[#This Row],[BER_ IN]]</f>
        <v>0</v>
      </c>
      <c r="AK87" s="43"/>
      <c r="AL87" s="43"/>
      <c r="AM87" s="32"/>
      <c r="AN87" s="32">
        <f>TABL12345[[#This Row],[ (RESV. STORGE) SER]]/10</f>
        <v>0</v>
      </c>
      <c r="AO87" s="68"/>
      <c r="AP87" s="68">
        <f>TABL12345[[#This Row],[(A/S TOT) AJD]]-TABL12345[[#This Row],[SER_ IN]]</f>
        <v>0</v>
      </c>
    </row>
    <row r="88" spans="1:42" ht="18.75" x14ac:dyDescent="0.25">
      <c r="A88" s="2">
        <v>47205</v>
      </c>
      <c r="B88" s="44"/>
      <c r="C88" s="44"/>
      <c r="D88" s="44"/>
      <c r="E88" s="28"/>
      <c r="F88" s="44"/>
      <c r="G88" s="40"/>
      <c r="H88" s="28"/>
      <c r="I88" s="40"/>
      <c r="J88" s="44"/>
      <c r="K88" s="28">
        <f>TABL12345[[#This Row],[خط (T/B  TOT) SAR]]+TABL12345[[#This Row],[خط (S/S  TOT) SAR2]]</f>
        <v>0</v>
      </c>
      <c r="L88" s="45"/>
      <c r="M88" s="46"/>
      <c r="N88" s="46"/>
      <c r="O88" s="40"/>
      <c r="P88" s="3">
        <f>TABL12345[[#This Row],[خط (S/S  TOT) SAR2]]-TABL12345[[#This Row],[(S/S TOT) AJD]]</f>
        <v>0</v>
      </c>
      <c r="Q88" s="40"/>
      <c r="R88" s="3">
        <f>TABL12345[[#This Row],[خط (T/B  TOT) SAR]]-TABL12345[[#This Row],[(T/B TOT) AJD]]</f>
        <v>0</v>
      </c>
      <c r="S88" s="3">
        <f>TABL12345[[#This Row],[الفرق بين بداية ونهاية خط  S/S]]+TABL12345[[#This Row],[الفرق بين بداية ونهاية خط  T/B]]</f>
        <v>0</v>
      </c>
      <c r="T88" s="3">
        <f t="shared" si="4"/>
        <v>0</v>
      </c>
      <c r="U88" s="44"/>
      <c r="V88" s="44"/>
      <c r="W88" s="3">
        <f t="shared" si="5"/>
        <v>0</v>
      </c>
      <c r="X88" s="3">
        <f t="shared" si="6"/>
        <v>0</v>
      </c>
      <c r="Y88" s="44"/>
      <c r="Z88" s="45"/>
      <c r="AA88" s="3">
        <f>TABL12345[[#This Row],[(RESV. STORGE) AJD]]/10</f>
        <v>0</v>
      </c>
      <c r="AB88" s="45">
        <f t="shared" si="7"/>
        <v>0</v>
      </c>
      <c r="AC88" s="5"/>
      <c r="AD88" s="40">
        <f>(TABL12345[[#This Row],[( S/S+T/B) AJD]]*1000)-((TABL12345[[#This Row],[(STORGE DIFF.) AJD]]*1000)+TABL12345[[#This Row],[البخر  AJD]]+(TABL12345[[#This Row],[(A/B + A/S) AJD]]*1000))</f>
        <v>0</v>
      </c>
      <c r="AE88" s="44"/>
      <c r="AF88" s="45"/>
      <c r="AG88" s="45"/>
      <c r="AH88" s="6">
        <f>TABL12345[[#This Row],[ (RESV. STORGE) BER]]/10</f>
        <v>0</v>
      </c>
      <c r="AI88" s="44"/>
      <c r="AJ88" s="44">
        <f>TABL12345[[#This Row],[(A/B TOT) AJD]]-TABL12345[[#This Row],[BER_ IN]]</f>
        <v>0</v>
      </c>
      <c r="AK88" s="45"/>
      <c r="AL88" s="45"/>
      <c r="AM88" s="32"/>
      <c r="AN88" s="32">
        <f>TABL12345[[#This Row],[ (RESV. STORGE) SER]]/10</f>
        <v>0</v>
      </c>
      <c r="AO88" s="68"/>
      <c r="AP88" s="68">
        <f>TABL12345[[#This Row],[(A/S TOT) AJD]]-TABL12345[[#This Row],[SER_ IN]]</f>
        <v>0</v>
      </c>
    </row>
    <row r="89" spans="1:42" ht="18.75" x14ac:dyDescent="0.25">
      <c r="A89" s="2">
        <v>47206</v>
      </c>
      <c r="B89" s="41"/>
      <c r="C89" s="41"/>
      <c r="D89" s="41"/>
      <c r="E89" s="28"/>
      <c r="F89" s="41"/>
      <c r="G89" s="39"/>
      <c r="H89" s="28"/>
      <c r="I89" s="39"/>
      <c r="J89" s="39"/>
      <c r="K89" s="28">
        <f>TABL12345[[#This Row],[خط (T/B  TOT) SAR]]+TABL12345[[#This Row],[خط (S/S  TOT) SAR2]]</f>
        <v>0</v>
      </c>
      <c r="L89" s="41"/>
      <c r="M89" s="42"/>
      <c r="N89" s="42"/>
      <c r="O89" s="39"/>
      <c r="P89" s="3">
        <f>TABL12345[[#This Row],[خط (S/S  TOT) SAR2]]-TABL12345[[#This Row],[(S/S TOT) AJD]]</f>
        <v>0</v>
      </c>
      <c r="Q89" s="39"/>
      <c r="R89" s="3">
        <f>TABL12345[[#This Row],[خط (T/B  TOT) SAR]]-TABL12345[[#This Row],[(T/B TOT) AJD]]</f>
        <v>0</v>
      </c>
      <c r="S89" s="3">
        <f>TABL12345[[#This Row],[الفرق بين بداية ونهاية خط  S/S]]+TABL12345[[#This Row],[الفرق بين بداية ونهاية خط  T/B]]</f>
        <v>0</v>
      </c>
      <c r="T89" s="3">
        <f t="shared" si="4"/>
        <v>0</v>
      </c>
      <c r="U89" s="41"/>
      <c r="V89" s="41"/>
      <c r="W89" s="3">
        <f t="shared" si="5"/>
        <v>0</v>
      </c>
      <c r="X89" s="3">
        <f t="shared" si="6"/>
        <v>0</v>
      </c>
      <c r="Y89" s="41"/>
      <c r="Z89" s="43"/>
      <c r="AA89" s="3">
        <f>TABL12345[[#This Row],[(RESV. STORGE) AJD]]/10</f>
        <v>0</v>
      </c>
      <c r="AB89" s="43">
        <f t="shared" si="7"/>
        <v>0</v>
      </c>
      <c r="AC89" s="5"/>
      <c r="AD89" s="39">
        <f>(TABL12345[[#This Row],[( S/S+T/B) AJD]]*1000)-((TABL12345[[#This Row],[(STORGE DIFF.) AJD]]*1000)+TABL12345[[#This Row],[البخر  AJD]]+(TABL12345[[#This Row],[(A/B + A/S) AJD]]*1000))</f>
        <v>0</v>
      </c>
      <c r="AE89" s="41"/>
      <c r="AF89" s="43"/>
      <c r="AG89" s="43"/>
      <c r="AH89" s="6">
        <f>TABL12345[[#This Row],[ (RESV. STORGE) BER]]/10</f>
        <v>0</v>
      </c>
      <c r="AI89" s="41"/>
      <c r="AJ89" s="41">
        <f>TABL12345[[#This Row],[(A/B TOT) AJD]]-TABL12345[[#This Row],[BER_ IN]]</f>
        <v>0</v>
      </c>
      <c r="AK89" s="43"/>
      <c r="AL89" s="43"/>
      <c r="AM89" s="32"/>
      <c r="AN89" s="32">
        <f>TABL12345[[#This Row],[ (RESV. STORGE) SER]]/10</f>
        <v>0</v>
      </c>
      <c r="AO89" s="68"/>
      <c r="AP89" s="68">
        <f>TABL12345[[#This Row],[(A/S TOT) AJD]]-TABL12345[[#This Row],[SER_ IN]]</f>
        <v>0</v>
      </c>
    </row>
    <row r="90" spans="1:42" ht="18.75" x14ac:dyDescent="0.25">
      <c r="A90" s="2">
        <v>47207</v>
      </c>
      <c r="B90" s="44"/>
      <c r="C90" s="44"/>
      <c r="D90" s="44"/>
      <c r="E90" s="28"/>
      <c r="F90" s="44"/>
      <c r="G90" s="40"/>
      <c r="H90" s="28"/>
      <c r="I90" s="40"/>
      <c r="J90" s="44"/>
      <c r="K90" s="28">
        <f>TABL12345[[#This Row],[خط (T/B  TOT) SAR]]+TABL12345[[#This Row],[خط (S/S  TOT) SAR2]]</f>
        <v>0</v>
      </c>
      <c r="L90" s="45"/>
      <c r="M90" s="46"/>
      <c r="N90" s="46"/>
      <c r="O90" s="40"/>
      <c r="P90" s="3">
        <f>TABL12345[[#This Row],[خط (S/S  TOT) SAR2]]-TABL12345[[#This Row],[(S/S TOT) AJD]]</f>
        <v>0</v>
      </c>
      <c r="Q90" s="40"/>
      <c r="R90" s="3">
        <f>TABL12345[[#This Row],[خط (T/B  TOT) SAR]]-TABL12345[[#This Row],[(T/B TOT) AJD]]</f>
        <v>0</v>
      </c>
      <c r="S90" s="3">
        <f>TABL12345[[#This Row],[الفرق بين بداية ونهاية خط  S/S]]+TABL12345[[#This Row],[الفرق بين بداية ونهاية خط  T/B]]</f>
        <v>0</v>
      </c>
      <c r="T90" s="3">
        <f t="shared" si="4"/>
        <v>0</v>
      </c>
      <c r="U90" s="44"/>
      <c r="V90" s="44"/>
      <c r="W90" s="3">
        <f t="shared" si="5"/>
        <v>0</v>
      </c>
      <c r="X90" s="3">
        <f t="shared" si="6"/>
        <v>0</v>
      </c>
      <c r="Y90" s="44"/>
      <c r="Z90" s="45"/>
      <c r="AA90" s="3">
        <f>TABL12345[[#This Row],[(RESV. STORGE) AJD]]/10</f>
        <v>0</v>
      </c>
      <c r="AB90" s="45">
        <f t="shared" si="7"/>
        <v>0</v>
      </c>
      <c r="AC90" s="5"/>
      <c r="AD90" s="70">
        <f>(TABL12345[[#This Row],[( S/S+T/B) AJD]]*1000)-((TABL12345[[#This Row],[(STORGE DIFF.) AJD]]*1000)+TABL12345[[#This Row],[البخر  AJD]]+(TABL12345[[#This Row],[(A/B + A/S) AJD]]*1000))</f>
        <v>0</v>
      </c>
      <c r="AE90" s="44"/>
      <c r="AF90" s="45"/>
      <c r="AG90" s="45"/>
      <c r="AH90" s="6">
        <f>TABL12345[[#This Row],[ (RESV. STORGE) BER]]/10</f>
        <v>0</v>
      </c>
      <c r="AI90" s="44"/>
      <c r="AJ90" s="67">
        <f>TABL12345[[#This Row],[(A/B TOT) AJD]]-TABL12345[[#This Row],[BER_ IN]]</f>
        <v>0</v>
      </c>
      <c r="AK90" s="45"/>
      <c r="AL90" s="45"/>
      <c r="AM90" s="32"/>
      <c r="AN90" s="32">
        <f>TABL12345[[#This Row],[ (RESV. STORGE) SER]]/10</f>
        <v>0</v>
      </c>
      <c r="AO90" s="68"/>
      <c r="AP90" s="68">
        <f>TABL12345[[#This Row],[(A/S TOT) AJD]]-TABL12345[[#This Row],[SER_ IN]]</f>
        <v>0</v>
      </c>
    </row>
    <row r="91" spans="1:42" ht="18.75" x14ac:dyDescent="0.25">
      <c r="A91" s="2">
        <v>47208</v>
      </c>
      <c r="B91" s="41"/>
      <c r="C91" s="41"/>
      <c r="D91" s="41"/>
      <c r="E91" s="28"/>
      <c r="F91" s="41"/>
      <c r="G91" s="39"/>
      <c r="H91" s="28"/>
      <c r="I91" s="39"/>
      <c r="J91" s="39"/>
      <c r="K91" s="28">
        <f>TABL12345[[#This Row],[خط (T/B  TOT) SAR]]+TABL12345[[#This Row],[خط (S/S  TOT) SAR2]]</f>
        <v>0</v>
      </c>
      <c r="L91" s="41"/>
      <c r="M91" s="42"/>
      <c r="N91" s="42"/>
      <c r="O91" s="39"/>
      <c r="P91" s="3">
        <f>TABL12345[[#This Row],[خط (S/S  TOT) SAR2]]-TABL12345[[#This Row],[(S/S TOT) AJD]]</f>
        <v>0</v>
      </c>
      <c r="Q91" s="39"/>
      <c r="R91" s="3">
        <f>TABL12345[[#This Row],[خط (T/B  TOT) SAR]]-TABL12345[[#This Row],[(T/B TOT) AJD]]</f>
        <v>0</v>
      </c>
      <c r="S91" s="3">
        <f>TABL12345[[#This Row],[الفرق بين بداية ونهاية خط  S/S]]+TABL12345[[#This Row],[الفرق بين بداية ونهاية خط  T/B]]</f>
        <v>0</v>
      </c>
      <c r="T91" s="3">
        <f t="shared" si="4"/>
        <v>0</v>
      </c>
      <c r="U91" s="41"/>
      <c r="V91" s="41"/>
      <c r="W91" s="3">
        <f t="shared" si="5"/>
        <v>0</v>
      </c>
      <c r="X91" s="3">
        <f t="shared" si="6"/>
        <v>0</v>
      </c>
      <c r="Y91" s="41"/>
      <c r="Z91" s="43"/>
      <c r="AA91" s="3">
        <f>TABL12345[[#This Row],[(RESV. STORGE) AJD]]/10</f>
        <v>0</v>
      </c>
      <c r="AB91" s="43">
        <f t="shared" si="7"/>
        <v>0</v>
      </c>
      <c r="AC91" s="5"/>
      <c r="AD91" s="39">
        <f>(TABL12345[[#This Row],[( S/S+T/B) AJD]]*1000)-((TABL12345[[#This Row],[(STORGE DIFF.) AJD]]*1000)+TABL12345[[#This Row],[البخر  AJD]]+(TABL12345[[#This Row],[(A/B + A/S) AJD]]*1000))</f>
        <v>0</v>
      </c>
      <c r="AE91" s="41"/>
      <c r="AF91" s="43"/>
      <c r="AG91" s="43"/>
      <c r="AH91" s="6">
        <f>TABL12345[[#This Row],[ (RESV. STORGE) BER]]/10</f>
        <v>0</v>
      </c>
      <c r="AI91" s="41"/>
      <c r="AJ91" s="41">
        <f>TABL12345[[#This Row],[(A/B TOT) AJD]]-TABL12345[[#This Row],[BER_ IN]]</f>
        <v>0</v>
      </c>
      <c r="AK91" s="43"/>
      <c r="AL91" s="43"/>
      <c r="AM91" s="32"/>
      <c r="AN91" s="32">
        <f>TABL12345[[#This Row],[ (RESV. STORGE) SER]]/10</f>
        <v>0</v>
      </c>
      <c r="AO91" s="68"/>
      <c r="AP91" s="68">
        <f>TABL12345[[#This Row],[(A/S TOT) AJD]]-TABL12345[[#This Row],[SER_ IN]]</f>
        <v>0</v>
      </c>
    </row>
    <row r="92" spans="1:42" ht="18.75" x14ac:dyDescent="0.25">
      <c r="A92" s="2">
        <v>47209</v>
      </c>
      <c r="B92" s="41"/>
      <c r="C92" s="41"/>
      <c r="D92" s="41"/>
      <c r="E92" s="41"/>
      <c r="F92" s="41"/>
      <c r="G92" s="39"/>
      <c r="H92" s="28"/>
      <c r="I92" s="39"/>
      <c r="J92" s="39"/>
      <c r="K92" s="28">
        <f>TABL12345[[#This Row],[خط (T/B  TOT) SAR]]+TABL12345[[#This Row],[خط (S/S  TOT) SAR2]]</f>
        <v>0</v>
      </c>
      <c r="L92" s="41"/>
      <c r="M92" s="42"/>
      <c r="N92" s="42"/>
      <c r="O92" s="39"/>
      <c r="P92" s="3">
        <f>TABL12345[[#This Row],[خط (S/S  TOT) SAR2]]-TABL12345[[#This Row],[(S/S TOT) AJD]]</f>
        <v>0</v>
      </c>
      <c r="Q92" s="39"/>
      <c r="R92" s="3">
        <f>TABL12345[[#This Row],[خط (T/B  TOT) SAR]]-TABL12345[[#This Row],[(T/B TOT) AJD]]</f>
        <v>0</v>
      </c>
      <c r="S92" s="3">
        <f>TABL12345[[#This Row],[الفرق بين بداية ونهاية خط  S/S]]+TABL12345[[#This Row],[الفرق بين بداية ونهاية خط  T/B]]</f>
        <v>0</v>
      </c>
      <c r="T92" s="3">
        <f t="shared" si="4"/>
        <v>0</v>
      </c>
      <c r="U92" s="41"/>
      <c r="V92" s="41"/>
      <c r="W92" s="3">
        <f t="shared" si="5"/>
        <v>0</v>
      </c>
      <c r="X92" s="3">
        <f t="shared" si="6"/>
        <v>0</v>
      </c>
      <c r="Y92" s="41"/>
      <c r="Z92" s="43"/>
      <c r="AA92" s="3">
        <f>TABL12345[[#This Row],[(RESV. STORGE) AJD]]/10</f>
        <v>0</v>
      </c>
      <c r="AB92" s="43">
        <f t="shared" si="7"/>
        <v>0</v>
      </c>
      <c r="AC92" s="5"/>
      <c r="AD92" s="39">
        <f>(TABL12345[[#This Row],[( S/S+T/B) AJD]]*1000)-((TABL12345[[#This Row],[(STORGE DIFF.) AJD]]*1000)+TABL12345[[#This Row],[البخر  AJD]]+(TABL12345[[#This Row],[(A/B + A/S) AJD]]*1000))</f>
        <v>0</v>
      </c>
      <c r="AE92" s="41"/>
      <c r="AF92" s="43"/>
      <c r="AG92" s="43"/>
      <c r="AH92" s="6">
        <f>TABL12345[[#This Row],[ (RESV. STORGE) BER]]/10</f>
        <v>0</v>
      </c>
      <c r="AI92" s="41"/>
      <c r="AJ92" s="41">
        <f>TABL12345[[#This Row],[(A/B TOT) AJD]]-TABL12345[[#This Row],[BER_ IN]]</f>
        <v>0</v>
      </c>
      <c r="AK92" s="43"/>
      <c r="AL92" s="43"/>
      <c r="AM92" s="32"/>
      <c r="AN92" s="32">
        <f>TABL12345[[#This Row],[ (RESV. STORGE) SER]]/10</f>
        <v>0</v>
      </c>
      <c r="AO92" s="68"/>
      <c r="AP92" s="68">
        <f>TABL12345[[#This Row],[(A/S TOT) AJD]]-TABL12345[[#This Row],[SER_ IN]]</f>
        <v>0</v>
      </c>
    </row>
    <row r="93" spans="1:42" ht="18.75" x14ac:dyDescent="0.25">
      <c r="A93" s="2">
        <v>47210</v>
      </c>
      <c r="B93" s="44"/>
      <c r="C93" s="44"/>
      <c r="D93" s="44"/>
      <c r="E93" s="44"/>
      <c r="F93" s="44"/>
      <c r="G93" s="40"/>
      <c r="H93" s="28"/>
      <c r="I93" s="40"/>
      <c r="J93" s="44"/>
      <c r="K93" s="28">
        <f>TABL12345[[#This Row],[خط (T/B  TOT) SAR]]+TABL12345[[#This Row],[خط (S/S  TOT) SAR2]]</f>
        <v>0</v>
      </c>
      <c r="L93" s="45"/>
      <c r="M93" s="46"/>
      <c r="N93" s="46"/>
      <c r="O93" s="40"/>
      <c r="P93" s="3">
        <f>TABL12345[[#This Row],[خط (S/S  TOT) SAR2]]-TABL12345[[#This Row],[(S/S TOT) AJD]]</f>
        <v>0</v>
      </c>
      <c r="Q93" s="40"/>
      <c r="R93" s="3">
        <f>TABL12345[[#This Row],[خط (T/B  TOT) SAR]]-TABL12345[[#This Row],[(T/B TOT) AJD]]</f>
        <v>0</v>
      </c>
      <c r="S93" s="3">
        <f>TABL12345[[#This Row],[الفرق بين بداية ونهاية خط  S/S]]+TABL12345[[#This Row],[الفرق بين بداية ونهاية خط  T/B]]</f>
        <v>0</v>
      </c>
      <c r="T93" s="3">
        <f t="shared" si="4"/>
        <v>0</v>
      </c>
      <c r="U93" s="44"/>
      <c r="V93" s="44"/>
      <c r="W93" s="3">
        <f t="shared" si="5"/>
        <v>0</v>
      </c>
      <c r="X93" s="3">
        <f t="shared" si="6"/>
        <v>0</v>
      </c>
      <c r="Y93" s="44"/>
      <c r="Z93" s="45"/>
      <c r="AA93" s="3">
        <f>TABL12345[[#This Row],[(RESV. STORGE) AJD]]/10</f>
        <v>0</v>
      </c>
      <c r="AB93" s="45">
        <f t="shared" si="7"/>
        <v>0</v>
      </c>
      <c r="AC93" s="5"/>
      <c r="AD93" s="40">
        <f>(TABL12345[[#This Row],[( S/S+T/B) AJD]]*1000)-((TABL12345[[#This Row],[(STORGE DIFF.) AJD]]*1000)+TABL12345[[#This Row],[البخر  AJD]]+(TABL12345[[#This Row],[(A/B + A/S) AJD]]*1000))</f>
        <v>0</v>
      </c>
      <c r="AE93" s="44"/>
      <c r="AF93" s="45"/>
      <c r="AG93" s="45"/>
      <c r="AH93" s="6">
        <f>TABL12345[[#This Row],[ (RESV. STORGE) BER]]/10</f>
        <v>0</v>
      </c>
      <c r="AI93" s="44"/>
      <c r="AJ93" s="44">
        <f>TABL12345[[#This Row],[(A/B TOT) AJD]]-TABL12345[[#This Row],[BER_ IN]]</f>
        <v>0</v>
      </c>
      <c r="AK93" s="45"/>
      <c r="AL93" s="45"/>
      <c r="AM93" s="32"/>
      <c r="AN93" s="32">
        <f>TABL12345[[#This Row],[ (RESV. STORGE) SER]]/10</f>
        <v>0</v>
      </c>
      <c r="AO93" s="68"/>
      <c r="AP93" s="68">
        <f>TABL12345[[#This Row],[(A/S TOT) AJD]]-TABL12345[[#This Row],[SER_ IN]]</f>
        <v>0</v>
      </c>
    </row>
    <row r="94" spans="1:42" ht="18.75" x14ac:dyDescent="0.25">
      <c r="A94" s="2">
        <v>47211</v>
      </c>
      <c r="B94" s="41"/>
      <c r="C94" s="41"/>
      <c r="D94" s="41"/>
      <c r="E94" s="41"/>
      <c r="F94" s="41"/>
      <c r="G94" s="39"/>
      <c r="H94" s="28"/>
      <c r="I94" s="39"/>
      <c r="J94" s="39"/>
      <c r="K94" s="28">
        <f>TABL12345[[#This Row],[خط (T/B  TOT) SAR]]+TABL12345[[#This Row],[خط (S/S  TOT) SAR2]]</f>
        <v>0</v>
      </c>
      <c r="L94" s="41"/>
      <c r="M94" s="42"/>
      <c r="N94" s="42"/>
      <c r="O94" s="39"/>
      <c r="P94" s="3">
        <f>TABL12345[[#This Row],[خط (S/S  TOT) SAR2]]-TABL12345[[#This Row],[(S/S TOT) AJD]]</f>
        <v>0</v>
      </c>
      <c r="Q94" s="39"/>
      <c r="R94" s="3">
        <f>TABL12345[[#This Row],[خط (T/B  TOT) SAR]]-TABL12345[[#This Row],[(T/B TOT) AJD]]</f>
        <v>0</v>
      </c>
      <c r="S94" s="3">
        <f>TABL12345[[#This Row],[الفرق بين بداية ونهاية خط  S/S]]+TABL12345[[#This Row],[الفرق بين بداية ونهاية خط  T/B]]</f>
        <v>0</v>
      </c>
      <c r="T94" s="3">
        <f t="shared" si="4"/>
        <v>0</v>
      </c>
      <c r="U94" s="41"/>
      <c r="V94" s="41"/>
      <c r="W94" s="3">
        <f t="shared" si="5"/>
        <v>0</v>
      </c>
      <c r="X94" s="3">
        <f t="shared" si="6"/>
        <v>0</v>
      </c>
      <c r="Y94" s="41"/>
      <c r="Z94" s="43"/>
      <c r="AA94" s="3">
        <f>TABL12345[[#This Row],[(RESV. STORGE) AJD]]/10</f>
        <v>0</v>
      </c>
      <c r="AB94" s="43">
        <f t="shared" si="7"/>
        <v>0</v>
      </c>
      <c r="AC94" s="5"/>
      <c r="AD94" s="39">
        <f>(TABL12345[[#This Row],[( S/S+T/B) AJD]]*1000)-((TABL12345[[#This Row],[(STORGE DIFF.) AJD]]*1000)+TABL12345[[#This Row],[البخر  AJD]]+(TABL12345[[#This Row],[(A/B + A/S) AJD]]*1000))</f>
        <v>0</v>
      </c>
      <c r="AE94" s="41"/>
      <c r="AF94" s="43"/>
      <c r="AG94" s="43"/>
      <c r="AH94" s="6">
        <f>TABL12345[[#This Row],[ (RESV. STORGE) BER]]/10</f>
        <v>0</v>
      </c>
      <c r="AI94" s="41"/>
      <c r="AJ94" s="41">
        <f>TABL12345[[#This Row],[(A/B TOT) AJD]]-TABL12345[[#This Row],[BER_ IN]]</f>
        <v>0</v>
      </c>
      <c r="AK94" s="43"/>
      <c r="AL94" s="43"/>
      <c r="AM94" s="32"/>
      <c r="AN94" s="32">
        <f>TABL12345[[#This Row],[ (RESV. STORGE) SER]]/10</f>
        <v>0</v>
      </c>
      <c r="AO94" s="68"/>
      <c r="AP94" s="68">
        <f>TABL12345[[#This Row],[(A/S TOT) AJD]]-TABL12345[[#This Row],[SER_ IN]]</f>
        <v>0</v>
      </c>
    </row>
    <row r="95" spans="1:42" ht="18.75" x14ac:dyDescent="0.25">
      <c r="A95" s="2">
        <v>47212</v>
      </c>
      <c r="B95" s="44"/>
      <c r="C95" s="44"/>
      <c r="D95" s="44"/>
      <c r="E95" s="44"/>
      <c r="F95" s="44"/>
      <c r="G95" s="40"/>
      <c r="H95" s="28"/>
      <c r="I95" s="40"/>
      <c r="J95" s="44"/>
      <c r="K95" s="28">
        <f>TABL12345[[#This Row],[خط (T/B  TOT) SAR]]+TABL12345[[#This Row],[خط (S/S  TOT) SAR2]]</f>
        <v>0</v>
      </c>
      <c r="L95" s="45"/>
      <c r="M95" s="46"/>
      <c r="N95" s="46"/>
      <c r="O95" s="40"/>
      <c r="P95" s="3">
        <f>TABL12345[[#This Row],[خط (S/S  TOT) SAR2]]-TABL12345[[#This Row],[(S/S TOT) AJD]]</f>
        <v>0</v>
      </c>
      <c r="Q95" s="40"/>
      <c r="R95" s="3">
        <f>TABL12345[[#This Row],[خط (T/B  TOT) SAR]]-TABL12345[[#This Row],[(T/B TOT) AJD]]</f>
        <v>0</v>
      </c>
      <c r="S95" s="3">
        <f>TABL12345[[#This Row],[الفرق بين بداية ونهاية خط  S/S]]+TABL12345[[#This Row],[الفرق بين بداية ونهاية خط  T/B]]</f>
        <v>0</v>
      </c>
      <c r="T95" s="3">
        <f t="shared" si="4"/>
        <v>0</v>
      </c>
      <c r="U95" s="44"/>
      <c r="V95" s="44"/>
      <c r="W95" s="3">
        <f t="shared" si="5"/>
        <v>0</v>
      </c>
      <c r="X95" s="3">
        <f t="shared" si="6"/>
        <v>0</v>
      </c>
      <c r="Y95" s="44"/>
      <c r="Z95" s="45"/>
      <c r="AA95" s="3">
        <f>TABL12345[[#This Row],[(RESV. STORGE) AJD]]/10</f>
        <v>0</v>
      </c>
      <c r="AB95" s="45">
        <f t="shared" si="7"/>
        <v>0</v>
      </c>
      <c r="AC95" s="5"/>
      <c r="AD95" s="40">
        <f>(TABL12345[[#This Row],[( S/S+T/B) AJD]]*1000)-((TABL12345[[#This Row],[(STORGE DIFF.) AJD]]*1000)+TABL12345[[#This Row],[البخر  AJD]]+(TABL12345[[#This Row],[(A/B + A/S) AJD]]*1000))</f>
        <v>0</v>
      </c>
      <c r="AE95" s="44"/>
      <c r="AF95" s="45"/>
      <c r="AG95" s="45"/>
      <c r="AH95" s="6">
        <f>TABL12345[[#This Row],[ (RESV. STORGE) BER]]/10</f>
        <v>0</v>
      </c>
      <c r="AI95" s="44"/>
      <c r="AJ95" s="44">
        <f>TABL12345[[#This Row],[(A/B TOT) AJD]]-TABL12345[[#This Row],[BER_ IN]]</f>
        <v>0</v>
      </c>
      <c r="AK95" s="45"/>
      <c r="AL95" s="45"/>
      <c r="AM95" s="32"/>
      <c r="AN95" s="32">
        <f>TABL12345[[#This Row],[ (RESV. STORGE) SER]]/10</f>
        <v>0</v>
      </c>
      <c r="AO95" s="68"/>
      <c r="AP95" s="68">
        <f>TABL12345[[#This Row],[(A/S TOT) AJD]]-TABL12345[[#This Row],[SER_ IN]]</f>
        <v>0</v>
      </c>
    </row>
    <row r="96" spans="1:42" ht="18.75" x14ac:dyDescent="0.25">
      <c r="A96" s="2">
        <v>47213</v>
      </c>
      <c r="B96" s="41"/>
      <c r="C96" s="41"/>
      <c r="D96" s="41"/>
      <c r="E96" s="41"/>
      <c r="F96" s="41"/>
      <c r="G96" s="39"/>
      <c r="H96" s="28"/>
      <c r="I96" s="39"/>
      <c r="J96" s="39"/>
      <c r="K96" s="28">
        <f>TABL12345[[#This Row],[خط (T/B  TOT) SAR]]+TABL12345[[#This Row],[خط (S/S  TOT) SAR2]]</f>
        <v>0</v>
      </c>
      <c r="L96" s="41"/>
      <c r="M96" s="42"/>
      <c r="N96" s="42"/>
      <c r="O96" s="39"/>
      <c r="P96" s="3">
        <f>TABL12345[[#This Row],[خط (S/S  TOT) SAR2]]-TABL12345[[#This Row],[(S/S TOT) AJD]]</f>
        <v>0</v>
      </c>
      <c r="Q96" s="39"/>
      <c r="R96" s="3">
        <f>TABL12345[[#This Row],[خط (T/B  TOT) SAR]]-TABL12345[[#This Row],[(T/B TOT) AJD]]</f>
        <v>0</v>
      </c>
      <c r="S96" s="3">
        <f>TABL12345[[#This Row],[الفرق بين بداية ونهاية خط  S/S]]+TABL12345[[#This Row],[الفرق بين بداية ونهاية خط  T/B]]</f>
        <v>0</v>
      </c>
      <c r="T96" s="3">
        <f t="shared" si="4"/>
        <v>0</v>
      </c>
      <c r="U96" s="41"/>
      <c r="V96" s="41"/>
      <c r="W96" s="3">
        <f t="shared" si="5"/>
        <v>0</v>
      </c>
      <c r="X96" s="3">
        <f t="shared" si="6"/>
        <v>0</v>
      </c>
      <c r="Y96" s="41"/>
      <c r="Z96" s="43"/>
      <c r="AA96" s="3">
        <f>TABL12345[[#This Row],[(RESV. STORGE) AJD]]/10</f>
        <v>0</v>
      </c>
      <c r="AB96" s="43">
        <f t="shared" si="7"/>
        <v>0</v>
      </c>
      <c r="AC96" s="5"/>
      <c r="AD96" s="39">
        <f>(TABL12345[[#This Row],[( S/S+T/B) AJD]]*1000)-((TABL12345[[#This Row],[(STORGE DIFF.) AJD]]*1000)+TABL12345[[#This Row],[البخر  AJD]]+(TABL12345[[#This Row],[(A/B + A/S) AJD]]*1000))</f>
        <v>0</v>
      </c>
      <c r="AE96" s="41"/>
      <c r="AF96" s="43"/>
      <c r="AG96" s="43"/>
      <c r="AH96" s="6">
        <f>TABL12345[[#This Row],[ (RESV. STORGE) BER]]/10</f>
        <v>0</v>
      </c>
      <c r="AI96" s="41"/>
      <c r="AJ96" s="41">
        <f>TABL12345[[#This Row],[(A/B TOT) AJD]]-TABL12345[[#This Row],[BER_ IN]]</f>
        <v>0</v>
      </c>
      <c r="AK96" s="43"/>
      <c r="AL96" s="43"/>
      <c r="AM96" s="32"/>
      <c r="AN96" s="32">
        <f>TABL12345[[#This Row],[ (RESV. STORGE) SER]]/10</f>
        <v>0</v>
      </c>
      <c r="AO96" s="68"/>
      <c r="AP96" s="68">
        <f>TABL12345[[#This Row],[(A/S TOT) AJD]]-TABL12345[[#This Row],[SER_ IN]]</f>
        <v>0</v>
      </c>
    </row>
    <row r="97" spans="1:42" ht="18.75" x14ac:dyDescent="0.25">
      <c r="A97" s="2">
        <v>47214</v>
      </c>
      <c r="B97" s="44"/>
      <c r="C97" s="44"/>
      <c r="D97" s="44"/>
      <c r="E97" s="44"/>
      <c r="F97" s="44"/>
      <c r="G97" s="40"/>
      <c r="H97" s="28"/>
      <c r="I97" s="40"/>
      <c r="J97" s="44"/>
      <c r="K97" s="28">
        <f>TABL12345[[#This Row],[خط (T/B  TOT) SAR]]+TABL12345[[#This Row],[خط (S/S  TOT) SAR2]]</f>
        <v>0</v>
      </c>
      <c r="L97" s="45"/>
      <c r="M97" s="46"/>
      <c r="N97" s="46"/>
      <c r="O97" s="40"/>
      <c r="P97" s="3">
        <f>TABL12345[[#This Row],[خط (S/S  TOT) SAR2]]-TABL12345[[#This Row],[(S/S TOT) AJD]]</f>
        <v>0</v>
      </c>
      <c r="Q97" s="40"/>
      <c r="R97" s="3">
        <f>TABL12345[[#This Row],[خط (T/B  TOT) SAR]]-TABL12345[[#This Row],[(T/B TOT) AJD]]</f>
        <v>0</v>
      </c>
      <c r="S97" s="3">
        <f>TABL12345[[#This Row],[الفرق بين بداية ونهاية خط  S/S]]+TABL12345[[#This Row],[الفرق بين بداية ونهاية خط  T/B]]</f>
        <v>0</v>
      </c>
      <c r="T97" s="3">
        <f t="shared" si="4"/>
        <v>0</v>
      </c>
      <c r="U97" s="44"/>
      <c r="V97" s="44"/>
      <c r="W97" s="3">
        <f t="shared" si="5"/>
        <v>0</v>
      </c>
      <c r="X97" s="3">
        <f t="shared" si="6"/>
        <v>0</v>
      </c>
      <c r="Y97" s="44"/>
      <c r="Z97" s="45"/>
      <c r="AA97" s="3">
        <f>TABL12345[[#This Row],[(RESV. STORGE) AJD]]/10</f>
        <v>0</v>
      </c>
      <c r="AB97" s="45">
        <f t="shared" si="7"/>
        <v>0</v>
      </c>
      <c r="AC97" s="5"/>
      <c r="AD97" s="40">
        <f>(TABL12345[[#This Row],[( S/S+T/B) AJD]]*1000)-((TABL12345[[#This Row],[(STORGE DIFF.) AJD]]*1000)+TABL12345[[#This Row],[البخر  AJD]]+(TABL12345[[#This Row],[(A/B + A/S) AJD]]*1000))</f>
        <v>0</v>
      </c>
      <c r="AE97" s="44"/>
      <c r="AF97" s="45"/>
      <c r="AG97" s="45"/>
      <c r="AH97" s="6">
        <f>TABL12345[[#This Row],[ (RESV. STORGE) BER]]/10</f>
        <v>0</v>
      </c>
      <c r="AI97" s="44"/>
      <c r="AJ97" s="44">
        <f>TABL12345[[#This Row],[(A/B TOT) AJD]]-TABL12345[[#This Row],[BER_ IN]]</f>
        <v>0</v>
      </c>
      <c r="AK97" s="45"/>
      <c r="AL97" s="45"/>
      <c r="AM97" s="32"/>
      <c r="AN97" s="32">
        <f>TABL12345[[#This Row],[ (RESV. STORGE) SER]]/10</f>
        <v>0</v>
      </c>
      <c r="AO97" s="68"/>
      <c r="AP97" s="68">
        <f>TABL12345[[#This Row],[(A/S TOT) AJD]]-TABL12345[[#This Row],[SER_ IN]]</f>
        <v>0</v>
      </c>
    </row>
    <row r="98" spans="1:42" ht="18.75" x14ac:dyDescent="0.25">
      <c r="A98" s="2">
        <v>47215</v>
      </c>
      <c r="B98" s="41"/>
      <c r="C98" s="41"/>
      <c r="D98" s="41"/>
      <c r="E98" s="41"/>
      <c r="F98" s="41"/>
      <c r="G98" s="39"/>
      <c r="H98" s="28"/>
      <c r="I98" s="39"/>
      <c r="J98" s="39"/>
      <c r="K98" s="28">
        <f>TABL12345[[#This Row],[خط (T/B  TOT) SAR]]+TABL12345[[#This Row],[خط (S/S  TOT) SAR2]]</f>
        <v>0</v>
      </c>
      <c r="L98" s="41"/>
      <c r="M98" s="42"/>
      <c r="N98" s="42"/>
      <c r="O98" s="39"/>
      <c r="P98" s="3">
        <f>TABL12345[[#This Row],[خط (S/S  TOT) SAR2]]-TABL12345[[#This Row],[(S/S TOT) AJD]]</f>
        <v>0</v>
      </c>
      <c r="Q98" s="39"/>
      <c r="R98" s="3">
        <f>TABL12345[[#This Row],[خط (T/B  TOT) SAR]]-TABL12345[[#This Row],[(T/B TOT) AJD]]</f>
        <v>0</v>
      </c>
      <c r="S98" s="3">
        <f>TABL12345[[#This Row],[الفرق بين بداية ونهاية خط  S/S]]+TABL12345[[#This Row],[الفرق بين بداية ونهاية خط  T/B]]</f>
        <v>0</v>
      </c>
      <c r="T98" s="3">
        <f t="shared" si="4"/>
        <v>0</v>
      </c>
      <c r="U98" s="41"/>
      <c r="V98" s="41"/>
      <c r="W98" s="3">
        <f t="shared" si="5"/>
        <v>0</v>
      </c>
      <c r="X98" s="3">
        <f t="shared" si="6"/>
        <v>0</v>
      </c>
      <c r="Y98" s="41"/>
      <c r="Z98" s="43"/>
      <c r="AA98" s="3">
        <f>TABL12345[[#This Row],[(RESV. STORGE) AJD]]/10</f>
        <v>0</v>
      </c>
      <c r="AB98" s="43">
        <f t="shared" si="7"/>
        <v>0</v>
      </c>
      <c r="AC98" s="5"/>
      <c r="AD98" s="39">
        <f>(TABL12345[[#This Row],[( S/S+T/B) AJD]]*1000)-((TABL12345[[#This Row],[(STORGE DIFF.) AJD]]*1000)+TABL12345[[#This Row],[البخر  AJD]]+(TABL12345[[#This Row],[(A/B + A/S) AJD]]*1000))</f>
        <v>0</v>
      </c>
      <c r="AE98" s="41"/>
      <c r="AF98" s="43"/>
      <c r="AG98" s="43"/>
      <c r="AH98" s="6">
        <f>TABL12345[[#This Row],[ (RESV. STORGE) BER]]/10</f>
        <v>0</v>
      </c>
      <c r="AI98" s="41"/>
      <c r="AJ98" s="41">
        <f>TABL12345[[#This Row],[(A/B TOT) AJD]]-TABL12345[[#This Row],[BER_ IN]]</f>
        <v>0</v>
      </c>
      <c r="AK98" s="43"/>
      <c r="AL98" s="43"/>
      <c r="AM98" s="32"/>
      <c r="AN98" s="32">
        <f>TABL12345[[#This Row],[ (RESV. STORGE) SER]]/10</f>
        <v>0</v>
      </c>
      <c r="AO98" s="68"/>
      <c r="AP98" s="68">
        <f>TABL12345[[#This Row],[(A/S TOT) AJD]]-TABL12345[[#This Row],[SER_ IN]]</f>
        <v>0</v>
      </c>
    </row>
    <row r="99" spans="1:42" ht="18.75" x14ac:dyDescent="0.25">
      <c r="A99" s="2">
        <v>47216</v>
      </c>
      <c r="B99" s="44"/>
      <c r="C99" s="44"/>
      <c r="D99" s="44"/>
      <c r="E99" s="44"/>
      <c r="F99" s="44"/>
      <c r="G99" s="40"/>
      <c r="H99" s="28"/>
      <c r="I99" s="40"/>
      <c r="J99" s="44"/>
      <c r="K99" s="28">
        <f>TABL12345[[#This Row],[خط (T/B  TOT) SAR]]+TABL12345[[#This Row],[خط (S/S  TOT) SAR2]]</f>
        <v>0</v>
      </c>
      <c r="L99" s="45"/>
      <c r="M99" s="46"/>
      <c r="N99" s="46"/>
      <c r="O99" s="40"/>
      <c r="P99" s="3">
        <f>TABL12345[[#This Row],[خط (S/S  TOT) SAR2]]-TABL12345[[#This Row],[(S/S TOT) AJD]]</f>
        <v>0</v>
      </c>
      <c r="Q99" s="40"/>
      <c r="R99" s="3">
        <f>TABL12345[[#This Row],[خط (T/B  TOT) SAR]]-TABL12345[[#This Row],[(T/B TOT) AJD]]</f>
        <v>0</v>
      </c>
      <c r="S99" s="3">
        <f>TABL12345[[#This Row],[الفرق بين بداية ونهاية خط  S/S]]+TABL12345[[#This Row],[الفرق بين بداية ونهاية خط  T/B]]</f>
        <v>0</v>
      </c>
      <c r="T99" s="3">
        <f t="shared" si="4"/>
        <v>0</v>
      </c>
      <c r="U99" s="44"/>
      <c r="V99" s="44"/>
      <c r="W99" s="3">
        <f t="shared" si="5"/>
        <v>0</v>
      </c>
      <c r="X99" s="3">
        <f t="shared" si="6"/>
        <v>0</v>
      </c>
      <c r="Y99" s="44"/>
      <c r="Z99" s="45"/>
      <c r="AA99" s="3">
        <f>TABL12345[[#This Row],[(RESV. STORGE) AJD]]/10</f>
        <v>0</v>
      </c>
      <c r="AB99" s="45">
        <f t="shared" si="7"/>
        <v>0</v>
      </c>
      <c r="AC99" s="5"/>
      <c r="AD99" s="40">
        <f>(TABL12345[[#This Row],[( S/S+T/B) AJD]]*1000)-((TABL12345[[#This Row],[(STORGE DIFF.) AJD]]*1000)+TABL12345[[#This Row],[البخر  AJD]]+(TABL12345[[#This Row],[(A/B + A/S) AJD]]*1000))</f>
        <v>0</v>
      </c>
      <c r="AE99" s="44"/>
      <c r="AF99" s="45"/>
      <c r="AG99" s="45"/>
      <c r="AH99" s="6">
        <f>TABL12345[[#This Row],[ (RESV. STORGE) BER]]/10</f>
        <v>0</v>
      </c>
      <c r="AI99" s="44"/>
      <c r="AJ99" s="44">
        <f>TABL12345[[#This Row],[(A/B TOT) AJD]]-TABL12345[[#This Row],[BER_ IN]]</f>
        <v>0</v>
      </c>
      <c r="AK99" s="45"/>
      <c r="AL99" s="45"/>
      <c r="AM99" s="32"/>
      <c r="AN99" s="32">
        <f>TABL12345[[#This Row],[ (RESV. STORGE) SER]]/10</f>
        <v>0</v>
      </c>
      <c r="AO99" s="68"/>
      <c r="AP99" s="68">
        <f>TABL12345[[#This Row],[(A/S TOT) AJD]]-TABL12345[[#This Row],[SER_ IN]]</f>
        <v>0</v>
      </c>
    </row>
    <row r="100" spans="1:42" ht="18.75" x14ac:dyDescent="0.25">
      <c r="A100" s="2">
        <v>47217</v>
      </c>
      <c r="B100" s="41"/>
      <c r="C100" s="41"/>
      <c r="D100" s="41"/>
      <c r="E100" s="41"/>
      <c r="F100" s="41"/>
      <c r="G100" s="39"/>
      <c r="H100" s="28"/>
      <c r="I100" s="39"/>
      <c r="J100" s="39"/>
      <c r="K100" s="28">
        <f>TABL12345[[#This Row],[خط (T/B  TOT) SAR]]+TABL12345[[#This Row],[خط (S/S  TOT) SAR2]]</f>
        <v>0</v>
      </c>
      <c r="L100" s="41"/>
      <c r="M100" s="42"/>
      <c r="N100" s="42"/>
      <c r="O100" s="39"/>
      <c r="P100" s="3">
        <f>TABL12345[[#This Row],[خط (S/S  TOT) SAR2]]-TABL12345[[#This Row],[(S/S TOT) AJD]]</f>
        <v>0</v>
      </c>
      <c r="Q100" s="39"/>
      <c r="R100" s="3">
        <f>TABL12345[[#This Row],[خط (T/B  TOT) SAR]]-TABL12345[[#This Row],[(T/B TOT) AJD]]</f>
        <v>0</v>
      </c>
      <c r="S100" s="3">
        <f>TABL12345[[#This Row],[الفرق بين بداية ونهاية خط  S/S]]+TABL12345[[#This Row],[الفرق بين بداية ونهاية خط  T/B]]</f>
        <v>0</v>
      </c>
      <c r="T100" s="3">
        <f t="shared" si="4"/>
        <v>0</v>
      </c>
      <c r="U100" s="41"/>
      <c r="V100" s="41"/>
      <c r="W100" s="3">
        <f t="shared" si="5"/>
        <v>0</v>
      </c>
      <c r="X100" s="3">
        <f t="shared" si="6"/>
        <v>0</v>
      </c>
      <c r="Y100" s="41"/>
      <c r="Z100" s="43"/>
      <c r="AA100" s="3">
        <f>TABL12345[[#This Row],[(RESV. STORGE) AJD]]/10</f>
        <v>0</v>
      </c>
      <c r="AB100" s="43">
        <f t="shared" si="7"/>
        <v>0</v>
      </c>
      <c r="AC100" s="5"/>
      <c r="AD100" s="39">
        <f>(TABL12345[[#This Row],[( S/S+T/B) AJD]]*1000)-((TABL12345[[#This Row],[(STORGE DIFF.) AJD]]*1000)+TABL12345[[#This Row],[البخر  AJD]]+(TABL12345[[#This Row],[(A/B + A/S) AJD]]*1000))</f>
        <v>0</v>
      </c>
      <c r="AE100" s="41"/>
      <c r="AF100" s="43"/>
      <c r="AG100" s="43"/>
      <c r="AH100" s="6">
        <f>TABL12345[[#This Row],[ (RESV. STORGE) BER]]/10</f>
        <v>0</v>
      </c>
      <c r="AI100" s="41"/>
      <c r="AJ100" s="41">
        <f>TABL12345[[#This Row],[(A/B TOT) AJD]]-TABL12345[[#This Row],[BER_ IN]]</f>
        <v>0</v>
      </c>
      <c r="AK100" s="43"/>
      <c r="AL100" s="43"/>
      <c r="AM100" s="32"/>
      <c r="AN100" s="32">
        <f>TABL12345[[#This Row],[ (RESV. STORGE) SER]]/10</f>
        <v>0</v>
      </c>
      <c r="AO100" s="68"/>
      <c r="AP100" s="68">
        <f>TABL12345[[#This Row],[(A/S TOT) AJD]]-TABL12345[[#This Row],[SER_ IN]]</f>
        <v>0</v>
      </c>
    </row>
    <row r="101" spans="1:42" ht="18.75" x14ac:dyDescent="0.25">
      <c r="A101" s="2">
        <v>47218</v>
      </c>
      <c r="B101" s="44"/>
      <c r="C101" s="44"/>
      <c r="D101" s="44"/>
      <c r="E101" s="44"/>
      <c r="F101" s="44"/>
      <c r="G101" s="40"/>
      <c r="H101" s="28"/>
      <c r="I101" s="40"/>
      <c r="J101" s="44"/>
      <c r="K101" s="28">
        <f>TABL12345[[#This Row],[خط (T/B  TOT) SAR]]+TABL12345[[#This Row],[خط (S/S  TOT) SAR2]]</f>
        <v>0</v>
      </c>
      <c r="L101" s="45"/>
      <c r="M101" s="46"/>
      <c r="N101" s="46"/>
      <c r="O101" s="40"/>
      <c r="P101" s="3">
        <f>TABL12345[[#This Row],[خط (S/S  TOT) SAR2]]-TABL12345[[#This Row],[(S/S TOT) AJD]]</f>
        <v>0</v>
      </c>
      <c r="Q101" s="40"/>
      <c r="R101" s="3">
        <f>TABL12345[[#This Row],[خط (T/B  TOT) SAR]]-TABL12345[[#This Row],[(T/B TOT) AJD]]</f>
        <v>0</v>
      </c>
      <c r="S101" s="3">
        <f>TABL12345[[#This Row],[الفرق بين بداية ونهاية خط  S/S]]+TABL12345[[#This Row],[الفرق بين بداية ونهاية خط  T/B]]</f>
        <v>0</v>
      </c>
      <c r="T101" s="3">
        <f t="shared" si="4"/>
        <v>0</v>
      </c>
      <c r="U101" s="44"/>
      <c r="V101" s="44"/>
      <c r="W101" s="3">
        <f t="shared" si="5"/>
        <v>0</v>
      </c>
      <c r="X101" s="3">
        <f t="shared" si="6"/>
        <v>0</v>
      </c>
      <c r="Y101" s="44"/>
      <c r="Z101" s="45"/>
      <c r="AA101" s="3">
        <f>TABL12345[[#This Row],[(RESV. STORGE) AJD]]/10</f>
        <v>0</v>
      </c>
      <c r="AB101" s="45">
        <f t="shared" si="7"/>
        <v>0</v>
      </c>
      <c r="AC101" s="5"/>
      <c r="AD101" s="40">
        <f>(TABL12345[[#This Row],[( S/S+T/B) AJD]]*1000)-((TABL12345[[#This Row],[(STORGE DIFF.) AJD]]*1000)+TABL12345[[#This Row],[البخر  AJD]]+(TABL12345[[#This Row],[(A/B + A/S) AJD]]*1000))</f>
        <v>0</v>
      </c>
      <c r="AE101" s="44"/>
      <c r="AF101" s="45"/>
      <c r="AG101" s="45"/>
      <c r="AH101" s="6">
        <f>TABL12345[[#This Row],[ (RESV. STORGE) BER]]/10</f>
        <v>0</v>
      </c>
      <c r="AI101" s="44"/>
      <c r="AJ101" s="44">
        <f>TABL12345[[#This Row],[(A/B TOT) AJD]]-TABL12345[[#This Row],[BER_ IN]]</f>
        <v>0</v>
      </c>
      <c r="AK101" s="45"/>
      <c r="AL101" s="45"/>
      <c r="AM101" s="32"/>
      <c r="AN101" s="32">
        <f>TABL12345[[#This Row],[ (RESV. STORGE) SER]]/10</f>
        <v>0</v>
      </c>
      <c r="AO101" s="68"/>
      <c r="AP101" s="68">
        <f>TABL12345[[#This Row],[(A/S TOT) AJD]]-TABL12345[[#This Row],[SER_ IN]]</f>
        <v>0</v>
      </c>
    </row>
    <row r="102" spans="1:42" ht="18.75" x14ac:dyDescent="0.25">
      <c r="A102" s="2">
        <v>47219</v>
      </c>
      <c r="B102" s="41"/>
      <c r="C102" s="41"/>
      <c r="D102" s="41"/>
      <c r="E102" s="41"/>
      <c r="F102" s="41"/>
      <c r="G102" s="39"/>
      <c r="H102" s="28"/>
      <c r="I102" s="39"/>
      <c r="J102" s="39"/>
      <c r="K102" s="28">
        <f>TABL12345[[#This Row],[خط (T/B  TOT) SAR]]+TABL12345[[#This Row],[خط (S/S  TOT) SAR2]]</f>
        <v>0</v>
      </c>
      <c r="L102" s="41"/>
      <c r="M102" s="42"/>
      <c r="N102" s="42"/>
      <c r="O102" s="39"/>
      <c r="P102" s="3">
        <f>TABL12345[[#This Row],[خط (S/S  TOT) SAR2]]-TABL12345[[#This Row],[(S/S TOT) AJD]]</f>
        <v>0</v>
      </c>
      <c r="Q102" s="39"/>
      <c r="R102" s="3">
        <f>TABL12345[[#This Row],[خط (T/B  TOT) SAR]]-TABL12345[[#This Row],[(T/B TOT) AJD]]</f>
        <v>0</v>
      </c>
      <c r="S102" s="3">
        <f>TABL12345[[#This Row],[الفرق بين بداية ونهاية خط  S/S]]+TABL12345[[#This Row],[الفرق بين بداية ونهاية خط  T/B]]</f>
        <v>0</v>
      </c>
      <c r="T102" s="3">
        <f t="shared" si="4"/>
        <v>0</v>
      </c>
      <c r="U102" s="41"/>
      <c r="V102" s="41"/>
      <c r="W102" s="3">
        <f t="shared" si="5"/>
        <v>0</v>
      </c>
      <c r="X102" s="3">
        <f t="shared" si="6"/>
        <v>0</v>
      </c>
      <c r="Y102" s="41"/>
      <c r="Z102" s="43"/>
      <c r="AA102" s="3">
        <f>TABL12345[[#This Row],[(RESV. STORGE) AJD]]/10</f>
        <v>0</v>
      </c>
      <c r="AB102" s="43">
        <f t="shared" si="7"/>
        <v>0</v>
      </c>
      <c r="AC102" s="5"/>
      <c r="AD102" s="39">
        <f>(TABL12345[[#This Row],[( S/S+T/B) AJD]]*1000)-((TABL12345[[#This Row],[(STORGE DIFF.) AJD]]*1000)+TABL12345[[#This Row],[البخر  AJD]]+(TABL12345[[#This Row],[(A/B + A/S) AJD]]*1000))</f>
        <v>0</v>
      </c>
      <c r="AE102" s="41"/>
      <c r="AF102" s="43"/>
      <c r="AG102" s="43"/>
      <c r="AH102" s="6">
        <f>TABL12345[[#This Row],[ (RESV. STORGE) BER]]/10</f>
        <v>0</v>
      </c>
      <c r="AI102" s="41"/>
      <c r="AJ102" s="41">
        <f>TABL12345[[#This Row],[(A/B TOT) AJD]]-TABL12345[[#This Row],[BER_ IN]]</f>
        <v>0</v>
      </c>
      <c r="AK102" s="43"/>
      <c r="AL102" s="43"/>
      <c r="AM102" s="32"/>
      <c r="AN102" s="32">
        <f>TABL12345[[#This Row],[ (RESV. STORGE) SER]]/10</f>
        <v>0</v>
      </c>
      <c r="AO102" s="68"/>
      <c r="AP102" s="68">
        <f>TABL12345[[#This Row],[(A/S TOT) AJD]]-TABL12345[[#This Row],[SER_ IN]]</f>
        <v>0</v>
      </c>
    </row>
    <row r="103" spans="1:42" ht="18.75" x14ac:dyDescent="0.25">
      <c r="A103" s="2">
        <v>47220</v>
      </c>
      <c r="B103" s="44"/>
      <c r="C103" s="44"/>
      <c r="D103" s="44"/>
      <c r="E103" s="44"/>
      <c r="F103" s="44"/>
      <c r="G103" s="40"/>
      <c r="H103" s="28"/>
      <c r="I103" s="40"/>
      <c r="J103" s="44"/>
      <c r="K103" s="28">
        <f>TABL12345[[#This Row],[خط (T/B  TOT) SAR]]+TABL12345[[#This Row],[خط (S/S  TOT) SAR2]]</f>
        <v>0</v>
      </c>
      <c r="L103" s="45"/>
      <c r="M103" s="46"/>
      <c r="N103" s="46"/>
      <c r="O103" s="40"/>
      <c r="P103" s="3">
        <f>TABL12345[[#This Row],[خط (S/S  TOT) SAR2]]-TABL12345[[#This Row],[(S/S TOT) AJD]]</f>
        <v>0</v>
      </c>
      <c r="Q103" s="40"/>
      <c r="R103" s="3">
        <f>TABL12345[[#This Row],[خط (T/B  TOT) SAR]]-TABL12345[[#This Row],[(T/B TOT) AJD]]</f>
        <v>0</v>
      </c>
      <c r="S103" s="3">
        <f>TABL12345[[#This Row],[الفرق بين بداية ونهاية خط  S/S]]+TABL12345[[#This Row],[الفرق بين بداية ونهاية خط  T/B]]</f>
        <v>0</v>
      </c>
      <c r="T103" s="3">
        <f t="shared" si="4"/>
        <v>0</v>
      </c>
      <c r="U103" s="44"/>
      <c r="V103" s="44"/>
      <c r="W103" s="3">
        <f t="shared" si="5"/>
        <v>0</v>
      </c>
      <c r="X103" s="3">
        <f t="shared" si="6"/>
        <v>0</v>
      </c>
      <c r="Y103" s="44"/>
      <c r="Z103" s="45"/>
      <c r="AA103" s="3">
        <f>TABL12345[[#This Row],[(RESV. STORGE) AJD]]/10</f>
        <v>0</v>
      </c>
      <c r="AB103" s="45">
        <f t="shared" si="7"/>
        <v>0</v>
      </c>
      <c r="AC103" s="5"/>
      <c r="AD103" s="40">
        <f>(TABL12345[[#This Row],[( S/S+T/B) AJD]]*1000)-((TABL12345[[#This Row],[(STORGE DIFF.) AJD]]*1000)+TABL12345[[#This Row],[البخر  AJD]]+(TABL12345[[#This Row],[(A/B + A/S) AJD]]*1000))</f>
        <v>0</v>
      </c>
      <c r="AE103" s="44"/>
      <c r="AF103" s="45"/>
      <c r="AG103" s="45"/>
      <c r="AH103" s="6">
        <f>TABL12345[[#This Row],[ (RESV. STORGE) BER]]/10</f>
        <v>0</v>
      </c>
      <c r="AI103" s="44"/>
      <c r="AJ103" s="44">
        <f>TABL12345[[#This Row],[(A/B TOT) AJD]]-TABL12345[[#This Row],[BER_ IN]]</f>
        <v>0</v>
      </c>
      <c r="AK103" s="45"/>
      <c r="AL103" s="45"/>
      <c r="AM103" s="32"/>
      <c r="AN103" s="32">
        <f>TABL12345[[#This Row],[ (RESV. STORGE) SER]]/10</f>
        <v>0</v>
      </c>
      <c r="AO103" s="68"/>
      <c r="AP103" s="68">
        <f>TABL12345[[#This Row],[(A/S TOT) AJD]]-TABL12345[[#This Row],[SER_ IN]]</f>
        <v>0</v>
      </c>
    </row>
    <row r="104" spans="1:42" ht="18.75" x14ac:dyDescent="0.25">
      <c r="A104" s="2">
        <v>47221</v>
      </c>
      <c r="B104" s="41"/>
      <c r="C104" s="41"/>
      <c r="D104" s="41"/>
      <c r="E104" s="41"/>
      <c r="F104" s="41"/>
      <c r="G104" s="39"/>
      <c r="H104" s="28"/>
      <c r="I104" s="39"/>
      <c r="J104" s="39"/>
      <c r="K104" s="28">
        <f>TABL12345[[#This Row],[خط (T/B  TOT) SAR]]+TABL12345[[#This Row],[خط (S/S  TOT) SAR2]]</f>
        <v>0</v>
      </c>
      <c r="L104" s="41"/>
      <c r="M104" s="42"/>
      <c r="N104" s="42"/>
      <c r="O104" s="39"/>
      <c r="P104" s="3">
        <f>TABL12345[[#This Row],[خط (S/S  TOT) SAR2]]-TABL12345[[#This Row],[(S/S TOT) AJD]]</f>
        <v>0</v>
      </c>
      <c r="Q104" s="39"/>
      <c r="R104" s="3">
        <f>TABL12345[[#This Row],[خط (T/B  TOT) SAR]]-TABL12345[[#This Row],[(T/B TOT) AJD]]</f>
        <v>0</v>
      </c>
      <c r="S104" s="3">
        <f>TABL12345[[#This Row],[الفرق بين بداية ونهاية خط  S/S]]+TABL12345[[#This Row],[الفرق بين بداية ونهاية خط  T/B]]</f>
        <v>0</v>
      </c>
      <c r="T104" s="3">
        <f t="shared" si="4"/>
        <v>0</v>
      </c>
      <c r="U104" s="41"/>
      <c r="V104" s="41"/>
      <c r="W104" s="3">
        <f t="shared" si="5"/>
        <v>0</v>
      </c>
      <c r="X104" s="3">
        <f t="shared" si="6"/>
        <v>0</v>
      </c>
      <c r="Y104" s="41"/>
      <c r="Z104" s="43"/>
      <c r="AA104" s="3">
        <f>TABL12345[[#This Row],[(RESV. STORGE) AJD]]/10</f>
        <v>0</v>
      </c>
      <c r="AB104" s="43">
        <f t="shared" si="7"/>
        <v>0</v>
      </c>
      <c r="AC104" s="5"/>
      <c r="AD104" s="39">
        <f>(TABL12345[[#This Row],[( S/S+T/B) AJD]]*1000)-((TABL12345[[#This Row],[(STORGE DIFF.) AJD]]*1000)+TABL12345[[#This Row],[البخر  AJD]]+(TABL12345[[#This Row],[(A/B + A/S) AJD]]*1000))</f>
        <v>0</v>
      </c>
      <c r="AE104" s="41"/>
      <c r="AF104" s="43"/>
      <c r="AG104" s="43"/>
      <c r="AH104" s="6">
        <f>TABL12345[[#This Row],[ (RESV. STORGE) BER]]/10</f>
        <v>0</v>
      </c>
      <c r="AI104" s="41"/>
      <c r="AJ104" s="41">
        <f>TABL12345[[#This Row],[(A/B TOT) AJD]]-TABL12345[[#This Row],[BER_ IN]]</f>
        <v>0</v>
      </c>
      <c r="AK104" s="43"/>
      <c r="AL104" s="43"/>
      <c r="AM104" s="32"/>
      <c r="AN104" s="32">
        <f>TABL12345[[#This Row],[ (RESV. STORGE) SER]]/10</f>
        <v>0</v>
      </c>
      <c r="AO104" s="68"/>
      <c r="AP104" s="68">
        <f>TABL12345[[#This Row],[(A/S TOT) AJD]]-TABL12345[[#This Row],[SER_ IN]]</f>
        <v>0</v>
      </c>
    </row>
    <row r="105" spans="1:42" ht="18.75" x14ac:dyDescent="0.25">
      <c r="A105" s="2">
        <v>47222</v>
      </c>
      <c r="B105" s="44"/>
      <c r="C105" s="44"/>
      <c r="D105" s="44"/>
      <c r="E105" s="44"/>
      <c r="F105" s="44"/>
      <c r="G105" s="40"/>
      <c r="H105" s="28"/>
      <c r="I105" s="40"/>
      <c r="J105" s="44"/>
      <c r="K105" s="28">
        <f>TABL12345[[#This Row],[خط (T/B  TOT) SAR]]+TABL12345[[#This Row],[خط (S/S  TOT) SAR2]]</f>
        <v>0</v>
      </c>
      <c r="L105" s="45"/>
      <c r="M105" s="46"/>
      <c r="N105" s="46"/>
      <c r="O105" s="40"/>
      <c r="P105" s="3">
        <f>TABL12345[[#This Row],[خط (S/S  TOT) SAR2]]-TABL12345[[#This Row],[(S/S TOT) AJD]]</f>
        <v>0</v>
      </c>
      <c r="Q105" s="40"/>
      <c r="R105" s="3">
        <f>TABL12345[[#This Row],[خط (T/B  TOT) SAR]]-TABL12345[[#This Row],[(T/B TOT) AJD]]</f>
        <v>0</v>
      </c>
      <c r="S105" s="3">
        <f>TABL12345[[#This Row],[الفرق بين بداية ونهاية خط  S/S]]+TABL12345[[#This Row],[الفرق بين بداية ونهاية خط  T/B]]</f>
        <v>0</v>
      </c>
      <c r="T105" s="3">
        <f t="shared" si="4"/>
        <v>0</v>
      </c>
      <c r="U105" s="44"/>
      <c r="V105" s="44"/>
      <c r="W105" s="3">
        <f t="shared" si="5"/>
        <v>0</v>
      </c>
      <c r="X105" s="3">
        <f t="shared" si="6"/>
        <v>0</v>
      </c>
      <c r="Y105" s="44"/>
      <c r="Z105" s="45"/>
      <c r="AA105" s="3">
        <f>TABL12345[[#This Row],[(RESV. STORGE) AJD]]/10</f>
        <v>0</v>
      </c>
      <c r="AB105" s="45">
        <f t="shared" si="7"/>
        <v>0</v>
      </c>
      <c r="AC105" s="5"/>
      <c r="AD105" s="40">
        <f>(TABL12345[[#This Row],[( S/S+T/B) AJD]]*1000)-((TABL12345[[#This Row],[(STORGE DIFF.) AJD]]*1000)+TABL12345[[#This Row],[البخر  AJD]]+(TABL12345[[#This Row],[(A/B + A/S) AJD]]*1000))</f>
        <v>0</v>
      </c>
      <c r="AE105" s="44"/>
      <c r="AF105" s="45"/>
      <c r="AG105" s="45"/>
      <c r="AH105" s="6">
        <f>TABL12345[[#This Row],[ (RESV. STORGE) BER]]/10</f>
        <v>0</v>
      </c>
      <c r="AI105" s="44"/>
      <c r="AJ105" s="44">
        <f>TABL12345[[#This Row],[(A/B TOT) AJD]]-TABL12345[[#This Row],[BER_ IN]]</f>
        <v>0</v>
      </c>
      <c r="AK105" s="45"/>
      <c r="AL105" s="45"/>
      <c r="AM105" s="32"/>
      <c r="AN105" s="32">
        <f>TABL12345[[#This Row],[ (RESV. STORGE) SER]]/10</f>
        <v>0</v>
      </c>
      <c r="AO105" s="68"/>
      <c r="AP105" s="68">
        <f>TABL12345[[#This Row],[(A/S TOT) AJD]]-TABL12345[[#This Row],[SER_ IN]]</f>
        <v>0</v>
      </c>
    </row>
    <row r="106" spans="1:42" ht="18.75" x14ac:dyDescent="0.25">
      <c r="A106" s="2">
        <v>47223</v>
      </c>
      <c r="B106" s="41"/>
      <c r="C106" s="41"/>
      <c r="D106" s="41"/>
      <c r="E106" s="41"/>
      <c r="F106" s="41"/>
      <c r="G106" s="39"/>
      <c r="H106" s="28"/>
      <c r="I106" s="39"/>
      <c r="J106" s="39"/>
      <c r="K106" s="28">
        <f>TABL12345[[#This Row],[خط (T/B  TOT) SAR]]+TABL12345[[#This Row],[خط (S/S  TOT) SAR2]]</f>
        <v>0</v>
      </c>
      <c r="L106" s="41"/>
      <c r="M106" s="42"/>
      <c r="N106" s="42"/>
      <c r="O106" s="39"/>
      <c r="P106" s="3">
        <f>TABL12345[[#This Row],[خط (S/S  TOT) SAR2]]-TABL12345[[#This Row],[(S/S TOT) AJD]]</f>
        <v>0</v>
      </c>
      <c r="Q106" s="39"/>
      <c r="R106" s="3">
        <f>TABL12345[[#This Row],[خط (T/B  TOT) SAR]]-TABL12345[[#This Row],[(T/B TOT) AJD]]</f>
        <v>0</v>
      </c>
      <c r="S106" s="3">
        <f>TABL12345[[#This Row],[الفرق بين بداية ونهاية خط  S/S]]+TABL12345[[#This Row],[الفرق بين بداية ونهاية خط  T/B]]</f>
        <v>0</v>
      </c>
      <c r="T106" s="3">
        <f t="shared" si="4"/>
        <v>0</v>
      </c>
      <c r="U106" s="41"/>
      <c r="V106" s="41"/>
      <c r="W106" s="3">
        <f t="shared" si="5"/>
        <v>0</v>
      </c>
      <c r="X106" s="3">
        <f t="shared" si="6"/>
        <v>0</v>
      </c>
      <c r="Y106" s="41"/>
      <c r="Z106" s="43"/>
      <c r="AA106" s="3">
        <f>TABL12345[[#This Row],[(RESV. STORGE) AJD]]/10</f>
        <v>0</v>
      </c>
      <c r="AB106" s="43">
        <f t="shared" si="7"/>
        <v>0</v>
      </c>
      <c r="AC106" s="5"/>
      <c r="AD106" s="39">
        <f>(TABL12345[[#This Row],[( S/S+T/B) AJD]]*1000)-((TABL12345[[#This Row],[(STORGE DIFF.) AJD]]*1000)+TABL12345[[#This Row],[البخر  AJD]]+(TABL12345[[#This Row],[(A/B + A/S) AJD]]*1000))</f>
        <v>0</v>
      </c>
      <c r="AE106" s="41"/>
      <c r="AF106" s="43"/>
      <c r="AG106" s="43"/>
      <c r="AH106" s="6">
        <f>TABL12345[[#This Row],[ (RESV. STORGE) BER]]/10</f>
        <v>0</v>
      </c>
      <c r="AI106" s="41"/>
      <c r="AJ106" s="41">
        <f>TABL12345[[#This Row],[(A/B TOT) AJD]]-TABL12345[[#This Row],[BER_ IN]]</f>
        <v>0</v>
      </c>
      <c r="AK106" s="43"/>
      <c r="AL106" s="43"/>
      <c r="AM106" s="32"/>
      <c r="AN106" s="32">
        <f>TABL12345[[#This Row],[ (RESV. STORGE) SER]]/10</f>
        <v>0</v>
      </c>
      <c r="AO106" s="68"/>
      <c r="AP106" s="68">
        <f>TABL12345[[#This Row],[(A/S TOT) AJD]]-TABL12345[[#This Row],[SER_ IN]]</f>
        <v>0</v>
      </c>
    </row>
    <row r="107" spans="1:42" ht="18.75" x14ac:dyDescent="0.25">
      <c r="A107" s="2">
        <v>47224</v>
      </c>
      <c r="B107" s="44"/>
      <c r="C107" s="44"/>
      <c r="D107" s="44"/>
      <c r="E107" s="44"/>
      <c r="F107" s="44"/>
      <c r="G107" s="40"/>
      <c r="H107" s="28"/>
      <c r="I107" s="40"/>
      <c r="J107" s="44"/>
      <c r="K107" s="28">
        <f>TABL12345[[#This Row],[خط (T/B  TOT) SAR]]+TABL12345[[#This Row],[خط (S/S  TOT) SAR2]]</f>
        <v>0</v>
      </c>
      <c r="L107" s="45"/>
      <c r="M107" s="46"/>
      <c r="N107" s="46"/>
      <c r="O107" s="40"/>
      <c r="P107" s="3">
        <f>TABL12345[[#This Row],[خط (S/S  TOT) SAR2]]-TABL12345[[#This Row],[(S/S TOT) AJD]]</f>
        <v>0</v>
      </c>
      <c r="Q107" s="40"/>
      <c r="R107" s="3">
        <f>TABL12345[[#This Row],[خط (T/B  TOT) SAR]]-TABL12345[[#This Row],[(T/B TOT) AJD]]</f>
        <v>0</v>
      </c>
      <c r="S107" s="3">
        <f>TABL12345[[#This Row],[الفرق بين بداية ونهاية خط  S/S]]+TABL12345[[#This Row],[الفرق بين بداية ونهاية خط  T/B]]</f>
        <v>0</v>
      </c>
      <c r="T107" s="3">
        <f t="shared" si="4"/>
        <v>0</v>
      </c>
      <c r="U107" s="44"/>
      <c r="V107" s="44"/>
      <c r="W107" s="3">
        <f t="shared" si="5"/>
        <v>0</v>
      </c>
      <c r="X107" s="3">
        <f t="shared" si="6"/>
        <v>0</v>
      </c>
      <c r="Y107" s="44"/>
      <c r="Z107" s="45"/>
      <c r="AA107" s="3">
        <f>TABL12345[[#This Row],[(RESV. STORGE) AJD]]/10</f>
        <v>0</v>
      </c>
      <c r="AB107" s="45">
        <f t="shared" si="7"/>
        <v>0</v>
      </c>
      <c r="AC107" s="5"/>
      <c r="AD107" s="40">
        <f>(TABL12345[[#This Row],[( S/S+T/B) AJD]]*1000)-((TABL12345[[#This Row],[(STORGE DIFF.) AJD]]*1000)+TABL12345[[#This Row],[البخر  AJD]]+(TABL12345[[#This Row],[(A/B + A/S) AJD]]*1000))</f>
        <v>0</v>
      </c>
      <c r="AE107" s="44"/>
      <c r="AF107" s="45"/>
      <c r="AG107" s="45"/>
      <c r="AH107" s="6">
        <f>TABL12345[[#This Row],[ (RESV. STORGE) BER]]/10</f>
        <v>0</v>
      </c>
      <c r="AI107" s="44"/>
      <c r="AJ107" s="44">
        <f>TABL12345[[#This Row],[(A/B TOT) AJD]]-TABL12345[[#This Row],[BER_ IN]]</f>
        <v>0</v>
      </c>
      <c r="AK107" s="45"/>
      <c r="AL107" s="45"/>
      <c r="AM107" s="32"/>
      <c r="AN107" s="32">
        <f>TABL12345[[#This Row],[ (RESV. STORGE) SER]]/10</f>
        <v>0</v>
      </c>
      <c r="AO107" s="68"/>
      <c r="AP107" s="68">
        <f>TABL12345[[#This Row],[(A/S TOT) AJD]]-TABL12345[[#This Row],[SER_ IN]]</f>
        <v>0</v>
      </c>
    </row>
    <row r="108" spans="1:42" ht="18.75" x14ac:dyDescent="0.25">
      <c r="A108" s="2">
        <v>47225</v>
      </c>
      <c r="B108" s="41"/>
      <c r="C108" s="41"/>
      <c r="D108" s="41"/>
      <c r="E108" s="41"/>
      <c r="F108" s="41"/>
      <c r="G108" s="39"/>
      <c r="H108" s="28"/>
      <c r="I108" s="39"/>
      <c r="J108" s="39"/>
      <c r="K108" s="28">
        <f>TABL12345[[#This Row],[خط (T/B  TOT) SAR]]+TABL12345[[#This Row],[خط (S/S  TOT) SAR2]]</f>
        <v>0</v>
      </c>
      <c r="L108" s="41"/>
      <c r="M108" s="42"/>
      <c r="N108" s="42"/>
      <c r="O108" s="39"/>
      <c r="P108" s="3">
        <f>TABL12345[[#This Row],[خط (S/S  TOT) SAR2]]-TABL12345[[#This Row],[(S/S TOT) AJD]]</f>
        <v>0</v>
      </c>
      <c r="Q108" s="39"/>
      <c r="R108" s="3">
        <f>TABL12345[[#This Row],[خط (T/B  TOT) SAR]]-TABL12345[[#This Row],[(T/B TOT) AJD]]</f>
        <v>0</v>
      </c>
      <c r="S108" s="3">
        <f>TABL12345[[#This Row],[الفرق بين بداية ونهاية خط  S/S]]+TABL12345[[#This Row],[الفرق بين بداية ونهاية خط  T/B]]</f>
        <v>0</v>
      </c>
      <c r="T108" s="3">
        <f t="shared" si="4"/>
        <v>0</v>
      </c>
      <c r="U108" s="41"/>
      <c r="V108" s="41"/>
      <c r="W108" s="3">
        <f t="shared" si="5"/>
        <v>0</v>
      </c>
      <c r="X108" s="3">
        <f t="shared" si="6"/>
        <v>0</v>
      </c>
      <c r="Y108" s="41"/>
      <c r="Z108" s="43"/>
      <c r="AA108" s="3">
        <f>TABL12345[[#This Row],[(RESV. STORGE) AJD]]/10</f>
        <v>0</v>
      </c>
      <c r="AB108" s="43">
        <f t="shared" si="7"/>
        <v>0</v>
      </c>
      <c r="AC108" s="5"/>
      <c r="AD108" s="39">
        <f>(TABL12345[[#This Row],[( S/S+T/B) AJD]]*1000)-((TABL12345[[#This Row],[(STORGE DIFF.) AJD]]*1000)+TABL12345[[#This Row],[البخر  AJD]]+(TABL12345[[#This Row],[(A/B + A/S) AJD]]*1000))</f>
        <v>0</v>
      </c>
      <c r="AE108" s="41"/>
      <c r="AF108" s="43"/>
      <c r="AG108" s="43"/>
      <c r="AH108" s="6">
        <f>TABL12345[[#This Row],[ (RESV. STORGE) BER]]/10</f>
        <v>0</v>
      </c>
      <c r="AI108" s="41"/>
      <c r="AJ108" s="41">
        <f>TABL12345[[#This Row],[(A/B TOT) AJD]]-TABL12345[[#This Row],[BER_ IN]]</f>
        <v>0</v>
      </c>
      <c r="AK108" s="43"/>
      <c r="AL108" s="43"/>
      <c r="AM108" s="32"/>
      <c r="AN108" s="32">
        <f>TABL12345[[#This Row],[ (RESV. STORGE) SER]]/10</f>
        <v>0</v>
      </c>
      <c r="AO108" s="68"/>
      <c r="AP108" s="68">
        <f>TABL12345[[#This Row],[(A/S TOT) AJD]]-TABL12345[[#This Row],[SER_ IN]]</f>
        <v>0</v>
      </c>
    </row>
    <row r="109" spans="1:42" ht="18.75" x14ac:dyDescent="0.25">
      <c r="A109" s="2">
        <v>47226</v>
      </c>
      <c r="B109" s="44"/>
      <c r="C109" s="44"/>
      <c r="D109" s="44"/>
      <c r="E109" s="44"/>
      <c r="F109" s="44"/>
      <c r="G109" s="40"/>
      <c r="H109" s="28"/>
      <c r="I109" s="40"/>
      <c r="J109" s="44"/>
      <c r="K109" s="28">
        <f>TABL12345[[#This Row],[خط (T/B  TOT) SAR]]+TABL12345[[#This Row],[خط (S/S  TOT) SAR2]]</f>
        <v>0</v>
      </c>
      <c r="L109" s="45"/>
      <c r="M109" s="46"/>
      <c r="N109" s="46"/>
      <c r="O109" s="40"/>
      <c r="P109" s="3">
        <f>TABL12345[[#This Row],[خط (S/S  TOT) SAR2]]-TABL12345[[#This Row],[(S/S TOT) AJD]]</f>
        <v>0</v>
      </c>
      <c r="Q109" s="40"/>
      <c r="R109" s="3">
        <f>TABL12345[[#This Row],[خط (T/B  TOT) SAR]]-TABL12345[[#This Row],[(T/B TOT) AJD]]</f>
        <v>0</v>
      </c>
      <c r="S109" s="3">
        <f>TABL12345[[#This Row],[الفرق بين بداية ونهاية خط  S/S]]+TABL12345[[#This Row],[الفرق بين بداية ونهاية خط  T/B]]</f>
        <v>0</v>
      </c>
      <c r="T109" s="3">
        <f t="shared" si="4"/>
        <v>0</v>
      </c>
      <c r="U109" s="44"/>
      <c r="V109" s="44"/>
      <c r="W109" s="3">
        <f t="shared" si="5"/>
        <v>0</v>
      </c>
      <c r="X109" s="3">
        <f t="shared" si="6"/>
        <v>0</v>
      </c>
      <c r="Y109" s="44"/>
      <c r="Z109" s="45"/>
      <c r="AA109" s="3">
        <f>TABL12345[[#This Row],[(RESV. STORGE) AJD]]/10</f>
        <v>0</v>
      </c>
      <c r="AB109" s="45">
        <f t="shared" si="7"/>
        <v>0</v>
      </c>
      <c r="AC109" s="5"/>
      <c r="AD109" s="40">
        <f>(TABL12345[[#This Row],[( S/S+T/B) AJD]]*1000)-((TABL12345[[#This Row],[(STORGE DIFF.) AJD]]*1000)+TABL12345[[#This Row],[البخر  AJD]]+(TABL12345[[#This Row],[(A/B + A/S) AJD]]*1000))</f>
        <v>0</v>
      </c>
      <c r="AE109" s="44"/>
      <c r="AF109" s="45"/>
      <c r="AG109" s="45"/>
      <c r="AH109" s="6">
        <f>TABL12345[[#This Row],[ (RESV. STORGE) BER]]/10</f>
        <v>0</v>
      </c>
      <c r="AI109" s="44"/>
      <c r="AJ109" s="44">
        <f>TABL12345[[#This Row],[(A/B TOT) AJD]]-TABL12345[[#This Row],[BER_ IN]]</f>
        <v>0</v>
      </c>
      <c r="AK109" s="45"/>
      <c r="AL109" s="45"/>
      <c r="AM109" s="32"/>
      <c r="AN109" s="32">
        <f>TABL12345[[#This Row],[ (RESV. STORGE) SER]]/10</f>
        <v>0</v>
      </c>
      <c r="AO109" s="68"/>
      <c r="AP109" s="68">
        <f>TABL12345[[#This Row],[(A/S TOT) AJD]]-TABL12345[[#This Row],[SER_ IN]]</f>
        <v>0</v>
      </c>
    </row>
    <row r="110" spans="1:42" ht="18.75" x14ac:dyDescent="0.25">
      <c r="A110" s="2">
        <v>47227</v>
      </c>
      <c r="B110" s="41"/>
      <c r="C110" s="41"/>
      <c r="D110" s="41"/>
      <c r="E110" s="41"/>
      <c r="F110" s="41"/>
      <c r="G110" s="39"/>
      <c r="H110" s="28"/>
      <c r="I110" s="39"/>
      <c r="J110" s="39"/>
      <c r="K110" s="28">
        <f>TABL12345[[#This Row],[خط (T/B  TOT) SAR]]+TABL12345[[#This Row],[خط (S/S  TOT) SAR2]]</f>
        <v>0</v>
      </c>
      <c r="L110" s="41"/>
      <c r="M110" s="42"/>
      <c r="N110" s="42"/>
      <c r="O110" s="39"/>
      <c r="P110" s="3">
        <f>TABL12345[[#This Row],[خط (S/S  TOT) SAR2]]-TABL12345[[#This Row],[(S/S TOT) AJD]]</f>
        <v>0</v>
      </c>
      <c r="Q110" s="39"/>
      <c r="R110" s="3">
        <f>TABL12345[[#This Row],[خط (T/B  TOT) SAR]]-TABL12345[[#This Row],[(T/B TOT) AJD]]</f>
        <v>0</v>
      </c>
      <c r="S110" s="3">
        <f>TABL12345[[#This Row],[الفرق بين بداية ونهاية خط  S/S]]+TABL12345[[#This Row],[الفرق بين بداية ونهاية خط  T/B]]</f>
        <v>0</v>
      </c>
      <c r="T110" s="3">
        <f t="shared" si="4"/>
        <v>0</v>
      </c>
      <c r="U110" s="41"/>
      <c r="V110" s="41"/>
      <c r="W110" s="3">
        <f t="shared" si="5"/>
        <v>0</v>
      </c>
      <c r="X110" s="3">
        <f t="shared" si="6"/>
        <v>0</v>
      </c>
      <c r="Y110" s="41"/>
      <c r="Z110" s="43"/>
      <c r="AA110" s="3">
        <f>TABL12345[[#This Row],[(RESV. STORGE) AJD]]/10</f>
        <v>0</v>
      </c>
      <c r="AB110" s="43">
        <f t="shared" si="7"/>
        <v>0</v>
      </c>
      <c r="AC110" s="5"/>
      <c r="AD110" s="39">
        <f>(TABL12345[[#This Row],[( S/S+T/B) AJD]]*1000)-((TABL12345[[#This Row],[(STORGE DIFF.) AJD]]*1000)+TABL12345[[#This Row],[البخر  AJD]]+(TABL12345[[#This Row],[(A/B + A/S) AJD]]*1000))</f>
        <v>0</v>
      </c>
      <c r="AE110" s="41"/>
      <c r="AF110" s="43"/>
      <c r="AG110" s="43"/>
      <c r="AH110" s="6">
        <f>TABL12345[[#This Row],[ (RESV. STORGE) BER]]/10</f>
        <v>0</v>
      </c>
      <c r="AI110" s="41"/>
      <c r="AJ110" s="41">
        <f>TABL12345[[#This Row],[(A/B TOT) AJD]]-TABL12345[[#This Row],[BER_ IN]]</f>
        <v>0</v>
      </c>
      <c r="AK110" s="43"/>
      <c r="AL110" s="43"/>
      <c r="AM110" s="32"/>
      <c r="AN110" s="32">
        <f>TABL12345[[#This Row],[ (RESV. STORGE) SER]]/10</f>
        <v>0</v>
      </c>
      <c r="AO110" s="68"/>
      <c r="AP110" s="68">
        <f>TABL12345[[#This Row],[(A/S TOT) AJD]]-TABL12345[[#This Row],[SER_ IN]]</f>
        <v>0</v>
      </c>
    </row>
    <row r="111" spans="1:42" ht="18.75" x14ac:dyDescent="0.25">
      <c r="A111" s="2">
        <v>47228</v>
      </c>
      <c r="B111" s="44"/>
      <c r="C111" s="44"/>
      <c r="D111" s="44"/>
      <c r="E111" s="44"/>
      <c r="F111" s="44"/>
      <c r="G111" s="40"/>
      <c r="H111" s="28"/>
      <c r="I111" s="40"/>
      <c r="J111" s="44"/>
      <c r="K111" s="28">
        <f>TABL12345[[#This Row],[خط (T/B  TOT) SAR]]+TABL12345[[#This Row],[خط (S/S  TOT) SAR2]]</f>
        <v>0</v>
      </c>
      <c r="L111" s="45"/>
      <c r="M111" s="46"/>
      <c r="N111" s="46"/>
      <c r="O111" s="40"/>
      <c r="P111" s="3">
        <f>TABL12345[[#This Row],[خط (S/S  TOT) SAR2]]-TABL12345[[#This Row],[(S/S TOT) AJD]]</f>
        <v>0</v>
      </c>
      <c r="Q111" s="40"/>
      <c r="R111" s="3">
        <f>TABL12345[[#This Row],[خط (T/B  TOT) SAR]]-TABL12345[[#This Row],[(T/B TOT) AJD]]</f>
        <v>0</v>
      </c>
      <c r="S111" s="3">
        <f>TABL12345[[#This Row],[الفرق بين بداية ونهاية خط  S/S]]+TABL12345[[#This Row],[الفرق بين بداية ونهاية خط  T/B]]</f>
        <v>0</v>
      </c>
      <c r="T111" s="3">
        <f t="shared" si="4"/>
        <v>0</v>
      </c>
      <c r="U111" s="44"/>
      <c r="V111" s="44"/>
      <c r="W111" s="3">
        <f t="shared" si="5"/>
        <v>0</v>
      </c>
      <c r="X111" s="3">
        <f t="shared" si="6"/>
        <v>0</v>
      </c>
      <c r="Y111" s="44"/>
      <c r="Z111" s="45"/>
      <c r="AA111" s="3">
        <f>TABL12345[[#This Row],[(RESV. STORGE) AJD]]/10</f>
        <v>0</v>
      </c>
      <c r="AB111" s="45">
        <f t="shared" si="7"/>
        <v>0</v>
      </c>
      <c r="AC111" s="5"/>
      <c r="AD111" s="40">
        <f>(TABL12345[[#This Row],[( S/S+T/B) AJD]]*1000)-((TABL12345[[#This Row],[(STORGE DIFF.) AJD]]*1000)+TABL12345[[#This Row],[البخر  AJD]]+(TABL12345[[#This Row],[(A/B + A/S) AJD]]*1000))</f>
        <v>0</v>
      </c>
      <c r="AE111" s="44"/>
      <c r="AF111" s="45"/>
      <c r="AG111" s="45"/>
      <c r="AH111" s="6">
        <f>TABL12345[[#This Row],[ (RESV. STORGE) BER]]/10</f>
        <v>0</v>
      </c>
      <c r="AI111" s="44"/>
      <c r="AJ111" s="44">
        <f>TABL12345[[#This Row],[(A/B TOT) AJD]]-TABL12345[[#This Row],[BER_ IN]]</f>
        <v>0</v>
      </c>
      <c r="AK111" s="45"/>
      <c r="AL111" s="45"/>
      <c r="AM111" s="32"/>
      <c r="AN111" s="32">
        <f>TABL12345[[#This Row],[ (RESV. STORGE) SER]]/10</f>
        <v>0</v>
      </c>
      <c r="AO111" s="68"/>
      <c r="AP111" s="68">
        <f>TABL12345[[#This Row],[(A/S TOT) AJD]]-TABL12345[[#This Row],[SER_ IN]]</f>
        <v>0</v>
      </c>
    </row>
    <row r="112" spans="1:42" ht="18.75" x14ac:dyDescent="0.25">
      <c r="A112" s="2">
        <v>47229</v>
      </c>
      <c r="B112" s="41"/>
      <c r="C112" s="41"/>
      <c r="D112" s="41"/>
      <c r="E112" s="41"/>
      <c r="F112" s="41"/>
      <c r="G112" s="39"/>
      <c r="H112" s="28"/>
      <c r="I112" s="39"/>
      <c r="J112" s="39"/>
      <c r="K112" s="28">
        <f>TABL12345[[#This Row],[خط (T/B  TOT) SAR]]+TABL12345[[#This Row],[خط (S/S  TOT) SAR2]]</f>
        <v>0</v>
      </c>
      <c r="L112" s="41"/>
      <c r="M112" s="42"/>
      <c r="N112" s="42"/>
      <c r="O112" s="39"/>
      <c r="P112" s="3">
        <f>TABL12345[[#This Row],[خط (S/S  TOT) SAR2]]-TABL12345[[#This Row],[(S/S TOT) AJD]]</f>
        <v>0</v>
      </c>
      <c r="Q112" s="39"/>
      <c r="R112" s="3">
        <f>TABL12345[[#This Row],[خط (T/B  TOT) SAR]]-TABL12345[[#This Row],[(T/B TOT) AJD]]</f>
        <v>0</v>
      </c>
      <c r="S112" s="3">
        <f>TABL12345[[#This Row],[الفرق بين بداية ونهاية خط  S/S]]+TABL12345[[#This Row],[الفرق بين بداية ونهاية خط  T/B]]</f>
        <v>0</v>
      </c>
      <c r="T112" s="3">
        <f t="shared" si="4"/>
        <v>0</v>
      </c>
      <c r="U112" s="41"/>
      <c r="V112" s="41"/>
      <c r="W112" s="3">
        <f t="shared" si="5"/>
        <v>0</v>
      </c>
      <c r="X112" s="3">
        <f t="shared" si="6"/>
        <v>0</v>
      </c>
      <c r="Y112" s="41"/>
      <c r="Z112" s="43"/>
      <c r="AA112" s="3">
        <f>TABL12345[[#This Row],[(RESV. STORGE) AJD]]/10</f>
        <v>0</v>
      </c>
      <c r="AB112" s="43">
        <f t="shared" si="7"/>
        <v>0</v>
      </c>
      <c r="AC112" s="5"/>
      <c r="AD112" s="39">
        <f>(TABL12345[[#This Row],[( S/S+T/B) AJD]]*1000)-((TABL12345[[#This Row],[(STORGE DIFF.) AJD]]*1000)+TABL12345[[#This Row],[البخر  AJD]]+(TABL12345[[#This Row],[(A/B + A/S) AJD]]*1000))</f>
        <v>0</v>
      </c>
      <c r="AE112" s="41"/>
      <c r="AF112" s="43"/>
      <c r="AG112" s="43"/>
      <c r="AH112" s="6">
        <f>TABL12345[[#This Row],[ (RESV. STORGE) BER]]/10</f>
        <v>0</v>
      </c>
      <c r="AI112" s="41"/>
      <c r="AJ112" s="41">
        <f>TABL12345[[#This Row],[(A/B TOT) AJD]]-TABL12345[[#This Row],[BER_ IN]]</f>
        <v>0</v>
      </c>
      <c r="AK112" s="43"/>
      <c r="AL112" s="43"/>
      <c r="AM112" s="32"/>
      <c r="AN112" s="32">
        <f>TABL12345[[#This Row],[ (RESV. STORGE) SER]]/10</f>
        <v>0</v>
      </c>
      <c r="AO112" s="68"/>
      <c r="AP112" s="68">
        <f>TABL12345[[#This Row],[(A/S TOT) AJD]]-TABL12345[[#This Row],[SER_ IN]]</f>
        <v>0</v>
      </c>
    </row>
    <row r="113" spans="1:42" ht="18.75" x14ac:dyDescent="0.25">
      <c r="A113" s="2">
        <v>47230</v>
      </c>
      <c r="B113" s="44"/>
      <c r="C113" s="44"/>
      <c r="D113" s="44"/>
      <c r="E113" s="44"/>
      <c r="F113" s="44"/>
      <c r="G113" s="40"/>
      <c r="H113" s="28"/>
      <c r="I113" s="40"/>
      <c r="J113" s="44"/>
      <c r="K113" s="28">
        <f>TABL12345[[#This Row],[خط (T/B  TOT) SAR]]+TABL12345[[#This Row],[خط (S/S  TOT) SAR2]]</f>
        <v>0</v>
      </c>
      <c r="L113" s="45"/>
      <c r="M113" s="46"/>
      <c r="N113" s="46"/>
      <c r="O113" s="40"/>
      <c r="P113" s="3">
        <f>TABL12345[[#This Row],[خط (S/S  TOT) SAR2]]-TABL12345[[#This Row],[(S/S TOT) AJD]]</f>
        <v>0</v>
      </c>
      <c r="Q113" s="40"/>
      <c r="R113" s="3">
        <f>TABL12345[[#This Row],[خط (T/B  TOT) SAR]]-TABL12345[[#This Row],[(T/B TOT) AJD]]</f>
        <v>0</v>
      </c>
      <c r="S113" s="3">
        <f>TABL12345[[#This Row],[الفرق بين بداية ونهاية خط  S/S]]+TABL12345[[#This Row],[الفرق بين بداية ونهاية خط  T/B]]</f>
        <v>0</v>
      </c>
      <c r="T113" s="3">
        <f t="shared" si="4"/>
        <v>0</v>
      </c>
      <c r="U113" s="44"/>
      <c r="V113" s="44"/>
      <c r="W113" s="3">
        <f t="shared" si="5"/>
        <v>0</v>
      </c>
      <c r="X113" s="3">
        <f t="shared" si="6"/>
        <v>0</v>
      </c>
      <c r="Y113" s="44"/>
      <c r="Z113" s="45"/>
      <c r="AA113" s="3">
        <f>TABL12345[[#This Row],[(RESV. STORGE) AJD]]/10</f>
        <v>0</v>
      </c>
      <c r="AB113" s="45">
        <f t="shared" si="7"/>
        <v>0</v>
      </c>
      <c r="AC113" s="5"/>
      <c r="AD113" s="40">
        <f>(TABL12345[[#This Row],[( S/S+T/B) AJD]]*1000)-((TABL12345[[#This Row],[(STORGE DIFF.) AJD]]*1000)+TABL12345[[#This Row],[البخر  AJD]]+(TABL12345[[#This Row],[(A/B + A/S) AJD]]*1000))</f>
        <v>0</v>
      </c>
      <c r="AE113" s="44"/>
      <c r="AF113" s="45"/>
      <c r="AG113" s="45"/>
      <c r="AH113" s="6">
        <f>TABL12345[[#This Row],[ (RESV. STORGE) BER]]/10</f>
        <v>0</v>
      </c>
      <c r="AI113" s="44"/>
      <c r="AJ113" s="44">
        <f>TABL12345[[#This Row],[(A/B TOT) AJD]]-TABL12345[[#This Row],[BER_ IN]]</f>
        <v>0</v>
      </c>
      <c r="AK113" s="45"/>
      <c r="AL113" s="45"/>
      <c r="AM113" s="32"/>
      <c r="AN113" s="32">
        <f>TABL12345[[#This Row],[ (RESV. STORGE) SER]]/10</f>
        <v>0</v>
      </c>
      <c r="AO113" s="68"/>
      <c r="AP113" s="68">
        <f>TABL12345[[#This Row],[(A/S TOT) AJD]]-TABL12345[[#This Row],[SER_ IN]]</f>
        <v>0</v>
      </c>
    </row>
    <row r="114" spans="1:42" ht="18.75" x14ac:dyDescent="0.25">
      <c r="A114" s="2">
        <v>47231</v>
      </c>
      <c r="B114" s="41"/>
      <c r="C114" s="41"/>
      <c r="D114" s="41"/>
      <c r="E114" s="41"/>
      <c r="F114" s="41"/>
      <c r="G114" s="39"/>
      <c r="H114" s="28"/>
      <c r="I114" s="39"/>
      <c r="J114" s="39"/>
      <c r="K114" s="28">
        <f>TABL12345[[#This Row],[خط (T/B  TOT) SAR]]+TABL12345[[#This Row],[خط (S/S  TOT) SAR2]]</f>
        <v>0</v>
      </c>
      <c r="L114" s="41"/>
      <c r="M114" s="42"/>
      <c r="N114" s="42"/>
      <c r="O114" s="39"/>
      <c r="P114" s="3">
        <f>TABL12345[[#This Row],[خط (S/S  TOT) SAR2]]-TABL12345[[#This Row],[(S/S TOT) AJD]]</f>
        <v>0</v>
      </c>
      <c r="Q114" s="39"/>
      <c r="R114" s="3">
        <f>TABL12345[[#This Row],[خط (T/B  TOT) SAR]]-TABL12345[[#This Row],[(T/B TOT) AJD]]</f>
        <v>0</v>
      </c>
      <c r="S114" s="3">
        <f>TABL12345[[#This Row],[الفرق بين بداية ونهاية خط  S/S]]+TABL12345[[#This Row],[الفرق بين بداية ونهاية خط  T/B]]</f>
        <v>0</v>
      </c>
      <c r="T114" s="3">
        <f t="shared" si="4"/>
        <v>0</v>
      </c>
      <c r="U114" s="41"/>
      <c r="V114" s="41"/>
      <c r="W114" s="3">
        <f t="shared" si="5"/>
        <v>0</v>
      </c>
      <c r="X114" s="3">
        <f t="shared" si="6"/>
        <v>0</v>
      </c>
      <c r="Y114" s="41"/>
      <c r="Z114" s="43"/>
      <c r="AA114" s="3">
        <f>TABL12345[[#This Row],[(RESV. STORGE) AJD]]/10</f>
        <v>0</v>
      </c>
      <c r="AB114" s="43">
        <f t="shared" si="7"/>
        <v>0</v>
      </c>
      <c r="AC114" s="5"/>
      <c r="AD114" s="39">
        <f>(TABL12345[[#This Row],[( S/S+T/B) AJD]]*1000)-((TABL12345[[#This Row],[(STORGE DIFF.) AJD]]*1000)+TABL12345[[#This Row],[البخر  AJD]]+(TABL12345[[#This Row],[(A/B + A/S) AJD]]*1000))</f>
        <v>0</v>
      </c>
      <c r="AE114" s="41"/>
      <c r="AF114" s="43"/>
      <c r="AG114" s="43"/>
      <c r="AH114" s="6">
        <f>TABL12345[[#This Row],[ (RESV. STORGE) BER]]/10</f>
        <v>0</v>
      </c>
      <c r="AI114" s="41"/>
      <c r="AJ114" s="41">
        <f>TABL12345[[#This Row],[(A/B TOT) AJD]]-TABL12345[[#This Row],[BER_ IN]]</f>
        <v>0</v>
      </c>
      <c r="AK114" s="43"/>
      <c r="AL114" s="43"/>
      <c r="AM114" s="32"/>
      <c r="AN114" s="32">
        <f>TABL12345[[#This Row],[ (RESV. STORGE) SER]]/10</f>
        <v>0</v>
      </c>
      <c r="AO114" s="68"/>
      <c r="AP114" s="68">
        <f>TABL12345[[#This Row],[(A/S TOT) AJD]]-TABL12345[[#This Row],[SER_ IN]]</f>
        <v>0</v>
      </c>
    </row>
    <row r="115" spans="1:42" ht="18.75" x14ac:dyDescent="0.25">
      <c r="A115" s="2">
        <v>47232</v>
      </c>
      <c r="B115" s="44"/>
      <c r="C115" s="44"/>
      <c r="D115" s="44"/>
      <c r="E115" s="44"/>
      <c r="F115" s="44"/>
      <c r="G115" s="40"/>
      <c r="H115" s="28"/>
      <c r="I115" s="40"/>
      <c r="J115" s="44"/>
      <c r="K115" s="28">
        <f>TABL12345[[#This Row],[خط (T/B  TOT) SAR]]+TABL12345[[#This Row],[خط (S/S  TOT) SAR2]]</f>
        <v>0</v>
      </c>
      <c r="L115" s="45"/>
      <c r="M115" s="46"/>
      <c r="N115" s="46"/>
      <c r="O115" s="40"/>
      <c r="P115" s="3">
        <f>TABL12345[[#This Row],[خط (S/S  TOT) SAR2]]-TABL12345[[#This Row],[(S/S TOT) AJD]]</f>
        <v>0</v>
      </c>
      <c r="Q115" s="40"/>
      <c r="R115" s="3">
        <f>TABL12345[[#This Row],[خط (T/B  TOT) SAR]]-TABL12345[[#This Row],[(T/B TOT) AJD]]</f>
        <v>0</v>
      </c>
      <c r="S115" s="3">
        <f>TABL12345[[#This Row],[الفرق بين بداية ونهاية خط  S/S]]+TABL12345[[#This Row],[الفرق بين بداية ونهاية خط  T/B]]</f>
        <v>0</v>
      </c>
      <c r="T115" s="3">
        <f t="shared" si="4"/>
        <v>0</v>
      </c>
      <c r="U115" s="44"/>
      <c r="V115" s="44"/>
      <c r="W115" s="3">
        <f t="shared" si="5"/>
        <v>0</v>
      </c>
      <c r="X115" s="3">
        <f t="shared" si="6"/>
        <v>0</v>
      </c>
      <c r="Y115" s="44"/>
      <c r="Z115" s="45"/>
      <c r="AA115" s="3">
        <f>TABL12345[[#This Row],[(RESV. STORGE) AJD]]/10</f>
        <v>0</v>
      </c>
      <c r="AB115" s="45">
        <f t="shared" si="7"/>
        <v>0</v>
      </c>
      <c r="AC115" s="5"/>
      <c r="AD115" s="40">
        <f>(TABL12345[[#This Row],[( S/S+T/B) AJD]]*1000)-((TABL12345[[#This Row],[(STORGE DIFF.) AJD]]*1000)+TABL12345[[#This Row],[البخر  AJD]]+(TABL12345[[#This Row],[(A/B + A/S) AJD]]*1000))</f>
        <v>0</v>
      </c>
      <c r="AE115" s="44"/>
      <c r="AF115" s="45"/>
      <c r="AG115" s="45"/>
      <c r="AH115" s="6">
        <f>TABL12345[[#This Row],[ (RESV. STORGE) BER]]/10</f>
        <v>0</v>
      </c>
      <c r="AI115" s="44"/>
      <c r="AJ115" s="44">
        <f>TABL12345[[#This Row],[(A/B TOT) AJD]]-TABL12345[[#This Row],[BER_ IN]]</f>
        <v>0</v>
      </c>
      <c r="AK115" s="45"/>
      <c r="AL115" s="45"/>
      <c r="AM115" s="32"/>
      <c r="AN115" s="32">
        <f>TABL12345[[#This Row],[ (RESV. STORGE) SER]]/10</f>
        <v>0</v>
      </c>
      <c r="AO115" s="68"/>
      <c r="AP115" s="68">
        <f>TABL12345[[#This Row],[(A/S TOT) AJD]]-TABL12345[[#This Row],[SER_ IN]]</f>
        <v>0</v>
      </c>
    </row>
    <row r="116" spans="1:42" ht="18.75" x14ac:dyDescent="0.25">
      <c r="A116" s="2">
        <v>47233</v>
      </c>
      <c r="B116" s="41"/>
      <c r="C116" s="41"/>
      <c r="D116" s="41"/>
      <c r="E116" s="41"/>
      <c r="F116" s="41"/>
      <c r="G116" s="39"/>
      <c r="H116" s="28"/>
      <c r="I116" s="39"/>
      <c r="J116" s="39"/>
      <c r="K116" s="28">
        <f>TABL12345[[#This Row],[خط (T/B  TOT) SAR]]+TABL12345[[#This Row],[خط (S/S  TOT) SAR2]]</f>
        <v>0</v>
      </c>
      <c r="L116" s="41"/>
      <c r="M116" s="42"/>
      <c r="N116" s="42"/>
      <c r="O116" s="39"/>
      <c r="P116" s="3">
        <f>TABL12345[[#This Row],[خط (S/S  TOT) SAR2]]-TABL12345[[#This Row],[(S/S TOT) AJD]]</f>
        <v>0</v>
      </c>
      <c r="Q116" s="39"/>
      <c r="R116" s="3">
        <f>TABL12345[[#This Row],[خط (T/B  TOT) SAR]]-TABL12345[[#This Row],[(T/B TOT) AJD]]</f>
        <v>0</v>
      </c>
      <c r="S116" s="3">
        <f>TABL12345[[#This Row],[الفرق بين بداية ونهاية خط  S/S]]+TABL12345[[#This Row],[الفرق بين بداية ونهاية خط  T/B]]</f>
        <v>0</v>
      </c>
      <c r="T116" s="3">
        <f t="shared" si="4"/>
        <v>0</v>
      </c>
      <c r="U116" s="41"/>
      <c r="V116" s="41"/>
      <c r="W116" s="3">
        <f t="shared" si="5"/>
        <v>0</v>
      </c>
      <c r="X116" s="3">
        <f t="shared" si="6"/>
        <v>0</v>
      </c>
      <c r="Y116" s="41"/>
      <c r="Z116" s="43"/>
      <c r="AA116" s="3">
        <f>TABL12345[[#This Row],[(RESV. STORGE) AJD]]/10</f>
        <v>0</v>
      </c>
      <c r="AB116" s="43">
        <f t="shared" si="7"/>
        <v>0</v>
      </c>
      <c r="AC116" s="5"/>
      <c r="AD116" s="39">
        <f>(TABL12345[[#This Row],[( S/S+T/B) AJD]]*1000)-((TABL12345[[#This Row],[(STORGE DIFF.) AJD]]*1000)+TABL12345[[#This Row],[البخر  AJD]]+(TABL12345[[#This Row],[(A/B + A/S) AJD]]*1000))</f>
        <v>0</v>
      </c>
      <c r="AE116" s="41"/>
      <c r="AF116" s="43"/>
      <c r="AG116" s="43"/>
      <c r="AH116" s="6">
        <f>TABL12345[[#This Row],[ (RESV. STORGE) BER]]/10</f>
        <v>0</v>
      </c>
      <c r="AI116" s="41"/>
      <c r="AJ116" s="41">
        <f>TABL12345[[#This Row],[(A/B TOT) AJD]]-TABL12345[[#This Row],[BER_ IN]]</f>
        <v>0</v>
      </c>
      <c r="AK116" s="43"/>
      <c r="AL116" s="43"/>
      <c r="AM116" s="32"/>
      <c r="AN116" s="32">
        <f>TABL12345[[#This Row],[ (RESV. STORGE) SER]]/10</f>
        <v>0</v>
      </c>
      <c r="AO116" s="68"/>
      <c r="AP116" s="68">
        <f>TABL12345[[#This Row],[(A/S TOT) AJD]]-TABL12345[[#This Row],[SER_ IN]]</f>
        <v>0</v>
      </c>
    </row>
    <row r="117" spans="1:42" ht="18.75" x14ac:dyDescent="0.25">
      <c r="A117" s="2">
        <v>47234</v>
      </c>
      <c r="B117" s="44"/>
      <c r="C117" s="67"/>
      <c r="D117" s="44"/>
      <c r="E117" s="44"/>
      <c r="F117" s="44"/>
      <c r="G117" s="40"/>
      <c r="H117" s="28"/>
      <c r="I117" s="40"/>
      <c r="J117" s="44"/>
      <c r="K117" s="28">
        <f>TABL12345[[#This Row],[خط (T/B  TOT) SAR]]+TABL12345[[#This Row],[خط (S/S  TOT) SAR2]]</f>
        <v>0</v>
      </c>
      <c r="L117" s="45"/>
      <c r="M117" s="46"/>
      <c r="N117" s="46"/>
      <c r="O117" s="40"/>
      <c r="P117" s="3">
        <f>TABL12345[[#This Row],[خط (S/S  TOT) SAR2]]-TABL12345[[#This Row],[(S/S TOT) AJD]]</f>
        <v>0</v>
      </c>
      <c r="Q117" s="40"/>
      <c r="R117" s="3">
        <f>TABL12345[[#This Row],[خط (T/B  TOT) SAR]]-TABL12345[[#This Row],[(T/B TOT) AJD]]</f>
        <v>0</v>
      </c>
      <c r="S117" s="3">
        <f>TABL12345[[#This Row],[الفرق بين بداية ونهاية خط  S/S]]+TABL12345[[#This Row],[الفرق بين بداية ونهاية خط  T/B]]</f>
        <v>0</v>
      </c>
      <c r="T117" s="3">
        <f t="shared" si="4"/>
        <v>0</v>
      </c>
      <c r="U117" s="44"/>
      <c r="V117" s="44"/>
      <c r="W117" s="3">
        <f t="shared" si="5"/>
        <v>0</v>
      </c>
      <c r="X117" s="3">
        <f t="shared" si="6"/>
        <v>0</v>
      </c>
      <c r="Y117" s="44"/>
      <c r="Z117" s="45"/>
      <c r="AA117" s="3">
        <f>TABL12345[[#This Row],[(RESV. STORGE) AJD]]/10</f>
        <v>0</v>
      </c>
      <c r="AB117" s="45">
        <f t="shared" si="7"/>
        <v>0</v>
      </c>
      <c r="AC117" s="5"/>
      <c r="AD117" s="40">
        <f>(TABL12345[[#This Row],[( S/S+T/B) AJD]]*1000)-((TABL12345[[#This Row],[(STORGE DIFF.) AJD]]*1000)+TABL12345[[#This Row],[البخر  AJD]]+(TABL12345[[#This Row],[(A/B + A/S) AJD]]*1000))</f>
        <v>0</v>
      </c>
      <c r="AE117" s="44"/>
      <c r="AF117" s="45"/>
      <c r="AG117" s="45"/>
      <c r="AH117" s="6">
        <f>TABL12345[[#This Row],[ (RESV. STORGE) BER]]/10</f>
        <v>0</v>
      </c>
      <c r="AI117" s="44"/>
      <c r="AJ117" s="44">
        <f>TABL12345[[#This Row],[(A/B TOT) AJD]]-TABL12345[[#This Row],[BER_ IN]]</f>
        <v>0</v>
      </c>
      <c r="AK117" s="45"/>
      <c r="AL117" s="45"/>
      <c r="AM117" s="32"/>
      <c r="AN117" s="32">
        <f>TABL12345[[#This Row],[ (RESV. STORGE) SER]]/10</f>
        <v>0</v>
      </c>
      <c r="AO117" s="68"/>
      <c r="AP117" s="68">
        <f>TABL12345[[#This Row],[(A/S TOT) AJD]]-TABL12345[[#This Row],[SER_ IN]]</f>
        <v>0</v>
      </c>
    </row>
    <row r="118" spans="1:42" ht="18.75" x14ac:dyDescent="0.25">
      <c r="A118" s="2">
        <v>47235</v>
      </c>
      <c r="B118" s="41"/>
      <c r="C118" s="41"/>
      <c r="D118" s="41"/>
      <c r="E118" s="41"/>
      <c r="F118" s="41"/>
      <c r="G118" s="39"/>
      <c r="H118" s="28"/>
      <c r="I118" s="39"/>
      <c r="J118" s="39"/>
      <c r="K118" s="28">
        <f>TABL12345[[#This Row],[خط (T/B  TOT) SAR]]+TABL12345[[#This Row],[خط (S/S  TOT) SAR2]]</f>
        <v>0</v>
      </c>
      <c r="L118" s="41"/>
      <c r="M118" s="42"/>
      <c r="N118" s="42"/>
      <c r="O118" s="39"/>
      <c r="P118" s="3">
        <f>TABL12345[[#This Row],[خط (S/S  TOT) SAR2]]-TABL12345[[#This Row],[(S/S TOT) AJD]]</f>
        <v>0</v>
      </c>
      <c r="Q118" s="39"/>
      <c r="R118" s="3">
        <f>TABL12345[[#This Row],[خط (T/B  TOT) SAR]]-TABL12345[[#This Row],[(T/B TOT) AJD]]</f>
        <v>0</v>
      </c>
      <c r="S118" s="3">
        <f>TABL12345[[#This Row],[الفرق بين بداية ونهاية خط  S/S]]+TABL12345[[#This Row],[الفرق بين بداية ونهاية خط  T/B]]</f>
        <v>0</v>
      </c>
      <c r="T118" s="3">
        <f t="shared" si="4"/>
        <v>0</v>
      </c>
      <c r="U118" s="41"/>
      <c r="V118" s="41"/>
      <c r="W118" s="3">
        <f t="shared" si="5"/>
        <v>0</v>
      </c>
      <c r="X118" s="3">
        <f t="shared" si="6"/>
        <v>0</v>
      </c>
      <c r="Y118" s="41"/>
      <c r="Z118" s="43"/>
      <c r="AA118" s="3">
        <f>TABL12345[[#This Row],[(RESV. STORGE) AJD]]/10</f>
        <v>0</v>
      </c>
      <c r="AB118" s="43">
        <f t="shared" si="7"/>
        <v>0</v>
      </c>
      <c r="AC118" s="5"/>
      <c r="AD118" s="39">
        <f>(TABL12345[[#This Row],[( S/S+T/B) AJD]]*1000)-((TABL12345[[#This Row],[(STORGE DIFF.) AJD]]*1000)+TABL12345[[#This Row],[البخر  AJD]]+(TABL12345[[#This Row],[(A/B + A/S) AJD]]*1000))</f>
        <v>0</v>
      </c>
      <c r="AE118" s="41"/>
      <c r="AF118" s="43"/>
      <c r="AG118" s="43"/>
      <c r="AH118" s="6">
        <f>TABL12345[[#This Row],[ (RESV. STORGE) BER]]/10</f>
        <v>0</v>
      </c>
      <c r="AI118" s="41"/>
      <c r="AJ118" s="41">
        <f>TABL12345[[#This Row],[(A/B TOT) AJD]]-TABL12345[[#This Row],[BER_ IN]]</f>
        <v>0</v>
      </c>
      <c r="AK118" s="43"/>
      <c r="AL118" s="43"/>
      <c r="AM118" s="32"/>
      <c r="AN118" s="32">
        <f>TABL12345[[#This Row],[ (RESV. STORGE) SER]]/10</f>
        <v>0</v>
      </c>
      <c r="AO118" s="68"/>
      <c r="AP118" s="68">
        <f>TABL12345[[#This Row],[(A/S TOT) AJD]]-TABL12345[[#This Row],[SER_ IN]]</f>
        <v>0</v>
      </c>
    </row>
    <row r="119" spans="1:42" ht="18.75" x14ac:dyDescent="0.25">
      <c r="A119" s="2">
        <v>47236</v>
      </c>
      <c r="B119" s="44"/>
      <c r="C119" s="44"/>
      <c r="D119" s="44"/>
      <c r="E119" s="44"/>
      <c r="F119" s="44"/>
      <c r="G119" s="40"/>
      <c r="H119" s="28"/>
      <c r="I119" s="40"/>
      <c r="J119" s="44"/>
      <c r="K119" s="28">
        <f>TABL12345[[#This Row],[خط (T/B  TOT) SAR]]+TABL12345[[#This Row],[خط (S/S  TOT) SAR2]]</f>
        <v>0</v>
      </c>
      <c r="L119" s="45"/>
      <c r="M119" s="46"/>
      <c r="N119" s="46"/>
      <c r="O119" s="40"/>
      <c r="P119" s="3">
        <f>TABL12345[[#This Row],[خط (S/S  TOT) SAR2]]-TABL12345[[#This Row],[(S/S TOT) AJD]]</f>
        <v>0</v>
      </c>
      <c r="Q119" s="40"/>
      <c r="R119" s="3">
        <f>TABL12345[[#This Row],[خط (T/B  TOT) SAR]]-TABL12345[[#This Row],[(T/B TOT) AJD]]</f>
        <v>0</v>
      </c>
      <c r="S119" s="3">
        <f>TABL12345[[#This Row],[الفرق بين بداية ونهاية خط  S/S]]+TABL12345[[#This Row],[الفرق بين بداية ونهاية خط  T/B]]</f>
        <v>0</v>
      </c>
      <c r="T119" s="3">
        <f t="shared" si="4"/>
        <v>0</v>
      </c>
      <c r="U119" s="44"/>
      <c r="V119" s="44"/>
      <c r="W119" s="3">
        <f t="shared" si="5"/>
        <v>0</v>
      </c>
      <c r="X119" s="3">
        <f t="shared" si="6"/>
        <v>0</v>
      </c>
      <c r="Y119" s="44"/>
      <c r="Z119" s="45"/>
      <c r="AA119" s="3">
        <f>TABL12345[[#This Row],[(RESV. STORGE) AJD]]/10</f>
        <v>0</v>
      </c>
      <c r="AB119" s="45">
        <f t="shared" si="7"/>
        <v>0</v>
      </c>
      <c r="AC119" s="5"/>
      <c r="AD119" s="40">
        <f>(TABL12345[[#This Row],[( S/S+T/B) AJD]]*1000)-((TABL12345[[#This Row],[(STORGE DIFF.) AJD]]*1000)+TABL12345[[#This Row],[البخر  AJD]]+(TABL12345[[#This Row],[(A/B + A/S) AJD]]*1000))</f>
        <v>0</v>
      </c>
      <c r="AE119" s="44"/>
      <c r="AF119" s="45"/>
      <c r="AG119" s="45"/>
      <c r="AH119" s="6">
        <f>TABL12345[[#This Row],[ (RESV. STORGE) BER]]/10</f>
        <v>0</v>
      </c>
      <c r="AI119" s="44"/>
      <c r="AJ119" s="44">
        <f>TABL12345[[#This Row],[(A/B TOT) AJD]]-TABL12345[[#This Row],[BER_ IN]]</f>
        <v>0</v>
      </c>
      <c r="AK119" s="45"/>
      <c r="AL119" s="45"/>
      <c r="AM119" s="32"/>
      <c r="AN119" s="32">
        <f>TABL12345[[#This Row],[ (RESV. STORGE) SER]]/10</f>
        <v>0</v>
      </c>
      <c r="AO119" s="68"/>
      <c r="AP119" s="68">
        <f>TABL12345[[#This Row],[(A/S TOT) AJD]]-TABL12345[[#This Row],[SER_ IN]]</f>
        <v>0</v>
      </c>
    </row>
    <row r="120" spans="1:42" ht="18.75" x14ac:dyDescent="0.25">
      <c r="A120" s="2">
        <v>47237</v>
      </c>
      <c r="B120" s="41"/>
      <c r="C120" s="41"/>
      <c r="D120" s="41"/>
      <c r="E120" s="41"/>
      <c r="F120" s="41"/>
      <c r="G120" s="39"/>
      <c r="H120" s="28"/>
      <c r="I120" s="39"/>
      <c r="J120" s="39"/>
      <c r="K120" s="28">
        <f>TABL12345[[#This Row],[خط (T/B  TOT) SAR]]+TABL12345[[#This Row],[خط (S/S  TOT) SAR2]]</f>
        <v>0</v>
      </c>
      <c r="L120" s="41"/>
      <c r="M120" s="42"/>
      <c r="N120" s="42"/>
      <c r="O120" s="39"/>
      <c r="P120" s="3">
        <f>TABL12345[[#This Row],[خط (S/S  TOT) SAR2]]-TABL12345[[#This Row],[(S/S TOT) AJD]]</f>
        <v>0</v>
      </c>
      <c r="Q120" s="39"/>
      <c r="R120" s="3">
        <f>TABL12345[[#This Row],[خط (T/B  TOT) SAR]]-TABL12345[[#This Row],[(T/B TOT) AJD]]</f>
        <v>0</v>
      </c>
      <c r="S120" s="3">
        <f>TABL12345[[#This Row],[الفرق بين بداية ونهاية خط  S/S]]+TABL12345[[#This Row],[الفرق بين بداية ونهاية خط  T/B]]</f>
        <v>0</v>
      </c>
      <c r="T120" s="3">
        <f t="shared" si="4"/>
        <v>0</v>
      </c>
      <c r="U120" s="41"/>
      <c r="V120" s="41"/>
      <c r="W120" s="3">
        <f t="shared" si="5"/>
        <v>0</v>
      </c>
      <c r="X120" s="3">
        <f t="shared" si="6"/>
        <v>0</v>
      </c>
      <c r="Y120" s="41"/>
      <c r="Z120" s="43"/>
      <c r="AA120" s="3">
        <f>TABL12345[[#This Row],[(RESV. STORGE) AJD]]/10</f>
        <v>0</v>
      </c>
      <c r="AB120" s="43">
        <f t="shared" si="7"/>
        <v>0</v>
      </c>
      <c r="AC120" s="5"/>
      <c r="AD120" s="39">
        <f>(TABL12345[[#This Row],[( S/S+T/B) AJD]]*1000)-((TABL12345[[#This Row],[(STORGE DIFF.) AJD]]*1000)+TABL12345[[#This Row],[البخر  AJD]]+(TABL12345[[#This Row],[(A/B + A/S) AJD]]*1000))</f>
        <v>0</v>
      </c>
      <c r="AE120" s="41"/>
      <c r="AF120" s="43"/>
      <c r="AG120" s="43"/>
      <c r="AH120" s="6">
        <f>TABL12345[[#This Row],[ (RESV. STORGE) BER]]/10</f>
        <v>0</v>
      </c>
      <c r="AI120" s="41"/>
      <c r="AJ120" s="41">
        <f>TABL12345[[#This Row],[(A/B TOT) AJD]]-TABL12345[[#This Row],[BER_ IN]]</f>
        <v>0</v>
      </c>
      <c r="AK120" s="43"/>
      <c r="AL120" s="43"/>
      <c r="AM120" s="32"/>
      <c r="AN120" s="32">
        <f>TABL12345[[#This Row],[ (RESV. STORGE) SER]]/10</f>
        <v>0</v>
      </c>
      <c r="AO120" s="68"/>
      <c r="AP120" s="68">
        <f>TABL12345[[#This Row],[(A/S TOT) AJD]]-TABL12345[[#This Row],[SER_ IN]]</f>
        <v>0</v>
      </c>
    </row>
    <row r="121" spans="1:42" ht="18.75" x14ac:dyDescent="0.25">
      <c r="A121" s="2">
        <v>47238</v>
      </c>
      <c r="B121" s="44"/>
      <c r="C121" s="44"/>
      <c r="D121" s="44"/>
      <c r="E121" s="44"/>
      <c r="F121" s="44"/>
      <c r="G121" s="40"/>
      <c r="H121" s="28"/>
      <c r="I121" s="40"/>
      <c r="J121" s="44"/>
      <c r="K121" s="28">
        <f>TABL12345[[#This Row],[خط (T/B  TOT) SAR]]+TABL12345[[#This Row],[خط (S/S  TOT) SAR2]]</f>
        <v>0</v>
      </c>
      <c r="L121" s="45"/>
      <c r="M121" s="46"/>
      <c r="N121" s="46"/>
      <c r="O121" s="40"/>
      <c r="P121" s="3">
        <f>TABL12345[[#This Row],[خط (S/S  TOT) SAR2]]-TABL12345[[#This Row],[(S/S TOT) AJD]]</f>
        <v>0</v>
      </c>
      <c r="Q121" s="40"/>
      <c r="R121" s="3">
        <f>TABL12345[[#This Row],[خط (T/B  TOT) SAR]]-TABL12345[[#This Row],[(T/B TOT) AJD]]</f>
        <v>0</v>
      </c>
      <c r="S121" s="3">
        <f>TABL12345[[#This Row],[الفرق بين بداية ونهاية خط  S/S]]+TABL12345[[#This Row],[الفرق بين بداية ونهاية خط  T/B]]</f>
        <v>0</v>
      </c>
      <c r="T121" s="3">
        <f t="shared" si="4"/>
        <v>0</v>
      </c>
      <c r="U121" s="44"/>
      <c r="V121" s="44"/>
      <c r="W121" s="3">
        <f t="shared" si="5"/>
        <v>0</v>
      </c>
      <c r="X121" s="3">
        <f t="shared" si="6"/>
        <v>0</v>
      </c>
      <c r="Y121" s="44"/>
      <c r="Z121" s="45"/>
      <c r="AA121" s="3">
        <f>TABL12345[[#This Row],[(RESV. STORGE) AJD]]/10</f>
        <v>0</v>
      </c>
      <c r="AB121" s="45">
        <f t="shared" si="7"/>
        <v>0</v>
      </c>
      <c r="AC121" s="5"/>
      <c r="AD121" s="40">
        <f>(TABL12345[[#This Row],[( S/S+T/B) AJD]]*1000)-((TABL12345[[#This Row],[(STORGE DIFF.) AJD]]*1000)+TABL12345[[#This Row],[البخر  AJD]]+(TABL12345[[#This Row],[(A/B + A/S) AJD]]*1000))</f>
        <v>0</v>
      </c>
      <c r="AE121" s="44"/>
      <c r="AF121" s="45"/>
      <c r="AG121" s="45"/>
      <c r="AH121" s="6">
        <f>TABL12345[[#This Row],[ (RESV. STORGE) BER]]/10</f>
        <v>0</v>
      </c>
      <c r="AI121" s="44"/>
      <c r="AJ121" s="44">
        <f>TABL12345[[#This Row],[(A/B TOT) AJD]]-TABL12345[[#This Row],[BER_ IN]]</f>
        <v>0</v>
      </c>
      <c r="AK121" s="45"/>
      <c r="AL121" s="45"/>
      <c r="AM121" s="32"/>
      <c r="AN121" s="32">
        <f>TABL12345[[#This Row],[ (RESV. STORGE) SER]]/10</f>
        <v>0</v>
      </c>
      <c r="AO121" s="68"/>
      <c r="AP121" s="68">
        <f>TABL12345[[#This Row],[(A/S TOT) AJD]]-TABL12345[[#This Row],[SER_ IN]]</f>
        <v>0</v>
      </c>
    </row>
    <row r="122" spans="1:42" ht="18.75" x14ac:dyDescent="0.25">
      <c r="A122" s="2">
        <v>47239</v>
      </c>
      <c r="B122" s="41"/>
      <c r="C122" s="41"/>
      <c r="D122" s="41"/>
      <c r="E122" s="41"/>
      <c r="F122" s="41"/>
      <c r="G122" s="39"/>
      <c r="H122" s="28"/>
      <c r="I122" s="39"/>
      <c r="J122" s="39"/>
      <c r="K122" s="28">
        <f>TABL12345[[#This Row],[خط (T/B  TOT) SAR]]+TABL12345[[#This Row],[خط (S/S  TOT) SAR2]]</f>
        <v>0</v>
      </c>
      <c r="L122" s="41"/>
      <c r="M122" s="42"/>
      <c r="N122" s="42"/>
      <c r="O122" s="39"/>
      <c r="P122" s="3">
        <f>TABL12345[[#This Row],[خط (S/S  TOT) SAR2]]-TABL12345[[#This Row],[(S/S TOT) AJD]]</f>
        <v>0</v>
      </c>
      <c r="Q122" s="39"/>
      <c r="R122" s="3">
        <f>TABL12345[[#This Row],[خط (T/B  TOT) SAR]]-TABL12345[[#This Row],[(T/B TOT) AJD]]</f>
        <v>0</v>
      </c>
      <c r="S122" s="3">
        <f>TABL12345[[#This Row],[الفرق بين بداية ونهاية خط  S/S]]+TABL12345[[#This Row],[الفرق بين بداية ونهاية خط  T/B]]</f>
        <v>0</v>
      </c>
      <c r="T122" s="3">
        <f t="shared" si="4"/>
        <v>0</v>
      </c>
      <c r="U122" s="41"/>
      <c r="V122" s="41"/>
      <c r="W122" s="3">
        <f t="shared" si="5"/>
        <v>0</v>
      </c>
      <c r="X122" s="3">
        <f t="shared" si="6"/>
        <v>0</v>
      </c>
      <c r="Y122" s="41"/>
      <c r="Z122" s="43"/>
      <c r="AA122" s="3">
        <f>TABL12345[[#This Row],[(RESV. STORGE) AJD]]/10</f>
        <v>0</v>
      </c>
      <c r="AB122" s="43">
        <f t="shared" si="7"/>
        <v>0</v>
      </c>
      <c r="AC122" s="5"/>
      <c r="AD122" s="39">
        <f>(TABL12345[[#This Row],[( S/S+T/B) AJD]]*1000)-((TABL12345[[#This Row],[(STORGE DIFF.) AJD]]*1000)+TABL12345[[#This Row],[البخر  AJD]]+(TABL12345[[#This Row],[(A/B + A/S) AJD]]*1000))</f>
        <v>0</v>
      </c>
      <c r="AE122" s="41"/>
      <c r="AF122" s="43"/>
      <c r="AG122" s="43"/>
      <c r="AH122" s="6">
        <f>TABL12345[[#This Row],[ (RESV. STORGE) BER]]/10</f>
        <v>0</v>
      </c>
      <c r="AI122" s="41"/>
      <c r="AJ122" s="41">
        <f>TABL12345[[#This Row],[(A/B TOT) AJD]]-TABL12345[[#This Row],[BER_ IN]]</f>
        <v>0</v>
      </c>
      <c r="AK122" s="43"/>
      <c r="AL122" s="43"/>
      <c r="AM122" s="32"/>
      <c r="AN122" s="32">
        <f>TABL12345[[#This Row],[ (RESV. STORGE) SER]]/10</f>
        <v>0</v>
      </c>
      <c r="AO122" s="68"/>
      <c r="AP122" s="68">
        <f>TABL12345[[#This Row],[(A/S TOT) AJD]]-TABL12345[[#This Row],[SER_ IN]]</f>
        <v>0</v>
      </c>
    </row>
    <row r="123" spans="1:42" ht="18.75" x14ac:dyDescent="0.25">
      <c r="A123" s="2">
        <v>47240</v>
      </c>
      <c r="B123" s="44"/>
      <c r="C123" s="44"/>
      <c r="D123" s="44"/>
      <c r="E123" s="44"/>
      <c r="F123" s="44"/>
      <c r="G123" s="40"/>
      <c r="H123" s="28"/>
      <c r="I123" s="40"/>
      <c r="J123" s="44"/>
      <c r="K123" s="28">
        <f>TABL12345[[#This Row],[خط (T/B  TOT) SAR]]+TABL12345[[#This Row],[خط (S/S  TOT) SAR2]]</f>
        <v>0</v>
      </c>
      <c r="L123" s="45"/>
      <c r="M123" s="46"/>
      <c r="N123" s="46"/>
      <c r="O123" s="40"/>
      <c r="P123" s="3">
        <f>TABL12345[[#This Row],[خط (S/S  TOT) SAR2]]-TABL12345[[#This Row],[(S/S TOT) AJD]]</f>
        <v>0</v>
      </c>
      <c r="Q123" s="40"/>
      <c r="R123" s="3">
        <f>TABL12345[[#This Row],[خط (T/B  TOT) SAR]]-TABL12345[[#This Row],[(T/B TOT) AJD]]</f>
        <v>0</v>
      </c>
      <c r="S123" s="3">
        <f>TABL12345[[#This Row],[الفرق بين بداية ونهاية خط  S/S]]+TABL12345[[#This Row],[الفرق بين بداية ونهاية خط  T/B]]</f>
        <v>0</v>
      </c>
      <c r="T123" s="3">
        <f t="shared" si="4"/>
        <v>0</v>
      </c>
      <c r="U123" s="44"/>
      <c r="V123" s="44"/>
      <c r="W123" s="3">
        <f t="shared" si="5"/>
        <v>0</v>
      </c>
      <c r="X123" s="3">
        <f t="shared" si="6"/>
        <v>0</v>
      </c>
      <c r="Y123" s="44"/>
      <c r="Z123" s="45"/>
      <c r="AA123" s="3">
        <f>TABL12345[[#This Row],[(RESV. STORGE) AJD]]/10</f>
        <v>0</v>
      </c>
      <c r="AB123" s="45">
        <f t="shared" si="7"/>
        <v>0</v>
      </c>
      <c r="AC123" s="5"/>
      <c r="AD123" s="40">
        <f>(TABL12345[[#This Row],[( S/S+T/B) AJD]]*1000)-((TABL12345[[#This Row],[(STORGE DIFF.) AJD]]*1000)+TABL12345[[#This Row],[البخر  AJD]]+(TABL12345[[#This Row],[(A/B + A/S) AJD]]*1000))</f>
        <v>0</v>
      </c>
      <c r="AE123" s="44"/>
      <c r="AF123" s="45"/>
      <c r="AG123" s="45"/>
      <c r="AH123" s="6">
        <f>TABL12345[[#This Row],[ (RESV. STORGE) BER]]/10</f>
        <v>0</v>
      </c>
      <c r="AI123" s="44"/>
      <c r="AJ123" s="44">
        <f>TABL12345[[#This Row],[(A/B TOT) AJD]]-TABL12345[[#This Row],[BER_ IN]]</f>
        <v>0</v>
      </c>
      <c r="AK123" s="45"/>
      <c r="AL123" s="45"/>
      <c r="AM123" s="32"/>
      <c r="AN123" s="32">
        <f>TABL12345[[#This Row],[ (RESV. STORGE) SER]]/10</f>
        <v>0</v>
      </c>
      <c r="AO123" s="68"/>
      <c r="AP123" s="68">
        <f>TABL12345[[#This Row],[(A/S TOT) AJD]]-TABL12345[[#This Row],[SER_ IN]]</f>
        <v>0</v>
      </c>
    </row>
    <row r="124" spans="1:42" ht="18.75" x14ac:dyDescent="0.25">
      <c r="A124" s="2">
        <v>47241</v>
      </c>
      <c r="B124" s="41"/>
      <c r="C124" s="41"/>
      <c r="D124" s="41"/>
      <c r="E124" s="41"/>
      <c r="F124" s="41"/>
      <c r="G124" s="39"/>
      <c r="H124" s="28"/>
      <c r="I124" s="39"/>
      <c r="J124" s="39"/>
      <c r="K124" s="28">
        <f>TABL12345[[#This Row],[خط (T/B  TOT) SAR]]+TABL12345[[#This Row],[خط (S/S  TOT) SAR2]]</f>
        <v>0</v>
      </c>
      <c r="L124" s="41"/>
      <c r="M124" s="42"/>
      <c r="N124" s="42"/>
      <c r="O124" s="39"/>
      <c r="P124" s="3">
        <f>TABL12345[[#This Row],[خط (S/S  TOT) SAR2]]-TABL12345[[#This Row],[(S/S TOT) AJD]]</f>
        <v>0</v>
      </c>
      <c r="Q124" s="39"/>
      <c r="R124" s="3">
        <f>TABL12345[[#This Row],[خط (T/B  TOT) SAR]]-TABL12345[[#This Row],[(T/B TOT) AJD]]</f>
        <v>0</v>
      </c>
      <c r="S124" s="3">
        <f>TABL12345[[#This Row],[الفرق بين بداية ونهاية خط  S/S]]+TABL12345[[#This Row],[الفرق بين بداية ونهاية خط  T/B]]</f>
        <v>0</v>
      </c>
      <c r="T124" s="3">
        <f t="shared" si="4"/>
        <v>0</v>
      </c>
      <c r="U124" s="41"/>
      <c r="V124" s="41"/>
      <c r="W124" s="3">
        <f t="shared" si="5"/>
        <v>0</v>
      </c>
      <c r="X124" s="3">
        <f t="shared" si="6"/>
        <v>0</v>
      </c>
      <c r="Y124" s="41"/>
      <c r="Z124" s="43"/>
      <c r="AA124" s="3">
        <f>TABL12345[[#This Row],[(RESV. STORGE) AJD]]/10</f>
        <v>0</v>
      </c>
      <c r="AB124" s="43">
        <f t="shared" si="7"/>
        <v>0</v>
      </c>
      <c r="AC124" s="5"/>
      <c r="AD124" s="39">
        <f>(TABL12345[[#This Row],[( S/S+T/B) AJD]]*1000)-((TABL12345[[#This Row],[(STORGE DIFF.) AJD]]*1000)+TABL12345[[#This Row],[البخر  AJD]]+(TABL12345[[#This Row],[(A/B + A/S) AJD]]*1000))</f>
        <v>0</v>
      </c>
      <c r="AE124" s="41"/>
      <c r="AF124" s="43"/>
      <c r="AG124" s="43"/>
      <c r="AH124" s="6">
        <f>TABL12345[[#This Row],[ (RESV. STORGE) BER]]/10</f>
        <v>0</v>
      </c>
      <c r="AI124" s="41"/>
      <c r="AJ124" s="41">
        <f>TABL12345[[#This Row],[(A/B TOT) AJD]]-TABL12345[[#This Row],[BER_ IN]]</f>
        <v>0</v>
      </c>
      <c r="AK124" s="43"/>
      <c r="AL124" s="43"/>
      <c r="AM124" s="32"/>
      <c r="AN124" s="32">
        <f>TABL12345[[#This Row],[ (RESV. STORGE) SER]]/10</f>
        <v>0</v>
      </c>
      <c r="AO124" s="68"/>
      <c r="AP124" s="68">
        <f>TABL12345[[#This Row],[(A/S TOT) AJD]]-TABL12345[[#This Row],[SER_ IN]]</f>
        <v>0</v>
      </c>
    </row>
    <row r="125" spans="1:42" ht="18.75" x14ac:dyDescent="0.25">
      <c r="A125" s="2">
        <v>47242</v>
      </c>
      <c r="B125" s="44"/>
      <c r="C125" s="44"/>
      <c r="D125" s="44"/>
      <c r="E125" s="44"/>
      <c r="F125" s="44"/>
      <c r="G125" s="40"/>
      <c r="H125" s="28"/>
      <c r="I125" s="40"/>
      <c r="J125" s="44"/>
      <c r="K125" s="28">
        <f>TABL12345[[#This Row],[خط (T/B  TOT) SAR]]+TABL12345[[#This Row],[خط (S/S  TOT) SAR2]]</f>
        <v>0</v>
      </c>
      <c r="L125" s="45"/>
      <c r="M125" s="46"/>
      <c r="N125" s="46"/>
      <c r="O125" s="40"/>
      <c r="P125" s="3">
        <f>TABL12345[[#This Row],[خط (S/S  TOT) SAR2]]-TABL12345[[#This Row],[(S/S TOT) AJD]]</f>
        <v>0</v>
      </c>
      <c r="Q125" s="40"/>
      <c r="R125" s="3">
        <f>TABL12345[[#This Row],[خط (T/B  TOT) SAR]]-TABL12345[[#This Row],[(T/B TOT) AJD]]</f>
        <v>0</v>
      </c>
      <c r="S125" s="3">
        <f>TABL12345[[#This Row],[الفرق بين بداية ونهاية خط  S/S]]+TABL12345[[#This Row],[الفرق بين بداية ونهاية خط  T/B]]</f>
        <v>0</v>
      </c>
      <c r="T125" s="3">
        <f t="shared" si="4"/>
        <v>0</v>
      </c>
      <c r="U125" s="44"/>
      <c r="V125" s="44"/>
      <c r="W125" s="3">
        <f t="shared" si="5"/>
        <v>0</v>
      </c>
      <c r="X125" s="3">
        <f t="shared" si="6"/>
        <v>0</v>
      </c>
      <c r="Y125" s="44"/>
      <c r="Z125" s="45"/>
      <c r="AA125" s="3">
        <f>TABL12345[[#This Row],[(RESV. STORGE) AJD]]/10</f>
        <v>0</v>
      </c>
      <c r="AB125" s="45">
        <f t="shared" si="7"/>
        <v>0</v>
      </c>
      <c r="AC125" s="5"/>
      <c r="AD125" s="40">
        <f>(TABL12345[[#This Row],[( S/S+T/B) AJD]]*1000)-((TABL12345[[#This Row],[(STORGE DIFF.) AJD]]*1000)+TABL12345[[#This Row],[البخر  AJD]]+(TABL12345[[#This Row],[(A/B + A/S) AJD]]*1000))</f>
        <v>0</v>
      </c>
      <c r="AE125" s="44"/>
      <c r="AF125" s="45"/>
      <c r="AG125" s="45"/>
      <c r="AH125" s="6">
        <f>TABL12345[[#This Row],[ (RESV. STORGE) BER]]/10</f>
        <v>0</v>
      </c>
      <c r="AI125" s="44"/>
      <c r="AJ125" s="44">
        <f>TABL12345[[#This Row],[(A/B TOT) AJD]]-TABL12345[[#This Row],[BER_ IN]]</f>
        <v>0</v>
      </c>
      <c r="AK125" s="45"/>
      <c r="AL125" s="45"/>
      <c r="AM125" s="32"/>
      <c r="AN125" s="32">
        <f>TABL12345[[#This Row],[ (RESV. STORGE) SER]]/10</f>
        <v>0</v>
      </c>
      <c r="AO125" s="68"/>
      <c r="AP125" s="68">
        <f>TABL12345[[#This Row],[(A/S TOT) AJD]]-TABL12345[[#This Row],[SER_ IN]]</f>
        <v>0</v>
      </c>
    </row>
    <row r="126" spans="1:42" ht="18.75" x14ac:dyDescent="0.25">
      <c r="A126" s="2">
        <v>47243</v>
      </c>
      <c r="B126" s="41"/>
      <c r="C126" s="41"/>
      <c r="D126" s="41"/>
      <c r="E126" s="41"/>
      <c r="F126" s="41"/>
      <c r="G126" s="39"/>
      <c r="H126" s="28"/>
      <c r="I126" s="39"/>
      <c r="J126" s="39"/>
      <c r="K126" s="28">
        <f>TABL12345[[#This Row],[خط (T/B  TOT) SAR]]+TABL12345[[#This Row],[خط (S/S  TOT) SAR2]]</f>
        <v>0</v>
      </c>
      <c r="L126" s="41"/>
      <c r="M126" s="42"/>
      <c r="N126" s="42"/>
      <c r="O126" s="39"/>
      <c r="P126" s="3">
        <f>TABL12345[[#This Row],[خط (S/S  TOT) SAR2]]-TABL12345[[#This Row],[(S/S TOT) AJD]]</f>
        <v>0</v>
      </c>
      <c r="Q126" s="39"/>
      <c r="R126" s="3">
        <f>TABL12345[[#This Row],[خط (T/B  TOT) SAR]]-TABL12345[[#This Row],[(T/B TOT) AJD]]</f>
        <v>0</v>
      </c>
      <c r="S126" s="3">
        <f>TABL12345[[#This Row],[الفرق بين بداية ونهاية خط  S/S]]+TABL12345[[#This Row],[الفرق بين بداية ونهاية خط  T/B]]</f>
        <v>0</v>
      </c>
      <c r="T126" s="3">
        <f t="shared" si="4"/>
        <v>0</v>
      </c>
      <c r="U126" s="41"/>
      <c r="V126" s="41"/>
      <c r="W126" s="3">
        <f t="shared" si="5"/>
        <v>0</v>
      </c>
      <c r="X126" s="3">
        <f t="shared" si="6"/>
        <v>0</v>
      </c>
      <c r="Y126" s="41"/>
      <c r="Z126" s="43"/>
      <c r="AA126" s="3">
        <f>TABL12345[[#This Row],[(RESV. STORGE) AJD]]/10</f>
        <v>0</v>
      </c>
      <c r="AB126" s="43">
        <f t="shared" si="7"/>
        <v>0</v>
      </c>
      <c r="AC126" s="5"/>
      <c r="AD126" s="39">
        <f>(TABL12345[[#This Row],[( S/S+T/B) AJD]]*1000)-((TABL12345[[#This Row],[(STORGE DIFF.) AJD]]*1000)+TABL12345[[#This Row],[البخر  AJD]]+(TABL12345[[#This Row],[(A/B + A/S) AJD]]*1000))</f>
        <v>0</v>
      </c>
      <c r="AE126" s="41"/>
      <c r="AF126" s="43"/>
      <c r="AG126" s="43"/>
      <c r="AH126" s="6">
        <f>TABL12345[[#This Row],[ (RESV. STORGE) BER]]/10</f>
        <v>0</v>
      </c>
      <c r="AI126" s="41"/>
      <c r="AJ126" s="41">
        <f>TABL12345[[#This Row],[(A/B TOT) AJD]]-TABL12345[[#This Row],[BER_ IN]]</f>
        <v>0</v>
      </c>
      <c r="AK126" s="43"/>
      <c r="AL126" s="43"/>
      <c r="AM126" s="32"/>
      <c r="AN126" s="32">
        <f>TABL12345[[#This Row],[ (RESV. STORGE) SER]]/10</f>
        <v>0</v>
      </c>
      <c r="AO126" s="68"/>
      <c r="AP126" s="68">
        <f>TABL12345[[#This Row],[(A/S TOT) AJD]]-TABL12345[[#This Row],[SER_ IN]]</f>
        <v>0</v>
      </c>
    </row>
    <row r="127" spans="1:42" ht="18.75" x14ac:dyDescent="0.25">
      <c r="A127" s="2">
        <v>47244</v>
      </c>
      <c r="B127" s="44"/>
      <c r="C127" s="44"/>
      <c r="D127" s="44"/>
      <c r="E127" s="44"/>
      <c r="F127" s="44"/>
      <c r="G127" s="40"/>
      <c r="H127" s="28"/>
      <c r="I127" s="40"/>
      <c r="J127" s="44"/>
      <c r="K127" s="28">
        <f>TABL12345[[#This Row],[خط (T/B  TOT) SAR]]+TABL12345[[#This Row],[خط (S/S  TOT) SAR2]]</f>
        <v>0</v>
      </c>
      <c r="L127" s="45"/>
      <c r="M127" s="46"/>
      <c r="N127" s="46"/>
      <c r="O127" s="40"/>
      <c r="P127" s="3">
        <f>TABL12345[[#This Row],[خط (S/S  TOT) SAR2]]-TABL12345[[#This Row],[(S/S TOT) AJD]]</f>
        <v>0</v>
      </c>
      <c r="Q127" s="40"/>
      <c r="R127" s="3">
        <f>TABL12345[[#This Row],[خط (T/B  TOT) SAR]]-TABL12345[[#This Row],[(T/B TOT) AJD]]</f>
        <v>0</v>
      </c>
      <c r="S127" s="3">
        <f>TABL12345[[#This Row],[الفرق بين بداية ونهاية خط  S/S]]+TABL12345[[#This Row],[الفرق بين بداية ونهاية خط  T/B]]</f>
        <v>0</v>
      </c>
      <c r="T127" s="3">
        <f t="shared" si="4"/>
        <v>0</v>
      </c>
      <c r="U127" s="44"/>
      <c r="V127" s="44"/>
      <c r="W127" s="3">
        <f t="shared" si="5"/>
        <v>0</v>
      </c>
      <c r="X127" s="3">
        <f t="shared" si="6"/>
        <v>0</v>
      </c>
      <c r="Y127" s="44"/>
      <c r="Z127" s="45"/>
      <c r="AA127" s="3">
        <f>TABL12345[[#This Row],[(RESV. STORGE) AJD]]/10</f>
        <v>0</v>
      </c>
      <c r="AB127" s="45">
        <f t="shared" si="7"/>
        <v>0</v>
      </c>
      <c r="AC127" s="5"/>
      <c r="AD127" s="40">
        <f>(TABL12345[[#This Row],[( S/S+T/B) AJD]]*1000)-((TABL12345[[#This Row],[(STORGE DIFF.) AJD]]*1000)+TABL12345[[#This Row],[البخر  AJD]]+(TABL12345[[#This Row],[(A/B + A/S) AJD]]*1000))</f>
        <v>0</v>
      </c>
      <c r="AE127" s="44"/>
      <c r="AF127" s="45"/>
      <c r="AG127" s="45"/>
      <c r="AH127" s="6">
        <f>TABL12345[[#This Row],[ (RESV. STORGE) BER]]/10</f>
        <v>0</v>
      </c>
      <c r="AI127" s="44"/>
      <c r="AJ127" s="44">
        <f>TABL12345[[#This Row],[(A/B TOT) AJD]]-TABL12345[[#This Row],[BER_ IN]]</f>
        <v>0</v>
      </c>
      <c r="AK127" s="45"/>
      <c r="AL127" s="45"/>
      <c r="AM127" s="32"/>
      <c r="AN127" s="32">
        <f>TABL12345[[#This Row],[ (RESV. STORGE) SER]]/10</f>
        <v>0</v>
      </c>
      <c r="AO127" s="68"/>
      <c r="AP127" s="68">
        <f>TABL12345[[#This Row],[(A/S TOT) AJD]]-TABL12345[[#This Row],[SER_ IN]]</f>
        <v>0</v>
      </c>
    </row>
    <row r="128" spans="1:42" ht="18.75" x14ac:dyDescent="0.25">
      <c r="A128" s="2">
        <v>47245</v>
      </c>
      <c r="B128" s="41"/>
      <c r="C128" s="41"/>
      <c r="D128" s="41"/>
      <c r="E128" s="41"/>
      <c r="F128" s="41"/>
      <c r="G128" s="39"/>
      <c r="H128" s="28"/>
      <c r="I128" s="39"/>
      <c r="J128" s="39"/>
      <c r="K128" s="28">
        <f>TABL12345[[#This Row],[خط (T/B  TOT) SAR]]+TABL12345[[#This Row],[خط (S/S  TOT) SAR2]]</f>
        <v>0</v>
      </c>
      <c r="L128" s="41"/>
      <c r="M128" s="42"/>
      <c r="N128" s="42"/>
      <c r="O128" s="39"/>
      <c r="P128" s="3">
        <f>TABL12345[[#This Row],[خط (S/S  TOT) SAR2]]-TABL12345[[#This Row],[(S/S TOT) AJD]]</f>
        <v>0</v>
      </c>
      <c r="Q128" s="39"/>
      <c r="R128" s="3">
        <f>TABL12345[[#This Row],[خط (T/B  TOT) SAR]]-TABL12345[[#This Row],[(T/B TOT) AJD]]</f>
        <v>0</v>
      </c>
      <c r="S128" s="3">
        <f>TABL12345[[#This Row],[الفرق بين بداية ونهاية خط  S/S]]+TABL12345[[#This Row],[الفرق بين بداية ونهاية خط  T/B]]</f>
        <v>0</v>
      </c>
      <c r="T128" s="3">
        <f t="shared" si="4"/>
        <v>0</v>
      </c>
      <c r="U128" s="41"/>
      <c r="V128" s="41"/>
      <c r="W128" s="3">
        <f t="shared" si="5"/>
        <v>0</v>
      </c>
      <c r="X128" s="3">
        <f t="shared" si="6"/>
        <v>0</v>
      </c>
      <c r="Y128" s="41"/>
      <c r="Z128" s="43"/>
      <c r="AA128" s="3">
        <f>TABL12345[[#This Row],[(RESV. STORGE) AJD]]/10</f>
        <v>0</v>
      </c>
      <c r="AB128" s="43">
        <f t="shared" si="7"/>
        <v>0</v>
      </c>
      <c r="AC128" s="5"/>
      <c r="AD128" s="39">
        <f>(TABL12345[[#This Row],[( S/S+T/B) AJD]]*1000)-((TABL12345[[#This Row],[(STORGE DIFF.) AJD]]*1000)+TABL12345[[#This Row],[البخر  AJD]]+(TABL12345[[#This Row],[(A/B + A/S) AJD]]*1000))</f>
        <v>0</v>
      </c>
      <c r="AE128" s="41"/>
      <c r="AF128" s="43"/>
      <c r="AG128" s="43"/>
      <c r="AH128" s="6">
        <f>TABL12345[[#This Row],[ (RESV. STORGE) BER]]/10</f>
        <v>0</v>
      </c>
      <c r="AI128" s="41"/>
      <c r="AJ128" s="41">
        <f>TABL12345[[#This Row],[(A/B TOT) AJD]]-TABL12345[[#This Row],[BER_ IN]]</f>
        <v>0</v>
      </c>
      <c r="AK128" s="43"/>
      <c r="AL128" s="43"/>
      <c r="AM128" s="32"/>
      <c r="AN128" s="32">
        <f>TABL12345[[#This Row],[ (RESV. STORGE) SER]]/10</f>
        <v>0</v>
      </c>
      <c r="AO128" s="68"/>
      <c r="AP128" s="68">
        <f>TABL12345[[#This Row],[(A/S TOT) AJD]]-TABL12345[[#This Row],[SER_ IN]]</f>
        <v>0</v>
      </c>
    </row>
    <row r="129" spans="1:42" ht="18.75" x14ac:dyDescent="0.25">
      <c r="A129" s="2">
        <v>47246</v>
      </c>
      <c r="B129" s="44"/>
      <c r="C129" s="44"/>
      <c r="D129" s="44"/>
      <c r="E129" s="44"/>
      <c r="F129" s="44"/>
      <c r="G129" s="40"/>
      <c r="H129" s="28"/>
      <c r="I129" s="40"/>
      <c r="J129" s="44"/>
      <c r="K129" s="28">
        <f>TABL12345[[#This Row],[خط (T/B  TOT) SAR]]+TABL12345[[#This Row],[خط (S/S  TOT) SAR2]]</f>
        <v>0</v>
      </c>
      <c r="L129" s="45"/>
      <c r="M129" s="46"/>
      <c r="N129" s="46"/>
      <c r="O129" s="40"/>
      <c r="P129" s="3">
        <f>TABL12345[[#This Row],[خط (S/S  TOT) SAR2]]-TABL12345[[#This Row],[(S/S TOT) AJD]]</f>
        <v>0</v>
      </c>
      <c r="Q129" s="40"/>
      <c r="R129" s="3">
        <f>TABL12345[[#This Row],[خط (T/B  TOT) SAR]]-TABL12345[[#This Row],[(T/B TOT) AJD]]</f>
        <v>0</v>
      </c>
      <c r="S129" s="3">
        <f>TABL12345[[#This Row],[الفرق بين بداية ونهاية خط  S/S]]+TABL12345[[#This Row],[الفرق بين بداية ونهاية خط  T/B]]</f>
        <v>0</v>
      </c>
      <c r="T129" s="3">
        <f t="shared" si="4"/>
        <v>0</v>
      </c>
      <c r="U129" s="44"/>
      <c r="V129" s="44"/>
      <c r="W129" s="3">
        <f t="shared" si="5"/>
        <v>0</v>
      </c>
      <c r="X129" s="3">
        <f t="shared" si="6"/>
        <v>0</v>
      </c>
      <c r="Y129" s="44"/>
      <c r="Z129" s="45"/>
      <c r="AA129" s="3">
        <f>TABL12345[[#This Row],[(RESV. STORGE) AJD]]/10</f>
        <v>0</v>
      </c>
      <c r="AB129" s="45">
        <f t="shared" si="7"/>
        <v>0</v>
      </c>
      <c r="AC129" s="5"/>
      <c r="AD129" s="40">
        <f>(TABL12345[[#This Row],[( S/S+T/B) AJD]]*1000)-((TABL12345[[#This Row],[(STORGE DIFF.) AJD]]*1000)+TABL12345[[#This Row],[البخر  AJD]]+(TABL12345[[#This Row],[(A/B + A/S) AJD]]*1000))</f>
        <v>0</v>
      </c>
      <c r="AE129" s="44"/>
      <c r="AF129" s="45"/>
      <c r="AG129" s="45"/>
      <c r="AH129" s="6">
        <f>TABL12345[[#This Row],[ (RESV. STORGE) BER]]/10</f>
        <v>0</v>
      </c>
      <c r="AI129" s="44"/>
      <c r="AJ129" s="44">
        <f>TABL12345[[#This Row],[(A/B TOT) AJD]]-TABL12345[[#This Row],[BER_ IN]]</f>
        <v>0</v>
      </c>
      <c r="AK129" s="45"/>
      <c r="AL129" s="45"/>
      <c r="AM129" s="32"/>
      <c r="AN129" s="32">
        <f>TABL12345[[#This Row],[ (RESV. STORGE) SER]]/10</f>
        <v>0</v>
      </c>
      <c r="AO129" s="68"/>
      <c r="AP129" s="68">
        <f>TABL12345[[#This Row],[(A/S TOT) AJD]]-TABL12345[[#This Row],[SER_ IN]]</f>
        <v>0</v>
      </c>
    </row>
    <row r="130" spans="1:42" ht="18.75" x14ac:dyDescent="0.25">
      <c r="A130" s="2">
        <v>47247</v>
      </c>
      <c r="B130" s="41"/>
      <c r="C130" s="41"/>
      <c r="D130" s="41"/>
      <c r="E130" s="41"/>
      <c r="F130" s="41"/>
      <c r="G130" s="39"/>
      <c r="H130" s="28"/>
      <c r="I130" s="39"/>
      <c r="J130" s="39"/>
      <c r="K130" s="28">
        <f>TABL12345[[#This Row],[خط (T/B  TOT) SAR]]+TABL12345[[#This Row],[خط (S/S  TOT) SAR2]]</f>
        <v>0</v>
      </c>
      <c r="L130" s="41"/>
      <c r="M130" s="42"/>
      <c r="N130" s="42"/>
      <c r="O130" s="39"/>
      <c r="P130" s="3">
        <f>TABL12345[[#This Row],[خط (S/S  TOT) SAR2]]-TABL12345[[#This Row],[(S/S TOT) AJD]]</f>
        <v>0</v>
      </c>
      <c r="Q130" s="39"/>
      <c r="R130" s="3">
        <f>TABL12345[[#This Row],[خط (T/B  TOT) SAR]]-TABL12345[[#This Row],[(T/B TOT) AJD]]</f>
        <v>0</v>
      </c>
      <c r="S130" s="3">
        <f>TABL12345[[#This Row],[الفرق بين بداية ونهاية خط  S/S]]+TABL12345[[#This Row],[الفرق بين بداية ونهاية خط  T/B]]</f>
        <v>0</v>
      </c>
      <c r="T130" s="3">
        <f t="shared" ref="T130:T193" si="8">O130+Q130</f>
        <v>0</v>
      </c>
      <c r="U130" s="41"/>
      <c r="V130" s="41"/>
      <c r="W130" s="3">
        <f t="shared" ref="W130:W193" si="9">U130+V130</f>
        <v>0</v>
      </c>
      <c r="X130" s="3">
        <f t="shared" ref="X130:X193" si="10">T130-W130</f>
        <v>0</v>
      </c>
      <c r="Y130" s="41"/>
      <c r="Z130" s="43"/>
      <c r="AA130" s="3">
        <f>TABL12345[[#This Row],[(RESV. STORGE) AJD]]/10</f>
        <v>0</v>
      </c>
      <c r="AB130" s="43">
        <f t="shared" si="7"/>
        <v>0</v>
      </c>
      <c r="AC130" s="5"/>
      <c r="AD130" s="39">
        <f>(TABL12345[[#This Row],[( S/S+T/B) AJD]]*1000)-((TABL12345[[#This Row],[(STORGE DIFF.) AJD]]*1000)+TABL12345[[#This Row],[البخر  AJD]]+(TABL12345[[#This Row],[(A/B + A/S) AJD]]*1000))</f>
        <v>0</v>
      </c>
      <c r="AE130" s="41"/>
      <c r="AF130" s="43"/>
      <c r="AG130" s="43"/>
      <c r="AH130" s="6">
        <f>TABL12345[[#This Row],[ (RESV. STORGE) BER]]/10</f>
        <v>0</v>
      </c>
      <c r="AI130" s="41"/>
      <c r="AJ130" s="41">
        <f>TABL12345[[#This Row],[(A/B TOT) AJD]]-TABL12345[[#This Row],[BER_ IN]]</f>
        <v>0</v>
      </c>
      <c r="AK130" s="43"/>
      <c r="AL130" s="43"/>
      <c r="AM130" s="32"/>
      <c r="AN130" s="32">
        <f>TABL12345[[#This Row],[ (RESV. STORGE) SER]]/10</f>
        <v>0</v>
      </c>
      <c r="AO130" s="68"/>
      <c r="AP130" s="68">
        <f>TABL12345[[#This Row],[(A/S TOT) AJD]]-TABL12345[[#This Row],[SER_ IN]]</f>
        <v>0</v>
      </c>
    </row>
    <row r="131" spans="1:42" ht="18.75" x14ac:dyDescent="0.25">
      <c r="A131" s="2">
        <v>47248</v>
      </c>
      <c r="B131" s="44"/>
      <c r="C131" s="44"/>
      <c r="D131" s="44"/>
      <c r="E131" s="44"/>
      <c r="F131" s="44"/>
      <c r="G131" s="40"/>
      <c r="H131" s="28"/>
      <c r="I131" s="40"/>
      <c r="J131" s="44"/>
      <c r="K131" s="28">
        <f>TABL12345[[#This Row],[خط (T/B  TOT) SAR]]+TABL12345[[#This Row],[خط (S/S  TOT) SAR2]]</f>
        <v>0</v>
      </c>
      <c r="L131" s="45"/>
      <c r="M131" s="46"/>
      <c r="N131" s="46"/>
      <c r="O131" s="40"/>
      <c r="P131" s="3">
        <f>TABL12345[[#This Row],[خط (S/S  TOT) SAR2]]-TABL12345[[#This Row],[(S/S TOT) AJD]]</f>
        <v>0</v>
      </c>
      <c r="Q131" s="40"/>
      <c r="R131" s="3">
        <f>TABL12345[[#This Row],[خط (T/B  TOT) SAR]]-TABL12345[[#This Row],[(T/B TOT) AJD]]</f>
        <v>0</v>
      </c>
      <c r="S131" s="3">
        <f>TABL12345[[#This Row],[الفرق بين بداية ونهاية خط  S/S]]+TABL12345[[#This Row],[الفرق بين بداية ونهاية خط  T/B]]</f>
        <v>0</v>
      </c>
      <c r="T131" s="3">
        <f t="shared" si="8"/>
        <v>0</v>
      </c>
      <c r="U131" s="44"/>
      <c r="V131" s="44"/>
      <c r="W131" s="3">
        <f t="shared" si="9"/>
        <v>0</v>
      </c>
      <c r="X131" s="3">
        <f t="shared" si="10"/>
        <v>0</v>
      </c>
      <c r="Y131" s="44"/>
      <c r="Z131" s="45"/>
      <c r="AA131" s="3">
        <f>TABL12345[[#This Row],[(RESV. STORGE) AJD]]/10</f>
        <v>0</v>
      </c>
      <c r="AB131" s="45">
        <f t="shared" si="7"/>
        <v>0</v>
      </c>
      <c r="AC131" s="5"/>
      <c r="AD131" s="40">
        <f>(TABL12345[[#This Row],[( S/S+T/B) AJD]]*1000)-((TABL12345[[#This Row],[(STORGE DIFF.) AJD]]*1000)+TABL12345[[#This Row],[البخر  AJD]]+(TABL12345[[#This Row],[(A/B + A/S) AJD]]*1000))</f>
        <v>0</v>
      </c>
      <c r="AE131" s="44"/>
      <c r="AF131" s="45"/>
      <c r="AG131" s="45"/>
      <c r="AH131" s="6">
        <f>TABL12345[[#This Row],[ (RESV. STORGE) BER]]/10</f>
        <v>0</v>
      </c>
      <c r="AI131" s="44"/>
      <c r="AJ131" s="44">
        <f>TABL12345[[#This Row],[(A/B TOT) AJD]]-TABL12345[[#This Row],[BER_ IN]]</f>
        <v>0</v>
      </c>
      <c r="AK131" s="45"/>
      <c r="AL131" s="45"/>
      <c r="AM131" s="32"/>
      <c r="AN131" s="32">
        <f>TABL12345[[#This Row],[ (RESV. STORGE) SER]]/10</f>
        <v>0</v>
      </c>
      <c r="AO131" s="68"/>
      <c r="AP131" s="68">
        <f>TABL12345[[#This Row],[(A/S TOT) AJD]]-TABL12345[[#This Row],[SER_ IN]]</f>
        <v>0</v>
      </c>
    </row>
    <row r="132" spans="1:42" ht="18.75" x14ac:dyDescent="0.25">
      <c r="A132" s="2">
        <v>47249</v>
      </c>
      <c r="B132" s="41"/>
      <c r="C132" s="41"/>
      <c r="D132" s="41"/>
      <c r="E132" s="41"/>
      <c r="F132" s="41"/>
      <c r="G132" s="39"/>
      <c r="H132" s="28"/>
      <c r="I132" s="39"/>
      <c r="J132" s="39"/>
      <c r="K132" s="28">
        <f>TABL12345[[#This Row],[خط (T/B  TOT) SAR]]+TABL12345[[#This Row],[خط (S/S  TOT) SAR2]]</f>
        <v>0</v>
      </c>
      <c r="L132" s="41"/>
      <c r="M132" s="42"/>
      <c r="N132" s="42"/>
      <c r="O132" s="39"/>
      <c r="P132" s="3">
        <f>TABL12345[[#This Row],[خط (S/S  TOT) SAR2]]-TABL12345[[#This Row],[(S/S TOT) AJD]]</f>
        <v>0</v>
      </c>
      <c r="Q132" s="39"/>
      <c r="R132" s="3">
        <f>TABL12345[[#This Row],[خط (T/B  TOT) SAR]]-TABL12345[[#This Row],[(T/B TOT) AJD]]</f>
        <v>0</v>
      </c>
      <c r="S132" s="3">
        <f>TABL12345[[#This Row],[الفرق بين بداية ونهاية خط  S/S]]+TABL12345[[#This Row],[الفرق بين بداية ونهاية خط  T/B]]</f>
        <v>0</v>
      </c>
      <c r="T132" s="3">
        <f t="shared" si="8"/>
        <v>0</v>
      </c>
      <c r="U132" s="41"/>
      <c r="V132" s="41"/>
      <c r="W132" s="3">
        <f t="shared" si="9"/>
        <v>0</v>
      </c>
      <c r="X132" s="3">
        <f t="shared" si="10"/>
        <v>0</v>
      </c>
      <c r="Y132" s="41"/>
      <c r="Z132" s="43"/>
      <c r="AA132" s="3">
        <f>TABL12345[[#This Row],[(RESV. STORGE) AJD]]/10</f>
        <v>0</v>
      </c>
      <c r="AB132" s="43">
        <f t="shared" ref="AB132:AB195" si="11">(Z132-Z131)/1000</f>
        <v>0</v>
      </c>
      <c r="AC132" s="5"/>
      <c r="AD132" s="39">
        <f>(TABL12345[[#This Row],[( S/S+T/B) AJD]]*1000)-((TABL12345[[#This Row],[(STORGE DIFF.) AJD]]*1000)+TABL12345[[#This Row],[البخر  AJD]]+(TABL12345[[#This Row],[(A/B + A/S) AJD]]*1000))</f>
        <v>0</v>
      </c>
      <c r="AE132" s="41"/>
      <c r="AF132" s="43"/>
      <c r="AG132" s="68"/>
      <c r="AH132" s="6">
        <f>TABL12345[[#This Row],[ (RESV. STORGE) BER]]/10</f>
        <v>0</v>
      </c>
      <c r="AI132" s="41"/>
      <c r="AJ132" s="69">
        <f>TABL12345[[#This Row],[(A/B TOT) AJD]]-TABL12345[[#This Row],[BER_ IN]]</f>
        <v>0</v>
      </c>
      <c r="AK132" s="43"/>
      <c r="AL132" s="43"/>
      <c r="AM132" s="32"/>
      <c r="AN132" s="32">
        <f>TABL12345[[#This Row],[ (RESV. STORGE) SER]]/10</f>
        <v>0</v>
      </c>
      <c r="AO132" s="68"/>
      <c r="AP132" s="68">
        <f>TABL12345[[#This Row],[(A/S TOT) AJD]]-TABL12345[[#This Row],[SER_ IN]]</f>
        <v>0</v>
      </c>
    </row>
    <row r="133" spans="1:42" ht="18.75" x14ac:dyDescent="0.25">
      <c r="A133" s="2">
        <v>47250</v>
      </c>
      <c r="B133" s="44"/>
      <c r="C133" s="44"/>
      <c r="D133" s="44"/>
      <c r="E133" s="44"/>
      <c r="F133" s="44"/>
      <c r="G133" s="40"/>
      <c r="H133" s="28"/>
      <c r="I133" s="40"/>
      <c r="J133" s="44"/>
      <c r="K133" s="28">
        <f>TABL12345[[#This Row],[خط (T/B  TOT) SAR]]+TABL12345[[#This Row],[خط (S/S  TOT) SAR2]]</f>
        <v>0</v>
      </c>
      <c r="L133" s="45"/>
      <c r="M133" s="46"/>
      <c r="N133" s="46"/>
      <c r="O133" s="40"/>
      <c r="P133" s="3">
        <f>TABL12345[[#This Row],[خط (S/S  TOT) SAR2]]-TABL12345[[#This Row],[(S/S TOT) AJD]]</f>
        <v>0</v>
      </c>
      <c r="Q133" s="40"/>
      <c r="R133" s="3">
        <f>TABL12345[[#This Row],[خط (T/B  TOT) SAR]]-TABL12345[[#This Row],[(T/B TOT) AJD]]</f>
        <v>0</v>
      </c>
      <c r="S133" s="3">
        <f>TABL12345[[#This Row],[الفرق بين بداية ونهاية خط  S/S]]+TABL12345[[#This Row],[الفرق بين بداية ونهاية خط  T/B]]</f>
        <v>0</v>
      </c>
      <c r="T133" s="3">
        <f t="shared" si="8"/>
        <v>0</v>
      </c>
      <c r="U133" s="44"/>
      <c r="V133" s="44"/>
      <c r="W133" s="3">
        <f t="shared" si="9"/>
        <v>0</v>
      </c>
      <c r="X133" s="3">
        <f t="shared" si="10"/>
        <v>0</v>
      </c>
      <c r="Y133" s="44"/>
      <c r="Z133" s="45"/>
      <c r="AA133" s="3">
        <f>TABL12345[[#This Row],[(RESV. STORGE) AJD]]/10</f>
        <v>0</v>
      </c>
      <c r="AB133" s="45">
        <f t="shared" si="11"/>
        <v>0</v>
      </c>
      <c r="AC133" s="5"/>
      <c r="AD133" s="40">
        <f>(TABL12345[[#This Row],[( S/S+T/B) AJD]]*1000)-((TABL12345[[#This Row],[(STORGE DIFF.) AJD]]*1000)+TABL12345[[#This Row],[البخر  AJD]]+(TABL12345[[#This Row],[(A/B + A/S) AJD]]*1000))</f>
        <v>0</v>
      </c>
      <c r="AE133" s="44"/>
      <c r="AF133" s="45"/>
      <c r="AG133" s="45"/>
      <c r="AH133" s="6">
        <f>TABL12345[[#This Row],[ (RESV. STORGE) BER]]/10</f>
        <v>0</v>
      </c>
      <c r="AI133" s="44"/>
      <c r="AJ133" s="44">
        <f>TABL12345[[#This Row],[(A/B TOT) AJD]]-TABL12345[[#This Row],[BER_ IN]]</f>
        <v>0</v>
      </c>
      <c r="AK133" s="45"/>
      <c r="AL133" s="45"/>
      <c r="AM133" s="32"/>
      <c r="AN133" s="32">
        <f>TABL12345[[#This Row],[ (RESV. STORGE) SER]]/10</f>
        <v>0</v>
      </c>
      <c r="AO133" s="68"/>
      <c r="AP133" s="68">
        <f>TABL12345[[#This Row],[(A/S TOT) AJD]]-TABL12345[[#This Row],[SER_ IN]]</f>
        <v>0</v>
      </c>
    </row>
    <row r="134" spans="1:42" ht="18.75" x14ac:dyDescent="0.25">
      <c r="A134" s="2">
        <v>47251</v>
      </c>
      <c r="B134" s="41"/>
      <c r="C134" s="41"/>
      <c r="D134" s="41"/>
      <c r="E134" s="41"/>
      <c r="F134" s="41"/>
      <c r="G134" s="39"/>
      <c r="H134" s="28"/>
      <c r="I134" s="39"/>
      <c r="J134" s="39"/>
      <c r="K134" s="28">
        <f>TABL12345[[#This Row],[خط (T/B  TOT) SAR]]+TABL12345[[#This Row],[خط (S/S  TOT) SAR2]]</f>
        <v>0</v>
      </c>
      <c r="L134" s="41"/>
      <c r="M134" s="42"/>
      <c r="N134" s="42"/>
      <c r="O134" s="39"/>
      <c r="P134" s="3">
        <f>TABL12345[[#This Row],[خط (S/S  TOT) SAR2]]-TABL12345[[#This Row],[(S/S TOT) AJD]]</f>
        <v>0</v>
      </c>
      <c r="Q134" s="39"/>
      <c r="R134" s="3">
        <f>TABL12345[[#This Row],[خط (T/B  TOT) SAR]]-TABL12345[[#This Row],[(T/B TOT) AJD]]</f>
        <v>0</v>
      </c>
      <c r="S134" s="3">
        <f>TABL12345[[#This Row],[الفرق بين بداية ونهاية خط  S/S]]+TABL12345[[#This Row],[الفرق بين بداية ونهاية خط  T/B]]</f>
        <v>0</v>
      </c>
      <c r="T134" s="3">
        <f t="shared" si="8"/>
        <v>0</v>
      </c>
      <c r="U134" s="41"/>
      <c r="V134" s="41"/>
      <c r="W134" s="3">
        <f t="shared" si="9"/>
        <v>0</v>
      </c>
      <c r="X134" s="3">
        <f t="shared" si="10"/>
        <v>0</v>
      </c>
      <c r="Y134" s="41"/>
      <c r="Z134" s="43"/>
      <c r="AA134" s="3">
        <f>TABL12345[[#This Row],[(RESV. STORGE) AJD]]/10</f>
        <v>0</v>
      </c>
      <c r="AB134" s="43">
        <f t="shared" si="11"/>
        <v>0</v>
      </c>
      <c r="AC134" s="5"/>
      <c r="AD134" s="39">
        <f>(TABL12345[[#This Row],[( S/S+T/B) AJD]]*1000)-((TABL12345[[#This Row],[(STORGE DIFF.) AJD]]*1000)+TABL12345[[#This Row],[البخر  AJD]]+(TABL12345[[#This Row],[(A/B + A/S) AJD]]*1000))</f>
        <v>0</v>
      </c>
      <c r="AE134" s="41"/>
      <c r="AF134" s="43"/>
      <c r="AG134" s="43"/>
      <c r="AH134" s="6">
        <f>TABL12345[[#This Row],[ (RESV. STORGE) BER]]/10</f>
        <v>0</v>
      </c>
      <c r="AI134" s="41"/>
      <c r="AJ134" s="41">
        <f>TABL12345[[#This Row],[(A/B TOT) AJD]]-TABL12345[[#This Row],[BER_ IN]]</f>
        <v>0</v>
      </c>
      <c r="AK134" s="43"/>
      <c r="AL134" s="43"/>
      <c r="AM134" s="32"/>
      <c r="AN134" s="32">
        <f>TABL12345[[#This Row],[ (RESV. STORGE) SER]]/10</f>
        <v>0</v>
      </c>
      <c r="AO134" s="68"/>
      <c r="AP134" s="68">
        <f>TABL12345[[#This Row],[(A/S TOT) AJD]]-TABL12345[[#This Row],[SER_ IN]]</f>
        <v>0</v>
      </c>
    </row>
    <row r="135" spans="1:42" ht="18.75" x14ac:dyDescent="0.25">
      <c r="A135" s="2">
        <v>47252</v>
      </c>
      <c r="B135" s="44"/>
      <c r="C135" s="44"/>
      <c r="D135" s="44"/>
      <c r="E135" s="44"/>
      <c r="F135" s="44"/>
      <c r="G135" s="40"/>
      <c r="H135" s="28"/>
      <c r="I135" s="40"/>
      <c r="J135" s="44"/>
      <c r="K135" s="28">
        <f>TABL12345[[#This Row],[خط (T/B  TOT) SAR]]+TABL12345[[#This Row],[خط (S/S  TOT) SAR2]]</f>
        <v>0</v>
      </c>
      <c r="L135" s="45"/>
      <c r="M135" s="46"/>
      <c r="N135" s="46"/>
      <c r="O135" s="40"/>
      <c r="P135" s="3">
        <f>TABL12345[[#This Row],[خط (S/S  TOT) SAR2]]-TABL12345[[#This Row],[(S/S TOT) AJD]]</f>
        <v>0</v>
      </c>
      <c r="Q135" s="40"/>
      <c r="R135" s="3">
        <f>TABL12345[[#This Row],[خط (T/B  TOT) SAR]]-TABL12345[[#This Row],[(T/B TOT) AJD]]</f>
        <v>0</v>
      </c>
      <c r="S135" s="3">
        <f>TABL12345[[#This Row],[الفرق بين بداية ونهاية خط  S/S]]+TABL12345[[#This Row],[الفرق بين بداية ونهاية خط  T/B]]</f>
        <v>0</v>
      </c>
      <c r="T135" s="3">
        <f t="shared" si="8"/>
        <v>0</v>
      </c>
      <c r="U135" s="44"/>
      <c r="V135" s="44"/>
      <c r="W135" s="3">
        <f t="shared" si="9"/>
        <v>0</v>
      </c>
      <c r="X135" s="3">
        <f t="shared" si="10"/>
        <v>0</v>
      </c>
      <c r="Y135" s="44"/>
      <c r="Z135" s="45"/>
      <c r="AA135" s="3">
        <f>TABL12345[[#This Row],[(RESV. STORGE) AJD]]/10</f>
        <v>0</v>
      </c>
      <c r="AB135" s="45">
        <f t="shared" si="11"/>
        <v>0</v>
      </c>
      <c r="AC135" s="5"/>
      <c r="AD135" s="40">
        <f>(TABL12345[[#This Row],[( S/S+T/B) AJD]]*1000)-((TABL12345[[#This Row],[(STORGE DIFF.) AJD]]*1000)+TABL12345[[#This Row],[البخر  AJD]]+(TABL12345[[#This Row],[(A/B + A/S) AJD]]*1000))</f>
        <v>0</v>
      </c>
      <c r="AE135" s="44"/>
      <c r="AF135" s="45"/>
      <c r="AG135" s="45"/>
      <c r="AH135" s="6">
        <f>TABL12345[[#This Row],[ (RESV. STORGE) BER]]/10</f>
        <v>0</v>
      </c>
      <c r="AI135" s="44"/>
      <c r="AJ135" s="44">
        <f>TABL12345[[#This Row],[(A/B TOT) AJD]]-TABL12345[[#This Row],[BER_ IN]]</f>
        <v>0</v>
      </c>
      <c r="AK135" s="45"/>
      <c r="AL135" s="45"/>
      <c r="AM135" s="32"/>
      <c r="AN135" s="32">
        <f>TABL12345[[#This Row],[ (RESV. STORGE) SER]]/10</f>
        <v>0</v>
      </c>
      <c r="AO135" s="68"/>
      <c r="AP135" s="68">
        <f>TABL12345[[#This Row],[(A/S TOT) AJD]]-TABL12345[[#This Row],[SER_ IN]]</f>
        <v>0</v>
      </c>
    </row>
    <row r="136" spans="1:42" ht="18.75" x14ac:dyDescent="0.25">
      <c r="A136" s="2">
        <v>47253</v>
      </c>
      <c r="B136" s="41"/>
      <c r="C136" s="41"/>
      <c r="D136" s="41"/>
      <c r="E136" s="41"/>
      <c r="F136" s="41"/>
      <c r="G136" s="39"/>
      <c r="H136" s="28"/>
      <c r="I136" s="39"/>
      <c r="J136" s="39"/>
      <c r="K136" s="28">
        <f>TABL12345[[#This Row],[خط (T/B  TOT) SAR]]+TABL12345[[#This Row],[خط (S/S  TOT) SAR2]]</f>
        <v>0</v>
      </c>
      <c r="L136" s="41"/>
      <c r="M136" s="42"/>
      <c r="N136" s="42"/>
      <c r="O136" s="39"/>
      <c r="P136" s="3">
        <f>TABL12345[[#This Row],[خط (S/S  TOT) SAR2]]-TABL12345[[#This Row],[(S/S TOT) AJD]]</f>
        <v>0</v>
      </c>
      <c r="Q136" s="39"/>
      <c r="R136" s="3">
        <f>TABL12345[[#This Row],[خط (T/B  TOT) SAR]]-TABL12345[[#This Row],[(T/B TOT) AJD]]</f>
        <v>0</v>
      </c>
      <c r="S136" s="3">
        <f>TABL12345[[#This Row],[الفرق بين بداية ونهاية خط  S/S]]+TABL12345[[#This Row],[الفرق بين بداية ونهاية خط  T/B]]</f>
        <v>0</v>
      </c>
      <c r="T136" s="3">
        <f t="shared" si="8"/>
        <v>0</v>
      </c>
      <c r="U136" s="41"/>
      <c r="V136" s="41"/>
      <c r="W136" s="3">
        <f t="shared" si="9"/>
        <v>0</v>
      </c>
      <c r="X136" s="3">
        <f t="shared" si="10"/>
        <v>0</v>
      </c>
      <c r="Y136" s="41"/>
      <c r="Z136" s="43"/>
      <c r="AA136" s="3">
        <f>TABL12345[[#This Row],[(RESV. STORGE) AJD]]/10</f>
        <v>0</v>
      </c>
      <c r="AB136" s="43">
        <f t="shared" si="11"/>
        <v>0</v>
      </c>
      <c r="AC136" s="5"/>
      <c r="AD136" s="39">
        <f>(TABL12345[[#This Row],[( S/S+T/B) AJD]]*1000)-((TABL12345[[#This Row],[(STORGE DIFF.) AJD]]*1000)+TABL12345[[#This Row],[البخر  AJD]]+(TABL12345[[#This Row],[(A/B + A/S) AJD]]*1000))</f>
        <v>0</v>
      </c>
      <c r="AE136" s="41"/>
      <c r="AF136" s="43"/>
      <c r="AG136" s="43"/>
      <c r="AH136" s="6">
        <f>TABL12345[[#This Row],[ (RESV. STORGE) BER]]/10</f>
        <v>0</v>
      </c>
      <c r="AI136" s="41"/>
      <c r="AJ136" s="41">
        <f>TABL12345[[#This Row],[(A/B TOT) AJD]]-TABL12345[[#This Row],[BER_ IN]]</f>
        <v>0</v>
      </c>
      <c r="AK136" s="43"/>
      <c r="AL136" s="43"/>
      <c r="AM136" s="32"/>
      <c r="AN136" s="32">
        <f>TABL12345[[#This Row],[ (RESV. STORGE) SER]]/10</f>
        <v>0</v>
      </c>
      <c r="AO136" s="68"/>
      <c r="AP136" s="68">
        <f>TABL12345[[#This Row],[(A/S TOT) AJD]]-TABL12345[[#This Row],[SER_ IN]]</f>
        <v>0</v>
      </c>
    </row>
    <row r="137" spans="1:42" ht="18.75" x14ac:dyDescent="0.25">
      <c r="A137" s="2">
        <v>47254</v>
      </c>
      <c r="B137" s="44"/>
      <c r="C137" s="44"/>
      <c r="D137" s="44"/>
      <c r="E137" s="44"/>
      <c r="F137" s="44"/>
      <c r="G137" s="40"/>
      <c r="H137" s="28"/>
      <c r="I137" s="40"/>
      <c r="J137" s="44"/>
      <c r="K137" s="28">
        <f>TABL12345[[#This Row],[خط (T/B  TOT) SAR]]+TABL12345[[#This Row],[خط (S/S  TOT) SAR2]]</f>
        <v>0</v>
      </c>
      <c r="L137" s="45"/>
      <c r="M137" s="46"/>
      <c r="N137" s="46"/>
      <c r="O137" s="40"/>
      <c r="P137" s="3">
        <f>TABL12345[[#This Row],[خط (S/S  TOT) SAR2]]-TABL12345[[#This Row],[(S/S TOT) AJD]]</f>
        <v>0</v>
      </c>
      <c r="Q137" s="40"/>
      <c r="R137" s="3">
        <f>TABL12345[[#This Row],[خط (T/B  TOT) SAR]]-TABL12345[[#This Row],[(T/B TOT) AJD]]</f>
        <v>0</v>
      </c>
      <c r="S137" s="3">
        <f>TABL12345[[#This Row],[الفرق بين بداية ونهاية خط  S/S]]+TABL12345[[#This Row],[الفرق بين بداية ونهاية خط  T/B]]</f>
        <v>0</v>
      </c>
      <c r="T137" s="3">
        <f t="shared" si="8"/>
        <v>0</v>
      </c>
      <c r="U137" s="44"/>
      <c r="V137" s="44"/>
      <c r="W137" s="3">
        <f t="shared" si="9"/>
        <v>0</v>
      </c>
      <c r="X137" s="3">
        <f t="shared" si="10"/>
        <v>0</v>
      </c>
      <c r="Y137" s="44"/>
      <c r="Z137" s="45"/>
      <c r="AA137" s="3">
        <f>TABL12345[[#This Row],[(RESV. STORGE) AJD]]/10</f>
        <v>0</v>
      </c>
      <c r="AB137" s="45">
        <f t="shared" si="11"/>
        <v>0</v>
      </c>
      <c r="AC137" s="5"/>
      <c r="AD137" s="40">
        <f>(TABL12345[[#This Row],[( S/S+T/B) AJD]]*1000)-((TABL12345[[#This Row],[(STORGE DIFF.) AJD]]*1000)+TABL12345[[#This Row],[البخر  AJD]]+(TABL12345[[#This Row],[(A/B + A/S) AJD]]*1000))</f>
        <v>0</v>
      </c>
      <c r="AE137" s="44"/>
      <c r="AF137" s="45"/>
      <c r="AG137" s="45"/>
      <c r="AH137" s="6">
        <f>TABL12345[[#This Row],[ (RESV. STORGE) BER]]/10</f>
        <v>0</v>
      </c>
      <c r="AI137" s="44"/>
      <c r="AJ137" s="44">
        <f>TABL12345[[#This Row],[(A/B TOT) AJD]]-TABL12345[[#This Row],[BER_ IN]]</f>
        <v>0</v>
      </c>
      <c r="AK137" s="45"/>
      <c r="AL137" s="45"/>
      <c r="AM137" s="32"/>
      <c r="AN137" s="32">
        <f>TABL12345[[#This Row],[ (RESV. STORGE) SER]]/10</f>
        <v>0</v>
      </c>
      <c r="AO137" s="68"/>
      <c r="AP137" s="68">
        <f>TABL12345[[#This Row],[(A/S TOT) AJD]]-TABL12345[[#This Row],[SER_ IN]]</f>
        <v>0</v>
      </c>
    </row>
    <row r="138" spans="1:42" ht="18.75" x14ac:dyDescent="0.25">
      <c r="A138" s="2">
        <v>47255</v>
      </c>
      <c r="B138" s="41"/>
      <c r="C138" s="41"/>
      <c r="D138" s="41"/>
      <c r="E138" s="41"/>
      <c r="F138" s="41"/>
      <c r="G138" s="39"/>
      <c r="H138" s="28"/>
      <c r="I138" s="39"/>
      <c r="J138" s="39"/>
      <c r="K138" s="28">
        <f>TABL12345[[#This Row],[خط (T/B  TOT) SAR]]+TABL12345[[#This Row],[خط (S/S  TOT) SAR2]]</f>
        <v>0</v>
      </c>
      <c r="L138" s="41"/>
      <c r="M138" s="42"/>
      <c r="N138" s="42"/>
      <c r="O138" s="39"/>
      <c r="P138" s="3">
        <f>TABL12345[[#This Row],[خط (S/S  TOT) SAR2]]-TABL12345[[#This Row],[(S/S TOT) AJD]]</f>
        <v>0</v>
      </c>
      <c r="Q138" s="39"/>
      <c r="R138" s="3">
        <f>TABL12345[[#This Row],[خط (T/B  TOT) SAR]]-TABL12345[[#This Row],[(T/B TOT) AJD]]</f>
        <v>0</v>
      </c>
      <c r="S138" s="3">
        <f>TABL12345[[#This Row],[الفرق بين بداية ونهاية خط  S/S]]+TABL12345[[#This Row],[الفرق بين بداية ونهاية خط  T/B]]</f>
        <v>0</v>
      </c>
      <c r="T138" s="3">
        <f t="shared" si="8"/>
        <v>0</v>
      </c>
      <c r="U138" s="41"/>
      <c r="V138" s="41"/>
      <c r="W138" s="3">
        <f t="shared" si="9"/>
        <v>0</v>
      </c>
      <c r="X138" s="3">
        <f t="shared" si="10"/>
        <v>0</v>
      </c>
      <c r="Y138" s="41"/>
      <c r="Z138" s="43"/>
      <c r="AA138" s="3">
        <f>TABL12345[[#This Row],[(RESV. STORGE) AJD]]/10</f>
        <v>0</v>
      </c>
      <c r="AB138" s="43">
        <f t="shared" si="11"/>
        <v>0</v>
      </c>
      <c r="AC138" s="5"/>
      <c r="AD138" s="39">
        <f>(TABL12345[[#This Row],[( S/S+T/B) AJD]]*1000)-((TABL12345[[#This Row],[(STORGE DIFF.) AJD]]*1000)+TABL12345[[#This Row],[البخر  AJD]]+(TABL12345[[#This Row],[(A/B + A/S) AJD]]*1000))</f>
        <v>0</v>
      </c>
      <c r="AE138" s="41"/>
      <c r="AF138" s="43"/>
      <c r="AG138" s="43"/>
      <c r="AH138" s="6">
        <f>TABL12345[[#This Row],[ (RESV. STORGE) BER]]/10</f>
        <v>0</v>
      </c>
      <c r="AI138" s="41"/>
      <c r="AJ138" s="41">
        <f>TABL12345[[#This Row],[(A/B TOT) AJD]]-TABL12345[[#This Row],[BER_ IN]]</f>
        <v>0</v>
      </c>
      <c r="AK138" s="43"/>
      <c r="AL138" s="43"/>
      <c r="AM138" s="32"/>
      <c r="AN138" s="32">
        <f>TABL12345[[#This Row],[ (RESV. STORGE) SER]]/10</f>
        <v>0</v>
      </c>
      <c r="AO138" s="68"/>
      <c r="AP138" s="68">
        <f>TABL12345[[#This Row],[(A/S TOT) AJD]]-TABL12345[[#This Row],[SER_ IN]]</f>
        <v>0</v>
      </c>
    </row>
    <row r="139" spans="1:42" ht="18.75" x14ac:dyDescent="0.25">
      <c r="A139" s="2">
        <v>47256</v>
      </c>
      <c r="B139" s="44"/>
      <c r="C139" s="44"/>
      <c r="D139" s="44"/>
      <c r="E139" s="44"/>
      <c r="F139" s="44"/>
      <c r="G139" s="40"/>
      <c r="H139" s="28"/>
      <c r="I139" s="40"/>
      <c r="J139" s="44"/>
      <c r="K139" s="28">
        <f>TABL12345[[#This Row],[خط (T/B  TOT) SAR]]+TABL12345[[#This Row],[خط (S/S  TOT) SAR2]]</f>
        <v>0</v>
      </c>
      <c r="L139" s="45"/>
      <c r="M139" s="46"/>
      <c r="N139" s="46"/>
      <c r="O139" s="40"/>
      <c r="P139" s="3">
        <f>TABL12345[[#This Row],[خط (S/S  TOT) SAR2]]-TABL12345[[#This Row],[(S/S TOT) AJD]]</f>
        <v>0</v>
      </c>
      <c r="Q139" s="40"/>
      <c r="R139" s="3">
        <f>TABL12345[[#This Row],[خط (T/B  TOT) SAR]]-TABL12345[[#This Row],[(T/B TOT) AJD]]</f>
        <v>0</v>
      </c>
      <c r="S139" s="3">
        <f>TABL12345[[#This Row],[الفرق بين بداية ونهاية خط  S/S]]+TABL12345[[#This Row],[الفرق بين بداية ونهاية خط  T/B]]</f>
        <v>0</v>
      </c>
      <c r="T139" s="3">
        <f t="shared" si="8"/>
        <v>0</v>
      </c>
      <c r="U139" s="44"/>
      <c r="V139" s="44"/>
      <c r="W139" s="3">
        <f t="shared" si="9"/>
        <v>0</v>
      </c>
      <c r="X139" s="3">
        <f t="shared" si="10"/>
        <v>0</v>
      </c>
      <c r="Y139" s="44"/>
      <c r="Z139" s="45"/>
      <c r="AA139" s="3">
        <f>TABL12345[[#This Row],[(RESV. STORGE) AJD]]/10</f>
        <v>0</v>
      </c>
      <c r="AB139" s="45">
        <f t="shared" si="11"/>
        <v>0</v>
      </c>
      <c r="AC139" s="5"/>
      <c r="AD139" s="40">
        <f>(TABL12345[[#This Row],[( S/S+T/B) AJD]]*1000)-((TABL12345[[#This Row],[(STORGE DIFF.) AJD]]*1000)+TABL12345[[#This Row],[البخر  AJD]]+(TABL12345[[#This Row],[(A/B + A/S) AJD]]*1000))</f>
        <v>0</v>
      </c>
      <c r="AE139" s="44"/>
      <c r="AF139" s="45"/>
      <c r="AG139" s="45"/>
      <c r="AH139" s="6">
        <f>TABL12345[[#This Row],[ (RESV. STORGE) BER]]/10</f>
        <v>0</v>
      </c>
      <c r="AI139" s="44"/>
      <c r="AJ139" s="44">
        <f>TABL12345[[#This Row],[(A/B TOT) AJD]]-TABL12345[[#This Row],[BER_ IN]]</f>
        <v>0</v>
      </c>
      <c r="AK139" s="45"/>
      <c r="AL139" s="45"/>
      <c r="AM139" s="32"/>
      <c r="AN139" s="32">
        <f>TABL12345[[#This Row],[ (RESV. STORGE) SER]]/10</f>
        <v>0</v>
      </c>
      <c r="AO139" s="68"/>
      <c r="AP139" s="68">
        <f>TABL12345[[#This Row],[(A/S TOT) AJD]]-TABL12345[[#This Row],[SER_ IN]]</f>
        <v>0</v>
      </c>
    </row>
    <row r="140" spans="1:42" ht="18.75" x14ac:dyDescent="0.25">
      <c r="A140" s="2">
        <v>47257</v>
      </c>
      <c r="B140" s="41"/>
      <c r="C140" s="41"/>
      <c r="D140" s="41"/>
      <c r="E140" s="41"/>
      <c r="F140" s="41"/>
      <c r="G140" s="39"/>
      <c r="H140" s="28"/>
      <c r="I140" s="39"/>
      <c r="J140" s="39"/>
      <c r="K140" s="28">
        <f>TABL12345[[#This Row],[خط (T/B  TOT) SAR]]+TABL12345[[#This Row],[خط (S/S  TOT) SAR2]]</f>
        <v>0</v>
      </c>
      <c r="L140" s="41"/>
      <c r="M140" s="42"/>
      <c r="N140" s="42"/>
      <c r="O140" s="39"/>
      <c r="P140" s="3">
        <f>TABL12345[[#This Row],[خط (S/S  TOT) SAR2]]-TABL12345[[#This Row],[(S/S TOT) AJD]]</f>
        <v>0</v>
      </c>
      <c r="Q140" s="39"/>
      <c r="R140" s="3">
        <f>TABL12345[[#This Row],[خط (T/B  TOT) SAR]]-TABL12345[[#This Row],[(T/B TOT) AJD]]</f>
        <v>0</v>
      </c>
      <c r="S140" s="3">
        <f>TABL12345[[#This Row],[الفرق بين بداية ونهاية خط  S/S]]+TABL12345[[#This Row],[الفرق بين بداية ونهاية خط  T/B]]</f>
        <v>0</v>
      </c>
      <c r="T140" s="3">
        <f t="shared" si="8"/>
        <v>0</v>
      </c>
      <c r="U140" s="41"/>
      <c r="V140" s="41"/>
      <c r="W140" s="3">
        <f t="shared" si="9"/>
        <v>0</v>
      </c>
      <c r="X140" s="3">
        <f t="shared" si="10"/>
        <v>0</v>
      </c>
      <c r="Y140" s="41"/>
      <c r="Z140" s="43"/>
      <c r="AA140" s="3">
        <f>TABL12345[[#This Row],[(RESV. STORGE) AJD]]/10</f>
        <v>0</v>
      </c>
      <c r="AB140" s="43">
        <f t="shared" si="11"/>
        <v>0</v>
      </c>
      <c r="AC140" s="5"/>
      <c r="AD140" s="39">
        <f>(TABL12345[[#This Row],[( S/S+T/B) AJD]]*1000)-((TABL12345[[#This Row],[(STORGE DIFF.) AJD]]*1000)+TABL12345[[#This Row],[البخر  AJD]]+(TABL12345[[#This Row],[(A/B + A/S) AJD]]*1000))</f>
        <v>0</v>
      </c>
      <c r="AE140" s="41"/>
      <c r="AF140" s="43"/>
      <c r="AG140" s="43"/>
      <c r="AH140" s="6">
        <f>TABL12345[[#This Row],[ (RESV. STORGE) BER]]/10</f>
        <v>0</v>
      </c>
      <c r="AI140" s="41"/>
      <c r="AJ140" s="41">
        <f>TABL12345[[#This Row],[(A/B TOT) AJD]]-TABL12345[[#This Row],[BER_ IN]]</f>
        <v>0</v>
      </c>
      <c r="AK140" s="43"/>
      <c r="AL140" s="43"/>
      <c r="AM140" s="32"/>
      <c r="AN140" s="32">
        <f>TABL12345[[#This Row],[ (RESV. STORGE) SER]]/10</f>
        <v>0</v>
      </c>
      <c r="AO140" s="68"/>
      <c r="AP140" s="68">
        <f>TABL12345[[#This Row],[(A/S TOT) AJD]]-TABL12345[[#This Row],[SER_ IN]]</f>
        <v>0</v>
      </c>
    </row>
    <row r="141" spans="1:42" ht="18.75" x14ac:dyDescent="0.25">
      <c r="A141" s="2">
        <v>47258</v>
      </c>
      <c r="B141" s="44"/>
      <c r="C141" s="44"/>
      <c r="D141" s="44"/>
      <c r="E141" s="44"/>
      <c r="F141" s="44"/>
      <c r="G141" s="40"/>
      <c r="H141" s="28"/>
      <c r="I141" s="40"/>
      <c r="J141" s="44"/>
      <c r="K141" s="28">
        <f>TABL12345[[#This Row],[خط (T/B  TOT) SAR]]+TABL12345[[#This Row],[خط (S/S  TOT) SAR2]]</f>
        <v>0</v>
      </c>
      <c r="L141" s="45"/>
      <c r="M141" s="46"/>
      <c r="N141" s="46"/>
      <c r="O141" s="40"/>
      <c r="P141" s="3">
        <f>TABL12345[[#This Row],[خط (S/S  TOT) SAR2]]-TABL12345[[#This Row],[(S/S TOT) AJD]]</f>
        <v>0</v>
      </c>
      <c r="Q141" s="40"/>
      <c r="R141" s="3">
        <f>TABL12345[[#This Row],[خط (T/B  TOT) SAR]]-TABL12345[[#This Row],[(T/B TOT) AJD]]</f>
        <v>0</v>
      </c>
      <c r="S141" s="3">
        <f>TABL12345[[#This Row],[الفرق بين بداية ونهاية خط  S/S]]+TABL12345[[#This Row],[الفرق بين بداية ونهاية خط  T/B]]</f>
        <v>0</v>
      </c>
      <c r="T141" s="3">
        <f t="shared" si="8"/>
        <v>0</v>
      </c>
      <c r="U141" s="44"/>
      <c r="V141" s="44"/>
      <c r="W141" s="3">
        <f t="shared" si="9"/>
        <v>0</v>
      </c>
      <c r="X141" s="3">
        <f t="shared" si="10"/>
        <v>0</v>
      </c>
      <c r="Y141" s="44"/>
      <c r="Z141" s="45"/>
      <c r="AA141" s="3">
        <f>TABL12345[[#This Row],[(RESV. STORGE) AJD]]/10</f>
        <v>0</v>
      </c>
      <c r="AB141" s="45">
        <f t="shared" si="11"/>
        <v>0</v>
      </c>
      <c r="AC141" s="5"/>
      <c r="AD141" s="40">
        <f>(TABL12345[[#This Row],[( S/S+T/B) AJD]]*1000)-((TABL12345[[#This Row],[(STORGE DIFF.) AJD]]*1000)+TABL12345[[#This Row],[البخر  AJD]]+(TABL12345[[#This Row],[(A/B + A/S) AJD]]*1000))</f>
        <v>0</v>
      </c>
      <c r="AE141" s="44"/>
      <c r="AF141" s="45"/>
      <c r="AG141" s="45"/>
      <c r="AH141" s="6">
        <f>TABL12345[[#This Row],[ (RESV. STORGE) BER]]/10</f>
        <v>0</v>
      </c>
      <c r="AI141" s="44"/>
      <c r="AJ141" s="44">
        <f>TABL12345[[#This Row],[(A/B TOT) AJD]]-TABL12345[[#This Row],[BER_ IN]]</f>
        <v>0</v>
      </c>
      <c r="AK141" s="45"/>
      <c r="AL141" s="45"/>
      <c r="AM141" s="32"/>
      <c r="AN141" s="32">
        <f>TABL12345[[#This Row],[ (RESV. STORGE) SER]]/10</f>
        <v>0</v>
      </c>
      <c r="AO141" s="68"/>
      <c r="AP141" s="68">
        <f>TABL12345[[#This Row],[(A/S TOT) AJD]]-TABL12345[[#This Row],[SER_ IN]]</f>
        <v>0</v>
      </c>
    </row>
    <row r="142" spans="1:42" ht="18.75" x14ac:dyDescent="0.25">
      <c r="A142" s="2">
        <v>47259</v>
      </c>
      <c r="B142" s="41"/>
      <c r="C142" s="41"/>
      <c r="D142" s="41"/>
      <c r="E142" s="41"/>
      <c r="F142" s="41"/>
      <c r="G142" s="39"/>
      <c r="H142" s="28"/>
      <c r="I142" s="39"/>
      <c r="J142" s="39"/>
      <c r="K142" s="28">
        <f>TABL12345[[#This Row],[خط (T/B  TOT) SAR]]+TABL12345[[#This Row],[خط (S/S  TOT) SAR2]]</f>
        <v>0</v>
      </c>
      <c r="L142" s="41"/>
      <c r="M142" s="42"/>
      <c r="N142" s="42"/>
      <c r="O142" s="39"/>
      <c r="P142" s="3">
        <f>TABL12345[[#This Row],[خط (S/S  TOT) SAR2]]-TABL12345[[#This Row],[(S/S TOT) AJD]]</f>
        <v>0</v>
      </c>
      <c r="Q142" s="39"/>
      <c r="R142" s="3">
        <f>TABL12345[[#This Row],[خط (T/B  TOT) SAR]]-TABL12345[[#This Row],[(T/B TOT) AJD]]</f>
        <v>0</v>
      </c>
      <c r="S142" s="3">
        <f>TABL12345[[#This Row],[الفرق بين بداية ونهاية خط  S/S]]+TABL12345[[#This Row],[الفرق بين بداية ونهاية خط  T/B]]</f>
        <v>0</v>
      </c>
      <c r="T142" s="3">
        <f t="shared" si="8"/>
        <v>0</v>
      </c>
      <c r="U142" s="41"/>
      <c r="V142" s="41"/>
      <c r="W142" s="3">
        <f t="shared" si="9"/>
        <v>0</v>
      </c>
      <c r="X142" s="3">
        <f t="shared" si="10"/>
        <v>0</v>
      </c>
      <c r="Y142" s="41"/>
      <c r="Z142" s="43"/>
      <c r="AA142" s="3">
        <f>TABL12345[[#This Row],[(RESV. STORGE) AJD]]/10</f>
        <v>0</v>
      </c>
      <c r="AB142" s="43">
        <f t="shared" si="11"/>
        <v>0</v>
      </c>
      <c r="AC142" s="5"/>
      <c r="AD142" s="39">
        <f>(TABL12345[[#This Row],[( S/S+T/B) AJD]]*1000)-((TABL12345[[#This Row],[(STORGE DIFF.) AJD]]*1000)+TABL12345[[#This Row],[البخر  AJD]]+(TABL12345[[#This Row],[(A/B + A/S) AJD]]*1000))</f>
        <v>0</v>
      </c>
      <c r="AE142" s="41"/>
      <c r="AF142" s="43"/>
      <c r="AG142" s="43"/>
      <c r="AH142" s="6">
        <f>TABL12345[[#This Row],[ (RESV. STORGE) BER]]/10</f>
        <v>0</v>
      </c>
      <c r="AI142" s="41"/>
      <c r="AJ142" s="41">
        <f>TABL12345[[#This Row],[(A/B TOT) AJD]]-TABL12345[[#This Row],[BER_ IN]]</f>
        <v>0</v>
      </c>
      <c r="AK142" s="43"/>
      <c r="AL142" s="43"/>
      <c r="AM142" s="32"/>
      <c r="AN142" s="32">
        <f>TABL12345[[#This Row],[ (RESV. STORGE) SER]]/10</f>
        <v>0</v>
      </c>
      <c r="AO142" s="68"/>
      <c r="AP142" s="68">
        <f>TABL12345[[#This Row],[(A/S TOT) AJD]]-TABL12345[[#This Row],[SER_ IN]]</f>
        <v>0</v>
      </c>
    </row>
    <row r="143" spans="1:42" ht="18.75" x14ac:dyDescent="0.25">
      <c r="A143" s="2">
        <v>47260</v>
      </c>
      <c r="B143" s="44"/>
      <c r="C143" s="44"/>
      <c r="D143" s="44"/>
      <c r="E143" s="44"/>
      <c r="F143" s="44"/>
      <c r="G143" s="40"/>
      <c r="H143" s="28"/>
      <c r="I143" s="40"/>
      <c r="J143" s="44"/>
      <c r="K143" s="28">
        <f>TABL12345[[#This Row],[خط (T/B  TOT) SAR]]+TABL12345[[#This Row],[خط (S/S  TOT) SAR2]]</f>
        <v>0</v>
      </c>
      <c r="L143" s="45"/>
      <c r="M143" s="46"/>
      <c r="N143" s="46"/>
      <c r="O143" s="40"/>
      <c r="P143" s="3">
        <f>TABL12345[[#This Row],[خط (S/S  TOT) SAR2]]-TABL12345[[#This Row],[(S/S TOT) AJD]]</f>
        <v>0</v>
      </c>
      <c r="Q143" s="40"/>
      <c r="R143" s="3">
        <f>TABL12345[[#This Row],[خط (T/B  TOT) SAR]]-TABL12345[[#This Row],[(T/B TOT) AJD]]</f>
        <v>0</v>
      </c>
      <c r="S143" s="3">
        <f>TABL12345[[#This Row],[الفرق بين بداية ونهاية خط  S/S]]+TABL12345[[#This Row],[الفرق بين بداية ونهاية خط  T/B]]</f>
        <v>0</v>
      </c>
      <c r="T143" s="3">
        <f t="shared" si="8"/>
        <v>0</v>
      </c>
      <c r="U143" s="44"/>
      <c r="V143" s="44"/>
      <c r="W143" s="3">
        <f t="shared" si="9"/>
        <v>0</v>
      </c>
      <c r="X143" s="3">
        <f t="shared" si="10"/>
        <v>0</v>
      </c>
      <c r="Y143" s="44"/>
      <c r="Z143" s="45"/>
      <c r="AA143" s="3">
        <f>TABL12345[[#This Row],[(RESV. STORGE) AJD]]/10</f>
        <v>0</v>
      </c>
      <c r="AB143" s="45">
        <f t="shared" si="11"/>
        <v>0</v>
      </c>
      <c r="AC143" s="5"/>
      <c r="AD143" s="40">
        <f>(TABL12345[[#This Row],[( S/S+T/B) AJD]]*1000)-((TABL12345[[#This Row],[(STORGE DIFF.) AJD]]*1000)+TABL12345[[#This Row],[البخر  AJD]]+(TABL12345[[#This Row],[(A/B + A/S) AJD]]*1000))</f>
        <v>0</v>
      </c>
      <c r="AE143" s="44"/>
      <c r="AF143" s="45"/>
      <c r="AG143" s="45"/>
      <c r="AH143" s="6">
        <f>TABL12345[[#This Row],[ (RESV. STORGE) BER]]/10</f>
        <v>0</v>
      </c>
      <c r="AI143" s="44"/>
      <c r="AJ143" s="44">
        <f>TABL12345[[#This Row],[(A/B TOT) AJD]]-TABL12345[[#This Row],[BER_ IN]]</f>
        <v>0</v>
      </c>
      <c r="AK143" s="45"/>
      <c r="AL143" s="45"/>
      <c r="AM143" s="32"/>
      <c r="AN143" s="32">
        <f>TABL12345[[#This Row],[ (RESV. STORGE) SER]]/10</f>
        <v>0</v>
      </c>
      <c r="AO143" s="68"/>
      <c r="AP143" s="68">
        <f>TABL12345[[#This Row],[(A/S TOT) AJD]]-TABL12345[[#This Row],[SER_ IN]]</f>
        <v>0</v>
      </c>
    </row>
    <row r="144" spans="1:42" ht="18.75" x14ac:dyDescent="0.25">
      <c r="A144" s="2">
        <v>47261</v>
      </c>
      <c r="B144" s="41"/>
      <c r="C144" s="41"/>
      <c r="D144" s="41"/>
      <c r="E144" s="41"/>
      <c r="F144" s="41"/>
      <c r="G144" s="39"/>
      <c r="H144" s="28"/>
      <c r="I144" s="39"/>
      <c r="J144" s="39"/>
      <c r="K144" s="28">
        <f>TABL12345[[#This Row],[خط (T/B  TOT) SAR]]+TABL12345[[#This Row],[خط (S/S  TOT) SAR2]]</f>
        <v>0</v>
      </c>
      <c r="L144" s="41"/>
      <c r="M144" s="42"/>
      <c r="N144" s="42"/>
      <c r="O144" s="39"/>
      <c r="P144" s="3">
        <f>TABL12345[[#This Row],[خط (S/S  TOT) SAR2]]-TABL12345[[#This Row],[(S/S TOT) AJD]]</f>
        <v>0</v>
      </c>
      <c r="Q144" s="39"/>
      <c r="R144" s="3">
        <f>TABL12345[[#This Row],[خط (T/B  TOT) SAR]]-TABL12345[[#This Row],[(T/B TOT) AJD]]</f>
        <v>0</v>
      </c>
      <c r="S144" s="3">
        <f>TABL12345[[#This Row],[الفرق بين بداية ونهاية خط  S/S]]+TABL12345[[#This Row],[الفرق بين بداية ونهاية خط  T/B]]</f>
        <v>0</v>
      </c>
      <c r="T144" s="3">
        <f t="shared" si="8"/>
        <v>0</v>
      </c>
      <c r="U144" s="41"/>
      <c r="V144" s="41"/>
      <c r="W144" s="3">
        <f t="shared" si="9"/>
        <v>0</v>
      </c>
      <c r="X144" s="3">
        <f t="shared" si="10"/>
        <v>0</v>
      </c>
      <c r="Y144" s="41"/>
      <c r="Z144" s="43"/>
      <c r="AA144" s="3">
        <f>TABL12345[[#This Row],[(RESV. STORGE) AJD]]/10</f>
        <v>0</v>
      </c>
      <c r="AB144" s="43">
        <f t="shared" si="11"/>
        <v>0</v>
      </c>
      <c r="AC144" s="5"/>
      <c r="AD144" s="39">
        <f>(TABL12345[[#This Row],[( S/S+T/B) AJD]]*1000)-((TABL12345[[#This Row],[(STORGE DIFF.) AJD]]*1000)+TABL12345[[#This Row],[البخر  AJD]]+(TABL12345[[#This Row],[(A/B + A/S) AJD]]*1000))</f>
        <v>0</v>
      </c>
      <c r="AE144" s="41"/>
      <c r="AF144" s="43"/>
      <c r="AG144" s="43"/>
      <c r="AH144" s="6">
        <f>TABL12345[[#This Row],[ (RESV. STORGE) BER]]/10</f>
        <v>0</v>
      </c>
      <c r="AI144" s="41"/>
      <c r="AJ144" s="41">
        <f>TABL12345[[#This Row],[(A/B TOT) AJD]]-TABL12345[[#This Row],[BER_ IN]]</f>
        <v>0</v>
      </c>
      <c r="AK144" s="43"/>
      <c r="AL144" s="43"/>
      <c r="AM144" s="32"/>
      <c r="AN144" s="32">
        <f>TABL12345[[#This Row],[ (RESV. STORGE) SER]]/10</f>
        <v>0</v>
      </c>
      <c r="AO144" s="68"/>
      <c r="AP144" s="68">
        <f>TABL12345[[#This Row],[(A/S TOT) AJD]]-TABL12345[[#This Row],[SER_ IN]]</f>
        <v>0</v>
      </c>
    </row>
    <row r="145" spans="1:42" ht="18.75" x14ac:dyDescent="0.25">
      <c r="A145" s="2">
        <v>47262</v>
      </c>
      <c r="B145" s="44"/>
      <c r="C145" s="44"/>
      <c r="D145" s="44"/>
      <c r="E145" s="44"/>
      <c r="F145" s="44"/>
      <c r="G145" s="40"/>
      <c r="H145" s="28"/>
      <c r="I145" s="40"/>
      <c r="J145" s="44"/>
      <c r="K145" s="28">
        <f>TABL12345[[#This Row],[خط (T/B  TOT) SAR]]+TABL12345[[#This Row],[خط (S/S  TOT) SAR2]]</f>
        <v>0</v>
      </c>
      <c r="L145" s="45"/>
      <c r="M145" s="46"/>
      <c r="N145" s="46"/>
      <c r="O145" s="40"/>
      <c r="P145" s="3">
        <f>TABL12345[[#This Row],[خط (S/S  TOT) SAR2]]-TABL12345[[#This Row],[(S/S TOT) AJD]]</f>
        <v>0</v>
      </c>
      <c r="Q145" s="40"/>
      <c r="R145" s="3">
        <f>TABL12345[[#This Row],[خط (T/B  TOT) SAR]]-TABL12345[[#This Row],[(T/B TOT) AJD]]</f>
        <v>0</v>
      </c>
      <c r="S145" s="3">
        <f>TABL12345[[#This Row],[الفرق بين بداية ونهاية خط  S/S]]+TABL12345[[#This Row],[الفرق بين بداية ونهاية خط  T/B]]</f>
        <v>0</v>
      </c>
      <c r="T145" s="3">
        <f t="shared" si="8"/>
        <v>0</v>
      </c>
      <c r="U145" s="44"/>
      <c r="V145" s="44"/>
      <c r="W145" s="3">
        <f t="shared" si="9"/>
        <v>0</v>
      </c>
      <c r="X145" s="3">
        <f t="shared" si="10"/>
        <v>0</v>
      </c>
      <c r="Y145" s="44"/>
      <c r="Z145" s="45"/>
      <c r="AA145" s="3">
        <f>TABL12345[[#This Row],[(RESV. STORGE) AJD]]/10</f>
        <v>0</v>
      </c>
      <c r="AB145" s="45">
        <f t="shared" si="11"/>
        <v>0</v>
      </c>
      <c r="AC145" s="5"/>
      <c r="AD145" s="40">
        <f>(TABL12345[[#This Row],[( S/S+T/B) AJD]]*1000)-((TABL12345[[#This Row],[(STORGE DIFF.) AJD]]*1000)+TABL12345[[#This Row],[البخر  AJD]]+(TABL12345[[#This Row],[(A/B + A/S) AJD]]*1000))</f>
        <v>0</v>
      </c>
      <c r="AE145" s="44"/>
      <c r="AF145" s="45"/>
      <c r="AG145" s="45"/>
      <c r="AH145" s="6">
        <f>TABL12345[[#This Row],[ (RESV. STORGE) BER]]/10</f>
        <v>0</v>
      </c>
      <c r="AI145" s="44"/>
      <c r="AJ145" s="44">
        <f>TABL12345[[#This Row],[(A/B TOT) AJD]]-TABL12345[[#This Row],[BER_ IN]]</f>
        <v>0</v>
      </c>
      <c r="AK145" s="45"/>
      <c r="AL145" s="45"/>
      <c r="AM145" s="32"/>
      <c r="AN145" s="32">
        <f>TABL12345[[#This Row],[ (RESV. STORGE) SER]]/10</f>
        <v>0</v>
      </c>
      <c r="AO145" s="68"/>
      <c r="AP145" s="68">
        <f>TABL12345[[#This Row],[(A/S TOT) AJD]]-TABL12345[[#This Row],[SER_ IN]]</f>
        <v>0</v>
      </c>
    </row>
    <row r="146" spans="1:42" ht="18.75" x14ac:dyDescent="0.25">
      <c r="A146" s="2">
        <v>47263</v>
      </c>
      <c r="B146" s="41"/>
      <c r="C146" s="41"/>
      <c r="D146" s="41"/>
      <c r="E146" s="41"/>
      <c r="F146" s="41"/>
      <c r="G146" s="39"/>
      <c r="H146" s="28"/>
      <c r="I146" s="39"/>
      <c r="J146" s="39"/>
      <c r="K146" s="28">
        <f>TABL12345[[#This Row],[خط (T/B  TOT) SAR]]+TABL12345[[#This Row],[خط (S/S  TOT) SAR2]]</f>
        <v>0</v>
      </c>
      <c r="L146" s="41"/>
      <c r="M146" s="42"/>
      <c r="N146" s="42"/>
      <c r="O146" s="39"/>
      <c r="P146" s="3">
        <f>TABL12345[[#This Row],[خط (S/S  TOT) SAR2]]-TABL12345[[#This Row],[(S/S TOT) AJD]]</f>
        <v>0</v>
      </c>
      <c r="Q146" s="39"/>
      <c r="R146" s="3">
        <f>TABL12345[[#This Row],[خط (T/B  TOT) SAR]]-TABL12345[[#This Row],[(T/B TOT) AJD]]</f>
        <v>0</v>
      </c>
      <c r="S146" s="3">
        <f>TABL12345[[#This Row],[الفرق بين بداية ونهاية خط  S/S]]+TABL12345[[#This Row],[الفرق بين بداية ونهاية خط  T/B]]</f>
        <v>0</v>
      </c>
      <c r="T146" s="3">
        <f t="shared" si="8"/>
        <v>0</v>
      </c>
      <c r="U146" s="41"/>
      <c r="V146" s="41"/>
      <c r="W146" s="3">
        <f t="shared" si="9"/>
        <v>0</v>
      </c>
      <c r="X146" s="3">
        <f t="shared" si="10"/>
        <v>0</v>
      </c>
      <c r="Y146" s="41"/>
      <c r="Z146" s="43"/>
      <c r="AA146" s="3">
        <f>TABL12345[[#This Row],[(RESV. STORGE) AJD]]/10</f>
        <v>0</v>
      </c>
      <c r="AB146" s="43">
        <f t="shared" si="11"/>
        <v>0</v>
      </c>
      <c r="AC146" s="5"/>
      <c r="AD146" s="39">
        <f>(TABL12345[[#This Row],[( S/S+T/B) AJD]]*1000)-((TABL12345[[#This Row],[(STORGE DIFF.) AJD]]*1000)+TABL12345[[#This Row],[البخر  AJD]]+(TABL12345[[#This Row],[(A/B + A/S) AJD]]*1000))</f>
        <v>0</v>
      </c>
      <c r="AE146" s="41"/>
      <c r="AF146" s="43"/>
      <c r="AG146" s="43"/>
      <c r="AH146" s="6">
        <f>TABL12345[[#This Row],[ (RESV. STORGE) BER]]/10</f>
        <v>0</v>
      </c>
      <c r="AI146" s="41"/>
      <c r="AJ146" s="41">
        <f>TABL12345[[#This Row],[(A/B TOT) AJD]]-TABL12345[[#This Row],[BER_ IN]]</f>
        <v>0</v>
      </c>
      <c r="AK146" s="43"/>
      <c r="AL146" s="43"/>
      <c r="AM146" s="32"/>
      <c r="AN146" s="32">
        <f>TABL12345[[#This Row],[ (RESV. STORGE) SER]]/10</f>
        <v>0</v>
      </c>
      <c r="AO146" s="68"/>
      <c r="AP146" s="68">
        <f>TABL12345[[#This Row],[(A/S TOT) AJD]]-TABL12345[[#This Row],[SER_ IN]]</f>
        <v>0</v>
      </c>
    </row>
    <row r="147" spans="1:42" ht="18.75" x14ac:dyDescent="0.25">
      <c r="A147" s="2">
        <v>47264</v>
      </c>
      <c r="B147" s="44"/>
      <c r="C147" s="44"/>
      <c r="D147" s="44"/>
      <c r="E147" s="44"/>
      <c r="F147" s="44"/>
      <c r="G147" s="40"/>
      <c r="H147" s="28"/>
      <c r="I147" s="40"/>
      <c r="J147" s="44"/>
      <c r="K147" s="28">
        <f>TABL12345[[#This Row],[خط (T/B  TOT) SAR]]+TABL12345[[#This Row],[خط (S/S  TOT) SAR2]]</f>
        <v>0</v>
      </c>
      <c r="L147" s="45"/>
      <c r="M147" s="46"/>
      <c r="N147" s="46"/>
      <c r="O147" s="40"/>
      <c r="P147" s="3">
        <f>TABL12345[[#This Row],[خط (S/S  TOT) SAR2]]-TABL12345[[#This Row],[(S/S TOT) AJD]]</f>
        <v>0</v>
      </c>
      <c r="Q147" s="40"/>
      <c r="R147" s="3">
        <f>TABL12345[[#This Row],[خط (T/B  TOT) SAR]]-TABL12345[[#This Row],[(T/B TOT) AJD]]</f>
        <v>0</v>
      </c>
      <c r="S147" s="3">
        <f>TABL12345[[#This Row],[الفرق بين بداية ونهاية خط  S/S]]+TABL12345[[#This Row],[الفرق بين بداية ونهاية خط  T/B]]</f>
        <v>0</v>
      </c>
      <c r="T147" s="3">
        <f t="shared" si="8"/>
        <v>0</v>
      </c>
      <c r="U147" s="44"/>
      <c r="V147" s="44"/>
      <c r="W147" s="3">
        <f t="shared" si="9"/>
        <v>0</v>
      </c>
      <c r="X147" s="3">
        <f t="shared" si="10"/>
        <v>0</v>
      </c>
      <c r="Y147" s="44"/>
      <c r="Z147" s="45"/>
      <c r="AA147" s="3">
        <f>TABL12345[[#This Row],[(RESV. STORGE) AJD]]/10</f>
        <v>0</v>
      </c>
      <c r="AB147" s="45">
        <f t="shared" si="11"/>
        <v>0</v>
      </c>
      <c r="AC147" s="5"/>
      <c r="AD147" s="40">
        <f>(TABL12345[[#This Row],[( S/S+T/B) AJD]]*1000)-((TABL12345[[#This Row],[(STORGE DIFF.) AJD]]*1000)+TABL12345[[#This Row],[البخر  AJD]]+(TABL12345[[#This Row],[(A/B + A/S) AJD]]*1000))</f>
        <v>0</v>
      </c>
      <c r="AE147" s="44"/>
      <c r="AF147" s="45"/>
      <c r="AG147" s="45"/>
      <c r="AH147" s="6">
        <f>TABL12345[[#This Row],[ (RESV. STORGE) BER]]/10</f>
        <v>0</v>
      </c>
      <c r="AI147" s="44"/>
      <c r="AJ147" s="44">
        <f>TABL12345[[#This Row],[(A/B TOT) AJD]]-TABL12345[[#This Row],[BER_ IN]]</f>
        <v>0</v>
      </c>
      <c r="AK147" s="45"/>
      <c r="AL147" s="45"/>
      <c r="AM147" s="32"/>
      <c r="AN147" s="32">
        <f>TABL12345[[#This Row],[ (RESV. STORGE) SER]]/10</f>
        <v>0</v>
      </c>
      <c r="AO147" s="68"/>
      <c r="AP147" s="68">
        <f>TABL12345[[#This Row],[(A/S TOT) AJD]]-TABL12345[[#This Row],[SER_ IN]]</f>
        <v>0</v>
      </c>
    </row>
    <row r="148" spans="1:42" ht="18.75" x14ac:dyDescent="0.25">
      <c r="A148" s="2">
        <v>47265</v>
      </c>
      <c r="B148" s="41"/>
      <c r="C148" s="41"/>
      <c r="D148" s="41"/>
      <c r="E148" s="41"/>
      <c r="F148" s="41"/>
      <c r="G148" s="39"/>
      <c r="H148" s="28"/>
      <c r="I148" s="39"/>
      <c r="J148" s="39"/>
      <c r="K148" s="28">
        <f>TABL12345[[#This Row],[خط (T/B  TOT) SAR]]+TABL12345[[#This Row],[خط (S/S  TOT) SAR2]]</f>
        <v>0</v>
      </c>
      <c r="L148" s="41"/>
      <c r="M148" s="42"/>
      <c r="N148" s="42"/>
      <c r="O148" s="39"/>
      <c r="P148" s="3">
        <f>TABL12345[[#This Row],[خط (S/S  TOT) SAR2]]-TABL12345[[#This Row],[(S/S TOT) AJD]]</f>
        <v>0</v>
      </c>
      <c r="Q148" s="39"/>
      <c r="R148" s="3">
        <f>TABL12345[[#This Row],[خط (T/B  TOT) SAR]]-TABL12345[[#This Row],[(T/B TOT) AJD]]</f>
        <v>0</v>
      </c>
      <c r="S148" s="3">
        <f>TABL12345[[#This Row],[الفرق بين بداية ونهاية خط  S/S]]+TABL12345[[#This Row],[الفرق بين بداية ونهاية خط  T/B]]</f>
        <v>0</v>
      </c>
      <c r="T148" s="3">
        <f t="shared" si="8"/>
        <v>0</v>
      </c>
      <c r="U148" s="41"/>
      <c r="V148" s="41"/>
      <c r="W148" s="3">
        <f t="shared" si="9"/>
        <v>0</v>
      </c>
      <c r="X148" s="3">
        <f t="shared" si="10"/>
        <v>0</v>
      </c>
      <c r="Y148" s="41"/>
      <c r="Z148" s="43"/>
      <c r="AA148" s="3">
        <f>TABL12345[[#This Row],[(RESV. STORGE) AJD]]/10</f>
        <v>0</v>
      </c>
      <c r="AB148" s="43">
        <f t="shared" si="11"/>
        <v>0</v>
      </c>
      <c r="AC148" s="5"/>
      <c r="AD148" s="39">
        <f>(TABL12345[[#This Row],[( S/S+T/B) AJD]]*1000)-((TABL12345[[#This Row],[(STORGE DIFF.) AJD]]*1000)+TABL12345[[#This Row],[البخر  AJD]]+(TABL12345[[#This Row],[(A/B + A/S) AJD]]*1000))</f>
        <v>0</v>
      </c>
      <c r="AE148" s="41"/>
      <c r="AF148" s="43"/>
      <c r="AG148" s="43"/>
      <c r="AH148" s="6">
        <f>TABL12345[[#This Row],[ (RESV. STORGE) BER]]/10</f>
        <v>0</v>
      </c>
      <c r="AI148" s="41"/>
      <c r="AJ148" s="41">
        <f>TABL12345[[#This Row],[(A/B TOT) AJD]]-TABL12345[[#This Row],[BER_ IN]]</f>
        <v>0</v>
      </c>
      <c r="AK148" s="43"/>
      <c r="AL148" s="43"/>
      <c r="AM148" s="32"/>
      <c r="AN148" s="32">
        <f>TABL12345[[#This Row],[ (RESV. STORGE) SER]]/10</f>
        <v>0</v>
      </c>
      <c r="AO148" s="68"/>
      <c r="AP148" s="68">
        <f>TABL12345[[#This Row],[(A/S TOT) AJD]]-TABL12345[[#This Row],[SER_ IN]]</f>
        <v>0</v>
      </c>
    </row>
    <row r="149" spans="1:42" ht="18.75" x14ac:dyDescent="0.25">
      <c r="A149" s="2">
        <v>47266</v>
      </c>
      <c r="B149" s="44"/>
      <c r="C149" s="44"/>
      <c r="D149" s="44"/>
      <c r="E149" s="44"/>
      <c r="F149" s="44"/>
      <c r="G149" s="40"/>
      <c r="H149" s="28"/>
      <c r="I149" s="40"/>
      <c r="J149" s="44"/>
      <c r="K149" s="28">
        <f>TABL12345[[#This Row],[خط (T/B  TOT) SAR]]+TABL12345[[#This Row],[خط (S/S  TOT) SAR2]]</f>
        <v>0</v>
      </c>
      <c r="L149" s="45"/>
      <c r="M149" s="46"/>
      <c r="N149" s="46"/>
      <c r="O149" s="40"/>
      <c r="P149" s="3">
        <f>TABL12345[[#This Row],[خط (S/S  TOT) SAR2]]-TABL12345[[#This Row],[(S/S TOT) AJD]]</f>
        <v>0</v>
      </c>
      <c r="Q149" s="40"/>
      <c r="R149" s="3">
        <f>TABL12345[[#This Row],[خط (T/B  TOT) SAR]]-TABL12345[[#This Row],[(T/B TOT) AJD]]</f>
        <v>0</v>
      </c>
      <c r="S149" s="3">
        <f>TABL12345[[#This Row],[الفرق بين بداية ونهاية خط  S/S]]+TABL12345[[#This Row],[الفرق بين بداية ونهاية خط  T/B]]</f>
        <v>0</v>
      </c>
      <c r="T149" s="3">
        <f t="shared" si="8"/>
        <v>0</v>
      </c>
      <c r="U149" s="44"/>
      <c r="V149" s="44"/>
      <c r="W149" s="3">
        <f t="shared" si="9"/>
        <v>0</v>
      </c>
      <c r="X149" s="3">
        <f t="shared" si="10"/>
        <v>0</v>
      </c>
      <c r="Y149" s="44"/>
      <c r="Z149" s="45"/>
      <c r="AA149" s="3">
        <f>TABL12345[[#This Row],[(RESV. STORGE) AJD]]/10</f>
        <v>0</v>
      </c>
      <c r="AB149" s="45">
        <f t="shared" si="11"/>
        <v>0</v>
      </c>
      <c r="AC149" s="5"/>
      <c r="AD149" s="40">
        <f>(TABL12345[[#This Row],[( S/S+T/B) AJD]]*1000)-((TABL12345[[#This Row],[(STORGE DIFF.) AJD]]*1000)+TABL12345[[#This Row],[البخر  AJD]]+(TABL12345[[#This Row],[(A/B + A/S) AJD]]*1000))</f>
        <v>0</v>
      </c>
      <c r="AE149" s="44"/>
      <c r="AF149" s="45"/>
      <c r="AG149" s="45"/>
      <c r="AH149" s="6">
        <f>TABL12345[[#This Row],[ (RESV. STORGE) BER]]/10</f>
        <v>0</v>
      </c>
      <c r="AI149" s="44"/>
      <c r="AJ149" s="44">
        <f>TABL12345[[#This Row],[(A/B TOT) AJD]]-TABL12345[[#This Row],[BER_ IN]]</f>
        <v>0</v>
      </c>
      <c r="AK149" s="45"/>
      <c r="AL149" s="45"/>
      <c r="AM149" s="32"/>
      <c r="AN149" s="32">
        <f>TABL12345[[#This Row],[ (RESV. STORGE) SER]]/10</f>
        <v>0</v>
      </c>
      <c r="AO149" s="68"/>
      <c r="AP149" s="68">
        <f>TABL12345[[#This Row],[(A/S TOT) AJD]]-TABL12345[[#This Row],[SER_ IN]]</f>
        <v>0</v>
      </c>
    </row>
    <row r="150" spans="1:42" ht="18.75" x14ac:dyDescent="0.25">
      <c r="A150" s="2">
        <v>47267</v>
      </c>
      <c r="B150" s="41"/>
      <c r="C150" s="41"/>
      <c r="D150" s="41"/>
      <c r="E150" s="41"/>
      <c r="F150" s="41"/>
      <c r="G150" s="39"/>
      <c r="H150" s="28"/>
      <c r="I150" s="39"/>
      <c r="J150" s="39"/>
      <c r="K150" s="28">
        <f>TABL12345[[#This Row],[خط (T/B  TOT) SAR]]+TABL12345[[#This Row],[خط (S/S  TOT) SAR2]]</f>
        <v>0</v>
      </c>
      <c r="L150" s="41"/>
      <c r="M150" s="42"/>
      <c r="N150" s="42"/>
      <c r="O150" s="39"/>
      <c r="P150" s="3">
        <f>TABL12345[[#This Row],[خط (S/S  TOT) SAR2]]-TABL12345[[#This Row],[(S/S TOT) AJD]]</f>
        <v>0</v>
      </c>
      <c r="Q150" s="39"/>
      <c r="R150" s="3">
        <f>TABL12345[[#This Row],[خط (T/B  TOT) SAR]]-TABL12345[[#This Row],[(T/B TOT) AJD]]</f>
        <v>0</v>
      </c>
      <c r="S150" s="3">
        <f>TABL12345[[#This Row],[الفرق بين بداية ونهاية خط  S/S]]+TABL12345[[#This Row],[الفرق بين بداية ونهاية خط  T/B]]</f>
        <v>0</v>
      </c>
      <c r="T150" s="3">
        <f t="shared" si="8"/>
        <v>0</v>
      </c>
      <c r="U150" s="41"/>
      <c r="V150" s="41"/>
      <c r="W150" s="3">
        <f t="shared" si="9"/>
        <v>0</v>
      </c>
      <c r="X150" s="3">
        <f t="shared" si="10"/>
        <v>0</v>
      </c>
      <c r="Y150" s="41"/>
      <c r="Z150" s="43"/>
      <c r="AA150" s="3">
        <f>TABL12345[[#This Row],[(RESV. STORGE) AJD]]/10</f>
        <v>0</v>
      </c>
      <c r="AB150" s="43">
        <f t="shared" si="11"/>
        <v>0</v>
      </c>
      <c r="AC150" s="5"/>
      <c r="AD150" s="39">
        <f>(TABL12345[[#This Row],[( S/S+T/B) AJD]]*1000)-((TABL12345[[#This Row],[(STORGE DIFF.) AJD]]*1000)+TABL12345[[#This Row],[البخر  AJD]]+(TABL12345[[#This Row],[(A/B + A/S) AJD]]*1000))</f>
        <v>0</v>
      </c>
      <c r="AE150" s="41"/>
      <c r="AF150" s="43"/>
      <c r="AG150" s="43"/>
      <c r="AH150" s="6">
        <f>TABL12345[[#This Row],[ (RESV. STORGE) BER]]/10</f>
        <v>0</v>
      </c>
      <c r="AI150" s="41"/>
      <c r="AJ150" s="41">
        <f>TABL12345[[#This Row],[(A/B TOT) AJD]]-TABL12345[[#This Row],[BER_ IN]]</f>
        <v>0</v>
      </c>
      <c r="AK150" s="43"/>
      <c r="AL150" s="43"/>
      <c r="AM150" s="32"/>
      <c r="AN150" s="32">
        <f>TABL12345[[#This Row],[ (RESV. STORGE) SER]]/10</f>
        <v>0</v>
      </c>
      <c r="AO150" s="68"/>
      <c r="AP150" s="68">
        <f>TABL12345[[#This Row],[(A/S TOT) AJD]]-TABL12345[[#This Row],[SER_ IN]]</f>
        <v>0</v>
      </c>
    </row>
    <row r="151" spans="1:42" ht="18.75" x14ac:dyDescent="0.25">
      <c r="A151" s="2">
        <v>47268</v>
      </c>
      <c r="B151" s="44"/>
      <c r="C151" s="44"/>
      <c r="D151" s="44"/>
      <c r="E151" s="44"/>
      <c r="F151" s="44"/>
      <c r="G151" s="40"/>
      <c r="H151" s="28"/>
      <c r="I151" s="40"/>
      <c r="J151" s="44"/>
      <c r="K151" s="28">
        <f>TABL12345[[#This Row],[خط (T/B  TOT) SAR]]+TABL12345[[#This Row],[خط (S/S  TOT) SAR2]]</f>
        <v>0</v>
      </c>
      <c r="L151" s="45"/>
      <c r="M151" s="46"/>
      <c r="N151" s="46"/>
      <c r="O151" s="40"/>
      <c r="P151" s="3">
        <f>TABL12345[[#This Row],[خط (S/S  TOT) SAR2]]-TABL12345[[#This Row],[(S/S TOT) AJD]]</f>
        <v>0</v>
      </c>
      <c r="Q151" s="40"/>
      <c r="R151" s="3">
        <f>TABL12345[[#This Row],[خط (T/B  TOT) SAR]]-TABL12345[[#This Row],[(T/B TOT) AJD]]</f>
        <v>0</v>
      </c>
      <c r="S151" s="3">
        <f>TABL12345[[#This Row],[الفرق بين بداية ونهاية خط  S/S]]+TABL12345[[#This Row],[الفرق بين بداية ونهاية خط  T/B]]</f>
        <v>0</v>
      </c>
      <c r="T151" s="3">
        <f t="shared" si="8"/>
        <v>0</v>
      </c>
      <c r="U151" s="44"/>
      <c r="V151" s="44"/>
      <c r="W151" s="3">
        <f t="shared" si="9"/>
        <v>0</v>
      </c>
      <c r="X151" s="3">
        <f t="shared" si="10"/>
        <v>0</v>
      </c>
      <c r="Y151" s="44"/>
      <c r="Z151" s="45"/>
      <c r="AA151" s="3">
        <f>TABL12345[[#This Row],[(RESV. STORGE) AJD]]/10</f>
        <v>0</v>
      </c>
      <c r="AB151" s="45">
        <f t="shared" si="11"/>
        <v>0</v>
      </c>
      <c r="AC151" s="5"/>
      <c r="AD151" s="70">
        <f>(TABL12345[[#This Row],[( S/S+T/B) AJD]]*1000)-((TABL12345[[#This Row],[(STORGE DIFF.) AJD]]*1000)+TABL12345[[#This Row],[البخر  AJD]]+(TABL12345[[#This Row],[(A/B + A/S) AJD]]*1000))</f>
        <v>0</v>
      </c>
      <c r="AE151" s="44"/>
      <c r="AF151" s="45"/>
      <c r="AG151" s="45"/>
      <c r="AH151" s="6">
        <f>TABL12345[[#This Row],[ (RESV. STORGE) BER]]/10</f>
        <v>0</v>
      </c>
      <c r="AI151" s="44"/>
      <c r="AJ151" s="67">
        <f>TABL12345[[#This Row],[(A/B TOT) AJD]]-TABL12345[[#This Row],[BER_ IN]]</f>
        <v>0</v>
      </c>
      <c r="AK151" s="45"/>
      <c r="AL151" s="45"/>
      <c r="AM151" s="32"/>
      <c r="AN151" s="32">
        <f>TABL12345[[#This Row],[ (RESV. STORGE) SER]]/10</f>
        <v>0</v>
      </c>
      <c r="AO151" s="68"/>
      <c r="AP151" s="68">
        <f>TABL12345[[#This Row],[(A/S TOT) AJD]]-TABL12345[[#This Row],[SER_ IN]]</f>
        <v>0</v>
      </c>
    </row>
    <row r="152" spans="1:42" ht="18.75" x14ac:dyDescent="0.25">
      <c r="A152" s="2">
        <v>47269</v>
      </c>
      <c r="B152" s="41"/>
      <c r="C152" s="41"/>
      <c r="D152" s="41"/>
      <c r="E152" s="28"/>
      <c r="F152" s="41"/>
      <c r="G152" s="39"/>
      <c r="H152" s="28"/>
      <c r="I152" s="39"/>
      <c r="J152" s="39"/>
      <c r="K152" s="28">
        <f>TABL12345[[#This Row],[خط (T/B  TOT) SAR]]+TABL12345[[#This Row],[خط (S/S  TOT) SAR2]]</f>
        <v>0</v>
      </c>
      <c r="L152" s="41"/>
      <c r="M152" s="42"/>
      <c r="N152" s="42"/>
      <c r="O152" s="39"/>
      <c r="P152" s="3">
        <f>TABL12345[[#This Row],[خط (S/S  TOT) SAR2]]-TABL12345[[#This Row],[(S/S TOT) AJD]]</f>
        <v>0</v>
      </c>
      <c r="Q152" s="39"/>
      <c r="R152" s="3">
        <f>TABL12345[[#This Row],[خط (T/B  TOT) SAR]]-TABL12345[[#This Row],[(T/B TOT) AJD]]</f>
        <v>0</v>
      </c>
      <c r="S152" s="3">
        <f>TABL12345[[#This Row],[الفرق بين بداية ونهاية خط  S/S]]+TABL12345[[#This Row],[الفرق بين بداية ونهاية خط  T/B]]</f>
        <v>0</v>
      </c>
      <c r="T152" s="3">
        <f t="shared" si="8"/>
        <v>0</v>
      </c>
      <c r="U152" s="41"/>
      <c r="V152" s="41"/>
      <c r="W152" s="3">
        <f t="shared" si="9"/>
        <v>0</v>
      </c>
      <c r="X152" s="3">
        <f t="shared" si="10"/>
        <v>0</v>
      </c>
      <c r="Y152" s="41"/>
      <c r="Z152" s="43"/>
      <c r="AA152" s="3">
        <f>TABL12345[[#This Row],[(RESV. STORGE) AJD]]/10</f>
        <v>0</v>
      </c>
      <c r="AB152" s="43">
        <f t="shared" si="11"/>
        <v>0</v>
      </c>
      <c r="AC152" s="5"/>
      <c r="AD152" s="39">
        <f>(TABL12345[[#This Row],[( S/S+T/B) AJD]]*1000)-((TABL12345[[#This Row],[(STORGE DIFF.) AJD]]*1000)+TABL12345[[#This Row],[البخر  AJD]]+(TABL12345[[#This Row],[(A/B + A/S) AJD]]*1000))</f>
        <v>0</v>
      </c>
      <c r="AE152" s="41"/>
      <c r="AF152" s="43"/>
      <c r="AG152" s="43"/>
      <c r="AH152" s="6">
        <f>TABL12345[[#This Row],[ (RESV. STORGE) BER]]/10</f>
        <v>0</v>
      </c>
      <c r="AI152" s="41"/>
      <c r="AJ152" s="41">
        <f>TABL12345[[#This Row],[(A/B TOT) AJD]]-TABL12345[[#This Row],[BER_ IN]]</f>
        <v>0</v>
      </c>
      <c r="AK152" s="43"/>
      <c r="AL152" s="43"/>
      <c r="AM152" s="32"/>
      <c r="AN152" s="32">
        <f>TABL12345[[#This Row],[ (RESV. STORGE) SER]]/10</f>
        <v>0</v>
      </c>
      <c r="AO152" s="68"/>
      <c r="AP152" s="68">
        <f>TABL12345[[#This Row],[(A/S TOT) AJD]]-TABL12345[[#This Row],[SER_ IN]]</f>
        <v>0</v>
      </c>
    </row>
    <row r="153" spans="1:42" ht="18.75" x14ac:dyDescent="0.25">
      <c r="A153" s="2">
        <v>47270</v>
      </c>
      <c r="B153" s="41"/>
      <c r="C153" s="41"/>
      <c r="D153" s="41"/>
      <c r="E153" s="28"/>
      <c r="F153" s="41"/>
      <c r="G153" s="39"/>
      <c r="H153" s="28"/>
      <c r="I153" s="39"/>
      <c r="J153" s="39"/>
      <c r="K153" s="28">
        <f>TABL12345[[#This Row],[خط (T/B  TOT) SAR]]+TABL12345[[#This Row],[خط (S/S  TOT) SAR2]]</f>
        <v>0</v>
      </c>
      <c r="L153" s="41"/>
      <c r="M153" s="42"/>
      <c r="N153" s="42"/>
      <c r="O153" s="39"/>
      <c r="P153" s="10">
        <f>TABL12345[[#This Row],[خط (S/S  TOT) SAR2]]-TABL12345[[#This Row],[(S/S TOT) AJD]]</f>
        <v>0</v>
      </c>
      <c r="Q153" s="39"/>
      <c r="R153" s="10">
        <f>TABL12345[[#This Row],[خط (T/B  TOT) SAR]]-TABL12345[[#This Row],[(T/B TOT) AJD]]</f>
        <v>0</v>
      </c>
      <c r="S153" s="10">
        <f>TABL12345[[#This Row],[الفرق بين بداية ونهاية خط  S/S]]+TABL12345[[#This Row],[الفرق بين بداية ونهاية خط  T/B]]</f>
        <v>0</v>
      </c>
      <c r="T153" s="10">
        <f t="shared" si="8"/>
        <v>0</v>
      </c>
      <c r="U153" s="41"/>
      <c r="V153" s="41"/>
      <c r="W153" s="10">
        <f t="shared" si="9"/>
        <v>0</v>
      </c>
      <c r="X153" s="10">
        <f t="shared" si="10"/>
        <v>0</v>
      </c>
      <c r="Y153" s="41"/>
      <c r="Z153" s="43"/>
      <c r="AA153" s="3">
        <f>TABL12345[[#This Row],[(RESV. STORGE) AJD]]/10</f>
        <v>0</v>
      </c>
      <c r="AB153" s="43">
        <f t="shared" si="11"/>
        <v>0</v>
      </c>
      <c r="AC153" s="5"/>
      <c r="AD153" s="39">
        <f>(TABL12345[[#This Row],[( S/S+T/B) AJD]]*1000)-((TABL12345[[#This Row],[(STORGE DIFF.) AJD]]*1000)+TABL12345[[#This Row],[البخر  AJD]]+(TABL12345[[#This Row],[(A/B + A/S) AJD]]*1000))</f>
        <v>0</v>
      </c>
      <c r="AE153" s="41"/>
      <c r="AF153" s="43"/>
      <c r="AG153" s="43"/>
      <c r="AH153" s="6">
        <f>TABL12345[[#This Row],[ (RESV. STORGE) BER]]/10</f>
        <v>0</v>
      </c>
      <c r="AI153" s="41"/>
      <c r="AJ153" s="41">
        <f>TABL12345[[#This Row],[(A/B TOT) AJD]]-TABL12345[[#This Row],[BER_ IN]]</f>
        <v>0</v>
      </c>
      <c r="AK153" s="43"/>
      <c r="AL153" s="43"/>
      <c r="AM153" s="32"/>
      <c r="AN153" s="32">
        <f>TABL12345[[#This Row],[ (RESV. STORGE) SER]]/10</f>
        <v>0</v>
      </c>
      <c r="AO153" s="68"/>
      <c r="AP153" s="68">
        <f>TABL12345[[#This Row],[(A/S TOT) AJD]]-TABL12345[[#This Row],[SER_ IN]]</f>
        <v>0</v>
      </c>
    </row>
    <row r="154" spans="1:42" ht="18.75" x14ac:dyDescent="0.25">
      <c r="A154" s="2">
        <v>47271</v>
      </c>
      <c r="B154" s="44"/>
      <c r="C154" s="44"/>
      <c r="D154" s="44"/>
      <c r="E154" s="28"/>
      <c r="F154" s="44"/>
      <c r="G154" s="40"/>
      <c r="H154" s="28"/>
      <c r="I154" s="40"/>
      <c r="J154" s="44"/>
      <c r="K154" s="28">
        <f>TABL12345[[#This Row],[خط (T/B  TOT) SAR]]+TABL12345[[#This Row],[خط (S/S  TOT) SAR2]]</f>
        <v>0</v>
      </c>
      <c r="L154" s="45"/>
      <c r="M154" s="46"/>
      <c r="N154" s="46"/>
      <c r="O154" s="40"/>
      <c r="P154" s="10">
        <f>TABL12345[[#This Row],[خط (S/S  TOT) SAR2]]-TABL12345[[#This Row],[(S/S TOT) AJD]]</f>
        <v>0</v>
      </c>
      <c r="Q154" s="40"/>
      <c r="R154" s="10">
        <f>TABL12345[[#This Row],[خط (T/B  TOT) SAR]]-TABL12345[[#This Row],[(T/B TOT) AJD]]</f>
        <v>0</v>
      </c>
      <c r="S154" s="10">
        <f>TABL12345[[#This Row],[الفرق بين بداية ونهاية خط  S/S]]+TABL12345[[#This Row],[الفرق بين بداية ونهاية خط  T/B]]</f>
        <v>0</v>
      </c>
      <c r="T154" s="10">
        <f t="shared" si="8"/>
        <v>0</v>
      </c>
      <c r="U154" s="44"/>
      <c r="V154" s="44"/>
      <c r="W154" s="10">
        <f t="shared" si="9"/>
        <v>0</v>
      </c>
      <c r="X154" s="10">
        <f t="shared" si="10"/>
        <v>0</v>
      </c>
      <c r="Y154" s="44"/>
      <c r="Z154" s="45"/>
      <c r="AA154" s="3">
        <f>TABL12345[[#This Row],[(RESV. STORGE) AJD]]/10</f>
        <v>0</v>
      </c>
      <c r="AB154" s="45">
        <f t="shared" si="11"/>
        <v>0</v>
      </c>
      <c r="AC154" s="5"/>
      <c r="AD154" s="40">
        <f>(TABL12345[[#This Row],[( S/S+T/B) AJD]]*1000)-((TABL12345[[#This Row],[(STORGE DIFF.) AJD]]*1000)+TABL12345[[#This Row],[البخر  AJD]]+(TABL12345[[#This Row],[(A/B + A/S) AJD]]*1000))</f>
        <v>0</v>
      </c>
      <c r="AE154" s="44"/>
      <c r="AF154" s="45"/>
      <c r="AG154" s="45"/>
      <c r="AH154" s="6">
        <f>TABL12345[[#This Row],[ (RESV. STORGE) BER]]/10</f>
        <v>0</v>
      </c>
      <c r="AI154" s="44"/>
      <c r="AJ154" s="44">
        <f>TABL12345[[#This Row],[(A/B TOT) AJD]]-TABL12345[[#This Row],[BER_ IN]]</f>
        <v>0</v>
      </c>
      <c r="AK154" s="45"/>
      <c r="AL154" s="45"/>
      <c r="AM154" s="32"/>
      <c r="AN154" s="32">
        <f>TABL12345[[#This Row],[ (RESV. STORGE) SER]]/10</f>
        <v>0</v>
      </c>
      <c r="AO154" s="68"/>
      <c r="AP154" s="68">
        <f>TABL12345[[#This Row],[(A/S TOT) AJD]]-TABL12345[[#This Row],[SER_ IN]]</f>
        <v>0</v>
      </c>
    </row>
    <row r="155" spans="1:42" ht="18.75" x14ac:dyDescent="0.25">
      <c r="A155" s="2">
        <v>47272</v>
      </c>
      <c r="B155" s="41"/>
      <c r="C155" s="41"/>
      <c r="D155" s="41"/>
      <c r="E155" s="28"/>
      <c r="F155" s="41"/>
      <c r="G155" s="39"/>
      <c r="H155" s="28"/>
      <c r="I155" s="39"/>
      <c r="J155" s="39"/>
      <c r="K155" s="28">
        <f>TABL12345[[#This Row],[خط (T/B  TOT) SAR]]+TABL12345[[#This Row],[خط (S/S  TOT) SAR2]]</f>
        <v>0</v>
      </c>
      <c r="L155" s="41"/>
      <c r="M155" s="42"/>
      <c r="N155" s="42"/>
      <c r="O155" s="39"/>
      <c r="P155" s="10">
        <f>TABL12345[[#This Row],[خط (S/S  TOT) SAR2]]-TABL12345[[#This Row],[(S/S TOT) AJD]]</f>
        <v>0</v>
      </c>
      <c r="Q155" s="39"/>
      <c r="R155" s="10">
        <f>TABL12345[[#This Row],[خط (T/B  TOT) SAR]]-TABL12345[[#This Row],[(T/B TOT) AJD]]</f>
        <v>0</v>
      </c>
      <c r="S155" s="10">
        <f>TABL12345[[#This Row],[الفرق بين بداية ونهاية خط  S/S]]+TABL12345[[#This Row],[الفرق بين بداية ونهاية خط  T/B]]</f>
        <v>0</v>
      </c>
      <c r="T155" s="10">
        <f t="shared" si="8"/>
        <v>0</v>
      </c>
      <c r="U155" s="41"/>
      <c r="V155" s="41"/>
      <c r="W155" s="10">
        <f t="shared" si="9"/>
        <v>0</v>
      </c>
      <c r="X155" s="10">
        <f t="shared" si="10"/>
        <v>0</v>
      </c>
      <c r="Y155" s="41"/>
      <c r="Z155" s="43"/>
      <c r="AA155" s="3">
        <f>TABL12345[[#This Row],[(RESV. STORGE) AJD]]/10</f>
        <v>0</v>
      </c>
      <c r="AB155" s="43">
        <f t="shared" si="11"/>
        <v>0</v>
      </c>
      <c r="AC155" s="5"/>
      <c r="AD155" s="39">
        <f>(TABL12345[[#This Row],[( S/S+T/B) AJD]]*1000)-((TABL12345[[#This Row],[(STORGE DIFF.) AJD]]*1000)+TABL12345[[#This Row],[البخر  AJD]]+(TABL12345[[#This Row],[(A/B + A/S) AJD]]*1000))</f>
        <v>0</v>
      </c>
      <c r="AE155" s="41"/>
      <c r="AF155" s="43"/>
      <c r="AG155" s="43"/>
      <c r="AH155" s="6">
        <f>TABL12345[[#This Row],[ (RESV. STORGE) BER]]/10</f>
        <v>0</v>
      </c>
      <c r="AI155" s="41"/>
      <c r="AJ155" s="41">
        <f>TABL12345[[#This Row],[(A/B TOT) AJD]]-TABL12345[[#This Row],[BER_ IN]]</f>
        <v>0</v>
      </c>
      <c r="AK155" s="43"/>
      <c r="AL155" s="43"/>
      <c r="AM155" s="32"/>
      <c r="AN155" s="32">
        <f>TABL12345[[#This Row],[ (RESV. STORGE) SER]]/10</f>
        <v>0</v>
      </c>
      <c r="AO155" s="68"/>
      <c r="AP155" s="68">
        <f>TABL12345[[#This Row],[(A/S TOT) AJD]]-TABL12345[[#This Row],[SER_ IN]]</f>
        <v>0</v>
      </c>
    </row>
    <row r="156" spans="1:42" ht="18.75" x14ac:dyDescent="0.25">
      <c r="A156" s="2">
        <v>47273</v>
      </c>
      <c r="B156" s="44"/>
      <c r="C156" s="44"/>
      <c r="D156" s="44"/>
      <c r="E156" s="28"/>
      <c r="F156" s="44"/>
      <c r="G156" s="40"/>
      <c r="H156" s="28"/>
      <c r="I156" s="40"/>
      <c r="J156" s="44"/>
      <c r="K156" s="28">
        <f>TABL12345[[#This Row],[خط (T/B  TOT) SAR]]+TABL12345[[#This Row],[خط (S/S  TOT) SAR2]]</f>
        <v>0</v>
      </c>
      <c r="L156" s="45"/>
      <c r="M156" s="46"/>
      <c r="N156" s="46"/>
      <c r="O156" s="40"/>
      <c r="P156" s="10">
        <f>TABL12345[[#This Row],[خط (S/S  TOT) SAR2]]-TABL12345[[#This Row],[(S/S TOT) AJD]]</f>
        <v>0</v>
      </c>
      <c r="Q156" s="40"/>
      <c r="R156" s="10">
        <f>TABL12345[[#This Row],[خط (T/B  TOT) SAR]]-TABL12345[[#This Row],[(T/B TOT) AJD]]</f>
        <v>0</v>
      </c>
      <c r="S156" s="10">
        <f>TABL12345[[#This Row],[الفرق بين بداية ونهاية خط  S/S]]+TABL12345[[#This Row],[الفرق بين بداية ونهاية خط  T/B]]</f>
        <v>0</v>
      </c>
      <c r="T156" s="10">
        <f t="shared" si="8"/>
        <v>0</v>
      </c>
      <c r="U156" s="44"/>
      <c r="V156" s="44"/>
      <c r="W156" s="10">
        <f t="shared" si="9"/>
        <v>0</v>
      </c>
      <c r="X156" s="10">
        <f t="shared" si="10"/>
        <v>0</v>
      </c>
      <c r="Y156" s="44"/>
      <c r="Z156" s="45"/>
      <c r="AA156" s="3">
        <f>TABL12345[[#This Row],[(RESV. STORGE) AJD]]/10</f>
        <v>0</v>
      </c>
      <c r="AB156" s="45">
        <f t="shared" si="11"/>
        <v>0</v>
      </c>
      <c r="AC156" s="5"/>
      <c r="AD156" s="40">
        <f>(TABL12345[[#This Row],[( S/S+T/B) AJD]]*1000)-((TABL12345[[#This Row],[(STORGE DIFF.) AJD]]*1000)+TABL12345[[#This Row],[البخر  AJD]]+(TABL12345[[#This Row],[(A/B + A/S) AJD]]*1000))</f>
        <v>0</v>
      </c>
      <c r="AE156" s="44"/>
      <c r="AF156" s="45"/>
      <c r="AG156" s="45"/>
      <c r="AH156" s="6">
        <f>TABL12345[[#This Row],[ (RESV. STORGE) BER]]/10</f>
        <v>0</v>
      </c>
      <c r="AI156" s="44"/>
      <c r="AJ156" s="44">
        <f>TABL12345[[#This Row],[(A/B TOT) AJD]]-TABL12345[[#This Row],[BER_ IN]]</f>
        <v>0</v>
      </c>
      <c r="AK156" s="45"/>
      <c r="AL156" s="45"/>
      <c r="AM156" s="32"/>
      <c r="AN156" s="32">
        <f>TABL12345[[#This Row],[ (RESV. STORGE) SER]]/10</f>
        <v>0</v>
      </c>
      <c r="AO156" s="68"/>
      <c r="AP156" s="68">
        <f>TABL12345[[#This Row],[(A/S TOT) AJD]]-TABL12345[[#This Row],[SER_ IN]]</f>
        <v>0</v>
      </c>
    </row>
    <row r="157" spans="1:42" ht="18.75" x14ac:dyDescent="0.25">
      <c r="A157" s="2">
        <v>47274</v>
      </c>
      <c r="B157" s="41"/>
      <c r="C157" s="41"/>
      <c r="D157" s="41"/>
      <c r="E157" s="28"/>
      <c r="F157" s="41"/>
      <c r="G157" s="39"/>
      <c r="H157" s="28"/>
      <c r="I157" s="39"/>
      <c r="J157" s="39"/>
      <c r="K157" s="28">
        <f>TABL12345[[#This Row],[خط (T/B  TOT) SAR]]+TABL12345[[#This Row],[خط (S/S  TOT) SAR2]]</f>
        <v>0</v>
      </c>
      <c r="L157" s="41"/>
      <c r="M157" s="42"/>
      <c r="N157" s="42"/>
      <c r="O157" s="39"/>
      <c r="P157" s="10">
        <f>TABL12345[[#This Row],[خط (S/S  TOT) SAR2]]-TABL12345[[#This Row],[(S/S TOT) AJD]]</f>
        <v>0</v>
      </c>
      <c r="Q157" s="39"/>
      <c r="R157" s="10">
        <f>TABL12345[[#This Row],[خط (T/B  TOT) SAR]]-TABL12345[[#This Row],[(T/B TOT) AJD]]</f>
        <v>0</v>
      </c>
      <c r="S157" s="10">
        <f>TABL12345[[#This Row],[الفرق بين بداية ونهاية خط  S/S]]+TABL12345[[#This Row],[الفرق بين بداية ونهاية خط  T/B]]</f>
        <v>0</v>
      </c>
      <c r="T157" s="10">
        <f t="shared" si="8"/>
        <v>0</v>
      </c>
      <c r="U157" s="41"/>
      <c r="V157" s="41"/>
      <c r="W157" s="10">
        <f t="shared" si="9"/>
        <v>0</v>
      </c>
      <c r="X157" s="10">
        <f t="shared" si="10"/>
        <v>0</v>
      </c>
      <c r="Y157" s="41"/>
      <c r="Z157" s="43"/>
      <c r="AA157" s="3">
        <f>TABL12345[[#This Row],[(RESV. STORGE) AJD]]/10</f>
        <v>0</v>
      </c>
      <c r="AB157" s="43">
        <f t="shared" si="11"/>
        <v>0</v>
      </c>
      <c r="AC157" s="5"/>
      <c r="AD157" s="39">
        <f>(TABL12345[[#This Row],[( S/S+T/B) AJD]]*1000)-((TABL12345[[#This Row],[(STORGE DIFF.) AJD]]*1000)+TABL12345[[#This Row],[البخر  AJD]]+(TABL12345[[#This Row],[(A/B + A/S) AJD]]*1000))</f>
        <v>0</v>
      </c>
      <c r="AE157" s="41"/>
      <c r="AF157" s="43"/>
      <c r="AG157" s="43"/>
      <c r="AH157" s="6">
        <f>TABL12345[[#This Row],[ (RESV. STORGE) BER]]/10</f>
        <v>0</v>
      </c>
      <c r="AI157" s="41"/>
      <c r="AJ157" s="41">
        <f>TABL12345[[#This Row],[(A/B TOT) AJD]]-TABL12345[[#This Row],[BER_ IN]]</f>
        <v>0</v>
      </c>
      <c r="AK157" s="43"/>
      <c r="AL157" s="43"/>
      <c r="AM157" s="32"/>
      <c r="AN157" s="32">
        <f>TABL12345[[#This Row],[ (RESV. STORGE) SER]]/10</f>
        <v>0</v>
      </c>
      <c r="AO157" s="68"/>
      <c r="AP157" s="68">
        <f>TABL12345[[#This Row],[(A/S TOT) AJD]]-TABL12345[[#This Row],[SER_ IN]]</f>
        <v>0</v>
      </c>
    </row>
    <row r="158" spans="1:42" ht="18.75" x14ac:dyDescent="0.25">
      <c r="A158" s="2">
        <v>47275</v>
      </c>
      <c r="B158" s="44"/>
      <c r="C158" s="44"/>
      <c r="D158" s="44"/>
      <c r="E158" s="28"/>
      <c r="F158" s="44"/>
      <c r="G158" s="40"/>
      <c r="H158" s="28"/>
      <c r="I158" s="40"/>
      <c r="J158" s="44"/>
      <c r="K158" s="28">
        <f>TABL12345[[#This Row],[خط (T/B  TOT) SAR]]+TABL12345[[#This Row],[خط (S/S  TOT) SAR2]]</f>
        <v>0</v>
      </c>
      <c r="L158" s="45"/>
      <c r="M158" s="46"/>
      <c r="N158" s="46"/>
      <c r="O158" s="40"/>
      <c r="P158" s="10">
        <f>TABL12345[[#This Row],[خط (S/S  TOT) SAR2]]-TABL12345[[#This Row],[(S/S TOT) AJD]]</f>
        <v>0</v>
      </c>
      <c r="Q158" s="40"/>
      <c r="R158" s="10">
        <f>TABL12345[[#This Row],[خط (T/B  TOT) SAR]]-TABL12345[[#This Row],[(T/B TOT) AJD]]</f>
        <v>0</v>
      </c>
      <c r="S158" s="10">
        <f>TABL12345[[#This Row],[الفرق بين بداية ونهاية خط  S/S]]+TABL12345[[#This Row],[الفرق بين بداية ونهاية خط  T/B]]</f>
        <v>0</v>
      </c>
      <c r="T158" s="10">
        <f t="shared" si="8"/>
        <v>0</v>
      </c>
      <c r="U158" s="44"/>
      <c r="V158" s="44"/>
      <c r="W158" s="10">
        <f t="shared" si="9"/>
        <v>0</v>
      </c>
      <c r="X158" s="10">
        <f t="shared" si="10"/>
        <v>0</v>
      </c>
      <c r="Y158" s="44"/>
      <c r="Z158" s="45"/>
      <c r="AA158" s="3">
        <f>TABL12345[[#This Row],[(RESV. STORGE) AJD]]/10</f>
        <v>0</v>
      </c>
      <c r="AB158" s="45">
        <f t="shared" si="11"/>
        <v>0</v>
      </c>
      <c r="AC158" s="5"/>
      <c r="AD158" s="40">
        <f>(TABL12345[[#This Row],[( S/S+T/B) AJD]]*1000)-((TABL12345[[#This Row],[(STORGE DIFF.) AJD]]*1000)+TABL12345[[#This Row],[البخر  AJD]]+(TABL12345[[#This Row],[(A/B + A/S) AJD]]*1000))</f>
        <v>0</v>
      </c>
      <c r="AE158" s="44"/>
      <c r="AF158" s="45"/>
      <c r="AG158" s="45"/>
      <c r="AH158" s="6">
        <f>TABL12345[[#This Row],[ (RESV. STORGE) BER]]/10</f>
        <v>0</v>
      </c>
      <c r="AI158" s="44"/>
      <c r="AJ158" s="44">
        <f>TABL12345[[#This Row],[(A/B TOT) AJD]]-TABL12345[[#This Row],[BER_ IN]]</f>
        <v>0</v>
      </c>
      <c r="AK158" s="45"/>
      <c r="AL158" s="45"/>
      <c r="AM158" s="32"/>
      <c r="AN158" s="32">
        <f>TABL12345[[#This Row],[ (RESV. STORGE) SER]]/10</f>
        <v>0</v>
      </c>
      <c r="AO158" s="68"/>
      <c r="AP158" s="68">
        <f>TABL12345[[#This Row],[(A/S TOT) AJD]]-TABL12345[[#This Row],[SER_ IN]]</f>
        <v>0</v>
      </c>
    </row>
    <row r="159" spans="1:42" ht="18.75" x14ac:dyDescent="0.25">
      <c r="A159" s="2">
        <v>47276</v>
      </c>
      <c r="B159" s="41"/>
      <c r="C159" s="41"/>
      <c r="D159" s="41"/>
      <c r="E159" s="28"/>
      <c r="F159" s="41"/>
      <c r="G159" s="39"/>
      <c r="H159" s="28"/>
      <c r="I159" s="39"/>
      <c r="J159" s="39"/>
      <c r="K159" s="28">
        <f>TABL12345[[#This Row],[خط (T/B  TOT) SAR]]+TABL12345[[#This Row],[خط (S/S  TOT) SAR2]]</f>
        <v>0</v>
      </c>
      <c r="L159" s="41"/>
      <c r="M159" s="42"/>
      <c r="N159" s="42"/>
      <c r="O159" s="39"/>
      <c r="P159" s="10">
        <f>TABL12345[[#This Row],[خط (S/S  TOT) SAR2]]-TABL12345[[#This Row],[(S/S TOT) AJD]]</f>
        <v>0</v>
      </c>
      <c r="Q159" s="39"/>
      <c r="R159" s="10">
        <f>TABL12345[[#This Row],[خط (T/B  TOT) SAR]]-TABL12345[[#This Row],[(T/B TOT) AJD]]</f>
        <v>0</v>
      </c>
      <c r="S159" s="10">
        <f>TABL12345[[#This Row],[الفرق بين بداية ونهاية خط  S/S]]+TABL12345[[#This Row],[الفرق بين بداية ونهاية خط  T/B]]</f>
        <v>0</v>
      </c>
      <c r="T159" s="10">
        <f t="shared" si="8"/>
        <v>0</v>
      </c>
      <c r="U159" s="41"/>
      <c r="V159" s="41"/>
      <c r="W159" s="10">
        <f t="shared" si="9"/>
        <v>0</v>
      </c>
      <c r="X159" s="10">
        <f t="shared" si="10"/>
        <v>0</v>
      </c>
      <c r="Y159" s="41"/>
      <c r="Z159" s="43"/>
      <c r="AA159" s="3">
        <f>TABL12345[[#This Row],[(RESV. STORGE) AJD]]/10</f>
        <v>0</v>
      </c>
      <c r="AB159" s="43">
        <f t="shared" si="11"/>
        <v>0</v>
      </c>
      <c r="AC159" s="5"/>
      <c r="AD159" s="39">
        <f>(TABL12345[[#This Row],[( S/S+T/B) AJD]]*1000)-((TABL12345[[#This Row],[(STORGE DIFF.) AJD]]*1000)+TABL12345[[#This Row],[البخر  AJD]]+(TABL12345[[#This Row],[(A/B + A/S) AJD]]*1000))</f>
        <v>0</v>
      </c>
      <c r="AE159" s="41"/>
      <c r="AF159" s="43"/>
      <c r="AG159" s="43"/>
      <c r="AH159" s="6">
        <f>TABL12345[[#This Row],[ (RESV. STORGE) BER]]/10</f>
        <v>0</v>
      </c>
      <c r="AI159" s="41"/>
      <c r="AJ159" s="41">
        <f>TABL12345[[#This Row],[(A/B TOT) AJD]]-TABL12345[[#This Row],[BER_ IN]]</f>
        <v>0</v>
      </c>
      <c r="AK159" s="43"/>
      <c r="AL159" s="43"/>
      <c r="AM159" s="32"/>
      <c r="AN159" s="32">
        <f>TABL12345[[#This Row],[ (RESV. STORGE) SER]]/10</f>
        <v>0</v>
      </c>
      <c r="AO159" s="68"/>
      <c r="AP159" s="68">
        <f>TABL12345[[#This Row],[(A/S TOT) AJD]]-TABL12345[[#This Row],[SER_ IN]]</f>
        <v>0</v>
      </c>
    </row>
    <row r="160" spans="1:42" ht="18.75" x14ac:dyDescent="0.25">
      <c r="A160" s="2">
        <v>47277</v>
      </c>
      <c r="B160" s="44"/>
      <c r="C160" s="44"/>
      <c r="D160" s="44"/>
      <c r="E160" s="28"/>
      <c r="F160" s="44"/>
      <c r="G160" s="40"/>
      <c r="H160" s="28"/>
      <c r="I160" s="40"/>
      <c r="J160" s="44"/>
      <c r="K160" s="28">
        <f>TABL12345[[#This Row],[خط (T/B  TOT) SAR]]+TABL12345[[#This Row],[خط (S/S  TOT) SAR2]]</f>
        <v>0</v>
      </c>
      <c r="L160" s="45"/>
      <c r="M160" s="46"/>
      <c r="N160" s="46"/>
      <c r="O160" s="40"/>
      <c r="P160" s="10">
        <f>TABL12345[[#This Row],[خط (S/S  TOT) SAR2]]-TABL12345[[#This Row],[(S/S TOT) AJD]]</f>
        <v>0</v>
      </c>
      <c r="Q160" s="40"/>
      <c r="R160" s="10">
        <f>TABL12345[[#This Row],[خط (T/B  TOT) SAR]]-TABL12345[[#This Row],[(T/B TOT) AJD]]</f>
        <v>0</v>
      </c>
      <c r="S160" s="10">
        <f>TABL12345[[#This Row],[الفرق بين بداية ونهاية خط  S/S]]+TABL12345[[#This Row],[الفرق بين بداية ونهاية خط  T/B]]</f>
        <v>0</v>
      </c>
      <c r="T160" s="10">
        <f t="shared" si="8"/>
        <v>0</v>
      </c>
      <c r="U160" s="44"/>
      <c r="V160" s="44"/>
      <c r="W160" s="10">
        <f t="shared" si="9"/>
        <v>0</v>
      </c>
      <c r="X160" s="10">
        <f t="shared" si="10"/>
        <v>0</v>
      </c>
      <c r="Y160" s="44"/>
      <c r="Z160" s="45"/>
      <c r="AA160" s="3">
        <f>TABL12345[[#This Row],[(RESV. STORGE) AJD]]/10</f>
        <v>0</v>
      </c>
      <c r="AB160" s="45">
        <f t="shared" si="11"/>
        <v>0</v>
      </c>
      <c r="AC160" s="5"/>
      <c r="AD160" s="40">
        <f>(TABL12345[[#This Row],[( S/S+T/B) AJD]]*1000)-((TABL12345[[#This Row],[(STORGE DIFF.) AJD]]*1000)+TABL12345[[#This Row],[البخر  AJD]]+(TABL12345[[#This Row],[(A/B + A/S) AJD]]*1000))</f>
        <v>0</v>
      </c>
      <c r="AE160" s="44"/>
      <c r="AF160" s="45"/>
      <c r="AG160" s="45"/>
      <c r="AH160" s="6">
        <f>TABL12345[[#This Row],[ (RESV. STORGE) BER]]/10</f>
        <v>0</v>
      </c>
      <c r="AI160" s="44"/>
      <c r="AJ160" s="44">
        <f>TABL12345[[#This Row],[(A/B TOT) AJD]]-TABL12345[[#This Row],[BER_ IN]]</f>
        <v>0</v>
      </c>
      <c r="AK160" s="45"/>
      <c r="AL160" s="45"/>
      <c r="AM160" s="32"/>
      <c r="AN160" s="32">
        <f>TABL12345[[#This Row],[ (RESV. STORGE) SER]]/10</f>
        <v>0</v>
      </c>
      <c r="AO160" s="68"/>
      <c r="AP160" s="68">
        <f>TABL12345[[#This Row],[(A/S TOT) AJD]]-TABL12345[[#This Row],[SER_ IN]]</f>
        <v>0</v>
      </c>
    </row>
    <row r="161" spans="1:42" ht="18.75" x14ac:dyDescent="0.25">
      <c r="A161" s="2">
        <v>47278</v>
      </c>
      <c r="B161" s="41"/>
      <c r="C161" s="41"/>
      <c r="D161" s="41"/>
      <c r="E161" s="28"/>
      <c r="F161" s="41"/>
      <c r="G161" s="39"/>
      <c r="H161" s="28"/>
      <c r="I161" s="39"/>
      <c r="J161" s="39"/>
      <c r="K161" s="28">
        <f>TABL12345[[#This Row],[خط (T/B  TOT) SAR]]+TABL12345[[#This Row],[خط (S/S  TOT) SAR2]]</f>
        <v>0</v>
      </c>
      <c r="L161" s="41"/>
      <c r="M161" s="42"/>
      <c r="N161" s="42"/>
      <c r="O161" s="39"/>
      <c r="P161" s="10">
        <f>TABL12345[[#This Row],[خط (S/S  TOT) SAR2]]-TABL12345[[#This Row],[(S/S TOT) AJD]]</f>
        <v>0</v>
      </c>
      <c r="Q161" s="39"/>
      <c r="R161" s="10">
        <f>TABL12345[[#This Row],[خط (T/B  TOT) SAR]]-TABL12345[[#This Row],[(T/B TOT) AJD]]</f>
        <v>0</v>
      </c>
      <c r="S161" s="10">
        <f>TABL12345[[#This Row],[الفرق بين بداية ونهاية خط  S/S]]+TABL12345[[#This Row],[الفرق بين بداية ونهاية خط  T/B]]</f>
        <v>0</v>
      </c>
      <c r="T161" s="10">
        <f t="shared" si="8"/>
        <v>0</v>
      </c>
      <c r="U161" s="41"/>
      <c r="V161" s="41"/>
      <c r="W161" s="10">
        <f t="shared" si="9"/>
        <v>0</v>
      </c>
      <c r="X161" s="10">
        <f t="shared" si="10"/>
        <v>0</v>
      </c>
      <c r="Y161" s="41"/>
      <c r="Z161" s="43"/>
      <c r="AA161" s="3">
        <f>TABL12345[[#This Row],[(RESV. STORGE) AJD]]/10</f>
        <v>0</v>
      </c>
      <c r="AB161" s="43">
        <f t="shared" si="11"/>
        <v>0</v>
      </c>
      <c r="AC161" s="5"/>
      <c r="AD161" s="39">
        <f>(TABL12345[[#This Row],[( S/S+T/B) AJD]]*1000)-((TABL12345[[#This Row],[(STORGE DIFF.) AJD]]*1000)+TABL12345[[#This Row],[البخر  AJD]]+(TABL12345[[#This Row],[(A/B + A/S) AJD]]*1000))</f>
        <v>0</v>
      </c>
      <c r="AE161" s="41"/>
      <c r="AF161" s="43"/>
      <c r="AG161" s="43"/>
      <c r="AH161" s="6">
        <f>TABL12345[[#This Row],[ (RESV. STORGE) BER]]/10</f>
        <v>0</v>
      </c>
      <c r="AI161" s="41"/>
      <c r="AJ161" s="41">
        <f>TABL12345[[#This Row],[(A/B TOT) AJD]]-TABL12345[[#This Row],[BER_ IN]]</f>
        <v>0</v>
      </c>
      <c r="AK161" s="43"/>
      <c r="AL161" s="43"/>
      <c r="AM161" s="32"/>
      <c r="AN161" s="32">
        <f>TABL12345[[#This Row],[ (RESV. STORGE) SER]]/10</f>
        <v>0</v>
      </c>
      <c r="AO161" s="68"/>
      <c r="AP161" s="68">
        <f>TABL12345[[#This Row],[(A/S TOT) AJD]]-TABL12345[[#This Row],[SER_ IN]]</f>
        <v>0</v>
      </c>
    </row>
    <row r="162" spans="1:42" ht="18.75" x14ac:dyDescent="0.25">
      <c r="A162" s="2">
        <v>47279</v>
      </c>
      <c r="B162" s="44"/>
      <c r="C162" s="44"/>
      <c r="D162" s="44"/>
      <c r="E162" s="28"/>
      <c r="F162" s="44"/>
      <c r="G162" s="40"/>
      <c r="H162" s="28"/>
      <c r="I162" s="40"/>
      <c r="J162" s="44"/>
      <c r="K162" s="28">
        <f>TABL12345[[#This Row],[خط (T/B  TOT) SAR]]+TABL12345[[#This Row],[خط (S/S  TOT) SAR2]]</f>
        <v>0</v>
      </c>
      <c r="L162" s="45"/>
      <c r="M162" s="46"/>
      <c r="N162" s="46"/>
      <c r="O162" s="40"/>
      <c r="P162" s="10">
        <f>TABL12345[[#This Row],[خط (S/S  TOT) SAR2]]-TABL12345[[#This Row],[(S/S TOT) AJD]]</f>
        <v>0</v>
      </c>
      <c r="Q162" s="40"/>
      <c r="R162" s="10">
        <f>TABL12345[[#This Row],[خط (T/B  TOT) SAR]]-TABL12345[[#This Row],[(T/B TOT) AJD]]</f>
        <v>0</v>
      </c>
      <c r="S162" s="10">
        <f>TABL12345[[#This Row],[الفرق بين بداية ونهاية خط  S/S]]+TABL12345[[#This Row],[الفرق بين بداية ونهاية خط  T/B]]</f>
        <v>0</v>
      </c>
      <c r="T162" s="10">
        <f t="shared" si="8"/>
        <v>0</v>
      </c>
      <c r="U162" s="44"/>
      <c r="V162" s="44"/>
      <c r="W162" s="10">
        <f t="shared" si="9"/>
        <v>0</v>
      </c>
      <c r="X162" s="10">
        <f t="shared" si="10"/>
        <v>0</v>
      </c>
      <c r="Y162" s="44"/>
      <c r="Z162" s="45"/>
      <c r="AA162" s="3">
        <f>TABL12345[[#This Row],[(RESV. STORGE) AJD]]/10</f>
        <v>0</v>
      </c>
      <c r="AB162" s="45">
        <f t="shared" si="11"/>
        <v>0</v>
      </c>
      <c r="AC162" s="5"/>
      <c r="AD162" s="40">
        <f>(TABL12345[[#This Row],[( S/S+T/B) AJD]]*1000)-((TABL12345[[#This Row],[(STORGE DIFF.) AJD]]*1000)+TABL12345[[#This Row],[البخر  AJD]]+(TABL12345[[#This Row],[(A/B + A/S) AJD]]*1000))</f>
        <v>0</v>
      </c>
      <c r="AE162" s="44"/>
      <c r="AF162" s="45"/>
      <c r="AG162" s="45"/>
      <c r="AH162" s="6">
        <f>TABL12345[[#This Row],[ (RESV. STORGE) BER]]/10</f>
        <v>0</v>
      </c>
      <c r="AI162" s="44"/>
      <c r="AJ162" s="44">
        <f>TABL12345[[#This Row],[(A/B TOT) AJD]]-TABL12345[[#This Row],[BER_ IN]]</f>
        <v>0</v>
      </c>
      <c r="AK162" s="45"/>
      <c r="AL162" s="45"/>
      <c r="AM162" s="32"/>
      <c r="AN162" s="32">
        <f>TABL12345[[#This Row],[ (RESV. STORGE) SER]]/10</f>
        <v>0</v>
      </c>
      <c r="AO162" s="68"/>
      <c r="AP162" s="68">
        <f>TABL12345[[#This Row],[(A/S TOT) AJD]]-TABL12345[[#This Row],[SER_ IN]]</f>
        <v>0</v>
      </c>
    </row>
    <row r="163" spans="1:42" ht="18.75" x14ac:dyDescent="0.25">
      <c r="A163" s="2">
        <v>47280</v>
      </c>
      <c r="B163" s="41"/>
      <c r="C163" s="41"/>
      <c r="D163" s="41"/>
      <c r="E163" s="28"/>
      <c r="F163" s="41"/>
      <c r="G163" s="39"/>
      <c r="H163" s="28"/>
      <c r="I163" s="39"/>
      <c r="J163" s="39"/>
      <c r="K163" s="28">
        <f>TABL12345[[#This Row],[خط (T/B  TOT) SAR]]+TABL12345[[#This Row],[خط (S/S  TOT) SAR2]]</f>
        <v>0</v>
      </c>
      <c r="L163" s="41"/>
      <c r="M163" s="42"/>
      <c r="N163" s="42"/>
      <c r="O163" s="39"/>
      <c r="P163" s="10">
        <f>TABL12345[[#This Row],[خط (S/S  TOT) SAR2]]-TABL12345[[#This Row],[(S/S TOT) AJD]]</f>
        <v>0</v>
      </c>
      <c r="Q163" s="39"/>
      <c r="R163" s="10">
        <f>TABL12345[[#This Row],[خط (T/B  TOT) SAR]]-TABL12345[[#This Row],[(T/B TOT) AJD]]</f>
        <v>0</v>
      </c>
      <c r="S163" s="10">
        <f>TABL12345[[#This Row],[الفرق بين بداية ونهاية خط  S/S]]+TABL12345[[#This Row],[الفرق بين بداية ونهاية خط  T/B]]</f>
        <v>0</v>
      </c>
      <c r="T163" s="10">
        <f t="shared" si="8"/>
        <v>0</v>
      </c>
      <c r="U163" s="41"/>
      <c r="V163" s="41"/>
      <c r="W163" s="10">
        <f t="shared" si="9"/>
        <v>0</v>
      </c>
      <c r="X163" s="10">
        <f t="shared" si="10"/>
        <v>0</v>
      </c>
      <c r="Y163" s="41"/>
      <c r="Z163" s="43"/>
      <c r="AA163" s="3">
        <f>TABL12345[[#This Row],[(RESV. STORGE) AJD]]/10</f>
        <v>0</v>
      </c>
      <c r="AB163" s="43">
        <f t="shared" si="11"/>
        <v>0</v>
      </c>
      <c r="AC163" s="5"/>
      <c r="AD163" s="39">
        <f>(TABL12345[[#This Row],[( S/S+T/B) AJD]]*1000)-((TABL12345[[#This Row],[(STORGE DIFF.) AJD]]*1000)+TABL12345[[#This Row],[البخر  AJD]]+(TABL12345[[#This Row],[(A/B + A/S) AJD]]*1000))</f>
        <v>0</v>
      </c>
      <c r="AE163" s="41"/>
      <c r="AF163" s="43"/>
      <c r="AG163" s="43"/>
      <c r="AH163" s="6">
        <f>TABL12345[[#This Row],[ (RESV. STORGE) BER]]/10</f>
        <v>0</v>
      </c>
      <c r="AI163" s="41"/>
      <c r="AJ163" s="41">
        <f>TABL12345[[#This Row],[(A/B TOT) AJD]]-TABL12345[[#This Row],[BER_ IN]]</f>
        <v>0</v>
      </c>
      <c r="AK163" s="43"/>
      <c r="AL163" s="43"/>
      <c r="AM163" s="32"/>
      <c r="AN163" s="32">
        <f>TABL12345[[#This Row],[ (RESV. STORGE) SER]]/10</f>
        <v>0</v>
      </c>
      <c r="AO163" s="68"/>
      <c r="AP163" s="68">
        <f>TABL12345[[#This Row],[(A/S TOT) AJD]]-TABL12345[[#This Row],[SER_ IN]]</f>
        <v>0</v>
      </c>
    </row>
    <row r="164" spans="1:42" ht="18.75" x14ac:dyDescent="0.25">
      <c r="A164" s="2">
        <v>47281</v>
      </c>
      <c r="B164" s="44"/>
      <c r="C164" s="44"/>
      <c r="D164" s="44"/>
      <c r="E164" s="28"/>
      <c r="F164" s="44"/>
      <c r="G164" s="40"/>
      <c r="H164" s="28"/>
      <c r="I164" s="40"/>
      <c r="J164" s="44"/>
      <c r="K164" s="28">
        <f>TABL12345[[#This Row],[خط (T/B  TOT) SAR]]+TABL12345[[#This Row],[خط (S/S  TOT) SAR2]]</f>
        <v>0</v>
      </c>
      <c r="L164" s="45"/>
      <c r="M164" s="46"/>
      <c r="N164" s="46"/>
      <c r="O164" s="40"/>
      <c r="P164" s="10">
        <f>TABL12345[[#This Row],[خط (S/S  TOT) SAR2]]-TABL12345[[#This Row],[(S/S TOT) AJD]]</f>
        <v>0</v>
      </c>
      <c r="Q164" s="40"/>
      <c r="R164" s="10">
        <f>TABL12345[[#This Row],[خط (T/B  TOT) SAR]]-TABL12345[[#This Row],[(T/B TOT) AJD]]</f>
        <v>0</v>
      </c>
      <c r="S164" s="10">
        <f>TABL12345[[#This Row],[الفرق بين بداية ونهاية خط  S/S]]+TABL12345[[#This Row],[الفرق بين بداية ونهاية خط  T/B]]</f>
        <v>0</v>
      </c>
      <c r="T164" s="10">
        <f t="shared" si="8"/>
        <v>0</v>
      </c>
      <c r="U164" s="44"/>
      <c r="V164" s="44"/>
      <c r="W164" s="10">
        <f t="shared" si="9"/>
        <v>0</v>
      </c>
      <c r="X164" s="10">
        <f t="shared" si="10"/>
        <v>0</v>
      </c>
      <c r="Y164" s="44"/>
      <c r="Z164" s="45"/>
      <c r="AA164" s="3">
        <f>TABL12345[[#This Row],[(RESV. STORGE) AJD]]/10</f>
        <v>0</v>
      </c>
      <c r="AB164" s="45">
        <f t="shared" si="11"/>
        <v>0</v>
      </c>
      <c r="AC164" s="5"/>
      <c r="AD164" s="40">
        <f>(TABL12345[[#This Row],[( S/S+T/B) AJD]]*1000)-((TABL12345[[#This Row],[(STORGE DIFF.) AJD]]*1000)+TABL12345[[#This Row],[البخر  AJD]]+(TABL12345[[#This Row],[(A/B + A/S) AJD]]*1000))</f>
        <v>0</v>
      </c>
      <c r="AE164" s="44"/>
      <c r="AF164" s="45"/>
      <c r="AG164" s="45"/>
      <c r="AH164" s="6">
        <f>TABL12345[[#This Row],[ (RESV. STORGE) BER]]/10</f>
        <v>0</v>
      </c>
      <c r="AI164" s="44"/>
      <c r="AJ164" s="44">
        <f>TABL12345[[#This Row],[(A/B TOT) AJD]]-TABL12345[[#This Row],[BER_ IN]]</f>
        <v>0</v>
      </c>
      <c r="AK164" s="45"/>
      <c r="AL164" s="45"/>
      <c r="AM164" s="32"/>
      <c r="AN164" s="32">
        <f>TABL12345[[#This Row],[ (RESV. STORGE) SER]]/10</f>
        <v>0</v>
      </c>
      <c r="AO164" s="68"/>
      <c r="AP164" s="68">
        <f>TABL12345[[#This Row],[(A/S TOT) AJD]]-TABL12345[[#This Row],[SER_ IN]]</f>
        <v>0</v>
      </c>
    </row>
    <row r="165" spans="1:42" ht="18.75" x14ac:dyDescent="0.25">
      <c r="A165" s="2">
        <v>47282</v>
      </c>
      <c r="B165" s="41"/>
      <c r="C165" s="41"/>
      <c r="D165" s="41"/>
      <c r="E165" s="28"/>
      <c r="F165" s="41"/>
      <c r="G165" s="39"/>
      <c r="H165" s="28"/>
      <c r="I165" s="39"/>
      <c r="J165" s="39"/>
      <c r="K165" s="28">
        <f>TABL12345[[#This Row],[خط (T/B  TOT) SAR]]+TABL12345[[#This Row],[خط (S/S  TOT) SAR2]]</f>
        <v>0</v>
      </c>
      <c r="L165" s="41"/>
      <c r="M165" s="42"/>
      <c r="N165" s="42"/>
      <c r="O165" s="39"/>
      <c r="P165" s="10">
        <f>TABL12345[[#This Row],[خط (S/S  TOT) SAR2]]-TABL12345[[#This Row],[(S/S TOT) AJD]]</f>
        <v>0</v>
      </c>
      <c r="Q165" s="39"/>
      <c r="R165" s="10">
        <f>TABL12345[[#This Row],[خط (T/B  TOT) SAR]]-TABL12345[[#This Row],[(T/B TOT) AJD]]</f>
        <v>0</v>
      </c>
      <c r="S165" s="10">
        <f>TABL12345[[#This Row],[الفرق بين بداية ونهاية خط  S/S]]+TABL12345[[#This Row],[الفرق بين بداية ونهاية خط  T/B]]</f>
        <v>0</v>
      </c>
      <c r="T165" s="10">
        <f t="shared" si="8"/>
        <v>0</v>
      </c>
      <c r="U165" s="41"/>
      <c r="V165" s="41"/>
      <c r="W165" s="10">
        <f t="shared" si="9"/>
        <v>0</v>
      </c>
      <c r="X165" s="10">
        <f t="shared" si="10"/>
        <v>0</v>
      </c>
      <c r="Y165" s="41"/>
      <c r="Z165" s="43"/>
      <c r="AA165" s="3">
        <f>TABL12345[[#This Row],[(RESV. STORGE) AJD]]/10</f>
        <v>0</v>
      </c>
      <c r="AB165" s="43">
        <f t="shared" si="11"/>
        <v>0</v>
      </c>
      <c r="AC165" s="5"/>
      <c r="AD165" s="39">
        <f>(TABL12345[[#This Row],[( S/S+T/B) AJD]]*1000)-((TABL12345[[#This Row],[(STORGE DIFF.) AJD]]*1000)+TABL12345[[#This Row],[البخر  AJD]]+(TABL12345[[#This Row],[(A/B + A/S) AJD]]*1000))</f>
        <v>0</v>
      </c>
      <c r="AE165" s="41"/>
      <c r="AF165" s="43"/>
      <c r="AG165" s="43"/>
      <c r="AH165" s="6">
        <f>TABL12345[[#This Row],[ (RESV. STORGE) BER]]/10</f>
        <v>0</v>
      </c>
      <c r="AI165" s="41"/>
      <c r="AJ165" s="41">
        <f>TABL12345[[#This Row],[(A/B TOT) AJD]]-TABL12345[[#This Row],[BER_ IN]]</f>
        <v>0</v>
      </c>
      <c r="AK165" s="43"/>
      <c r="AL165" s="43"/>
      <c r="AM165" s="32"/>
      <c r="AN165" s="32">
        <f>TABL12345[[#This Row],[ (RESV. STORGE) SER]]/10</f>
        <v>0</v>
      </c>
      <c r="AO165" s="68"/>
      <c r="AP165" s="68">
        <f>TABL12345[[#This Row],[(A/S TOT) AJD]]-TABL12345[[#This Row],[SER_ IN]]</f>
        <v>0</v>
      </c>
    </row>
    <row r="166" spans="1:42" ht="18.75" x14ac:dyDescent="0.25">
      <c r="A166" s="2">
        <v>47283</v>
      </c>
      <c r="B166" s="44"/>
      <c r="C166" s="44"/>
      <c r="D166" s="44"/>
      <c r="E166" s="28"/>
      <c r="F166" s="44"/>
      <c r="G166" s="40"/>
      <c r="H166" s="28"/>
      <c r="I166" s="40"/>
      <c r="J166" s="44"/>
      <c r="K166" s="28">
        <f>TABL12345[[#This Row],[خط (T/B  TOT) SAR]]+TABL12345[[#This Row],[خط (S/S  TOT) SAR2]]</f>
        <v>0</v>
      </c>
      <c r="L166" s="45"/>
      <c r="M166" s="46"/>
      <c r="N166" s="46"/>
      <c r="O166" s="40"/>
      <c r="P166" s="10">
        <f>TABL12345[[#This Row],[خط (S/S  TOT) SAR2]]-TABL12345[[#This Row],[(S/S TOT) AJD]]</f>
        <v>0</v>
      </c>
      <c r="Q166" s="40"/>
      <c r="R166" s="10">
        <f>TABL12345[[#This Row],[خط (T/B  TOT) SAR]]-TABL12345[[#This Row],[(T/B TOT) AJD]]</f>
        <v>0</v>
      </c>
      <c r="S166" s="10">
        <f>TABL12345[[#This Row],[الفرق بين بداية ونهاية خط  S/S]]+TABL12345[[#This Row],[الفرق بين بداية ونهاية خط  T/B]]</f>
        <v>0</v>
      </c>
      <c r="T166" s="10">
        <f t="shared" si="8"/>
        <v>0</v>
      </c>
      <c r="U166" s="44"/>
      <c r="V166" s="44"/>
      <c r="W166" s="10">
        <f t="shared" si="9"/>
        <v>0</v>
      </c>
      <c r="X166" s="10">
        <f t="shared" si="10"/>
        <v>0</v>
      </c>
      <c r="Y166" s="44"/>
      <c r="Z166" s="45"/>
      <c r="AA166" s="3">
        <f>TABL12345[[#This Row],[(RESV. STORGE) AJD]]/10</f>
        <v>0</v>
      </c>
      <c r="AB166" s="45">
        <f t="shared" si="11"/>
        <v>0</v>
      </c>
      <c r="AC166" s="5"/>
      <c r="AD166" s="40">
        <f>(TABL12345[[#This Row],[( S/S+T/B) AJD]]*1000)-((TABL12345[[#This Row],[(STORGE DIFF.) AJD]]*1000)+TABL12345[[#This Row],[البخر  AJD]]+(TABL12345[[#This Row],[(A/B + A/S) AJD]]*1000))</f>
        <v>0</v>
      </c>
      <c r="AE166" s="44"/>
      <c r="AF166" s="45"/>
      <c r="AG166" s="45"/>
      <c r="AH166" s="6">
        <f>TABL12345[[#This Row],[ (RESV. STORGE) BER]]/10</f>
        <v>0</v>
      </c>
      <c r="AI166" s="44"/>
      <c r="AJ166" s="44">
        <f>TABL12345[[#This Row],[(A/B TOT) AJD]]-TABL12345[[#This Row],[BER_ IN]]</f>
        <v>0</v>
      </c>
      <c r="AK166" s="45"/>
      <c r="AL166" s="45"/>
      <c r="AM166" s="32"/>
      <c r="AN166" s="32">
        <f>TABL12345[[#This Row],[ (RESV. STORGE) SER]]/10</f>
        <v>0</v>
      </c>
      <c r="AO166" s="68"/>
      <c r="AP166" s="68">
        <f>TABL12345[[#This Row],[(A/S TOT) AJD]]-TABL12345[[#This Row],[SER_ IN]]</f>
        <v>0</v>
      </c>
    </row>
    <row r="167" spans="1:42" ht="18.75" x14ac:dyDescent="0.25">
      <c r="A167" s="2">
        <v>47284</v>
      </c>
      <c r="B167" s="41"/>
      <c r="C167" s="41"/>
      <c r="D167" s="41"/>
      <c r="E167" s="28"/>
      <c r="F167" s="41"/>
      <c r="G167" s="39"/>
      <c r="H167" s="28"/>
      <c r="I167" s="39"/>
      <c r="J167" s="39"/>
      <c r="K167" s="28">
        <f>TABL12345[[#This Row],[خط (T/B  TOT) SAR]]+TABL12345[[#This Row],[خط (S/S  TOT) SAR2]]</f>
        <v>0</v>
      </c>
      <c r="L167" s="41"/>
      <c r="M167" s="42"/>
      <c r="N167" s="42"/>
      <c r="O167" s="39"/>
      <c r="P167" s="10">
        <f>TABL12345[[#This Row],[خط (S/S  TOT) SAR2]]-TABL12345[[#This Row],[(S/S TOT) AJD]]</f>
        <v>0</v>
      </c>
      <c r="Q167" s="39"/>
      <c r="R167" s="10">
        <f>TABL12345[[#This Row],[خط (T/B  TOT) SAR]]-TABL12345[[#This Row],[(T/B TOT) AJD]]</f>
        <v>0</v>
      </c>
      <c r="S167" s="10">
        <f>TABL12345[[#This Row],[الفرق بين بداية ونهاية خط  S/S]]+TABL12345[[#This Row],[الفرق بين بداية ونهاية خط  T/B]]</f>
        <v>0</v>
      </c>
      <c r="T167" s="10">
        <f t="shared" si="8"/>
        <v>0</v>
      </c>
      <c r="U167" s="41"/>
      <c r="V167" s="41"/>
      <c r="W167" s="10">
        <f t="shared" si="9"/>
        <v>0</v>
      </c>
      <c r="X167" s="10">
        <f t="shared" si="10"/>
        <v>0</v>
      </c>
      <c r="Y167" s="41"/>
      <c r="Z167" s="43"/>
      <c r="AA167" s="3">
        <f>TABL12345[[#This Row],[(RESV. STORGE) AJD]]/10</f>
        <v>0</v>
      </c>
      <c r="AB167" s="43">
        <f t="shared" si="11"/>
        <v>0</v>
      </c>
      <c r="AC167" s="5"/>
      <c r="AD167" s="39">
        <f>(TABL12345[[#This Row],[( S/S+T/B) AJD]]*1000)-((TABL12345[[#This Row],[(STORGE DIFF.) AJD]]*1000)+TABL12345[[#This Row],[البخر  AJD]]+(TABL12345[[#This Row],[(A/B + A/S) AJD]]*1000))</f>
        <v>0</v>
      </c>
      <c r="AE167" s="41"/>
      <c r="AF167" s="43"/>
      <c r="AG167" s="43"/>
      <c r="AH167" s="6">
        <f>TABL12345[[#This Row],[ (RESV. STORGE) BER]]/10</f>
        <v>0</v>
      </c>
      <c r="AI167" s="41"/>
      <c r="AJ167" s="41">
        <f>TABL12345[[#This Row],[(A/B TOT) AJD]]-TABL12345[[#This Row],[BER_ IN]]</f>
        <v>0</v>
      </c>
      <c r="AK167" s="43"/>
      <c r="AL167" s="43"/>
      <c r="AM167" s="32"/>
      <c r="AN167" s="32">
        <f>TABL12345[[#This Row],[ (RESV. STORGE) SER]]/10</f>
        <v>0</v>
      </c>
      <c r="AO167" s="68"/>
      <c r="AP167" s="68">
        <f>TABL12345[[#This Row],[(A/S TOT) AJD]]-TABL12345[[#This Row],[SER_ IN]]</f>
        <v>0</v>
      </c>
    </row>
    <row r="168" spans="1:42" ht="18.75" x14ac:dyDescent="0.25">
      <c r="A168" s="2">
        <v>47285</v>
      </c>
      <c r="B168" s="44"/>
      <c r="C168" s="44"/>
      <c r="D168" s="44"/>
      <c r="E168" s="28"/>
      <c r="F168" s="44"/>
      <c r="G168" s="40"/>
      <c r="H168" s="28"/>
      <c r="I168" s="40"/>
      <c r="J168" s="44"/>
      <c r="K168" s="28">
        <f>TABL12345[[#This Row],[خط (T/B  TOT) SAR]]+TABL12345[[#This Row],[خط (S/S  TOT) SAR2]]</f>
        <v>0</v>
      </c>
      <c r="L168" s="45"/>
      <c r="M168" s="46"/>
      <c r="N168" s="46"/>
      <c r="O168" s="40"/>
      <c r="P168" s="10">
        <f>TABL12345[[#This Row],[خط (S/S  TOT) SAR2]]-TABL12345[[#This Row],[(S/S TOT) AJD]]</f>
        <v>0</v>
      </c>
      <c r="Q168" s="40"/>
      <c r="R168" s="10">
        <f>TABL12345[[#This Row],[خط (T/B  TOT) SAR]]-TABL12345[[#This Row],[(T/B TOT) AJD]]</f>
        <v>0</v>
      </c>
      <c r="S168" s="10">
        <f>TABL12345[[#This Row],[الفرق بين بداية ونهاية خط  S/S]]+TABL12345[[#This Row],[الفرق بين بداية ونهاية خط  T/B]]</f>
        <v>0</v>
      </c>
      <c r="T168" s="10">
        <f t="shared" si="8"/>
        <v>0</v>
      </c>
      <c r="U168" s="44"/>
      <c r="V168" s="44"/>
      <c r="W168" s="10">
        <f t="shared" si="9"/>
        <v>0</v>
      </c>
      <c r="X168" s="10">
        <f t="shared" si="10"/>
        <v>0</v>
      </c>
      <c r="Y168" s="44"/>
      <c r="Z168" s="45"/>
      <c r="AA168" s="3">
        <f>TABL12345[[#This Row],[(RESV. STORGE) AJD]]/10</f>
        <v>0</v>
      </c>
      <c r="AB168" s="45">
        <f t="shared" si="11"/>
        <v>0</v>
      </c>
      <c r="AC168" s="5"/>
      <c r="AD168" s="40">
        <f>(TABL12345[[#This Row],[( S/S+T/B) AJD]]*1000)-((TABL12345[[#This Row],[(STORGE DIFF.) AJD]]*1000)+TABL12345[[#This Row],[البخر  AJD]]+(TABL12345[[#This Row],[(A/B + A/S) AJD]]*1000))</f>
        <v>0</v>
      </c>
      <c r="AE168" s="44"/>
      <c r="AF168" s="45"/>
      <c r="AG168" s="45"/>
      <c r="AH168" s="6">
        <f>TABL12345[[#This Row],[ (RESV. STORGE) BER]]/10</f>
        <v>0</v>
      </c>
      <c r="AI168" s="44"/>
      <c r="AJ168" s="44">
        <f>TABL12345[[#This Row],[(A/B TOT) AJD]]-TABL12345[[#This Row],[BER_ IN]]</f>
        <v>0</v>
      </c>
      <c r="AK168" s="45"/>
      <c r="AL168" s="45"/>
      <c r="AM168" s="32"/>
      <c r="AN168" s="32">
        <f>TABL12345[[#This Row],[ (RESV. STORGE) SER]]/10</f>
        <v>0</v>
      </c>
      <c r="AO168" s="68"/>
      <c r="AP168" s="68">
        <f>TABL12345[[#This Row],[(A/S TOT) AJD]]-TABL12345[[#This Row],[SER_ IN]]</f>
        <v>0</v>
      </c>
    </row>
    <row r="169" spans="1:42" ht="18.75" x14ac:dyDescent="0.25">
      <c r="A169" s="2">
        <v>47286</v>
      </c>
      <c r="B169" s="41"/>
      <c r="C169" s="41"/>
      <c r="D169" s="41"/>
      <c r="E169" s="28"/>
      <c r="F169" s="41"/>
      <c r="G169" s="39"/>
      <c r="H169" s="28"/>
      <c r="I169" s="39"/>
      <c r="J169" s="39"/>
      <c r="K169" s="28">
        <f>TABL12345[[#This Row],[خط (T/B  TOT) SAR]]+TABL12345[[#This Row],[خط (S/S  TOT) SAR2]]</f>
        <v>0</v>
      </c>
      <c r="L169" s="41"/>
      <c r="M169" s="42"/>
      <c r="N169" s="42"/>
      <c r="O169" s="39"/>
      <c r="P169" s="10">
        <f>TABL12345[[#This Row],[خط (S/S  TOT) SAR2]]-TABL12345[[#This Row],[(S/S TOT) AJD]]</f>
        <v>0</v>
      </c>
      <c r="Q169" s="39"/>
      <c r="R169" s="10">
        <f>TABL12345[[#This Row],[خط (T/B  TOT) SAR]]-TABL12345[[#This Row],[(T/B TOT) AJD]]</f>
        <v>0</v>
      </c>
      <c r="S169" s="10">
        <f>TABL12345[[#This Row],[الفرق بين بداية ونهاية خط  S/S]]+TABL12345[[#This Row],[الفرق بين بداية ونهاية خط  T/B]]</f>
        <v>0</v>
      </c>
      <c r="T169" s="10">
        <f t="shared" si="8"/>
        <v>0</v>
      </c>
      <c r="U169" s="41"/>
      <c r="V169" s="41"/>
      <c r="W169" s="10">
        <f t="shared" si="9"/>
        <v>0</v>
      </c>
      <c r="X169" s="10">
        <f t="shared" si="10"/>
        <v>0</v>
      </c>
      <c r="Y169" s="41"/>
      <c r="Z169" s="43"/>
      <c r="AA169" s="3">
        <f>TABL12345[[#This Row],[(RESV. STORGE) AJD]]/10</f>
        <v>0</v>
      </c>
      <c r="AB169" s="43">
        <f t="shared" si="11"/>
        <v>0</v>
      </c>
      <c r="AC169" s="5"/>
      <c r="AD169" s="39">
        <f>(TABL12345[[#This Row],[( S/S+T/B) AJD]]*1000)-((TABL12345[[#This Row],[(STORGE DIFF.) AJD]]*1000)+TABL12345[[#This Row],[البخر  AJD]]+(TABL12345[[#This Row],[(A/B + A/S) AJD]]*1000))</f>
        <v>0</v>
      </c>
      <c r="AE169" s="41"/>
      <c r="AF169" s="43"/>
      <c r="AG169" s="43"/>
      <c r="AH169" s="6">
        <f>TABL12345[[#This Row],[ (RESV. STORGE) BER]]/10</f>
        <v>0</v>
      </c>
      <c r="AI169" s="41"/>
      <c r="AJ169" s="41">
        <f>TABL12345[[#This Row],[(A/B TOT) AJD]]-TABL12345[[#This Row],[BER_ IN]]</f>
        <v>0</v>
      </c>
      <c r="AK169" s="43"/>
      <c r="AL169" s="43"/>
      <c r="AM169" s="32"/>
      <c r="AN169" s="32">
        <f>TABL12345[[#This Row],[ (RESV. STORGE) SER]]/10</f>
        <v>0</v>
      </c>
      <c r="AO169" s="68"/>
      <c r="AP169" s="68">
        <f>TABL12345[[#This Row],[(A/S TOT) AJD]]-TABL12345[[#This Row],[SER_ IN]]</f>
        <v>0</v>
      </c>
    </row>
    <row r="170" spans="1:42" ht="18.75" x14ac:dyDescent="0.25">
      <c r="A170" s="2">
        <v>47287</v>
      </c>
      <c r="B170" s="44"/>
      <c r="C170" s="44"/>
      <c r="D170" s="44"/>
      <c r="E170" s="28"/>
      <c r="F170" s="44"/>
      <c r="G170" s="40"/>
      <c r="H170" s="28"/>
      <c r="I170" s="40"/>
      <c r="J170" s="44"/>
      <c r="K170" s="28">
        <f>TABL12345[[#This Row],[خط (T/B  TOT) SAR]]+TABL12345[[#This Row],[خط (S/S  TOT) SAR2]]</f>
        <v>0</v>
      </c>
      <c r="L170" s="45"/>
      <c r="M170" s="46"/>
      <c r="N170" s="46"/>
      <c r="O170" s="40"/>
      <c r="P170" s="3">
        <f>TABL12345[[#This Row],[خط (S/S  TOT) SAR2]]-TABL12345[[#This Row],[(S/S TOT) AJD]]</f>
        <v>0</v>
      </c>
      <c r="Q170" s="40"/>
      <c r="R170" s="3">
        <f>TABL12345[[#This Row],[خط (T/B  TOT) SAR]]-TABL12345[[#This Row],[(T/B TOT) AJD]]</f>
        <v>0</v>
      </c>
      <c r="S170" s="3">
        <f>TABL12345[[#This Row],[الفرق بين بداية ونهاية خط  S/S]]+TABL12345[[#This Row],[الفرق بين بداية ونهاية خط  T/B]]</f>
        <v>0</v>
      </c>
      <c r="T170" s="3">
        <f t="shared" si="8"/>
        <v>0</v>
      </c>
      <c r="U170" s="44"/>
      <c r="V170" s="44"/>
      <c r="W170" s="3">
        <f t="shared" si="9"/>
        <v>0</v>
      </c>
      <c r="X170" s="3">
        <f t="shared" si="10"/>
        <v>0</v>
      </c>
      <c r="Y170" s="44"/>
      <c r="Z170" s="45"/>
      <c r="AA170" s="3">
        <f>TABL12345[[#This Row],[(RESV. STORGE) AJD]]/10</f>
        <v>0</v>
      </c>
      <c r="AB170" s="45">
        <f t="shared" si="11"/>
        <v>0</v>
      </c>
      <c r="AC170" s="5"/>
      <c r="AD170" s="40">
        <f>(TABL12345[[#This Row],[( S/S+T/B) AJD]]*1000)-((TABL12345[[#This Row],[(STORGE DIFF.) AJD]]*1000)+TABL12345[[#This Row],[البخر  AJD]]+(TABL12345[[#This Row],[(A/B + A/S) AJD]]*1000))</f>
        <v>0</v>
      </c>
      <c r="AE170" s="44"/>
      <c r="AF170" s="45"/>
      <c r="AG170" s="45"/>
      <c r="AH170" s="6">
        <f>TABL12345[[#This Row],[ (RESV. STORGE) BER]]/10</f>
        <v>0</v>
      </c>
      <c r="AI170" s="44"/>
      <c r="AJ170" s="44">
        <f>TABL12345[[#This Row],[(A/B TOT) AJD]]-TABL12345[[#This Row],[BER_ IN]]</f>
        <v>0</v>
      </c>
      <c r="AK170" s="45"/>
      <c r="AL170" s="45"/>
      <c r="AM170" s="32"/>
      <c r="AN170" s="32">
        <f>TABL12345[[#This Row],[ (RESV. STORGE) SER]]/10</f>
        <v>0</v>
      </c>
      <c r="AO170" s="68"/>
      <c r="AP170" s="68">
        <f>TABL12345[[#This Row],[(A/S TOT) AJD]]-TABL12345[[#This Row],[SER_ IN]]</f>
        <v>0</v>
      </c>
    </row>
    <row r="171" spans="1:42" ht="18.75" x14ac:dyDescent="0.25">
      <c r="A171" s="2">
        <v>47288</v>
      </c>
      <c r="B171" s="41"/>
      <c r="C171" s="41"/>
      <c r="D171" s="41"/>
      <c r="E171" s="28"/>
      <c r="F171" s="41"/>
      <c r="G171" s="39"/>
      <c r="H171" s="28"/>
      <c r="I171" s="39"/>
      <c r="J171" s="39"/>
      <c r="K171" s="28">
        <f>TABL12345[[#This Row],[خط (T/B  TOT) SAR]]+TABL12345[[#This Row],[خط (S/S  TOT) SAR2]]</f>
        <v>0</v>
      </c>
      <c r="L171" s="41"/>
      <c r="M171" s="42"/>
      <c r="N171" s="42"/>
      <c r="O171" s="39"/>
      <c r="P171" s="3">
        <f>TABL12345[[#This Row],[خط (S/S  TOT) SAR2]]-TABL12345[[#This Row],[(S/S TOT) AJD]]</f>
        <v>0</v>
      </c>
      <c r="Q171" s="39"/>
      <c r="R171" s="3">
        <f>TABL12345[[#This Row],[خط (T/B  TOT) SAR]]-TABL12345[[#This Row],[(T/B TOT) AJD]]</f>
        <v>0</v>
      </c>
      <c r="S171" s="3">
        <f>TABL12345[[#This Row],[الفرق بين بداية ونهاية خط  S/S]]+TABL12345[[#This Row],[الفرق بين بداية ونهاية خط  T/B]]</f>
        <v>0</v>
      </c>
      <c r="T171" s="3">
        <f t="shared" si="8"/>
        <v>0</v>
      </c>
      <c r="U171" s="41"/>
      <c r="V171" s="41"/>
      <c r="W171" s="3">
        <f t="shared" si="9"/>
        <v>0</v>
      </c>
      <c r="X171" s="3">
        <f t="shared" si="10"/>
        <v>0</v>
      </c>
      <c r="Y171" s="41"/>
      <c r="Z171" s="43"/>
      <c r="AA171" s="3">
        <f>TABL12345[[#This Row],[(RESV. STORGE) AJD]]/10</f>
        <v>0</v>
      </c>
      <c r="AB171" s="43">
        <f t="shared" si="11"/>
        <v>0</v>
      </c>
      <c r="AC171" s="5"/>
      <c r="AD171" s="39">
        <f>(TABL12345[[#This Row],[( S/S+T/B) AJD]]*1000)-((TABL12345[[#This Row],[(STORGE DIFF.) AJD]]*1000)+TABL12345[[#This Row],[البخر  AJD]]+(TABL12345[[#This Row],[(A/B + A/S) AJD]]*1000))</f>
        <v>0</v>
      </c>
      <c r="AE171" s="41"/>
      <c r="AF171" s="43"/>
      <c r="AG171" s="43"/>
      <c r="AH171" s="6">
        <f>TABL12345[[#This Row],[ (RESV. STORGE) BER]]/10</f>
        <v>0</v>
      </c>
      <c r="AI171" s="41"/>
      <c r="AJ171" s="41">
        <f>TABL12345[[#This Row],[(A/B TOT) AJD]]-TABL12345[[#This Row],[BER_ IN]]</f>
        <v>0</v>
      </c>
      <c r="AK171" s="43"/>
      <c r="AL171" s="43"/>
      <c r="AM171" s="32"/>
      <c r="AN171" s="32">
        <f>TABL12345[[#This Row],[ (RESV. STORGE) SER]]/10</f>
        <v>0</v>
      </c>
      <c r="AO171" s="68"/>
      <c r="AP171" s="68">
        <f>TABL12345[[#This Row],[(A/S TOT) AJD]]-TABL12345[[#This Row],[SER_ IN]]</f>
        <v>0</v>
      </c>
    </row>
    <row r="172" spans="1:42" ht="18.75" x14ac:dyDescent="0.25">
      <c r="A172" s="2">
        <v>47289</v>
      </c>
      <c r="B172" s="44"/>
      <c r="C172" s="44"/>
      <c r="D172" s="44"/>
      <c r="E172" s="28"/>
      <c r="F172" s="44"/>
      <c r="G172" s="40"/>
      <c r="H172" s="28"/>
      <c r="I172" s="40"/>
      <c r="J172" s="40"/>
      <c r="K172" s="28">
        <f>TABL12345[[#This Row],[خط (T/B  TOT) SAR]]+TABL12345[[#This Row],[خط (S/S  TOT) SAR2]]</f>
        <v>0</v>
      </c>
      <c r="L172" s="44"/>
      <c r="M172" s="46"/>
      <c r="N172" s="46"/>
      <c r="O172" s="40"/>
      <c r="P172" s="3">
        <f>TABL12345[[#This Row],[خط (S/S  TOT) SAR2]]-TABL12345[[#This Row],[(S/S TOT) AJD]]</f>
        <v>0</v>
      </c>
      <c r="Q172" s="40"/>
      <c r="R172" s="3">
        <f>TABL12345[[#This Row],[خط (T/B  TOT) SAR]]-TABL12345[[#This Row],[(T/B TOT) AJD]]</f>
        <v>0</v>
      </c>
      <c r="S172" s="3">
        <f>TABL12345[[#This Row],[الفرق بين بداية ونهاية خط  S/S]]+TABL12345[[#This Row],[الفرق بين بداية ونهاية خط  T/B]]</f>
        <v>0</v>
      </c>
      <c r="T172" s="3">
        <f t="shared" si="8"/>
        <v>0</v>
      </c>
      <c r="U172" s="44"/>
      <c r="V172" s="44"/>
      <c r="W172" s="3">
        <f t="shared" si="9"/>
        <v>0</v>
      </c>
      <c r="X172" s="3">
        <f t="shared" si="10"/>
        <v>0</v>
      </c>
      <c r="Y172" s="44"/>
      <c r="Z172" s="45"/>
      <c r="AA172" s="3">
        <f>TABL12345[[#This Row],[(RESV. STORGE) AJD]]/10</f>
        <v>0</v>
      </c>
      <c r="AB172" s="45">
        <f t="shared" si="11"/>
        <v>0</v>
      </c>
      <c r="AC172" s="5"/>
      <c r="AD172" s="40">
        <f>(TABL12345[[#This Row],[( S/S+T/B) AJD]]*1000)-((TABL12345[[#This Row],[(STORGE DIFF.) AJD]]*1000)+TABL12345[[#This Row],[البخر  AJD]]+(TABL12345[[#This Row],[(A/B + A/S) AJD]]*1000))</f>
        <v>0</v>
      </c>
      <c r="AE172" s="44"/>
      <c r="AF172" s="45"/>
      <c r="AG172" s="45"/>
      <c r="AH172" s="6">
        <f>TABL12345[[#This Row],[ (RESV. STORGE) BER]]/10</f>
        <v>0</v>
      </c>
      <c r="AI172" s="44"/>
      <c r="AJ172" s="44">
        <f>TABL12345[[#This Row],[(A/B TOT) AJD]]-TABL12345[[#This Row],[BER_ IN]]</f>
        <v>0</v>
      </c>
      <c r="AK172" s="45"/>
      <c r="AL172" s="45"/>
      <c r="AM172" s="32"/>
      <c r="AN172" s="32">
        <f>TABL12345[[#This Row],[ (RESV. STORGE) SER]]/10</f>
        <v>0</v>
      </c>
      <c r="AO172" s="68"/>
      <c r="AP172" s="68">
        <f>TABL12345[[#This Row],[(A/S TOT) AJD]]-TABL12345[[#This Row],[SER_ IN]]</f>
        <v>0</v>
      </c>
    </row>
    <row r="173" spans="1:42" ht="18.75" x14ac:dyDescent="0.25">
      <c r="A173" s="2">
        <v>47290</v>
      </c>
      <c r="B173" s="41"/>
      <c r="C173" s="41"/>
      <c r="D173" s="41"/>
      <c r="E173" s="28"/>
      <c r="F173" s="41"/>
      <c r="G173" s="39"/>
      <c r="H173" s="28"/>
      <c r="I173" s="39"/>
      <c r="J173" s="39"/>
      <c r="K173" s="28">
        <f>TABL12345[[#This Row],[خط (T/B  TOT) SAR]]+TABL12345[[#This Row],[خط (S/S  TOT) SAR2]]</f>
        <v>0</v>
      </c>
      <c r="L173" s="41"/>
      <c r="M173" s="42"/>
      <c r="N173" s="42"/>
      <c r="O173" s="39"/>
      <c r="P173" s="3">
        <f>TABL12345[[#This Row],[خط (S/S  TOT) SAR2]]-TABL12345[[#This Row],[(S/S TOT) AJD]]</f>
        <v>0</v>
      </c>
      <c r="Q173" s="39"/>
      <c r="R173" s="3">
        <f>TABL12345[[#This Row],[خط (T/B  TOT) SAR]]-TABL12345[[#This Row],[(T/B TOT) AJD]]</f>
        <v>0</v>
      </c>
      <c r="S173" s="3">
        <f>TABL12345[[#This Row],[الفرق بين بداية ونهاية خط  S/S]]+TABL12345[[#This Row],[الفرق بين بداية ونهاية خط  T/B]]</f>
        <v>0</v>
      </c>
      <c r="T173" s="3">
        <f t="shared" si="8"/>
        <v>0</v>
      </c>
      <c r="U173" s="41"/>
      <c r="V173" s="41"/>
      <c r="W173" s="3">
        <f t="shared" si="9"/>
        <v>0</v>
      </c>
      <c r="X173" s="3">
        <f t="shared" si="10"/>
        <v>0</v>
      </c>
      <c r="Y173" s="41"/>
      <c r="Z173" s="43"/>
      <c r="AA173" s="3">
        <f>TABL12345[[#This Row],[(RESV. STORGE) AJD]]/10</f>
        <v>0</v>
      </c>
      <c r="AB173" s="43">
        <f t="shared" si="11"/>
        <v>0</v>
      </c>
      <c r="AC173" s="5"/>
      <c r="AD173" s="39">
        <f>(TABL12345[[#This Row],[( S/S+T/B) AJD]]*1000)-((TABL12345[[#This Row],[(STORGE DIFF.) AJD]]*1000)+TABL12345[[#This Row],[البخر  AJD]]+(TABL12345[[#This Row],[(A/B + A/S) AJD]]*1000))</f>
        <v>0</v>
      </c>
      <c r="AE173" s="41"/>
      <c r="AF173" s="43"/>
      <c r="AG173" s="43"/>
      <c r="AH173" s="6">
        <f>TABL12345[[#This Row],[ (RESV. STORGE) BER]]/10</f>
        <v>0</v>
      </c>
      <c r="AI173" s="41"/>
      <c r="AJ173" s="41">
        <f>TABL12345[[#This Row],[(A/B TOT) AJD]]-TABL12345[[#This Row],[BER_ IN]]</f>
        <v>0</v>
      </c>
      <c r="AK173" s="43"/>
      <c r="AL173" s="43"/>
      <c r="AM173" s="32"/>
      <c r="AN173" s="32">
        <f>TABL12345[[#This Row],[ (RESV. STORGE) SER]]/10</f>
        <v>0</v>
      </c>
      <c r="AO173" s="68"/>
      <c r="AP173" s="68">
        <f>TABL12345[[#This Row],[(A/S TOT) AJD]]-TABL12345[[#This Row],[SER_ IN]]</f>
        <v>0</v>
      </c>
    </row>
    <row r="174" spans="1:42" ht="18.75" x14ac:dyDescent="0.25">
      <c r="A174" s="2">
        <v>47291</v>
      </c>
      <c r="B174" s="44"/>
      <c r="C174" s="44"/>
      <c r="D174" s="44"/>
      <c r="E174" s="28"/>
      <c r="F174" s="44"/>
      <c r="G174" s="40"/>
      <c r="H174" s="28"/>
      <c r="I174" s="40"/>
      <c r="J174" s="44"/>
      <c r="K174" s="28">
        <f>TABL12345[[#This Row],[خط (T/B  TOT) SAR]]+TABL12345[[#This Row],[خط (S/S  TOT) SAR2]]</f>
        <v>0</v>
      </c>
      <c r="L174" s="45"/>
      <c r="M174" s="46"/>
      <c r="N174" s="46"/>
      <c r="O174" s="40"/>
      <c r="P174" s="3">
        <f>TABL12345[[#This Row],[خط (S/S  TOT) SAR2]]-TABL12345[[#This Row],[(S/S TOT) AJD]]</f>
        <v>0</v>
      </c>
      <c r="Q174" s="40"/>
      <c r="R174" s="3">
        <f>TABL12345[[#This Row],[خط (T/B  TOT) SAR]]-TABL12345[[#This Row],[(T/B TOT) AJD]]</f>
        <v>0</v>
      </c>
      <c r="S174" s="3">
        <f>TABL12345[[#This Row],[الفرق بين بداية ونهاية خط  S/S]]+TABL12345[[#This Row],[الفرق بين بداية ونهاية خط  T/B]]</f>
        <v>0</v>
      </c>
      <c r="T174" s="3">
        <f t="shared" si="8"/>
        <v>0</v>
      </c>
      <c r="U174" s="44"/>
      <c r="V174" s="44"/>
      <c r="W174" s="3">
        <f t="shared" si="9"/>
        <v>0</v>
      </c>
      <c r="X174" s="3">
        <f t="shared" si="10"/>
        <v>0</v>
      </c>
      <c r="Y174" s="44"/>
      <c r="Z174" s="45"/>
      <c r="AA174" s="3">
        <f>TABL12345[[#This Row],[(RESV. STORGE) AJD]]/10</f>
        <v>0</v>
      </c>
      <c r="AB174" s="45">
        <f t="shared" si="11"/>
        <v>0</v>
      </c>
      <c r="AC174" s="5"/>
      <c r="AD174" s="40">
        <f>(TABL12345[[#This Row],[( S/S+T/B) AJD]]*1000)-((TABL12345[[#This Row],[(STORGE DIFF.) AJD]]*1000)+TABL12345[[#This Row],[البخر  AJD]]+(TABL12345[[#This Row],[(A/B + A/S) AJD]]*1000))</f>
        <v>0</v>
      </c>
      <c r="AE174" s="44"/>
      <c r="AF174" s="45"/>
      <c r="AG174" s="45"/>
      <c r="AH174" s="6">
        <f>TABL12345[[#This Row],[ (RESV. STORGE) BER]]/10</f>
        <v>0</v>
      </c>
      <c r="AI174" s="44"/>
      <c r="AJ174" s="44">
        <f>TABL12345[[#This Row],[(A/B TOT) AJD]]-TABL12345[[#This Row],[BER_ IN]]</f>
        <v>0</v>
      </c>
      <c r="AK174" s="45"/>
      <c r="AL174" s="45"/>
      <c r="AM174" s="32"/>
      <c r="AN174" s="32">
        <f>TABL12345[[#This Row],[ (RESV. STORGE) SER]]/10</f>
        <v>0</v>
      </c>
      <c r="AO174" s="68"/>
      <c r="AP174" s="68">
        <f>TABL12345[[#This Row],[(A/S TOT) AJD]]-TABL12345[[#This Row],[SER_ IN]]</f>
        <v>0</v>
      </c>
    </row>
    <row r="175" spans="1:42" ht="18.75" x14ac:dyDescent="0.25">
      <c r="A175" s="2">
        <v>47292</v>
      </c>
      <c r="B175" s="41"/>
      <c r="C175" s="41"/>
      <c r="D175" s="41"/>
      <c r="E175" s="28"/>
      <c r="F175" s="41"/>
      <c r="G175" s="39"/>
      <c r="H175" s="28"/>
      <c r="I175" s="39"/>
      <c r="J175" s="39"/>
      <c r="K175" s="28">
        <f>TABL12345[[#This Row],[خط (T/B  TOT) SAR]]+TABL12345[[#This Row],[خط (S/S  TOT) SAR2]]</f>
        <v>0</v>
      </c>
      <c r="L175" s="41"/>
      <c r="M175" s="42"/>
      <c r="N175" s="42"/>
      <c r="O175" s="39"/>
      <c r="P175" s="3">
        <f>TABL12345[[#This Row],[خط (S/S  TOT) SAR2]]-TABL12345[[#This Row],[(S/S TOT) AJD]]</f>
        <v>0</v>
      </c>
      <c r="Q175" s="39"/>
      <c r="R175" s="3">
        <f>TABL12345[[#This Row],[خط (T/B  TOT) SAR]]-TABL12345[[#This Row],[(T/B TOT) AJD]]</f>
        <v>0</v>
      </c>
      <c r="S175" s="3">
        <f>TABL12345[[#This Row],[الفرق بين بداية ونهاية خط  S/S]]+TABL12345[[#This Row],[الفرق بين بداية ونهاية خط  T/B]]</f>
        <v>0</v>
      </c>
      <c r="T175" s="3">
        <f t="shared" si="8"/>
        <v>0</v>
      </c>
      <c r="U175" s="41"/>
      <c r="V175" s="41"/>
      <c r="W175" s="3">
        <f t="shared" si="9"/>
        <v>0</v>
      </c>
      <c r="X175" s="3">
        <f t="shared" si="10"/>
        <v>0</v>
      </c>
      <c r="Y175" s="41"/>
      <c r="Z175" s="43"/>
      <c r="AA175" s="3">
        <f>TABL12345[[#This Row],[(RESV. STORGE) AJD]]/10</f>
        <v>0</v>
      </c>
      <c r="AB175" s="43">
        <f t="shared" si="11"/>
        <v>0</v>
      </c>
      <c r="AC175" s="5"/>
      <c r="AD175" s="39">
        <f>(TABL12345[[#This Row],[( S/S+T/B) AJD]]*1000)-((TABL12345[[#This Row],[(STORGE DIFF.) AJD]]*1000)+TABL12345[[#This Row],[البخر  AJD]]+(TABL12345[[#This Row],[(A/B + A/S) AJD]]*1000))</f>
        <v>0</v>
      </c>
      <c r="AE175" s="41"/>
      <c r="AF175" s="43"/>
      <c r="AG175" s="43"/>
      <c r="AH175" s="6">
        <f>TABL12345[[#This Row],[ (RESV. STORGE) BER]]/10</f>
        <v>0</v>
      </c>
      <c r="AI175" s="41"/>
      <c r="AJ175" s="41">
        <f>TABL12345[[#This Row],[(A/B TOT) AJD]]-TABL12345[[#This Row],[BER_ IN]]</f>
        <v>0</v>
      </c>
      <c r="AK175" s="43"/>
      <c r="AL175" s="43"/>
      <c r="AM175" s="32"/>
      <c r="AN175" s="32">
        <f>TABL12345[[#This Row],[ (RESV. STORGE) SER]]/10</f>
        <v>0</v>
      </c>
      <c r="AO175" s="68"/>
      <c r="AP175" s="68">
        <f>TABL12345[[#This Row],[(A/S TOT) AJD]]-TABL12345[[#This Row],[SER_ IN]]</f>
        <v>0</v>
      </c>
    </row>
    <row r="176" spans="1:42" ht="18.75" x14ac:dyDescent="0.25">
      <c r="A176" s="2">
        <v>47293</v>
      </c>
      <c r="B176" s="44"/>
      <c r="C176" s="44"/>
      <c r="D176" s="44"/>
      <c r="E176" s="28"/>
      <c r="F176" s="44"/>
      <c r="G176" s="40"/>
      <c r="H176" s="28"/>
      <c r="I176" s="40"/>
      <c r="J176" s="44"/>
      <c r="K176" s="28">
        <f>TABL12345[[#This Row],[خط (T/B  TOT) SAR]]+TABL12345[[#This Row],[خط (S/S  TOT) SAR2]]</f>
        <v>0</v>
      </c>
      <c r="L176" s="45"/>
      <c r="M176" s="46"/>
      <c r="N176" s="46"/>
      <c r="O176" s="40"/>
      <c r="P176" s="3">
        <f>TABL12345[[#This Row],[خط (S/S  TOT) SAR2]]-TABL12345[[#This Row],[(S/S TOT) AJD]]</f>
        <v>0</v>
      </c>
      <c r="Q176" s="40"/>
      <c r="R176" s="3">
        <f>TABL12345[[#This Row],[خط (T/B  TOT) SAR]]-TABL12345[[#This Row],[(T/B TOT) AJD]]</f>
        <v>0</v>
      </c>
      <c r="S176" s="3">
        <f>TABL12345[[#This Row],[الفرق بين بداية ونهاية خط  S/S]]+TABL12345[[#This Row],[الفرق بين بداية ونهاية خط  T/B]]</f>
        <v>0</v>
      </c>
      <c r="T176" s="3">
        <f t="shared" si="8"/>
        <v>0</v>
      </c>
      <c r="U176" s="44"/>
      <c r="V176" s="44"/>
      <c r="W176" s="3">
        <f t="shared" si="9"/>
        <v>0</v>
      </c>
      <c r="X176" s="3">
        <f t="shared" si="10"/>
        <v>0</v>
      </c>
      <c r="Y176" s="44"/>
      <c r="Z176" s="45"/>
      <c r="AA176" s="3">
        <f>TABL12345[[#This Row],[(RESV. STORGE) AJD]]/10</f>
        <v>0</v>
      </c>
      <c r="AB176" s="45">
        <f t="shared" si="11"/>
        <v>0</v>
      </c>
      <c r="AC176" s="5"/>
      <c r="AD176" s="40">
        <f>(TABL12345[[#This Row],[( S/S+T/B) AJD]]*1000)-((TABL12345[[#This Row],[(STORGE DIFF.) AJD]]*1000)+TABL12345[[#This Row],[البخر  AJD]]+(TABL12345[[#This Row],[(A/B + A/S) AJD]]*1000))</f>
        <v>0</v>
      </c>
      <c r="AE176" s="44"/>
      <c r="AF176" s="45"/>
      <c r="AG176" s="45"/>
      <c r="AH176" s="6">
        <f>TABL12345[[#This Row],[ (RESV. STORGE) BER]]/10</f>
        <v>0</v>
      </c>
      <c r="AI176" s="44"/>
      <c r="AJ176" s="44">
        <f>TABL12345[[#This Row],[(A/B TOT) AJD]]-TABL12345[[#This Row],[BER_ IN]]</f>
        <v>0</v>
      </c>
      <c r="AK176" s="45"/>
      <c r="AL176" s="45"/>
      <c r="AM176" s="32"/>
      <c r="AN176" s="32">
        <f>TABL12345[[#This Row],[ (RESV. STORGE) SER]]/10</f>
        <v>0</v>
      </c>
      <c r="AO176" s="68"/>
      <c r="AP176" s="68">
        <f>TABL12345[[#This Row],[(A/S TOT) AJD]]-TABL12345[[#This Row],[SER_ IN]]</f>
        <v>0</v>
      </c>
    </row>
    <row r="177" spans="1:42" ht="18.75" x14ac:dyDescent="0.25">
      <c r="A177" s="2">
        <v>47294</v>
      </c>
      <c r="B177" s="41"/>
      <c r="C177" s="41"/>
      <c r="D177" s="41"/>
      <c r="E177" s="28"/>
      <c r="F177" s="41"/>
      <c r="G177" s="39"/>
      <c r="H177" s="28"/>
      <c r="I177" s="39"/>
      <c r="J177" s="39"/>
      <c r="K177" s="28">
        <f>TABL12345[[#This Row],[خط (T/B  TOT) SAR]]+TABL12345[[#This Row],[خط (S/S  TOT) SAR2]]</f>
        <v>0</v>
      </c>
      <c r="L177" s="41"/>
      <c r="M177" s="42"/>
      <c r="N177" s="42"/>
      <c r="O177" s="39"/>
      <c r="P177" s="3">
        <f>TABL12345[[#This Row],[خط (S/S  TOT) SAR2]]-TABL12345[[#This Row],[(S/S TOT) AJD]]</f>
        <v>0</v>
      </c>
      <c r="Q177" s="39"/>
      <c r="R177" s="3">
        <f>TABL12345[[#This Row],[خط (T/B  TOT) SAR]]-TABL12345[[#This Row],[(T/B TOT) AJD]]</f>
        <v>0</v>
      </c>
      <c r="S177" s="3">
        <f>TABL12345[[#This Row],[الفرق بين بداية ونهاية خط  S/S]]+TABL12345[[#This Row],[الفرق بين بداية ونهاية خط  T/B]]</f>
        <v>0</v>
      </c>
      <c r="T177" s="3">
        <f t="shared" si="8"/>
        <v>0</v>
      </c>
      <c r="U177" s="41"/>
      <c r="V177" s="41"/>
      <c r="W177" s="3">
        <f t="shared" si="9"/>
        <v>0</v>
      </c>
      <c r="X177" s="3">
        <f t="shared" si="10"/>
        <v>0</v>
      </c>
      <c r="Y177" s="41"/>
      <c r="Z177" s="43"/>
      <c r="AA177" s="3">
        <f>TABL12345[[#This Row],[(RESV. STORGE) AJD]]/10</f>
        <v>0</v>
      </c>
      <c r="AB177" s="43">
        <f t="shared" si="11"/>
        <v>0</v>
      </c>
      <c r="AC177" s="5"/>
      <c r="AD177" s="39">
        <f>(TABL12345[[#This Row],[( S/S+T/B) AJD]]*1000)-((TABL12345[[#This Row],[(STORGE DIFF.) AJD]]*1000)+TABL12345[[#This Row],[البخر  AJD]]+(TABL12345[[#This Row],[(A/B + A/S) AJD]]*1000))</f>
        <v>0</v>
      </c>
      <c r="AE177" s="41"/>
      <c r="AF177" s="43"/>
      <c r="AG177" s="43"/>
      <c r="AH177" s="6">
        <f>TABL12345[[#This Row],[ (RESV. STORGE) BER]]/10</f>
        <v>0</v>
      </c>
      <c r="AI177" s="41"/>
      <c r="AJ177" s="41">
        <f>TABL12345[[#This Row],[(A/B TOT) AJD]]-TABL12345[[#This Row],[BER_ IN]]</f>
        <v>0</v>
      </c>
      <c r="AK177" s="43"/>
      <c r="AL177" s="43"/>
      <c r="AM177" s="32"/>
      <c r="AN177" s="32">
        <f>TABL12345[[#This Row],[ (RESV. STORGE) SER]]/10</f>
        <v>0</v>
      </c>
      <c r="AO177" s="68"/>
      <c r="AP177" s="68">
        <f>TABL12345[[#This Row],[(A/S TOT) AJD]]-TABL12345[[#This Row],[SER_ IN]]</f>
        <v>0</v>
      </c>
    </row>
    <row r="178" spans="1:42" ht="18.75" x14ac:dyDescent="0.25">
      <c r="A178" s="2">
        <v>47295</v>
      </c>
      <c r="B178" s="44"/>
      <c r="C178" s="44"/>
      <c r="D178" s="44"/>
      <c r="E178" s="28"/>
      <c r="F178" s="44"/>
      <c r="G178" s="40"/>
      <c r="H178" s="28"/>
      <c r="I178" s="40"/>
      <c r="J178" s="44"/>
      <c r="K178" s="28">
        <f>TABL12345[[#This Row],[خط (T/B  TOT) SAR]]+TABL12345[[#This Row],[خط (S/S  TOT) SAR2]]</f>
        <v>0</v>
      </c>
      <c r="L178" s="45"/>
      <c r="M178" s="46"/>
      <c r="N178" s="46"/>
      <c r="O178" s="40"/>
      <c r="P178" s="3">
        <f>TABL12345[[#This Row],[خط (S/S  TOT) SAR2]]-TABL12345[[#This Row],[(S/S TOT) AJD]]</f>
        <v>0</v>
      </c>
      <c r="Q178" s="40"/>
      <c r="R178" s="3">
        <f>TABL12345[[#This Row],[خط (T/B  TOT) SAR]]-TABL12345[[#This Row],[(T/B TOT) AJD]]</f>
        <v>0</v>
      </c>
      <c r="S178" s="3">
        <f>TABL12345[[#This Row],[الفرق بين بداية ونهاية خط  S/S]]+TABL12345[[#This Row],[الفرق بين بداية ونهاية خط  T/B]]</f>
        <v>0</v>
      </c>
      <c r="T178" s="3">
        <f t="shared" si="8"/>
        <v>0</v>
      </c>
      <c r="U178" s="44"/>
      <c r="V178" s="44"/>
      <c r="W178" s="3">
        <f t="shared" si="9"/>
        <v>0</v>
      </c>
      <c r="X178" s="3">
        <f t="shared" si="10"/>
        <v>0</v>
      </c>
      <c r="Y178" s="44"/>
      <c r="Z178" s="45"/>
      <c r="AA178" s="3">
        <f>TABL12345[[#This Row],[(RESV. STORGE) AJD]]/10</f>
        <v>0</v>
      </c>
      <c r="AB178" s="45">
        <f t="shared" si="11"/>
        <v>0</v>
      </c>
      <c r="AC178" s="5"/>
      <c r="AD178" s="40">
        <f>(TABL12345[[#This Row],[( S/S+T/B) AJD]]*1000)-((TABL12345[[#This Row],[(STORGE DIFF.) AJD]]*1000)+TABL12345[[#This Row],[البخر  AJD]]+(TABL12345[[#This Row],[(A/B + A/S) AJD]]*1000))</f>
        <v>0</v>
      </c>
      <c r="AE178" s="44"/>
      <c r="AF178" s="45"/>
      <c r="AG178" s="45"/>
      <c r="AH178" s="6">
        <f>TABL12345[[#This Row],[ (RESV. STORGE) BER]]/10</f>
        <v>0</v>
      </c>
      <c r="AI178" s="44"/>
      <c r="AJ178" s="44">
        <f>TABL12345[[#This Row],[(A/B TOT) AJD]]-TABL12345[[#This Row],[BER_ IN]]</f>
        <v>0</v>
      </c>
      <c r="AK178" s="45"/>
      <c r="AL178" s="45"/>
      <c r="AM178" s="32"/>
      <c r="AN178" s="32">
        <f>TABL12345[[#This Row],[ (RESV. STORGE) SER]]/10</f>
        <v>0</v>
      </c>
      <c r="AO178" s="68"/>
      <c r="AP178" s="68">
        <f>TABL12345[[#This Row],[(A/S TOT) AJD]]-TABL12345[[#This Row],[SER_ IN]]</f>
        <v>0</v>
      </c>
    </row>
    <row r="179" spans="1:42" ht="18.75" x14ac:dyDescent="0.25">
      <c r="A179" s="2">
        <v>47296</v>
      </c>
      <c r="B179" s="41"/>
      <c r="C179" s="41"/>
      <c r="D179" s="41"/>
      <c r="E179" s="28"/>
      <c r="F179" s="41"/>
      <c r="G179" s="39"/>
      <c r="H179" s="28"/>
      <c r="I179" s="39"/>
      <c r="J179" s="39"/>
      <c r="K179" s="28">
        <f>TABL12345[[#This Row],[خط (T/B  TOT) SAR]]+TABL12345[[#This Row],[خط (S/S  TOT) SAR2]]</f>
        <v>0</v>
      </c>
      <c r="L179" s="41"/>
      <c r="M179" s="42"/>
      <c r="N179" s="42"/>
      <c r="O179" s="39"/>
      <c r="P179" s="3">
        <f>TABL12345[[#This Row],[خط (S/S  TOT) SAR2]]-TABL12345[[#This Row],[(S/S TOT) AJD]]</f>
        <v>0</v>
      </c>
      <c r="Q179" s="39"/>
      <c r="R179" s="3">
        <f>TABL12345[[#This Row],[خط (T/B  TOT) SAR]]-TABL12345[[#This Row],[(T/B TOT) AJD]]</f>
        <v>0</v>
      </c>
      <c r="S179" s="3">
        <f>TABL12345[[#This Row],[الفرق بين بداية ونهاية خط  S/S]]+TABL12345[[#This Row],[الفرق بين بداية ونهاية خط  T/B]]</f>
        <v>0</v>
      </c>
      <c r="T179" s="3">
        <f t="shared" si="8"/>
        <v>0</v>
      </c>
      <c r="U179" s="41"/>
      <c r="V179" s="41"/>
      <c r="W179" s="3">
        <f t="shared" si="9"/>
        <v>0</v>
      </c>
      <c r="X179" s="3">
        <f t="shared" si="10"/>
        <v>0</v>
      </c>
      <c r="Y179" s="41"/>
      <c r="Z179" s="43"/>
      <c r="AA179" s="3">
        <f>TABL12345[[#This Row],[(RESV. STORGE) AJD]]/10</f>
        <v>0</v>
      </c>
      <c r="AB179" s="43">
        <f t="shared" si="11"/>
        <v>0</v>
      </c>
      <c r="AC179" s="5"/>
      <c r="AD179" s="39">
        <f>(TABL12345[[#This Row],[( S/S+T/B) AJD]]*1000)-((TABL12345[[#This Row],[(STORGE DIFF.) AJD]]*1000)+TABL12345[[#This Row],[البخر  AJD]]+(TABL12345[[#This Row],[(A/B + A/S) AJD]]*1000))</f>
        <v>0</v>
      </c>
      <c r="AE179" s="41"/>
      <c r="AF179" s="43"/>
      <c r="AG179" s="43"/>
      <c r="AH179" s="6">
        <f>TABL12345[[#This Row],[ (RESV. STORGE) BER]]/10</f>
        <v>0</v>
      </c>
      <c r="AI179" s="41"/>
      <c r="AJ179" s="41">
        <f>TABL12345[[#This Row],[(A/B TOT) AJD]]-TABL12345[[#This Row],[BER_ IN]]</f>
        <v>0</v>
      </c>
      <c r="AK179" s="43"/>
      <c r="AL179" s="43"/>
      <c r="AM179" s="32"/>
      <c r="AN179" s="32">
        <f>TABL12345[[#This Row],[ (RESV. STORGE) SER]]/10</f>
        <v>0</v>
      </c>
      <c r="AO179" s="68"/>
      <c r="AP179" s="68">
        <f>TABL12345[[#This Row],[(A/S TOT) AJD]]-TABL12345[[#This Row],[SER_ IN]]</f>
        <v>0</v>
      </c>
    </row>
    <row r="180" spans="1:42" ht="18.75" x14ac:dyDescent="0.25">
      <c r="A180" s="2">
        <v>47297</v>
      </c>
      <c r="B180" s="44"/>
      <c r="C180" s="44"/>
      <c r="D180" s="44"/>
      <c r="E180" s="28"/>
      <c r="F180" s="44"/>
      <c r="G180" s="40"/>
      <c r="H180" s="28"/>
      <c r="I180" s="40"/>
      <c r="J180" s="44"/>
      <c r="K180" s="28">
        <f>TABL12345[[#This Row],[خط (T/B  TOT) SAR]]+TABL12345[[#This Row],[خط (S/S  TOT) SAR2]]</f>
        <v>0</v>
      </c>
      <c r="L180" s="45"/>
      <c r="M180" s="46"/>
      <c r="N180" s="46"/>
      <c r="O180" s="40"/>
      <c r="P180" s="3">
        <f>TABL12345[[#This Row],[خط (S/S  TOT) SAR2]]-TABL12345[[#This Row],[(S/S TOT) AJD]]</f>
        <v>0</v>
      </c>
      <c r="Q180" s="40"/>
      <c r="R180" s="3">
        <f>TABL12345[[#This Row],[خط (T/B  TOT) SAR]]-TABL12345[[#This Row],[(T/B TOT) AJD]]</f>
        <v>0</v>
      </c>
      <c r="S180" s="3">
        <f>TABL12345[[#This Row],[الفرق بين بداية ونهاية خط  S/S]]+TABL12345[[#This Row],[الفرق بين بداية ونهاية خط  T/B]]</f>
        <v>0</v>
      </c>
      <c r="T180" s="3">
        <f t="shared" si="8"/>
        <v>0</v>
      </c>
      <c r="U180" s="44"/>
      <c r="V180" s="44"/>
      <c r="W180" s="3">
        <f t="shared" si="9"/>
        <v>0</v>
      </c>
      <c r="X180" s="3">
        <f t="shared" si="10"/>
        <v>0</v>
      </c>
      <c r="Y180" s="44"/>
      <c r="Z180" s="45"/>
      <c r="AA180" s="3">
        <f>TABL12345[[#This Row],[(RESV. STORGE) AJD]]/10</f>
        <v>0</v>
      </c>
      <c r="AB180" s="45">
        <f t="shared" si="11"/>
        <v>0</v>
      </c>
      <c r="AC180" s="5"/>
      <c r="AD180" s="40">
        <f>(TABL12345[[#This Row],[( S/S+T/B) AJD]]*1000)-((TABL12345[[#This Row],[(STORGE DIFF.) AJD]]*1000)+TABL12345[[#This Row],[البخر  AJD]]+(TABL12345[[#This Row],[(A/B + A/S) AJD]]*1000))</f>
        <v>0</v>
      </c>
      <c r="AE180" s="44"/>
      <c r="AF180" s="45"/>
      <c r="AG180" s="45"/>
      <c r="AH180" s="6">
        <f>TABL12345[[#This Row],[ (RESV. STORGE) BER]]/10</f>
        <v>0</v>
      </c>
      <c r="AI180" s="44"/>
      <c r="AJ180" s="44">
        <f>TABL12345[[#This Row],[(A/B TOT) AJD]]-TABL12345[[#This Row],[BER_ IN]]</f>
        <v>0</v>
      </c>
      <c r="AK180" s="45"/>
      <c r="AL180" s="45"/>
      <c r="AM180" s="32"/>
      <c r="AN180" s="32">
        <f>TABL12345[[#This Row],[ (RESV. STORGE) SER]]/10</f>
        <v>0</v>
      </c>
      <c r="AO180" s="68"/>
      <c r="AP180" s="68">
        <f>TABL12345[[#This Row],[(A/S TOT) AJD]]-TABL12345[[#This Row],[SER_ IN]]</f>
        <v>0</v>
      </c>
    </row>
    <row r="181" spans="1:42" ht="18.75" x14ac:dyDescent="0.25">
      <c r="A181" s="2">
        <v>47298</v>
      </c>
      <c r="B181" s="41"/>
      <c r="C181" s="41"/>
      <c r="D181" s="41"/>
      <c r="E181" s="28"/>
      <c r="F181" s="41"/>
      <c r="G181" s="39"/>
      <c r="H181" s="28"/>
      <c r="I181" s="39"/>
      <c r="J181" s="39"/>
      <c r="K181" s="28">
        <f>TABL12345[[#This Row],[خط (T/B  TOT) SAR]]+TABL12345[[#This Row],[خط (S/S  TOT) SAR2]]</f>
        <v>0</v>
      </c>
      <c r="L181" s="41"/>
      <c r="M181" s="42"/>
      <c r="N181" s="42"/>
      <c r="O181" s="39"/>
      <c r="P181" s="3">
        <f>TABL12345[[#This Row],[خط (S/S  TOT) SAR2]]-TABL12345[[#This Row],[(S/S TOT) AJD]]</f>
        <v>0</v>
      </c>
      <c r="Q181" s="39"/>
      <c r="R181" s="3">
        <f>TABL12345[[#This Row],[خط (T/B  TOT) SAR]]-TABL12345[[#This Row],[(T/B TOT) AJD]]</f>
        <v>0</v>
      </c>
      <c r="S181" s="3">
        <f>TABL12345[[#This Row],[الفرق بين بداية ونهاية خط  S/S]]+TABL12345[[#This Row],[الفرق بين بداية ونهاية خط  T/B]]</f>
        <v>0</v>
      </c>
      <c r="T181" s="3">
        <f t="shared" si="8"/>
        <v>0</v>
      </c>
      <c r="U181" s="41"/>
      <c r="V181" s="41"/>
      <c r="W181" s="3">
        <f t="shared" si="9"/>
        <v>0</v>
      </c>
      <c r="X181" s="3">
        <f t="shared" si="10"/>
        <v>0</v>
      </c>
      <c r="Y181" s="41"/>
      <c r="Z181" s="43"/>
      <c r="AA181" s="3">
        <f>TABL12345[[#This Row],[(RESV. STORGE) AJD]]/10</f>
        <v>0</v>
      </c>
      <c r="AB181" s="43">
        <f t="shared" si="11"/>
        <v>0</v>
      </c>
      <c r="AC181" s="5"/>
      <c r="AD181" s="39">
        <f>(TABL12345[[#This Row],[( S/S+T/B) AJD]]*1000)-((TABL12345[[#This Row],[(STORGE DIFF.) AJD]]*1000)+TABL12345[[#This Row],[البخر  AJD]]+(TABL12345[[#This Row],[(A/B + A/S) AJD]]*1000))</f>
        <v>0</v>
      </c>
      <c r="AE181" s="41"/>
      <c r="AF181" s="43"/>
      <c r="AG181" s="43"/>
      <c r="AH181" s="6">
        <f>TABL12345[[#This Row],[ (RESV. STORGE) BER]]/10</f>
        <v>0</v>
      </c>
      <c r="AI181" s="41"/>
      <c r="AJ181" s="41">
        <f>TABL12345[[#This Row],[(A/B TOT) AJD]]-TABL12345[[#This Row],[BER_ IN]]</f>
        <v>0</v>
      </c>
      <c r="AK181" s="43"/>
      <c r="AL181" s="43"/>
      <c r="AM181" s="32"/>
      <c r="AN181" s="32">
        <f>TABL12345[[#This Row],[ (RESV. STORGE) SER]]/10</f>
        <v>0</v>
      </c>
      <c r="AO181" s="68"/>
      <c r="AP181" s="68">
        <f>TABL12345[[#This Row],[(A/S TOT) AJD]]-TABL12345[[#This Row],[SER_ IN]]</f>
        <v>0</v>
      </c>
    </row>
    <row r="182" spans="1:42" ht="18.75" x14ac:dyDescent="0.25">
      <c r="A182" s="2">
        <v>47299</v>
      </c>
      <c r="B182" s="44"/>
      <c r="C182" s="44"/>
      <c r="D182" s="44"/>
      <c r="E182" s="28"/>
      <c r="F182" s="44"/>
      <c r="G182" s="40"/>
      <c r="H182" s="28"/>
      <c r="I182" s="40"/>
      <c r="J182" s="44"/>
      <c r="K182" s="28">
        <f>TABL12345[[#This Row],[خط (T/B  TOT) SAR]]+TABL12345[[#This Row],[خط (S/S  TOT) SAR2]]</f>
        <v>0</v>
      </c>
      <c r="L182" s="45"/>
      <c r="M182" s="46"/>
      <c r="N182" s="46"/>
      <c r="O182" s="40"/>
      <c r="P182" s="3">
        <f>TABL12345[[#This Row],[خط (S/S  TOT) SAR2]]-TABL12345[[#This Row],[(S/S TOT) AJD]]</f>
        <v>0</v>
      </c>
      <c r="Q182" s="40"/>
      <c r="R182" s="3">
        <f>TABL12345[[#This Row],[خط (T/B  TOT) SAR]]-TABL12345[[#This Row],[(T/B TOT) AJD]]</f>
        <v>0</v>
      </c>
      <c r="S182" s="3">
        <f>TABL12345[[#This Row],[الفرق بين بداية ونهاية خط  S/S]]+TABL12345[[#This Row],[الفرق بين بداية ونهاية خط  T/B]]</f>
        <v>0</v>
      </c>
      <c r="T182" s="3">
        <f t="shared" si="8"/>
        <v>0</v>
      </c>
      <c r="U182" s="44"/>
      <c r="V182" s="44"/>
      <c r="W182" s="3">
        <f t="shared" si="9"/>
        <v>0</v>
      </c>
      <c r="X182" s="3">
        <f t="shared" si="10"/>
        <v>0</v>
      </c>
      <c r="Y182" s="44"/>
      <c r="Z182" s="45"/>
      <c r="AA182" s="3">
        <f>TABL12345[[#This Row],[(RESV. STORGE) AJD]]/10</f>
        <v>0</v>
      </c>
      <c r="AB182" s="45">
        <f t="shared" si="11"/>
        <v>0</v>
      </c>
      <c r="AC182" s="5"/>
      <c r="AD182" s="40">
        <f>(TABL12345[[#This Row],[( S/S+T/B) AJD]]*1000)-((TABL12345[[#This Row],[(STORGE DIFF.) AJD]]*1000)+TABL12345[[#This Row],[البخر  AJD]]+(TABL12345[[#This Row],[(A/B + A/S) AJD]]*1000))</f>
        <v>0</v>
      </c>
      <c r="AE182" s="44"/>
      <c r="AF182" s="45"/>
      <c r="AG182" s="45"/>
      <c r="AH182" s="6">
        <f>TABL12345[[#This Row],[ (RESV. STORGE) BER]]/10</f>
        <v>0</v>
      </c>
      <c r="AI182" s="44"/>
      <c r="AJ182" s="44">
        <f>TABL12345[[#This Row],[(A/B TOT) AJD]]-TABL12345[[#This Row],[BER_ IN]]</f>
        <v>0</v>
      </c>
      <c r="AK182" s="45"/>
      <c r="AL182" s="45"/>
      <c r="AM182" s="32"/>
      <c r="AN182" s="32">
        <f>TABL12345[[#This Row],[ (RESV. STORGE) SER]]/10</f>
        <v>0</v>
      </c>
      <c r="AO182" s="68"/>
      <c r="AP182" s="68">
        <f>TABL12345[[#This Row],[(A/S TOT) AJD]]-TABL12345[[#This Row],[SER_ IN]]</f>
        <v>0</v>
      </c>
    </row>
    <row r="183" spans="1:42" ht="18.75" x14ac:dyDescent="0.25">
      <c r="A183" s="2">
        <v>47300</v>
      </c>
      <c r="B183" s="41"/>
      <c r="C183" s="41"/>
      <c r="D183" s="41"/>
      <c r="E183" s="41"/>
      <c r="F183" s="41"/>
      <c r="G183" s="39"/>
      <c r="H183" s="28"/>
      <c r="I183" s="39"/>
      <c r="J183" s="39"/>
      <c r="K183" s="28">
        <f>TABL12345[[#This Row],[خط (T/B  TOT) SAR]]+TABL12345[[#This Row],[خط (S/S  TOT) SAR2]]</f>
        <v>0</v>
      </c>
      <c r="L183" s="41"/>
      <c r="M183" s="42"/>
      <c r="N183" s="42"/>
      <c r="O183" s="39"/>
      <c r="P183" s="12">
        <f>TABL12345[[#This Row],[خط (S/S  TOT) SAR2]]-TABL12345[[#This Row],[(S/S TOT) AJD]]</f>
        <v>0</v>
      </c>
      <c r="Q183" s="39"/>
      <c r="R183" s="12">
        <f>TABL12345[[#This Row],[خط (T/B  TOT) SAR]]-TABL12345[[#This Row],[(T/B TOT) AJD]]</f>
        <v>0</v>
      </c>
      <c r="S183" s="12">
        <f>TABL12345[[#This Row],[الفرق بين بداية ونهاية خط  S/S]]+TABL12345[[#This Row],[الفرق بين بداية ونهاية خط  T/B]]</f>
        <v>0</v>
      </c>
      <c r="T183" s="12">
        <f t="shared" si="8"/>
        <v>0</v>
      </c>
      <c r="U183" s="41"/>
      <c r="V183" s="41"/>
      <c r="W183" s="12">
        <f t="shared" si="9"/>
        <v>0</v>
      </c>
      <c r="X183" s="12">
        <f t="shared" si="10"/>
        <v>0</v>
      </c>
      <c r="Y183" s="41"/>
      <c r="Z183" s="43"/>
      <c r="AA183" s="3">
        <f>TABL12345[[#This Row],[(RESV. STORGE) AJD]]/10</f>
        <v>0</v>
      </c>
      <c r="AB183" s="43">
        <f t="shared" si="11"/>
        <v>0</v>
      </c>
      <c r="AC183" s="5"/>
      <c r="AD183" s="39">
        <f>(TABL12345[[#This Row],[( S/S+T/B) AJD]]*1000)-((TABL12345[[#This Row],[(STORGE DIFF.) AJD]]*1000)+TABL12345[[#This Row],[البخر  AJD]]+(TABL12345[[#This Row],[(A/B + A/S) AJD]]*1000))</f>
        <v>0</v>
      </c>
      <c r="AE183" s="41"/>
      <c r="AF183" s="43"/>
      <c r="AG183" s="43"/>
      <c r="AH183" s="6">
        <f>TABL12345[[#This Row],[ (RESV. STORGE) BER]]/10</f>
        <v>0</v>
      </c>
      <c r="AI183" s="41"/>
      <c r="AJ183" s="41">
        <f>TABL12345[[#This Row],[(A/B TOT) AJD]]-TABL12345[[#This Row],[BER_ IN]]</f>
        <v>0</v>
      </c>
      <c r="AK183" s="43"/>
      <c r="AL183" s="43"/>
      <c r="AM183" s="32"/>
      <c r="AN183" s="32">
        <f>TABL12345[[#This Row],[ (RESV. STORGE) SER]]/10</f>
        <v>0</v>
      </c>
      <c r="AO183" s="68"/>
      <c r="AP183" s="68">
        <f>TABL12345[[#This Row],[(A/S TOT) AJD]]-TABL12345[[#This Row],[SER_ IN]]</f>
        <v>0</v>
      </c>
    </row>
    <row r="184" spans="1:42" ht="18.75" x14ac:dyDescent="0.25">
      <c r="A184" s="2">
        <v>47301</v>
      </c>
      <c r="B184" s="44"/>
      <c r="C184" s="44"/>
      <c r="D184" s="44"/>
      <c r="E184" s="44"/>
      <c r="F184" s="44"/>
      <c r="G184" s="40"/>
      <c r="H184" s="28"/>
      <c r="I184" s="40"/>
      <c r="J184" s="44"/>
      <c r="K184" s="28">
        <f>TABL12345[[#This Row],[خط (T/B  TOT) SAR]]+TABL12345[[#This Row],[خط (S/S  TOT) SAR2]]</f>
        <v>0</v>
      </c>
      <c r="L184" s="45"/>
      <c r="M184" s="46"/>
      <c r="N184" s="46"/>
      <c r="O184" s="40"/>
      <c r="P184" s="12">
        <f>TABL12345[[#This Row],[خط (S/S  TOT) SAR2]]-TABL12345[[#This Row],[(S/S TOT) AJD]]</f>
        <v>0</v>
      </c>
      <c r="Q184" s="40"/>
      <c r="R184" s="12">
        <f>TABL12345[[#This Row],[خط (T/B  TOT) SAR]]-TABL12345[[#This Row],[(T/B TOT) AJD]]</f>
        <v>0</v>
      </c>
      <c r="S184" s="12">
        <f>TABL12345[[#This Row],[الفرق بين بداية ونهاية خط  S/S]]+TABL12345[[#This Row],[الفرق بين بداية ونهاية خط  T/B]]</f>
        <v>0</v>
      </c>
      <c r="T184" s="12">
        <f t="shared" si="8"/>
        <v>0</v>
      </c>
      <c r="U184" s="44"/>
      <c r="V184" s="44"/>
      <c r="W184" s="12">
        <f t="shared" si="9"/>
        <v>0</v>
      </c>
      <c r="X184" s="12">
        <f t="shared" si="10"/>
        <v>0</v>
      </c>
      <c r="Y184" s="44"/>
      <c r="Z184" s="45"/>
      <c r="AA184" s="3">
        <f>TABL12345[[#This Row],[(RESV. STORGE) AJD]]/10</f>
        <v>0</v>
      </c>
      <c r="AB184" s="45">
        <f t="shared" si="11"/>
        <v>0</v>
      </c>
      <c r="AC184" s="5"/>
      <c r="AD184" s="40">
        <f>(TABL12345[[#This Row],[( S/S+T/B) AJD]]*1000)-((TABL12345[[#This Row],[(STORGE DIFF.) AJD]]*1000)+TABL12345[[#This Row],[البخر  AJD]]+(TABL12345[[#This Row],[(A/B + A/S) AJD]]*1000))</f>
        <v>0</v>
      </c>
      <c r="AE184" s="44"/>
      <c r="AF184" s="45"/>
      <c r="AG184" s="45"/>
      <c r="AH184" s="6">
        <f>TABL12345[[#This Row],[ (RESV. STORGE) BER]]/10</f>
        <v>0</v>
      </c>
      <c r="AI184" s="44"/>
      <c r="AJ184" s="44">
        <f>TABL12345[[#This Row],[(A/B TOT) AJD]]-TABL12345[[#This Row],[BER_ IN]]</f>
        <v>0</v>
      </c>
      <c r="AK184" s="45"/>
      <c r="AL184" s="45"/>
      <c r="AM184" s="32"/>
      <c r="AN184" s="32">
        <f>TABL12345[[#This Row],[ (RESV. STORGE) SER]]/10</f>
        <v>0</v>
      </c>
      <c r="AO184" s="68"/>
      <c r="AP184" s="68">
        <f>TABL12345[[#This Row],[(A/S TOT) AJD]]-TABL12345[[#This Row],[SER_ IN]]</f>
        <v>0</v>
      </c>
    </row>
    <row r="185" spans="1:42" ht="18.75" x14ac:dyDescent="0.25">
      <c r="A185" s="2">
        <v>47302</v>
      </c>
      <c r="B185" s="41"/>
      <c r="C185" s="41"/>
      <c r="D185" s="41"/>
      <c r="E185" s="41"/>
      <c r="F185" s="41"/>
      <c r="G185" s="39"/>
      <c r="H185" s="28"/>
      <c r="I185" s="39"/>
      <c r="J185" s="39"/>
      <c r="K185" s="28">
        <f>TABL12345[[#This Row],[خط (T/B  TOT) SAR]]+TABL12345[[#This Row],[خط (S/S  TOT) SAR2]]</f>
        <v>0</v>
      </c>
      <c r="L185" s="41"/>
      <c r="M185" s="42"/>
      <c r="N185" s="42"/>
      <c r="O185" s="39"/>
      <c r="P185" s="12">
        <f>TABL12345[[#This Row],[خط (S/S  TOT) SAR2]]-TABL12345[[#This Row],[(S/S TOT) AJD]]</f>
        <v>0</v>
      </c>
      <c r="Q185" s="39"/>
      <c r="R185" s="12">
        <f>TABL12345[[#This Row],[خط (T/B  TOT) SAR]]-TABL12345[[#This Row],[(T/B TOT) AJD]]</f>
        <v>0</v>
      </c>
      <c r="S185" s="12">
        <f>TABL12345[[#This Row],[الفرق بين بداية ونهاية خط  S/S]]+TABL12345[[#This Row],[الفرق بين بداية ونهاية خط  T/B]]</f>
        <v>0</v>
      </c>
      <c r="T185" s="12">
        <f t="shared" si="8"/>
        <v>0</v>
      </c>
      <c r="U185" s="41"/>
      <c r="V185" s="41"/>
      <c r="W185" s="12">
        <f t="shared" si="9"/>
        <v>0</v>
      </c>
      <c r="X185" s="12">
        <f t="shared" si="10"/>
        <v>0</v>
      </c>
      <c r="Y185" s="41"/>
      <c r="Z185" s="43"/>
      <c r="AA185" s="3">
        <f>TABL12345[[#This Row],[(RESV. STORGE) AJD]]/10</f>
        <v>0</v>
      </c>
      <c r="AB185" s="43">
        <f t="shared" si="11"/>
        <v>0</v>
      </c>
      <c r="AC185" s="5"/>
      <c r="AD185" s="39">
        <f>(TABL12345[[#This Row],[( S/S+T/B) AJD]]*1000)-((TABL12345[[#This Row],[(STORGE DIFF.) AJD]]*1000)+TABL12345[[#This Row],[البخر  AJD]]+(TABL12345[[#This Row],[(A/B + A/S) AJD]]*1000))</f>
        <v>0</v>
      </c>
      <c r="AE185" s="41"/>
      <c r="AF185" s="43"/>
      <c r="AG185" s="43"/>
      <c r="AH185" s="6">
        <f>TABL12345[[#This Row],[ (RESV. STORGE) BER]]/10</f>
        <v>0</v>
      </c>
      <c r="AI185" s="41"/>
      <c r="AJ185" s="41">
        <f>TABL12345[[#This Row],[(A/B TOT) AJD]]-TABL12345[[#This Row],[BER_ IN]]</f>
        <v>0</v>
      </c>
      <c r="AK185" s="43"/>
      <c r="AL185" s="43"/>
      <c r="AM185" s="32"/>
      <c r="AN185" s="32">
        <f>TABL12345[[#This Row],[ (RESV. STORGE) SER]]/10</f>
        <v>0</v>
      </c>
      <c r="AO185" s="68"/>
      <c r="AP185" s="68">
        <f>TABL12345[[#This Row],[(A/S TOT) AJD]]-TABL12345[[#This Row],[SER_ IN]]</f>
        <v>0</v>
      </c>
    </row>
    <row r="186" spans="1:42" ht="18.75" x14ac:dyDescent="0.25">
      <c r="A186" s="2">
        <v>47303</v>
      </c>
      <c r="B186" s="44"/>
      <c r="C186" s="44"/>
      <c r="D186" s="44"/>
      <c r="E186" s="44"/>
      <c r="F186" s="44"/>
      <c r="G186" s="40"/>
      <c r="H186" s="28"/>
      <c r="I186" s="40"/>
      <c r="J186" s="44"/>
      <c r="K186" s="28">
        <f>TABL12345[[#This Row],[خط (T/B  TOT) SAR]]+TABL12345[[#This Row],[خط (S/S  TOT) SAR2]]</f>
        <v>0</v>
      </c>
      <c r="L186" s="45"/>
      <c r="M186" s="46"/>
      <c r="N186" s="46"/>
      <c r="O186" s="40"/>
      <c r="P186" s="12">
        <f>TABL12345[[#This Row],[خط (S/S  TOT) SAR2]]-TABL12345[[#This Row],[(S/S TOT) AJD]]</f>
        <v>0</v>
      </c>
      <c r="Q186" s="40"/>
      <c r="R186" s="12">
        <f>TABL12345[[#This Row],[خط (T/B  TOT) SAR]]-TABL12345[[#This Row],[(T/B TOT) AJD]]</f>
        <v>0</v>
      </c>
      <c r="S186" s="12">
        <f>TABL12345[[#This Row],[الفرق بين بداية ونهاية خط  S/S]]+TABL12345[[#This Row],[الفرق بين بداية ونهاية خط  T/B]]</f>
        <v>0</v>
      </c>
      <c r="T186" s="12">
        <f t="shared" si="8"/>
        <v>0</v>
      </c>
      <c r="U186" s="44"/>
      <c r="V186" s="44"/>
      <c r="W186" s="12">
        <f t="shared" si="9"/>
        <v>0</v>
      </c>
      <c r="X186" s="12">
        <f t="shared" si="10"/>
        <v>0</v>
      </c>
      <c r="Y186" s="44"/>
      <c r="Z186" s="45"/>
      <c r="AA186" s="3">
        <f>TABL12345[[#This Row],[(RESV. STORGE) AJD]]/10</f>
        <v>0</v>
      </c>
      <c r="AB186" s="45">
        <f t="shared" si="11"/>
        <v>0</v>
      </c>
      <c r="AC186" s="5"/>
      <c r="AD186" s="40">
        <f>(TABL12345[[#This Row],[( S/S+T/B) AJD]]*1000)-((TABL12345[[#This Row],[(STORGE DIFF.) AJD]]*1000)+TABL12345[[#This Row],[البخر  AJD]]+(TABL12345[[#This Row],[(A/B + A/S) AJD]]*1000))</f>
        <v>0</v>
      </c>
      <c r="AE186" s="44"/>
      <c r="AF186" s="45"/>
      <c r="AG186" s="45"/>
      <c r="AH186" s="6">
        <f>TABL12345[[#This Row],[ (RESV. STORGE) BER]]/10</f>
        <v>0</v>
      </c>
      <c r="AI186" s="44"/>
      <c r="AJ186" s="44">
        <f>TABL12345[[#This Row],[(A/B TOT) AJD]]-TABL12345[[#This Row],[BER_ IN]]</f>
        <v>0</v>
      </c>
      <c r="AK186" s="45"/>
      <c r="AL186" s="45"/>
      <c r="AM186" s="32"/>
      <c r="AN186" s="32">
        <f>TABL12345[[#This Row],[ (RESV. STORGE) SER]]/10</f>
        <v>0</v>
      </c>
      <c r="AO186" s="68"/>
      <c r="AP186" s="68">
        <f>TABL12345[[#This Row],[(A/S TOT) AJD]]-TABL12345[[#This Row],[SER_ IN]]</f>
        <v>0</v>
      </c>
    </row>
    <row r="187" spans="1:42" ht="18.75" x14ac:dyDescent="0.25">
      <c r="A187" s="2">
        <v>47304</v>
      </c>
      <c r="B187" s="41"/>
      <c r="C187" s="41"/>
      <c r="D187" s="41"/>
      <c r="E187" s="41"/>
      <c r="F187" s="41"/>
      <c r="G187" s="39"/>
      <c r="H187" s="28"/>
      <c r="I187" s="39"/>
      <c r="J187" s="39"/>
      <c r="K187" s="28">
        <f>TABL12345[[#This Row],[خط (T/B  TOT) SAR]]+TABL12345[[#This Row],[خط (S/S  TOT) SAR2]]</f>
        <v>0</v>
      </c>
      <c r="L187" s="41"/>
      <c r="M187" s="42"/>
      <c r="N187" s="42"/>
      <c r="O187" s="39"/>
      <c r="P187" s="12">
        <f>TABL12345[[#This Row],[خط (S/S  TOT) SAR2]]-TABL12345[[#This Row],[(S/S TOT) AJD]]</f>
        <v>0</v>
      </c>
      <c r="Q187" s="39"/>
      <c r="R187" s="12">
        <f>TABL12345[[#This Row],[خط (T/B  TOT) SAR]]-TABL12345[[#This Row],[(T/B TOT) AJD]]</f>
        <v>0</v>
      </c>
      <c r="S187" s="12">
        <f>TABL12345[[#This Row],[الفرق بين بداية ونهاية خط  S/S]]+TABL12345[[#This Row],[الفرق بين بداية ونهاية خط  T/B]]</f>
        <v>0</v>
      </c>
      <c r="T187" s="12">
        <f t="shared" si="8"/>
        <v>0</v>
      </c>
      <c r="U187" s="41"/>
      <c r="V187" s="41"/>
      <c r="W187" s="10">
        <f t="shared" si="9"/>
        <v>0</v>
      </c>
      <c r="X187" s="10">
        <f t="shared" si="10"/>
        <v>0</v>
      </c>
      <c r="Y187" s="41"/>
      <c r="Z187" s="43"/>
      <c r="AA187" s="3">
        <f>TABL12345[[#This Row],[(RESV. STORGE) AJD]]/10</f>
        <v>0</v>
      </c>
      <c r="AB187" s="43">
        <f t="shared" si="11"/>
        <v>0</v>
      </c>
      <c r="AC187" s="5"/>
      <c r="AD187" s="39">
        <f>(TABL12345[[#This Row],[( S/S+T/B) AJD]]*1000)-((TABL12345[[#This Row],[(STORGE DIFF.) AJD]]*1000)+TABL12345[[#This Row],[البخر  AJD]]+(TABL12345[[#This Row],[(A/B + A/S) AJD]]*1000))</f>
        <v>0</v>
      </c>
      <c r="AE187" s="41"/>
      <c r="AF187" s="43"/>
      <c r="AG187" s="43"/>
      <c r="AH187" s="6">
        <f>TABL12345[[#This Row],[ (RESV. STORGE) BER]]/10</f>
        <v>0</v>
      </c>
      <c r="AI187" s="41"/>
      <c r="AJ187" s="41">
        <f>TABL12345[[#This Row],[(A/B TOT) AJD]]-TABL12345[[#This Row],[BER_ IN]]</f>
        <v>0</v>
      </c>
      <c r="AK187" s="43"/>
      <c r="AL187" s="43"/>
      <c r="AM187" s="32"/>
      <c r="AN187" s="32">
        <f>TABL12345[[#This Row],[ (RESV. STORGE) SER]]/10</f>
        <v>0</v>
      </c>
      <c r="AO187" s="68"/>
      <c r="AP187" s="68">
        <f>TABL12345[[#This Row],[(A/S TOT) AJD]]-TABL12345[[#This Row],[SER_ IN]]</f>
        <v>0</v>
      </c>
    </row>
    <row r="188" spans="1:42" ht="18.75" x14ac:dyDescent="0.25">
      <c r="A188" s="2">
        <v>47305</v>
      </c>
      <c r="B188" s="44"/>
      <c r="C188" s="44"/>
      <c r="D188" s="44"/>
      <c r="E188" s="44"/>
      <c r="F188" s="44"/>
      <c r="G188" s="40"/>
      <c r="H188" s="28"/>
      <c r="I188" s="40"/>
      <c r="J188" s="44"/>
      <c r="K188" s="28">
        <f>TABL12345[[#This Row],[خط (T/B  TOT) SAR]]+TABL12345[[#This Row],[خط (S/S  TOT) SAR2]]</f>
        <v>0</v>
      </c>
      <c r="L188" s="45"/>
      <c r="M188" s="46"/>
      <c r="N188" s="46"/>
      <c r="O188" s="40"/>
      <c r="P188" s="12">
        <f>TABL12345[[#This Row],[خط (S/S  TOT) SAR2]]-TABL12345[[#This Row],[(S/S TOT) AJD]]</f>
        <v>0</v>
      </c>
      <c r="Q188" s="40"/>
      <c r="R188" s="12">
        <f>TABL12345[[#This Row],[خط (T/B  TOT) SAR]]-TABL12345[[#This Row],[(T/B TOT) AJD]]</f>
        <v>0</v>
      </c>
      <c r="S188" s="12">
        <f>TABL12345[[#This Row],[الفرق بين بداية ونهاية خط  S/S]]+TABL12345[[#This Row],[الفرق بين بداية ونهاية خط  T/B]]</f>
        <v>0</v>
      </c>
      <c r="T188" s="12">
        <f t="shared" si="8"/>
        <v>0</v>
      </c>
      <c r="U188" s="44"/>
      <c r="V188" s="44"/>
      <c r="W188" s="12">
        <f t="shared" si="9"/>
        <v>0</v>
      </c>
      <c r="X188" s="12">
        <f t="shared" si="10"/>
        <v>0</v>
      </c>
      <c r="Y188" s="44"/>
      <c r="Z188" s="45"/>
      <c r="AA188" s="3">
        <f>TABL12345[[#This Row],[(RESV. STORGE) AJD]]/10</f>
        <v>0</v>
      </c>
      <c r="AB188" s="45">
        <f t="shared" si="11"/>
        <v>0</v>
      </c>
      <c r="AC188" s="5"/>
      <c r="AD188" s="40">
        <f>(TABL12345[[#This Row],[( S/S+T/B) AJD]]*1000)-((TABL12345[[#This Row],[(STORGE DIFF.) AJD]]*1000)+TABL12345[[#This Row],[البخر  AJD]]+(TABL12345[[#This Row],[(A/B + A/S) AJD]]*1000))</f>
        <v>0</v>
      </c>
      <c r="AE188" s="44"/>
      <c r="AF188" s="45"/>
      <c r="AG188" s="45"/>
      <c r="AH188" s="6">
        <f>TABL12345[[#This Row],[ (RESV. STORGE) BER]]/10</f>
        <v>0</v>
      </c>
      <c r="AI188" s="44"/>
      <c r="AJ188" s="44">
        <f>TABL12345[[#This Row],[(A/B TOT) AJD]]-TABL12345[[#This Row],[BER_ IN]]</f>
        <v>0</v>
      </c>
      <c r="AK188" s="45"/>
      <c r="AL188" s="45"/>
      <c r="AM188" s="32"/>
      <c r="AN188" s="32">
        <f>TABL12345[[#This Row],[ (RESV. STORGE) SER]]/10</f>
        <v>0</v>
      </c>
      <c r="AO188" s="68"/>
      <c r="AP188" s="68">
        <f>TABL12345[[#This Row],[(A/S TOT) AJD]]-TABL12345[[#This Row],[SER_ IN]]</f>
        <v>0</v>
      </c>
    </row>
    <row r="189" spans="1:42" ht="18.75" x14ac:dyDescent="0.25">
      <c r="A189" s="2">
        <v>47306</v>
      </c>
      <c r="B189" s="41"/>
      <c r="C189" s="41"/>
      <c r="D189" s="41"/>
      <c r="E189" s="41"/>
      <c r="F189" s="41"/>
      <c r="G189" s="39"/>
      <c r="H189" s="28"/>
      <c r="I189" s="39"/>
      <c r="J189" s="39"/>
      <c r="K189" s="28">
        <f>TABL12345[[#This Row],[خط (T/B  TOT) SAR]]+TABL12345[[#This Row],[خط (S/S  TOT) SAR2]]</f>
        <v>0</v>
      </c>
      <c r="L189" s="41"/>
      <c r="M189" s="42"/>
      <c r="N189" s="42"/>
      <c r="O189" s="39"/>
      <c r="P189" s="12">
        <f>TABL12345[[#This Row],[خط (S/S  TOT) SAR2]]-TABL12345[[#This Row],[(S/S TOT) AJD]]</f>
        <v>0</v>
      </c>
      <c r="Q189" s="39"/>
      <c r="R189" s="12">
        <f>TABL12345[[#This Row],[خط (T/B  TOT) SAR]]-TABL12345[[#This Row],[(T/B TOT) AJD]]</f>
        <v>0</v>
      </c>
      <c r="S189" s="12">
        <f>TABL12345[[#This Row],[الفرق بين بداية ونهاية خط  S/S]]+TABL12345[[#This Row],[الفرق بين بداية ونهاية خط  T/B]]</f>
        <v>0</v>
      </c>
      <c r="T189" s="12">
        <f t="shared" si="8"/>
        <v>0</v>
      </c>
      <c r="U189" s="41"/>
      <c r="V189" s="41"/>
      <c r="W189" s="12">
        <f t="shared" si="9"/>
        <v>0</v>
      </c>
      <c r="X189" s="12">
        <f t="shared" si="10"/>
        <v>0</v>
      </c>
      <c r="Y189" s="41"/>
      <c r="Z189" s="43"/>
      <c r="AA189" s="3">
        <f>TABL12345[[#This Row],[(RESV. STORGE) AJD]]/10</f>
        <v>0</v>
      </c>
      <c r="AB189" s="43">
        <f t="shared" si="11"/>
        <v>0</v>
      </c>
      <c r="AC189" s="5"/>
      <c r="AD189" s="39">
        <f>(TABL12345[[#This Row],[( S/S+T/B) AJD]]*1000)-((TABL12345[[#This Row],[(STORGE DIFF.) AJD]]*1000)+TABL12345[[#This Row],[البخر  AJD]]+(TABL12345[[#This Row],[(A/B + A/S) AJD]]*1000))</f>
        <v>0</v>
      </c>
      <c r="AE189" s="41"/>
      <c r="AF189" s="43"/>
      <c r="AG189" s="43"/>
      <c r="AH189" s="6">
        <f>TABL12345[[#This Row],[ (RESV. STORGE) BER]]/10</f>
        <v>0</v>
      </c>
      <c r="AI189" s="41"/>
      <c r="AJ189" s="41">
        <f>TABL12345[[#This Row],[(A/B TOT) AJD]]-TABL12345[[#This Row],[BER_ IN]]</f>
        <v>0</v>
      </c>
      <c r="AK189" s="43"/>
      <c r="AL189" s="43"/>
      <c r="AM189" s="32"/>
      <c r="AN189" s="32">
        <f>TABL12345[[#This Row],[ (RESV. STORGE) SER]]/10</f>
        <v>0</v>
      </c>
      <c r="AO189" s="68"/>
      <c r="AP189" s="68">
        <f>TABL12345[[#This Row],[(A/S TOT) AJD]]-TABL12345[[#This Row],[SER_ IN]]</f>
        <v>0</v>
      </c>
    </row>
    <row r="190" spans="1:42" ht="18.75" x14ac:dyDescent="0.25">
      <c r="A190" s="2">
        <v>47307</v>
      </c>
      <c r="B190" s="44"/>
      <c r="C190" s="44"/>
      <c r="D190" s="44"/>
      <c r="E190" s="44"/>
      <c r="F190" s="44"/>
      <c r="G190" s="40"/>
      <c r="H190" s="28"/>
      <c r="I190" s="40"/>
      <c r="J190" s="44"/>
      <c r="K190" s="28">
        <f>TABL12345[[#This Row],[خط (T/B  TOT) SAR]]+TABL12345[[#This Row],[خط (S/S  TOT) SAR2]]</f>
        <v>0</v>
      </c>
      <c r="L190" s="45"/>
      <c r="M190" s="46"/>
      <c r="N190" s="46"/>
      <c r="O190" s="40"/>
      <c r="P190" s="12">
        <f>TABL12345[[#This Row],[خط (S/S  TOT) SAR2]]-TABL12345[[#This Row],[(S/S TOT) AJD]]</f>
        <v>0</v>
      </c>
      <c r="Q190" s="40"/>
      <c r="R190" s="12">
        <f>TABL12345[[#This Row],[خط (T/B  TOT) SAR]]-TABL12345[[#This Row],[(T/B TOT) AJD]]</f>
        <v>0</v>
      </c>
      <c r="S190" s="12">
        <f>TABL12345[[#This Row],[الفرق بين بداية ونهاية خط  S/S]]+TABL12345[[#This Row],[الفرق بين بداية ونهاية خط  T/B]]</f>
        <v>0</v>
      </c>
      <c r="T190" s="12">
        <f t="shared" si="8"/>
        <v>0</v>
      </c>
      <c r="U190" s="44"/>
      <c r="V190" s="44"/>
      <c r="W190" s="12">
        <f t="shared" si="9"/>
        <v>0</v>
      </c>
      <c r="X190" s="12">
        <f t="shared" si="10"/>
        <v>0</v>
      </c>
      <c r="Y190" s="44"/>
      <c r="Z190" s="45"/>
      <c r="AA190" s="3">
        <f>TABL12345[[#This Row],[(RESV. STORGE) AJD]]/10</f>
        <v>0</v>
      </c>
      <c r="AB190" s="45">
        <f t="shared" si="11"/>
        <v>0</v>
      </c>
      <c r="AC190" s="5"/>
      <c r="AD190" s="40">
        <f>(TABL12345[[#This Row],[( S/S+T/B) AJD]]*1000)-((TABL12345[[#This Row],[(STORGE DIFF.) AJD]]*1000)+TABL12345[[#This Row],[البخر  AJD]]+(TABL12345[[#This Row],[(A/B + A/S) AJD]]*1000))</f>
        <v>0</v>
      </c>
      <c r="AE190" s="44"/>
      <c r="AF190" s="45"/>
      <c r="AG190" s="45"/>
      <c r="AH190" s="6">
        <f>TABL12345[[#This Row],[ (RESV. STORGE) BER]]/10</f>
        <v>0</v>
      </c>
      <c r="AI190" s="44"/>
      <c r="AJ190" s="44">
        <f>TABL12345[[#This Row],[(A/B TOT) AJD]]-TABL12345[[#This Row],[BER_ IN]]</f>
        <v>0</v>
      </c>
      <c r="AK190" s="45"/>
      <c r="AL190" s="45"/>
      <c r="AM190" s="32"/>
      <c r="AN190" s="32">
        <f>TABL12345[[#This Row],[ (RESV. STORGE) SER]]/10</f>
        <v>0</v>
      </c>
      <c r="AO190" s="68"/>
      <c r="AP190" s="68">
        <f>TABL12345[[#This Row],[(A/S TOT) AJD]]-TABL12345[[#This Row],[SER_ IN]]</f>
        <v>0</v>
      </c>
    </row>
    <row r="191" spans="1:42" ht="18.75" x14ac:dyDescent="0.25">
      <c r="A191" s="2">
        <v>47308</v>
      </c>
      <c r="B191" s="41"/>
      <c r="C191" s="41"/>
      <c r="D191" s="41"/>
      <c r="E191" s="41"/>
      <c r="F191" s="41"/>
      <c r="G191" s="39"/>
      <c r="H191" s="28"/>
      <c r="I191" s="39"/>
      <c r="J191" s="39"/>
      <c r="K191" s="28">
        <f>TABL12345[[#This Row],[خط (T/B  TOT) SAR]]+TABL12345[[#This Row],[خط (S/S  TOT) SAR2]]</f>
        <v>0</v>
      </c>
      <c r="L191" s="41"/>
      <c r="M191" s="42"/>
      <c r="N191" s="42"/>
      <c r="O191" s="39"/>
      <c r="P191" s="12">
        <f>TABL12345[[#This Row],[خط (S/S  TOT) SAR2]]-TABL12345[[#This Row],[(S/S TOT) AJD]]</f>
        <v>0</v>
      </c>
      <c r="Q191" s="39"/>
      <c r="R191" s="12">
        <f>TABL12345[[#This Row],[خط (T/B  TOT) SAR]]-TABL12345[[#This Row],[(T/B TOT) AJD]]</f>
        <v>0</v>
      </c>
      <c r="S191" s="12">
        <f>TABL12345[[#This Row],[الفرق بين بداية ونهاية خط  S/S]]+TABL12345[[#This Row],[الفرق بين بداية ونهاية خط  T/B]]</f>
        <v>0</v>
      </c>
      <c r="T191" s="12">
        <f t="shared" si="8"/>
        <v>0</v>
      </c>
      <c r="U191" s="41"/>
      <c r="V191" s="41"/>
      <c r="W191" s="12">
        <f t="shared" si="9"/>
        <v>0</v>
      </c>
      <c r="X191" s="12">
        <f t="shared" si="10"/>
        <v>0</v>
      </c>
      <c r="Y191" s="41"/>
      <c r="Z191" s="43"/>
      <c r="AA191" s="3">
        <f>TABL12345[[#This Row],[(RESV. STORGE) AJD]]/10</f>
        <v>0</v>
      </c>
      <c r="AB191" s="43">
        <f t="shared" si="11"/>
        <v>0</v>
      </c>
      <c r="AC191" s="5"/>
      <c r="AD191" s="39">
        <f>(TABL12345[[#This Row],[( S/S+T/B) AJD]]*1000)-((TABL12345[[#This Row],[(STORGE DIFF.) AJD]]*1000)+TABL12345[[#This Row],[البخر  AJD]]+(TABL12345[[#This Row],[(A/B + A/S) AJD]]*1000))</f>
        <v>0</v>
      </c>
      <c r="AE191" s="41"/>
      <c r="AF191" s="43"/>
      <c r="AG191" s="43"/>
      <c r="AH191" s="6">
        <f>TABL12345[[#This Row],[ (RESV. STORGE) BER]]/10</f>
        <v>0</v>
      </c>
      <c r="AI191" s="41"/>
      <c r="AJ191" s="41">
        <f>TABL12345[[#This Row],[(A/B TOT) AJD]]-TABL12345[[#This Row],[BER_ IN]]</f>
        <v>0</v>
      </c>
      <c r="AK191" s="43"/>
      <c r="AL191" s="43"/>
      <c r="AM191" s="32"/>
      <c r="AN191" s="32">
        <f>TABL12345[[#This Row],[ (RESV. STORGE) SER]]/10</f>
        <v>0</v>
      </c>
      <c r="AO191" s="68"/>
      <c r="AP191" s="68">
        <f>TABL12345[[#This Row],[(A/S TOT) AJD]]-TABL12345[[#This Row],[SER_ IN]]</f>
        <v>0</v>
      </c>
    </row>
    <row r="192" spans="1:42" ht="18.75" x14ac:dyDescent="0.25">
      <c r="A192" s="2">
        <v>47309</v>
      </c>
      <c r="B192" s="44"/>
      <c r="C192" s="44"/>
      <c r="D192" s="44"/>
      <c r="E192" s="44"/>
      <c r="F192" s="44"/>
      <c r="G192" s="40"/>
      <c r="H192" s="28"/>
      <c r="I192" s="40"/>
      <c r="J192" s="44"/>
      <c r="K192" s="28">
        <f>TABL12345[[#This Row],[خط (T/B  TOT) SAR]]+TABL12345[[#This Row],[خط (S/S  TOT) SAR2]]</f>
        <v>0</v>
      </c>
      <c r="L192" s="45"/>
      <c r="M192" s="46"/>
      <c r="N192" s="46"/>
      <c r="O192" s="40"/>
      <c r="P192" s="12">
        <f>TABL12345[[#This Row],[خط (S/S  TOT) SAR2]]-TABL12345[[#This Row],[(S/S TOT) AJD]]</f>
        <v>0</v>
      </c>
      <c r="Q192" s="40"/>
      <c r="R192" s="12">
        <f>TABL12345[[#This Row],[خط (T/B  TOT) SAR]]-TABL12345[[#This Row],[(T/B TOT) AJD]]</f>
        <v>0</v>
      </c>
      <c r="S192" s="12">
        <f>TABL12345[[#This Row],[الفرق بين بداية ونهاية خط  S/S]]+TABL12345[[#This Row],[الفرق بين بداية ونهاية خط  T/B]]</f>
        <v>0</v>
      </c>
      <c r="T192" s="12">
        <f t="shared" si="8"/>
        <v>0</v>
      </c>
      <c r="U192" s="44"/>
      <c r="V192" s="44"/>
      <c r="W192" s="12">
        <f t="shared" si="9"/>
        <v>0</v>
      </c>
      <c r="X192" s="12">
        <f t="shared" si="10"/>
        <v>0</v>
      </c>
      <c r="Y192" s="44"/>
      <c r="Z192" s="45"/>
      <c r="AA192" s="3">
        <f>TABL12345[[#This Row],[(RESV. STORGE) AJD]]/10</f>
        <v>0</v>
      </c>
      <c r="AB192" s="45">
        <f t="shared" si="11"/>
        <v>0</v>
      </c>
      <c r="AC192" s="5"/>
      <c r="AD192" s="40">
        <f>(TABL12345[[#This Row],[( S/S+T/B) AJD]]*1000)-((TABL12345[[#This Row],[(STORGE DIFF.) AJD]]*1000)+TABL12345[[#This Row],[البخر  AJD]]+(TABL12345[[#This Row],[(A/B + A/S) AJD]]*1000))</f>
        <v>0</v>
      </c>
      <c r="AE192" s="44"/>
      <c r="AF192" s="45"/>
      <c r="AG192" s="45"/>
      <c r="AH192" s="6">
        <f>TABL12345[[#This Row],[ (RESV. STORGE) BER]]/10</f>
        <v>0</v>
      </c>
      <c r="AI192" s="44"/>
      <c r="AJ192" s="44">
        <f>TABL12345[[#This Row],[(A/B TOT) AJD]]-TABL12345[[#This Row],[BER_ IN]]</f>
        <v>0</v>
      </c>
      <c r="AK192" s="45"/>
      <c r="AL192" s="45"/>
      <c r="AM192" s="32"/>
      <c r="AN192" s="32">
        <f>TABL12345[[#This Row],[ (RESV. STORGE) SER]]/10</f>
        <v>0</v>
      </c>
      <c r="AO192" s="68"/>
      <c r="AP192" s="68">
        <f>TABL12345[[#This Row],[(A/S TOT) AJD]]-TABL12345[[#This Row],[SER_ IN]]</f>
        <v>0</v>
      </c>
    </row>
    <row r="193" spans="1:42" ht="18.75" x14ac:dyDescent="0.25">
      <c r="A193" s="2">
        <v>47310</v>
      </c>
      <c r="B193" s="41"/>
      <c r="C193" s="41"/>
      <c r="D193" s="41"/>
      <c r="E193" s="41"/>
      <c r="F193" s="41"/>
      <c r="G193" s="39"/>
      <c r="H193" s="28"/>
      <c r="I193" s="39"/>
      <c r="J193" s="39"/>
      <c r="K193" s="28">
        <f>TABL12345[[#This Row],[خط (T/B  TOT) SAR]]+TABL12345[[#This Row],[خط (S/S  TOT) SAR2]]</f>
        <v>0</v>
      </c>
      <c r="L193" s="41"/>
      <c r="M193" s="42"/>
      <c r="N193" s="42"/>
      <c r="O193" s="39"/>
      <c r="P193" s="12">
        <f>TABL12345[[#This Row],[خط (S/S  TOT) SAR2]]-TABL12345[[#This Row],[(S/S TOT) AJD]]</f>
        <v>0</v>
      </c>
      <c r="Q193" s="39"/>
      <c r="R193" s="12">
        <f>TABL12345[[#This Row],[خط (T/B  TOT) SAR]]-TABL12345[[#This Row],[(T/B TOT) AJD]]</f>
        <v>0</v>
      </c>
      <c r="S193" s="12">
        <f>TABL12345[[#This Row],[الفرق بين بداية ونهاية خط  S/S]]+TABL12345[[#This Row],[الفرق بين بداية ونهاية خط  T/B]]</f>
        <v>0</v>
      </c>
      <c r="T193" s="12">
        <f t="shared" si="8"/>
        <v>0</v>
      </c>
      <c r="U193" s="41"/>
      <c r="V193" s="41"/>
      <c r="W193" s="12">
        <f t="shared" si="9"/>
        <v>0</v>
      </c>
      <c r="X193" s="12">
        <f t="shared" si="10"/>
        <v>0</v>
      </c>
      <c r="Y193" s="41"/>
      <c r="Z193" s="43"/>
      <c r="AA193" s="3">
        <f>TABL12345[[#This Row],[(RESV. STORGE) AJD]]/10</f>
        <v>0</v>
      </c>
      <c r="AB193" s="43">
        <f t="shared" si="11"/>
        <v>0</v>
      </c>
      <c r="AC193" s="5"/>
      <c r="AD193" s="39">
        <f>(TABL12345[[#This Row],[( S/S+T/B) AJD]]*1000)-((TABL12345[[#This Row],[(STORGE DIFF.) AJD]]*1000)+TABL12345[[#This Row],[البخر  AJD]]+(TABL12345[[#This Row],[(A/B + A/S) AJD]]*1000))</f>
        <v>0</v>
      </c>
      <c r="AE193" s="41"/>
      <c r="AF193" s="43"/>
      <c r="AG193" s="68"/>
      <c r="AH193" s="6">
        <f>TABL12345[[#This Row],[ (RESV. STORGE) BER]]/10</f>
        <v>0</v>
      </c>
      <c r="AI193" s="41"/>
      <c r="AJ193" s="69">
        <f>TABL12345[[#This Row],[(A/B TOT) AJD]]-TABL12345[[#This Row],[BER_ IN]]</f>
        <v>0</v>
      </c>
      <c r="AK193" s="43"/>
      <c r="AL193" s="43"/>
      <c r="AM193" s="32"/>
      <c r="AN193" s="32">
        <f>TABL12345[[#This Row],[ (RESV. STORGE) SER]]/10</f>
        <v>0</v>
      </c>
      <c r="AO193" s="68"/>
      <c r="AP193" s="68">
        <f>TABL12345[[#This Row],[(A/S TOT) AJD]]-TABL12345[[#This Row],[SER_ IN]]</f>
        <v>0</v>
      </c>
    </row>
    <row r="194" spans="1:42" ht="18.75" x14ac:dyDescent="0.25">
      <c r="A194" s="2">
        <v>47311</v>
      </c>
      <c r="B194" s="44"/>
      <c r="C194" s="44"/>
      <c r="D194" s="44"/>
      <c r="E194" s="44"/>
      <c r="F194" s="44"/>
      <c r="G194" s="40"/>
      <c r="H194" s="28"/>
      <c r="I194" s="40"/>
      <c r="J194" s="44"/>
      <c r="K194" s="28">
        <f>TABL12345[[#This Row],[خط (T/B  TOT) SAR]]+TABL12345[[#This Row],[خط (S/S  TOT) SAR2]]</f>
        <v>0</v>
      </c>
      <c r="L194" s="45"/>
      <c r="M194" s="46"/>
      <c r="N194" s="46"/>
      <c r="O194" s="40"/>
      <c r="P194" s="12">
        <f>TABL12345[[#This Row],[خط (S/S  TOT) SAR2]]-TABL12345[[#This Row],[(S/S TOT) AJD]]</f>
        <v>0</v>
      </c>
      <c r="Q194" s="40"/>
      <c r="R194" s="12">
        <f>TABL12345[[#This Row],[خط (T/B  TOT) SAR]]-TABL12345[[#This Row],[(T/B TOT) AJD]]</f>
        <v>0</v>
      </c>
      <c r="S194" s="12">
        <f>TABL12345[[#This Row],[الفرق بين بداية ونهاية خط  S/S]]+TABL12345[[#This Row],[الفرق بين بداية ونهاية خط  T/B]]</f>
        <v>0</v>
      </c>
      <c r="T194" s="12">
        <f t="shared" ref="T194:T257" si="12">O194+Q194</f>
        <v>0</v>
      </c>
      <c r="U194" s="44"/>
      <c r="V194" s="44"/>
      <c r="W194" s="12">
        <f t="shared" ref="W194:W257" si="13">U194+V194</f>
        <v>0</v>
      </c>
      <c r="X194" s="12">
        <f t="shared" ref="X194:X257" si="14">T194-W194</f>
        <v>0</v>
      </c>
      <c r="Y194" s="44"/>
      <c r="Z194" s="45"/>
      <c r="AA194" s="3">
        <f>TABL12345[[#This Row],[(RESV. STORGE) AJD]]/10</f>
        <v>0</v>
      </c>
      <c r="AB194" s="45">
        <f t="shared" si="11"/>
        <v>0</v>
      </c>
      <c r="AC194" s="5"/>
      <c r="AD194" s="40">
        <f>(TABL12345[[#This Row],[( S/S+T/B) AJD]]*1000)-((TABL12345[[#This Row],[(STORGE DIFF.) AJD]]*1000)+TABL12345[[#This Row],[البخر  AJD]]+(TABL12345[[#This Row],[(A/B + A/S) AJD]]*1000))</f>
        <v>0</v>
      </c>
      <c r="AE194" s="44"/>
      <c r="AF194" s="45"/>
      <c r="AG194" s="45"/>
      <c r="AH194" s="6">
        <f>TABL12345[[#This Row],[ (RESV. STORGE) BER]]/10</f>
        <v>0</v>
      </c>
      <c r="AI194" s="44"/>
      <c r="AJ194" s="44">
        <f>TABL12345[[#This Row],[(A/B TOT) AJD]]-TABL12345[[#This Row],[BER_ IN]]</f>
        <v>0</v>
      </c>
      <c r="AK194" s="45"/>
      <c r="AL194" s="45"/>
      <c r="AM194" s="32"/>
      <c r="AN194" s="32">
        <f>TABL12345[[#This Row],[ (RESV. STORGE) SER]]/10</f>
        <v>0</v>
      </c>
      <c r="AO194" s="68"/>
      <c r="AP194" s="68">
        <f>TABL12345[[#This Row],[(A/S TOT) AJD]]-TABL12345[[#This Row],[SER_ IN]]</f>
        <v>0</v>
      </c>
    </row>
    <row r="195" spans="1:42" ht="18.75" x14ac:dyDescent="0.25">
      <c r="A195" s="2">
        <v>47312</v>
      </c>
      <c r="B195" s="41"/>
      <c r="C195" s="41"/>
      <c r="D195" s="41"/>
      <c r="E195" s="41"/>
      <c r="F195" s="41"/>
      <c r="G195" s="39"/>
      <c r="H195" s="28"/>
      <c r="I195" s="39"/>
      <c r="J195" s="39"/>
      <c r="K195" s="28">
        <f>TABL12345[[#This Row],[خط (T/B  TOT) SAR]]+TABL12345[[#This Row],[خط (S/S  TOT) SAR2]]</f>
        <v>0</v>
      </c>
      <c r="L195" s="41"/>
      <c r="M195" s="42"/>
      <c r="N195" s="42"/>
      <c r="O195" s="39"/>
      <c r="P195" s="12">
        <f>TABL12345[[#This Row],[خط (S/S  TOT) SAR2]]-TABL12345[[#This Row],[(S/S TOT) AJD]]</f>
        <v>0</v>
      </c>
      <c r="Q195" s="39"/>
      <c r="R195" s="12">
        <f>TABL12345[[#This Row],[خط (T/B  TOT) SAR]]-TABL12345[[#This Row],[(T/B TOT) AJD]]</f>
        <v>0</v>
      </c>
      <c r="S195" s="12">
        <f>TABL12345[[#This Row],[الفرق بين بداية ونهاية خط  S/S]]+TABL12345[[#This Row],[الفرق بين بداية ونهاية خط  T/B]]</f>
        <v>0</v>
      </c>
      <c r="T195" s="12">
        <f t="shared" si="12"/>
        <v>0</v>
      </c>
      <c r="U195" s="41"/>
      <c r="V195" s="41"/>
      <c r="W195" s="12">
        <f t="shared" si="13"/>
        <v>0</v>
      </c>
      <c r="X195" s="12">
        <f t="shared" si="14"/>
        <v>0</v>
      </c>
      <c r="Y195" s="41"/>
      <c r="Z195" s="43"/>
      <c r="AA195" s="3">
        <f>TABL12345[[#This Row],[(RESV. STORGE) AJD]]/10</f>
        <v>0</v>
      </c>
      <c r="AB195" s="43">
        <f t="shared" si="11"/>
        <v>0</v>
      </c>
      <c r="AC195" s="5"/>
      <c r="AD195" s="39">
        <f>(TABL12345[[#This Row],[( S/S+T/B) AJD]]*1000)-((TABL12345[[#This Row],[(STORGE DIFF.) AJD]]*1000)+TABL12345[[#This Row],[البخر  AJD]]+(TABL12345[[#This Row],[(A/B + A/S) AJD]]*1000))</f>
        <v>0</v>
      </c>
      <c r="AE195" s="41"/>
      <c r="AF195" s="43"/>
      <c r="AG195" s="43"/>
      <c r="AH195" s="6">
        <f>TABL12345[[#This Row],[ (RESV. STORGE) BER]]/10</f>
        <v>0</v>
      </c>
      <c r="AI195" s="41"/>
      <c r="AJ195" s="41">
        <f>TABL12345[[#This Row],[(A/B TOT) AJD]]-TABL12345[[#This Row],[BER_ IN]]</f>
        <v>0</v>
      </c>
      <c r="AK195" s="43"/>
      <c r="AL195" s="43"/>
      <c r="AM195" s="32"/>
      <c r="AN195" s="32">
        <f>TABL12345[[#This Row],[ (RESV. STORGE) SER]]/10</f>
        <v>0</v>
      </c>
      <c r="AO195" s="68"/>
      <c r="AP195" s="68">
        <f>TABL12345[[#This Row],[(A/S TOT) AJD]]-TABL12345[[#This Row],[SER_ IN]]</f>
        <v>0</v>
      </c>
    </row>
    <row r="196" spans="1:42" ht="18.75" x14ac:dyDescent="0.25">
      <c r="A196" s="2">
        <v>47313</v>
      </c>
      <c r="B196" s="44"/>
      <c r="C196" s="44"/>
      <c r="D196" s="44"/>
      <c r="E196" s="44"/>
      <c r="F196" s="44"/>
      <c r="G196" s="40"/>
      <c r="H196" s="28"/>
      <c r="I196" s="40"/>
      <c r="J196" s="44"/>
      <c r="K196" s="28">
        <f>TABL12345[[#This Row],[خط (T/B  TOT) SAR]]+TABL12345[[#This Row],[خط (S/S  TOT) SAR2]]</f>
        <v>0</v>
      </c>
      <c r="L196" s="45"/>
      <c r="M196" s="46"/>
      <c r="N196" s="46"/>
      <c r="O196" s="40"/>
      <c r="P196" s="12">
        <f>TABL12345[[#This Row],[خط (S/S  TOT) SAR2]]-TABL12345[[#This Row],[(S/S TOT) AJD]]</f>
        <v>0</v>
      </c>
      <c r="Q196" s="40"/>
      <c r="R196" s="12">
        <f>TABL12345[[#This Row],[خط (T/B  TOT) SAR]]-TABL12345[[#This Row],[(T/B TOT) AJD]]</f>
        <v>0</v>
      </c>
      <c r="S196" s="12">
        <f>TABL12345[[#This Row],[الفرق بين بداية ونهاية خط  S/S]]+TABL12345[[#This Row],[الفرق بين بداية ونهاية خط  T/B]]</f>
        <v>0</v>
      </c>
      <c r="T196" s="12">
        <f t="shared" si="12"/>
        <v>0</v>
      </c>
      <c r="U196" s="44"/>
      <c r="V196" s="44"/>
      <c r="W196" s="12">
        <f t="shared" si="13"/>
        <v>0</v>
      </c>
      <c r="X196" s="12">
        <f t="shared" si="14"/>
        <v>0</v>
      </c>
      <c r="Y196" s="44"/>
      <c r="Z196" s="45"/>
      <c r="AA196" s="3">
        <f>TABL12345[[#This Row],[(RESV. STORGE) AJD]]/10</f>
        <v>0</v>
      </c>
      <c r="AB196" s="45">
        <f t="shared" ref="AB196:AB259" si="15">(Z196-Z195)/1000</f>
        <v>0</v>
      </c>
      <c r="AC196" s="5"/>
      <c r="AD196" s="40">
        <f>(TABL12345[[#This Row],[( S/S+T/B) AJD]]*1000)-((TABL12345[[#This Row],[(STORGE DIFF.) AJD]]*1000)+TABL12345[[#This Row],[البخر  AJD]]+(TABL12345[[#This Row],[(A/B + A/S) AJD]]*1000))</f>
        <v>0</v>
      </c>
      <c r="AE196" s="44"/>
      <c r="AF196" s="45"/>
      <c r="AG196" s="45"/>
      <c r="AH196" s="6">
        <f>TABL12345[[#This Row],[ (RESV. STORGE) BER]]/10</f>
        <v>0</v>
      </c>
      <c r="AI196" s="44"/>
      <c r="AJ196" s="44">
        <f>TABL12345[[#This Row],[(A/B TOT) AJD]]-TABL12345[[#This Row],[BER_ IN]]</f>
        <v>0</v>
      </c>
      <c r="AK196" s="45"/>
      <c r="AL196" s="45"/>
      <c r="AM196" s="32"/>
      <c r="AN196" s="32">
        <f>TABL12345[[#This Row],[ (RESV. STORGE) SER]]/10</f>
        <v>0</v>
      </c>
      <c r="AO196" s="68"/>
      <c r="AP196" s="68">
        <f>TABL12345[[#This Row],[(A/S TOT) AJD]]-TABL12345[[#This Row],[SER_ IN]]</f>
        <v>0</v>
      </c>
    </row>
    <row r="197" spans="1:42" ht="18.75" x14ac:dyDescent="0.25">
      <c r="A197" s="2">
        <v>47314</v>
      </c>
      <c r="B197" s="41"/>
      <c r="C197" s="41"/>
      <c r="D197" s="41"/>
      <c r="E197" s="41"/>
      <c r="F197" s="41"/>
      <c r="G197" s="39"/>
      <c r="H197" s="28"/>
      <c r="I197" s="39"/>
      <c r="J197" s="39"/>
      <c r="K197" s="28">
        <f>TABL12345[[#This Row],[خط (T/B  TOT) SAR]]+TABL12345[[#This Row],[خط (S/S  TOT) SAR2]]</f>
        <v>0</v>
      </c>
      <c r="L197" s="41"/>
      <c r="M197" s="42"/>
      <c r="N197" s="42"/>
      <c r="O197" s="39"/>
      <c r="P197" s="12">
        <f>TABL12345[[#This Row],[خط (S/S  TOT) SAR2]]-TABL12345[[#This Row],[(S/S TOT) AJD]]</f>
        <v>0</v>
      </c>
      <c r="Q197" s="39"/>
      <c r="R197" s="12">
        <f>TABL12345[[#This Row],[خط (T/B  TOT) SAR]]-TABL12345[[#This Row],[(T/B TOT) AJD]]</f>
        <v>0</v>
      </c>
      <c r="S197" s="12">
        <f>TABL12345[[#This Row],[الفرق بين بداية ونهاية خط  S/S]]+TABL12345[[#This Row],[الفرق بين بداية ونهاية خط  T/B]]</f>
        <v>0</v>
      </c>
      <c r="T197" s="12">
        <f t="shared" si="12"/>
        <v>0</v>
      </c>
      <c r="U197" s="41"/>
      <c r="V197" s="41"/>
      <c r="W197" s="12">
        <f t="shared" si="13"/>
        <v>0</v>
      </c>
      <c r="X197" s="12">
        <f t="shared" si="14"/>
        <v>0</v>
      </c>
      <c r="Y197" s="41"/>
      <c r="Z197" s="43"/>
      <c r="AA197" s="3">
        <f>TABL12345[[#This Row],[(RESV. STORGE) AJD]]/10</f>
        <v>0</v>
      </c>
      <c r="AB197" s="43">
        <f t="shared" si="15"/>
        <v>0</v>
      </c>
      <c r="AC197" s="5"/>
      <c r="AD197" s="39">
        <f>(TABL12345[[#This Row],[( S/S+T/B) AJD]]*1000)-((TABL12345[[#This Row],[(STORGE DIFF.) AJD]]*1000)+TABL12345[[#This Row],[البخر  AJD]]+(TABL12345[[#This Row],[(A/B + A/S) AJD]]*1000))</f>
        <v>0</v>
      </c>
      <c r="AE197" s="41"/>
      <c r="AF197" s="43"/>
      <c r="AG197" s="43"/>
      <c r="AH197" s="6">
        <f>TABL12345[[#This Row],[ (RESV. STORGE) BER]]/10</f>
        <v>0</v>
      </c>
      <c r="AI197" s="41"/>
      <c r="AJ197" s="41">
        <f>TABL12345[[#This Row],[(A/B TOT) AJD]]-TABL12345[[#This Row],[BER_ IN]]</f>
        <v>0</v>
      </c>
      <c r="AK197" s="43"/>
      <c r="AL197" s="43"/>
      <c r="AM197" s="32"/>
      <c r="AN197" s="32">
        <f>TABL12345[[#This Row],[ (RESV. STORGE) SER]]/10</f>
        <v>0</v>
      </c>
      <c r="AO197" s="68"/>
      <c r="AP197" s="68">
        <f>TABL12345[[#This Row],[(A/S TOT) AJD]]-TABL12345[[#This Row],[SER_ IN]]</f>
        <v>0</v>
      </c>
    </row>
    <row r="198" spans="1:42" ht="18.75" x14ac:dyDescent="0.25">
      <c r="A198" s="2">
        <v>47315</v>
      </c>
      <c r="B198" s="44"/>
      <c r="C198" s="44"/>
      <c r="D198" s="44"/>
      <c r="E198" s="44"/>
      <c r="F198" s="44"/>
      <c r="G198" s="40"/>
      <c r="H198" s="28"/>
      <c r="I198" s="40"/>
      <c r="J198" s="44"/>
      <c r="K198" s="28">
        <f>TABL12345[[#This Row],[خط (T/B  TOT) SAR]]+TABL12345[[#This Row],[خط (S/S  TOT) SAR2]]</f>
        <v>0</v>
      </c>
      <c r="L198" s="45"/>
      <c r="M198" s="46"/>
      <c r="N198" s="46"/>
      <c r="O198" s="40"/>
      <c r="P198" s="12">
        <f>TABL12345[[#This Row],[خط (S/S  TOT) SAR2]]-TABL12345[[#This Row],[(S/S TOT) AJD]]</f>
        <v>0</v>
      </c>
      <c r="Q198" s="40"/>
      <c r="R198" s="12">
        <f>TABL12345[[#This Row],[خط (T/B  TOT) SAR]]-TABL12345[[#This Row],[(T/B TOT) AJD]]</f>
        <v>0</v>
      </c>
      <c r="S198" s="12">
        <f>TABL12345[[#This Row],[الفرق بين بداية ونهاية خط  S/S]]+TABL12345[[#This Row],[الفرق بين بداية ونهاية خط  T/B]]</f>
        <v>0</v>
      </c>
      <c r="T198" s="12">
        <f t="shared" si="12"/>
        <v>0</v>
      </c>
      <c r="U198" s="44"/>
      <c r="V198" s="44"/>
      <c r="W198" s="12">
        <f t="shared" si="13"/>
        <v>0</v>
      </c>
      <c r="X198" s="12">
        <f t="shared" si="14"/>
        <v>0</v>
      </c>
      <c r="Y198" s="44"/>
      <c r="Z198" s="45"/>
      <c r="AA198" s="3">
        <f>TABL12345[[#This Row],[(RESV. STORGE) AJD]]/10</f>
        <v>0</v>
      </c>
      <c r="AB198" s="45">
        <f t="shared" si="15"/>
        <v>0</v>
      </c>
      <c r="AC198" s="5"/>
      <c r="AD198" s="40">
        <f>(TABL12345[[#This Row],[( S/S+T/B) AJD]]*1000)-((TABL12345[[#This Row],[(STORGE DIFF.) AJD]]*1000)+TABL12345[[#This Row],[البخر  AJD]]+(TABL12345[[#This Row],[(A/B + A/S) AJD]]*1000))</f>
        <v>0</v>
      </c>
      <c r="AE198" s="44"/>
      <c r="AF198" s="45"/>
      <c r="AG198" s="45"/>
      <c r="AH198" s="6">
        <f>TABL12345[[#This Row],[ (RESV. STORGE) BER]]/10</f>
        <v>0</v>
      </c>
      <c r="AI198" s="44"/>
      <c r="AJ198" s="44">
        <f>TABL12345[[#This Row],[(A/B TOT) AJD]]-TABL12345[[#This Row],[BER_ IN]]</f>
        <v>0</v>
      </c>
      <c r="AK198" s="45"/>
      <c r="AL198" s="45"/>
      <c r="AM198" s="32"/>
      <c r="AN198" s="32">
        <f>TABL12345[[#This Row],[ (RESV. STORGE) SER]]/10</f>
        <v>0</v>
      </c>
      <c r="AO198" s="68"/>
      <c r="AP198" s="68">
        <f>TABL12345[[#This Row],[(A/S TOT) AJD]]-TABL12345[[#This Row],[SER_ IN]]</f>
        <v>0</v>
      </c>
    </row>
    <row r="199" spans="1:42" ht="18.75" x14ac:dyDescent="0.25">
      <c r="A199" s="2">
        <v>47316</v>
      </c>
      <c r="B199" s="41"/>
      <c r="C199" s="41"/>
      <c r="D199" s="41"/>
      <c r="E199" s="41"/>
      <c r="F199" s="41"/>
      <c r="G199" s="39"/>
      <c r="H199" s="28"/>
      <c r="I199" s="39"/>
      <c r="J199" s="39"/>
      <c r="K199" s="28">
        <f>TABL12345[[#This Row],[خط (T/B  TOT) SAR]]+TABL12345[[#This Row],[خط (S/S  TOT) SAR2]]</f>
        <v>0</v>
      </c>
      <c r="L199" s="41"/>
      <c r="M199" s="42"/>
      <c r="N199" s="42"/>
      <c r="O199" s="39"/>
      <c r="P199" s="12">
        <f>TABL12345[[#This Row],[خط (S/S  TOT) SAR2]]-TABL12345[[#This Row],[(S/S TOT) AJD]]</f>
        <v>0</v>
      </c>
      <c r="Q199" s="39"/>
      <c r="R199" s="12">
        <f>TABL12345[[#This Row],[خط (T/B  TOT) SAR]]-TABL12345[[#This Row],[(T/B TOT) AJD]]</f>
        <v>0</v>
      </c>
      <c r="S199" s="12">
        <f>TABL12345[[#This Row],[الفرق بين بداية ونهاية خط  S/S]]+TABL12345[[#This Row],[الفرق بين بداية ونهاية خط  T/B]]</f>
        <v>0</v>
      </c>
      <c r="T199" s="12">
        <f t="shared" si="12"/>
        <v>0</v>
      </c>
      <c r="U199" s="41"/>
      <c r="V199" s="41"/>
      <c r="W199" s="12">
        <f t="shared" si="13"/>
        <v>0</v>
      </c>
      <c r="X199" s="12">
        <f t="shared" si="14"/>
        <v>0</v>
      </c>
      <c r="Y199" s="41"/>
      <c r="Z199" s="43"/>
      <c r="AA199" s="3">
        <f>TABL12345[[#This Row],[(RESV. STORGE) AJD]]/10</f>
        <v>0</v>
      </c>
      <c r="AB199" s="43">
        <f t="shared" si="15"/>
        <v>0</v>
      </c>
      <c r="AC199" s="5"/>
      <c r="AD199" s="39">
        <f>(TABL12345[[#This Row],[( S/S+T/B) AJD]]*1000)-((TABL12345[[#This Row],[(STORGE DIFF.) AJD]]*1000)+TABL12345[[#This Row],[البخر  AJD]]+(TABL12345[[#This Row],[(A/B + A/S) AJD]]*1000))</f>
        <v>0</v>
      </c>
      <c r="AE199" s="41"/>
      <c r="AF199" s="43"/>
      <c r="AG199" s="43"/>
      <c r="AH199" s="6">
        <f>TABL12345[[#This Row],[ (RESV. STORGE) BER]]/10</f>
        <v>0</v>
      </c>
      <c r="AI199" s="41"/>
      <c r="AJ199" s="41">
        <f>TABL12345[[#This Row],[(A/B TOT) AJD]]-TABL12345[[#This Row],[BER_ IN]]</f>
        <v>0</v>
      </c>
      <c r="AK199" s="43"/>
      <c r="AL199" s="43"/>
      <c r="AM199" s="32"/>
      <c r="AN199" s="32">
        <f>TABL12345[[#This Row],[ (RESV. STORGE) SER]]/10</f>
        <v>0</v>
      </c>
      <c r="AO199" s="68"/>
      <c r="AP199" s="68">
        <f>TABL12345[[#This Row],[(A/S TOT) AJD]]-TABL12345[[#This Row],[SER_ IN]]</f>
        <v>0</v>
      </c>
    </row>
    <row r="200" spans="1:42" ht="18.75" x14ac:dyDescent="0.25">
      <c r="A200" s="2">
        <v>47317</v>
      </c>
      <c r="B200" s="44"/>
      <c r="C200" s="44"/>
      <c r="D200" s="44"/>
      <c r="E200" s="44"/>
      <c r="F200" s="44"/>
      <c r="G200" s="40"/>
      <c r="H200" s="28"/>
      <c r="I200" s="40"/>
      <c r="J200" s="44"/>
      <c r="K200" s="28">
        <f>TABL12345[[#This Row],[خط (T/B  TOT) SAR]]+TABL12345[[#This Row],[خط (S/S  TOT) SAR2]]</f>
        <v>0</v>
      </c>
      <c r="L200" s="45"/>
      <c r="M200" s="46"/>
      <c r="N200" s="46"/>
      <c r="O200" s="40"/>
      <c r="P200" s="12">
        <f>TABL12345[[#This Row],[خط (S/S  TOT) SAR2]]-TABL12345[[#This Row],[(S/S TOT) AJD]]</f>
        <v>0</v>
      </c>
      <c r="Q200" s="40"/>
      <c r="R200" s="12">
        <f>TABL12345[[#This Row],[خط (T/B  TOT) SAR]]-TABL12345[[#This Row],[(T/B TOT) AJD]]</f>
        <v>0</v>
      </c>
      <c r="S200" s="12">
        <f>TABL12345[[#This Row],[الفرق بين بداية ونهاية خط  S/S]]+TABL12345[[#This Row],[الفرق بين بداية ونهاية خط  T/B]]</f>
        <v>0</v>
      </c>
      <c r="T200" s="12">
        <f t="shared" si="12"/>
        <v>0</v>
      </c>
      <c r="U200" s="44"/>
      <c r="V200" s="44"/>
      <c r="W200" s="12">
        <f t="shared" si="13"/>
        <v>0</v>
      </c>
      <c r="X200" s="12">
        <f t="shared" si="14"/>
        <v>0</v>
      </c>
      <c r="Y200" s="44"/>
      <c r="Z200" s="45"/>
      <c r="AA200" s="3">
        <f>TABL12345[[#This Row],[(RESV. STORGE) AJD]]/10</f>
        <v>0</v>
      </c>
      <c r="AB200" s="45">
        <f t="shared" si="15"/>
        <v>0</v>
      </c>
      <c r="AC200" s="5"/>
      <c r="AD200" s="40">
        <f>(TABL12345[[#This Row],[( S/S+T/B) AJD]]*1000)-((TABL12345[[#This Row],[(STORGE DIFF.) AJD]]*1000)+TABL12345[[#This Row],[البخر  AJD]]+(TABL12345[[#This Row],[(A/B + A/S) AJD]]*1000))</f>
        <v>0</v>
      </c>
      <c r="AE200" s="44"/>
      <c r="AF200" s="45"/>
      <c r="AG200" s="45"/>
      <c r="AH200" s="6">
        <f>TABL12345[[#This Row],[ (RESV. STORGE) BER]]/10</f>
        <v>0</v>
      </c>
      <c r="AI200" s="44"/>
      <c r="AJ200" s="44">
        <f>TABL12345[[#This Row],[(A/B TOT) AJD]]-TABL12345[[#This Row],[BER_ IN]]</f>
        <v>0</v>
      </c>
      <c r="AK200" s="45"/>
      <c r="AL200" s="45"/>
      <c r="AM200" s="32"/>
      <c r="AN200" s="32">
        <f>TABL12345[[#This Row],[ (RESV. STORGE) SER]]/10</f>
        <v>0</v>
      </c>
      <c r="AO200" s="68"/>
      <c r="AP200" s="68">
        <f>TABL12345[[#This Row],[(A/S TOT) AJD]]-TABL12345[[#This Row],[SER_ IN]]</f>
        <v>0</v>
      </c>
    </row>
    <row r="201" spans="1:42" ht="18.75" x14ac:dyDescent="0.25">
      <c r="A201" s="2">
        <v>47318</v>
      </c>
      <c r="B201" s="41"/>
      <c r="C201" s="41"/>
      <c r="D201" s="41"/>
      <c r="E201" s="41"/>
      <c r="F201" s="41"/>
      <c r="G201" s="39"/>
      <c r="H201" s="28"/>
      <c r="I201" s="39"/>
      <c r="J201" s="39"/>
      <c r="K201" s="28">
        <f>TABL12345[[#This Row],[خط (T/B  TOT) SAR]]+TABL12345[[#This Row],[خط (S/S  TOT) SAR2]]</f>
        <v>0</v>
      </c>
      <c r="L201" s="41"/>
      <c r="M201" s="42"/>
      <c r="N201" s="42"/>
      <c r="O201" s="39"/>
      <c r="P201" s="12">
        <f>TABL12345[[#This Row],[خط (S/S  TOT) SAR2]]-TABL12345[[#This Row],[(S/S TOT) AJD]]</f>
        <v>0</v>
      </c>
      <c r="Q201" s="39"/>
      <c r="R201" s="12">
        <f>TABL12345[[#This Row],[خط (T/B  TOT) SAR]]-TABL12345[[#This Row],[(T/B TOT) AJD]]</f>
        <v>0</v>
      </c>
      <c r="S201" s="12">
        <f>TABL12345[[#This Row],[الفرق بين بداية ونهاية خط  S/S]]+TABL12345[[#This Row],[الفرق بين بداية ونهاية خط  T/B]]</f>
        <v>0</v>
      </c>
      <c r="T201" s="12">
        <f t="shared" si="12"/>
        <v>0</v>
      </c>
      <c r="U201" s="41"/>
      <c r="V201" s="41"/>
      <c r="W201" s="12">
        <f t="shared" si="13"/>
        <v>0</v>
      </c>
      <c r="X201" s="12">
        <f t="shared" si="14"/>
        <v>0</v>
      </c>
      <c r="Y201" s="41"/>
      <c r="Z201" s="43"/>
      <c r="AA201" s="3">
        <f>TABL12345[[#This Row],[(RESV. STORGE) AJD]]/10</f>
        <v>0</v>
      </c>
      <c r="AB201" s="43">
        <f t="shared" si="15"/>
        <v>0</v>
      </c>
      <c r="AC201" s="5"/>
      <c r="AD201" s="39">
        <f>(TABL12345[[#This Row],[( S/S+T/B) AJD]]*1000)-((TABL12345[[#This Row],[(STORGE DIFF.) AJD]]*1000)+TABL12345[[#This Row],[البخر  AJD]]+(TABL12345[[#This Row],[(A/B + A/S) AJD]]*1000))</f>
        <v>0</v>
      </c>
      <c r="AE201" s="41"/>
      <c r="AF201" s="43"/>
      <c r="AG201" s="43"/>
      <c r="AH201" s="6">
        <f>TABL12345[[#This Row],[ (RESV. STORGE) BER]]/10</f>
        <v>0</v>
      </c>
      <c r="AI201" s="41"/>
      <c r="AJ201" s="41">
        <f>TABL12345[[#This Row],[(A/B TOT) AJD]]-TABL12345[[#This Row],[BER_ IN]]</f>
        <v>0</v>
      </c>
      <c r="AK201" s="43"/>
      <c r="AL201" s="43"/>
      <c r="AM201" s="32"/>
      <c r="AN201" s="32">
        <f>TABL12345[[#This Row],[ (RESV. STORGE) SER]]/10</f>
        <v>0</v>
      </c>
      <c r="AO201" s="68"/>
      <c r="AP201" s="68">
        <f>TABL12345[[#This Row],[(A/S TOT) AJD]]-TABL12345[[#This Row],[SER_ IN]]</f>
        <v>0</v>
      </c>
    </row>
    <row r="202" spans="1:42" ht="18.75" x14ac:dyDescent="0.25">
      <c r="A202" s="2">
        <v>47319</v>
      </c>
      <c r="B202" s="44"/>
      <c r="C202" s="44"/>
      <c r="D202" s="44"/>
      <c r="E202" s="44"/>
      <c r="F202" s="44"/>
      <c r="G202" s="40"/>
      <c r="H202" s="28"/>
      <c r="I202" s="40"/>
      <c r="J202" s="44"/>
      <c r="K202" s="28">
        <f>TABL12345[[#This Row],[خط (T/B  TOT) SAR]]+TABL12345[[#This Row],[خط (S/S  TOT) SAR2]]</f>
        <v>0</v>
      </c>
      <c r="L202" s="45"/>
      <c r="M202" s="46"/>
      <c r="N202" s="46"/>
      <c r="O202" s="40"/>
      <c r="P202" s="12">
        <f>TABL12345[[#This Row],[خط (S/S  TOT) SAR2]]-TABL12345[[#This Row],[(S/S TOT) AJD]]</f>
        <v>0</v>
      </c>
      <c r="Q202" s="40"/>
      <c r="R202" s="12">
        <f>TABL12345[[#This Row],[خط (T/B  TOT) SAR]]-TABL12345[[#This Row],[(T/B TOT) AJD]]</f>
        <v>0</v>
      </c>
      <c r="S202" s="12">
        <f>TABL12345[[#This Row],[الفرق بين بداية ونهاية خط  S/S]]+TABL12345[[#This Row],[الفرق بين بداية ونهاية خط  T/B]]</f>
        <v>0</v>
      </c>
      <c r="T202" s="12">
        <f t="shared" si="12"/>
        <v>0</v>
      </c>
      <c r="U202" s="44"/>
      <c r="V202" s="44"/>
      <c r="W202" s="12">
        <f t="shared" si="13"/>
        <v>0</v>
      </c>
      <c r="X202" s="12">
        <f t="shared" si="14"/>
        <v>0</v>
      </c>
      <c r="Y202" s="44"/>
      <c r="Z202" s="45"/>
      <c r="AA202" s="3">
        <f>TABL12345[[#This Row],[(RESV. STORGE) AJD]]/10</f>
        <v>0</v>
      </c>
      <c r="AB202" s="45">
        <f t="shared" si="15"/>
        <v>0</v>
      </c>
      <c r="AC202" s="5"/>
      <c r="AD202" s="40">
        <f>(TABL12345[[#This Row],[( S/S+T/B) AJD]]*1000)-((TABL12345[[#This Row],[(STORGE DIFF.) AJD]]*1000)+TABL12345[[#This Row],[البخر  AJD]]+(TABL12345[[#This Row],[(A/B + A/S) AJD]]*1000))</f>
        <v>0</v>
      </c>
      <c r="AE202" s="44"/>
      <c r="AF202" s="45"/>
      <c r="AG202" s="45"/>
      <c r="AH202" s="6">
        <f>TABL12345[[#This Row],[ (RESV. STORGE) BER]]/10</f>
        <v>0</v>
      </c>
      <c r="AI202" s="44"/>
      <c r="AJ202" s="44">
        <f>TABL12345[[#This Row],[(A/B TOT) AJD]]-TABL12345[[#This Row],[BER_ IN]]</f>
        <v>0</v>
      </c>
      <c r="AK202" s="45"/>
      <c r="AL202" s="45"/>
      <c r="AM202" s="32"/>
      <c r="AN202" s="32">
        <f>TABL12345[[#This Row],[ (RESV. STORGE) SER]]/10</f>
        <v>0</v>
      </c>
      <c r="AO202" s="68"/>
      <c r="AP202" s="68">
        <f>TABL12345[[#This Row],[(A/S TOT) AJD]]-TABL12345[[#This Row],[SER_ IN]]</f>
        <v>0</v>
      </c>
    </row>
    <row r="203" spans="1:42" ht="18.75" x14ac:dyDescent="0.25">
      <c r="A203" s="2">
        <v>47320</v>
      </c>
      <c r="B203" s="41"/>
      <c r="C203" s="41"/>
      <c r="D203" s="41"/>
      <c r="E203" s="41"/>
      <c r="F203" s="41"/>
      <c r="G203" s="39"/>
      <c r="H203" s="28"/>
      <c r="I203" s="39"/>
      <c r="J203" s="39"/>
      <c r="K203" s="28">
        <f>TABL12345[[#This Row],[خط (T/B  TOT) SAR]]+TABL12345[[#This Row],[خط (S/S  TOT) SAR2]]</f>
        <v>0</v>
      </c>
      <c r="L203" s="41"/>
      <c r="M203" s="42"/>
      <c r="N203" s="42"/>
      <c r="O203" s="39"/>
      <c r="P203" s="12">
        <f>TABL12345[[#This Row],[خط (S/S  TOT) SAR2]]-TABL12345[[#This Row],[(S/S TOT) AJD]]</f>
        <v>0</v>
      </c>
      <c r="Q203" s="39"/>
      <c r="R203" s="12">
        <f>TABL12345[[#This Row],[خط (T/B  TOT) SAR]]-TABL12345[[#This Row],[(T/B TOT) AJD]]</f>
        <v>0</v>
      </c>
      <c r="S203" s="12">
        <f>TABL12345[[#This Row],[الفرق بين بداية ونهاية خط  S/S]]+TABL12345[[#This Row],[الفرق بين بداية ونهاية خط  T/B]]</f>
        <v>0</v>
      </c>
      <c r="T203" s="12">
        <f t="shared" si="12"/>
        <v>0</v>
      </c>
      <c r="U203" s="41"/>
      <c r="V203" s="41"/>
      <c r="W203" s="12">
        <f t="shared" si="13"/>
        <v>0</v>
      </c>
      <c r="X203" s="12">
        <f t="shared" si="14"/>
        <v>0</v>
      </c>
      <c r="Y203" s="41"/>
      <c r="Z203" s="43"/>
      <c r="AA203" s="3">
        <f>TABL12345[[#This Row],[(RESV. STORGE) AJD]]/10</f>
        <v>0</v>
      </c>
      <c r="AB203" s="43">
        <f t="shared" si="15"/>
        <v>0</v>
      </c>
      <c r="AC203" s="5"/>
      <c r="AD203" s="39">
        <f>(TABL12345[[#This Row],[( S/S+T/B) AJD]]*1000)-((TABL12345[[#This Row],[(STORGE DIFF.) AJD]]*1000)+TABL12345[[#This Row],[البخر  AJD]]+(TABL12345[[#This Row],[(A/B + A/S) AJD]]*1000))</f>
        <v>0</v>
      </c>
      <c r="AE203" s="41"/>
      <c r="AF203" s="43"/>
      <c r="AG203" s="43"/>
      <c r="AH203" s="6">
        <f>TABL12345[[#This Row],[ (RESV. STORGE) BER]]/10</f>
        <v>0</v>
      </c>
      <c r="AI203" s="41"/>
      <c r="AJ203" s="41">
        <f>TABL12345[[#This Row],[(A/B TOT) AJD]]-TABL12345[[#This Row],[BER_ IN]]</f>
        <v>0</v>
      </c>
      <c r="AK203" s="43"/>
      <c r="AL203" s="43"/>
      <c r="AM203" s="32"/>
      <c r="AN203" s="32">
        <f>TABL12345[[#This Row],[ (RESV. STORGE) SER]]/10</f>
        <v>0</v>
      </c>
      <c r="AO203" s="68"/>
      <c r="AP203" s="68">
        <f>TABL12345[[#This Row],[(A/S TOT) AJD]]-TABL12345[[#This Row],[SER_ IN]]</f>
        <v>0</v>
      </c>
    </row>
    <row r="204" spans="1:42" ht="18.75" x14ac:dyDescent="0.25">
      <c r="A204" s="2">
        <v>47321</v>
      </c>
      <c r="B204" s="44"/>
      <c r="C204" s="44"/>
      <c r="D204" s="44"/>
      <c r="E204" s="44"/>
      <c r="F204" s="44"/>
      <c r="G204" s="40"/>
      <c r="H204" s="28"/>
      <c r="I204" s="40"/>
      <c r="J204" s="44"/>
      <c r="K204" s="28">
        <f>TABL12345[[#This Row],[خط (T/B  TOT) SAR]]+TABL12345[[#This Row],[خط (S/S  TOT) SAR2]]</f>
        <v>0</v>
      </c>
      <c r="L204" s="45"/>
      <c r="M204" s="46"/>
      <c r="N204" s="46"/>
      <c r="O204" s="40"/>
      <c r="P204" s="12">
        <f>TABL12345[[#This Row],[خط (S/S  TOT) SAR2]]-TABL12345[[#This Row],[(S/S TOT) AJD]]</f>
        <v>0</v>
      </c>
      <c r="Q204" s="40"/>
      <c r="R204" s="12">
        <f>TABL12345[[#This Row],[خط (T/B  TOT) SAR]]-TABL12345[[#This Row],[(T/B TOT) AJD]]</f>
        <v>0</v>
      </c>
      <c r="S204" s="12">
        <f>TABL12345[[#This Row],[الفرق بين بداية ونهاية خط  S/S]]+TABL12345[[#This Row],[الفرق بين بداية ونهاية خط  T/B]]</f>
        <v>0</v>
      </c>
      <c r="T204" s="12">
        <f t="shared" si="12"/>
        <v>0</v>
      </c>
      <c r="U204" s="44"/>
      <c r="V204" s="44"/>
      <c r="W204" s="12">
        <f t="shared" si="13"/>
        <v>0</v>
      </c>
      <c r="X204" s="12">
        <f t="shared" si="14"/>
        <v>0</v>
      </c>
      <c r="Y204" s="44"/>
      <c r="Z204" s="45"/>
      <c r="AA204" s="3">
        <f>TABL12345[[#This Row],[(RESV. STORGE) AJD]]/10</f>
        <v>0</v>
      </c>
      <c r="AB204" s="45">
        <f t="shared" si="15"/>
        <v>0</v>
      </c>
      <c r="AC204" s="5"/>
      <c r="AD204" s="40">
        <f>(TABL12345[[#This Row],[( S/S+T/B) AJD]]*1000)-((TABL12345[[#This Row],[(STORGE DIFF.) AJD]]*1000)+TABL12345[[#This Row],[البخر  AJD]]+(TABL12345[[#This Row],[(A/B + A/S) AJD]]*1000))</f>
        <v>0</v>
      </c>
      <c r="AE204" s="44"/>
      <c r="AF204" s="45"/>
      <c r="AG204" s="45"/>
      <c r="AH204" s="6">
        <f>TABL12345[[#This Row],[ (RESV. STORGE) BER]]/10</f>
        <v>0</v>
      </c>
      <c r="AI204" s="44"/>
      <c r="AJ204" s="44">
        <f>TABL12345[[#This Row],[(A/B TOT) AJD]]-TABL12345[[#This Row],[BER_ IN]]</f>
        <v>0</v>
      </c>
      <c r="AK204" s="45"/>
      <c r="AL204" s="45"/>
      <c r="AM204" s="32"/>
      <c r="AN204" s="32">
        <f>TABL12345[[#This Row],[ (RESV. STORGE) SER]]/10</f>
        <v>0</v>
      </c>
      <c r="AO204" s="68"/>
      <c r="AP204" s="68">
        <f>TABL12345[[#This Row],[(A/S TOT) AJD]]-TABL12345[[#This Row],[SER_ IN]]</f>
        <v>0</v>
      </c>
    </row>
    <row r="205" spans="1:42" ht="18.75" x14ac:dyDescent="0.25">
      <c r="A205" s="2">
        <v>47322</v>
      </c>
      <c r="B205" s="41"/>
      <c r="C205" s="41"/>
      <c r="D205" s="41"/>
      <c r="E205" s="41"/>
      <c r="F205" s="41"/>
      <c r="G205" s="39"/>
      <c r="H205" s="28"/>
      <c r="I205" s="39"/>
      <c r="J205" s="39"/>
      <c r="K205" s="28">
        <f>TABL12345[[#This Row],[خط (T/B  TOT) SAR]]+TABL12345[[#This Row],[خط (S/S  TOT) SAR2]]</f>
        <v>0</v>
      </c>
      <c r="L205" s="41"/>
      <c r="M205" s="42"/>
      <c r="N205" s="42"/>
      <c r="O205" s="39"/>
      <c r="P205" s="12">
        <f>TABL12345[[#This Row],[خط (S/S  TOT) SAR2]]-TABL12345[[#This Row],[(S/S TOT) AJD]]</f>
        <v>0</v>
      </c>
      <c r="Q205" s="39"/>
      <c r="R205" s="12">
        <f>TABL12345[[#This Row],[خط (T/B  TOT) SAR]]-TABL12345[[#This Row],[(T/B TOT) AJD]]</f>
        <v>0</v>
      </c>
      <c r="S205" s="12">
        <f>TABL12345[[#This Row],[الفرق بين بداية ونهاية خط  S/S]]+TABL12345[[#This Row],[الفرق بين بداية ونهاية خط  T/B]]</f>
        <v>0</v>
      </c>
      <c r="T205" s="12">
        <f t="shared" si="12"/>
        <v>0</v>
      </c>
      <c r="U205" s="41"/>
      <c r="V205" s="41"/>
      <c r="W205" s="12">
        <f t="shared" si="13"/>
        <v>0</v>
      </c>
      <c r="X205" s="12">
        <f t="shared" si="14"/>
        <v>0</v>
      </c>
      <c r="Y205" s="41"/>
      <c r="Z205" s="43"/>
      <c r="AA205" s="3">
        <f>TABL12345[[#This Row],[(RESV. STORGE) AJD]]/10</f>
        <v>0</v>
      </c>
      <c r="AB205" s="43">
        <f t="shared" si="15"/>
        <v>0</v>
      </c>
      <c r="AC205" s="5"/>
      <c r="AD205" s="39">
        <f>(TABL12345[[#This Row],[( S/S+T/B) AJD]]*1000)-((TABL12345[[#This Row],[(STORGE DIFF.) AJD]]*1000)+TABL12345[[#This Row],[البخر  AJD]]+(TABL12345[[#This Row],[(A/B + A/S) AJD]]*1000))</f>
        <v>0</v>
      </c>
      <c r="AE205" s="41"/>
      <c r="AF205" s="43"/>
      <c r="AG205" s="43"/>
      <c r="AH205" s="6">
        <f>TABL12345[[#This Row],[ (RESV. STORGE) BER]]/10</f>
        <v>0</v>
      </c>
      <c r="AI205" s="41"/>
      <c r="AJ205" s="41">
        <f>TABL12345[[#This Row],[(A/B TOT) AJD]]-TABL12345[[#This Row],[BER_ IN]]</f>
        <v>0</v>
      </c>
      <c r="AK205" s="43"/>
      <c r="AL205" s="43"/>
      <c r="AM205" s="32"/>
      <c r="AN205" s="32">
        <f>TABL12345[[#This Row],[ (RESV. STORGE) SER]]/10</f>
        <v>0</v>
      </c>
      <c r="AO205" s="68"/>
      <c r="AP205" s="68">
        <f>TABL12345[[#This Row],[(A/S TOT) AJD]]-TABL12345[[#This Row],[SER_ IN]]</f>
        <v>0</v>
      </c>
    </row>
    <row r="206" spans="1:42" ht="18.75" x14ac:dyDescent="0.25">
      <c r="A206" s="2">
        <v>47323</v>
      </c>
      <c r="B206" s="44"/>
      <c r="C206" s="44"/>
      <c r="D206" s="44"/>
      <c r="E206" s="44"/>
      <c r="F206" s="44"/>
      <c r="G206" s="40"/>
      <c r="H206" s="28"/>
      <c r="I206" s="40"/>
      <c r="J206" s="44"/>
      <c r="K206" s="28">
        <f>TABL12345[[#This Row],[خط (T/B  TOT) SAR]]+TABL12345[[#This Row],[خط (S/S  TOT) SAR2]]</f>
        <v>0</v>
      </c>
      <c r="L206" s="45"/>
      <c r="M206" s="46"/>
      <c r="N206" s="46"/>
      <c r="O206" s="40"/>
      <c r="P206" s="12">
        <f>TABL12345[[#This Row],[خط (S/S  TOT) SAR2]]-TABL12345[[#This Row],[(S/S TOT) AJD]]</f>
        <v>0</v>
      </c>
      <c r="Q206" s="45"/>
      <c r="R206" s="12">
        <f>TABL12345[[#This Row],[خط (T/B  TOT) SAR]]-TABL12345[[#This Row],[(T/B TOT) AJD]]</f>
        <v>0</v>
      </c>
      <c r="S206" s="12">
        <f>TABL12345[[#This Row],[الفرق بين بداية ونهاية خط  S/S]]+TABL12345[[#This Row],[الفرق بين بداية ونهاية خط  T/B]]</f>
        <v>0</v>
      </c>
      <c r="T206" s="12">
        <f t="shared" si="12"/>
        <v>0</v>
      </c>
      <c r="U206" s="44"/>
      <c r="V206" s="44"/>
      <c r="W206" s="12">
        <f t="shared" si="13"/>
        <v>0</v>
      </c>
      <c r="X206" s="12">
        <f t="shared" si="14"/>
        <v>0</v>
      </c>
      <c r="Y206" s="44"/>
      <c r="Z206" s="45"/>
      <c r="AA206" s="3">
        <f>TABL12345[[#This Row],[(RESV. STORGE) AJD]]/10</f>
        <v>0</v>
      </c>
      <c r="AB206" s="45">
        <f t="shared" si="15"/>
        <v>0</v>
      </c>
      <c r="AC206" s="5"/>
      <c r="AD206" s="40">
        <f>(TABL12345[[#This Row],[( S/S+T/B) AJD]]*1000)-((TABL12345[[#This Row],[(STORGE DIFF.) AJD]]*1000)+TABL12345[[#This Row],[البخر  AJD]]+(TABL12345[[#This Row],[(A/B + A/S) AJD]]*1000))</f>
        <v>0</v>
      </c>
      <c r="AE206" s="44"/>
      <c r="AF206" s="45"/>
      <c r="AG206" s="45"/>
      <c r="AH206" s="6">
        <f>TABL12345[[#This Row],[ (RESV. STORGE) BER]]/10</f>
        <v>0</v>
      </c>
      <c r="AI206" s="44"/>
      <c r="AJ206" s="44">
        <f>TABL12345[[#This Row],[(A/B TOT) AJD]]-TABL12345[[#This Row],[BER_ IN]]</f>
        <v>0</v>
      </c>
      <c r="AK206" s="45"/>
      <c r="AL206" s="45"/>
      <c r="AM206" s="32"/>
      <c r="AN206" s="32">
        <f>TABL12345[[#This Row],[ (RESV. STORGE) SER]]/10</f>
        <v>0</v>
      </c>
      <c r="AO206" s="68"/>
      <c r="AP206" s="68">
        <f>TABL12345[[#This Row],[(A/S TOT) AJD]]-TABL12345[[#This Row],[SER_ IN]]</f>
        <v>0</v>
      </c>
    </row>
    <row r="207" spans="1:42" ht="18.75" x14ac:dyDescent="0.25">
      <c r="A207" s="2">
        <v>47324</v>
      </c>
      <c r="B207" s="41"/>
      <c r="C207" s="41"/>
      <c r="D207" s="41"/>
      <c r="E207" s="41"/>
      <c r="F207" s="41"/>
      <c r="G207" s="39"/>
      <c r="H207" s="28"/>
      <c r="I207" s="39"/>
      <c r="J207" s="39"/>
      <c r="K207" s="28">
        <f>TABL12345[[#This Row],[خط (T/B  TOT) SAR]]+TABL12345[[#This Row],[خط (S/S  TOT) SAR2]]</f>
        <v>0</v>
      </c>
      <c r="L207" s="41"/>
      <c r="M207" s="42"/>
      <c r="N207" s="42"/>
      <c r="O207" s="39"/>
      <c r="P207" s="12">
        <f>TABL12345[[#This Row],[خط (S/S  TOT) SAR2]]-TABL12345[[#This Row],[(S/S TOT) AJD]]</f>
        <v>0</v>
      </c>
      <c r="Q207" s="43"/>
      <c r="R207" s="12">
        <f>TABL12345[[#This Row],[خط (T/B  TOT) SAR]]-TABL12345[[#This Row],[(T/B TOT) AJD]]</f>
        <v>0</v>
      </c>
      <c r="S207" s="12">
        <f>TABL12345[[#This Row],[الفرق بين بداية ونهاية خط  S/S]]+TABL12345[[#This Row],[الفرق بين بداية ونهاية خط  T/B]]</f>
        <v>0</v>
      </c>
      <c r="T207" s="12">
        <f t="shared" si="12"/>
        <v>0</v>
      </c>
      <c r="U207" s="41"/>
      <c r="V207" s="41"/>
      <c r="W207" s="12">
        <f t="shared" si="13"/>
        <v>0</v>
      </c>
      <c r="X207" s="12">
        <f t="shared" si="14"/>
        <v>0</v>
      </c>
      <c r="Y207" s="41"/>
      <c r="Z207" s="43"/>
      <c r="AA207" s="3">
        <f>TABL12345[[#This Row],[(RESV. STORGE) AJD]]/10</f>
        <v>0</v>
      </c>
      <c r="AB207" s="43">
        <f t="shared" si="15"/>
        <v>0</v>
      </c>
      <c r="AC207" s="5"/>
      <c r="AD207" s="39">
        <f>(TABL12345[[#This Row],[( S/S+T/B) AJD]]*1000)-((TABL12345[[#This Row],[(STORGE DIFF.) AJD]]*1000)+TABL12345[[#This Row],[البخر  AJD]]+(TABL12345[[#This Row],[(A/B + A/S) AJD]]*1000))</f>
        <v>0</v>
      </c>
      <c r="AE207" s="41"/>
      <c r="AF207" s="43"/>
      <c r="AG207" s="43"/>
      <c r="AH207" s="6">
        <f>TABL12345[[#This Row],[ (RESV. STORGE) BER]]/10</f>
        <v>0</v>
      </c>
      <c r="AI207" s="41"/>
      <c r="AJ207" s="41">
        <f>TABL12345[[#This Row],[(A/B TOT) AJD]]-TABL12345[[#This Row],[BER_ IN]]</f>
        <v>0</v>
      </c>
      <c r="AK207" s="43"/>
      <c r="AL207" s="43"/>
      <c r="AM207" s="32"/>
      <c r="AN207" s="32">
        <f>TABL12345[[#This Row],[ (RESV. STORGE) SER]]/10</f>
        <v>0</v>
      </c>
      <c r="AO207" s="68"/>
      <c r="AP207" s="68">
        <f>TABL12345[[#This Row],[(A/S TOT) AJD]]-TABL12345[[#This Row],[SER_ IN]]</f>
        <v>0</v>
      </c>
    </row>
    <row r="208" spans="1:42" ht="18.75" x14ac:dyDescent="0.25">
      <c r="A208" s="2">
        <v>47325</v>
      </c>
      <c r="B208" s="44"/>
      <c r="C208" s="44"/>
      <c r="D208" s="44"/>
      <c r="E208" s="44"/>
      <c r="F208" s="44"/>
      <c r="G208" s="40"/>
      <c r="H208" s="28"/>
      <c r="I208" s="40"/>
      <c r="J208" s="44"/>
      <c r="K208" s="28">
        <f>TABL12345[[#This Row],[خط (T/B  TOT) SAR]]+TABL12345[[#This Row],[خط (S/S  TOT) SAR2]]</f>
        <v>0</v>
      </c>
      <c r="L208" s="45"/>
      <c r="M208" s="46"/>
      <c r="N208" s="46"/>
      <c r="O208" s="40"/>
      <c r="P208" s="12">
        <f>TABL12345[[#This Row],[خط (S/S  TOT) SAR2]]-TABL12345[[#This Row],[(S/S TOT) AJD]]</f>
        <v>0</v>
      </c>
      <c r="Q208" s="45"/>
      <c r="R208" s="12">
        <f>TABL12345[[#This Row],[خط (T/B  TOT) SAR]]-TABL12345[[#This Row],[(T/B TOT) AJD]]</f>
        <v>0</v>
      </c>
      <c r="S208" s="12">
        <f>TABL12345[[#This Row],[الفرق بين بداية ونهاية خط  S/S]]+TABL12345[[#This Row],[الفرق بين بداية ونهاية خط  T/B]]</f>
        <v>0</v>
      </c>
      <c r="T208" s="12">
        <f t="shared" si="12"/>
        <v>0</v>
      </c>
      <c r="U208" s="44"/>
      <c r="V208" s="44"/>
      <c r="W208" s="12">
        <f t="shared" si="13"/>
        <v>0</v>
      </c>
      <c r="X208" s="12">
        <f t="shared" si="14"/>
        <v>0</v>
      </c>
      <c r="Y208" s="44"/>
      <c r="Z208" s="45"/>
      <c r="AA208" s="3">
        <f>TABL12345[[#This Row],[(RESV. STORGE) AJD]]/10</f>
        <v>0</v>
      </c>
      <c r="AB208" s="45">
        <f t="shared" si="15"/>
        <v>0</v>
      </c>
      <c r="AC208" s="5"/>
      <c r="AD208" s="40">
        <f>(TABL12345[[#This Row],[( S/S+T/B) AJD]]*1000)-((TABL12345[[#This Row],[(STORGE DIFF.) AJD]]*1000)+TABL12345[[#This Row],[البخر  AJD]]+(TABL12345[[#This Row],[(A/B + A/S) AJD]]*1000))</f>
        <v>0</v>
      </c>
      <c r="AE208" s="44"/>
      <c r="AF208" s="45"/>
      <c r="AG208" s="45"/>
      <c r="AH208" s="6">
        <f>TABL12345[[#This Row],[ (RESV. STORGE) BER]]/10</f>
        <v>0</v>
      </c>
      <c r="AI208" s="44"/>
      <c r="AJ208" s="44">
        <f>TABL12345[[#This Row],[(A/B TOT) AJD]]-TABL12345[[#This Row],[BER_ IN]]</f>
        <v>0</v>
      </c>
      <c r="AK208" s="45"/>
      <c r="AL208" s="45"/>
      <c r="AM208" s="32"/>
      <c r="AN208" s="32">
        <f>TABL12345[[#This Row],[ (RESV. STORGE) SER]]/10</f>
        <v>0</v>
      </c>
      <c r="AO208" s="68"/>
      <c r="AP208" s="68">
        <f>TABL12345[[#This Row],[(A/S TOT) AJD]]-TABL12345[[#This Row],[SER_ IN]]</f>
        <v>0</v>
      </c>
    </row>
    <row r="209" spans="1:42" ht="18.75" x14ac:dyDescent="0.25">
      <c r="A209" s="2">
        <v>47326</v>
      </c>
      <c r="B209" s="41"/>
      <c r="C209" s="41"/>
      <c r="D209" s="41"/>
      <c r="E209" s="41"/>
      <c r="F209" s="41"/>
      <c r="G209" s="39"/>
      <c r="H209" s="28"/>
      <c r="I209" s="39"/>
      <c r="J209" s="39"/>
      <c r="K209" s="28">
        <f>TABL12345[[#This Row],[خط (T/B  TOT) SAR]]+TABL12345[[#This Row],[خط (S/S  TOT) SAR2]]</f>
        <v>0</v>
      </c>
      <c r="L209" s="41"/>
      <c r="M209" s="42"/>
      <c r="N209" s="42"/>
      <c r="O209" s="39"/>
      <c r="P209" s="12">
        <f>TABL12345[[#This Row],[خط (S/S  TOT) SAR2]]-TABL12345[[#This Row],[(S/S TOT) AJD]]</f>
        <v>0</v>
      </c>
      <c r="Q209" s="39"/>
      <c r="R209" s="12">
        <f>TABL12345[[#This Row],[خط (T/B  TOT) SAR]]-TABL12345[[#This Row],[(T/B TOT) AJD]]</f>
        <v>0</v>
      </c>
      <c r="S209" s="12">
        <f>TABL12345[[#This Row],[الفرق بين بداية ونهاية خط  S/S]]+TABL12345[[#This Row],[الفرق بين بداية ونهاية خط  T/B]]</f>
        <v>0</v>
      </c>
      <c r="T209" s="12">
        <f t="shared" si="12"/>
        <v>0</v>
      </c>
      <c r="U209" s="41"/>
      <c r="V209" s="41"/>
      <c r="W209" s="12">
        <f t="shared" si="13"/>
        <v>0</v>
      </c>
      <c r="X209" s="12">
        <f t="shared" si="14"/>
        <v>0</v>
      </c>
      <c r="Y209" s="41"/>
      <c r="Z209" s="43"/>
      <c r="AA209" s="3">
        <f>TABL12345[[#This Row],[(RESV. STORGE) AJD]]/10</f>
        <v>0</v>
      </c>
      <c r="AB209" s="43">
        <f t="shared" si="15"/>
        <v>0</v>
      </c>
      <c r="AC209" s="5"/>
      <c r="AD209" s="39">
        <f>(TABL12345[[#This Row],[( S/S+T/B) AJD]]*1000)-((TABL12345[[#This Row],[(STORGE DIFF.) AJD]]*1000)+TABL12345[[#This Row],[البخر  AJD]]+(TABL12345[[#This Row],[(A/B + A/S) AJD]]*1000))</f>
        <v>0</v>
      </c>
      <c r="AE209" s="41"/>
      <c r="AF209" s="43"/>
      <c r="AG209" s="43"/>
      <c r="AH209" s="6">
        <f>TABL12345[[#This Row],[ (RESV. STORGE) BER]]/10</f>
        <v>0</v>
      </c>
      <c r="AI209" s="41"/>
      <c r="AJ209" s="41">
        <f>TABL12345[[#This Row],[(A/B TOT) AJD]]-TABL12345[[#This Row],[BER_ IN]]</f>
        <v>0</v>
      </c>
      <c r="AK209" s="43"/>
      <c r="AL209" s="43"/>
      <c r="AM209" s="32"/>
      <c r="AN209" s="32">
        <f>TABL12345[[#This Row],[ (RESV. STORGE) SER]]/10</f>
        <v>0</v>
      </c>
      <c r="AO209" s="68"/>
      <c r="AP209" s="68">
        <f>TABL12345[[#This Row],[(A/S TOT) AJD]]-TABL12345[[#This Row],[SER_ IN]]</f>
        <v>0</v>
      </c>
    </row>
    <row r="210" spans="1:42" ht="18.75" x14ac:dyDescent="0.25">
      <c r="A210" s="2">
        <v>47327</v>
      </c>
      <c r="B210" s="44"/>
      <c r="C210" s="44"/>
      <c r="D210" s="44"/>
      <c r="E210" s="44"/>
      <c r="F210" s="44"/>
      <c r="G210" s="40"/>
      <c r="H210" s="28"/>
      <c r="I210" s="40"/>
      <c r="J210" s="44"/>
      <c r="K210" s="28">
        <f>TABL12345[[#This Row],[خط (T/B  TOT) SAR]]+TABL12345[[#This Row],[خط (S/S  TOT) SAR2]]</f>
        <v>0</v>
      </c>
      <c r="L210" s="45"/>
      <c r="M210" s="46"/>
      <c r="N210" s="46"/>
      <c r="O210" s="40"/>
      <c r="P210" s="12">
        <f>TABL12345[[#This Row],[خط (S/S  TOT) SAR2]]-TABL12345[[#This Row],[(S/S TOT) AJD]]</f>
        <v>0</v>
      </c>
      <c r="Q210" s="40"/>
      <c r="R210" s="12">
        <f>TABL12345[[#This Row],[خط (T/B  TOT) SAR]]-TABL12345[[#This Row],[(T/B TOT) AJD]]</f>
        <v>0</v>
      </c>
      <c r="S210" s="12">
        <f>TABL12345[[#This Row],[الفرق بين بداية ونهاية خط  S/S]]+TABL12345[[#This Row],[الفرق بين بداية ونهاية خط  T/B]]</f>
        <v>0</v>
      </c>
      <c r="T210" s="12">
        <f t="shared" si="12"/>
        <v>0</v>
      </c>
      <c r="U210" s="44"/>
      <c r="V210" s="44"/>
      <c r="W210" s="12">
        <f t="shared" si="13"/>
        <v>0</v>
      </c>
      <c r="X210" s="12">
        <f t="shared" si="14"/>
        <v>0</v>
      </c>
      <c r="Y210" s="44"/>
      <c r="Z210" s="45"/>
      <c r="AA210" s="3">
        <f>TABL12345[[#This Row],[(RESV. STORGE) AJD]]/10</f>
        <v>0</v>
      </c>
      <c r="AB210" s="45">
        <f t="shared" si="15"/>
        <v>0</v>
      </c>
      <c r="AC210" s="5"/>
      <c r="AD210" s="40">
        <f>(TABL12345[[#This Row],[( S/S+T/B) AJD]]*1000)-((TABL12345[[#This Row],[(STORGE DIFF.) AJD]]*1000)+TABL12345[[#This Row],[البخر  AJD]]+(TABL12345[[#This Row],[(A/B + A/S) AJD]]*1000))</f>
        <v>0</v>
      </c>
      <c r="AE210" s="44"/>
      <c r="AF210" s="45"/>
      <c r="AG210" s="45"/>
      <c r="AH210" s="6">
        <f>TABL12345[[#This Row],[ (RESV. STORGE) BER]]/10</f>
        <v>0</v>
      </c>
      <c r="AI210" s="44"/>
      <c r="AJ210" s="44">
        <f>TABL12345[[#This Row],[(A/B TOT) AJD]]-TABL12345[[#This Row],[BER_ IN]]</f>
        <v>0</v>
      </c>
      <c r="AK210" s="45"/>
      <c r="AL210" s="45"/>
      <c r="AM210" s="32"/>
      <c r="AN210" s="32">
        <f>TABL12345[[#This Row],[ (RESV. STORGE) SER]]/10</f>
        <v>0</v>
      </c>
      <c r="AO210" s="68"/>
      <c r="AP210" s="68">
        <f>TABL12345[[#This Row],[(A/S TOT) AJD]]-TABL12345[[#This Row],[SER_ IN]]</f>
        <v>0</v>
      </c>
    </row>
    <row r="211" spans="1:42" ht="18.75" x14ac:dyDescent="0.25">
      <c r="A211" s="2">
        <v>47328</v>
      </c>
      <c r="B211" s="41"/>
      <c r="C211" s="41"/>
      <c r="D211" s="41"/>
      <c r="E211" s="41"/>
      <c r="F211" s="41"/>
      <c r="G211" s="39"/>
      <c r="H211" s="28"/>
      <c r="I211" s="39"/>
      <c r="J211" s="39"/>
      <c r="K211" s="28">
        <f>TABL12345[[#This Row],[خط (T/B  TOT) SAR]]+TABL12345[[#This Row],[خط (S/S  TOT) SAR2]]</f>
        <v>0</v>
      </c>
      <c r="L211" s="41"/>
      <c r="M211" s="42"/>
      <c r="N211" s="42"/>
      <c r="O211" s="39"/>
      <c r="P211" s="12">
        <f>TABL12345[[#This Row],[خط (S/S  TOT) SAR2]]-TABL12345[[#This Row],[(S/S TOT) AJD]]</f>
        <v>0</v>
      </c>
      <c r="Q211" s="39"/>
      <c r="R211" s="12">
        <f>TABL12345[[#This Row],[خط (T/B  TOT) SAR]]-TABL12345[[#This Row],[(T/B TOT) AJD]]</f>
        <v>0</v>
      </c>
      <c r="S211" s="12">
        <f>TABL12345[[#This Row],[الفرق بين بداية ونهاية خط  S/S]]+TABL12345[[#This Row],[الفرق بين بداية ونهاية خط  T/B]]</f>
        <v>0</v>
      </c>
      <c r="T211" s="12">
        <f t="shared" si="12"/>
        <v>0</v>
      </c>
      <c r="U211" s="41"/>
      <c r="V211" s="41"/>
      <c r="W211" s="12">
        <f t="shared" si="13"/>
        <v>0</v>
      </c>
      <c r="X211" s="12">
        <f t="shared" si="14"/>
        <v>0</v>
      </c>
      <c r="Y211" s="41"/>
      <c r="Z211" s="43"/>
      <c r="AA211" s="3">
        <f>TABL12345[[#This Row],[(RESV. STORGE) AJD]]/10</f>
        <v>0</v>
      </c>
      <c r="AB211" s="43">
        <f t="shared" si="15"/>
        <v>0</v>
      </c>
      <c r="AC211" s="5"/>
      <c r="AD211" s="39">
        <f>(TABL12345[[#This Row],[( S/S+T/B) AJD]]*1000)-((TABL12345[[#This Row],[(STORGE DIFF.) AJD]]*1000)+TABL12345[[#This Row],[البخر  AJD]]+(TABL12345[[#This Row],[(A/B + A/S) AJD]]*1000))</f>
        <v>0</v>
      </c>
      <c r="AE211" s="41"/>
      <c r="AF211" s="43"/>
      <c r="AG211" s="43"/>
      <c r="AH211" s="6">
        <f>TABL12345[[#This Row],[ (RESV. STORGE) BER]]/10</f>
        <v>0</v>
      </c>
      <c r="AI211" s="41"/>
      <c r="AJ211" s="41">
        <f>TABL12345[[#This Row],[(A/B TOT) AJD]]-TABL12345[[#This Row],[BER_ IN]]</f>
        <v>0</v>
      </c>
      <c r="AK211" s="43"/>
      <c r="AL211" s="43"/>
      <c r="AM211" s="32"/>
      <c r="AN211" s="32">
        <f>TABL12345[[#This Row],[ (RESV. STORGE) SER]]/10</f>
        <v>0</v>
      </c>
      <c r="AO211" s="68"/>
      <c r="AP211" s="68">
        <f>TABL12345[[#This Row],[(A/S TOT) AJD]]-TABL12345[[#This Row],[SER_ IN]]</f>
        <v>0</v>
      </c>
    </row>
    <row r="212" spans="1:42" ht="18.75" x14ac:dyDescent="0.25">
      <c r="A212" s="2">
        <v>47329</v>
      </c>
      <c r="B212" s="44"/>
      <c r="C212" s="44"/>
      <c r="D212" s="44"/>
      <c r="E212" s="44"/>
      <c r="F212" s="44"/>
      <c r="G212" s="40"/>
      <c r="H212" s="28"/>
      <c r="I212" s="40"/>
      <c r="J212" s="44"/>
      <c r="K212" s="28">
        <f>TABL12345[[#This Row],[خط (T/B  TOT) SAR]]+TABL12345[[#This Row],[خط (S/S  TOT) SAR2]]</f>
        <v>0</v>
      </c>
      <c r="L212" s="45"/>
      <c r="M212" s="46"/>
      <c r="N212" s="46"/>
      <c r="O212" s="40"/>
      <c r="P212" s="12">
        <f>TABL12345[[#This Row],[خط (S/S  TOT) SAR2]]-TABL12345[[#This Row],[(S/S TOT) AJD]]</f>
        <v>0</v>
      </c>
      <c r="Q212" s="40"/>
      <c r="R212" s="12">
        <f>TABL12345[[#This Row],[خط (T/B  TOT) SAR]]-TABL12345[[#This Row],[(T/B TOT) AJD]]</f>
        <v>0</v>
      </c>
      <c r="S212" s="12">
        <f>TABL12345[[#This Row],[الفرق بين بداية ونهاية خط  S/S]]+TABL12345[[#This Row],[الفرق بين بداية ونهاية خط  T/B]]</f>
        <v>0</v>
      </c>
      <c r="T212" s="12">
        <f t="shared" si="12"/>
        <v>0</v>
      </c>
      <c r="U212" s="44"/>
      <c r="V212" s="44"/>
      <c r="W212" s="12">
        <f t="shared" si="13"/>
        <v>0</v>
      </c>
      <c r="X212" s="12">
        <f t="shared" si="14"/>
        <v>0</v>
      </c>
      <c r="Y212" s="44"/>
      <c r="Z212" s="45"/>
      <c r="AA212" s="3">
        <f>TABL12345[[#This Row],[(RESV. STORGE) AJD]]/10</f>
        <v>0</v>
      </c>
      <c r="AB212" s="45">
        <f t="shared" si="15"/>
        <v>0</v>
      </c>
      <c r="AC212" s="5"/>
      <c r="AD212" s="70">
        <f>(TABL12345[[#This Row],[( S/S+T/B) AJD]]*1000)-((TABL12345[[#This Row],[(STORGE DIFF.) AJD]]*1000)+TABL12345[[#This Row],[البخر  AJD]]+(TABL12345[[#This Row],[(A/B + A/S) AJD]]*1000))</f>
        <v>0</v>
      </c>
      <c r="AE212" s="44"/>
      <c r="AF212" s="45"/>
      <c r="AG212" s="45"/>
      <c r="AH212" s="6">
        <f>TABL12345[[#This Row],[ (RESV. STORGE) BER]]/10</f>
        <v>0</v>
      </c>
      <c r="AI212" s="44"/>
      <c r="AJ212" s="67">
        <f>TABL12345[[#This Row],[(A/B TOT) AJD]]-TABL12345[[#This Row],[BER_ IN]]</f>
        <v>0</v>
      </c>
      <c r="AK212" s="45"/>
      <c r="AL212" s="45"/>
      <c r="AM212" s="32"/>
      <c r="AN212" s="32">
        <f>TABL12345[[#This Row],[ (RESV. STORGE) SER]]/10</f>
        <v>0</v>
      </c>
      <c r="AO212" s="68"/>
      <c r="AP212" s="68">
        <f>TABL12345[[#This Row],[(A/S TOT) AJD]]-TABL12345[[#This Row],[SER_ IN]]</f>
        <v>0</v>
      </c>
    </row>
    <row r="213" spans="1:42" ht="18.75" x14ac:dyDescent="0.25">
      <c r="A213" s="2">
        <v>47330</v>
      </c>
      <c r="B213" s="41"/>
      <c r="C213" s="41"/>
      <c r="D213" s="41"/>
      <c r="E213" s="41"/>
      <c r="F213" s="41"/>
      <c r="G213" s="39"/>
      <c r="H213" s="28"/>
      <c r="I213" s="39"/>
      <c r="J213" s="39"/>
      <c r="K213" s="28">
        <f>TABL12345[[#This Row],[خط (T/B  TOT) SAR]]+TABL12345[[#This Row],[خط (S/S  TOT) SAR2]]</f>
        <v>0</v>
      </c>
      <c r="L213" s="41"/>
      <c r="M213" s="42"/>
      <c r="N213" s="42"/>
      <c r="O213" s="39"/>
      <c r="P213" s="12">
        <f>TABL12345[[#This Row],[خط (S/S  TOT) SAR2]]-TABL12345[[#This Row],[(S/S TOT) AJD]]</f>
        <v>0</v>
      </c>
      <c r="Q213" s="39"/>
      <c r="R213" s="12">
        <f>TABL12345[[#This Row],[خط (T/B  TOT) SAR]]-TABL12345[[#This Row],[(T/B TOT) AJD]]</f>
        <v>0</v>
      </c>
      <c r="S213" s="12">
        <f>TABL12345[[#This Row],[الفرق بين بداية ونهاية خط  S/S]]+TABL12345[[#This Row],[الفرق بين بداية ونهاية خط  T/B]]</f>
        <v>0</v>
      </c>
      <c r="T213" s="12">
        <f t="shared" si="12"/>
        <v>0</v>
      </c>
      <c r="U213" s="41"/>
      <c r="V213" s="41"/>
      <c r="W213" s="12">
        <f t="shared" si="13"/>
        <v>0</v>
      </c>
      <c r="X213" s="12">
        <f t="shared" si="14"/>
        <v>0</v>
      </c>
      <c r="Y213" s="41"/>
      <c r="Z213" s="43"/>
      <c r="AA213" s="3">
        <f>TABL12345[[#This Row],[(RESV. STORGE) AJD]]/10</f>
        <v>0</v>
      </c>
      <c r="AB213" s="43">
        <f t="shared" si="15"/>
        <v>0</v>
      </c>
      <c r="AC213" s="5"/>
      <c r="AD213" s="39">
        <f>(TABL12345[[#This Row],[( S/S+T/B) AJD]]*1000)-((TABL12345[[#This Row],[(STORGE DIFF.) AJD]]*1000)+TABL12345[[#This Row],[البخر  AJD]]+(TABL12345[[#This Row],[(A/B + A/S) AJD]]*1000))</f>
        <v>0</v>
      </c>
      <c r="AE213" s="41"/>
      <c r="AF213" s="43"/>
      <c r="AG213" s="43"/>
      <c r="AH213" s="6">
        <f>TABL12345[[#This Row],[ (RESV. STORGE) BER]]/10</f>
        <v>0</v>
      </c>
      <c r="AI213" s="41"/>
      <c r="AJ213" s="41">
        <f>TABL12345[[#This Row],[(A/B TOT) AJD]]-TABL12345[[#This Row],[BER_ IN]]</f>
        <v>0</v>
      </c>
      <c r="AK213" s="43"/>
      <c r="AL213" s="43"/>
      <c r="AM213" s="32"/>
      <c r="AN213" s="32">
        <f>TABL12345[[#This Row],[ (RESV. STORGE) SER]]/10</f>
        <v>0</v>
      </c>
      <c r="AO213" s="68"/>
      <c r="AP213" s="68">
        <f>TABL12345[[#This Row],[(A/S TOT) AJD]]-TABL12345[[#This Row],[SER_ IN]]</f>
        <v>0</v>
      </c>
    </row>
    <row r="214" spans="1:42" ht="18.75" x14ac:dyDescent="0.25">
      <c r="A214" s="2">
        <v>47331</v>
      </c>
      <c r="B214" s="41"/>
      <c r="C214" s="41"/>
      <c r="D214" s="41"/>
      <c r="E214" s="28"/>
      <c r="F214" s="41"/>
      <c r="G214" s="39"/>
      <c r="H214" s="28"/>
      <c r="I214" s="39"/>
      <c r="J214" s="39"/>
      <c r="K214" s="28">
        <f>TABL12345[[#This Row],[خط (T/B  TOT) SAR]]+TABL12345[[#This Row],[خط (S/S  TOT) SAR2]]</f>
        <v>0</v>
      </c>
      <c r="L214" s="41"/>
      <c r="M214" s="42"/>
      <c r="N214" s="42"/>
      <c r="O214" s="39"/>
      <c r="P214" s="3">
        <f>TABL12345[[#This Row],[خط (S/S  TOT) SAR2]]-TABL12345[[#This Row],[(S/S TOT) AJD]]</f>
        <v>0</v>
      </c>
      <c r="Q214" s="39"/>
      <c r="R214" s="3">
        <f>TABL12345[[#This Row],[خط (T/B  TOT) SAR]]-TABL12345[[#This Row],[(T/B TOT) AJD]]</f>
        <v>0</v>
      </c>
      <c r="S214" s="3">
        <f>TABL12345[[#This Row],[الفرق بين بداية ونهاية خط  S/S]]+TABL12345[[#This Row],[الفرق بين بداية ونهاية خط  T/B]]</f>
        <v>0</v>
      </c>
      <c r="T214" s="3">
        <f t="shared" si="12"/>
        <v>0</v>
      </c>
      <c r="U214" s="41"/>
      <c r="V214" s="41"/>
      <c r="W214" s="3">
        <f t="shared" si="13"/>
        <v>0</v>
      </c>
      <c r="X214" s="3">
        <f t="shared" si="14"/>
        <v>0</v>
      </c>
      <c r="Y214" s="41"/>
      <c r="Z214" s="43"/>
      <c r="AA214" s="3">
        <f>TABL12345[[#This Row],[(RESV. STORGE) AJD]]/10</f>
        <v>0</v>
      </c>
      <c r="AB214" s="43">
        <f t="shared" si="15"/>
        <v>0</v>
      </c>
      <c r="AC214" s="5"/>
      <c r="AD214" s="39">
        <f>(TABL12345[[#This Row],[( S/S+T/B) AJD]]*1000)-((TABL12345[[#This Row],[(STORGE DIFF.) AJD]]*1000)+TABL12345[[#This Row],[البخر  AJD]]+(TABL12345[[#This Row],[(A/B + A/S) AJD]]*1000))</f>
        <v>0</v>
      </c>
      <c r="AE214" s="41"/>
      <c r="AF214" s="43"/>
      <c r="AG214" s="43"/>
      <c r="AH214" s="6">
        <f>TABL12345[[#This Row],[ (RESV. STORGE) BER]]/10</f>
        <v>0</v>
      </c>
      <c r="AI214" s="41"/>
      <c r="AJ214" s="41">
        <f>TABL12345[[#This Row],[(A/B TOT) AJD]]-TABL12345[[#This Row],[BER_ IN]]</f>
        <v>0</v>
      </c>
      <c r="AK214" s="43"/>
      <c r="AL214" s="43"/>
      <c r="AM214" s="32"/>
      <c r="AN214" s="32">
        <f>TABL12345[[#This Row],[ (RESV. STORGE) SER]]/10</f>
        <v>0</v>
      </c>
      <c r="AO214" s="68"/>
      <c r="AP214" s="68">
        <f>TABL12345[[#This Row],[(A/S TOT) AJD]]-TABL12345[[#This Row],[SER_ IN]]</f>
        <v>0</v>
      </c>
    </row>
    <row r="215" spans="1:42" ht="18.75" x14ac:dyDescent="0.25">
      <c r="A215" s="2">
        <v>47332</v>
      </c>
      <c r="B215" s="44"/>
      <c r="C215" s="44"/>
      <c r="D215" s="44"/>
      <c r="E215" s="28"/>
      <c r="F215" s="44"/>
      <c r="G215" s="40"/>
      <c r="H215" s="28"/>
      <c r="I215" s="40"/>
      <c r="J215" s="44"/>
      <c r="K215" s="28">
        <f>TABL12345[[#This Row],[خط (T/B  TOT) SAR]]+TABL12345[[#This Row],[خط (S/S  TOT) SAR2]]</f>
        <v>0</v>
      </c>
      <c r="L215" s="45"/>
      <c r="M215" s="46"/>
      <c r="N215" s="46"/>
      <c r="O215" s="40"/>
      <c r="P215" s="3">
        <f>TABL12345[[#This Row],[خط (S/S  TOT) SAR2]]-TABL12345[[#This Row],[(S/S TOT) AJD]]</f>
        <v>0</v>
      </c>
      <c r="Q215" s="40"/>
      <c r="R215" s="3">
        <f>TABL12345[[#This Row],[خط (T/B  TOT) SAR]]-TABL12345[[#This Row],[(T/B TOT) AJD]]</f>
        <v>0</v>
      </c>
      <c r="S215" s="3">
        <f>TABL12345[[#This Row],[الفرق بين بداية ونهاية خط  S/S]]+TABL12345[[#This Row],[الفرق بين بداية ونهاية خط  T/B]]</f>
        <v>0</v>
      </c>
      <c r="T215" s="3">
        <f t="shared" si="12"/>
        <v>0</v>
      </c>
      <c r="U215" s="44"/>
      <c r="V215" s="44"/>
      <c r="W215" s="3">
        <f t="shared" si="13"/>
        <v>0</v>
      </c>
      <c r="X215" s="3">
        <f t="shared" si="14"/>
        <v>0</v>
      </c>
      <c r="Y215" s="44"/>
      <c r="Z215" s="45"/>
      <c r="AA215" s="3">
        <f>TABL12345[[#This Row],[(RESV. STORGE) AJD]]/10</f>
        <v>0</v>
      </c>
      <c r="AB215" s="45">
        <f t="shared" si="15"/>
        <v>0</v>
      </c>
      <c r="AC215" s="5"/>
      <c r="AD215" s="40">
        <f>(TABL12345[[#This Row],[( S/S+T/B) AJD]]*1000)-((TABL12345[[#This Row],[(STORGE DIFF.) AJD]]*1000)+TABL12345[[#This Row],[البخر  AJD]]+(TABL12345[[#This Row],[(A/B + A/S) AJD]]*1000))</f>
        <v>0</v>
      </c>
      <c r="AE215" s="44"/>
      <c r="AF215" s="45"/>
      <c r="AG215" s="45"/>
      <c r="AH215" s="6">
        <f>TABL12345[[#This Row],[ (RESV. STORGE) BER]]/10</f>
        <v>0</v>
      </c>
      <c r="AI215" s="44"/>
      <c r="AJ215" s="44">
        <f>TABL12345[[#This Row],[(A/B TOT) AJD]]-TABL12345[[#This Row],[BER_ IN]]</f>
        <v>0</v>
      </c>
      <c r="AK215" s="45"/>
      <c r="AL215" s="45"/>
      <c r="AM215" s="32"/>
      <c r="AN215" s="32">
        <f>TABL12345[[#This Row],[ (RESV. STORGE) SER]]/10</f>
        <v>0</v>
      </c>
      <c r="AO215" s="68"/>
      <c r="AP215" s="68">
        <f>TABL12345[[#This Row],[(A/S TOT) AJD]]-TABL12345[[#This Row],[SER_ IN]]</f>
        <v>0</v>
      </c>
    </row>
    <row r="216" spans="1:42" ht="18.75" x14ac:dyDescent="0.25">
      <c r="A216" s="2">
        <v>47333</v>
      </c>
      <c r="B216" s="41"/>
      <c r="C216" s="41"/>
      <c r="D216" s="41"/>
      <c r="E216" s="28"/>
      <c r="F216" s="41"/>
      <c r="G216" s="39"/>
      <c r="H216" s="28"/>
      <c r="I216" s="39"/>
      <c r="J216" s="39"/>
      <c r="K216" s="28">
        <f>TABL12345[[#This Row],[خط (T/B  TOT) SAR]]+TABL12345[[#This Row],[خط (S/S  TOT) SAR2]]</f>
        <v>0</v>
      </c>
      <c r="L216" s="41"/>
      <c r="M216" s="42"/>
      <c r="N216" s="42"/>
      <c r="O216" s="39"/>
      <c r="P216" s="3">
        <f>TABL12345[[#This Row],[خط (S/S  TOT) SAR2]]-TABL12345[[#This Row],[(S/S TOT) AJD]]</f>
        <v>0</v>
      </c>
      <c r="Q216" s="39"/>
      <c r="R216" s="3">
        <f>TABL12345[[#This Row],[خط (T/B  TOT) SAR]]-TABL12345[[#This Row],[(T/B TOT) AJD]]</f>
        <v>0</v>
      </c>
      <c r="S216" s="3">
        <f>TABL12345[[#This Row],[الفرق بين بداية ونهاية خط  S/S]]+TABL12345[[#This Row],[الفرق بين بداية ونهاية خط  T/B]]</f>
        <v>0</v>
      </c>
      <c r="T216" s="3">
        <f t="shared" si="12"/>
        <v>0</v>
      </c>
      <c r="U216" s="41"/>
      <c r="V216" s="41"/>
      <c r="W216" s="3">
        <f t="shared" si="13"/>
        <v>0</v>
      </c>
      <c r="X216" s="3">
        <f t="shared" si="14"/>
        <v>0</v>
      </c>
      <c r="Y216" s="41"/>
      <c r="Z216" s="43"/>
      <c r="AA216" s="3">
        <f>TABL12345[[#This Row],[(RESV. STORGE) AJD]]/10</f>
        <v>0</v>
      </c>
      <c r="AB216" s="43">
        <f t="shared" si="15"/>
        <v>0</v>
      </c>
      <c r="AC216" s="5"/>
      <c r="AD216" s="39">
        <f>(TABL12345[[#This Row],[( S/S+T/B) AJD]]*1000)-((TABL12345[[#This Row],[(STORGE DIFF.) AJD]]*1000)+TABL12345[[#This Row],[البخر  AJD]]+(TABL12345[[#This Row],[(A/B + A/S) AJD]]*1000))</f>
        <v>0</v>
      </c>
      <c r="AE216" s="41"/>
      <c r="AF216" s="43"/>
      <c r="AG216" s="43"/>
      <c r="AH216" s="6">
        <f>TABL12345[[#This Row],[ (RESV. STORGE) BER]]/10</f>
        <v>0</v>
      </c>
      <c r="AI216" s="41"/>
      <c r="AJ216" s="41">
        <f>TABL12345[[#This Row],[(A/B TOT) AJD]]-TABL12345[[#This Row],[BER_ IN]]</f>
        <v>0</v>
      </c>
      <c r="AK216" s="43"/>
      <c r="AL216" s="43"/>
      <c r="AM216" s="32"/>
      <c r="AN216" s="32">
        <f>TABL12345[[#This Row],[ (RESV. STORGE) SER]]/10</f>
        <v>0</v>
      </c>
      <c r="AO216" s="68"/>
      <c r="AP216" s="68">
        <f>TABL12345[[#This Row],[(A/S TOT) AJD]]-TABL12345[[#This Row],[SER_ IN]]</f>
        <v>0</v>
      </c>
    </row>
    <row r="217" spans="1:42" ht="18.75" x14ac:dyDescent="0.25">
      <c r="A217" s="2">
        <v>47334</v>
      </c>
      <c r="B217" s="44"/>
      <c r="C217" s="44"/>
      <c r="D217" s="44"/>
      <c r="E217" s="28"/>
      <c r="F217" s="44"/>
      <c r="G217" s="40"/>
      <c r="H217" s="28"/>
      <c r="I217" s="40"/>
      <c r="J217" s="44"/>
      <c r="K217" s="28">
        <f>TABL12345[[#This Row],[خط (T/B  TOT) SAR]]+TABL12345[[#This Row],[خط (S/S  TOT) SAR2]]</f>
        <v>0</v>
      </c>
      <c r="L217" s="45"/>
      <c r="M217" s="46"/>
      <c r="N217" s="46"/>
      <c r="O217" s="40"/>
      <c r="P217" s="3">
        <f>TABL12345[[#This Row],[خط (S/S  TOT) SAR2]]-TABL12345[[#This Row],[(S/S TOT) AJD]]</f>
        <v>0</v>
      </c>
      <c r="Q217" s="40"/>
      <c r="R217" s="3">
        <f>TABL12345[[#This Row],[خط (T/B  TOT) SAR]]-TABL12345[[#This Row],[(T/B TOT) AJD]]</f>
        <v>0</v>
      </c>
      <c r="S217" s="3">
        <f>TABL12345[[#This Row],[الفرق بين بداية ونهاية خط  S/S]]+TABL12345[[#This Row],[الفرق بين بداية ونهاية خط  T/B]]</f>
        <v>0</v>
      </c>
      <c r="T217" s="3">
        <f t="shared" si="12"/>
        <v>0</v>
      </c>
      <c r="U217" s="44"/>
      <c r="V217" s="44"/>
      <c r="W217" s="3">
        <f t="shared" si="13"/>
        <v>0</v>
      </c>
      <c r="X217" s="3">
        <f t="shared" si="14"/>
        <v>0</v>
      </c>
      <c r="Y217" s="44"/>
      <c r="Z217" s="45"/>
      <c r="AA217" s="3">
        <f>TABL12345[[#This Row],[(RESV. STORGE) AJD]]/10</f>
        <v>0</v>
      </c>
      <c r="AB217" s="45">
        <f t="shared" si="15"/>
        <v>0</v>
      </c>
      <c r="AC217" s="5"/>
      <c r="AD217" s="40">
        <f>(TABL12345[[#This Row],[( S/S+T/B) AJD]]*1000)-((TABL12345[[#This Row],[(STORGE DIFF.) AJD]]*1000)+TABL12345[[#This Row],[البخر  AJD]]+(TABL12345[[#This Row],[(A/B + A/S) AJD]]*1000))</f>
        <v>0</v>
      </c>
      <c r="AE217" s="44"/>
      <c r="AF217" s="45"/>
      <c r="AG217" s="45"/>
      <c r="AH217" s="6">
        <f>TABL12345[[#This Row],[ (RESV. STORGE) BER]]/10</f>
        <v>0</v>
      </c>
      <c r="AI217" s="44"/>
      <c r="AJ217" s="44">
        <f>TABL12345[[#This Row],[(A/B TOT) AJD]]-TABL12345[[#This Row],[BER_ IN]]</f>
        <v>0</v>
      </c>
      <c r="AK217" s="45"/>
      <c r="AL217" s="45"/>
      <c r="AM217" s="32"/>
      <c r="AN217" s="32">
        <f>TABL12345[[#This Row],[ (RESV. STORGE) SER]]/10</f>
        <v>0</v>
      </c>
      <c r="AO217" s="68"/>
      <c r="AP217" s="68">
        <f>TABL12345[[#This Row],[(A/S TOT) AJD]]-TABL12345[[#This Row],[SER_ IN]]</f>
        <v>0</v>
      </c>
    </row>
    <row r="218" spans="1:42" ht="18.75" x14ac:dyDescent="0.25">
      <c r="A218" s="2">
        <v>47335</v>
      </c>
      <c r="B218" s="41"/>
      <c r="C218" s="41"/>
      <c r="D218" s="41"/>
      <c r="E218" s="28"/>
      <c r="F218" s="41"/>
      <c r="G218" s="39"/>
      <c r="H218" s="28"/>
      <c r="I218" s="39"/>
      <c r="J218" s="39"/>
      <c r="K218" s="28">
        <f>TABL12345[[#This Row],[خط (T/B  TOT) SAR]]+TABL12345[[#This Row],[خط (S/S  TOT) SAR2]]</f>
        <v>0</v>
      </c>
      <c r="L218" s="41"/>
      <c r="M218" s="42"/>
      <c r="N218" s="42"/>
      <c r="O218" s="39"/>
      <c r="P218" s="3">
        <f>TABL12345[[#This Row],[خط (S/S  TOT) SAR2]]-TABL12345[[#This Row],[(S/S TOT) AJD]]</f>
        <v>0</v>
      </c>
      <c r="Q218" s="39"/>
      <c r="R218" s="3">
        <f>TABL12345[[#This Row],[خط (T/B  TOT) SAR]]-TABL12345[[#This Row],[(T/B TOT) AJD]]</f>
        <v>0</v>
      </c>
      <c r="S218" s="3">
        <f>TABL12345[[#This Row],[الفرق بين بداية ونهاية خط  S/S]]+TABL12345[[#This Row],[الفرق بين بداية ونهاية خط  T/B]]</f>
        <v>0</v>
      </c>
      <c r="T218" s="3">
        <f t="shared" si="12"/>
        <v>0</v>
      </c>
      <c r="U218" s="41"/>
      <c r="V218" s="41"/>
      <c r="W218" s="3">
        <f t="shared" si="13"/>
        <v>0</v>
      </c>
      <c r="X218" s="3">
        <f t="shared" si="14"/>
        <v>0</v>
      </c>
      <c r="Y218" s="41"/>
      <c r="Z218" s="43"/>
      <c r="AA218" s="3">
        <f>TABL12345[[#This Row],[(RESV. STORGE) AJD]]/10</f>
        <v>0</v>
      </c>
      <c r="AB218" s="43">
        <f t="shared" si="15"/>
        <v>0</v>
      </c>
      <c r="AC218" s="5"/>
      <c r="AD218" s="39">
        <f>(TABL12345[[#This Row],[( S/S+T/B) AJD]]*1000)-((TABL12345[[#This Row],[(STORGE DIFF.) AJD]]*1000)+TABL12345[[#This Row],[البخر  AJD]]+(TABL12345[[#This Row],[(A/B + A/S) AJD]]*1000))</f>
        <v>0</v>
      </c>
      <c r="AE218" s="41"/>
      <c r="AF218" s="43"/>
      <c r="AG218" s="43"/>
      <c r="AH218" s="6">
        <f>TABL12345[[#This Row],[ (RESV. STORGE) BER]]/10</f>
        <v>0</v>
      </c>
      <c r="AI218" s="41"/>
      <c r="AJ218" s="41">
        <f>TABL12345[[#This Row],[(A/B TOT) AJD]]-TABL12345[[#This Row],[BER_ IN]]</f>
        <v>0</v>
      </c>
      <c r="AK218" s="43"/>
      <c r="AL218" s="43"/>
      <c r="AM218" s="32"/>
      <c r="AN218" s="32">
        <f>TABL12345[[#This Row],[ (RESV. STORGE) SER]]/10</f>
        <v>0</v>
      </c>
      <c r="AO218" s="68"/>
      <c r="AP218" s="68">
        <f>TABL12345[[#This Row],[(A/S TOT) AJD]]-TABL12345[[#This Row],[SER_ IN]]</f>
        <v>0</v>
      </c>
    </row>
    <row r="219" spans="1:42" ht="18.75" x14ac:dyDescent="0.25">
      <c r="A219" s="2">
        <v>47336</v>
      </c>
      <c r="B219" s="44"/>
      <c r="C219" s="44"/>
      <c r="D219" s="44"/>
      <c r="E219" s="28"/>
      <c r="F219" s="44"/>
      <c r="G219" s="40"/>
      <c r="H219" s="28"/>
      <c r="I219" s="40"/>
      <c r="J219" s="44"/>
      <c r="K219" s="28">
        <f>TABL12345[[#This Row],[خط (T/B  TOT) SAR]]+TABL12345[[#This Row],[خط (S/S  TOT) SAR2]]</f>
        <v>0</v>
      </c>
      <c r="L219" s="45"/>
      <c r="M219" s="46"/>
      <c r="N219" s="46"/>
      <c r="O219" s="40"/>
      <c r="P219" s="3">
        <f>TABL12345[[#This Row],[خط (S/S  TOT) SAR2]]-TABL12345[[#This Row],[(S/S TOT) AJD]]</f>
        <v>0</v>
      </c>
      <c r="Q219" s="40"/>
      <c r="R219" s="3">
        <f>TABL12345[[#This Row],[خط (T/B  TOT) SAR]]-TABL12345[[#This Row],[(T/B TOT) AJD]]</f>
        <v>0</v>
      </c>
      <c r="S219" s="3">
        <f>TABL12345[[#This Row],[الفرق بين بداية ونهاية خط  S/S]]+TABL12345[[#This Row],[الفرق بين بداية ونهاية خط  T/B]]</f>
        <v>0</v>
      </c>
      <c r="T219" s="3">
        <f t="shared" si="12"/>
        <v>0</v>
      </c>
      <c r="U219" s="44"/>
      <c r="V219" s="44"/>
      <c r="W219" s="3">
        <f t="shared" si="13"/>
        <v>0</v>
      </c>
      <c r="X219" s="3">
        <f t="shared" si="14"/>
        <v>0</v>
      </c>
      <c r="Y219" s="44"/>
      <c r="Z219" s="45"/>
      <c r="AA219" s="3">
        <f>TABL12345[[#This Row],[(RESV. STORGE) AJD]]/10</f>
        <v>0</v>
      </c>
      <c r="AB219" s="45">
        <f t="shared" si="15"/>
        <v>0</v>
      </c>
      <c r="AC219" s="5"/>
      <c r="AD219" s="40">
        <f>(TABL12345[[#This Row],[( S/S+T/B) AJD]]*1000)-((TABL12345[[#This Row],[(STORGE DIFF.) AJD]]*1000)+TABL12345[[#This Row],[البخر  AJD]]+(TABL12345[[#This Row],[(A/B + A/S) AJD]]*1000))</f>
        <v>0</v>
      </c>
      <c r="AE219" s="44"/>
      <c r="AF219" s="45"/>
      <c r="AG219" s="45"/>
      <c r="AH219" s="6">
        <f>TABL12345[[#This Row],[ (RESV. STORGE) BER]]/10</f>
        <v>0</v>
      </c>
      <c r="AI219" s="44"/>
      <c r="AJ219" s="44">
        <f>TABL12345[[#This Row],[(A/B TOT) AJD]]-TABL12345[[#This Row],[BER_ IN]]</f>
        <v>0</v>
      </c>
      <c r="AK219" s="45"/>
      <c r="AL219" s="45"/>
      <c r="AM219" s="32"/>
      <c r="AN219" s="32">
        <f>TABL12345[[#This Row],[ (RESV. STORGE) SER]]/10</f>
        <v>0</v>
      </c>
      <c r="AO219" s="68"/>
      <c r="AP219" s="68">
        <f>TABL12345[[#This Row],[(A/S TOT) AJD]]-TABL12345[[#This Row],[SER_ IN]]</f>
        <v>0</v>
      </c>
    </row>
    <row r="220" spans="1:42" ht="18.75" x14ac:dyDescent="0.25">
      <c r="A220" s="2">
        <v>47337</v>
      </c>
      <c r="B220" s="41"/>
      <c r="C220" s="41"/>
      <c r="D220" s="41"/>
      <c r="E220" s="28"/>
      <c r="F220" s="41"/>
      <c r="G220" s="39"/>
      <c r="H220" s="28"/>
      <c r="I220" s="39"/>
      <c r="J220" s="39"/>
      <c r="K220" s="28">
        <f>TABL12345[[#This Row],[خط (T/B  TOT) SAR]]+TABL12345[[#This Row],[خط (S/S  TOT) SAR2]]</f>
        <v>0</v>
      </c>
      <c r="L220" s="41"/>
      <c r="M220" s="42"/>
      <c r="N220" s="42"/>
      <c r="O220" s="39"/>
      <c r="P220" s="3">
        <f>TABL12345[[#This Row],[خط (S/S  TOT) SAR2]]-TABL12345[[#This Row],[(S/S TOT) AJD]]</f>
        <v>0</v>
      </c>
      <c r="Q220" s="39"/>
      <c r="R220" s="3">
        <f>TABL12345[[#This Row],[خط (T/B  TOT) SAR]]-TABL12345[[#This Row],[(T/B TOT) AJD]]</f>
        <v>0</v>
      </c>
      <c r="S220" s="3">
        <f>TABL12345[[#This Row],[الفرق بين بداية ونهاية خط  S/S]]+TABL12345[[#This Row],[الفرق بين بداية ونهاية خط  T/B]]</f>
        <v>0</v>
      </c>
      <c r="T220" s="3">
        <f t="shared" si="12"/>
        <v>0</v>
      </c>
      <c r="U220" s="41"/>
      <c r="V220" s="41"/>
      <c r="W220" s="3">
        <f t="shared" si="13"/>
        <v>0</v>
      </c>
      <c r="X220" s="3">
        <f t="shared" si="14"/>
        <v>0</v>
      </c>
      <c r="Y220" s="41"/>
      <c r="Z220" s="43"/>
      <c r="AA220" s="3">
        <f>TABL12345[[#This Row],[(RESV. STORGE) AJD]]/10</f>
        <v>0</v>
      </c>
      <c r="AB220" s="43">
        <f t="shared" si="15"/>
        <v>0</v>
      </c>
      <c r="AC220" s="5"/>
      <c r="AD220" s="39">
        <f>(TABL12345[[#This Row],[( S/S+T/B) AJD]]*1000)-((TABL12345[[#This Row],[(STORGE DIFF.) AJD]]*1000)+TABL12345[[#This Row],[البخر  AJD]]+(TABL12345[[#This Row],[(A/B + A/S) AJD]]*1000))</f>
        <v>0</v>
      </c>
      <c r="AE220" s="41"/>
      <c r="AF220" s="43"/>
      <c r="AG220" s="43"/>
      <c r="AH220" s="6">
        <f>TABL12345[[#This Row],[ (RESV. STORGE) BER]]/10</f>
        <v>0</v>
      </c>
      <c r="AI220" s="41"/>
      <c r="AJ220" s="41">
        <f>TABL12345[[#This Row],[(A/B TOT) AJD]]-TABL12345[[#This Row],[BER_ IN]]</f>
        <v>0</v>
      </c>
      <c r="AK220" s="43"/>
      <c r="AL220" s="43"/>
      <c r="AM220" s="32"/>
      <c r="AN220" s="32">
        <f>TABL12345[[#This Row],[ (RESV. STORGE) SER]]/10</f>
        <v>0</v>
      </c>
      <c r="AO220" s="68"/>
      <c r="AP220" s="68">
        <f>TABL12345[[#This Row],[(A/S TOT) AJD]]-TABL12345[[#This Row],[SER_ IN]]</f>
        <v>0</v>
      </c>
    </row>
    <row r="221" spans="1:42" ht="18.75" x14ac:dyDescent="0.25">
      <c r="A221" s="2">
        <v>47338</v>
      </c>
      <c r="B221" s="44"/>
      <c r="C221" s="44"/>
      <c r="D221" s="44"/>
      <c r="E221" s="28"/>
      <c r="F221" s="44"/>
      <c r="G221" s="40"/>
      <c r="H221" s="28"/>
      <c r="I221" s="40"/>
      <c r="J221" s="44"/>
      <c r="K221" s="28">
        <f>TABL12345[[#This Row],[خط (T/B  TOT) SAR]]+TABL12345[[#This Row],[خط (S/S  TOT) SAR2]]</f>
        <v>0</v>
      </c>
      <c r="L221" s="45"/>
      <c r="M221" s="46"/>
      <c r="N221" s="46"/>
      <c r="O221" s="40"/>
      <c r="P221" s="3">
        <f>TABL12345[[#This Row],[خط (S/S  TOT) SAR2]]-TABL12345[[#This Row],[(S/S TOT) AJD]]</f>
        <v>0</v>
      </c>
      <c r="Q221" s="40"/>
      <c r="R221" s="3">
        <f>TABL12345[[#This Row],[خط (T/B  TOT) SAR]]-TABL12345[[#This Row],[(T/B TOT) AJD]]</f>
        <v>0</v>
      </c>
      <c r="S221" s="3">
        <f>TABL12345[[#This Row],[الفرق بين بداية ونهاية خط  S/S]]+TABL12345[[#This Row],[الفرق بين بداية ونهاية خط  T/B]]</f>
        <v>0</v>
      </c>
      <c r="T221" s="3">
        <f t="shared" si="12"/>
        <v>0</v>
      </c>
      <c r="U221" s="44"/>
      <c r="V221" s="44"/>
      <c r="W221" s="3">
        <f t="shared" si="13"/>
        <v>0</v>
      </c>
      <c r="X221" s="3">
        <f t="shared" si="14"/>
        <v>0</v>
      </c>
      <c r="Y221" s="44"/>
      <c r="Z221" s="45"/>
      <c r="AA221" s="3">
        <f>TABL12345[[#This Row],[(RESV. STORGE) AJD]]/10</f>
        <v>0</v>
      </c>
      <c r="AB221" s="45">
        <f t="shared" si="15"/>
        <v>0</v>
      </c>
      <c r="AC221" s="5"/>
      <c r="AD221" s="40">
        <f>(TABL12345[[#This Row],[( S/S+T/B) AJD]]*1000)-((TABL12345[[#This Row],[(STORGE DIFF.) AJD]]*1000)+TABL12345[[#This Row],[البخر  AJD]]+(TABL12345[[#This Row],[(A/B + A/S) AJD]]*1000))</f>
        <v>0</v>
      </c>
      <c r="AE221" s="44"/>
      <c r="AF221" s="45"/>
      <c r="AG221" s="45"/>
      <c r="AH221" s="6">
        <f>TABL12345[[#This Row],[ (RESV. STORGE) BER]]/10</f>
        <v>0</v>
      </c>
      <c r="AI221" s="44"/>
      <c r="AJ221" s="44">
        <f>TABL12345[[#This Row],[(A/B TOT) AJD]]-TABL12345[[#This Row],[BER_ IN]]</f>
        <v>0</v>
      </c>
      <c r="AK221" s="45"/>
      <c r="AL221" s="45"/>
      <c r="AM221" s="32"/>
      <c r="AN221" s="32">
        <f>TABL12345[[#This Row],[ (RESV. STORGE) SER]]/10</f>
        <v>0</v>
      </c>
      <c r="AO221" s="68"/>
      <c r="AP221" s="68">
        <f>TABL12345[[#This Row],[(A/S TOT) AJD]]-TABL12345[[#This Row],[SER_ IN]]</f>
        <v>0</v>
      </c>
    </row>
    <row r="222" spans="1:42" ht="18.75" x14ac:dyDescent="0.25">
      <c r="A222" s="2">
        <v>47339</v>
      </c>
      <c r="B222" s="41"/>
      <c r="C222" s="41"/>
      <c r="D222" s="41"/>
      <c r="E222" s="28"/>
      <c r="F222" s="41"/>
      <c r="G222" s="39"/>
      <c r="H222" s="28"/>
      <c r="I222" s="39"/>
      <c r="J222" s="39"/>
      <c r="K222" s="28">
        <f>TABL12345[[#This Row],[خط (T/B  TOT) SAR]]+TABL12345[[#This Row],[خط (S/S  TOT) SAR2]]</f>
        <v>0</v>
      </c>
      <c r="L222" s="41"/>
      <c r="M222" s="42"/>
      <c r="N222" s="42"/>
      <c r="O222" s="39"/>
      <c r="P222" s="3">
        <f>TABL12345[[#This Row],[خط (S/S  TOT) SAR2]]-TABL12345[[#This Row],[(S/S TOT) AJD]]</f>
        <v>0</v>
      </c>
      <c r="Q222" s="39"/>
      <c r="R222" s="3">
        <f>TABL12345[[#This Row],[خط (T/B  TOT) SAR]]-TABL12345[[#This Row],[(T/B TOT) AJD]]</f>
        <v>0</v>
      </c>
      <c r="S222" s="3">
        <f>TABL12345[[#This Row],[الفرق بين بداية ونهاية خط  S/S]]+TABL12345[[#This Row],[الفرق بين بداية ونهاية خط  T/B]]</f>
        <v>0</v>
      </c>
      <c r="T222" s="3">
        <f t="shared" si="12"/>
        <v>0</v>
      </c>
      <c r="U222" s="41"/>
      <c r="V222" s="41"/>
      <c r="W222" s="3">
        <f t="shared" si="13"/>
        <v>0</v>
      </c>
      <c r="X222" s="3">
        <f t="shared" si="14"/>
        <v>0</v>
      </c>
      <c r="Y222" s="41"/>
      <c r="Z222" s="43"/>
      <c r="AA222" s="3">
        <f>TABL12345[[#This Row],[(RESV. STORGE) AJD]]/10</f>
        <v>0</v>
      </c>
      <c r="AB222" s="43">
        <f t="shared" si="15"/>
        <v>0</v>
      </c>
      <c r="AC222" s="5"/>
      <c r="AD222" s="39">
        <f>(TABL12345[[#This Row],[( S/S+T/B) AJD]]*1000)-((TABL12345[[#This Row],[(STORGE DIFF.) AJD]]*1000)+TABL12345[[#This Row],[البخر  AJD]]+(TABL12345[[#This Row],[(A/B + A/S) AJD]]*1000))</f>
        <v>0</v>
      </c>
      <c r="AE222" s="41"/>
      <c r="AF222" s="43"/>
      <c r="AG222" s="43"/>
      <c r="AH222" s="6">
        <f>TABL12345[[#This Row],[ (RESV. STORGE) BER]]/10</f>
        <v>0</v>
      </c>
      <c r="AI222" s="41"/>
      <c r="AJ222" s="41">
        <f>TABL12345[[#This Row],[(A/B TOT) AJD]]-TABL12345[[#This Row],[BER_ IN]]</f>
        <v>0</v>
      </c>
      <c r="AK222" s="43"/>
      <c r="AL222" s="43"/>
      <c r="AM222" s="32"/>
      <c r="AN222" s="32">
        <f>TABL12345[[#This Row],[ (RESV. STORGE) SER]]/10</f>
        <v>0</v>
      </c>
      <c r="AO222" s="68"/>
      <c r="AP222" s="68">
        <f>TABL12345[[#This Row],[(A/S TOT) AJD]]-TABL12345[[#This Row],[SER_ IN]]</f>
        <v>0</v>
      </c>
    </row>
    <row r="223" spans="1:42" ht="18.75" x14ac:dyDescent="0.25">
      <c r="A223" s="2">
        <v>47340</v>
      </c>
      <c r="B223" s="44"/>
      <c r="C223" s="44"/>
      <c r="D223" s="44"/>
      <c r="E223" s="28"/>
      <c r="F223" s="44"/>
      <c r="G223" s="40"/>
      <c r="H223" s="28"/>
      <c r="I223" s="40"/>
      <c r="J223" s="44"/>
      <c r="K223" s="28">
        <f>TABL12345[[#This Row],[خط (T/B  TOT) SAR]]+TABL12345[[#This Row],[خط (S/S  TOT) SAR2]]</f>
        <v>0</v>
      </c>
      <c r="L223" s="45"/>
      <c r="M223" s="46"/>
      <c r="N223" s="46"/>
      <c r="O223" s="40"/>
      <c r="P223" s="3">
        <f>TABL12345[[#This Row],[خط (S/S  TOT) SAR2]]-TABL12345[[#This Row],[(S/S TOT) AJD]]</f>
        <v>0</v>
      </c>
      <c r="Q223" s="40"/>
      <c r="R223" s="3">
        <f>TABL12345[[#This Row],[خط (T/B  TOT) SAR]]-TABL12345[[#This Row],[(T/B TOT) AJD]]</f>
        <v>0</v>
      </c>
      <c r="S223" s="3">
        <f>TABL12345[[#This Row],[الفرق بين بداية ونهاية خط  S/S]]+TABL12345[[#This Row],[الفرق بين بداية ونهاية خط  T/B]]</f>
        <v>0</v>
      </c>
      <c r="T223" s="3">
        <f t="shared" si="12"/>
        <v>0</v>
      </c>
      <c r="U223" s="44"/>
      <c r="V223" s="44"/>
      <c r="W223" s="3">
        <f t="shared" si="13"/>
        <v>0</v>
      </c>
      <c r="X223" s="3">
        <f t="shared" si="14"/>
        <v>0</v>
      </c>
      <c r="Y223" s="44"/>
      <c r="Z223" s="45"/>
      <c r="AA223" s="3">
        <f>TABL12345[[#This Row],[(RESV. STORGE) AJD]]/10</f>
        <v>0</v>
      </c>
      <c r="AB223" s="45">
        <f t="shared" si="15"/>
        <v>0</v>
      </c>
      <c r="AC223" s="5"/>
      <c r="AD223" s="40">
        <f>(TABL12345[[#This Row],[( S/S+T/B) AJD]]*1000)-((TABL12345[[#This Row],[(STORGE DIFF.) AJD]]*1000)+TABL12345[[#This Row],[البخر  AJD]]+(TABL12345[[#This Row],[(A/B + A/S) AJD]]*1000))</f>
        <v>0</v>
      </c>
      <c r="AE223" s="44"/>
      <c r="AF223" s="45"/>
      <c r="AG223" s="45"/>
      <c r="AH223" s="6">
        <f>TABL12345[[#This Row],[ (RESV. STORGE) BER]]/10</f>
        <v>0</v>
      </c>
      <c r="AI223" s="44"/>
      <c r="AJ223" s="44">
        <f>TABL12345[[#This Row],[(A/B TOT) AJD]]-TABL12345[[#This Row],[BER_ IN]]</f>
        <v>0</v>
      </c>
      <c r="AK223" s="45"/>
      <c r="AL223" s="45"/>
      <c r="AM223" s="32"/>
      <c r="AN223" s="32">
        <f>TABL12345[[#This Row],[ (RESV. STORGE) SER]]/10</f>
        <v>0</v>
      </c>
      <c r="AO223" s="68"/>
      <c r="AP223" s="68">
        <f>TABL12345[[#This Row],[(A/S TOT) AJD]]-TABL12345[[#This Row],[SER_ IN]]</f>
        <v>0</v>
      </c>
    </row>
    <row r="224" spans="1:42" ht="18.75" x14ac:dyDescent="0.25">
      <c r="A224" s="2">
        <v>47341</v>
      </c>
      <c r="B224" s="41"/>
      <c r="C224" s="41"/>
      <c r="D224" s="41"/>
      <c r="E224" s="28"/>
      <c r="F224" s="41"/>
      <c r="G224" s="39"/>
      <c r="H224" s="28"/>
      <c r="I224" s="39"/>
      <c r="J224" s="39"/>
      <c r="K224" s="28">
        <f>TABL12345[[#This Row],[خط (T/B  TOT) SAR]]+TABL12345[[#This Row],[خط (S/S  TOT) SAR2]]</f>
        <v>0</v>
      </c>
      <c r="L224" s="41"/>
      <c r="M224" s="42"/>
      <c r="N224" s="42"/>
      <c r="O224" s="39"/>
      <c r="P224" s="3">
        <f>TABL12345[[#This Row],[خط (S/S  TOT) SAR2]]-TABL12345[[#This Row],[(S/S TOT) AJD]]</f>
        <v>0</v>
      </c>
      <c r="Q224" s="39"/>
      <c r="R224" s="3">
        <f>TABL12345[[#This Row],[خط (T/B  TOT) SAR]]-TABL12345[[#This Row],[(T/B TOT) AJD]]</f>
        <v>0</v>
      </c>
      <c r="S224" s="3">
        <f>TABL12345[[#This Row],[الفرق بين بداية ونهاية خط  S/S]]+TABL12345[[#This Row],[الفرق بين بداية ونهاية خط  T/B]]</f>
        <v>0</v>
      </c>
      <c r="T224" s="3">
        <f t="shared" si="12"/>
        <v>0</v>
      </c>
      <c r="U224" s="41"/>
      <c r="V224" s="41"/>
      <c r="W224" s="3">
        <f t="shared" si="13"/>
        <v>0</v>
      </c>
      <c r="X224" s="3">
        <f t="shared" si="14"/>
        <v>0</v>
      </c>
      <c r="Y224" s="41"/>
      <c r="Z224" s="43"/>
      <c r="AA224" s="3">
        <f>TABL12345[[#This Row],[(RESV. STORGE) AJD]]/10</f>
        <v>0</v>
      </c>
      <c r="AB224" s="43">
        <f t="shared" si="15"/>
        <v>0</v>
      </c>
      <c r="AC224" s="5"/>
      <c r="AD224" s="39">
        <f>(TABL12345[[#This Row],[( S/S+T/B) AJD]]*1000)-((TABL12345[[#This Row],[(STORGE DIFF.) AJD]]*1000)+TABL12345[[#This Row],[البخر  AJD]]+(TABL12345[[#This Row],[(A/B + A/S) AJD]]*1000))</f>
        <v>0</v>
      </c>
      <c r="AE224" s="41"/>
      <c r="AF224" s="43"/>
      <c r="AG224" s="68"/>
      <c r="AH224" s="6">
        <f>TABL12345[[#This Row],[ (RESV. STORGE) BER]]/10</f>
        <v>0</v>
      </c>
      <c r="AI224" s="41"/>
      <c r="AJ224" s="69">
        <f>TABL12345[[#This Row],[(A/B TOT) AJD]]-TABL12345[[#This Row],[BER_ IN]]</f>
        <v>0</v>
      </c>
      <c r="AK224" s="43"/>
      <c r="AL224" s="43"/>
      <c r="AM224" s="32"/>
      <c r="AN224" s="32">
        <f>TABL12345[[#This Row],[ (RESV. STORGE) SER]]/10</f>
        <v>0</v>
      </c>
      <c r="AO224" s="68"/>
      <c r="AP224" s="68">
        <f>TABL12345[[#This Row],[(A/S TOT) AJD]]-TABL12345[[#This Row],[SER_ IN]]</f>
        <v>0</v>
      </c>
    </row>
    <row r="225" spans="1:42" ht="18.75" x14ac:dyDescent="0.25">
      <c r="A225" s="2">
        <v>47342</v>
      </c>
      <c r="B225" s="44"/>
      <c r="C225" s="44"/>
      <c r="D225" s="44"/>
      <c r="E225" s="28"/>
      <c r="F225" s="44"/>
      <c r="G225" s="40"/>
      <c r="H225" s="28"/>
      <c r="I225" s="40"/>
      <c r="J225" s="44"/>
      <c r="K225" s="28">
        <f>TABL12345[[#This Row],[خط (T/B  TOT) SAR]]+TABL12345[[#This Row],[خط (S/S  TOT) SAR2]]</f>
        <v>0</v>
      </c>
      <c r="L225" s="45"/>
      <c r="M225" s="46"/>
      <c r="N225" s="46"/>
      <c r="O225" s="40"/>
      <c r="P225" s="3">
        <f>TABL12345[[#This Row],[خط (S/S  TOT) SAR2]]-TABL12345[[#This Row],[(S/S TOT) AJD]]</f>
        <v>0</v>
      </c>
      <c r="Q225" s="40"/>
      <c r="R225" s="3">
        <f>TABL12345[[#This Row],[خط (T/B  TOT) SAR]]-TABL12345[[#This Row],[(T/B TOT) AJD]]</f>
        <v>0</v>
      </c>
      <c r="S225" s="3">
        <f>TABL12345[[#This Row],[الفرق بين بداية ونهاية خط  S/S]]+TABL12345[[#This Row],[الفرق بين بداية ونهاية خط  T/B]]</f>
        <v>0</v>
      </c>
      <c r="T225" s="3">
        <f t="shared" si="12"/>
        <v>0</v>
      </c>
      <c r="U225" s="44"/>
      <c r="V225" s="44"/>
      <c r="W225" s="3">
        <f t="shared" si="13"/>
        <v>0</v>
      </c>
      <c r="X225" s="3">
        <f t="shared" si="14"/>
        <v>0</v>
      </c>
      <c r="Y225" s="44"/>
      <c r="Z225" s="45"/>
      <c r="AA225" s="3">
        <f>TABL12345[[#This Row],[(RESV. STORGE) AJD]]/10</f>
        <v>0</v>
      </c>
      <c r="AB225" s="45">
        <f t="shared" si="15"/>
        <v>0</v>
      </c>
      <c r="AC225" s="5"/>
      <c r="AD225" s="40">
        <f>(TABL12345[[#This Row],[( S/S+T/B) AJD]]*1000)-((TABL12345[[#This Row],[(STORGE DIFF.) AJD]]*1000)+TABL12345[[#This Row],[البخر  AJD]]+(TABL12345[[#This Row],[(A/B + A/S) AJD]]*1000))</f>
        <v>0</v>
      </c>
      <c r="AE225" s="44"/>
      <c r="AF225" s="45"/>
      <c r="AG225" s="45"/>
      <c r="AH225" s="6">
        <f>TABL12345[[#This Row],[ (RESV. STORGE) BER]]/10</f>
        <v>0</v>
      </c>
      <c r="AI225" s="44"/>
      <c r="AJ225" s="44">
        <f>TABL12345[[#This Row],[(A/B TOT) AJD]]-TABL12345[[#This Row],[BER_ IN]]</f>
        <v>0</v>
      </c>
      <c r="AK225" s="45"/>
      <c r="AL225" s="45"/>
      <c r="AM225" s="32"/>
      <c r="AN225" s="32">
        <f>TABL12345[[#This Row],[ (RESV. STORGE) SER]]/10</f>
        <v>0</v>
      </c>
      <c r="AO225" s="68"/>
      <c r="AP225" s="68">
        <f>TABL12345[[#This Row],[(A/S TOT) AJD]]-TABL12345[[#This Row],[SER_ IN]]</f>
        <v>0</v>
      </c>
    </row>
    <row r="226" spans="1:42" ht="18.75" x14ac:dyDescent="0.25">
      <c r="A226" s="2">
        <v>47343</v>
      </c>
      <c r="B226" s="41"/>
      <c r="C226" s="41"/>
      <c r="D226" s="41"/>
      <c r="E226" s="28"/>
      <c r="F226" s="41"/>
      <c r="G226" s="39"/>
      <c r="H226" s="28"/>
      <c r="I226" s="39"/>
      <c r="J226" s="39"/>
      <c r="K226" s="28">
        <f>TABL12345[[#This Row],[خط (T/B  TOT) SAR]]+TABL12345[[#This Row],[خط (S/S  TOT) SAR2]]</f>
        <v>0</v>
      </c>
      <c r="L226" s="41"/>
      <c r="M226" s="42"/>
      <c r="N226" s="42"/>
      <c r="O226" s="39"/>
      <c r="P226" s="3">
        <f>TABL12345[[#This Row],[خط (S/S  TOT) SAR2]]-TABL12345[[#This Row],[(S/S TOT) AJD]]</f>
        <v>0</v>
      </c>
      <c r="Q226" s="39"/>
      <c r="R226" s="3">
        <f>TABL12345[[#This Row],[خط (T/B  TOT) SAR]]-TABL12345[[#This Row],[(T/B TOT) AJD]]</f>
        <v>0</v>
      </c>
      <c r="S226" s="3">
        <f>TABL12345[[#This Row],[الفرق بين بداية ونهاية خط  S/S]]+TABL12345[[#This Row],[الفرق بين بداية ونهاية خط  T/B]]</f>
        <v>0</v>
      </c>
      <c r="T226" s="3">
        <f t="shared" si="12"/>
        <v>0</v>
      </c>
      <c r="U226" s="41"/>
      <c r="V226" s="41"/>
      <c r="W226" s="3">
        <f t="shared" si="13"/>
        <v>0</v>
      </c>
      <c r="X226" s="3">
        <f t="shared" si="14"/>
        <v>0</v>
      </c>
      <c r="Y226" s="41"/>
      <c r="Z226" s="43"/>
      <c r="AA226" s="3">
        <f>TABL12345[[#This Row],[(RESV. STORGE) AJD]]/10</f>
        <v>0</v>
      </c>
      <c r="AB226" s="43">
        <f t="shared" si="15"/>
        <v>0</v>
      </c>
      <c r="AC226" s="5"/>
      <c r="AD226" s="39">
        <f>(TABL12345[[#This Row],[( S/S+T/B) AJD]]*1000)-((TABL12345[[#This Row],[(STORGE DIFF.) AJD]]*1000)+TABL12345[[#This Row],[البخر  AJD]]+(TABL12345[[#This Row],[(A/B + A/S) AJD]]*1000))</f>
        <v>0</v>
      </c>
      <c r="AE226" s="41"/>
      <c r="AF226" s="43"/>
      <c r="AG226" s="43"/>
      <c r="AH226" s="6">
        <f>TABL12345[[#This Row],[ (RESV. STORGE) BER]]/10</f>
        <v>0</v>
      </c>
      <c r="AI226" s="41"/>
      <c r="AJ226" s="41">
        <f>TABL12345[[#This Row],[(A/B TOT) AJD]]-TABL12345[[#This Row],[BER_ IN]]</f>
        <v>0</v>
      </c>
      <c r="AK226" s="43"/>
      <c r="AL226" s="43"/>
      <c r="AM226" s="32"/>
      <c r="AN226" s="32">
        <f>TABL12345[[#This Row],[ (RESV. STORGE) SER]]/10</f>
        <v>0</v>
      </c>
      <c r="AO226" s="68"/>
      <c r="AP226" s="68">
        <f>TABL12345[[#This Row],[(A/S TOT) AJD]]-TABL12345[[#This Row],[SER_ IN]]</f>
        <v>0</v>
      </c>
    </row>
    <row r="227" spans="1:42" ht="18.75" x14ac:dyDescent="0.25">
      <c r="A227" s="2">
        <v>47344</v>
      </c>
      <c r="B227" s="44"/>
      <c r="C227" s="44"/>
      <c r="D227" s="44"/>
      <c r="E227" s="28"/>
      <c r="F227" s="44"/>
      <c r="G227" s="40"/>
      <c r="H227" s="28"/>
      <c r="I227" s="40"/>
      <c r="J227" s="44"/>
      <c r="K227" s="28">
        <f>TABL12345[[#This Row],[خط (T/B  TOT) SAR]]+TABL12345[[#This Row],[خط (S/S  TOT) SAR2]]</f>
        <v>0</v>
      </c>
      <c r="L227" s="45"/>
      <c r="M227" s="46"/>
      <c r="N227" s="46"/>
      <c r="O227" s="40"/>
      <c r="P227" s="3">
        <f>TABL12345[[#This Row],[خط (S/S  TOT) SAR2]]-TABL12345[[#This Row],[(S/S TOT) AJD]]</f>
        <v>0</v>
      </c>
      <c r="Q227" s="40"/>
      <c r="R227" s="3">
        <f>TABL12345[[#This Row],[خط (T/B  TOT) SAR]]-TABL12345[[#This Row],[(T/B TOT) AJD]]</f>
        <v>0</v>
      </c>
      <c r="S227" s="3">
        <f>TABL12345[[#This Row],[الفرق بين بداية ونهاية خط  S/S]]+TABL12345[[#This Row],[الفرق بين بداية ونهاية خط  T/B]]</f>
        <v>0</v>
      </c>
      <c r="T227" s="3">
        <f t="shared" si="12"/>
        <v>0</v>
      </c>
      <c r="U227" s="44"/>
      <c r="V227" s="44"/>
      <c r="W227" s="3">
        <f t="shared" si="13"/>
        <v>0</v>
      </c>
      <c r="X227" s="3">
        <f t="shared" si="14"/>
        <v>0</v>
      </c>
      <c r="Y227" s="44"/>
      <c r="Z227" s="45"/>
      <c r="AA227" s="3">
        <f>TABL12345[[#This Row],[(RESV. STORGE) AJD]]/10</f>
        <v>0</v>
      </c>
      <c r="AB227" s="45">
        <f t="shared" si="15"/>
        <v>0</v>
      </c>
      <c r="AC227" s="5"/>
      <c r="AD227" s="40">
        <f>(TABL12345[[#This Row],[( S/S+T/B) AJD]]*1000)-((TABL12345[[#This Row],[(STORGE DIFF.) AJD]]*1000)+TABL12345[[#This Row],[البخر  AJD]]+(TABL12345[[#This Row],[(A/B + A/S) AJD]]*1000))</f>
        <v>0</v>
      </c>
      <c r="AE227" s="44"/>
      <c r="AF227" s="45"/>
      <c r="AG227" s="45"/>
      <c r="AH227" s="6">
        <f>TABL12345[[#This Row],[ (RESV. STORGE) BER]]/10</f>
        <v>0</v>
      </c>
      <c r="AI227" s="44"/>
      <c r="AJ227" s="44">
        <f>TABL12345[[#This Row],[(A/B TOT) AJD]]-TABL12345[[#This Row],[BER_ IN]]</f>
        <v>0</v>
      </c>
      <c r="AK227" s="45"/>
      <c r="AL227" s="45"/>
      <c r="AM227" s="32"/>
      <c r="AN227" s="32">
        <f>TABL12345[[#This Row],[ (RESV. STORGE) SER]]/10</f>
        <v>0</v>
      </c>
      <c r="AO227" s="68"/>
      <c r="AP227" s="68">
        <f>TABL12345[[#This Row],[(A/S TOT) AJD]]-TABL12345[[#This Row],[SER_ IN]]</f>
        <v>0</v>
      </c>
    </row>
    <row r="228" spans="1:42" ht="18.75" x14ac:dyDescent="0.25">
      <c r="A228" s="2">
        <v>47345</v>
      </c>
      <c r="B228" s="41"/>
      <c r="C228" s="41"/>
      <c r="D228" s="41"/>
      <c r="E228" s="28"/>
      <c r="F228" s="41"/>
      <c r="G228" s="39"/>
      <c r="H228" s="28"/>
      <c r="I228" s="39"/>
      <c r="J228" s="39"/>
      <c r="K228" s="28">
        <f>TABL12345[[#This Row],[خط (T/B  TOT) SAR]]+TABL12345[[#This Row],[خط (S/S  TOT) SAR2]]</f>
        <v>0</v>
      </c>
      <c r="L228" s="41"/>
      <c r="M228" s="42"/>
      <c r="N228" s="42"/>
      <c r="O228" s="39"/>
      <c r="P228" s="3">
        <f>TABL12345[[#This Row],[خط (S/S  TOT) SAR2]]-TABL12345[[#This Row],[(S/S TOT) AJD]]</f>
        <v>0</v>
      </c>
      <c r="Q228" s="39"/>
      <c r="R228" s="3">
        <f>TABL12345[[#This Row],[خط (T/B  TOT) SAR]]-TABL12345[[#This Row],[(T/B TOT) AJD]]</f>
        <v>0</v>
      </c>
      <c r="S228" s="3">
        <f>TABL12345[[#This Row],[الفرق بين بداية ونهاية خط  S/S]]+TABL12345[[#This Row],[الفرق بين بداية ونهاية خط  T/B]]</f>
        <v>0</v>
      </c>
      <c r="T228" s="3">
        <f t="shared" si="12"/>
        <v>0</v>
      </c>
      <c r="U228" s="41"/>
      <c r="V228" s="41"/>
      <c r="W228" s="3">
        <f t="shared" si="13"/>
        <v>0</v>
      </c>
      <c r="X228" s="3">
        <f t="shared" si="14"/>
        <v>0</v>
      </c>
      <c r="Y228" s="41"/>
      <c r="Z228" s="43"/>
      <c r="AA228" s="3">
        <f>TABL12345[[#This Row],[(RESV. STORGE) AJD]]/10</f>
        <v>0</v>
      </c>
      <c r="AB228" s="43">
        <f t="shared" si="15"/>
        <v>0</v>
      </c>
      <c r="AC228" s="5"/>
      <c r="AD228" s="39">
        <f>(TABL12345[[#This Row],[( S/S+T/B) AJD]]*1000)-((TABL12345[[#This Row],[(STORGE DIFF.) AJD]]*1000)+TABL12345[[#This Row],[البخر  AJD]]+(TABL12345[[#This Row],[(A/B + A/S) AJD]]*1000))</f>
        <v>0</v>
      </c>
      <c r="AE228" s="41"/>
      <c r="AF228" s="43"/>
      <c r="AG228" s="43"/>
      <c r="AH228" s="6">
        <f>TABL12345[[#This Row],[ (RESV. STORGE) BER]]/10</f>
        <v>0</v>
      </c>
      <c r="AI228" s="41"/>
      <c r="AJ228" s="41">
        <f>TABL12345[[#This Row],[(A/B TOT) AJD]]-TABL12345[[#This Row],[BER_ IN]]</f>
        <v>0</v>
      </c>
      <c r="AK228" s="43"/>
      <c r="AL228" s="43"/>
      <c r="AM228" s="32"/>
      <c r="AN228" s="32">
        <f>TABL12345[[#This Row],[ (RESV. STORGE) SER]]/10</f>
        <v>0</v>
      </c>
      <c r="AO228" s="68"/>
      <c r="AP228" s="68">
        <f>TABL12345[[#This Row],[(A/S TOT) AJD]]-TABL12345[[#This Row],[SER_ IN]]</f>
        <v>0</v>
      </c>
    </row>
    <row r="229" spans="1:42" ht="18.75" x14ac:dyDescent="0.25">
      <c r="A229" s="2">
        <v>47346</v>
      </c>
      <c r="B229" s="44"/>
      <c r="C229" s="44"/>
      <c r="D229" s="44"/>
      <c r="E229" s="28"/>
      <c r="F229" s="44"/>
      <c r="G229" s="40"/>
      <c r="H229" s="28"/>
      <c r="I229" s="40"/>
      <c r="J229" s="44"/>
      <c r="K229" s="28">
        <f>TABL12345[[#This Row],[خط (T/B  TOT) SAR]]+TABL12345[[#This Row],[خط (S/S  TOT) SAR2]]</f>
        <v>0</v>
      </c>
      <c r="L229" s="45"/>
      <c r="M229" s="46"/>
      <c r="N229" s="46"/>
      <c r="O229" s="40"/>
      <c r="P229" s="3">
        <f>TABL12345[[#This Row],[خط (S/S  TOT) SAR2]]-TABL12345[[#This Row],[(S/S TOT) AJD]]</f>
        <v>0</v>
      </c>
      <c r="Q229" s="40"/>
      <c r="R229" s="3">
        <f>TABL12345[[#This Row],[خط (T/B  TOT) SAR]]-TABL12345[[#This Row],[(T/B TOT) AJD]]</f>
        <v>0</v>
      </c>
      <c r="S229" s="3">
        <f>TABL12345[[#This Row],[الفرق بين بداية ونهاية خط  S/S]]+TABL12345[[#This Row],[الفرق بين بداية ونهاية خط  T/B]]</f>
        <v>0</v>
      </c>
      <c r="T229" s="3">
        <f t="shared" si="12"/>
        <v>0</v>
      </c>
      <c r="U229" s="44"/>
      <c r="V229" s="44"/>
      <c r="W229" s="3">
        <f t="shared" si="13"/>
        <v>0</v>
      </c>
      <c r="X229" s="3">
        <f t="shared" si="14"/>
        <v>0</v>
      </c>
      <c r="Y229" s="44"/>
      <c r="Z229" s="45"/>
      <c r="AA229" s="3">
        <f>TABL12345[[#This Row],[(RESV. STORGE) AJD]]/10</f>
        <v>0</v>
      </c>
      <c r="AB229" s="45">
        <f t="shared" si="15"/>
        <v>0</v>
      </c>
      <c r="AC229" s="5"/>
      <c r="AD229" s="40">
        <f>(TABL12345[[#This Row],[( S/S+T/B) AJD]]*1000)-((TABL12345[[#This Row],[(STORGE DIFF.) AJD]]*1000)+TABL12345[[#This Row],[البخر  AJD]]+(TABL12345[[#This Row],[(A/B + A/S) AJD]]*1000))</f>
        <v>0</v>
      </c>
      <c r="AE229" s="44"/>
      <c r="AF229" s="45"/>
      <c r="AG229" s="45"/>
      <c r="AH229" s="6">
        <f>TABL12345[[#This Row],[ (RESV. STORGE) BER]]/10</f>
        <v>0</v>
      </c>
      <c r="AI229" s="44"/>
      <c r="AJ229" s="44">
        <f>TABL12345[[#This Row],[(A/B TOT) AJD]]-TABL12345[[#This Row],[BER_ IN]]</f>
        <v>0</v>
      </c>
      <c r="AK229" s="45"/>
      <c r="AL229" s="45"/>
      <c r="AM229" s="32"/>
      <c r="AN229" s="32">
        <f>TABL12345[[#This Row],[ (RESV. STORGE) SER]]/10</f>
        <v>0</v>
      </c>
      <c r="AO229" s="68"/>
      <c r="AP229" s="68">
        <f>TABL12345[[#This Row],[(A/S TOT) AJD]]-TABL12345[[#This Row],[SER_ IN]]</f>
        <v>0</v>
      </c>
    </row>
    <row r="230" spans="1:42" ht="18.75" x14ac:dyDescent="0.25">
      <c r="A230" s="2">
        <v>47347</v>
      </c>
      <c r="B230" s="41"/>
      <c r="C230" s="41"/>
      <c r="D230" s="41"/>
      <c r="E230" s="28"/>
      <c r="F230" s="41"/>
      <c r="G230" s="39"/>
      <c r="H230" s="28"/>
      <c r="I230" s="39"/>
      <c r="J230" s="39"/>
      <c r="K230" s="28">
        <f>TABL12345[[#This Row],[خط (T/B  TOT) SAR]]+TABL12345[[#This Row],[خط (S/S  TOT) SAR2]]</f>
        <v>0</v>
      </c>
      <c r="L230" s="41"/>
      <c r="M230" s="42"/>
      <c r="N230" s="42"/>
      <c r="O230" s="39"/>
      <c r="P230" s="3">
        <f>TABL12345[[#This Row],[خط (S/S  TOT) SAR2]]-TABL12345[[#This Row],[(S/S TOT) AJD]]</f>
        <v>0</v>
      </c>
      <c r="Q230" s="39"/>
      <c r="R230" s="3">
        <f>TABL12345[[#This Row],[خط (T/B  TOT) SAR]]-TABL12345[[#This Row],[(T/B TOT) AJD]]</f>
        <v>0</v>
      </c>
      <c r="S230" s="3">
        <f>TABL12345[[#This Row],[الفرق بين بداية ونهاية خط  S/S]]+TABL12345[[#This Row],[الفرق بين بداية ونهاية خط  T/B]]</f>
        <v>0</v>
      </c>
      <c r="T230" s="3">
        <f t="shared" si="12"/>
        <v>0</v>
      </c>
      <c r="U230" s="41"/>
      <c r="V230" s="41"/>
      <c r="W230" s="3">
        <f t="shared" si="13"/>
        <v>0</v>
      </c>
      <c r="X230" s="3">
        <f t="shared" si="14"/>
        <v>0</v>
      </c>
      <c r="Y230" s="41"/>
      <c r="Z230" s="43"/>
      <c r="AA230" s="3">
        <f>TABL12345[[#This Row],[(RESV. STORGE) AJD]]/10</f>
        <v>0</v>
      </c>
      <c r="AB230" s="43">
        <f t="shared" si="15"/>
        <v>0</v>
      </c>
      <c r="AC230" s="5"/>
      <c r="AD230" s="39">
        <f>(TABL12345[[#This Row],[( S/S+T/B) AJD]]*1000)-((TABL12345[[#This Row],[(STORGE DIFF.) AJD]]*1000)+TABL12345[[#This Row],[البخر  AJD]]+(TABL12345[[#This Row],[(A/B + A/S) AJD]]*1000))</f>
        <v>0</v>
      </c>
      <c r="AE230" s="41"/>
      <c r="AF230" s="43"/>
      <c r="AG230" s="43"/>
      <c r="AH230" s="6">
        <f>TABL12345[[#This Row],[ (RESV. STORGE) BER]]/10</f>
        <v>0</v>
      </c>
      <c r="AI230" s="41"/>
      <c r="AJ230" s="41">
        <f>TABL12345[[#This Row],[(A/B TOT) AJD]]-TABL12345[[#This Row],[BER_ IN]]</f>
        <v>0</v>
      </c>
      <c r="AK230" s="43"/>
      <c r="AL230" s="43"/>
      <c r="AM230" s="32"/>
      <c r="AN230" s="32">
        <f>TABL12345[[#This Row],[ (RESV. STORGE) SER]]/10</f>
        <v>0</v>
      </c>
      <c r="AO230" s="68"/>
      <c r="AP230" s="68">
        <f>TABL12345[[#This Row],[(A/S TOT) AJD]]-TABL12345[[#This Row],[SER_ IN]]</f>
        <v>0</v>
      </c>
    </row>
    <row r="231" spans="1:42" ht="18.75" x14ac:dyDescent="0.25">
      <c r="A231" s="2">
        <v>47348</v>
      </c>
      <c r="B231" s="44"/>
      <c r="C231" s="44"/>
      <c r="D231" s="44"/>
      <c r="E231" s="28"/>
      <c r="F231" s="44"/>
      <c r="G231" s="40"/>
      <c r="H231" s="28"/>
      <c r="I231" s="40"/>
      <c r="J231" s="44"/>
      <c r="K231" s="28">
        <f>TABL12345[[#This Row],[خط (T/B  TOT) SAR]]+TABL12345[[#This Row],[خط (S/S  TOT) SAR2]]</f>
        <v>0</v>
      </c>
      <c r="L231" s="45"/>
      <c r="M231" s="46"/>
      <c r="N231" s="46"/>
      <c r="O231" s="40"/>
      <c r="P231" s="3">
        <f>TABL12345[[#This Row],[خط (S/S  TOT) SAR2]]-TABL12345[[#This Row],[(S/S TOT) AJD]]</f>
        <v>0</v>
      </c>
      <c r="Q231" s="40"/>
      <c r="R231" s="3">
        <f>TABL12345[[#This Row],[خط (T/B  TOT) SAR]]-TABL12345[[#This Row],[(T/B TOT) AJD]]</f>
        <v>0</v>
      </c>
      <c r="S231" s="3">
        <f>TABL12345[[#This Row],[الفرق بين بداية ونهاية خط  S/S]]+TABL12345[[#This Row],[الفرق بين بداية ونهاية خط  T/B]]</f>
        <v>0</v>
      </c>
      <c r="T231" s="3">
        <f t="shared" si="12"/>
        <v>0</v>
      </c>
      <c r="U231" s="44"/>
      <c r="V231" s="44"/>
      <c r="W231" s="3">
        <f t="shared" si="13"/>
        <v>0</v>
      </c>
      <c r="X231" s="3">
        <f t="shared" si="14"/>
        <v>0</v>
      </c>
      <c r="Y231" s="44"/>
      <c r="Z231" s="45"/>
      <c r="AA231" s="3">
        <f>TABL12345[[#This Row],[(RESV. STORGE) AJD]]/10</f>
        <v>0</v>
      </c>
      <c r="AB231" s="45">
        <f t="shared" si="15"/>
        <v>0</v>
      </c>
      <c r="AC231" s="5"/>
      <c r="AD231" s="40">
        <f>(TABL12345[[#This Row],[( S/S+T/B) AJD]]*1000)-((TABL12345[[#This Row],[(STORGE DIFF.) AJD]]*1000)+TABL12345[[#This Row],[البخر  AJD]]+(TABL12345[[#This Row],[(A/B + A/S) AJD]]*1000))</f>
        <v>0</v>
      </c>
      <c r="AE231" s="44"/>
      <c r="AF231" s="45"/>
      <c r="AG231" s="45"/>
      <c r="AH231" s="6">
        <f>TABL12345[[#This Row],[ (RESV. STORGE) BER]]/10</f>
        <v>0</v>
      </c>
      <c r="AI231" s="44"/>
      <c r="AJ231" s="44">
        <f>TABL12345[[#This Row],[(A/B TOT) AJD]]-TABL12345[[#This Row],[BER_ IN]]</f>
        <v>0</v>
      </c>
      <c r="AK231" s="45"/>
      <c r="AL231" s="45"/>
      <c r="AM231" s="32"/>
      <c r="AN231" s="32">
        <f>TABL12345[[#This Row],[ (RESV. STORGE) SER]]/10</f>
        <v>0</v>
      </c>
      <c r="AO231" s="68"/>
      <c r="AP231" s="68">
        <f>TABL12345[[#This Row],[(A/S TOT) AJD]]-TABL12345[[#This Row],[SER_ IN]]</f>
        <v>0</v>
      </c>
    </row>
    <row r="232" spans="1:42" ht="18.75" x14ac:dyDescent="0.25">
      <c r="A232" s="2">
        <v>47349</v>
      </c>
      <c r="B232" s="41"/>
      <c r="C232" s="41"/>
      <c r="D232" s="41"/>
      <c r="E232" s="28"/>
      <c r="F232" s="41"/>
      <c r="G232" s="39"/>
      <c r="H232" s="28"/>
      <c r="I232" s="72"/>
      <c r="J232" s="39"/>
      <c r="K232" s="28">
        <f>TABL12345[[#This Row],[خط (T/B  TOT) SAR]]+TABL12345[[#This Row],[خط (S/S  TOT) SAR2]]</f>
        <v>0</v>
      </c>
      <c r="L232" s="41"/>
      <c r="M232" s="42"/>
      <c r="N232" s="42"/>
      <c r="O232" s="39"/>
      <c r="P232" s="3">
        <f>TABL12345[[#This Row],[خط (S/S  TOT) SAR2]]-TABL12345[[#This Row],[(S/S TOT) AJD]]</f>
        <v>0</v>
      </c>
      <c r="Q232" s="39"/>
      <c r="R232" s="3">
        <f>TABL12345[[#This Row],[خط (T/B  TOT) SAR]]-TABL12345[[#This Row],[(T/B TOT) AJD]]</f>
        <v>0</v>
      </c>
      <c r="S232" s="3">
        <f>TABL12345[[#This Row],[الفرق بين بداية ونهاية خط  S/S]]+TABL12345[[#This Row],[الفرق بين بداية ونهاية خط  T/B]]</f>
        <v>0</v>
      </c>
      <c r="T232" s="3">
        <f t="shared" si="12"/>
        <v>0</v>
      </c>
      <c r="U232" s="41"/>
      <c r="V232" s="41"/>
      <c r="W232" s="3">
        <f t="shared" si="13"/>
        <v>0</v>
      </c>
      <c r="X232" s="3">
        <f t="shared" si="14"/>
        <v>0</v>
      </c>
      <c r="Y232" s="41"/>
      <c r="Z232" s="43"/>
      <c r="AA232" s="3">
        <f>TABL12345[[#This Row],[(RESV. STORGE) AJD]]/10</f>
        <v>0</v>
      </c>
      <c r="AB232" s="43">
        <f t="shared" si="15"/>
        <v>0</v>
      </c>
      <c r="AC232" s="5"/>
      <c r="AD232" s="39">
        <f>(TABL12345[[#This Row],[( S/S+T/B) AJD]]*1000)-((TABL12345[[#This Row],[(STORGE DIFF.) AJD]]*1000)+TABL12345[[#This Row],[البخر  AJD]]+(TABL12345[[#This Row],[(A/B + A/S) AJD]]*1000))</f>
        <v>0</v>
      </c>
      <c r="AE232" s="41"/>
      <c r="AF232" s="43"/>
      <c r="AG232" s="43"/>
      <c r="AH232" s="6">
        <f>TABL12345[[#This Row],[ (RESV. STORGE) BER]]/10</f>
        <v>0</v>
      </c>
      <c r="AI232" s="41"/>
      <c r="AJ232" s="41">
        <f>TABL12345[[#This Row],[(A/B TOT) AJD]]-TABL12345[[#This Row],[BER_ IN]]</f>
        <v>0</v>
      </c>
      <c r="AK232" s="43"/>
      <c r="AL232" s="43"/>
      <c r="AM232" s="32"/>
      <c r="AN232" s="32">
        <f>TABL12345[[#This Row],[ (RESV. STORGE) SER]]/10</f>
        <v>0</v>
      </c>
      <c r="AO232" s="68"/>
      <c r="AP232" s="68">
        <f>TABL12345[[#This Row],[(A/S TOT) AJD]]-TABL12345[[#This Row],[SER_ IN]]</f>
        <v>0</v>
      </c>
    </row>
    <row r="233" spans="1:42" ht="18.75" x14ac:dyDescent="0.25">
      <c r="A233" s="2">
        <v>47350</v>
      </c>
      <c r="B233" s="44"/>
      <c r="C233" s="44"/>
      <c r="D233" s="44"/>
      <c r="E233" s="28"/>
      <c r="F233" s="44"/>
      <c r="G233" s="40"/>
      <c r="H233" s="28"/>
      <c r="I233" s="40"/>
      <c r="J233" s="44"/>
      <c r="K233" s="28">
        <f>TABL12345[[#This Row],[خط (T/B  TOT) SAR]]+TABL12345[[#This Row],[خط (S/S  TOT) SAR2]]</f>
        <v>0</v>
      </c>
      <c r="L233" s="45"/>
      <c r="M233" s="46"/>
      <c r="N233" s="46"/>
      <c r="O233" s="40"/>
      <c r="P233" s="3">
        <f>TABL12345[[#This Row],[خط (S/S  TOT) SAR2]]-TABL12345[[#This Row],[(S/S TOT) AJD]]</f>
        <v>0</v>
      </c>
      <c r="Q233" s="40"/>
      <c r="R233" s="3">
        <f>TABL12345[[#This Row],[خط (T/B  TOT) SAR]]-TABL12345[[#This Row],[(T/B TOT) AJD]]</f>
        <v>0</v>
      </c>
      <c r="S233" s="3">
        <f>TABL12345[[#This Row],[الفرق بين بداية ونهاية خط  S/S]]+TABL12345[[#This Row],[الفرق بين بداية ونهاية خط  T/B]]</f>
        <v>0</v>
      </c>
      <c r="T233" s="3">
        <f t="shared" si="12"/>
        <v>0</v>
      </c>
      <c r="U233" s="44"/>
      <c r="V233" s="44"/>
      <c r="W233" s="3">
        <f t="shared" si="13"/>
        <v>0</v>
      </c>
      <c r="X233" s="3">
        <f t="shared" si="14"/>
        <v>0</v>
      </c>
      <c r="Y233" s="44"/>
      <c r="Z233" s="45"/>
      <c r="AA233" s="3">
        <f>TABL12345[[#This Row],[(RESV. STORGE) AJD]]/10</f>
        <v>0</v>
      </c>
      <c r="AB233" s="45">
        <f t="shared" si="15"/>
        <v>0</v>
      </c>
      <c r="AC233" s="5"/>
      <c r="AD233" s="40">
        <f>(TABL12345[[#This Row],[( S/S+T/B) AJD]]*1000)-((TABL12345[[#This Row],[(STORGE DIFF.) AJD]]*1000)+TABL12345[[#This Row],[البخر  AJD]]+(TABL12345[[#This Row],[(A/B + A/S) AJD]]*1000))</f>
        <v>0</v>
      </c>
      <c r="AE233" s="44"/>
      <c r="AF233" s="45"/>
      <c r="AG233" s="45"/>
      <c r="AH233" s="6">
        <f>TABL12345[[#This Row],[ (RESV. STORGE) BER]]/10</f>
        <v>0</v>
      </c>
      <c r="AI233" s="44"/>
      <c r="AJ233" s="44">
        <f>TABL12345[[#This Row],[(A/B TOT) AJD]]-TABL12345[[#This Row],[BER_ IN]]</f>
        <v>0</v>
      </c>
      <c r="AK233" s="45"/>
      <c r="AL233" s="45"/>
      <c r="AM233" s="32"/>
      <c r="AN233" s="32">
        <f>TABL12345[[#This Row],[ (RESV. STORGE) SER]]/10</f>
        <v>0</v>
      </c>
      <c r="AO233" s="68"/>
      <c r="AP233" s="68">
        <f>TABL12345[[#This Row],[(A/S TOT) AJD]]-TABL12345[[#This Row],[SER_ IN]]</f>
        <v>0</v>
      </c>
    </row>
    <row r="234" spans="1:42" ht="18.75" x14ac:dyDescent="0.25">
      <c r="A234" s="2">
        <v>47351</v>
      </c>
      <c r="B234" s="41"/>
      <c r="C234" s="41"/>
      <c r="D234" s="41"/>
      <c r="E234" s="28"/>
      <c r="F234" s="41"/>
      <c r="G234" s="39"/>
      <c r="H234" s="28"/>
      <c r="I234" s="39"/>
      <c r="J234" s="39"/>
      <c r="K234" s="28">
        <f>TABL12345[[#This Row],[خط (T/B  TOT) SAR]]+TABL12345[[#This Row],[خط (S/S  TOT) SAR2]]</f>
        <v>0</v>
      </c>
      <c r="L234" s="41"/>
      <c r="M234" s="42"/>
      <c r="N234" s="42"/>
      <c r="O234" s="39"/>
      <c r="P234" s="3">
        <f>TABL12345[[#This Row],[خط (S/S  TOT) SAR2]]-TABL12345[[#This Row],[(S/S TOT) AJD]]</f>
        <v>0</v>
      </c>
      <c r="Q234" s="39"/>
      <c r="R234" s="3">
        <f>TABL12345[[#This Row],[خط (T/B  TOT) SAR]]-TABL12345[[#This Row],[(T/B TOT) AJD]]</f>
        <v>0</v>
      </c>
      <c r="S234" s="3">
        <f>TABL12345[[#This Row],[الفرق بين بداية ونهاية خط  S/S]]+TABL12345[[#This Row],[الفرق بين بداية ونهاية خط  T/B]]</f>
        <v>0</v>
      </c>
      <c r="T234" s="3">
        <f t="shared" si="12"/>
        <v>0</v>
      </c>
      <c r="U234" s="41"/>
      <c r="V234" s="41"/>
      <c r="W234" s="3">
        <f t="shared" si="13"/>
        <v>0</v>
      </c>
      <c r="X234" s="3">
        <f t="shared" si="14"/>
        <v>0</v>
      </c>
      <c r="Y234" s="41"/>
      <c r="Z234" s="43"/>
      <c r="AA234" s="3">
        <f>TABL12345[[#This Row],[(RESV. STORGE) AJD]]/10</f>
        <v>0</v>
      </c>
      <c r="AB234" s="43">
        <f t="shared" si="15"/>
        <v>0</v>
      </c>
      <c r="AC234" s="5"/>
      <c r="AD234" s="39">
        <f>(TABL12345[[#This Row],[( S/S+T/B) AJD]]*1000)-((TABL12345[[#This Row],[(STORGE DIFF.) AJD]]*1000)+TABL12345[[#This Row],[البخر  AJD]]+(TABL12345[[#This Row],[(A/B + A/S) AJD]]*1000))</f>
        <v>0</v>
      </c>
      <c r="AE234" s="41"/>
      <c r="AF234" s="43"/>
      <c r="AG234" s="43"/>
      <c r="AH234" s="6">
        <f>TABL12345[[#This Row],[ (RESV. STORGE) BER]]/10</f>
        <v>0</v>
      </c>
      <c r="AI234" s="41"/>
      <c r="AJ234" s="41">
        <f>TABL12345[[#This Row],[(A/B TOT) AJD]]-TABL12345[[#This Row],[BER_ IN]]</f>
        <v>0</v>
      </c>
      <c r="AK234" s="43"/>
      <c r="AL234" s="43"/>
      <c r="AM234" s="32"/>
      <c r="AN234" s="32">
        <f>TABL12345[[#This Row],[ (RESV. STORGE) SER]]/10</f>
        <v>0</v>
      </c>
      <c r="AO234" s="68"/>
      <c r="AP234" s="68">
        <f>TABL12345[[#This Row],[(A/S TOT) AJD]]-TABL12345[[#This Row],[SER_ IN]]</f>
        <v>0</v>
      </c>
    </row>
    <row r="235" spans="1:42" ht="18.75" x14ac:dyDescent="0.25">
      <c r="A235" s="2">
        <v>47352</v>
      </c>
      <c r="B235" s="44"/>
      <c r="C235" s="44"/>
      <c r="D235" s="44"/>
      <c r="E235" s="28"/>
      <c r="F235" s="44"/>
      <c r="G235" s="40"/>
      <c r="H235" s="28"/>
      <c r="I235" s="40"/>
      <c r="J235" s="44"/>
      <c r="K235" s="28">
        <f>TABL12345[[#This Row],[خط (T/B  TOT) SAR]]+TABL12345[[#This Row],[خط (S/S  TOT) SAR2]]</f>
        <v>0</v>
      </c>
      <c r="L235" s="45"/>
      <c r="M235" s="46"/>
      <c r="N235" s="46"/>
      <c r="O235" s="40"/>
      <c r="P235" s="3">
        <f>TABL12345[[#This Row],[خط (S/S  TOT) SAR2]]-TABL12345[[#This Row],[(S/S TOT) AJD]]</f>
        <v>0</v>
      </c>
      <c r="Q235" s="40"/>
      <c r="R235" s="3">
        <f>TABL12345[[#This Row],[خط (T/B  TOT) SAR]]-TABL12345[[#This Row],[(T/B TOT) AJD]]</f>
        <v>0</v>
      </c>
      <c r="S235" s="3">
        <f>TABL12345[[#This Row],[الفرق بين بداية ونهاية خط  S/S]]+TABL12345[[#This Row],[الفرق بين بداية ونهاية خط  T/B]]</f>
        <v>0</v>
      </c>
      <c r="T235" s="3">
        <f t="shared" si="12"/>
        <v>0</v>
      </c>
      <c r="U235" s="44"/>
      <c r="V235" s="44"/>
      <c r="W235" s="3">
        <f t="shared" si="13"/>
        <v>0</v>
      </c>
      <c r="X235" s="3">
        <f t="shared" si="14"/>
        <v>0</v>
      </c>
      <c r="Y235" s="44"/>
      <c r="Z235" s="45"/>
      <c r="AA235" s="3">
        <f>TABL12345[[#This Row],[(RESV. STORGE) AJD]]/10</f>
        <v>0</v>
      </c>
      <c r="AB235" s="45">
        <f t="shared" si="15"/>
        <v>0</v>
      </c>
      <c r="AC235" s="5"/>
      <c r="AD235" s="40">
        <f>(TABL12345[[#This Row],[( S/S+T/B) AJD]]*1000)-((TABL12345[[#This Row],[(STORGE DIFF.) AJD]]*1000)+TABL12345[[#This Row],[البخر  AJD]]+(TABL12345[[#This Row],[(A/B + A/S) AJD]]*1000))</f>
        <v>0</v>
      </c>
      <c r="AE235" s="44"/>
      <c r="AF235" s="45"/>
      <c r="AG235" s="45"/>
      <c r="AH235" s="6">
        <f>TABL12345[[#This Row],[ (RESV. STORGE) BER]]/10</f>
        <v>0</v>
      </c>
      <c r="AI235" s="44"/>
      <c r="AJ235" s="44">
        <f>TABL12345[[#This Row],[(A/B TOT) AJD]]-TABL12345[[#This Row],[BER_ IN]]</f>
        <v>0</v>
      </c>
      <c r="AK235" s="45"/>
      <c r="AL235" s="45"/>
      <c r="AM235" s="32"/>
      <c r="AN235" s="32">
        <f>TABL12345[[#This Row],[ (RESV. STORGE) SER]]/10</f>
        <v>0</v>
      </c>
      <c r="AO235" s="68"/>
      <c r="AP235" s="68">
        <f>TABL12345[[#This Row],[(A/S TOT) AJD]]-TABL12345[[#This Row],[SER_ IN]]</f>
        <v>0</v>
      </c>
    </row>
    <row r="236" spans="1:42" ht="18.75" x14ac:dyDescent="0.25">
      <c r="A236" s="2">
        <v>47353</v>
      </c>
      <c r="B236" s="41"/>
      <c r="C236" s="41"/>
      <c r="D236" s="41"/>
      <c r="E236" s="28"/>
      <c r="F236" s="41"/>
      <c r="G236" s="39"/>
      <c r="H236" s="28"/>
      <c r="I236" s="39"/>
      <c r="J236" s="39"/>
      <c r="K236" s="28">
        <f>TABL12345[[#This Row],[خط (T/B  TOT) SAR]]+TABL12345[[#This Row],[خط (S/S  TOT) SAR2]]</f>
        <v>0</v>
      </c>
      <c r="L236" s="41"/>
      <c r="M236" s="42"/>
      <c r="N236" s="42"/>
      <c r="O236" s="39"/>
      <c r="P236" s="3">
        <f>TABL12345[[#This Row],[خط (S/S  TOT) SAR2]]-TABL12345[[#This Row],[(S/S TOT) AJD]]</f>
        <v>0</v>
      </c>
      <c r="Q236" s="39"/>
      <c r="R236" s="3">
        <f>TABL12345[[#This Row],[خط (T/B  TOT) SAR]]-TABL12345[[#This Row],[(T/B TOT) AJD]]</f>
        <v>0</v>
      </c>
      <c r="S236" s="3">
        <f>TABL12345[[#This Row],[الفرق بين بداية ونهاية خط  S/S]]+TABL12345[[#This Row],[الفرق بين بداية ونهاية خط  T/B]]</f>
        <v>0</v>
      </c>
      <c r="T236" s="3">
        <f t="shared" si="12"/>
        <v>0</v>
      </c>
      <c r="U236" s="41"/>
      <c r="V236" s="41"/>
      <c r="W236" s="3">
        <f t="shared" si="13"/>
        <v>0</v>
      </c>
      <c r="X236" s="3">
        <f t="shared" si="14"/>
        <v>0</v>
      </c>
      <c r="Y236" s="41"/>
      <c r="Z236" s="43"/>
      <c r="AA236" s="3">
        <f>TABL12345[[#This Row],[(RESV. STORGE) AJD]]/10</f>
        <v>0</v>
      </c>
      <c r="AB236" s="43">
        <f t="shared" si="15"/>
        <v>0</v>
      </c>
      <c r="AC236" s="5"/>
      <c r="AD236" s="39">
        <f>(TABL12345[[#This Row],[( S/S+T/B) AJD]]*1000)-((TABL12345[[#This Row],[(STORGE DIFF.) AJD]]*1000)+TABL12345[[#This Row],[البخر  AJD]]+(TABL12345[[#This Row],[(A/B + A/S) AJD]]*1000))</f>
        <v>0</v>
      </c>
      <c r="AE236" s="41"/>
      <c r="AF236" s="43"/>
      <c r="AG236" s="43"/>
      <c r="AH236" s="6">
        <f>TABL12345[[#This Row],[ (RESV. STORGE) BER]]/10</f>
        <v>0</v>
      </c>
      <c r="AI236" s="41"/>
      <c r="AJ236" s="41">
        <f>TABL12345[[#This Row],[(A/B TOT) AJD]]-TABL12345[[#This Row],[BER_ IN]]</f>
        <v>0</v>
      </c>
      <c r="AK236" s="43"/>
      <c r="AL236" s="43"/>
      <c r="AM236" s="32"/>
      <c r="AN236" s="32">
        <f>TABL12345[[#This Row],[ (RESV. STORGE) SER]]/10</f>
        <v>0</v>
      </c>
      <c r="AO236" s="68"/>
      <c r="AP236" s="68">
        <f>TABL12345[[#This Row],[(A/S TOT) AJD]]-TABL12345[[#This Row],[SER_ IN]]</f>
        <v>0</v>
      </c>
    </row>
    <row r="237" spans="1:42" ht="18.75" x14ac:dyDescent="0.25">
      <c r="A237" s="2">
        <v>47354</v>
      </c>
      <c r="B237" s="44"/>
      <c r="C237" s="44"/>
      <c r="D237" s="44"/>
      <c r="E237" s="28"/>
      <c r="F237" s="44"/>
      <c r="G237" s="40"/>
      <c r="H237" s="28"/>
      <c r="I237" s="40"/>
      <c r="J237" s="44"/>
      <c r="K237" s="28">
        <f>TABL12345[[#This Row],[خط (T/B  TOT) SAR]]+TABL12345[[#This Row],[خط (S/S  TOT) SAR2]]</f>
        <v>0</v>
      </c>
      <c r="L237" s="45"/>
      <c r="M237" s="46"/>
      <c r="N237" s="46"/>
      <c r="O237" s="40"/>
      <c r="P237" s="3">
        <f>TABL12345[[#This Row],[خط (S/S  TOT) SAR2]]-TABL12345[[#This Row],[(S/S TOT) AJD]]</f>
        <v>0</v>
      </c>
      <c r="Q237" s="40"/>
      <c r="R237" s="3">
        <f>TABL12345[[#This Row],[خط (T/B  TOT) SAR]]-TABL12345[[#This Row],[(T/B TOT) AJD]]</f>
        <v>0</v>
      </c>
      <c r="S237" s="3">
        <f>TABL12345[[#This Row],[الفرق بين بداية ونهاية خط  S/S]]+TABL12345[[#This Row],[الفرق بين بداية ونهاية خط  T/B]]</f>
        <v>0</v>
      </c>
      <c r="T237" s="3">
        <f t="shared" si="12"/>
        <v>0</v>
      </c>
      <c r="U237" s="44"/>
      <c r="V237" s="44"/>
      <c r="W237" s="3">
        <f t="shared" si="13"/>
        <v>0</v>
      </c>
      <c r="X237" s="3">
        <f t="shared" si="14"/>
        <v>0</v>
      </c>
      <c r="Y237" s="44"/>
      <c r="Z237" s="45"/>
      <c r="AA237" s="3">
        <f>TABL12345[[#This Row],[(RESV. STORGE) AJD]]/10</f>
        <v>0</v>
      </c>
      <c r="AB237" s="45">
        <f t="shared" si="15"/>
        <v>0</v>
      </c>
      <c r="AC237" s="5"/>
      <c r="AD237" s="40">
        <f>(TABL12345[[#This Row],[( S/S+T/B) AJD]]*1000)-((TABL12345[[#This Row],[(STORGE DIFF.) AJD]]*1000)+TABL12345[[#This Row],[البخر  AJD]]+(TABL12345[[#This Row],[(A/B + A/S) AJD]]*1000))</f>
        <v>0</v>
      </c>
      <c r="AE237" s="44"/>
      <c r="AF237" s="45"/>
      <c r="AG237" s="45"/>
      <c r="AH237" s="6">
        <f>TABL12345[[#This Row],[ (RESV. STORGE) BER]]/10</f>
        <v>0</v>
      </c>
      <c r="AI237" s="44"/>
      <c r="AJ237" s="44">
        <f>TABL12345[[#This Row],[(A/B TOT) AJD]]-TABL12345[[#This Row],[BER_ IN]]</f>
        <v>0</v>
      </c>
      <c r="AK237" s="45"/>
      <c r="AL237" s="45"/>
      <c r="AM237" s="32"/>
      <c r="AN237" s="32">
        <f>TABL12345[[#This Row],[ (RESV. STORGE) SER]]/10</f>
        <v>0</v>
      </c>
      <c r="AO237" s="68"/>
      <c r="AP237" s="68">
        <f>TABL12345[[#This Row],[(A/S TOT) AJD]]-TABL12345[[#This Row],[SER_ IN]]</f>
        <v>0</v>
      </c>
    </row>
    <row r="238" spans="1:42" ht="18.75" x14ac:dyDescent="0.25">
      <c r="A238" s="2">
        <v>47355</v>
      </c>
      <c r="B238" s="41"/>
      <c r="C238" s="41"/>
      <c r="D238" s="41"/>
      <c r="E238" s="28"/>
      <c r="F238" s="41"/>
      <c r="G238" s="39"/>
      <c r="H238" s="28"/>
      <c r="I238" s="39"/>
      <c r="J238" s="39"/>
      <c r="K238" s="28">
        <f>TABL12345[[#This Row],[خط (T/B  TOT) SAR]]+TABL12345[[#This Row],[خط (S/S  TOT) SAR2]]</f>
        <v>0</v>
      </c>
      <c r="L238" s="41"/>
      <c r="M238" s="42"/>
      <c r="N238" s="42"/>
      <c r="O238" s="39"/>
      <c r="P238" s="3">
        <f>TABL12345[[#This Row],[خط (S/S  TOT) SAR2]]-TABL12345[[#This Row],[(S/S TOT) AJD]]</f>
        <v>0</v>
      </c>
      <c r="Q238" s="39"/>
      <c r="R238" s="3">
        <f>TABL12345[[#This Row],[خط (T/B  TOT) SAR]]-TABL12345[[#This Row],[(T/B TOT) AJD]]</f>
        <v>0</v>
      </c>
      <c r="S238" s="3">
        <f>TABL12345[[#This Row],[الفرق بين بداية ونهاية خط  S/S]]+TABL12345[[#This Row],[الفرق بين بداية ونهاية خط  T/B]]</f>
        <v>0</v>
      </c>
      <c r="T238" s="3">
        <f t="shared" si="12"/>
        <v>0</v>
      </c>
      <c r="U238" s="41"/>
      <c r="V238" s="41"/>
      <c r="W238" s="3">
        <f t="shared" si="13"/>
        <v>0</v>
      </c>
      <c r="X238" s="3">
        <f t="shared" si="14"/>
        <v>0</v>
      </c>
      <c r="Y238" s="41"/>
      <c r="Z238" s="43"/>
      <c r="AA238" s="3">
        <f>TABL12345[[#This Row],[(RESV. STORGE) AJD]]/10</f>
        <v>0</v>
      </c>
      <c r="AB238" s="43">
        <f t="shared" si="15"/>
        <v>0</v>
      </c>
      <c r="AC238" s="5"/>
      <c r="AD238" s="39">
        <f>(TABL12345[[#This Row],[( S/S+T/B) AJD]]*1000)-((TABL12345[[#This Row],[(STORGE DIFF.) AJD]]*1000)+TABL12345[[#This Row],[البخر  AJD]]+(TABL12345[[#This Row],[(A/B + A/S) AJD]]*1000))</f>
        <v>0</v>
      </c>
      <c r="AE238" s="41"/>
      <c r="AF238" s="43"/>
      <c r="AG238" s="43"/>
      <c r="AH238" s="6">
        <f>TABL12345[[#This Row],[ (RESV. STORGE) BER]]/10</f>
        <v>0</v>
      </c>
      <c r="AI238" s="41"/>
      <c r="AJ238" s="41">
        <f>TABL12345[[#This Row],[(A/B TOT) AJD]]-TABL12345[[#This Row],[BER_ IN]]</f>
        <v>0</v>
      </c>
      <c r="AK238" s="43"/>
      <c r="AL238" s="43"/>
      <c r="AM238" s="32"/>
      <c r="AN238" s="32">
        <f>TABL12345[[#This Row],[ (RESV. STORGE) SER]]/10</f>
        <v>0</v>
      </c>
      <c r="AO238" s="68"/>
      <c r="AP238" s="68">
        <f>TABL12345[[#This Row],[(A/S TOT) AJD]]-TABL12345[[#This Row],[SER_ IN]]</f>
        <v>0</v>
      </c>
    </row>
    <row r="239" spans="1:42" ht="18.75" x14ac:dyDescent="0.25">
      <c r="A239" s="2">
        <v>47356</v>
      </c>
      <c r="B239" s="44"/>
      <c r="C239" s="44"/>
      <c r="D239" s="44"/>
      <c r="E239" s="28"/>
      <c r="F239" s="44"/>
      <c r="G239" s="40"/>
      <c r="H239" s="28"/>
      <c r="I239" s="40"/>
      <c r="J239" s="44"/>
      <c r="K239" s="28">
        <f>TABL12345[[#This Row],[خط (T/B  TOT) SAR]]+TABL12345[[#This Row],[خط (S/S  TOT) SAR2]]</f>
        <v>0</v>
      </c>
      <c r="L239" s="45"/>
      <c r="M239" s="46"/>
      <c r="N239" s="46"/>
      <c r="O239" s="40"/>
      <c r="P239" s="3">
        <f>TABL12345[[#This Row],[خط (S/S  TOT) SAR2]]-TABL12345[[#This Row],[(S/S TOT) AJD]]</f>
        <v>0</v>
      </c>
      <c r="Q239" s="40"/>
      <c r="R239" s="3">
        <f>TABL12345[[#This Row],[خط (T/B  TOT) SAR]]-TABL12345[[#This Row],[(T/B TOT) AJD]]</f>
        <v>0</v>
      </c>
      <c r="S239" s="3">
        <f>TABL12345[[#This Row],[الفرق بين بداية ونهاية خط  S/S]]+TABL12345[[#This Row],[الفرق بين بداية ونهاية خط  T/B]]</f>
        <v>0</v>
      </c>
      <c r="T239" s="3">
        <f t="shared" si="12"/>
        <v>0</v>
      </c>
      <c r="U239" s="44"/>
      <c r="V239" s="44"/>
      <c r="W239" s="3">
        <f t="shared" si="13"/>
        <v>0</v>
      </c>
      <c r="X239" s="3">
        <f t="shared" si="14"/>
        <v>0</v>
      </c>
      <c r="Y239" s="44"/>
      <c r="Z239" s="45"/>
      <c r="AA239" s="3">
        <f>TABL12345[[#This Row],[(RESV. STORGE) AJD]]/10</f>
        <v>0</v>
      </c>
      <c r="AB239" s="45">
        <f t="shared" si="15"/>
        <v>0</v>
      </c>
      <c r="AC239" s="5"/>
      <c r="AD239" s="40">
        <f>(TABL12345[[#This Row],[( S/S+T/B) AJD]]*1000)-((TABL12345[[#This Row],[(STORGE DIFF.) AJD]]*1000)+TABL12345[[#This Row],[البخر  AJD]]+(TABL12345[[#This Row],[(A/B + A/S) AJD]]*1000))</f>
        <v>0</v>
      </c>
      <c r="AE239" s="44"/>
      <c r="AF239" s="45"/>
      <c r="AG239" s="45"/>
      <c r="AH239" s="6">
        <f>TABL12345[[#This Row],[ (RESV. STORGE) BER]]/10</f>
        <v>0</v>
      </c>
      <c r="AI239" s="44"/>
      <c r="AJ239" s="44">
        <f>TABL12345[[#This Row],[(A/B TOT) AJD]]-TABL12345[[#This Row],[BER_ IN]]</f>
        <v>0</v>
      </c>
      <c r="AK239" s="45"/>
      <c r="AL239" s="45"/>
      <c r="AM239" s="32"/>
      <c r="AN239" s="32">
        <f>TABL12345[[#This Row],[ (RESV. STORGE) SER]]/10</f>
        <v>0</v>
      </c>
      <c r="AO239" s="68"/>
      <c r="AP239" s="68">
        <f>TABL12345[[#This Row],[(A/S TOT) AJD]]-TABL12345[[#This Row],[SER_ IN]]</f>
        <v>0</v>
      </c>
    </row>
    <row r="240" spans="1:42" ht="18.75" x14ac:dyDescent="0.25">
      <c r="A240" s="2">
        <v>47357</v>
      </c>
      <c r="B240" s="41"/>
      <c r="C240" s="41"/>
      <c r="D240" s="41"/>
      <c r="E240" s="28"/>
      <c r="F240" s="41"/>
      <c r="G240" s="39"/>
      <c r="H240" s="28"/>
      <c r="I240" s="39"/>
      <c r="J240" s="39"/>
      <c r="K240" s="28">
        <f>TABL12345[[#This Row],[خط (T/B  TOT) SAR]]+TABL12345[[#This Row],[خط (S/S  TOT) SAR2]]</f>
        <v>0</v>
      </c>
      <c r="L240" s="41"/>
      <c r="M240" s="42"/>
      <c r="N240" s="42"/>
      <c r="O240" s="39"/>
      <c r="P240" s="3">
        <f>TABL12345[[#This Row],[خط (S/S  TOT) SAR2]]-TABL12345[[#This Row],[(S/S TOT) AJD]]</f>
        <v>0</v>
      </c>
      <c r="Q240" s="39"/>
      <c r="R240" s="3">
        <f>TABL12345[[#This Row],[خط (T/B  TOT) SAR]]-TABL12345[[#This Row],[(T/B TOT) AJD]]</f>
        <v>0</v>
      </c>
      <c r="S240" s="3">
        <f>TABL12345[[#This Row],[الفرق بين بداية ونهاية خط  S/S]]+TABL12345[[#This Row],[الفرق بين بداية ونهاية خط  T/B]]</f>
        <v>0</v>
      </c>
      <c r="T240" s="3">
        <f t="shared" si="12"/>
        <v>0</v>
      </c>
      <c r="U240" s="41"/>
      <c r="V240" s="41"/>
      <c r="W240" s="3">
        <f t="shared" si="13"/>
        <v>0</v>
      </c>
      <c r="X240" s="3">
        <f t="shared" si="14"/>
        <v>0</v>
      </c>
      <c r="Y240" s="41"/>
      <c r="Z240" s="43"/>
      <c r="AA240" s="3">
        <f>TABL12345[[#This Row],[(RESV. STORGE) AJD]]/10</f>
        <v>0</v>
      </c>
      <c r="AB240" s="43">
        <f t="shared" si="15"/>
        <v>0</v>
      </c>
      <c r="AC240" s="5"/>
      <c r="AD240" s="39">
        <f>(TABL12345[[#This Row],[( S/S+T/B) AJD]]*1000)-((TABL12345[[#This Row],[(STORGE DIFF.) AJD]]*1000)+TABL12345[[#This Row],[البخر  AJD]]+(TABL12345[[#This Row],[(A/B + A/S) AJD]]*1000))</f>
        <v>0</v>
      </c>
      <c r="AE240" s="41"/>
      <c r="AF240" s="43"/>
      <c r="AG240" s="43"/>
      <c r="AH240" s="6">
        <f>TABL12345[[#This Row],[ (RESV. STORGE) BER]]/10</f>
        <v>0</v>
      </c>
      <c r="AI240" s="41"/>
      <c r="AJ240" s="41">
        <f>TABL12345[[#This Row],[(A/B TOT) AJD]]-TABL12345[[#This Row],[BER_ IN]]</f>
        <v>0</v>
      </c>
      <c r="AK240" s="43"/>
      <c r="AL240" s="43"/>
      <c r="AM240" s="32"/>
      <c r="AN240" s="32">
        <f>TABL12345[[#This Row],[ (RESV. STORGE) SER]]/10</f>
        <v>0</v>
      </c>
      <c r="AO240" s="68"/>
      <c r="AP240" s="68">
        <f>TABL12345[[#This Row],[(A/S TOT) AJD]]-TABL12345[[#This Row],[SER_ IN]]</f>
        <v>0</v>
      </c>
    </row>
    <row r="241" spans="1:42" ht="18.75" x14ac:dyDescent="0.25">
      <c r="A241" s="2">
        <v>47358</v>
      </c>
      <c r="B241" s="44"/>
      <c r="C241" s="44"/>
      <c r="D241" s="44"/>
      <c r="E241" s="28"/>
      <c r="F241" s="44"/>
      <c r="G241" s="40"/>
      <c r="H241" s="28"/>
      <c r="I241" s="40"/>
      <c r="J241" s="44"/>
      <c r="K241" s="28">
        <f>TABL12345[[#This Row],[خط (T/B  TOT) SAR]]+TABL12345[[#This Row],[خط (S/S  TOT) SAR2]]</f>
        <v>0</v>
      </c>
      <c r="L241" s="45"/>
      <c r="M241" s="46"/>
      <c r="N241" s="46"/>
      <c r="O241" s="40"/>
      <c r="P241" s="3">
        <f>TABL12345[[#This Row],[خط (S/S  TOT) SAR2]]-TABL12345[[#This Row],[(S/S TOT) AJD]]</f>
        <v>0</v>
      </c>
      <c r="Q241" s="40"/>
      <c r="R241" s="3">
        <f>TABL12345[[#This Row],[خط (T/B  TOT) SAR]]-TABL12345[[#This Row],[(T/B TOT) AJD]]</f>
        <v>0</v>
      </c>
      <c r="S241" s="3">
        <f>TABL12345[[#This Row],[الفرق بين بداية ونهاية خط  S/S]]+TABL12345[[#This Row],[الفرق بين بداية ونهاية خط  T/B]]</f>
        <v>0</v>
      </c>
      <c r="T241" s="3">
        <f t="shared" si="12"/>
        <v>0</v>
      </c>
      <c r="U241" s="44"/>
      <c r="V241" s="44"/>
      <c r="W241" s="3">
        <f t="shared" si="13"/>
        <v>0</v>
      </c>
      <c r="X241" s="3">
        <f t="shared" si="14"/>
        <v>0</v>
      </c>
      <c r="Y241" s="44"/>
      <c r="Z241" s="45"/>
      <c r="AA241" s="3">
        <f>TABL12345[[#This Row],[(RESV. STORGE) AJD]]/10</f>
        <v>0</v>
      </c>
      <c r="AB241" s="45">
        <f t="shared" si="15"/>
        <v>0</v>
      </c>
      <c r="AC241" s="5"/>
      <c r="AD241" s="40">
        <f>(TABL12345[[#This Row],[( S/S+T/B) AJD]]*1000)-((TABL12345[[#This Row],[(STORGE DIFF.) AJD]]*1000)+TABL12345[[#This Row],[البخر  AJD]]+(TABL12345[[#This Row],[(A/B + A/S) AJD]]*1000))</f>
        <v>0</v>
      </c>
      <c r="AE241" s="44"/>
      <c r="AF241" s="45"/>
      <c r="AG241" s="45"/>
      <c r="AH241" s="6">
        <f>TABL12345[[#This Row],[ (RESV. STORGE) BER]]/10</f>
        <v>0</v>
      </c>
      <c r="AI241" s="44"/>
      <c r="AJ241" s="44">
        <f>TABL12345[[#This Row],[(A/B TOT) AJD]]-TABL12345[[#This Row],[BER_ IN]]</f>
        <v>0</v>
      </c>
      <c r="AK241" s="45"/>
      <c r="AL241" s="45"/>
      <c r="AM241" s="32"/>
      <c r="AN241" s="32">
        <f>TABL12345[[#This Row],[ (RESV. STORGE) SER]]/10</f>
        <v>0</v>
      </c>
      <c r="AO241" s="68"/>
      <c r="AP241" s="68">
        <f>TABL12345[[#This Row],[(A/S TOT) AJD]]-TABL12345[[#This Row],[SER_ IN]]</f>
        <v>0</v>
      </c>
    </row>
    <row r="242" spans="1:42" ht="18.75" x14ac:dyDescent="0.25">
      <c r="A242" s="2">
        <v>47359</v>
      </c>
      <c r="B242" s="41"/>
      <c r="C242" s="41"/>
      <c r="D242" s="41"/>
      <c r="E242" s="28"/>
      <c r="F242" s="41"/>
      <c r="G242" s="39"/>
      <c r="H242" s="28"/>
      <c r="I242" s="39"/>
      <c r="J242" s="39"/>
      <c r="K242" s="28">
        <f>TABL12345[[#This Row],[خط (T/B  TOT) SAR]]+TABL12345[[#This Row],[خط (S/S  TOT) SAR2]]</f>
        <v>0</v>
      </c>
      <c r="L242" s="41"/>
      <c r="M242" s="42"/>
      <c r="N242" s="42"/>
      <c r="O242" s="39"/>
      <c r="P242" s="3">
        <f>TABL12345[[#This Row],[خط (S/S  TOT) SAR2]]-TABL12345[[#This Row],[(S/S TOT) AJD]]</f>
        <v>0</v>
      </c>
      <c r="Q242" s="39"/>
      <c r="R242" s="3">
        <f>TABL12345[[#This Row],[خط (T/B  TOT) SAR]]-TABL12345[[#This Row],[(T/B TOT) AJD]]</f>
        <v>0</v>
      </c>
      <c r="S242" s="3">
        <f>TABL12345[[#This Row],[الفرق بين بداية ونهاية خط  S/S]]+TABL12345[[#This Row],[الفرق بين بداية ونهاية خط  T/B]]</f>
        <v>0</v>
      </c>
      <c r="T242" s="3">
        <f t="shared" si="12"/>
        <v>0</v>
      </c>
      <c r="U242" s="41"/>
      <c r="V242" s="41"/>
      <c r="W242" s="3">
        <f t="shared" si="13"/>
        <v>0</v>
      </c>
      <c r="X242" s="3">
        <f t="shared" si="14"/>
        <v>0</v>
      </c>
      <c r="Y242" s="41"/>
      <c r="Z242" s="43"/>
      <c r="AA242" s="3">
        <f>TABL12345[[#This Row],[(RESV. STORGE) AJD]]/10</f>
        <v>0</v>
      </c>
      <c r="AB242" s="43">
        <f t="shared" si="15"/>
        <v>0</v>
      </c>
      <c r="AC242" s="5"/>
      <c r="AD242" s="39">
        <f>(TABL12345[[#This Row],[( S/S+T/B) AJD]]*1000)-((TABL12345[[#This Row],[(STORGE DIFF.) AJD]]*1000)+TABL12345[[#This Row],[البخر  AJD]]+(TABL12345[[#This Row],[(A/B + A/S) AJD]]*1000))</f>
        <v>0</v>
      </c>
      <c r="AE242" s="41"/>
      <c r="AF242" s="43"/>
      <c r="AG242" s="43"/>
      <c r="AH242" s="6">
        <f>TABL12345[[#This Row],[ (RESV. STORGE) BER]]/10</f>
        <v>0</v>
      </c>
      <c r="AI242" s="41"/>
      <c r="AJ242" s="41">
        <f>TABL12345[[#This Row],[(A/B TOT) AJD]]-TABL12345[[#This Row],[BER_ IN]]</f>
        <v>0</v>
      </c>
      <c r="AK242" s="43"/>
      <c r="AL242" s="43"/>
      <c r="AM242" s="32"/>
      <c r="AN242" s="32">
        <f>TABL12345[[#This Row],[ (RESV. STORGE) SER]]/10</f>
        <v>0</v>
      </c>
      <c r="AO242" s="68"/>
      <c r="AP242" s="68">
        <f>TABL12345[[#This Row],[(A/S TOT) AJD]]-TABL12345[[#This Row],[SER_ IN]]</f>
        <v>0</v>
      </c>
    </row>
    <row r="243" spans="1:42" ht="18.75" x14ac:dyDescent="0.25">
      <c r="A243" s="2">
        <v>47360</v>
      </c>
      <c r="B243" s="44"/>
      <c r="C243" s="44"/>
      <c r="D243" s="44"/>
      <c r="E243" s="28"/>
      <c r="F243" s="44"/>
      <c r="G243" s="40"/>
      <c r="H243" s="28"/>
      <c r="I243" s="40"/>
      <c r="J243" s="44"/>
      <c r="K243" s="28">
        <f>TABL12345[[#This Row],[خط (T/B  TOT) SAR]]+TABL12345[[#This Row],[خط (S/S  TOT) SAR2]]</f>
        <v>0</v>
      </c>
      <c r="L243" s="45"/>
      <c r="M243" s="46"/>
      <c r="N243" s="46"/>
      <c r="O243" s="40"/>
      <c r="P243" s="3">
        <f>TABL12345[[#This Row],[خط (S/S  TOT) SAR2]]-TABL12345[[#This Row],[(S/S TOT) AJD]]</f>
        <v>0</v>
      </c>
      <c r="Q243" s="40"/>
      <c r="R243" s="3">
        <f>TABL12345[[#This Row],[خط (T/B  TOT) SAR]]-TABL12345[[#This Row],[(T/B TOT) AJD]]</f>
        <v>0</v>
      </c>
      <c r="S243" s="3">
        <f>TABL12345[[#This Row],[الفرق بين بداية ونهاية خط  S/S]]+TABL12345[[#This Row],[الفرق بين بداية ونهاية خط  T/B]]</f>
        <v>0</v>
      </c>
      <c r="T243" s="3">
        <f t="shared" si="12"/>
        <v>0</v>
      </c>
      <c r="U243" s="44"/>
      <c r="V243" s="44"/>
      <c r="W243" s="3">
        <f t="shared" si="13"/>
        <v>0</v>
      </c>
      <c r="X243" s="3">
        <f t="shared" si="14"/>
        <v>0</v>
      </c>
      <c r="Y243" s="44"/>
      <c r="Z243" s="45"/>
      <c r="AA243" s="3">
        <f>TABL12345[[#This Row],[(RESV. STORGE) AJD]]/10</f>
        <v>0</v>
      </c>
      <c r="AB243" s="45">
        <f t="shared" si="15"/>
        <v>0</v>
      </c>
      <c r="AC243" s="5"/>
      <c r="AD243" s="70">
        <f>(TABL12345[[#This Row],[( S/S+T/B) AJD]]*1000)-((TABL12345[[#This Row],[(STORGE DIFF.) AJD]]*1000)+TABL12345[[#This Row],[البخر  AJD]]+(TABL12345[[#This Row],[(A/B + A/S) AJD]]*1000))</f>
        <v>0</v>
      </c>
      <c r="AE243" s="44"/>
      <c r="AF243" s="45"/>
      <c r="AG243" s="45"/>
      <c r="AH243" s="6">
        <f>TABL12345[[#This Row],[ (RESV. STORGE) BER]]/10</f>
        <v>0</v>
      </c>
      <c r="AI243" s="44"/>
      <c r="AJ243" s="67">
        <f>TABL12345[[#This Row],[(A/B TOT) AJD]]-TABL12345[[#This Row],[BER_ IN]]</f>
        <v>0</v>
      </c>
      <c r="AK243" s="45"/>
      <c r="AL243" s="45"/>
      <c r="AM243" s="32"/>
      <c r="AN243" s="32">
        <f>TABL12345[[#This Row],[ (RESV. STORGE) SER]]/10</f>
        <v>0</v>
      </c>
      <c r="AO243" s="68"/>
      <c r="AP243" s="68">
        <f>TABL12345[[#This Row],[(A/S TOT) AJD]]-TABL12345[[#This Row],[SER_ IN]]</f>
        <v>0</v>
      </c>
    </row>
    <row r="244" spans="1:42" ht="18.75" x14ac:dyDescent="0.25">
      <c r="A244" s="2">
        <v>47361</v>
      </c>
      <c r="B244" s="41"/>
      <c r="C244" s="41"/>
      <c r="D244" s="41"/>
      <c r="E244" s="28"/>
      <c r="F244" s="41"/>
      <c r="G244" s="39"/>
      <c r="H244" s="28"/>
      <c r="I244" s="39"/>
      <c r="J244" s="39"/>
      <c r="K244" s="28">
        <f>TABL12345[[#This Row],[خط (T/B  TOT) SAR]]+TABL12345[[#This Row],[خط (S/S  TOT) SAR2]]</f>
        <v>0</v>
      </c>
      <c r="L244" s="41"/>
      <c r="M244" s="42"/>
      <c r="N244" s="42"/>
      <c r="O244" s="39"/>
      <c r="P244" s="3">
        <f>TABL12345[[#This Row],[خط (S/S  TOT) SAR2]]-TABL12345[[#This Row],[(S/S TOT) AJD]]</f>
        <v>0</v>
      </c>
      <c r="Q244" s="39"/>
      <c r="R244" s="3">
        <f>TABL12345[[#This Row],[خط (T/B  TOT) SAR]]-TABL12345[[#This Row],[(T/B TOT) AJD]]</f>
        <v>0</v>
      </c>
      <c r="S244" s="3">
        <f>TABL12345[[#This Row],[الفرق بين بداية ونهاية خط  S/S]]+TABL12345[[#This Row],[الفرق بين بداية ونهاية خط  T/B]]</f>
        <v>0</v>
      </c>
      <c r="T244" s="3">
        <f t="shared" si="12"/>
        <v>0</v>
      </c>
      <c r="U244" s="41"/>
      <c r="V244" s="41"/>
      <c r="W244" s="3">
        <f t="shared" si="13"/>
        <v>0</v>
      </c>
      <c r="X244" s="3">
        <f t="shared" si="14"/>
        <v>0</v>
      </c>
      <c r="Y244" s="41"/>
      <c r="Z244" s="43"/>
      <c r="AA244" s="3">
        <f>TABL12345[[#This Row],[(RESV. STORGE) AJD]]/10</f>
        <v>0</v>
      </c>
      <c r="AB244" s="43">
        <f t="shared" si="15"/>
        <v>0</v>
      </c>
      <c r="AC244" s="5"/>
      <c r="AD244" s="39">
        <f>(TABL12345[[#This Row],[( S/S+T/B) AJD]]*1000)-((TABL12345[[#This Row],[(STORGE DIFF.) AJD]]*1000)+TABL12345[[#This Row],[البخر  AJD]]+(TABL12345[[#This Row],[(A/B + A/S) AJD]]*1000))</f>
        <v>0</v>
      </c>
      <c r="AE244" s="41"/>
      <c r="AF244" s="43"/>
      <c r="AG244" s="43"/>
      <c r="AH244" s="6">
        <f>TABL12345[[#This Row],[ (RESV. STORGE) BER]]/10</f>
        <v>0</v>
      </c>
      <c r="AI244" s="41"/>
      <c r="AJ244" s="41">
        <f>TABL12345[[#This Row],[(A/B TOT) AJD]]-TABL12345[[#This Row],[BER_ IN]]</f>
        <v>0</v>
      </c>
      <c r="AK244" s="43"/>
      <c r="AL244" s="43"/>
      <c r="AM244" s="32"/>
      <c r="AN244" s="32">
        <f>TABL12345[[#This Row],[ (RESV. STORGE) SER]]/10</f>
        <v>0</v>
      </c>
      <c r="AO244" s="68"/>
      <c r="AP244" s="68">
        <f>TABL12345[[#This Row],[(A/S TOT) AJD]]-TABL12345[[#This Row],[SER_ IN]]</f>
        <v>0</v>
      </c>
    </row>
    <row r="245" spans="1:42" ht="18.75" x14ac:dyDescent="0.25">
      <c r="A245" s="2">
        <v>47362</v>
      </c>
      <c r="B245" s="41"/>
      <c r="C245" s="41"/>
      <c r="D245" s="41"/>
      <c r="E245" s="35"/>
      <c r="F245" s="41"/>
      <c r="G245" s="39"/>
      <c r="H245" s="34"/>
      <c r="I245" s="39"/>
      <c r="J245" s="39"/>
      <c r="K245" s="34">
        <f>TABL12345[[#This Row],[خط (T/B  TOT) SAR]]+TABL12345[[#This Row],[خط (S/S  TOT) SAR2]]</f>
        <v>0</v>
      </c>
      <c r="L245" s="41"/>
      <c r="M245" s="42"/>
      <c r="N245" s="42"/>
      <c r="O245" s="39"/>
      <c r="P245" s="14">
        <f>TABL12345[[#This Row],[خط (S/S  TOT) SAR2]]-TABL12345[[#This Row],[(S/S TOT) AJD]]</f>
        <v>0</v>
      </c>
      <c r="Q245" s="39"/>
      <c r="R245" s="14">
        <f>TABL12345[[#This Row],[خط (T/B  TOT) SAR]]-TABL12345[[#This Row],[(T/B TOT) AJD]]</f>
        <v>0</v>
      </c>
      <c r="S245" s="14">
        <f>TABL12345[[#This Row],[الفرق بين بداية ونهاية خط  S/S]]+TABL12345[[#This Row],[الفرق بين بداية ونهاية خط  T/B]]</f>
        <v>0</v>
      </c>
      <c r="T245" s="9">
        <f t="shared" si="12"/>
        <v>0</v>
      </c>
      <c r="U245" s="41"/>
      <c r="V245" s="41"/>
      <c r="W245" s="9">
        <f t="shared" si="13"/>
        <v>0</v>
      </c>
      <c r="X245" s="9">
        <f t="shared" si="14"/>
        <v>0</v>
      </c>
      <c r="Y245" s="41"/>
      <c r="Z245" s="43"/>
      <c r="AA245" s="3">
        <f>TABL12345[[#This Row],[(RESV. STORGE) AJD]]/10</f>
        <v>0</v>
      </c>
      <c r="AB245" s="43">
        <f t="shared" si="15"/>
        <v>0</v>
      </c>
      <c r="AC245" s="5"/>
      <c r="AD245" s="39">
        <f>(TABL12345[[#This Row],[( S/S+T/B) AJD]]*1000)-((TABL12345[[#This Row],[(STORGE DIFF.) AJD]]*1000)+TABL12345[[#This Row],[البخر  AJD]]+(TABL12345[[#This Row],[(A/B + A/S) AJD]]*1000))</f>
        <v>0</v>
      </c>
      <c r="AE245" s="41"/>
      <c r="AF245" s="43"/>
      <c r="AG245" s="43"/>
      <c r="AH245" s="6">
        <f>TABL12345[[#This Row],[ (RESV. STORGE) BER]]/10</f>
        <v>0</v>
      </c>
      <c r="AI245" s="41"/>
      <c r="AJ245" s="41">
        <f>TABL12345[[#This Row],[(A/B TOT) AJD]]-TABL12345[[#This Row],[BER_ IN]]</f>
        <v>0</v>
      </c>
      <c r="AK245" s="43"/>
      <c r="AL245" s="43"/>
      <c r="AM245" s="32"/>
      <c r="AN245" s="32">
        <f>TABL12345[[#This Row],[ (RESV. STORGE) SER]]/10</f>
        <v>0</v>
      </c>
      <c r="AO245" s="68"/>
      <c r="AP245" s="68">
        <f>TABL12345[[#This Row],[(A/S TOT) AJD]]-TABL12345[[#This Row],[SER_ IN]]</f>
        <v>0</v>
      </c>
    </row>
    <row r="246" spans="1:42" ht="18.75" x14ac:dyDescent="0.25">
      <c r="A246" s="2">
        <v>47363</v>
      </c>
      <c r="B246" s="44"/>
      <c r="C246" s="44"/>
      <c r="D246" s="44"/>
      <c r="E246" s="35"/>
      <c r="F246" s="44"/>
      <c r="G246" s="40"/>
      <c r="H246" s="34"/>
      <c r="I246" s="40"/>
      <c r="J246" s="44"/>
      <c r="K246" s="34">
        <f>TABL12345[[#This Row],[خط (T/B  TOT) SAR]]+TABL12345[[#This Row],[خط (S/S  TOT) SAR2]]</f>
        <v>0</v>
      </c>
      <c r="L246" s="45"/>
      <c r="M246" s="46"/>
      <c r="N246" s="46"/>
      <c r="O246" s="40"/>
      <c r="P246" s="14">
        <f>TABL12345[[#This Row],[خط (S/S  TOT) SAR2]]-TABL12345[[#This Row],[(S/S TOT) AJD]]</f>
        <v>0</v>
      </c>
      <c r="Q246" s="40"/>
      <c r="R246" s="14">
        <f>TABL12345[[#This Row],[خط (T/B  TOT) SAR]]-TABL12345[[#This Row],[(T/B TOT) AJD]]</f>
        <v>0</v>
      </c>
      <c r="S246" s="14">
        <f>TABL12345[[#This Row],[الفرق بين بداية ونهاية خط  S/S]]+TABL12345[[#This Row],[الفرق بين بداية ونهاية خط  T/B]]</f>
        <v>0</v>
      </c>
      <c r="T246" s="9">
        <f t="shared" si="12"/>
        <v>0</v>
      </c>
      <c r="U246" s="44"/>
      <c r="V246" s="44"/>
      <c r="W246" s="9">
        <f t="shared" si="13"/>
        <v>0</v>
      </c>
      <c r="X246" s="9">
        <f t="shared" si="14"/>
        <v>0</v>
      </c>
      <c r="Y246" s="44"/>
      <c r="Z246" s="45"/>
      <c r="AA246" s="3">
        <f>TABL12345[[#This Row],[(RESV. STORGE) AJD]]/10</f>
        <v>0</v>
      </c>
      <c r="AB246" s="45">
        <f t="shared" si="15"/>
        <v>0</v>
      </c>
      <c r="AC246" s="5"/>
      <c r="AD246" s="40">
        <f>(TABL12345[[#This Row],[( S/S+T/B) AJD]]*1000)-((TABL12345[[#This Row],[(STORGE DIFF.) AJD]]*1000)+TABL12345[[#This Row],[البخر  AJD]]+(TABL12345[[#This Row],[(A/B + A/S) AJD]]*1000))</f>
        <v>0</v>
      </c>
      <c r="AE246" s="44"/>
      <c r="AF246" s="45"/>
      <c r="AG246" s="45"/>
      <c r="AH246" s="6">
        <f>TABL12345[[#This Row],[ (RESV. STORGE) BER]]/10</f>
        <v>0</v>
      </c>
      <c r="AI246" s="44"/>
      <c r="AJ246" s="44">
        <f>TABL12345[[#This Row],[(A/B TOT) AJD]]-TABL12345[[#This Row],[BER_ IN]]</f>
        <v>0</v>
      </c>
      <c r="AK246" s="45"/>
      <c r="AL246" s="45"/>
      <c r="AM246" s="32"/>
      <c r="AN246" s="32">
        <f>TABL12345[[#This Row],[ (RESV. STORGE) SER]]/10</f>
        <v>0</v>
      </c>
      <c r="AO246" s="68"/>
      <c r="AP246" s="68">
        <f>TABL12345[[#This Row],[(A/S TOT) AJD]]-TABL12345[[#This Row],[SER_ IN]]</f>
        <v>0</v>
      </c>
    </row>
    <row r="247" spans="1:42" ht="18.75" x14ac:dyDescent="0.25">
      <c r="A247" s="2">
        <v>47364</v>
      </c>
      <c r="B247" s="41"/>
      <c r="C247" s="41"/>
      <c r="D247" s="41"/>
      <c r="E247" s="35"/>
      <c r="F247" s="41"/>
      <c r="G247" s="39"/>
      <c r="H247" s="34"/>
      <c r="I247" s="39"/>
      <c r="J247" s="39"/>
      <c r="K247" s="34">
        <f>TABL12345[[#This Row],[خط (T/B  TOT) SAR]]+TABL12345[[#This Row],[خط (S/S  TOT) SAR2]]</f>
        <v>0</v>
      </c>
      <c r="L247" s="41"/>
      <c r="M247" s="42"/>
      <c r="N247" s="42"/>
      <c r="O247" s="39"/>
      <c r="P247" s="14">
        <f>TABL12345[[#This Row],[خط (S/S  TOT) SAR2]]-TABL12345[[#This Row],[(S/S TOT) AJD]]</f>
        <v>0</v>
      </c>
      <c r="Q247" s="39"/>
      <c r="R247" s="14">
        <f>TABL12345[[#This Row],[خط (T/B  TOT) SAR]]-TABL12345[[#This Row],[(T/B TOT) AJD]]</f>
        <v>0</v>
      </c>
      <c r="S247" s="14">
        <f>TABL12345[[#This Row],[الفرق بين بداية ونهاية خط  S/S]]+TABL12345[[#This Row],[الفرق بين بداية ونهاية خط  T/B]]</f>
        <v>0</v>
      </c>
      <c r="T247" s="9">
        <f t="shared" si="12"/>
        <v>0</v>
      </c>
      <c r="U247" s="41"/>
      <c r="V247" s="41"/>
      <c r="W247" s="9">
        <f t="shared" si="13"/>
        <v>0</v>
      </c>
      <c r="X247" s="9">
        <f t="shared" si="14"/>
        <v>0</v>
      </c>
      <c r="Y247" s="41"/>
      <c r="Z247" s="43"/>
      <c r="AA247" s="3">
        <f>TABL12345[[#This Row],[(RESV. STORGE) AJD]]/10</f>
        <v>0</v>
      </c>
      <c r="AB247" s="43">
        <f t="shared" si="15"/>
        <v>0</v>
      </c>
      <c r="AC247" s="5"/>
      <c r="AD247" s="39">
        <f>(TABL12345[[#This Row],[( S/S+T/B) AJD]]*1000)-((TABL12345[[#This Row],[(STORGE DIFF.) AJD]]*1000)+TABL12345[[#This Row],[البخر  AJD]]+(TABL12345[[#This Row],[(A/B + A/S) AJD]]*1000))</f>
        <v>0</v>
      </c>
      <c r="AE247" s="41"/>
      <c r="AF247" s="43"/>
      <c r="AG247" s="43"/>
      <c r="AH247" s="6">
        <f>TABL12345[[#This Row],[ (RESV. STORGE) BER]]/10</f>
        <v>0</v>
      </c>
      <c r="AI247" s="41"/>
      <c r="AJ247" s="41">
        <f>TABL12345[[#This Row],[(A/B TOT) AJD]]-TABL12345[[#This Row],[BER_ IN]]</f>
        <v>0</v>
      </c>
      <c r="AK247" s="43"/>
      <c r="AL247" s="43"/>
      <c r="AM247" s="32"/>
      <c r="AN247" s="32">
        <f>TABL12345[[#This Row],[ (RESV. STORGE) SER]]/10</f>
        <v>0</v>
      </c>
      <c r="AO247" s="68"/>
      <c r="AP247" s="68">
        <f>TABL12345[[#This Row],[(A/S TOT) AJD]]-TABL12345[[#This Row],[SER_ IN]]</f>
        <v>0</v>
      </c>
    </row>
    <row r="248" spans="1:42" ht="18.75" x14ac:dyDescent="0.25">
      <c r="A248" s="2">
        <v>47365</v>
      </c>
      <c r="B248" s="44"/>
      <c r="C248" s="44"/>
      <c r="D248" s="44"/>
      <c r="E248" s="35"/>
      <c r="F248" s="44"/>
      <c r="G248" s="40"/>
      <c r="H248" s="34"/>
      <c r="I248" s="40"/>
      <c r="J248" s="44"/>
      <c r="K248" s="34">
        <f>TABL12345[[#This Row],[خط (T/B  TOT) SAR]]+TABL12345[[#This Row],[خط (S/S  TOT) SAR2]]</f>
        <v>0</v>
      </c>
      <c r="L248" s="45"/>
      <c r="M248" s="46"/>
      <c r="N248" s="46"/>
      <c r="O248" s="40"/>
      <c r="P248" s="14">
        <f>TABL12345[[#This Row],[خط (S/S  TOT) SAR2]]-TABL12345[[#This Row],[(S/S TOT) AJD]]</f>
        <v>0</v>
      </c>
      <c r="Q248" s="40"/>
      <c r="R248" s="14">
        <f>TABL12345[[#This Row],[خط (T/B  TOT) SAR]]-TABL12345[[#This Row],[(T/B TOT) AJD]]</f>
        <v>0</v>
      </c>
      <c r="S248" s="14">
        <f>TABL12345[[#This Row],[الفرق بين بداية ونهاية خط  S/S]]+TABL12345[[#This Row],[الفرق بين بداية ونهاية خط  T/B]]</f>
        <v>0</v>
      </c>
      <c r="T248" s="9">
        <f t="shared" si="12"/>
        <v>0</v>
      </c>
      <c r="U248" s="44"/>
      <c r="V248" s="44"/>
      <c r="W248" s="9">
        <f t="shared" si="13"/>
        <v>0</v>
      </c>
      <c r="X248" s="9">
        <f t="shared" si="14"/>
        <v>0</v>
      </c>
      <c r="Y248" s="44"/>
      <c r="Z248" s="45"/>
      <c r="AA248" s="3">
        <f>TABL12345[[#This Row],[(RESV. STORGE) AJD]]/10</f>
        <v>0</v>
      </c>
      <c r="AB248" s="45">
        <f t="shared" si="15"/>
        <v>0</v>
      </c>
      <c r="AC248" s="5"/>
      <c r="AD248" s="40">
        <f>(TABL12345[[#This Row],[( S/S+T/B) AJD]]*1000)-((TABL12345[[#This Row],[(STORGE DIFF.) AJD]]*1000)+TABL12345[[#This Row],[البخر  AJD]]+(TABL12345[[#This Row],[(A/B + A/S) AJD]]*1000))</f>
        <v>0</v>
      </c>
      <c r="AE248" s="44"/>
      <c r="AF248" s="45"/>
      <c r="AG248" s="45"/>
      <c r="AH248" s="6">
        <f>TABL12345[[#This Row],[ (RESV. STORGE) BER]]/10</f>
        <v>0</v>
      </c>
      <c r="AI248" s="44"/>
      <c r="AJ248" s="44">
        <f>TABL12345[[#This Row],[(A/B TOT) AJD]]-TABL12345[[#This Row],[BER_ IN]]</f>
        <v>0</v>
      </c>
      <c r="AK248" s="45"/>
      <c r="AL248" s="45"/>
      <c r="AM248" s="32"/>
      <c r="AN248" s="32">
        <f>TABL12345[[#This Row],[ (RESV. STORGE) SER]]/10</f>
        <v>0</v>
      </c>
      <c r="AO248" s="68"/>
      <c r="AP248" s="68">
        <f>TABL12345[[#This Row],[(A/S TOT) AJD]]-TABL12345[[#This Row],[SER_ IN]]</f>
        <v>0</v>
      </c>
    </row>
    <row r="249" spans="1:42" ht="18.75" x14ac:dyDescent="0.25">
      <c r="A249" s="2">
        <v>47366</v>
      </c>
      <c r="B249" s="41"/>
      <c r="C249" s="41"/>
      <c r="D249" s="41"/>
      <c r="E249" s="35"/>
      <c r="F249" s="41"/>
      <c r="G249" s="39"/>
      <c r="H249" s="34"/>
      <c r="I249" s="39"/>
      <c r="J249" s="39"/>
      <c r="K249" s="34">
        <f>TABL12345[[#This Row],[خط (T/B  TOT) SAR]]+TABL12345[[#This Row],[خط (S/S  TOT) SAR2]]</f>
        <v>0</v>
      </c>
      <c r="L249" s="41"/>
      <c r="M249" s="42"/>
      <c r="N249" s="42"/>
      <c r="O249" s="39"/>
      <c r="P249" s="14">
        <f>TABL12345[[#This Row],[خط (S/S  TOT) SAR2]]-TABL12345[[#This Row],[(S/S TOT) AJD]]</f>
        <v>0</v>
      </c>
      <c r="Q249" s="39"/>
      <c r="R249" s="14">
        <f>TABL12345[[#This Row],[خط (T/B  TOT) SAR]]-TABL12345[[#This Row],[(T/B TOT) AJD]]</f>
        <v>0</v>
      </c>
      <c r="S249" s="14">
        <f>TABL12345[[#This Row],[الفرق بين بداية ونهاية خط  S/S]]+TABL12345[[#This Row],[الفرق بين بداية ونهاية خط  T/B]]</f>
        <v>0</v>
      </c>
      <c r="T249" s="9">
        <f t="shared" si="12"/>
        <v>0</v>
      </c>
      <c r="U249" s="41"/>
      <c r="V249" s="41"/>
      <c r="W249" s="9">
        <f t="shared" si="13"/>
        <v>0</v>
      </c>
      <c r="X249" s="9">
        <f t="shared" si="14"/>
        <v>0</v>
      </c>
      <c r="Y249" s="41"/>
      <c r="Z249" s="43"/>
      <c r="AA249" s="3">
        <f>TABL12345[[#This Row],[(RESV. STORGE) AJD]]/10</f>
        <v>0</v>
      </c>
      <c r="AB249" s="43">
        <f t="shared" si="15"/>
        <v>0</v>
      </c>
      <c r="AC249" s="5"/>
      <c r="AD249" s="39">
        <f>(TABL12345[[#This Row],[( S/S+T/B) AJD]]*1000)-((TABL12345[[#This Row],[(STORGE DIFF.) AJD]]*1000)+TABL12345[[#This Row],[البخر  AJD]]+(TABL12345[[#This Row],[(A/B + A/S) AJD]]*1000))</f>
        <v>0</v>
      </c>
      <c r="AE249" s="41"/>
      <c r="AF249" s="43"/>
      <c r="AG249" s="43"/>
      <c r="AH249" s="6">
        <f>TABL12345[[#This Row],[ (RESV. STORGE) BER]]/10</f>
        <v>0</v>
      </c>
      <c r="AI249" s="41"/>
      <c r="AJ249" s="41">
        <f>TABL12345[[#This Row],[(A/B TOT) AJD]]-TABL12345[[#This Row],[BER_ IN]]</f>
        <v>0</v>
      </c>
      <c r="AK249" s="43"/>
      <c r="AL249" s="43"/>
      <c r="AM249" s="32"/>
      <c r="AN249" s="32">
        <f>TABL12345[[#This Row],[ (RESV. STORGE) SER]]/10</f>
        <v>0</v>
      </c>
      <c r="AO249" s="68"/>
      <c r="AP249" s="68">
        <f>TABL12345[[#This Row],[(A/S TOT) AJD]]-TABL12345[[#This Row],[SER_ IN]]</f>
        <v>0</v>
      </c>
    </row>
    <row r="250" spans="1:42" ht="18.75" x14ac:dyDescent="0.25">
      <c r="A250" s="2">
        <v>47367</v>
      </c>
      <c r="B250" s="44"/>
      <c r="C250" s="44"/>
      <c r="D250" s="44"/>
      <c r="E250" s="35"/>
      <c r="F250" s="44"/>
      <c r="G250" s="40"/>
      <c r="H250" s="28"/>
      <c r="I250" s="40"/>
      <c r="J250" s="44"/>
      <c r="K250" s="28">
        <f>TABL12345[[#This Row],[خط (T/B  TOT) SAR]]+TABL12345[[#This Row],[خط (S/S  TOT) SAR2]]</f>
        <v>0</v>
      </c>
      <c r="L250" s="45"/>
      <c r="M250" s="46"/>
      <c r="N250" s="46"/>
      <c r="O250" s="40"/>
      <c r="P250" s="9">
        <f>TABL12345[[#This Row],[خط (S/S  TOT) SAR2]]-TABL12345[[#This Row],[(S/S TOT) AJD]]</f>
        <v>0</v>
      </c>
      <c r="Q250" s="40"/>
      <c r="R250" s="9">
        <f>TABL12345[[#This Row],[خط (T/B  TOT) SAR]]-TABL12345[[#This Row],[(T/B TOT) AJD]]</f>
        <v>0</v>
      </c>
      <c r="S250" s="9">
        <f>TABL12345[[#This Row],[الفرق بين بداية ونهاية خط  S/S]]+TABL12345[[#This Row],[الفرق بين بداية ونهاية خط  T/B]]</f>
        <v>0</v>
      </c>
      <c r="T250" s="9">
        <f t="shared" si="12"/>
        <v>0</v>
      </c>
      <c r="U250" s="44"/>
      <c r="V250" s="44"/>
      <c r="W250" s="9">
        <f t="shared" si="13"/>
        <v>0</v>
      </c>
      <c r="X250" s="9">
        <f t="shared" si="14"/>
        <v>0</v>
      </c>
      <c r="Y250" s="44"/>
      <c r="Z250" s="45"/>
      <c r="AA250" s="3">
        <f>TABL12345[[#This Row],[(RESV. STORGE) AJD]]/10</f>
        <v>0</v>
      </c>
      <c r="AB250" s="45">
        <f t="shared" si="15"/>
        <v>0</v>
      </c>
      <c r="AC250" s="5"/>
      <c r="AD250" s="40">
        <f>(TABL12345[[#This Row],[( S/S+T/B) AJD]]*1000)-((TABL12345[[#This Row],[(STORGE DIFF.) AJD]]*1000)+TABL12345[[#This Row],[البخر  AJD]]+(TABL12345[[#This Row],[(A/B + A/S) AJD]]*1000))</f>
        <v>0</v>
      </c>
      <c r="AE250" s="44"/>
      <c r="AF250" s="45"/>
      <c r="AG250" s="45"/>
      <c r="AH250" s="6">
        <f>TABL12345[[#This Row],[ (RESV. STORGE) BER]]/10</f>
        <v>0</v>
      </c>
      <c r="AI250" s="44"/>
      <c r="AJ250" s="44">
        <f>TABL12345[[#This Row],[(A/B TOT) AJD]]-TABL12345[[#This Row],[BER_ IN]]</f>
        <v>0</v>
      </c>
      <c r="AK250" s="45"/>
      <c r="AL250" s="45"/>
      <c r="AM250" s="32"/>
      <c r="AN250" s="32">
        <f>TABL12345[[#This Row],[ (RESV. STORGE) SER]]/10</f>
        <v>0</v>
      </c>
      <c r="AO250" s="68"/>
      <c r="AP250" s="68">
        <f>TABL12345[[#This Row],[(A/S TOT) AJD]]-TABL12345[[#This Row],[SER_ IN]]</f>
        <v>0</v>
      </c>
    </row>
    <row r="251" spans="1:42" ht="18.75" x14ac:dyDescent="0.25">
      <c r="A251" s="2">
        <v>47368</v>
      </c>
      <c r="B251" s="41"/>
      <c r="C251" s="41"/>
      <c r="D251" s="41"/>
      <c r="E251" s="35"/>
      <c r="F251" s="41"/>
      <c r="G251" s="39"/>
      <c r="H251" s="28"/>
      <c r="I251" s="39"/>
      <c r="J251" s="39"/>
      <c r="K251" s="28">
        <f>TABL12345[[#This Row],[خط (T/B  TOT) SAR]]+TABL12345[[#This Row],[خط (S/S  TOT) SAR2]]</f>
        <v>0</v>
      </c>
      <c r="L251" s="41"/>
      <c r="M251" s="42"/>
      <c r="N251" s="42"/>
      <c r="O251" s="39"/>
      <c r="P251" s="9">
        <f>TABL12345[[#This Row],[خط (S/S  TOT) SAR2]]-TABL12345[[#This Row],[(S/S TOT) AJD]]</f>
        <v>0</v>
      </c>
      <c r="Q251" s="39"/>
      <c r="R251" s="9">
        <f>TABL12345[[#This Row],[خط (T/B  TOT) SAR]]-TABL12345[[#This Row],[(T/B TOT) AJD]]</f>
        <v>0</v>
      </c>
      <c r="S251" s="9">
        <f>TABL12345[[#This Row],[الفرق بين بداية ونهاية خط  S/S]]+TABL12345[[#This Row],[الفرق بين بداية ونهاية خط  T/B]]</f>
        <v>0</v>
      </c>
      <c r="T251" s="9">
        <f t="shared" si="12"/>
        <v>0</v>
      </c>
      <c r="U251" s="41"/>
      <c r="V251" s="41"/>
      <c r="W251" s="9">
        <f t="shared" si="13"/>
        <v>0</v>
      </c>
      <c r="X251" s="9">
        <f t="shared" si="14"/>
        <v>0</v>
      </c>
      <c r="Y251" s="41"/>
      <c r="Z251" s="43"/>
      <c r="AA251" s="3">
        <f>TABL12345[[#This Row],[(RESV. STORGE) AJD]]/10</f>
        <v>0</v>
      </c>
      <c r="AB251" s="43">
        <f t="shared" si="15"/>
        <v>0</v>
      </c>
      <c r="AC251" s="5"/>
      <c r="AD251" s="39">
        <f>(TABL12345[[#This Row],[( S/S+T/B) AJD]]*1000)-((TABL12345[[#This Row],[(STORGE DIFF.) AJD]]*1000)+TABL12345[[#This Row],[البخر  AJD]]+(TABL12345[[#This Row],[(A/B + A/S) AJD]]*1000))</f>
        <v>0</v>
      </c>
      <c r="AE251" s="41"/>
      <c r="AF251" s="43"/>
      <c r="AG251" s="43"/>
      <c r="AH251" s="6">
        <f>TABL12345[[#This Row],[ (RESV. STORGE) BER]]/10</f>
        <v>0</v>
      </c>
      <c r="AI251" s="41"/>
      <c r="AJ251" s="41">
        <f>TABL12345[[#This Row],[(A/B TOT) AJD]]-TABL12345[[#This Row],[BER_ IN]]</f>
        <v>0</v>
      </c>
      <c r="AK251" s="43"/>
      <c r="AL251" s="43"/>
      <c r="AM251" s="32"/>
      <c r="AN251" s="32">
        <f>TABL12345[[#This Row],[ (RESV. STORGE) SER]]/10</f>
        <v>0</v>
      </c>
      <c r="AO251" s="68"/>
      <c r="AP251" s="68">
        <f>TABL12345[[#This Row],[(A/S TOT) AJD]]-TABL12345[[#This Row],[SER_ IN]]</f>
        <v>0</v>
      </c>
    </row>
    <row r="252" spans="1:42" ht="18.75" x14ac:dyDescent="0.25">
      <c r="A252" s="2">
        <v>47369</v>
      </c>
      <c r="B252" s="44"/>
      <c r="C252" s="44"/>
      <c r="D252" s="44"/>
      <c r="E252" s="35"/>
      <c r="F252" s="44"/>
      <c r="G252" s="40"/>
      <c r="H252" s="28"/>
      <c r="I252" s="40"/>
      <c r="J252" s="44"/>
      <c r="K252" s="28">
        <f>TABL12345[[#This Row],[خط (T/B  TOT) SAR]]+TABL12345[[#This Row],[خط (S/S  TOT) SAR2]]</f>
        <v>0</v>
      </c>
      <c r="L252" s="45"/>
      <c r="M252" s="46"/>
      <c r="N252" s="46"/>
      <c r="O252" s="40"/>
      <c r="P252" s="9">
        <f>TABL12345[[#This Row],[خط (S/S  TOT) SAR2]]-TABL12345[[#This Row],[(S/S TOT) AJD]]</f>
        <v>0</v>
      </c>
      <c r="Q252" s="40"/>
      <c r="R252" s="9">
        <f>TABL12345[[#This Row],[خط (T/B  TOT) SAR]]-TABL12345[[#This Row],[(T/B TOT) AJD]]</f>
        <v>0</v>
      </c>
      <c r="S252" s="9">
        <f>TABL12345[[#This Row],[الفرق بين بداية ونهاية خط  S/S]]+TABL12345[[#This Row],[الفرق بين بداية ونهاية خط  T/B]]</f>
        <v>0</v>
      </c>
      <c r="T252" s="9">
        <f t="shared" si="12"/>
        <v>0</v>
      </c>
      <c r="U252" s="44"/>
      <c r="V252" s="44"/>
      <c r="W252" s="9">
        <f t="shared" si="13"/>
        <v>0</v>
      </c>
      <c r="X252" s="9">
        <f t="shared" si="14"/>
        <v>0</v>
      </c>
      <c r="Y252" s="44"/>
      <c r="Z252" s="45"/>
      <c r="AA252" s="3">
        <f>TABL12345[[#This Row],[(RESV. STORGE) AJD]]/10</f>
        <v>0</v>
      </c>
      <c r="AB252" s="45">
        <f t="shared" si="15"/>
        <v>0</v>
      </c>
      <c r="AC252" s="5"/>
      <c r="AD252" s="40">
        <f>(TABL12345[[#This Row],[( S/S+T/B) AJD]]*1000)-((TABL12345[[#This Row],[(STORGE DIFF.) AJD]]*1000)+TABL12345[[#This Row],[البخر  AJD]]+(TABL12345[[#This Row],[(A/B + A/S) AJD]]*1000))</f>
        <v>0</v>
      </c>
      <c r="AE252" s="44"/>
      <c r="AF252" s="45"/>
      <c r="AG252" s="45"/>
      <c r="AH252" s="6">
        <f>TABL12345[[#This Row],[ (RESV. STORGE) BER]]/10</f>
        <v>0</v>
      </c>
      <c r="AI252" s="44"/>
      <c r="AJ252" s="44">
        <f>TABL12345[[#This Row],[(A/B TOT) AJD]]-TABL12345[[#This Row],[BER_ IN]]</f>
        <v>0</v>
      </c>
      <c r="AK252" s="45"/>
      <c r="AL252" s="45"/>
      <c r="AM252" s="32"/>
      <c r="AN252" s="32">
        <f>TABL12345[[#This Row],[ (RESV. STORGE) SER]]/10</f>
        <v>0</v>
      </c>
      <c r="AO252" s="68"/>
      <c r="AP252" s="68">
        <f>TABL12345[[#This Row],[(A/S TOT) AJD]]-TABL12345[[#This Row],[SER_ IN]]</f>
        <v>0</v>
      </c>
    </row>
    <row r="253" spans="1:42" ht="18.75" x14ac:dyDescent="0.25">
      <c r="A253" s="2">
        <v>47370</v>
      </c>
      <c r="B253" s="41"/>
      <c r="C253" s="41"/>
      <c r="D253" s="41"/>
      <c r="E253" s="35"/>
      <c r="F253" s="41"/>
      <c r="G253" s="39"/>
      <c r="H253" s="28"/>
      <c r="I253" s="39"/>
      <c r="J253" s="39"/>
      <c r="K253" s="28">
        <f>TABL12345[[#This Row],[خط (T/B  TOT) SAR]]+TABL12345[[#This Row],[خط (S/S  TOT) SAR2]]</f>
        <v>0</v>
      </c>
      <c r="L253" s="41"/>
      <c r="M253" s="42"/>
      <c r="N253" s="42"/>
      <c r="O253" s="39"/>
      <c r="P253" s="9">
        <f>TABL12345[[#This Row],[خط (S/S  TOT) SAR2]]-TABL12345[[#This Row],[(S/S TOT) AJD]]</f>
        <v>0</v>
      </c>
      <c r="Q253" s="39"/>
      <c r="R253" s="9">
        <f>TABL12345[[#This Row],[خط (T/B  TOT) SAR]]-TABL12345[[#This Row],[(T/B TOT) AJD]]</f>
        <v>0</v>
      </c>
      <c r="S253" s="9">
        <f>TABL12345[[#This Row],[الفرق بين بداية ونهاية خط  S/S]]+TABL12345[[#This Row],[الفرق بين بداية ونهاية خط  T/B]]</f>
        <v>0</v>
      </c>
      <c r="T253" s="9">
        <f t="shared" si="12"/>
        <v>0</v>
      </c>
      <c r="U253" s="41"/>
      <c r="V253" s="41"/>
      <c r="W253" s="9">
        <f t="shared" si="13"/>
        <v>0</v>
      </c>
      <c r="X253" s="9">
        <f t="shared" si="14"/>
        <v>0</v>
      </c>
      <c r="Y253" s="41"/>
      <c r="Z253" s="43"/>
      <c r="AA253" s="3">
        <f>TABL12345[[#This Row],[(RESV. STORGE) AJD]]/10</f>
        <v>0</v>
      </c>
      <c r="AB253" s="43">
        <f t="shared" si="15"/>
        <v>0</v>
      </c>
      <c r="AC253" s="5"/>
      <c r="AD253" s="39">
        <f>(TABL12345[[#This Row],[( S/S+T/B) AJD]]*1000)-((TABL12345[[#This Row],[(STORGE DIFF.) AJD]]*1000)+TABL12345[[#This Row],[البخر  AJD]]+(TABL12345[[#This Row],[(A/B + A/S) AJD]]*1000))</f>
        <v>0</v>
      </c>
      <c r="AE253" s="41"/>
      <c r="AF253" s="43"/>
      <c r="AG253" s="43"/>
      <c r="AH253" s="6">
        <f>TABL12345[[#This Row],[ (RESV. STORGE) BER]]/10</f>
        <v>0</v>
      </c>
      <c r="AI253" s="41"/>
      <c r="AJ253" s="41">
        <f>TABL12345[[#This Row],[(A/B TOT) AJD]]-TABL12345[[#This Row],[BER_ IN]]</f>
        <v>0</v>
      </c>
      <c r="AK253" s="43"/>
      <c r="AL253" s="43"/>
      <c r="AM253" s="32"/>
      <c r="AN253" s="32">
        <f>TABL12345[[#This Row],[ (RESV. STORGE) SER]]/10</f>
        <v>0</v>
      </c>
      <c r="AO253" s="68"/>
      <c r="AP253" s="68">
        <f>TABL12345[[#This Row],[(A/S TOT) AJD]]-TABL12345[[#This Row],[SER_ IN]]</f>
        <v>0</v>
      </c>
    </row>
    <row r="254" spans="1:42" ht="18.75" x14ac:dyDescent="0.25">
      <c r="A254" s="2">
        <v>47371</v>
      </c>
      <c r="B254" s="44"/>
      <c r="C254" s="44"/>
      <c r="D254" s="44"/>
      <c r="E254" s="35"/>
      <c r="F254" s="44"/>
      <c r="G254" s="40"/>
      <c r="H254" s="28"/>
      <c r="I254" s="40"/>
      <c r="J254" s="44"/>
      <c r="K254" s="28">
        <f>TABL12345[[#This Row],[خط (T/B  TOT) SAR]]+TABL12345[[#This Row],[خط (S/S  TOT) SAR2]]</f>
        <v>0</v>
      </c>
      <c r="L254" s="45"/>
      <c r="M254" s="46"/>
      <c r="N254" s="46"/>
      <c r="O254" s="40"/>
      <c r="P254" s="9">
        <f>TABL12345[[#This Row],[خط (S/S  TOT) SAR2]]-TABL12345[[#This Row],[(S/S TOT) AJD]]</f>
        <v>0</v>
      </c>
      <c r="Q254" s="40"/>
      <c r="R254" s="9">
        <f>TABL12345[[#This Row],[خط (T/B  TOT) SAR]]-TABL12345[[#This Row],[(T/B TOT) AJD]]</f>
        <v>0</v>
      </c>
      <c r="S254" s="9">
        <f>TABL12345[[#This Row],[الفرق بين بداية ونهاية خط  S/S]]+TABL12345[[#This Row],[الفرق بين بداية ونهاية خط  T/B]]</f>
        <v>0</v>
      </c>
      <c r="T254" s="9">
        <f t="shared" si="12"/>
        <v>0</v>
      </c>
      <c r="U254" s="44"/>
      <c r="V254" s="44"/>
      <c r="W254" s="9">
        <f t="shared" si="13"/>
        <v>0</v>
      </c>
      <c r="X254" s="9">
        <f t="shared" si="14"/>
        <v>0</v>
      </c>
      <c r="Y254" s="44"/>
      <c r="Z254" s="45"/>
      <c r="AA254" s="3">
        <f>TABL12345[[#This Row],[(RESV. STORGE) AJD]]/10</f>
        <v>0</v>
      </c>
      <c r="AB254" s="45">
        <f t="shared" si="15"/>
        <v>0</v>
      </c>
      <c r="AC254" s="5"/>
      <c r="AD254" s="40">
        <f>(TABL12345[[#This Row],[( S/S+T/B) AJD]]*1000)-((TABL12345[[#This Row],[(STORGE DIFF.) AJD]]*1000)+TABL12345[[#This Row],[البخر  AJD]]+(TABL12345[[#This Row],[(A/B + A/S) AJD]]*1000))</f>
        <v>0</v>
      </c>
      <c r="AE254" s="44"/>
      <c r="AF254" s="45"/>
      <c r="AG254" s="45"/>
      <c r="AH254" s="6">
        <f>TABL12345[[#This Row],[ (RESV. STORGE) BER]]/10</f>
        <v>0</v>
      </c>
      <c r="AI254" s="44"/>
      <c r="AJ254" s="44">
        <f>TABL12345[[#This Row],[(A/B TOT) AJD]]-TABL12345[[#This Row],[BER_ IN]]</f>
        <v>0</v>
      </c>
      <c r="AK254" s="45"/>
      <c r="AL254" s="45"/>
      <c r="AM254" s="32"/>
      <c r="AN254" s="32">
        <f>TABL12345[[#This Row],[ (RESV. STORGE) SER]]/10</f>
        <v>0</v>
      </c>
      <c r="AO254" s="68"/>
      <c r="AP254" s="68">
        <f>TABL12345[[#This Row],[(A/S TOT) AJD]]-TABL12345[[#This Row],[SER_ IN]]</f>
        <v>0</v>
      </c>
    </row>
    <row r="255" spans="1:42" ht="18.75" x14ac:dyDescent="0.25">
      <c r="A255" s="2">
        <v>47372</v>
      </c>
      <c r="B255" s="41"/>
      <c r="C255" s="41"/>
      <c r="D255" s="41"/>
      <c r="E255" s="35"/>
      <c r="F255" s="41"/>
      <c r="G255" s="39"/>
      <c r="H255" s="28"/>
      <c r="I255" s="39"/>
      <c r="J255" s="39"/>
      <c r="K255" s="28">
        <f>TABL12345[[#This Row],[خط (T/B  TOT) SAR]]+TABL12345[[#This Row],[خط (S/S  TOT) SAR2]]</f>
        <v>0</v>
      </c>
      <c r="L255" s="41"/>
      <c r="M255" s="42"/>
      <c r="N255" s="42"/>
      <c r="O255" s="39"/>
      <c r="P255" s="9">
        <f>TABL12345[[#This Row],[خط (S/S  TOT) SAR2]]-TABL12345[[#This Row],[(S/S TOT) AJD]]</f>
        <v>0</v>
      </c>
      <c r="Q255" s="39"/>
      <c r="R255" s="9">
        <f>TABL12345[[#This Row],[خط (T/B  TOT) SAR]]-TABL12345[[#This Row],[(T/B TOT) AJD]]</f>
        <v>0</v>
      </c>
      <c r="S255" s="9">
        <f>TABL12345[[#This Row],[الفرق بين بداية ونهاية خط  S/S]]+TABL12345[[#This Row],[الفرق بين بداية ونهاية خط  T/B]]</f>
        <v>0</v>
      </c>
      <c r="T255" s="9">
        <f t="shared" si="12"/>
        <v>0</v>
      </c>
      <c r="U255" s="41"/>
      <c r="V255" s="41"/>
      <c r="W255" s="9">
        <f t="shared" si="13"/>
        <v>0</v>
      </c>
      <c r="X255" s="9">
        <f t="shared" si="14"/>
        <v>0</v>
      </c>
      <c r="Y255" s="41"/>
      <c r="Z255" s="43"/>
      <c r="AA255" s="3">
        <f>TABL12345[[#This Row],[(RESV. STORGE) AJD]]/10</f>
        <v>0</v>
      </c>
      <c r="AB255" s="43">
        <f t="shared" si="15"/>
        <v>0</v>
      </c>
      <c r="AC255" s="5"/>
      <c r="AD255" s="39">
        <f>(TABL12345[[#This Row],[( S/S+T/B) AJD]]*1000)-((TABL12345[[#This Row],[(STORGE DIFF.) AJD]]*1000)+TABL12345[[#This Row],[البخر  AJD]]+(TABL12345[[#This Row],[(A/B + A/S) AJD]]*1000))</f>
        <v>0</v>
      </c>
      <c r="AE255" s="41"/>
      <c r="AF255" s="43"/>
      <c r="AG255" s="43"/>
      <c r="AH255" s="6">
        <f>TABL12345[[#This Row],[ (RESV. STORGE) BER]]/10</f>
        <v>0</v>
      </c>
      <c r="AI255" s="41"/>
      <c r="AJ255" s="41">
        <f>TABL12345[[#This Row],[(A/B TOT) AJD]]-TABL12345[[#This Row],[BER_ IN]]</f>
        <v>0</v>
      </c>
      <c r="AK255" s="43"/>
      <c r="AL255" s="43"/>
      <c r="AM255" s="32"/>
      <c r="AN255" s="32">
        <f>TABL12345[[#This Row],[ (RESV. STORGE) SER]]/10</f>
        <v>0</v>
      </c>
      <c r="AO255" s="68"/>
      <c r="AP255" s="68">
        <f>TABL12345[[#This Row],[(A/S TOT) AJD]]-TABL12345[[#This Row],[SER_ IN]]</f>
        <v>0</v>
      </c>
    </row>
    <row r="256" spans="1:42" ht="18.75" x14ac:dyDescent="0.25">
      <c r="A256" s="2">
        <v>47373</v>
      </c>
      <c r="B256" s="44"/>
      <c r="C256" s="44"/>
      <c r="D256" s="44"/>
      <c r="E256" s="35"/>
      <c r="F256" s="44"/>
      <c r="G256" s="40"/>
      <c r="H256" s="28"/>
      <c r="I256" s="40"/>
      <c r="J256" s="44"/>
      <c r="K256" s="28">
        <f>TABL12345[[#This Row],[خط (T/B  TOT) SAR]]+TABL12345[[#This Row],[خط (S/S  TOT) SAR2]]</f>
        <v>0</v>
      </c>
      <c r="L256" s="45"/>
      <c r="M256" s="46"/>
      <c r="N256" s="46"/>
      <c r="O256" s="40"/>
      <c r="P256" s="9">
        <f>TABL12345[[#This Row],[خط (S/S  TOT) SAR2]]-TABL12345[[#This Row],[(S/S TOT) AJD]]</f>
        <v>0</v>
      </c>
      <c r="Q256" s="40"/>
      <c r="R256" s="9">
        <f>TABL12345[[#This Row],[خط (T/B  TOT) SAR]]-TABL12345[[#This Row],[(T/B TOT) AJD]]</f>
        <v>0</v>
      </c>
      <c r="S256" s="9">
        <f>TABL12345[[#This Row],[الفرق بين بداية ونهاية خط  S/S]]+TABL12345[[#This Row],[الفرق بين بداية ونهاية خط  T/B]]</f>
        <v>0</v>
      </c>
      <c r="T256" s="9">
        <f t="shared" si="12"/>
        <v>0</v>
      </c>
      <c r="U256" s="44"/>
      <c r="V256" s="44"/>
      <c r="W256" s="9">
        <f t="shared" si="13"/>
        <v>0</v>
      </c>
      <c r="X256" s="9">
        <f t="shared" si="14"/>
        <v>0</v>
      </c>
      <c r="Y256" s="44"/>
      <c r="Z256" s="45"/>
      <c r="AA256" s="3">
        <f>TABL12345[[#This Row],[(RESV. STORGE) AJD]]/10</f>
        <v>0</v>
      </c>
      <c r="AB256" s="45">
        <f t="shared" si="15"/>
        <v>0</v>
      </c>
      <c r="AC256" s="5"/>
      <c r="AD256" s="40">
        <f>(TABL12345[[#This Row],[( S/S+T/B) AJD]]*1000)-((TABL12345[[#This Row],[(STORGE DIFF.) AJD]]*1000)+TABL12345[[#This Row],[البخر  AJD]]+(TABL12345[[#This Row],[(A/B + A/S) AJD]]*1000))</f>
        <v>0</v>
      </c>
      <c r="AE256" s="44"/>
      <c r="AF256" s="45"/>
      <c r="AG256" s="45"/>
      <c r="AH256" s="6">
        <f>TABL12345[[#This Row],[ (RESV. STORGE) BER]]/10</f>
        <v>0</v>
      </c>
      <c r="AI256" s="44"/>
      <c r="AJ256" s="44">
        <f>TABL12345[[#This Row],[(A/B TOT) AJD]]-TABL12345[[#This Row],[BER_ IN]]</f>
        <v>0</v>
      </c>
      <c r="AK256" s="45"/>
      <c r="AL256" s="45"/>
      <c r="AM256" s="32"/>
      <c r="AN256" s="32">
        <f>TABL12345[[#This Row],[ (RESV. STORGE) SER]]/10</f>
        <v>0</v>
      </c>
      <c r="AO256" s="68"/>
      <c r="AP256" s="68">
        <f>TABL12345[[#This Row],[(A/S TOT) AJD]]-TABL12345[[#This Row],[SER_ IN]]</f>
        <v>0</v>
      </c>
    </row>
    <row r="257" spans="1:42" ht="18.75" x14ac:dyDescent="0.25">
      <c r="A257" s="2">
        <v>47374</v>
      </c>
      <c r="B257" s="41"/>
      <c r="C257" s="41"/>
      <c r="D257" s="41"/>
      <c r="E257" s="35"/>
      <c r="F257" s="41"/>
      <c r="G257" s="39"/>
      <c r="H257" s="28"/>
      <c r="I257" s="39"/>
      <c r="J257" s="39"/>
      <c r="K257" s="28">
        <f>TABL12345[[#This Row],[خط (T/B  TOT) SAR]]+TABL12345[[#This Row],[خط (S/S  TOT) SAR2]]</f>
        <v>0</v>
      </c>
      <c r="L257" s="41"/>
      <c r="M257" s="42"/>
      <c r="N257" s="42"/>
      <c r="O257" s="39"/>
      <c r="P257" s="9">
        <f>TABL12345[[#This Row],[خط (S/S  TOT) SAR2]]-TABL12345[[#This Row],[(S/S TOT) AJD]]</f>
        <v>0</v>
      </c>
      <c r="Q257" s="39"/>
      <c r="R257" s="9">
        <f>TABL12345[[#This Row],[خط (T/B  TOT) SAR]]-TABL12345[[#This Row],[(T/B TOT) AJD]]</f>
        <v>0</v>
      </c>
      <c r="S257" s="9">
        <f>TABL12345[[#This Row],[الفرق بين بداية ونهاية خط  S/S]]+TABL12345[[#This Row],[الفرق بين بداية ونهاية خط  T/B]]</f>
        <v>0</v>
      </c>
      <c r="T257" s="9">
        <f t="shared" si="12"/>
        <v>0</v>
      </c>
      <c r="U257" s="41"/>
      <c r="V257" s="41"/>
      <c r="W257" s="9">
        <f t="shared" si="13"/>
        <v>0</v>
      </c>
      <c r="X257" s="9">
        <f t="shared" si="14"/>
        <v>0</v>
      </c>
      <c r="Y257" s="41"/>
      <c r="Z257" s="43"/>
      <c r="AA257" s="3">
        <f>TABL12345[[#This Row],[(RESV. STORGE) AJD]]/10</f>
        <v>0</v>
      </c>
      <c r="AB257" s="43">
        <f t="shared" si="15"/>
        <v>0</v>
      </c>
      <c r="AC257" s="5"/>
      <c r="AD257" s="39">
        <f>(TABL12345[[#This Row],[( S/S+T/B) AJD]]*1000)-((TABL12345[[#This Row],[(STORGE DIFF.) AJD]]*1000)+TABL12345[[#This Row],[البخر  AJD]]+(TABL12345[[#This Row],[(A/B + A/S) AJD]]*1000))</f>
        <v>0</v>
      </c>
      <c r="AE257" s="41"/>
      <c r="AF257" s="43"/>
      <c r="AG257" s="43"/>
      <c r="AH257" s="6">
        <f>TABL12345[[#This Row],[ (RESV. STORGE) BER]]/10</f>
        <v>0</v>
      </c>
      <c r="AI257" s="41"/>
      <c r="AJ257" s="41">
        <f>TABL12345[[#This Row],[(A/B TOT) AJD]]-TABL12345[[#This Row],[BER_ IN]]</f>
        <v>0</v>
      </c>
      <c r="AK257" s="43"/>
      <c r="AL257" s="43"/>
      <c r="AM257" s="32"/>
      <c r="AN257" s="32">
        <f>TABL12345[[#This Row],[ (RESV. STORGE) SER]]/10</f>
        <v>0</v>
      </c>
      <c r="AO257" s="68"/>
      <c r="AP257" s="68">
        <f>TABL12345[[#This Row],[(A/S TOT) AJD]]-TABL12345[[#This Row],[SER_ IN]]</f>
        <v>0</v>
      </c>
    </row>
    <row r="258" spans="1:42" ht="18.75" x14ac:dyDescent="0.25">
      <c r="A258" s="2">
        <v>47375</v>
      </c>
      <c r="B258" s="44"/>
      <c r="C258" s="44"/>
      <c r="D258" s="44"/>
      <c r="E258" s="35"/>
      <c r="F258" s="44"/>
      <c r="G258" s="40"/>
      <c r="H258" s="28"/>
      <c r="I258" s="40"/>
      <c r="J258" s="44"/>
      <c r="K258" s="28">
        <f>TABL12345[[#This Row],[خط (T/B  TOT) SAR]]+TABL12345[[#This Row],[خط (S/S  TOT) SAR2]]</f>
        <v>0</v>
      </c>
      <c r="L258" s="45"/>
      <c r="M258" s="46"/>
      <c r="N258" s="46"/>
      <c r="O258" s="40"/>
      <c r="P258" s="9">
        <f>TABL12345[[#This Row],[خط (S/S  TOT) SAR2]]-TABL12345[[#This Row],[(S/S TOT) AJD]]</f>
        <v>0</v>
      </c>
      <c r="Q258" s="40"/>
      <c r="R258" s="9">
        <f>TABL12345[[#This Row],[خط (T/B  TOT) SAR]]-TABL12345[[#This Row],[(T/B TOT) AJD]]</f>
        <v>0</v>
      </c>
      <c r="S258" s="9">
        <f>TABL12345[[#This Row],[الفرق بين بداية ونهاية خط  S/S]]+TABL12345[[#This Row],[الفرق بين بداية ونهاية خط  T/B]]</f>
        <v>0</v>
      </c>
      <c r="T258" s="9">
        <f t="shared" ref="T258:T321" si="16">O258+Q258</f>
        <v>0</v>
      </c>
      <c r="U258" s="44"/>
      <c r="V258" s="44"/>
      <c r="W258" s="9">
        <f t="shared" ref="W258:W321" si="17">U258+V258</f>
        <v>0</v>
      </c>
      <c r="X258" s="9">
        <f t="shared" ref="X258:X321" si="18">T258-W258</f>
        <v>0</v>
      </c>
      <c r="Y258" s="44"/>
      <c r="Z258" s="45"/>
      <c r="AA258" s="3">
        <f>TABL12345[[#This Row],[(RESV. STORGE) AJD]]/10</f>
        <v>0</v>
      </c>
      <c r="AB258" s="45">
        <f t="shared" si="15"/>
        <v>0</v>
      </c>
      <c r="AC258" s="5"/>
      <c r="AD258" s="40">
        <f>(TABL12345[[#This Row],[( S/S+T/B) AJD]]*1000)-((TABL12345[[#This Row],[(STORGE DIFF.) AJD]]*1000)+TABL12345[[#This Row],[البخر  AJD]]+(TABL12345[[#This Row],[(A/B + A/S) AJD]]*1000))</f>
        <v>0</v>
      </c>
      <c r="AE258" s="44"/>
      <c r="AF258" s="45"/>
      <c r="AG258" s="45"/>
      <c r="AH258" s="6">
        <f>TABL12345[[#This Row],[ (RESV. STORGE) BER]]/10</f>
        <v>0</v>
      </c>
      <c r="AI258" s="44"/>
      <c r="AJ258" s="44">
        <f>TABL12345[[#This Row],[(A/B TOT) AJD]]-TABL12345[[#This Row],[BER_ IN]]</f>
        <v>0</v>
      </c>
      <c r="AK258" s="45"/>
      <c r="AL258" s="45"/>
      <c r="AM258" s="32"/>
      <c r="AN258" s="32">
        <f>TABL12345[[#This Row],[ (RESV. STORGE) SER]]/10</f>
        <v>0</v>
      </c>
      <c r="AO258" s="68"/>
      <c r="AP258" s="68">
        <f>TABL12345[[#This Row],[(A/S TOT) AJD]]-TABL12345[[#This Row],[SER_ IN]]</f>
        <v>0</v>
      </c>
    </row>
    <row r="259" spans="1:42" ht="18.75" x14ac:dyDescent="0.25">
      <c r="A259" s="2">
        <v>47376</v>
      </c>
      <c r="B259" s="41"/>
      <c r="C259" s="41"/>
      <c r="D259" s="41"/>
      <c r="E259" s="35"/>
      <c r="F259" s="41"/>
      <c r="G259" s="39"/>
      <c r="H259" s="28"/>
      <c r="I259" s="39"/>
      <c r="J259" s="39"/>
      <c r="K259" s="28">
        <f>TABL12345[[#This Row],[خط (T/B  TOT) SAR]]+TABL12345[[#This Row],[خط (S/S  TOT) SAR2]]</f>
        <v>0</v>
      </c>
      <c r="L259" s="41"/>
      <c r="M259" s="42"/>
      <c r="N259" s="42"/>
      <c r="O259" s="39"/>
      <c r="P259" s="9">
        <f>TABL12345[[#This Row],[خط (S/S  TOT) SAR2]]-TABL12345[[#This Row],[(S/S TOT) AJD]]</f>
        <v>0</v>
      </c>
      <c r="Q259" s="39"/>
      <c r="R259" s="9">
        <f>TABL12345[[#This Row],[خط (T/B  TOT) SAR]]-TABL12345[[#This Row],[(T/B TOT) AJD]]</f>
        <v>0</v>
      </c>
      <c r="S259" s="9">
        <f>TABL12345[[#This Row],[الفرق بين بداية ونهاية خط  S/S]]+TABL12345[[#This Row],[الفرق بين بداية ونهاية خط  T/B]]</f>
        <v>0</v>
      </c>
      <c r="T259" s="9">
        <f t="shared" si="16"/>
        <v>0</v>
      </c>
      <c r="U259" s="41"/>
      <c r="V259" s="41"/>
      <c r="W259" s="9">
        <f t="shared" si="17"/>
        <v>0</v>
      </c>
      <c r="X259" s="9">
        <f t="shared" si="18"/>
        <v>0</v>
      </c>
      <c r="Y259" s="41"/>
      <c r="Z259" s="43"/>
      <c r="AA259" s="3">
        <f>TABL12345[[#This Row],[(RESV. STORGE) AJD]]/10</f>
        <v>0</v>
      </c>
      <c r="AB259" s="43">
        <f t="shared" si="15"/>
        <v>0</v>
      </c>
      <c r="AC259" s="5"/>
      <c r="AD259" s="39">
        <f>(TABL12345[[#This Row],[( S/S+T/B) AJD]]*1000)-((TABL12345[[#This Row],[(STORGE DIFF.) AJD]]*1000)+TABL12345[[#This Row],[البخر  AJD]]+(TABL12345[[#This Row],[(A/B + A/S) AJD]]*1000))</f>
        <v>0</v>
      </c>
      <c r="AE259" s="41"/>
      <c r="AF259" s="43"/>
      <c r="AG259" s="43"/>
      <c r="AH259" s="6">
        <f>TABL12345[[#This Row],[ (RESV. STORGE) BER]]/10</f>
        <v>0</v>
      </c>
      <c r="AI259" s="41"/>
      <c r="AJ259" s="41">
        <f>TABL12345[[#This Row],[(A/B TOT) AJD]]-TABL12345[[#This Row],[BER_ IN]]</f>
        <v>0</v>
      </c>
      <c r="AK259" s="43"/>
      <c r="AL259" s="43"/>
      <c r="AM259" s="32"/>
      <c r="AN259" s="32">
        <f>TABL12345[[#This Row],[ (RESV. STORGE) SER]]/10</f>
        <v>0</v>
      </c>
      <c r="AO259" s="68"/>
      <c r="AP259" s="68">
        <f>TABL12345[[#This Row],[(A/S TOT) AJD]]-TABL12345[[#This Row],[SER_ IN]]</f>
        <v>0</v>
      </c>
    </row>
    <row r="260" spans="1:42" ht="18.75" x14ac:dyDescent="0.25">
      <c r="A260" s="2">
        <v>47377</v>
      </c>
      <c r="B260" s="44"/>
      <c r="C260" s="44"/>
      <c r="D260" s="44"/>
      <c r="E260" s="35"/>
      <c r="F260" s="44"/>
      <c r="G260" s="40"/>
      <c r="H260" s="28"/>
      <c r="I260" s="40"/>
      <c r="J260" s="44"/>
      <c r="K260" s="28">
        <f>TABL12345[[#This Row],[خط (T/B  TOT) SAR]]+TABL12345[[#This Row],[خط (S/S  TOT) SAR2]]</f>
        <v>0</v>
      </c>
      <c r="L260" s="45"/>
      <c r="M260" s="46"/>
      <c r="N260" s="46"/>
      <c r="O260" s="40"/>
      <c r="P260" s="9">
        <f>TABL12345[[#This Row],[خط (S/S  TOT) SAR2]]-TABL12345[[#This Row],[(S/S TOT) AJD]]</f>
        <v>0</v>
      </c>
      <c r="Q260" s="40"/>
      <c r="R260" s="9">
        <f>TABL12345[[#This Row],[خط (T/B  TOT) SAR]]-TABL12345[[#This Row],[(T/B TOT) AJD]]</f>
        <v>0</v>
      </c>
      <c r="S260" s="9">
        <f>TABL12345[[#This Row],[الفرق بين بداية ونهاية خط  S/S]]+TABL12345[[#This Row],[الفرق بين بداية ونهاية خط  T/B]]</f>
        <v>0</v>
      </c>
      <c r="T260" s="9">
        <f t="shared" si="16"/>
        <v>0</v>
      </c>
      <c r="U260" s="44"/>
      <c r="V260" s="44"/>
      <c r="W260" s="9">
        <f t="shared" si="17"/>
        <v>0</v>
      </c>
      <c r="X260" s="9">
        <f t="shared" si="18"/>
        <v>0</v>
      </c>
      <c r="Y260" s="44"/>
      <c r="Z260" s="45"/>
      <c r="AA260" s="3">
        <f>TABL12345[[#This Row],[(RESV. STORGE) AJD]]/10</f>
        <v>0</v>
      </c>
      <c r="AB260" s="45">
        <f t="shared" ref="AB260:AB323" si="19">(Z260-Z259)/1000</f>
        <v>0</v>
      </c>
      <c r="AC260" s="5"/>
      <c r="AD260" s="40">
        <f>(TABL12345[[#This Row],[( S/S+T/B) AJD]]*1000)-((TABL12345[[#This Row],[(STORGE DIFF.) AJD]]*1000)+TABL12345[[#This Row],[البخر  AJD]]+(TABL12345[[#This Row],[(A/B + A/S) AJD]]*1000))</f>
        <v>0</v>
      </c>
      <c r="AE260" s="44"/>
      <c r="AF260" s="45"/>
      <c r="AG260" s="45"/>
      <c r="AH260" s="6">
        <f>TABL12345[[#This Row],[ (RESV. STORGE) BER]]/10</f>
        <v>0</v>
      </c>
      <c r="AI260" s="44"/>
      <c r="AJ260" s="44">
        <f>TABL12345[[#This Row],[(A/B TOT) AJD]]-TABL12345[[#This Row],[BER_ IN]]</f>
        <v>0</v>
      </c>
      <c r="AK260" s="45"/>
      <c r="AL260" s="45"/>
      <c r="AM260" s="32"/>
      <c r="AN260" s="32">
        <f>TABL12345[[#This Row],[ (RESV. STORGE) SER]]/10</f>
        <v>0</v>
      </c>
      <c r="AO260" s="68"/>
      <c r="AP260" s="68">
        <f>TABL12345[[#This Row],[(A/S TOT) AJD]]-TABL12345[[#This Row],[SER_ IN]]</f>
        <v>0</v>
      </c>
    </row>
    <row r="261" spans="1:42" ht="18.75" x14ac:dyDescent="0.25">
      <c r="A261" s="2">
        <v>47378</v>
      </c>
      <c r="B261" s="41"/>
      <c r="C261" s="41"/>
      <c r="D261" s="41"/>
      <c r="E261" s="35"/>
      <c r="F261" s="41"/>
      <c r="G261" s="39"/>
      <c r="H261" s="28"/>
      <c r="I261" s="39"/>
      <c r="J261" s="39"/>
      <c r="K261" s="28">
        <f>TABL12345[[#This Row],[خط (T/B  TOT) SAR]]+TABL12345[[#This Row],[خط (S/S  TOT) SAR2]]</f>
        <v>0</v>
      </c>
      <c r="L261" s="41"/>
      <c r="M261" s="42"/>
      <c r="N261" s="42"/>
      <c r="O261" s="39"/>
      <c r="P261" s="9">
        <f>TABL12345[[#This Row],[خط (S/S  TOT) SAR2]]-TABL12345[[#This Row],[(S/S TOT) AJD]]</f>
        <v>0</v>
      </c>
      <c r="Q261" s="39"/>
      <c r="R261" s="9">
        <f>TABL12345[[#This Row],[خط (T/B  TOT) SAR]]-TABL12345[[#This Row],[(T/B TOT) AJD]]</f>
        <v>0</v>
      </c>
      <c r="S261" s="9">
        <f>TABL12345[[#This Row],[الفرق بين بداية ونهاية خط  S/S]]+TABL12345[[#This Row],[الفرق بين بداية ونهاية خط  T/B]]</f>
        <v>0</v>
      </c>
      <c r="T261" s="9">
        <f t="shared" si="16"/>
        <v>0</v>
      </c>
      <c r="U261" s="41"/>
      <c r="V261" s="41"/>
      <c r="W261" s="9">
        <f t="shared" si="17"/>
        <v>0</v>
      </c>
      <c r="X261" s="9">
        <f t="shared" si="18"/>
        <v>0</v>
      </c>
      <c r="Y261" s="41"/>
      <c r="Z261" s="43"/>
      <c r="AA261" s="3">
        <f>TABL12345[[#This Row],[(RESV. STORGE) AJD]]/10</f>
        <v>0</v>
      </c>
      <c r="AB261" s="43">
        <f t="shared" si="19"/>
        <v>0</v>
      </c>
      <c r="AC261" s="5"/>
      <c r="AD261" s="39">
        <f>(TABL12345[[#This Row],[( S/S+T/B) AJD]]*1000)-((TABL12345[[#This Row],[(STORGE DIFF.) AJD]]*1000)+TABL12345[[#This Row],[البخر  AJD]]+(TABL12345[[#This Row],[(A/B + A/S) AJD]]*1000))</f>
        <v>0</v>
      </c>
      <c r="AE261" s="41"/>
      <c r="AF261" s="43"/>
      <c r="AG261" s="43"/>
      <c r="AH261" s="6">
        <f>TABL12345[[#This Row],[ (RESV. STORGE) BER]]/10</f>
        <v>0</v>
      </c>
      <c r="AI261" s="41"/>
      <c r="AJ261" s="41">
        <f>TABL12345[[#This Row],[(A/B TOT) AJD]]-TABL12345[[#This Row],[BER_ IN]]</f>
        <v>0</v>
      </c>
      <c r="AK261" s="43"/>
      <c r="AL261" s="43"/>
      <c r="AM261" s="32"/>
      <c r="AN261" s="32">
        <f>TABL12345[[#This Row],[ (RESV. STORGE) SER]]/10</f>
        <v>0</v>
      </c>
      <c r="AO261" s="68"/>
      <c r="AP261" s="68">
        <f>TABL12345[[#This Row],[(A/S TOT) AJD]]-TABL12345[[#This Row],[SER_ IN]]</f>
        <v>0</v>
      </c>
    </row>
    <row r="262" spans="1:42" ht="18.75" x14ac:dyDescent="0.25">
      <c r="A262" s="2">
        <v>47379</v>
      </c>
      <c r="B262" s="44"/>
      <c r="C262" s="44"/>
      <c r="D262" s="44"/>
      <c r="E262" s="35"/>
      <c r="F262" s="44"/>
      <c r="G262" s="40"/>
      <c r="H262" s="28"/>
      <c r="I262" s="40"/>
      <c r="J262" s="44"/>
      <c r="K262" s="28">
        <f>TABL12345[[#This Row],[خط (T/B  TOT) SAR]]+TABL12345[[#This Row],[خط (S/S  TOT) SAR2]]</f>
        <v>0</v>
      </c>
      <c r="L262" s="45"/>
      <c r="M262" s="46"/>
      <c r="N262" s="46"/>
      <c r="O262" s="40"/>
      <c r="P262" s="9">
        <f>TABL12345[[#This Row],[خط (S/S  TOT) SAR2]]-TABL12345[[#This Row],[(S/S TOT) AJD]]</f>
        <v>0</v>
      </c>
      <c r="Q262" s="40"/>
      <c r="R262" s="9">
        <f>TABL12345[[#This Row],[خط (T/B  TOT) SAR]]-TABL12345[[#This Row],[(T/B TOT) AJD]]</f>
        <v>0</v>
      </c>
      <c r="S262" s="9">
        <f>TABL12345[[#This Row],[الفرق بين بداية ونهاية خط  S/S]]+TABL12345[[#This Row],[الفرق بين بداية ونهاية خط  T/B]]</f>
        <v>0</v>
      </c>
      <c r="T262" s="9">
        <f t="shared" si="16"/>
        <v>0</v>
      </c>
      <c r="U262" s="44"/>
      <c r="V262" s="44"/>
      <c r="W262" s="9">
        <f t="shared" si="17"/>
        <v>0</v>
      </c>
      <c r="X262" s="9">
        <f t="shared" si="18"/>
        <v>0</v>
      </c>
      <c r="Y262" s="44"/>
      <c r="Z262" s="45"/>
      <c r="AA262" s="3">
        <f>TABL12345[[#This Row],[(RESV. STORGE) AJD]]/10</f>
        <v>0</v>
      </c>
      <c r="AB262" s="45">
        <f t="shared" si="19"/>
        <v>0</v>
      </c>
      <c r="AC262" s="5"/>
      <c r="AD262" s="40">
        <f>(TABL12345[[#This Row],[( S/S+T/B) AJD]]*1000)-((TABL12345[[#This Row],[(STORGE DIFF.) AJD]]*1000)+TABL12345[[#This Row],[البخر  AJD]]+(TABL12345[[#This Row],[(A/B + A/S) AJD]]*1000))</f>
        <v>0</v>
      </c>
      <c r="AE262" s="44"/>
      <c r="AF262" s="45"/>
      <c r="AG262" s="45"/>
      <c r="AH262" s="6">
        <f>TABL12345[[#This Row],[ (RESV. STORGE) BER]]/10</f>
        <v>0</v>
      </c>
      <c r="AI262" s="44"/>
      <c r="AJ262" s="44">
        <f>TABL12345[[#This Row],[(A/B TOT) AJD]]-TABL12345[[#This Row],[BER_ IN]]</f>
        <v>0</v>
      </c>
      <c r="AK262" s="45"/>
      <c r="AL262" s="45"/>
      <c r="AM262" s="32"/>
      <c r="AN262" s="32">
        <f>TABL12345[[#This Row],[ (RESV. STORGE) SER]]/10</f>
        <v>0</v>
      </c>
      <c r="AO262" s="68"/>
      <c r="AP262" s="68">
        <f>TABL12345[[#This Row],[(A/S TOT) AJD]]-TABL12345[[#This Row],[SER_ IN]]</f>
        <v>0</v>
      </c>
    </row>
    <row r="263" spans="1:42" ht="18.75" x14ac:dyDescent="0.25">
      <c r="A263" s="2">
        <v>47380</v>
      </c>
      <c r="B263" s="41"/>
      <c r="C263" s="41"/>
      <c r="D263" s="41"/>
      <c r="E263" s="35"/>
      <c r="F263" s="41"/>
      <c r="G263" s="39"/>
      <c r="H263" s="28"/>
      <c r="I263" s="39"/>
      <c r="J263" s="39"/>
      <c r="K263" s="28">
        <f>TABL12345[[#This Row],[خط (T/B  TOT) SAR]]+TABL12345[[#This Row],[خط (S/S  TOT) SAR2]]</f>
        <v>0</v>
      </c>
      <c r="L263" s="41"/>
      <c r="M263" s="42"/>
      <c r="N263" s="42"/>
      <c r="O263" s="39"/>
      <c r="P263" s="9">
        <f>TABL12345[[#This Row],[خط (S/S  TOT) SAR2]]-TABL12345[[#This Row],[(S/S TOT) AJD]]</f>
        <v>0</v>
      </c>
      <c r="Q263" s="39"/>
      <c r="R263" s="9">
        <f>TABL12345[[#This Row],[خط (T/B  TOT) SAR]]-TABL12345[[#This Row],[(T/B TOT) AJD]]</f>
        <v>0</v>
      </c>
      <c r="S263" s="9">
        <f>TABL12345[[#This Row],[الفرق بين بداية ونهاية خط  S/S]]+TABL12345[[#This Row],[الفرق بين بداية ونهاية خط  T/B]]</f>
        <v>0</v>
      </c>
      <c r="T263" s="9">
        <f t="shared" si="16"/>
        <v>0</v>
      </c>
      <c r="U263" s="41"/>
      <c r="V263" s="41"/>
      <c r="W263" s="9">
        <f t="shared" si="17"/>
        <v>0</v>
      </c>
      <c r="X263" s="9">
        <f t="shared" si="18"/>
        <v>0</v>
      </c>
      <c r="Y263" s="41"/>
      <c r="Z263" s="43"/>
      <c r="AA263" s="3">
        <f>TABL12345[[#This Row],[(RESV. STORGE) AJD]]/10</f>
        <v>0</v>
      </c>
      <c r="AB263" s="43">
        <f t="shared" si="19"/>
        <v>0</v>
      </c>
      <c r="AC263" s="5"/>
      <c r="AD263" s="39">
        <f>(TABL12345[[#This Row],[( S/S+T/B) AJD]]*1000)-((TABL12345[[#This Row],[(STORGE DIFF.) AJD]]*1000)+TABL12345[[#This Row],[البخر  AJD]]+(TABL12345[[#This Row],[(A/B + A/S) AJD]]*1000))</f>
        <v>0</v>
      </c>
      <c r="AE263" s="41"/>
      <c r="AF263" s="43"/>
      <c r="AG263" s="43"/>
      <c r="AH263" s="6">
        <f>TABL12345[[#This Row],[ (RESV. STORGE) BER]]/10</f>
        <v>0</v>
      </c>
      <c r="AI263" s="41"/>
      <c r="AJ263" s="41">
        <f>TABL12345[[#This Row],[(A/B TOT) AJD]]-TABL12345[[#This Row],[BER_ IN]]</f>
        <v>0</v>
      </c>
      <c r="AK263" s="43"/>
      <c r="AL263" s="43"/>
      <c r="AM263" s="32"/>
      <c r="AN263" s="32">
        <f>TABL12345[[#This Row],[ (RESV. STORGE) SER]]/10</f>
        <v>0</v>
      </c>
      <c r="AO263" s="68"/>
      <c r="AP263" s="68">
        <f>TABL12345[[#This Row],[(A/S TOT) AJD]]-TABL12345[[#This Row],[SER_ IN]]</f>
        <v>0</v>
      </c>
    </row>
    <row r="264" spans="1:42" ht="18.75" x14ac:dyDescent="0.25">
      <c r="A264" s="2">
        <v>47381</v>
      </c>
      <c r="B264" s="44"/>
      <c r="C264" s="44"/>
      <c r="D264" s="44"/>
      <c r="E264" s="35"/>
      <c r="F264" s="44"/>
      <c r="G264" s="40"/>
      <c r="H264" s="28"/>
      <c r="I264" s="40"/>
      <c r="J264" s="44"/>
      <c r="K264" s="28">
        <f>TABL12345[[#This Row],[خط (T/B  TOT) SAR]]+TABL12345[[#This Row],[خط (S/S  TOT) SAR2]]</f>
        <v>0</v>
      </c>
      <c r="L264" s="45"/>
      <c r="M264" s="46"/>
      <c r="N264" s="46"/>
      <c r="O264" s="40"/>
      <c r="P264" s="9">
        <f>TABL12345[[#This Row],[خط (S/S  TOT) SAR2]]-TABL12345[[#This Row],[(S/S TOT) AJD]]</f>
        <v>0</v>
      </c>
      <c r="Q264" s="40"/>
      <c r="R264" s="9">
        <f>TABL12345[[#This Row],[خط (T/B  TOT) SAR]]-TABL12345[[#This Row],[(T/B TOT) AJD]]</f>
        <v>0</v>
      </c>
      <c r="S264" s="9">
        <f>TABL12345[[#This Row],[الفرق بين بداية ونهاية خط  S/S]]+TABL12345[[#This Row],[الفرق بين بداية ونهاية خط  T/B]]</f>
        <v>0</v>
      </c>
      <c r="T264" s="9">
        <f t="shared" si="16"/>
        <v>0</v>
      </c>
      <c r="U264" s="44"/>
      <c r="V264" s="44"/>
      <c r="W264" s="9">
        <f t="shared" si="17"/>
        <v>0</v>
      </c>
      <c r="X264" s="9">
        <f t="shared" si="18"/>
        <v>0</v>
      </c>
      <c r="Y264" s="44"/>
      <c r="Z264" s="45"/>
      <c r="AA264" s="3">
        <f>TABL12345[[#This Row],[(RESV. STORGE) AJD]]/10</f>
        <v>0</v>
      </c>
      <c r="AB264" s="45">
        <f t="shared" si="19"/>
        <v>0</v>
      </c>
      <c r="AC264" s="5"/>
      <c r="AD264" s="40">
        <f>(TABL12345[[#This Row],[( S/S+T/B) AJD]]*1000)-((TABL12345[[#This Row],[(STORGE DIFF.) AJD]]*1000)+TABL12345[[#This Row],[البخر  AJD]]+(TABL12345[[#This Row],[(A/B + A/S) AJD]]*1000))</f>
        <v>0</v>
      </c>
      <c r="AE264" s="44"/>
      <c r="AF264" s="45"/>
      <c r="AG264" s="45"/>
      <c r="AH264" s="6">
        <f>TABL12345[[#This Row],[ (RESV. STORGE) BER]]/10</f>
        <v>0</v>
      </c>
      <c r="AI264" s="44"/>
      <c r="AJ264" s="44">
        <f>TABL12345[[#This Row],[(A/B TOT) AJD]]-TABL12345[[#This Row],[BER_ IN]]</f>
        <v>0</v>
      </c>
      <c r="AK264" s="45"/>
      <c r="AL264" s="45"/>
      <c r="AM264" s="32"/>
      <c r="AN264" s="32">
        <f>TABL12345[[#This Row],[ (RESV. STORGE) SER]]/10</f>
        <v>0</v>
      </c>
      <c r="AO264" s="68"/>
      <c r="AP264" s="68">
        <f>TABL12345[[#This Row],[(A/S TOT) AJD]]-TABL12345[[#This Row],[SER_ IN]]</f>
        <v>0</v>
      </c>
    </row>
    <row r="265" spans="1:42" ht="18.75" x14ac:dyDescent="0.25">
      <c r="A265" s="2">
        <v>47382</v>
      </c>
      <c r="B265" s="41"/>
      <c r="C265" s="41"/>
      <c r="D265" s="41"/>
      <c r="E265" s="35"/>
      <c r="F265" s="41"/>
      <c r="G265" s="39"/>
      <c r="H265" s="28"/>
      <c r="I265" s="39"/>
      <c r="J265" s="39"/>
      <c r="K265" s="28">
        <f>TABL12345[[#This Row],[خط (T/B  TOT) SAR]]+TABL12345[[#This Row],[خط (S/S  TOT) SAR2]]</f>
        <v>0</v>
      </c>
      <c r="L265" s="41"/>
      <c r="M265" s="42"/>
      <c r="N265" s="42"/>
      <c r="O265" s="39"/>
      <c r="P265" s="9">
        <f>TABL12345[[#This Row],[خط (S/S  TOT) SAR2]]-TABL12345[[#This Row],[(S/S TOT) AJD]]</f>
        <v>0</v>
      </c>
      <c r="Q265" s="39"/>
      <c r="R265" s="9">
        <f>TABL12345[[#This Row],[خط (T/B  TOT) SAR]]-TABL12345[[#This Row],[(T/B TOT) AJD]]</f>
        <v>0</v>
      </c>
      <c r="S265" s="9">
        <f>TABL12345[[#This Row],[الفرق بين بداية ونهاية خط  S/S]]+TABL12345[[#This Row],[الفرق بين بداية ونهاية خط  T/B]]</f>
        <v>0</v>
      </c>
      <c r="T265" s="9">
        <f t="shared" si="16"/>
        <v>0</v>
      </c>
      <c r="U265" s="41"/>
      <c r="V265" s="41"/>
      <c r="W265" s="9">
        <f t="shared" si="17"/>
        <v>0</v>
      </c>
      <c r="X265" s="9">
        <f t="shared" si="18"/>
        <v>0</v>
      </c>
      <c r="Y265" s="41"/>
      <c r="Z265" s="43"/>
      <c r="AA265" s="3">
        <f>TABL12345[[#This Row],[(RESV. STORGE) AJD]]/10</f>
        <v>0</v>
      </c>
      <c r="AB265" s="43">
        <f t="shared" si="19"/>
        <v>0</v>
      </c>
      <c r="AC265" s="5"/>
      <c r="AD265" s="39">
        <f>(TABL12345[[#This Row],[( S/S+T/B) AJD]]*1000)-((TABL12345[[#This Row],[(STORGE DIFF.) AJD]]*1000)+TABL12345[[#This Row],[البخر  AJD]]+(TABL12345[[#This Row],[(A/B + A/S) AJD]]*1000))</f>
        <v>0</v>
      </c>
      <c r="AE265" s="41"/>
      <c r="AF265" s="43"/>
      <c r="AG265" s="43"/>
      <c r="AH265" s="6">
        <f>TABL12345[[#This Row],[ (RESV. STORGE) BER]]/10</f>
        <v>0</v>
      </c>
      <c r="AI265" s="41"/>
      <c r="AJ265" s="41">
        <f>TABL12345[[#This Row],[(A/B TOT) AJD]]-TABL12345[[#This Row],[BER_ IN]]</f>
        <v>0</v>
      </c>
      <c r="AK265" s="43"/>
      <c r="AL265" s="43"/>
      <c r="AM265" s="32"/>
      <c r="AN265" s="32">
        <f>TABL12345[[#This Row],[ (RESV. STORGE) SER]]/10</f>
        <v>0</v>
      </c>
      <c r="AO265" s="68"/>
      <c r="AP265" s="68">
        <f>TABL12345[[#This Row],[(A/S TOT) AJD]]-TABL12345[[#This Row],[SER_ IN]]</f>
        <v>0</v>
      </c>
    </row>
    <row r="266" spans="1:42" ht="18.75" x14ac:dyDescent="0.25">
      <c r="A266" s="2">
        <v>47383</v>
      </c>
      <c r="B266" s="44"/>
      <c r="C266" s="44"/>
      <c r="D266" s="44"/>
      <c r="E266" s="35"/>
      <c r="F266" s="44"/>
      <c r="G266" s="40"/>
      <c r="H266" s="28"/>
      <c r="I266" s="40"/>
      <c r="J266" s="44"/>
      <c r="K266" s="28">
        <f>TABL12345[[#This Row],[خط (T/B  TOT) SAR]]+TABL12345[[#This Row],[خط (S/S  TOT) SAR2]]</f>
        <v>0</v>
      </c>
      <c r="L266" s="45"/>
      <c r="M266" s="46"/>
      <c r="N266" s="46"/>
      <c r="O266" s="40"/>
      <c r="P266" s="9">
        <f>TABL12345[[#This Row],[خط (S/S  TOT) SAR2]]-TABL12345[[#This Row],[(S/S TOT) AJD]]</f>
        <v>0</v>
      </c>
      <c r="Q266" s="40"/>
      <c r="R266" s="9">
        <f>TABL12345[[#This Row],[خط (T/B  TOT) SAR]]-TABL12345[[#This Row],[(T/B TOT) AJD]]</f>
        <v>0</v>
      </c>
      <c r="S266" s="9">
        <f>TABL12345[[#This Row],[الفرق بين بداية ونهاية خط  S/S]]+TABL12345[[#This Row],[الفرق بين بداية ونهاية خط  T/B]]</f>
        <v>0</v>
      </c>
      <c r="T266" s="9">
        <f t="shared" si="16"/>
        <v>0</v>
      </c>
      <c r="U266" s="44"/>
      <c r="V266" s="44"/>
      <c r="W266" s="9">
        <f t="shared" si="17"/>
        <v>0</v>
      </c>
      <c r="X266" s="9">
        <f t="shared" si="18"/>
        <v>0</v>
      </c>
      <c r="Y266" s="44"/>
      <c r="Z266" s="45"/>
      <c r="AA266" s="3">
        <f>TABL12345[[#This Row],[(RESV. STORGE) AJD]]/10</f>
        <v>0</v>
      </c>
      <c r="AB266" s="45">
        <f t="shared" si="19"/>
        <v>0</v>
      </c>
      <c r="AC266" s="5"/>
      <c r="AD266" s="40">
        <f>(TABL12345[[#This Row],[( S/S+T/B) AJD]]*1000)-((TABL12345[[#This Row],[(STORGE DIFF.) AJD]]*1000)+TABL12345[[#This Row],[البخر  AJD]]+(TABL12345[[#This Row],[(A/B + A/S) AJD]]*1000))</f>
        <v>0</v>
      </c>
      <c r="AE266" s="44"/>
      <c r="AF266" s="45"/>
      <c r="AG266" s="45"/>
      <c r="AH266" s="6">
        <f>TABL12345[[#This Row],[ (RESV. STORGE) BER]]/10</f>
        <v>0</v>
      </c>
      <c r="AI266" s="44"/>
      <c r="AJ266" s="44">
        <f>TABL12345[[#This Row],[(A/B TOT) AJD]]-TABL12345[[#This Row],[BER_ IN]]</f>
        <v>0</v>
      </c>
      <c r="AK266" s="45"/>
      <c r="AL266" s="45"/>
      <c r="AM266" s="32"/>
      <c r="AN266" s="32">
        <f>TABL12345[[#This Row],[ (RESV. STORGE) SER]]/10</f>
        <v>0</v>
      </c>
      <c r="AO266" s="68"/>
      <c r="AP266" s="68">
        <f>TABL12345[[#This Row],[(A/S TOT) AJD]]-TABL12345[[#This Row],[SER_ IN]]</f>
        <v>0</v>
      </c>
    </row>
    <row r="267" spans="1:42" ht="18.75" x14ac:dyDescent="0.25">
      <c r="A267" s="2">
        <v>47384</v>
      </c>
      <c r="B267" s="41"/>
      <c r="C267" s="41"/>
      <c r="D267" s="41"/>
      <c r="E267" s="35"/>
      <c r="F267" s="41"/>
      <c r="G267" s="39"/>
      <c r="H267" s="28"/>
      <c r="I267" s="39"/>
      <c r="J267" s="39"/>
      <c r="K267" s="28">
        <f>TABL12345[[#This Row],[خط (T/B  TOT) SAR]]+TABL12345[[#This Row],[خط (S/S  TOT) SAR2]]</f>
        <v>0</v>
      </c>
      <c r="L267" s="41"/>
      <c r="M267" s="42"/>
      <c r="N267" s="42"/>
      <c r="O267" s="39"/>
      <c r="P267" s="9">
        <f>TABL12345[[#This Row],[خط (S/S  TOT) SAR2]]-TABL12345[[#This Row],[(S/S TOT) AJD]]</f>
        <v>0</v>
      </c>
      <c r="Q267" s="39"/>
      <c r="R267" s="9">
        <f>TABL12345[[#This Row],[خط (T/B  TOT) SAR]]-TABL12345[[#This Row],[(T/B TOT) AJD]]</f>
        <v>0</v>
      </c>
      <c r="S267" s="9">
        <f>TABL12345[[#This Row],[الفرق بين بداية ونهاية خط  S/S]]+TABL12345[[#This Row],[الفرق بين بداية ونهاية خط  T/B]]</f>
        <v>0</v>
      </c>
      <c r="T267" s="9">
        <f t="shared" si="16"/>
        <v>0</v>
      </c>
      <c r="U267" s="41"/>
      <c r="V267" s="41"/>
      <c r="W267" s="9">
        <f t="shared" si="17"/>
        <v>0</v>
      </c>
      <c r="X267" s="9">
        <f t="shared" si="18"/>
        <v>0</v>
      </c>
      <c r="Y267" s="41"/>
      <c r="Z267" s="43"/>
      <c r="AA267" s="3">
        <f>TABL12345[[#This Row],[(RESV. STORGE) AJD]]/10</f>
        <v>0</v>
      </c>
      <c r="AB267" s="43">
        <f t="shared" si="19"/>
        <v>0</v>
      </c>
      <c r="AC267" s="5"/>
      <c r="AD267" s="39">
        <f>(TABL12345[[#This Row],[( S/S+T/B) AJD]]*1000)-((TABL12345[[#This Row],[(STORGE DIFF.) AJD]]*1000)+TABL12345[[#This Row],[البخر  AJD]]+(TABL12345[[#This Row],[(A/B + A/S) AJD]]*1000))</f>
        <v>0</v>
      </c>
      <c r="AE267" s="41"/>
      <c r="AF267" s="43"/>
      <c r="AG267" s="43"/>
      <c r="AH267" s="6">
        <f>TABL12345[[#This Row],[ (RESV. STORGE) BER]]/10</f>
        <v>0</v>
      </c>
      <c r="AI267" s="41"/>
      <c r="AJ267" s="41">
        <f>TABL12345[[#This Row],[(A/B TOT) AJD]]-TABL12345[[#This Row],[BER_ IN]]</f>
        <v>0</v>
      </c>
      <c r="AK267" s="43"/>
      <c r="AL267" s="43"/>
      <c r="AM267" s="32"/>
      <c r="AN267" s="32">
        <f>TABL12345[[#This Row],[ (RESV. STORGE) SER]]/10</f>
        <v>0</v>
      </c>
      <c r="AO267" s="68"/>
      <c r="AP267" s="68">
        <f>TABL12345[[#This Row],[(A/S TOT) AJD]]-TABL12345[[#This Row],[SER_ IN]]</f>
        <v>0</v>
      </c>
    </row>
    <row r="268" spans="1:42" ht="18.75" x14ac:dyDescent="0.25">
      <c r="A268" s="2">
        <v>47385</v>
      </c>
      <c r="B268" s="44"/>
      <c r="C268" s="44"/>
      <c r="D268" s="44"/>
      <c r="E268" s="35"/>
      <c r="F268" s="44"/>
      <c r="G268" s="40"/>
      <c r="H268" s="28"/>
      <c r="I268" s="40"/>
      <c r="J268" s="44"/>
      <c r="K268" s="28">
        <f>TABL12345[[#This Row],[خط (T/B  TOT) SAR]]+TABL12345[[#This Row],[خط (S/S  TOT) SAR2]]</f>
        <v>0</v>
      </c>
      <c r="L268" s="45"/>
      <c r="M268" s="46"/>
      <c r="N268" s="46"/>
      <c r="O268" s="40"/>
      <c r="P268" s="9">
        <f>TABL12345[[#This Row],[خط (S/S  TOT) SAR2]]-TABL12345[[#This Row],[(S/S TOT) AJD]]</f>
        <v>0</v>
      </c>
      <c r="Q268" s="40"/>
      <c r="R268" s="9">
        <f>TABL12345[[#This Row],[خط (T/B  TOT) SAR]]-TABL12345[[#This Row],[(T/B TOT) AJD]]</f>
        <v>0</v>
      </c>
      <c r="S268" s="9">
        <f>TABL12345[[#This Row],[الفرق بين بداية ونهاية خط  S/S]]+TABL12345[[#This Row],[الفرق بين بداية ونهاية خط  T/B]]</f>
        <v>0</v>
      </c>
      <c r="T268" s="9">
        <f t="shared" si="16"/>
        <v>0</v>
      </c>
      <c r="U268" s="44"/>
      <c r="V268" s="44"/>
      <c r="W268" s="9">
        <f t="shared" si="17"/>
        <v>0</v>
      </c>
      <c r="X268" s="9">
        <f t="shared" si="18"/>
        <v>0</v>
      </c>
      <c r="Y268" s="44"/>
      <c r="Z268" s="45"/>
      <c r="AA268" s="3">
        <f>TABL12345[[#This Row],[(RESV. STORGE) AJD]]/10</f>
        <v>0</v>
      </c>
      <c r="AB268" s="45">
        <f t="shared" si="19"/>
        <v>0</v>
      </c>
      <c r="AC268" s="5"/>
      <c r="AD268" s="40">
        <f>(TABL12345[[#This Row],[( S/S+T/B) AJD]]*1000)-((TABL12345[[#This Row],[(STORGE DIFF.) AJD]]*1000)+TABL12345[[#This Row],[البخر  AJD]]+(TABL12345[[#This Row],[(A/B + A/S) AJD]]*1000))</f>
        <v>0</v>
      </c>
      <c r="AE268" s="44"/>
      <c r="AF268" s="45"/>
      <c r="AG268" s="45"/>
      <c r="AH268" s="6">
        <f>TABL12345[[#This Row],[ (RESV. STORGE) BER]]/10</f>
        <v>0</v>
      </c>
      <c r="AI268" s="44"/>
      <c r="AJ268" s="44">
        <f>TABL12345[[#This Row],[(A/B TOT) AJD]]-TABL12345[[#This Row],[BER_ IN]]</f>
        <v>0</v>
      </c>
      <c r="AK268" s="45"/>
      <c r="AL268" s="45"/>
      <c r="AM268" s="32"/>
      <c r="AN268" s="32">
        <f>TABL12345[[#This Row],[ (RESV. STORGE) SER]]/10</f>
        <v>0</v>
      </c>
      <c r="AO268" s="68"/>
      <c r="AP268" s="68">
        <f>TABL12345[[#This Row],[(A/S TOT) AJD]]-TABL12345[[#This Row],[SER_ IN]]</f>
        <v>0</v>
      </c>
    </row>
    <row r="269" spans="1:42" ht="18.75" x14ac:dyDescent="0.25">
      <c r="A269" s="2">
        <v>47386</v>
      </c>
      <c r="B269" s="41"/>
      <c r="C269" s="41"/>
      <c r="D269" s="41"/>
      <c r="E269" s="35"/>
      <c r="F269" s="41"/>
      <c r="G269" s="39"/>
      <c r="H269" s="28"/>
      <c r="I269" s="39"/>
      <c r="J269" s="39"/>
      <c r="K269" s="28">
        <f>TABL12345[[#This Row],[خط (T/B  TOT) SAR]]+TABL12345[[#This Row],[خط (S/S  TOT) SAR2]]</f>
        <v>0</v>
      </c>
      <c r="L269" s="41"/>
      <c r="M269" s="42"/>
      <c r="N269" s="42"/>
      <c r="O269" s="39"/>
      <c r="P269" s="9">
        <f>TABL12345[[#This Row],[خط (S/S  TOT) SAR2]]-TABL12345[[#This Row],[(S/S TOT) AJD]]</f>
        <v>0</v>
      </c>
      <c r="Q269" s="39"/>
      <c r="R269" s="9">
        <f>TABL12345[[#This Row],[خط (T/B  TOT) SAR]]-TABL12345[[#This Row],[(T/B TOT) AJD]]</f>
        <v>0</v>
      </c>
      <c r="S269" s="9">
        <f>TABL12345[[#This Row],[الفرق بين بداية ونهاية خط  S/S]]+TABL12345[[#This Row],[الفرق بين بداية ونهاية خط  T/B]]</f>
        <v>0</v>
      </c>
      <c r="T269" s="9">
        <f t="shared" si="16"/>
        <v>0</v>
      </c>
      <c r="U269" s="41"/>
      <c r="V269" s="41"/>
      <c r="W269" s="9">
        <f t="shared" si="17"/>
        <v>0</v>
      </c>
      <c r="X269" s="9">
        <f t="shared" si="18"/>
        <v>0</v>
      </c>
      <c r="Y269" s="41"/>
      <c r="Z269" s="43"/>
      <c r="AA269" s="3">
        <f>TABL12345[[#This Row],[(RESV. STORGE) AJD]]/10</f>
        <v>0</v>
      </c>
      <c r="AB269" s="43">
        <f t="shared" si="19"/>
        <v>0</v>
      </c>
      <c r="AC269" s="5"/>
      <c r="AD269" s="39">
        <f>(TABL12345[[#This Row],[( S/S+T/B) AJD]]*1000)-((TABL12345[[#This Row],[(STORGE DIFF.) AJD]]*1000)+TABL12345[[#This Row],[البخر  AJD]]+(TABL12345[[#This Row],[(A/B + A/S) AJD]]*1000))</f>
        <v>0</v>
      </c>
      <c r="AE269" s="41"/>
      <c r="AF269" s="43"/>
      <c r="AG269" s="43"/>
      <c r="AH269" s="6">
        <f>TABL12345[[#This Row],[ (RESV. STORGE) BER]]/10</f>
        <v>0</v>
      </c>
      <c r="AI269" s="41"/>
      <c r="AJ269" s="41">
        <f>TABL12345[[#This Row],[(A/B TOT) AJD]]-TABL12345[[#This Row],[BER_ IN]]</f>
        <v>0</v>
      </c>
      <c r="AK269" s="43"/>
      <c r="AL269" s="43"/>
      <c r="AM269" s="32"/>
      <c r="AN269" s="32">
        <f>TABL12345[[#This Row],[ (RESV. STORGE) SER]]/10</f>
        <v>0</v>
      </c>
      <c r="AO269" s="68"/>
      <c r="AP269" s="68">
        <f>TABL12345[[#This Row],[(A/S TOT) AJD]]-TABL12345[[#This Row],[SER_ IN]]</f>
        <v>0</v>
      </c>
    </row>
    <row r="270" spans="1:42" ht="18.75" x14ac:dyDescent="0.25">
      <c r="A270" s="2">
        <v>47387</v>
      </c>
      <c r="B270" s="44"/>
      <c r="C270" s="44"/>
      <c r="D270" s="44"/>
      <c r="E270" s="35"/>
      <c r="F270" s="44"/>
      <c r="G270" s="40"/>
      <c r="H270" s="28"/>
      <c r="I270" s="40"/>
      <c r="J270" s="44"/>
      <c r="K270" s="28">
        <f>TABL12345[[#This Row],[خط (T/B  TOT) SAR]]+TABL12345[[#This Row],[خط (S/S  TOT) SAR2]]</f>
        <v>0</v>
      </c>
      <c r="L270" s="45"/>
      <c r="M270" s="46"/>
      <c r="N270" s="46"/>
      <c r="O270" s="40"/>
      <c r="P270" s="9">
        <f>TABL12345[[#This Row],[خط (S/S  TOT) SAR2]]-TABL12345[[#This Row],[(S/S TOT) AJD]]</f>
        <v>0</v>
      </c>
      <c r="Q270" s="40"/>
      <c r="R270" s="9">
        <f>TABL12345[[#This Row],[خط (T/B  TOT) SAR]]-TABL12345[[#This Row],[(T/B TOT) AJD]]</f>
        <v>0</v>
      </c>
      <c r="S270" s="9">
        <f>TABL12345[[#This Row],[الفرق بين بداية ونهاية خط  S/S]]+TABL12345[[#This Row],[الفرق بين بداية ونهاية خط  T/B]]</f>
        <v>0</v>
      </c>
      <c r="T270" s="9">
        <f t="shared" si="16"/>
        <v>0</v>
      </c>
      <c r="U270" s="44"/>
      <c r="V270" s="44"/>
      <c r="W270" s="9">
        <f t="shared" si="17"/>
        <v>0</v>
      </c>
      <c r="X270" s="9">
        <f t="shared" si="18"/>
        <v>0</v>
      </c>
      <c r="Y270" s="44"/>
      <c r="Z270" s="45"/>
      <c r="AA270" s="3">
        <f>TABL12345[[#This Row],[(RESV. STORGE) AJD]]/10</f>
        <v>0</v>
      </c>
      <c r="AB270" s="45">
        <f t="shared" si="19"/>
        <v>0</v>
      </c>
      <c r="AC270" s="5"/>
      <c r="AD270" s="40">
        <f>(TABL12345[[#This Row],[( S/S+T/B) AJD]]*1000)-((TABL12345[[#This Row],[(STORGE DIFF.) AJD]]*1000)+TABL12345[[#This Row],[البخر  AJD]]+(TABL12345[[#This Row],[(A/B + A/S) AJD]]*1000))</f>
        <v>0</v>
      </c>
      <c r="AE270" s="44"/>
      <c r="AF270" s="45"/>
      <c r="AG270" s="45"/>
      <c r="AH270" s="6">
        <f>TABL12345[[#This Row],[ (RESV. STORGE) BER]]/10</f>
        <v>0</v>
      </c>
      <c r="AI270" s="44"/>
      <c r="AJ270" s="44">
        <f>TABL12345[[#This Row],[(A/B TOT) AJD]]-TABL12345[[#This Row],[BER_ IN]]</f>
        <v>0</v>
      </c>
      <c r="AK270" s="45"/>
      <c r="AL270" s="45"/>
      <c r="AM270" s="32"/>
      <c r="AN270" s="32">
        <f>TABL12345[[#This Row],[ (RESV. STORGE) SER]]/10</f>
        <v>0</v>
      </c>
      <c r="AO270" s="68"/>
      <c r="AP270" s="68">
        <f>TABL12345[[#This Row],[(A/S TOT) AJD]]-TABL12345[[#This Row],[SER_ IN]]</f>
        <v>0</v>
      </c>
    </row>
    <row r="271" spans="1:42" ht="18.75" x14ac:dyDescent="0.25">
      <c r="A271" s="2">
        <v>47388</v>
      </c>
      <c r="B271" s="28"/>
      <c r="C271" s="28"/>
      <c r="D271" s="28"/>
      <c r="E271" s="35"/>
      <c r="F271" s="41"/>
      <c r="G271" s="39"/>
      <c r="H271" s="28"/>
      <c r="I271" s="28"/>
      <c r="J271" s="28"/>
      <c r="K271" s="28">
        <f>TABL12345[[#This Row],[خط (T/B  TOT) SAR]]+TABL12345[[#This Row],[خط (S/S  TOT) SAR2]]</f>
        <v>0</v>
      </c>
      <c r="L271" s="41"/>
      <c r="M271" s="42"/>
      <c r="N271" s="42"/>
      <c r="O271" s="39"/>
      <c r="P271" s="9">
        <f>TABL12345[[#This Row],[خط (S/S  TOT) SAR2]]-TABL12345[[#This Row],[(S/S TOT) AJD]]</f>
        <v>0</v>
      </c>
      <c r="Q271" s="9"/>
      <c r="R271" s="9">
        <f>TABL12345[[#This Row],[خط (T/B  TOT) SAR]]-TABL12345[[#This Row],[(T/B TOT) AJD]]</f>
        <v>0</v>
      </c>
      <c r="S271" s="9">
        <f>TABL12345[[#This Row],[الفرق بين بداية ونهاية خط  S/S]]+TABL12345[[#This Row],[الفرق بين بداية ونهاية خط  T/B]]</f>
        <v>0</v>
      </c>
      <c r="T271" s="9">
        <f t="shared" si="16"/>
        <v>0</v>
      </c>
      <c r="U271" s="41"/>
      <c r="V271" s="41"/>
      <c r="W271" s="9">
        <f t="shared" si="17"/>
        <v>0</v>
      </c>
      <c r="X271" s="9">
        <f t="shared" si="18"/>
        <v>0</v>
      </c>
      <c r="Y271" s="41"/>
      <c r="Z271" s="43"/>
      <c r="AA271" s="3">
        <f>TABL12345[[#This Row],[(RESV. STORGE) AJD]]/10</f>
        <v>0</v>
      </c>
      <c r="AB271" s="43">
        <f t="shared" si="19"/>
        <v>0</v>
      </c>
      <c r="AC271" s="5"/>
      <c r="AD271" s="39">
        <f>(TABL12345[[#This Row],[( S/S+T/B) AJD]]*1000)-((TABL12345[[#This Row],[(STORGE DIFF.) AJD]]*1000)+TABL12345[[#This Row],[البخر  AJD]]+(TABL12345[[#This Row],[(A/B + A/S) AJD]]*1000))</f>
        <v>0</v>
      </c>
      <c r="AE271" s="41"/>
      <c r="AF271" s="43"/>
      <c r="AG271" s="43"/>
      <c r="AH271" s="6">
        <f>TABL12345[[#This Row],[ (RESV. STORGE) BER]]/10</f>
        <v>0</v>
      </c>
      <c r="AI271" s="41"/>
      <c r="AJ271" s="41">
        <f>TABL12345[[#This Row],[(A/B TOT) AJD]]-TABL12345[[#This Row],[BER_ IN]]</f>
        <v>0</v>
      </c>
      <c r="AK271" s="43"/>
      <c r="AL271" s="43"/>
      <c r="AM271" s="32"/>
      <c r="AN271" s="32">
        <f>TABL12345[[#This Row],[ (RESV. STORGE) SER]]/10</f>
        <v>0</v>
      </c>
      <c r="AO271" s="68"/>
      <c r="AP271" s="68">
        <f>TABL12345[[#This Row],[(A/S TOT) AJD]]-TABL12345[[#This Row],[SER_ IN]]</f>
        <v>0</v>
      </c>
    </row>
    <row r="272" spans="1:42" ht="18.75" x14ac:dyDescent="0.25">
      <c r="A272" s="2">
        <v>47389</v>
      </c>
      <c r="B272" s="28"/>
      <c r="C272" s="28"/>
      <c r="D272" s="28"/>
      <c r="E272" s="35"/>
      <c r="F272" s="44"/>
      <c r="G272" s="40"/>
      <c r="H272" s="28"/>
      <c r="I272" s="28"/>
      <c r="J272" s="28"/>
      <c r="K272" s="28">
        <f>TABL12345[[#This Row],[خط (T/B  TOT) SAR]]+TABL12345[[#This Row],[خط (S/S  TOT) SAR2]]</f>
        <v>0</v>
      </c>
      <c r="L272" s="45"/>
      <c r="M272" s="46"/>
      <c r="N272" s="46"/>
      <c r="O272" s="9"/>
      <c r="P272" s="9">
        <f>TABL12345[[#This Row],[خط (S/S  TOT) SAR2]]-TABL12345[[#This Row],[(S/S TOT) AJD]]</f>
        <v>0</v>
      </c>
      <c r="Q272" s="9"/>
      <c r="R272" s="9">
        <f>TABL12345[[#This Row],[خط (T/B  TOT) SAR]]-TABL12345[[#This Row],[(T/B TOT) AJD]]</f>
        <v>0</v>
      </c>
      <c r="S272" s="9">
        <f>TABL12345[[#This Row],[الفرق بين بداية ونهاية خط  S/S]]+TABL12345[[#This Row],[الفرق بين بداية ونهاية خط  T/B]]</f>
        <v>0</v>
      </c>
      <c r="T272" s="9">
        <f t="shared" si="16"/>
        <v>0</v>
      </c>
      <c r="U272" s="9"/>
      <c r="V272" s="9"/>
      <c r="W272" s="9">
        <f t="shared" si="17"/>
        <v>0</v>
      </c>
      <c r="X272" s="9">
        <f t="shared" si="18"/>
        <v>0</v>
      </c>
      <c r="Y272" s="18"/>
      <c r="Z272" s="9"/>
      <c r="AA272" s="3">
        <f>TABL12345[[#This Row],[(RESV. STORGE) AJD]]/10</f>
        <v>0</v>
      </c>
      <c r="AB272" s="45">
        <f t="shared" si="19"/>
        <v>0</v>
      </c>
      <c r="AC272" s="5"/>
      <c r="AD272" s="40">
        <f>(TABL12345[[#This Row],[( S/S+T/B) AJD]]*1000)-((TABL12345[[#This Row],[(STORGE DIFF.) AJD]]*1000)+TABL12345[[#This Row],[البخر  AJD]]+(TABL12345[[#This Row],[(A/B + A/S) AJD]]*1000))</f>
        <v>0</v>
      </c>
      <c r="AE272" s="44"/>
      <c r="AF272" s="45"/>
      <c r="AG272" s="45"/>
      <c r="AH272" s="6">
        <f>TABL12345[[#This Row],[ (RESV. STORGE) BER]]/10</f>
        <v>0</v>
      </c>
      <c r="AI272" s="6"/>
      <c r="AJ272" s="33">
        <f>TABL12345[[#This Row],[(A/B TOT) AJD]]-TABL12345[[#This Row],[BER_ IN]]</f>
        <v>0</v>
      </c>
      <c r="AK272" s="6"/>
      <c r="AL272" s="6"/>
      <c r="AM272" s="32"/>
      <c r="AN272" s="32">
        <f>TABL12345[[#This Row],[ (RESV. STORGE) SER]]/10</f>
        <v>0</v>
      </c>
      <c r="AO272" s="68"/>
      <c r="AP272" s="68">
        <f>TABL12345[[#This Row],[(A/S TOT) AJD]]-TABL12345[[#This Row],[SER_ IN]]</f>
        <v>0</v>
      </c>
    </row>
    <row r="273" spans="1:42" ht="18.75" x14ac:dyDescent="0.25">
      <c r="A273" s="2">
        <v>47390</v>
      </c>
      <c r="B273" s="28"/>
      <c r="C273" s="28"/>
      <c r="D273" s="28"/>
      <c r="E273" s="35"/>
      <c r="F273" s="28"/>
      <c r="G273" s="28"/>
      <c r="H273" s="28"/>
      <c r="I273" s="28"/>
      <c r="J273" s="28"/>
      <c r="K273" s="28">
        <f>TABL12345[[#This Row],[خط (T/B  TOT) SAR]]+TABL12345[[#This Row],[خط (S/S  TOT) SAR2]]</f>
        <v>0</v>
      </c>
      <c r="L273" s="28"/>
      <c r="M273" s="29"/>
      <c r="N273" s="30"/>
      <c r="O273" s="9"/>
      <c r="P273" s="9">
        <f>TABL12345[[#This Row],[خط (S/S  TOT) SAR2]]-TABL12345[[#This Row],[(S/S TOT) AJD]]</f>
        <v>0</v>
      </c>
      <c r="Q273" s="9"/>
      <c r="R273" s="9">
        <f>TABL12345[[#This Row],[خط (T/B  TOT) SAR]]-TABL12345[[#This Row],[(T/B TOT) AJD]]</f>
        <v>0</v>
      </c>
      <c r="S273" s="9">
        <f>TABL12345[[#This Row],[الفرق بين بداية ونهاية خط  S/S]]+TABL12345[[#This Row],[الفرق بين بداية ونهاية خط  T/B]]</f>
        <v>0</v>
      </c>
      <c r="T273" s="9">
        <f t="shared" si="16"/>
        <v>0</v>
      </c>
      <c r="U273" s="9"/>
      <c r="V273" s="9"/>
      <c r="W273" s="9">
        <f t="shared" si="17"/>
        <v>0</v>
      </c>
      <c r="X273" s="9">
        <f t="shared" si="18"/>
        <v>0</v>
      </c>
      <c r="Y273" s="18"/>
      <c r="Z273" s="9"/>
      <c r="AA273" s="3">
        <f>TABL12345[[#This Row],[(RESV. STORGE) AJD]]/10</f>
        <v>0</v>
      </c>
      <c r="AB273" s="6">
        <f t="shared" si="19"/>
        <v>0</v>
      </c>
      <c r="AC273" s="5"/>
      <c r="AD273" s="39">
        <f>(TABL12345[[#This Row],[( S/S+T/B) AJD]]*1000)-((TABL12345[[#This Row],[(STORGE DIFF.) AJD]]*1000)+TABL12345[[#This Row],[البخر  AJD]]+(TABL12345[[#This Row],[(A/B + A/S) AJD]]*1000))</f>
        <v>0</v>
      </c>
      <c r="AE273" s="41"/>
      <c r="AF273" s="43"/>
      <c r="AG273" s="43"/>
      <c r="AH273" s="6">
        <f>TABL12345[[#This Row],[ (RESV. STORGE) BER]]/10</f>
        <v>0</v>
      </c>
      <c r="AI273" s="6"/>
      <c r="AJ273" s="33">
        <f>TABL12345[[#This Row],[(A/B TOT) AJD]]-TABL12345[[#This Row],[BER_ IN]]</f>
        <v>0</v>
      </c>
      <c r="AK273" s="6"/>
      <c r="AL273" s="6"/>
      <c r="AM273" s="32"/>
      <c r="AN273" s="32">
        <f>TABL12345[[#This Row],[ (RESV. STORGE) SER]]/10</f>
        <v>0</v>
      </c>
      <c r="AO273" s="68"/>
      <c r="AP273" s="68">
        <f>TABL12345[[#This Row],[(A/S TOT) AJD]]-TABL12345[[#This Row],[SER_ IN]]</f>
        <v>0</v>
      </c>
    </row>
    <row r="274" spans="1:42" ht="18.75" x14ac:dyDescent="0.25">
      <c r="A274" s="2">
        <v>47391</v>
      </c>
      <c r="B274" s="28"/>
      <c r="C274" s="28"/>
      <c r="D274" s="28"/>
      <c r="E274" s="35"/>
      <c r="F274" s="28"/>
      <c r="G274" s="28"/>
      <c r="H274" s="28"/>
      <c r="I274" s="28"/>
      <c r="J274" s="28"/>
      <c r="K274" s="28">
        <f>TABL12345[[#This Row],[خط (T/B  TOT) SAR]]+TABL12345[[#This Row],[خط (S/S  TOT) SAR2]]</f>
        <v>0</v>
      </c>
      <c r="L274" s="28"/>
      <c r="M274" s="29"/>
      <c r="N274" s="30"/>
      <c r="O274" s="9"/>
      <c r="P274" s="9">
        <f>TABL12345[[#This Row],[خط (S/S  TOT) SAR2]]-TABL12345[[#This Row],[(S/S TOT) AJD]]</f>
        <v>0</v>
      </c>
      <c r="Q274" s="9"/>
      <c r="R274" s="9">
        <f>TABL12345[[#This Row],[خط (T/B  TOT) SAR]]-TABL12345[[#This Row],[(T/B TOT) AJD]]</f>
        <v>0</v>
      </c>
      <c r="S274" s="9">
        <f>TABL12345[[#This Row],[الفرق بين بداية ونهاية خط  S/S]]+TABL12345[[#This Row],[الفرق بين بداية ونهاية خط  T/B]]</f>
        <v>0</v>
      </c>
      <c r="T274" s="9">
        <f t="shared" si="16"/>
        <v>0</v>
      </c>
      <c r="U274" s="9"/>
      <c r="V274" s="9"/>
      <c r="W274" s="9">
        <f t="shared" si="17"/>
        <v>0</v>
      </c>
      <c r="X274" s="9">
        <f t="shared" si="18"/>
        <v>0</v>
      </c>
      <c r="Y274" s="18"/>
      <c r="Z274" s="9"/>
      <c r="AA274" s="3">
        <f>TABL12345[[#This Row],[(RESV. STORGE) AJD]]/10</f>
        <v>0</v>
      </c>
      <c r="AB274" s="6">
        <f t="shared" si="19"/>
        <v>0</v>
      </c>
      <c r="AC274" s="5"/>
      <c r="AD274" s="6">
        <f>(TABL12345[[#This Row],[( S/S+T/B) AJD]]*1000)-((TABL12345[[#This Row],[(STORGE DIFF.) AJD]]*1000)+TABL12345[[#This Row],[البخر  AJD]]+(TABL12345[[#This Row],[(A/B + A/S) AJD]]*1000))</f>
        <v>0</v>
      </c>
      <c r="AE274" s="33"/>
      <c r="AF274" s="6"/>
      <c r="AG274" s="6"/>
      <c r="AH274" s="6">
        <f>TABL12345[[#This Row],[ (RESV. STORGE) BER]]/10</f>
        <v>0</v>
      </c>
      <c r="AI274" s="6"/>
      <c r="AJ274" s="33">
        <f>TABL12345[[#This Row],[(A/B TOT) AJD]]-TABL12345[[#This Row],[BER_ IN]]</f>
        <v>0</v>
      </c>
      <c r="AK274" s="6"/>
      <c r="AL274" s="6"/>
      <c r="AM274" s="32"/>
      <c r="AN274" s="32">
        <f>TABL12345[[#This Row],[ (RESV. STORGE) SER]]/10</f>
        <v>0</v>
      </c>
      <c r="AO274" s="68"/>
      <c r="AP274" s="68">
        <f>TABL12345[[#This Row],[(A/S TOT) AJD]]-TABL12345[[#This Row],[SER_ IN]]</f>
        <v>0</v>
      </c>
    </row>
    <row r="275" spans="1:42" ht="18.75" x14ac:dyDescent="0.25">
      <c r="A275" s="2">
        <v>47392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>
        <f>TABL12345[[#This Row],[خط (T/B  TOT) SAR]]+TABL12345[[#This Row],[خط (S/S  TOT) SAR2]]</f>
        <v>0</v>
      </c>
      <c r="L275" s="28"/>
      <c r="M275" s="29"/>
      <c r="N275" s="30"/>
      <c r="O275" s="14"/>
      <c r="P275" s="9">
        <f>TABL12345[[#This Row],[خط (S/S  TOT) SAR2]]-TABL12345[[#This Row],[(S/S TOT) AJD]]</f>
        <v>0</v>
      </c>
      <c r="Q275" s="14"/>
      <c r="R275" s="9">
        <f>TABL12345[[#This Row],[خط (T/B  TOT) SAR]]-TABL12345[[#This Row],[(T/B TOT) AJD]]</f>
        <v>0</v>
      </c>
      <c r="S275" s="9">
        <f>TABL12345[[#This Row],[الفرق بين بداية ونهاية خط  S/S]]+TABL12345[[#This Row],[الفرق بين بداية ونهاية خط  T/B]]</f>
        <v>0</v>
      </c>
      <c r="T275" s="9">
        <f t="shared" si="16"/>
        <v>0</v>
      </c>
      <c r="U275" s="14"/>
      <c r="V275" s="14"/>
      <c r="W275" s="9">
        <f t="shared" si="17"/>
        <v>0</v>
      </c>
      <c r="X275" s="9">
        <f t="shared" si="18"/>
        <v>0</v>
      </c>
      <c r="Y275" s="18"/>
      <c r="Z275" s="9"/>
      <c r="AA275" s="3">
        <f>TABL12345[[#This Row],[(RESV. STORGE) AJD]]/10</f>
        <v>0</v>
      </c>
      <c r="AB275" s="6">
        <f t="shared" si="19"/>
        <v>0</v>
      </c>
      <c r="AC275" s="5"/>
      <c r="AD275" s="6">
        <f>(TABL12345[[#This Row],[( S/S+T/B) AJD]]*1000)-((TABL12345[[#This Row],[(STORGE DIFF.) AJD]]*1000)+TABL12345[[#This Row],[البخر  AJD]]+(TABL12345[[#This Row],[(A/B + A/S) AJD]]*1000))</f>
        <v>0</v>
      </c>
      <c r="AE275" s="33"/>
      <c r="AF275" s="6"/>
      <c r="AG275" s="6"/>
      <c r="AH275" s="6">
        <f>TABL12345[[#This Row],[ (RESV. STORGE) BER]]/10</f>
        <v>0</v>
      </c>
      <c r="AI275" s="6"/>
      <c r="AJ275" s="33">
        <f>TABL12345[[#This Row],[(A/B TOT) AJD]]-TABL12345[[#This Row],[BER_ IN]]</f>
        <v>0</v>
      </c>
      <c r="AK275" s="6"/>
      <c r="AL275" s="6"/>
      <c r="AM275" s="32"/>
      <c r="AN275" s="32">
        <f>TABL12345[[#This Row],[ (RESV. STORGE) SER]]/10</f>
        <v>0</v>
      </c>
      <c r="AO275" s="68"/>
      <c r="AP275" s="68">
        <f>TABL12345[[#This Row],[(A/S TOT) AJD]]-TABL12345[[#This Row],[SER_ IN]]</f>
        <v>0</v>
      </c>
    </row>
    <row r="276" spans="1:42" ht="18.75" x14ac:dyDescent="0.25">
      <c r="A276" s="2">
        <v>47393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>
        <f>TABL12345[[#This Row],[خط (T/B  TOT) SAR]]+TABL12345[[#This Row],[خط (S/S  TOT) SAR2]]</f>
        <v>0</v>
      </c>
      <c r="L276" s="28"/>
      <c r="M276" s="29"/>
      <c r="N276" s="30"/>
      <c r="O276" s="14"/>
      <c r="P276" s="9">
        <f>TABL12345[[#This Row],[خط (S/S  TOT) SAR2]]-TABL12345[[#This Row],[(S/S TOT) AJD]]</f>
        <v>0</v>
      </c>
      <c r="Q276" s="14"/>
      <c r="R276" s="9">
        <f>TABL12345[[#This Row],[خط (T/B  TOT) SAR]]-TABL12345[[#This Row],[(T/B TOT) AJD]]</f>
        <v>0</v>
      </c>
      <c r="S276" s="9">
        <f>TABL12345[[#This Row],[الفرق بين بداية ونهاية خط  S/S]]+TABL12345[[#This Row],[الفرق بين بداية ونهاية خط  T/B]]</f>
        <v>0</v>
      </c>
      <c r="T276" s="9">
        <f t="shared" si="16"/>
        <v>0</v>
      </c>
      <c r="U276" s="14"/>
      <c r="V276" s="14"/>
      <c r="W276" s="9">
        <f t="shared" si="17"/>
        <v>0</v>
      </c>
      <c r="X276" s="9">
        <f t="shared" si="18"/>
        <v>0</v>
      </c>
      <c r="Y276" s="18"/>
      <c r="Z276" s="9"/>
      <c r="AA276" s="3">
        <f>TABL12345[[#This Row],[(RESV. STORGE) AJD]]/10</f>
        <v>0</v>
      </c>
      <c r="AB276" s="6">
        <f t="shared" si="19"/>
        <v>0</v>
      </c>
      <c r="AC276" s="5"/>
      <c r="AD276" s="6">
        <f>(TABL12345[[#This Row],[( S/S+T/B) AJD]]*1000)-((TABL12345[[#This Row],[(STORGE DIFF.) AJD]]*1000)+TABL12345[[#This Row],[البخر  AJD]]+(TABL12345[[#This Row],[(A/B + A/S) AJD]]*1000))</f>
        <v>0</v>
      </c>
      <c r="AE276" s="33"/>
      <c r="AF276" s="6"/>
      <c r="AG276" s="6"/>
      <c r="AH276" s="6">
        <f>TABL12345[[#This Row],[ (RESV. STORGE) BER]]/10</f>
        <v>0</v>
      </c>
      <c r="AI276" s="6"/>
      <c r="AJ276" s="33">
        <f>TABL12345[[#This Row],[(A/B TOT) AJD]]-TABL12345[[#This Row],[BER_ IN]]</f>
        <v>0</v>
      </c>
      <c r="AK276" s="6"/>
      <c r="AL276" s="6"/>
      <c r="AM276" s="32"/>
      <c r="AN276" s="32">
        <f>TABL12345[[#This Row],[ (RESV. STORGE) SER]]/10</f>
        <v>0</v>
      </c>
      <c r="AO276" s="68"/>
      <c r="AP276" s="68">
        <f>TABL12345[[#This Row],[(A/S TOT) AJD]]-TABL12345[[#This Row],[SER_ IN]]</f>
        <v>0</v>
      </c>
    </row>
    <row r="277" spans="1:42" ht="18.75" x14ac:dyDescent="0.25">
      <c r="A277" s="2">
        <v>47394</v>
      </c>
      <c r="B277" s="28"/>
      <c r="C277" s="28"/>
      <c r="D277" s="35"/>
      <c r="E277" s="28"/>
      <c r="F277" s="28"/>
      <c r="G277" s="28"/>
      <c r="H277" s="28"/>
      <c r="I277" s="28"/>
      <c r="J277" s="28"/>
      <c r="K277" s="28">
        <f>TABL12345[[#This Row],[خط (T/B  TOT) SAR]]+TABL12345[[#This Row],[خط (S/S  TOT) SAR2]]</f>
        <v>0</v>
      </c>
      <c r="L277" s="28"/>
      <c r="M277" s="29"/>
      <c r="N277" s="30"/>
      <c r="O277" s="14"/>
      <c r="P277" s="9">
        <f>TABL12345[[#This Row],[خط (S/S  TOT) SAR2]]-TABL12345[[#This Row],[(S/S TOT) AJD]]</f>
        <v>0</v>
      </c>
      <c r="Q277" s="14"/>
      <c r="R277" s="9">
        <f>TABL12345[[#This Row],[خط (T/B  TOT) SAR]]-TABL12345[[#This Row],[(T/B TOT) AJD]]</f>
        <v>0</v>
      </c>
      <c r="S277" s="9">
        <f>TABL12345[[#This Row],[الفرق بين بداية ونهاية خط  S/S]]+TABL12345[[#This Row],[الفرق بين بداية ونهاية خط  T/B]]</f>
        <v>0</v>
      </c>
      <c r="T277" s="9">
        <f t="shared" si="16"/>
        <v>0</v>
      </c>
      <c r="U277" s="14"/>
      <c r="V277" s="14"/>
      <c r="W277" s="9">
        <f t="shared" si="17"/>
        <v>0</v>
      </c>
      <c r="X277" s="9">
        <f t="shared" si="18"/>
        <v>0</v>
      </c>
      <c r="Y277" s="18"/>
      <c r="Z277" s="9"/>
      <c r="AA277" s="3">
        <f>TABL12345[[#This Row],[(RESV. STORGE) AJD]]/10</f>
        <v>0</v>
      </c>
      <c r="AB277" s="6">
        <f t="shared" si="19"/>
        <v>0</v>
      </c>
      <c r="AC277" s="5"/>
      <c r="AD277" s="6">
        <f>(TABL12345[[#This Row],[( S/S+T/B) AJD]]*1000)-((TABL12345[[#This Row],[(STORGE DIFF.) AJD]]*1000)+TABL12345[[#This Row],[البخر  AJD]]+(TABL12345[[#This Row],[(A/B + A/S) AJD]]*1000))</f>
        <v>0</v>
      </c>
      <c r="AE277" s="33"/>
      <c r="AF277" s="6"/>
      <c r="AG277" s="6"/>
      <c r="AH277" s="6">
        <f>TABL12345[[#This Row],[ (RESV. STORGE) BER]]/10</f>
        <v>0</v>
      </c>
      <c r="AI277" s="6"/>
      <c r="AJ277" s="33">
        <f>TABL12345[[#This Row],[(A/B TOT) AJD]]-TABL12345[[#This Row],[BER_ IN]]</f>
        <v>0</v>
      </c>
      <c r="AK277" s="6"/>
      <c r="AL277" s="6"/>
      <c r="AM277" s="32"/>
      <c r="AN277" s="32">
        <f>TABL12345[[#This Row],[ (RESV. STORGE) SER]]/10</f>
        <v>0</v>
      </c>
      <c r="AO277" s="68"/>
      <c r="AP277" s="68">
        <f>TABL12345[[#This Row],[(A/S TOT) AJD]]-TABL12345[[#This Row],[SER_ IN]]</f>
        <v>0</v>
      </c>
    </row>
    <row r="278" spans="1:42" ht="18.75" x14ac:dyDescent="0.25">
      <c r="A278" s="2">
        <v>47395</v>
      </c>
      <c r="B278" s="28"/>
      <c r="C278" s="28"/>
      <c r="D278" s="35"/>
      <c r="E278" s="28"/>
      <c r="F278" s="28"/>
      <c r="G278" s="28"/>
      <c r="H278" s="28"/>
      <c r="I278" s="28"/>
      <c r="J278" s="28"/>
      <c r="K278" s="28">
        <f>TABL12345[[#This Row],[خط (T/B  TOT) SAR]]+TABL12345[[#This Row],[خط (S/S  TOT) SAR2]]</f>
        <v>0</v>
      </c>
      <c r="L278" s="28"/>
      <c r="M278" s="29"/>
      <c r="N278" s="30"/>
      <c r="O278" s="14"/>
      <c r="P278" s="9">
        <f>TABL12345[[#This Row],[خط (S/S  TOT) SAR2]]-TABL12345[[#This Row],[(S/S TOT) AJD]]</f>
        <v>0</v>
      </c>
      <c r="Q278" s="14"/>
      <c r="R278" s="9">
        <f>TABL12345[[#This Row],[خط (T/B  TOT) SAR]]-TABL12345[[#This Row],[(T/B TOT) AJD]]</f>
        <v>0</v>
      </c>
      <c r="S278" s="9">
        <f>TABL12345[[#This Row],[الفرق بين بداية ونهاية خط  S/S]]+TABL12345[[#This Row],[الفرق بين بداية ونهاية خط  T/B]]</f>
        <v>0</v>
      </c>
      <c r="T278" s="9">
        <f t="shared" si="16"/>
        <v>0</v>
      </c>
      <c r="U278" s="14"/>
      <c r="V278" s="14"/>
      <c r="W278" s="9">
        <f t="shared" si="17"/>
        <v>0</v>
      </c>
      <c r="X278" s="9">
        <f t="shared" si="18"/>
        <v>0</v>
      </c>
      <c r="Y278" s="18"/>
      <c r="Z278" s="9"/>
      <c r="AA278" s="3">
        <f>TABL12345[[#This Row],[(RESV. STORGE) AJD]]/10</f>
        <v>0</v>
      </c>
      <c r="AB278" s="6">
        <f t="shared" si="19"/>
        <v>0</v>
      </c>
      <c r="AC278" s="5"/>
      <c r="AD278" s="6">
        <f>(TABL12345[[#This Row],[( S/S+T/B) AJD]]*1000)-((TABL12345[[#This Row],[(STORGE DIFF.) AJD]]*1000)+TABL12345[[#This Row],[البخر  AJD]]+(TABL12345[[#This Row],[(A/B + A/S) AJD]]*1000))</f>
        <v>0</v>
      </c>
      <c r="AE278" s="33"/>
      <c r="AF278" s="6"/>
      <c r="AG278" s="6"/>
      <c r="AH278" s="6">
        <f>TABL12345[[#This Row],[ (RESV. STORGE) BER]]/10</f>
        <v>0</v>
      </c>
      <c r="AI278" s="6"/>
      <c r="AJ278" s="33">
        <f>TABL12345[[#This Row],[(A/B TOT) AJD]]-TABL12345[[#This Row],[BER_ IN]]</f>
        <v>0</v>
      </c>
      <c r="AK278" s="6"/>
      <c r="AL278" s="6"/>
      <c r="AM278" s="32"/>
      <c r="AN278" s="32">
        <f>TABL12345[[#This Row],[ (RESV. STORGE) SER]]/10</f>
        <v>0</v>
      </c>
      <c r="AO278" s="68"/>
      <c r="AP278" s="68">
        <f>TABL12345[[#This Row],[(A/S TOT) AJD]]-TABL12345[[#This Row],[SER_ IN]]</f>
        <v>0</v>
      </c>
    </row>
    <row r="279" spans="1:42" ht="18.75" x14ac:dyDescent="0.25">
      <c r="A279" s="2">
        <v>47396</v>
      </c>
      <c r="B279" s="28"/>
      <c r="C279" s="28"/>
      <c r="D279" s="35"/>
      <c r="E279" s="28"/>
      <c r="F279" s="28"/>
      <c r="G279" s="28"/>
      <c r="H279" s="28"/>
      <c r="I279" s="28"/>
      <c r="J279" s="28"/>
      <c r="K279" s="28">
        <f>TABL12345[[#This Row],[خط (T/B  TOT) SAR]]+TABL12345[[#This Row],[خط (S/S  TOT) SAR2]]</f>
        <v>0</v>
      </c>
      <c r="L279" s="28"/>
      <c r="M279" s="29"/>
      <c r="N279" s="30"/>
      <c r="O279" s="14"/>
      <c r="P279" s="9">
        <f>TABL12345[[#This Row],[خط (S/S  TOT) SAR2]]-TABL12345[[#This Row],[(S/S TOT) AJD]]</f>
        <v>0</v>
      </c>
      <c r="Q279" s="14"/>
      <c r="R279" s="9">
        <f>TABL12345[[#This Row],[خط (T/B  TOT) SAR]]-TABL12345[[#This Row],[(T/B TOT) AJD]]</f>
        <v>0</v>
      </c>
      <c r="S279" s="9">
        <f>TABL12345[[#This Row],[الفرق بين بداية ونهاية خط  S/S]]+TABL12345[[#This Row],[الفرق بين بداية ونهاية خط  T/B]]</f>
        <v>0</v>
      </c>
      <c r="T279" s="9">
        <f t="shared" si="16"/>
        <v>0</v>
      </c>
      <c r="U279" s="14"/>
      <c r="V279" s="14"/>
      <c r="W279" s="9">
        <f t="shared" si="17"/>
        <v>0</v>
      </c>
      <c r="X279" s="9">
        <f t="shared" si="18"/>
        <v>0</v>
      </c>
      <c r="Y279" s="18"/>
      <c r="Z279" s="9"/>
      <c r="AA279" s="3">
        <f>TABL12345[[#This Row],[(RESV. STORGE) AJD]]/10</f>
        <v>0</v>
      </c>
      <c r="AB279" s="6">
        <f t="shared" si="19"/>
        <v>0</v>
      </c>
      <c r="AC279" s="5"/>
      <c r="AD279" s="6">
        <f>(TABL12345[[#This Row],[( S/S+T/B) AJD]]*1000)-((TABL12345[[#This Row],[(STORGE DIFF.) AJD]]*1000)+TABL12345[[#This Row],[البخر  AJD]]+(TABL12345[[#This Row],[(A/B + A/S) AJD]]*1000))</f>
        <v>0</v>
      </c>
      <c r="AE279" s="33"/>
      <c r="AF279" s="6"/>
      <c r="AG279" s="6"/>
      <c r="AH279" s="6">
        <f>TABL12345[[#This Row],[ (RESV. STORGE) BER]]/10</f>
        <v>0</v>
      </c>
      <c r="AI279" s="6"/>
      <c r="AJ279" s="33">
        <f>TABL12345[[#This Row],[(A/B TOT) AJD]]-TABL12345[[#This Row],[BER_ IN]]</f>
        <v>0</v>
      </c>
      <c r="AK279" s="6"/>
      <c r="AL279" s="6"/>
      <c r="AM279" s="32"/>
      <c r="AN279" s="32">
        <f>TABL12345[[#This Row],[ (RESV. STORGE) SER]]/10</f>
        <v>0</v>
      </c>
      <c r="AO279" s="68"/>
      <c r="AP279" s="68">
        <f>TABL12345[[#This Row],[(A/S TOT) AJD]]-TABL12345[[#This Row],[SER_ IN]]</f>
        <v>0</v>
      </c>
    </row>
    <row r="280" spans="1:42" ht="18.75" x14ac:dyDescent="0.25">
      <c r="A280" s="2">
        <v>47397</v>
      </c>
      <c r="B280" s="28"/>
      <c r="C280" s="28"/>
      <c r="D280" s="35"/>
      <c r="E280" s="28"/>
      <c r="F280" s="28"/>
      <c r="G280" s="28"/>
      <c r="H280" s="28"/>
      <c r="I280" s="28"/>
      <c r="J280" s="28"/>
      <c r="K280" s="28">
        <f>TABL12345[[#This Row],[خط (T/B  TOT) SAR]]+TABL12345[[#This Row],[خط (S/S  TOT) SAR2]]</f>
        <v>0</v>
      </c>
      <c r="L280" s="28"/>
      <c r="M280" s="29"/>
      <c r="N280" s="30"/>
      <c r="O280" s="14"/>
      <c r="P280" s="9">
        <f>TABL12345[[#This Row],[خط (S/S  TOT) SAR2]]-TABL12345[[#This Row],[(S/S TOT) AJD]]</f>
        <v>0</v>
      </c>
      <c r="Q280" s="14"/>
      <c r="R280" s="9">
        <f>TABL12345[[#This Row],[خط (T/B  TOT) SAR]]-TABL12345[[#This Row],[(T/B TOT) AJD]]</f>
        <v>0</v>
      </c>
      <c r="S280" s="9">
        <f>TABL12345[[#This Row],[الفرق بين بداية ونهاية خط  S/S]]+TABL12345[[#This Row],[الفرق بين بداية ونهاية خط  T/B]]</f>
        <v>0</v>
      </c>
      <c r="T280" s="9">
        <f t="shared" si="16"/>
        <v>0</v>
      </c>
      <c r="U280" s="14"/>
      <c r="V280" s="14"/>
      <c r="W280" s="9">
        <f t="shared" si="17"/>
        <v>0</v>
      </c>
      <c r="X280" s="9">
        <f t="shared" si="18"/>
        <v>0</v>
      </c>
      <c r="Y280" s="18"/>
      <c r="Z280" s="9"/>
      <c r="AA280" s="3">
        <f>TABL12345[[#This Row],[(RESV. STORGE) AJD]]/10</f>
        <v>0</v>
      </c>
      <c r="AB280" s="6">
        <f t="shared" si="19"/>
        <v>0</v>
      </c>
      <c r="AC280" s="5"/>
      <c r="AD280" s="6">
        <f>(TABL12345[[#This Row],[( S/S+T/B) AJD]]*1000)-((TABL12345[[#This Row],[(STORGE DIFF.) AJD]]*1000)+TABL12345[[#This Row],[البخر  AJD]]+(TABL12345[[#This Row],[(A/B + A/S) AJD]]*1000))</f>
        <v>0</v>
      </c>
      <c r="AE280" s="33"/>
      <c r="AF280" s="6"/>
      <c r="AG280" s="6"/>
      <c r="AH280" s="6">
        <f>TABL12345[[#This Row],[ (RESV. STORGE) BER]]/10</f>
        <v>0</v>
      </c>
      <c r="AI280" s="6"/>
      <c r="AJ280" s="33">
        <f>TABL12345[[#This Row],[(A/B TOT) AJD]]-TABL12345[[#This Row],[BER_ IN]]</f>
        <v>0</v>
      </c>
      <c r="AK280" s="6"/>
      <c r="AL280" s="6"/>
      <c r="AM280" s="32"/>
      <c r="AN280" s="32">
        <f>TABL12345[[#This Row],[ (RESV. STORGE) SER]]/10</f>
        <v>0</v>
      </c>
      <c r="AO280" s="68"/>
      <c r="AP280" s="68">
        <f>TABL12345[[#This Row],[(A/S TOT) AJD]]-TABL12345[[#This Row],[SER_ IN]]</f>
        <v>0</v>
      </c>
    </row>
    <row r="281" spans="1:42" ht="18.75" x14ac:dyDescent="0.25">
      <c r="A281" s="2">
        <v>47398</v>
      </c>
      <c r="B281" s="28"/>
      <c r="C281" s="28"/>
      <c r="D281" s="35"/>
      <c r="E281" s="28"/>
      <c r="F281" s="28"/>
      <c r="G281" s="28"/>
      <c r="H281" s="28"/>
      <c r="I281" s="28"/>
      <c r="J281" s="28"/>
      <c r="K281" s="28">
        <f>TABL12345[[#This Row],[خط (T/B  TOT) SAR]]+TABL12345[[#This Row],[خط (S/S  TOT) SAR2]]</f>
        <v>0</v>
      </c>
      <c r="L281" s="28"/>
      <c r="M281" s="29"/>
      <c r="N281" s="30"/>
      <c r="O281" s="14"/>
      <c r="P281" s="9">
        <f>TABL12345[[#This Row],[خط (S/S  TOT) SAR2]]-TABL12345[[#This Row],[(S/S TOT) AJD]]</f>
        <v>0</v>
      </c>
      <c r="Q281" s="14"/>
      <c r="R281" s="9">
        <f>TABL12345[[#This Row],[خط (T/B  TOT) SAR]]-TABL12345[[#This Row],[(T/B TOT) AJD]]</f>
        <v>0</v>
      </c>
      <c r="S281" s="9">
        <f>TABL12345[[#This Row],[الفرق بين بداية ونهاية خط  S/S]]+TABL12345[[#This Row],[الفرق بين بداية ونهاية خط  T/B]]</f>
        <v>0</v>
      </c>
      <c r="T281" s="9">
        <f t="shared" si="16"/>
        <v>0</v>
      </c>
      <c r="U281" s="14"/>
      <c r="V281" s="14"/>
      <c r="W281" s="9">
        <f t="shared" si="17"/>
        <v>0</v>
      </c>
      <c r="X281" s="9">
        <f t="shared" si="18"/>
        <v>0</v>
      </c>
      <c r="Y281" s="18"/>
      <c r="Z281" s="9"/>
      <c r="AA281" s="3">
        <f>TABL12345[[#This Row],[(RESV. STORGE) AJD]]/10</f>
        <v>0</v>
      </c>
      <c r="AB281" s="6">
        <f t="shared" si="19"/>
        <v>0</v>
      </c>
      <c r="AC281" s="5"/>
      <c r="AD281" s="6">
        <f>(TABL12345[[#This Row],[( S/S+T/B) AJD]]*1000)-((TABL12345[[#This Row],[(STORGE DIFF.) AJD]]*1000)+TABL12345[[#This Row],[البخر  AJD]]+(TABL12345[[#This Row],[(A/B + A/S) AJD]]*1000))</f>
        <v>0</v>
      </c>
      <c r="AE281" s="33"/>
      <c r="AF281" s="6"/>
      <c r="AG281" s="6"/>
      <c r="AH281" s="6">
        <f>TABL12345[[#This Row],[ (RESV. STORGE) BER]]/10</f>
        <v>0</v>
      </c>
      <c r="AI281" s="6"/>
      <c r="AJ281" s="33">
        <f>TABL12345[[#This Row],[(A/B TOT) AJD]]-TABL12345[[#This Row],[BER_ IN]]</f>
        <v>0</v>
      </c>
      <c r="AK281" s="6"/>
      <c r="AL281" s="6"/>
      <c r="AM281" s="32"/>
      <c r="AN281" s="32">
        <f>TABL12345[[#This Row],[ (RESV. STORGE) SER]]/10</f>
        <v>0</v>
      </c>
      <c r="AO281" s="68"/>
      <c r="AP281" s="68">
        <f>TABL12345[[#This Row],[(A/S TOT) AJD]]-TABL12345[[#This Row],[SER_ IN]]</f>
        <v>0</v>
      </c>
    </row>
    <row r="282" spans="1:42" ht="18.75" x14ac:dyDescent="0.25">
      <c r="A282" s="2">
        <v>47399</v>
      </c>
      <c r="B282" s="28"/>
      <c r="C282" s="28"/>
      <c r="D282" s="35"/>
      <c r="E282" s="28"/>
      <c r="F282" s="28"/>
      <c r="G282" s="28"/>
      <c r="H282" s="28"/>
      <c r="I282" s="28"/>
      <c r="J282" s="28"/>
      <c r="K282" s="28">
        <f>TABL12345[[#This Row],[خط (T/B  TOT) SAR]]+TABL12345[[#This Row],[خط (S/S  TOT) SAR2]]</f>
        <v>0</v>
      </c>
      <c r="L282" s="28"/>
      <c r="M282" s="29"/>
      <c r="N282" s="30"/>
      <c r="O282" s="14"/>
      <c r="P282" s="9">
        <f>TABL12345[[#This Row],[خط (S/S  TOT) SAR2]]-TABL12345[[#This Row],[(S/S TOT) AJD]]</f>
        <v>0</v>
      </c>
      <c r="Q282" s="14"/>
      <c r="R282" s="9">
        <f>TABL12345[[#This Row],[خط (T/B  TOT) SAR]]-TABL12345[[#This Row],[(T/B TOT) AJD]]</f>
        <v>0</v>
      </c>
      <c r="S282" s="9">
        <f>TABL12345[[#This Row],[الفرق بين بداية ونهاية خط  S/S]]+TABL12345[[#This Row],[الفرق بين بداية ونهاية خط  T/B]]</f>
        <v>0</v>
      </c>
      <c r="T282" s="9">
        <f t="shared" si="16"/>
        <v>0</v>
      </c>
      <c r="U282" s="14"/>
      <c r="V282" s="14"/>
      <c r="W282" s="9">
        <f t="shared" si="17"/>
        <v>0</v>
      </c>
      <c r="X282" s="9">
        <f t="shared" si="18"/>
        <v>0</v>
      </c>
      <c r="Y282" s="18"/>
      <c r="Z282" s="9"/>
      <c r="AA282" s="3">
        <f>TABL12345[[#This Row],[(RESV. STORGE) AJD]]/10</f>
        <v>0</v>
      </c>
      <c r="AB282" s="6">
        <f t="shared" si="19"/>
        <v>0</v>
      </c>
      <c r="AC282" s="5"/>
      <c r="AD282" s="6">
        <f>(TABL12345[[#This Row],[( S/S+T/B) AJD]]*1000)-((TABL12345[[#This Row],[(STORGE DIFF.) AJD]]*1000)+TABL12345[[#This Row],[البخر  AJD]]+(TABL12345[[#This Row],[(A/B + A/S) AJD]]*1000))</f>
        <v>0</v>
      </c>
      <c r="AE282" s="33"/>
      <c r="AF282" s="6"/>
      <c r="AG282" s="6"/>
      <c r="AH282" s="6">
        <f>TABL12345[[#This Row],[ (RESV. STORGE) BER]]/10</f>
        <v>0</v>
      </c>
      <c r="AI282" s="6"/>
      <c r="AJ282" s="33">
        <f>TABL12345[[#This Row],[(A/B TOT) AJD]]-TABL12345[[#This Row],[BER_ IN]]</f>
        <v>0</v>
      </c>
      <c r="AK282" s="6"/>
      <c r="AL282" s="6"/>
      <c r="AM282" s="32"/>
      <c r="AN282" s="32">
        <f>TABL12345[[#This Row],[ (RESV. STORGE) SER]]/10</f>
        <v>0</v>
      </c>
      <c r="AO282" s="68"/>
      <c r="AP282" s="68">
        <f>TABL12345[[#This Row],[(A/S TOT) AJD]]-TABL12345[[#This Row],[SER_ IN]]</f>
        <v>0</v>
      </c>
    </row>
    <row r="283" spans="1:42" ht="18.75" x14ac:dyDescent="0.25">
      <c r="A283" s="2">
        <v>47400</v>
      </c>
      <c r="B283" s="28"/>
      <c r="C283" s="28"/>
      <c r="D283" s="35"/>
      <c r="E283" s="28"/>
      <c r="F283" s="28"/>
      <c r="G283" s="28"/>
      <c r="H283" s="28"/>
      <c r="I283" s="28"/>
      <c r="J283" s="28"/>
      <c r="K283" s="28">
        <f>TABL12345[[#This Row],[خط (T/B  TOT) SAR]]+TABL12345[[#This Row],[خط (S/S  TOT) SAR2]]</f>
        <v>0</v>
      </c>
      <c r="L283" s="28"/>
      <c r="M283" s="29"/>
      <c r="N283" s="30"/>
      <c r="O283" s="14"/>
      <c r="P283" s="9">
        <f>TABL12345[[#This Row],[خط (S/S  TOT) SAR2]]-TABL12345[[#This Row],[(S/S TOT) AJD]]</f>
        <v>0</v>
      </c>
      <c r="Q283" s="14"/>
      <c r="R283" s="9">
        <f>TABL12345[[#This Row],[خط (T/B  TOT) SAR]]-TABL12345[[#This Row],[(T/B TOT) AJD]]</f>
        <v>0</v>
      </c>
      <c r="S283" s="9">
        <f>TABL12345[[#This Row],[الفرق بين بداية ونهاية خط  S/S]]+TABL12345[[#This Row],[الفرق بين بداية ونهاية خط  T/B]]</f>
        <v>0</v>
      </c>
      <c r="T283" s="9">
        <f t="shared" si="16"/>
        <v>0</v>
      </c>
      <c r="U283" s="14"/>
      <c r="V283" s="14"/>
      <c r="W283" s="9">
        <f t="shared" si="17"/>
        <v>0</v>
      </c>
      <c r="X283" s="9">
        <f t="shared" si="18"/>
        <v>0</v>
      </c>
      <c r="Y283" s="18"/>
      <c r="Z283" s="9"/>
      <c r="AA283" s="3">
        <f>TABL12345[[#This Row],[(RESV. STORGE) AJD]]/10</f>
        <v>0</v>
      </c>
      <c r="AB283" s="6">
        <f t="shared" si="19"/>
        <v>0</v>
      </c>
      <c r="AC283" s="5"/>
      <c r="AD283" s="6">
        <f>(TABL12345[[#This Row],[( S/S+T/B) AJD]]*1000)-((TABL12345[[#This Row],[(STORGE DIFF.) AJD]]*1000)+TABL12345[[#This Row],[البخر  AJD]]+(TABL12345[[#This Row],[(A/B + A/S) AJD]]*1000))</f>
        <v>0</v>
      </c>
      <c r="AE283" s="33"/>
      <c r="AF283" s="6"/>
      <c r="AG283" s="6"/>
      <c r="AH283" s="6">
        <f>TABL12345[[#This Row],[ (RESV. STORGE) BER]]/10</f>
        <v>0</v>
      </c>
      <c r="AI283" s="6"/>
      <c r="AJ283" s="33">
        <f>TABL12345[[#This Row],[(A/B TOT) AJD]]-TABL12345[[#This Row],[BER_ IN]]</f>
        <v>0</v>
      </c>
      <c r="AK283" s="6"/>
      <c r="AL283" s="6"/>
      <c r="AM283" s="32"/>
      <c r="AN283" s="32">
        <f>TABL12345[[#This Row],[ (RESV. STORGE) SER]]/10</f>
        <v>0</v>
      </c>
      <c r="AO283" s="68"/>
      <c r="AP283" s="68">
        <f>TABL12345[[#This Row],[(A/S TOT) AJD]]-TABL12345[[#This Row],[SER_ IN]]</f>
        <v>0</v>
      </c>
    </row>
    <row r="284" spans="1:42" ht="18.75" x14ac:dyDescent="0.25">
      <c r="A284" s="2">
        <v>47401</v>
      </c>
      <c r="B284" s="28"/>
      <c r="C284" s="28"/>
      <c r="D284" s="35"/>
      <c r="E284" s="28"/>
      <c r="F284" s="28"/>
      <c r="G284" s="28"/>
      <c r="H284" s="28"/>
      <c r="I284" s="28"/>
      <c r="J284" s="28"/>
      <c r="K284" s="28">
        <f>TABL12345[[#This Row],[خط (T/B  TOT) SAR]]+TABL12345[[#This Row],[خط (S/S  TOT) SAR2]]</f>
        <v>0</v>
      </c>
      <c r="L284" s="28"/>
      <c r="M284" s="29"/>
      <c r="N284" s="30"/>
      <c r="O284" s="14"/>
      <c r="P284" s="9">
        <f>TABL12345[[#This Row],[خط (S/S  TOT) SAR2]]-TABL12345[[#This Row],[(S/S TOT) AJD]]</f>
        <v>0</v>
      </c>
      <c r="Q284" s="14"/>
      <c r="R284" s="9">
        <f>TABL12345[[#This Row],[خط (T/B  TOT) SAR]]-TABL12345[[#This Row],[(T/B TOT) AJD]]</f>
        <v>0</v>
      </c>
      <c r="S284" s="9">
        <f>TABL12345[[#This Row],[الفرق بين بداية ونهاية خط  S/S]]+TABL12345[[#This Row],[الفرق بين بداية ونهاية خط  T/B]]</f>
        <v>0</v>
      </c>
      <c r="T284" s="9">
        <f t="shared" si="16"/>
        <v>0</v>
      </c>
      <c r="U284" s="14"/>
      <c r="V284" s="14"/>
      <c r="W284" s="9">
        <f t="shared" si="17"/>
        <v>0</v>
      </c>
      <c r="X284" s="9">
        <f t="shared" si="18"/>
        <v>0</v>
      </c>
      <c r="Y284" s="18"/>
      <c r="Z284" s="9"/>
      <c r="AA284" s="3">
        <f>TABL12345[[#This Row],[(RESV. STORGE) AJD]]/10</f>
        <v>0</v>
      </c>
      <c r="AB284" s="6">
        <f t="shared" si="19"/>
        <v>0</v>
      </c>
      <c r="AC284" s="5"/>
      <c r="AD284" s="6">
        <f>(TABL12345[[#This Row],[( S/S+T/B) AJD]]*1000)-((TABL12345[[#This Row],[(STORGE DIFF.) AJD]]*1000)+TABL12345[[#This Row],[البخر  AJD]]+(TABL12345[[#This Row],[(A/B + A/S) AJD]]*1000))</f>
        <v>0</v>
      </c>
      <c r="AE284" s="33"/>
      <c r="AF284" s="6"/>
      <c r="AG284" s="6"/>
      <c r="AH284" s="6">
        <f>TABL12345[[#This Row],[ (RESV. STORGE) BER]]/10</f>
        <v>0</v>
      </c>
      <c r="AI284" s="6"/>
      <c r="AJ284" s="33">
        <f>TABL12345[[#This Row],[(A/B TOT) AJD]]-TABL12345[[#This Row],[BER_ IN]]</f>
        <v>0</v>
      </c>
      <c r="AK284" s="6"/>
      <c r="AL284" s="6"/>
      <c r="AM284" s="32"/>
      <c r="AN284" s="32">
        <f>TABL12345[[#This Row],[ (RESV. STORGE) SER]]/10</f>
        <v>0</v>
      </c>
      <c r="AO284" s="68"/>
      <c r="AP284" s="68">
        <f>TABL12345[[#This Row],[(A/S TOT) AJD]]-TABL12345[[#This Row],[SER_ IN]]</f>
        <v>0</v>
      </c>
    </row>
    <row r="285" spans="1:42" ht="18.75" x14ac:dyDescent="0.25">
      <c r="A285" s="2">
        <v>47402</v>
      </c>
      <c r="B285" s="28"/>
      <c r="C285" s="28"/>
      <c r="D285" s="35"/>
      <c r="E285" s="28"/>
      <c r="F285" s="28"/>
      <c r="G285" s="28"/>
      <c r="H285" s="28"/>
      <c r="I285" s="28"/>
      <c r="J285" s="28"/>
      <c r="K285" s="28">
        <f>TABL12345[[#This Row],[خط (T/B  TOT) SAR]]+TABL12345[[#This Row],[خط (S/S  TOT) SAR2]]</f>
        <v>0</v>
      </c>
      <c r="L285" s="28"/>
      <c r="M285" s="29"/>
      <c r="N285" s="30"/>
      <c r="O285" s="14"/>
      <c r="P285" s="9">
        <f>TABL12345[[#This Row],[خط (S/S  TOT) SAR2]]-TABL12345[[#This Row],[(S/S TOT) AJD]]</f>
        <v>0</v>
      </c>
      <c r="Q285" s="14"/>
      <c r="R285" s="9">
        <f>TABL12345[[#This Row],[خط (T/B  TOT) SAR]]-TABL12345[[#This Row],[(T/B TOT) AJD]]</f>
        <v>0</v>
      </c>
      <c r="S285" s="9">
        <f>TABL12345[[#This Row],[الفرق بين بداية ونهاية خط  S/S]]+TABL12345[[#This Row],[الفرق بين بداية ونهاية خط  T/B]]</f>
        <v>0</v>
      </c>
      <c r="T285" s="9">
        <f t="shared" si="16"/>
        <v>0</v>
      </c>
      <c r="U285" s="14"/>
      <c r="V285" s="14"/>
      <c r="W285" s="9">
        <f t="shared" si="17"/>
        <v>0</v>
      </c>
      <c r="X285" s="9">
        <f t="shared" si="18"/>
        <v>0</v>
      </c>
      <c r="Y285" s="18"/>
      <c r="Z285" s="9"/>
      <c r="AA285" s="3">
        <f>TABL12345[[#This Row],[(RESV. STORGE) AJD]]/10</f>
        <v>0</v>
      </c>
      <c r="AB285" s="6">
        <f t="shared" si="19"/>
        <v>0</v>
      </c>
      <c r="AC285" s="5"/>
      <c r="AD285" s="6">
        <f>(TABL12345[[#This Row],[( S/S+T/B) AJD]]*1000)-((TABL12345[[#This Row],[(STORGE DIFF.) AJD]]*1000)+TABL12345[[#This Row],[البخر  AJD]]+(TABL12345[[#This Row],[(A/B + A/S) AJD]]*1000))</f>
        <v>0</v>
      </c>
      <c r="AE285" s="33"/>
      <c r="AF285" s="6"/>
      <c r="AG285" s="6"/>
      <c r="AH285" s="6">
        <f>TABL12345[[#This Row],[ (RESV. STORGE) BER]]/10</f>
        <v>0</v>
      </c>
      <c r="AI285" s="6"/>
      <c r="AJ285" s="33">
        <f>TABL12345[[#This Row],[(A/B TOT) AJD]]-TABL12345[[#This Row],[BER_ IN]]</f>
        <v>0</v>
      </c>
      <c r="AK285" s="6"/>
      <c r="AL285" s="6"/>
      <c r="AM285" s="32"/>
      <c r="AN285" s="32">
        <f>TABL12345[[#This Row],[ (RESV. STORGE) SER]]/10</f>
        <v>0</v>
      </c>
      <c r="AO285" s="68"/>
      <c r="AP285" s="68">
        <f>TABL12345[[#This Row],[(A/S TOT) AJD]]-TABL12345[[#This Row],[SER_ IN]]</f>
        <v>0</v>
      </c>
    </row>
    <row r="286" spans="1:42" ht="18.75" x14ac:dyDescent="0.25">
      <c r="A286" s="2">
        <v>47403</v>
      </c>
      <c r="B286" s="28"/>
      <c r="C286" s="28"/>
      <c r="D286" s="35"/>
      <c r="E286" s="28"/>
      <c r="F286" s="28"/>
      <c r="G286" s="28"/>
      <c r="H286" s="28"/>
      <c r="I286" s="28"/>
      <c r="J286" s="28"/>
      <c r="K286" s="28">
        <f>TABL12345[[#This Row],[خط (T/B  TOT) SAR]]+TABL12345[[#This Row],[خط (S/S  TOT) SAR2]]</f>
        <v>0</v>
      </c>
      <c r="L286" s="28"/>
      <c r="M286" s="29"/>
      <c r="N286" s="30"/>
      <c r="O286" s="14"/>
      <c r="P286" s="9">
        <f>TABL12345[[#This Row],[خط (S/S  TOT) SAR2]]-TABL12345[[#This Row],[(S/S TOT) AJD]]</f>
        <v>0</v>
      </c>
      <c r="Q286" s="14"/>
      <c r="R286" s="9">
        <f>TABL12345[[#This Row],[خط (T/B  TOT) SAR]]-TABL12345[[#This Row],[(T/B TOT) AJD]]</f>
        <v>0</v>
      </c>
      <c r="S286" s="9">
        <f>TABL12345[[#This Row],[الفرق بين بداية ونهاية خط  S/S]]+TABL12345[[#This Row],[الفرق بين بداية ونهاية خط  T/B]]</f>
        <v>0</v>
      </c>
      <c r="T286" s="9">
        <f t="shared" si="16"/>
        <v>0</v>
      </c>
      <c r="U286" s="14"/>
      <c r="V286" s="14"/>
      <c r="W286" s="9">
        <f t="shared" si="17"/>
        <v>0</v>
      </c>
      <c r="X286" s="9">
        <f t="shared" si="18"/>
        <v>0</v>
      </c>
      <c r="Y286" s="18"/>
      <c r="Z286" s="9"/>
      <c r="AA286" s="3">
        <f>TABL12345[[#This Row],[(RESV. STORGE) AJD]]/10</f>
        <v>0</v>
      </c>
      <c r="AB286" s="6">
        <f t="shared" si="19"/>
        <v>0</v>
      </c>
      <c r="AC286" s="5"/>
      <c r="AD286" s="6">
        <f>(TABL12345[[#This Row],[( S/S+T/B) AJD]]*1000)-((TABL12345[[#This Row],[(STORGE DIFF.) AJD]]*1000)+TABL12345[[#This Row],[البخر  AJD]]+(TABL12345[[#This Row],[(A/B + A/S) AJD]]*1000))</f>
        <v>0</v>
      </c>
      <c r="AE286" s="33"/>
      <c r="AF286" s="6"/>
      <c r="AG286" s="6"/>
      <c r="AH286" s="6">
        <f>TABL12345[[#This Row],[ (RESV. STORGE) BER]]/10</f>
        <v>0</v>
      </c>
      <c r="AI286" s="6"/>
      <c r="AJ286" s="33">
        <f>TABL12345[[#This Row],[(A/B TOT) AJD]]-TABL12345[[#This Row],[BER_ IN]]</f>
        <v>0</v>
      </c>
      <c r="AK286" s="6"/>
      <c r="AL286" s="6"/>
      <c r="AM286" s="32"/>
      <c r="AN286" s="32">
        <f>TABL12345[[#This Row],[ (RESV. STORGE) SER]]/10</f>
        <v>0</v>
      </c>
      <c r="AO286" s="68"/>
      <c r="AP286" s="68">
        <f>TABL12345[[#This Row],[(A/S TOT) AJD]]-TABL12345[[#This Row],[SER_ IN]]</f>
        <v>0</v>
      </c>
    </row>
    <row r="287" spans="1:42" ht="18.75" x14ac:dyDescent="0.25">
      <c r="A287" s="2">
        <v>47404</v>
      </c>
      <c r="B287" s="28"/>
      <c r="C287" s="28"/>
      <c r="D287" s="35"/>
      <c r="E287" s="28"/>
      <c r="F287" s="28"/>
      <c r="G287" s="28"/>
      <c r="H287" s="28"/>
      <c r="I287" s="28"/>
      <c r="J287" s="28"/>
      <c r="K287" s="28">
        <f>TABL12345[[#This Row],[خط (T/B  TOT) SAR]]+TABL12345[[#This Row],[خط (S/S  TOT) SAR2]]</f>
        <v>0</v>
      </c>
      <c r="L287" s="28"/>
      <c r="M287" s="29"/>
      <c r="N287" s="30"/>
      <c r="O287" s="14"/>
      <c r="P287" s="9">
        <f>TABL12345[[#This Row],[خط (S/S  TOT) SAR2]]-TABL12345[[#This Row],[(S/S TOT) AJD]]</f>
        <v>0</v>
      </c>
      <c r="Q287" s="14"/>
      <c r="R287" s="9">
        <f>TABL12345[[#This Row],[خط (T/B  TOT) SAR]]-TABL12345[[#This Row],[(T/B TOT) AJD]]</f>
        <v>0</v>
      </c>
      <c r="S287" s="9">
        <f>TABL12345[[#This Row],[الفرق بين بداية ونهاية خط  S/S]]+TABL12345[[#This Row],[الفرق بين بداية ونهاية خط  T/B]]</f>
        <v>0</v>
      </c>
      <c r="T287" s="9">
        <f t="shared" si="16"/>
        <v>0</v>
      </c>
      <c r="U287" s="14"/>
      <c r="V287" s="14"/>
      <c r="W287" s="9">
        <f t="shared" si="17"/>
        <v>0</v>
      </c>
      <c r="X287" s="9">
        <f t="shared" si="18"/>
        <v>0</v>
      </c>
      <c r="Y287" s="18"/>
      <c r="Z287" s="9"/>
      <c r="AA287" s="3">
        <f>TABL12345[[#This Row],[(RESV. STORGE) AJD]]/10</f>
        <v>0</v>
      </c>
      <c r="AB287" s="6">
        <f t="shared" si="19"/>
        <v>0</v>
      </c>
      <c r="AC287" s="5"/>
      <c r="AD287" s="6">
        <f>(TABL12345[[#This Row],[( S/S+T/B) AJD]]*1000)-((TABL12345[[#This Row],[(STORGE DIFF.) AJD]]*1000)+TABL12345[[#This Row],[البخر  AJD]]+(TABL12345[[#This Row],[(A/B + A/S) AJD]]*1000))</f>
        <v>0</v>
      </c>
      <c r="AE287" s="33"/>
      <c r="AF287" s="6"/>
      <c r="AG287" s="6"/>
      <c r="AH287" s="6">
        <f>TABL12345[[#This Row],[ (RESV. STORGE) BER]]/10</f>
        <v>0</v>
      </c>
      <c r="AI287" s="6"/>
      <c r="AJ287" s="33">
        <f>TABL12345[[#This Row],[(A/B TOT) AJD]]-TABL12345[[#This Row],[BER_ IN]]</f>
        <v>0</v>
      </c>
      <c r="AK287" s="6"/>
      <c r="AL287" s="6"/>
      <c r="AM287" s="32"/>
      <c r="AN287" s="32">
        <f>TABL12345[[#This Row],[ (RESV. STORGE) SER]]/10</f>
        <v>0</v>
      </c>
      <c r="AO287" s="68"/>
      <c r="AP287" s="68">
        <f>TABL12345[[#This Row],[(A/S TOT) AJD]]-TABL12345[[#This Row],[SER_ IN]]</f>
        <v>0</v>
      </c>
    </row>
    <row r="288" spans="1:42" ht="18.75" x14ac:dyDescent="0.25">
      <c r="A288" s="2">
        <v>47405</v>
      </c>
      <c r="B288" s="28"/>
      <c r="C288" s="28"/>
      <c r="D288" s="35"/>
      <c r="E288" s="28"/>
      <c r="F288" s="28"/>
      <c r="G288" s="28"/>
      <c r="H288" s="28"/>
      <c r="I288" s="28"/>
      <c r="J288" s="28"/>
      <c r="K288" s="28">
        <f>TABL12345[[#This Row],[خط (T/B  TOT) SAR]]+TABL12345[[#This Row],[خط (S/S  TOT) SAR2]]</f>
        <v>0</v>
      </c>
      <c r="L288" s="28"/>
      <c r="M288" s="29"/>
      <c r="N288" s="30"/>
      <c r="O288" s="14"/>
      <c r="P288" s="9">
        <f>TABL12345[[#This Row],[خط (S/S  TOT) SAR2]]-TABL12345[[#This Row],[(S/S TOT) AJD]]</f>
        <v>0</v>
      </c>
      <c r="Q288" s="14"/>
      <c r="R288" s="9">
        <f>TABL12345[[#This Row],[خط (T/B  TOT) SAR]]-TABL12345[[#This Row],[(T/B TOT) AJD]]</f>
        <v>0</v>
      </c>
      <c r="S288" s="9">
        <f>TABL12345[[#This Row],[الفرق بين بداية ونهاية خط  S/S]]+TABL12345[[#This Row],[الفرق بين بداية ونهاية خط  T/B]]</f>
        <v>0</v>
      </c>
      <c r="T288" s="9">
        <f t="shared" si="16"/>
        <v>0</v>
      </c>
      <c r="U288" s="14"/>
      <c r="V288" s="14"/>
      <c r="W288" s="9">
        <f t="shared" si="17"/>
        <v>0</v>
      </c>
      <c r="X288" s="9">
        <f t="shared" si="18"/>
        <v>0</v>
      </c>
      <c r="Y288" s="18"/>
      <c r="Z288" s="9"/>
      <c r="AA288" s="3">
        <f>TABL12345[[#This Row],[(RESV. STORGE) AJD]]/10</f>
        <v>0</v>
      </c>
      <c r="AB288" s="6">
        <f t="shared" si="19"/>
        <v>0</v>
      </c>
      <c r="AC288" s="5"/>
      <c r="AD288" s="6">
        <f>(TABL12345[[#This Row],[( S/S+T/B) AJD]]*1000)-((TABL12345[[#This Row],[(STORGE DIFF.) AJD]]*1000)+TABL12345[[#This Row],[البخر  AJD]]+(TABL12345[[#This Row],[(A/B + A/S) AJD]]*1000))</f>
        <v>0</v>
      </c>
      <c r="AE288" s="33"/>
      <c r="AF288" s="6"/>
      <c r="AG288" s="6"/>
      <c r="AH288" s="6">
        <f>TABL12345[[#This Row],[ (RESV. STORGE) BER]]/10</f>
        <v>0</v>
      </c>
      <c r="AI288" s="6"/>
      <c r="AJ288" s="33">
        <f>TABL12345[[#This Row],[(A/B TOT) AJD]]-TABL12345[[#This Row],[BER_ IN]]</f>
        <v>0</v>
      </c>
      <c r="AK288" s="6"/>
      <c r="AL288" s="6"/>
      <c r="AM288" s="32"/>
      <c r="AN288" s="32">
        <f>TABL12345[[#This Row],[ (RESV. STORGE) SER]]/10</f>
        <v>0</v>
      </c>
      <c r="AO288" s="68"/>
      <c r="AP288" s="68">
        <f>TABL12345[[#This Row],[(A/S TOT) AJD]]-TABL12345[[#This Row],[SER_ IN]]</f>
        <v>0</v>
      </c>
    </row>
    <row r="289" spans="1:42" ht="18.75" x14ac:dyDescent="0.25">
      <c r="A289" s="2">
        <v>47406</v>
      </c>
      <c r="B289" s="28"/>
      <c r="C289" s="28"/>
      <c r="D289" s="35"/>
      <c r="E289" s="28"/>
      <c r="F289" s="28"/>
      <c r="G289" s="28"/>
      <c r="H289" s="28"/>
      <c r="I289" s="28"/>
      <c r="J289" s="28"/>
      <c r="K289" s="28">
        <f>TABL12345[[#This Row],[خط (T/B  TOT) SAR]]+TABL12345[[#This Row],[خط (S/S  TOT) SAR2]]</f>
        <v>0</v>
      </c>
      <c r="L289" s="28"/>
      <c r="M289" s="29"/>
      <c r="N289" s="30"/>
      <c r="O289" s="14"/>
      <c r="P289" s="9">
        <f>TABL12345[[#This Row],[خط (S/S  TOT) SAR2]]-TABL12345[[#This Row],[(S/S TOT) AJD]]</f>
        <v>0</v>
      </c>
      <c r="Q289" s="14"/>
      <c r="R289" s="9">
        <f>TABL12345[[#This Row],[خط (T/B  TOT) SAR]]-TABL12345[[#This Row],[(T/B TOT) AJD]]</f>
        <v>0</v>
      </c>
      <c r="S289" s="9">
        <f>TABL12345[[#This Row],[الفرق بين بداية ونهاية خط  S/S]]+TABL12345[[#This Row],[الفرق بين بداية ونهاية خط  T/B]]</f>
        <v>0</v>
      </c>
      <c r="T289" s="9">
        <f t="shared" si="16"/>
        <v>0</v>
      </c>
      <c r="U289" s="14"/>
      <c r="V289" s="14"/>
      <c r="W289" s="9">
        <f t="shared" si="17"/>
        <v>0</v>
      </c>
      <c r="X289" s="9">
        <f t="shared" si="18"/>
        <v>0</v>
      </c>
      <c r="Y289" s="18"/>
      <c r="Z289" s="9"/>
      <c r="AA289" s="3">
        <f>TABL12345[[#This Row],[(RESV. STORGE) AJD]]/10</f>
        <v>0</v>
      </c>
      <c r="AB289" s="6">
        <f t="shared" si="19"/>
        <v>0</v>
      </c>
      <c r="AC289" s="5"/>
      <c r="AD289" s="6">
        <f>(TABL12345[[#This Row],[( S/S+T/B) AJD]]*1000)-((TABL12345[[#This Row],[(STORGE DIFF.) AJD]]*1000)+TABL12345[[#This Row],[البخر  AJD]]+(TABL12345[[#This Row],[(A/B + A/S) AJD]]*1000))</f>
        <v>0</v>
      </c>
      <c r="AE289" s="33"/>
      <c r="AF289" s="6"/>
      <c r="AG289" s="6"/>
      <c r="AH289" s="6">
        <f>TABL12345[[#This Row],[ (RESV. STORGE) BER]]/10</f>
        <v>0</v>
      </c>
      <c r="AI289" s="6"/>
      <c r="AJ289" s="33">
        <f>TABL12345[[#This Row],[(A/B TOT) AJD]]-TABL12345[[#This Row],[BER_ IN]]</f>
        <v>0</v>
      </c>
      <c r="AK289" s="6"/>
      <c r="AL289" s="6"/>
      <c r="AM289" s="32"/>
      <c r="AN289" s="32">
        <f>TABL12345[[#This Row],[ (RESV. STORGE) SER]]/10</f>
        <v>0</v>
      </c>
      <c r="AO289" s="68"/>
      <c r="AP289" s="68">
        <f>TABL12345[[#This Row],[(A/S TOT) AJD]]-TABL12345[[#This Row],[SER_ IN]]</f>
        <v>0</v>
      </c>
    </row>
    <row r="290" spans="1:42" ht="18.75" x14ac:dyDescent="0.25">
      <c r="A290" s="2">
        <v>47407</v>
      </c>
      <c r="B290" s="28"/>
      <c r="C290" s="28"/>
      <c r="D290" s="35"/>
      <c r="E290" s="28"/>
      <c r="F290" s="28"/>
      <c r="G290" s="28"/>
      <c r="H290" s="28"/>
      <c r="I290" s="28"/>
      <c r="J290" s="28"/>
      <c r="K290" s="28">
        <f>TABL12345[[#This Row],[خط (T/B  TOT) SAR]]+TABL12345[[#This Row],[خط (S/S  TOT) SAR2]]</f>
        <v>0</v>
      </c>
      <c r="L290" s="28"/>
      <c r="M290" s="29"/>
      <c r="N290" s="30"/>
      <c r="O290" s="14"/>
      <c r="P290" s="9">
        <f>TABL12345[[#This Row],[خط (S/S  TOT) SAR2]]-TABL12345[[#This Row],[(S/S TOT) AJD]]</f>
        <v>0</v>
      </c>
      <c r="Q290" s="14"/>
      <c r="R290" s="9">
        <f>TABL12345[[#This Row],[خط (T/B  TOT) SAR]]-TABL12345[[#This Row],[(T/B TOT) AJD]]</f>
        <v>0</v>
      </c>
      <c r="S290" s="9">
        <f>TABL12345[[#This Row],[الفرق بين بداية ونهاية خط  S/S]]+TABL12345[[#This Row],[الفرق بين بداية ونهاية خط  T/B]]</f>
        <v>0</v>
      </c>
      <c r="T290" s="9">
        <f t="shared" si="16"/>
        <v>0</v>
      </c>
      <c r="U290" s="14"/>
      <c r="V290" s="14"/>
      <c r="W290" s="9">
        <f t="shared" si="17"/>
        <v>0</v>
      </c>
      <c r="X290" s="9">
        <f t="shared" si="18"/>
        <v>0</v>
      </c>
      <c r="Y290" s="18"/>
      <c r="Z290" s="9"/>
      <c r="AA290" s="3">
        <f>TABL12345[[#This Row],[(RESV. STORGE) AJD]]/10</f>
        <v>0</v>
      </c>
      <c r="AB290" s="6">
        <f t="shared" si="19"/>
        <v>0</v>
      </c>
      <c r="AC290" s="5"/>
      <c r="AD290" s="6">
        <f>(TABL12345[[#This Row],[( S/S+T/B) AJD]]*1000)-((TABL12345[[#This Row],[(STORGE DIFF.) AJD]]*1000)+TABL12345[[#This Row],[البخر  AJD]]+(TABL12345[[#This Row],[(A/B + A/S) AJD]]*1000))</f>
        <v>0</v>
      </c>
      <c r="AE290" s="33"/>
      <c r="AF290" s="6"/>
      <c r="AG290" s="6"/>
      <c r="AH290" s="6">
        <f>TABL12345[[#This Row],[ (RESV. STORGE) BER]]/10</f>
        <v>0</v>
      </c>
      <c r="AI290" s="6"/>
      <c r="AJ290" s="33">
        <f>TABL12345[[#This Row],[(A/B TOT) AJD]]-TABL12345[[#This Row],[BER_ IN]]</f>
        <v>0</v>
      </c>
      <c r="AK290" s="6"/>
      <c r="AL290" s="6"/>
      <c r="AM290" s="32"/>
      <c r="AN290" s="32">
        <f>TABL12345[[#This Row],[ (RESV. STORGE) SER]]/10</f>
        <v>0</v>
      </c>
      <c r="AO290" s="68"/>
      <c r="AP290" s="68">
        <f>TABL12345[[#This Row],[(A/S TOT) AJD]]-TABL12345[[#This Row],[SER_ IN]]</f>
        <v>0</v>
      </c>
    </row>
    <row r="291" spans="1:42" ht="18.75" x14ac:dyDescent="0.25">
      <c r="A291" s="2">
        <v>47408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>
        <f>TABL12345[[#This Row],[خط (T/B  TOT) SAR]]+TABL12345[[#This Row],[خط (S/S  TOT) SAR2]]</f>
        <v>0</v>
      </c>
      <c r="L291" s="28"/>
      <c r="M291" s="29"/>
      <c r="N291" s="30"/>
      <c r="O291" s="14"/>
      <c r="P291" s="9">
        <f>TABL12345[[#This Row],[خط (S/S  TOT) SAR2]]-TABL12345[[#This Row],[(S/S TOT) AJD]]</f>
        <v>0</v>
      </c>
      <c r="Q291" s="14"/>
      <c r="R291" s="9">
        <f>TABL12345[[#This Row],[خط (T/B  TOT) SAR]]-TABL12345[[#This Row],[(T/B TOT) AJD]]</f>
        <v>0</v>
      </c>
      <c r="S291" s="9">
        <f>TABL12345[[#This Row],[الفرق بين بداية ونهاية خط  S/S]]+TABL12345[[#This Row],[الفرق بين بداية ونهاية خط  T/B]]</f>
        <v>0</v>
      </c>
      <c r="T291" s="9">
        <f t="shared" si="16"/>
        <v>0</v>
      </c>
      <c r="U291" s="14"/>
      <c r="V291" s="14"/>
      <c r="W291" s="9">
        <f t="shared" si="17"/>
        <v>0</v>
      </c>
      <c r="X291" s="9">
        <f t="shared" si="18"/>
        <v>0</v>
      </c>
      <c r="Y291" s="18"/>
      <c r="Z291" s="9"/>
      <c r="AA291" s="3">
        <f>TABL12345[[#This Row],[(RESV. STORGE) AJD]]/10</f>
        <v>0</v>
      </c>
      <c r="AB291" s="6">
        <f t="shared" si="19"/>
        <v>0</v>
      </c>
      <c r="AC291" s="5"/>
      <c r="AD291" s="6">
        <f>(TABL12345[[#This Row],[( S/S+T/B) AJD]]*1000)-((TABL12345[[#This Row],[(STORGE DIFF.) AJD]]*1000)+TABL12345[[#This Row],[البخر  AJD]]+(TABL12345[[#This Row],[(A/B + A/S) AJD]]*1000))</f>
        <v>0</v>
      </c>
      <c r="AE291" s="33"/>
      <c r="AF291" s="6"/>
      <c r="AG291" s="6"/>
      <c r="AH291" s="6">
        <f>TABL12345[[#This Row],[ (RESV. STORGE) BER]]/10</f>
        <v>0</v>
      </c>
      <c r="AI291" s="6"/>
      <c r="AJ291" s="33">
        <f>TABL12345[[#This Row],[(A/B TOT) AJD]]-TABL12345[[#This Row],[BER_ IN]]</f>
        <v>0</v>
      </c>
      <c r="AK291" s="6"/>
      <c r="AL291" s="6"/>
      <c r="AM291" s="32"/>
      <c r="AN291" s="32">
        <f>TABL12345[[#This Row],[ (RESV. STORGE) SER]]/10</f>
        <v>0</v>
      </c>
      <c r="AO291" s="68"/>
      <c r="AP291" s="68">
        <f>TABL12345[[#This Row],[(A/S TOT) AJD]]-TABL12345[[#This Row],[SER_ IN]]</f>
        <v>0</v>
      </c>
    </row>
    <row r="292" spans="1:42" ht="18.75" x14ac:dyDescent="0.25">
      <c r="A292" s="2">
        <v>47409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>
        <f>TABL12345[[#This Row],[خط (T/B  TOT) SAR]]+TABL12345[[#This Row],[خط (S/S  TOT) SAR2]]</f>
        <v>0</v>
      </c>
      <c r="L292" s="28"/>
      <c r="M292" s="29"/>
      <c r="N292" s="30"/>
      <c r="O292" s="9"/>
      <c r="P292" s="9">
        <f>TABL12345[[#This Row],[خط (S/S  TOT) SAR2]]-TABL12345[[#This Row],[(S/S TOT) AJD]]</f>
        <v>0</v>
      </c>
      <c r="Q292" s="9"/>
      <c r="R292" s="9">
        <f>TABL12345[[#This Row],[خط (T/B  TOT) SAR]]-TABL12345[[#This Row],[(T/B TOT) AJD]]</f>
        <v>0</v>
      </c>
      <c r="S292" s="9">
        <f>TABL12345[[#This Row],[الفرق بين بداية ونهاية خط  S/S]]+TABL12345[[#This Row],[الفرق بين بداية ونهاية خط  T/B]]</f>
        <v>0</v>
      </c>
      <c r="T292" s="9">
        <f t="shared" si="16"/>
        <v>0</v>
      </c>
      <c r="U292" s="9"/>
      <c r="V292" s="9"/>
      <c r="W292" s="9">
        <f t="shared" si="17"/>
        <v>0</v>
      </c>
      <c r="X292" s="9">
        <f t="shared" si="18"/>
        <v>0</v>
      </c>
      <c r="Y292" s="18"/>
      <c r="Z292" s="9"/>
      <c r="AA292" s="3">
        <f>TABL12345[[#This Row],[(RESV. STORGE) AJD]]/10</f>
        <v>0</v>
      </c>
      <c r="AB292" s="6">
        <f t="shared" si="19"/>
        <v>0</v>
      </c>
      <c r="AC292" s="5"/>
      <c r="AD292" s="6">
        <f>(TABL12345[[#This Row],[( S/S+T/B) AJD]]*1000)-((TABL12345[[#This Row],[(STORGE DIFF.) AJD]]*1000)+TABL12345[[#This Row],[البخر  AJD]]+(TABL12345[[#This Row],[(A/B + A/S) AJD]]*1000))</f>
        <v>0</v>
      </c>
      <c r="AE292" s="33"/>
      <c r="AF292" s="6"/>
      <c r="AG292" s="6"/>
      <c r="AH292" s="6">
        <f>TABL12345[[#This Row],[ (RESV. STORGE) BER]]/10</f>
        <v>0</v>
      </c>
      <c r="AI292" s="6"/>
      <c r="AJ292" s="33">
        <f>TABL12345[[#This Row],[(A/B TOT) AJD]]-TABL12345[[#This Row],[BER_ IN]]</f>
        <v>0</v>
      </c>
      <c r="AK292" s="6"/>
      <c r="AL292" s="6"/>
      <c r="AM292" s="32"/>
      <c r="AN292" s="32">
        <f>TABL12345[[#This Row],[ (RESV. STORGE) SER]]/10</f>
        <v>0</v>
      </c>
      <c r="AO292" s="68"/>
      <c r="AP292" s="68">
        <f>TABL12345[[#This Row],[(A/S TOT) AJD]]-TABL12345[[#This Row],[SER_ IN]]</f>
        <v>0</v>
      </c>
    </row>
    <row r="293" spans="1:42" ht="18.75" x14ac:dyDescent="0.25">
      <c r="A293" s="2">
        <v>47410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>
        <f>TABL12345[[#This Row],[خط (T/B  TOT) SAR]]+TABL12345[[#This Row],[خط (S/S  TOT) SAR2]]</f>
        <v>0</v>
      </c>
      <c r="L293" s="28"/>
      <c r="M293" s="29"/>
      <c r="N293" s="30"/>
      <c r="O293" s="9"/>
      <c r="P293" s="9">
        <f>TABL12345[[#This Row],[خط (S/S  TOT) SAR2]]-TABL12345[[#This Row],[(S/S TOT) AJD]]</f>
        <v>0</v>
      </c>
      <c r="Q293" s="9"/>
      <c r="R293" s="9">
        <f>TABL12345[[#This Row],[خط (T/B  TOT) SAR]]-TABL12345[[#This Row],[(T/B TOT) AJD]]</f>
        <v>0</v>
      </c>
      <c r="S293" s="9">
        <f>TABL12345[[#This Row],[الفرق بين بداية ونهاية خط  S/S]]+TABL12345[[#This Row],[الفرق بين بداية ونهاية خط  T/B]]</f>
        <v>0</v>
      </c>
      <c r="T293" s="9">
        <f t="shared" si="16"/>
        <v>0</v>
      </c>
      <c r="U293" s="9"/>
      <c r="V293" s="9"/>
      <c r="W293" s="9">
        <f t="shared" si="17"/>
        <v>0</v>
      </c>
      <c r="X293" s="9">
        <f t="shared" si="18"/>
        <v>0</v>
      </c>
      <c r="Y293" s="18"/>
      <c r="Z293" s="9"/>
      <c r="AA293" s="3">
        <f>TABL12345[[#This Row],[(RESV. STORGE) AJD]]/10</f>
        <v>0</v>
      </c>
      <c r="AB293" s="6">
        <f t="shared" si="19"/>
        <v>0</v>
      </c>
      <c r="AC293" s="5"/>
      <c r="AD293" s="6">
        <f>(TABL12345[[#This Row],[( S/S+T/B) AJD]]*1000)-((TABL12345[[#This Row],[(STORGE DIFF.) AJD]]*1000)+TABL12345[[#This Row],[البخر  AJD]]+(TABL12345[[#This Row],[(A/B + A/S) AJD]]*1000))</f>
        <v>0</v>
      </c>
      <c r="AE293" s="33"/>
      <c r="AF293" s="6"/>
      <c r="AG293" s="6"/>
      <c r="AH293" s="6">
        <f>TABL12345[[#This Row],[ (RESV. STORGE) BER]]/10</f>
        <v>0</v>
      </c>
      <c r="AI293" s="6"/>
      <c r="AJ293" s="33">
        <f>TABL12345[[#This Row],[(A/B TOT) AJD]]-TABL12345[[#This Row],[BER_ IN]]</f>
        <v>0</v>
      </c>
      <c r="AK293" s="6"/>
      <c r="AL293" s="6"/>
      <c r="AM293" s="32"/>
      <c r="AN293" s="32">
        <f>TABL12345[[#This Row],[ (RESV. STORGE) SER]]/10</f>
        <v>0</v>
      </c>
      <c r="AO293" s="68"/>
      <c r="AP293" s="68">
        <f>TABL12345[[#This Row],[(A/S TOT) AJD]]-TABL12345[[#This Row],[SER_ IN]]</f>
        <v>0</v>
      </c>
    </row>
    <row r="294" spans="1:42" ht="18.75" x14ac:dyDescent="0.25">
      <c r="A294" s="2">
        <v>47411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>
        <f>TABL12345[[#This Row],[خط (T/B  TOT) SAR]]+TABL12345[[#This Row],[خط (S/S  TOT) SAR2]]</f>
        <v>0</v>
      </c>
      <c r="L294" s="28"/>
      <c r="M294" s="29"/>
      <c r="N294" s="30"/>
      <c r="O294" s="9"/>
      <c r="P294" s="9">
        <f>TABL12345[[#This Row],[خط (S/S  TOT) SAR2]]-TABL12345[[#This Row],[(S/S TOT) AJD]]</f>
        <v>0</v>
      </c>
      <c r="Q294" s="9"/>
      <c r="R294" s="9">
        <f>TABL12345[[#This Row],[خط (T/B  TOT) SAR]]-TABL12345[[#This Row],[(T/B TOT) AJD]]</f>
        <v>0</v>
      </c>
      <c r="S294" s="9">
        <f>TABL12345[[#This Row],[الفرق بين بداية ونهاية خط  S/S]]+TABL12345[[#This Row],[الفرق بين بداية ونهاية خط  T/B]]</f>
        <v>0</v>
      </c>
      <c r="T294" s="9">
        <f t="shared" si="16"/>
        <v>0</v>
      </c>
      <c r="U294" s="9"/>
      <c r="V294" s="9"/>
      <c r="W294" s="9">
        <f t="shared" si="17"/>
        <v>0</v>
      </c>
      <c r="X294" s="9">
        <f t="shared" si="18"/>
        <v>0</v>
      </c>
      <c r="Y294" s="18"/>
      <c r="Z294" s="9"/>
      <c r="AA294" s="3">
        <f>TABL12345[[#This Row],[(RESV. STORGE) AJD]]/10</f>
        <v>0</v>
      </c>
      <c r="AB294" s="6">
        <f t="shared" si="19"/>
        <v>0</v>
      </c>
      <c r="AC294" s="5"/>
      <c r="AD294" s="6">
        <f>(TABL12345[[#This Row],[( S/S+T/B) AJD]]*1000)-((TABL12345[[#This Row],[(STORGE DIFF.) AJD]]*1000)+TABL12345[[#This Row],[البخر  AJD]]+(TABL12345[[#This Row],[(A/B + A/S) AJD]]*1000))</f>
        <v>0</v>
      </c>
      <c r="AE294" s="33"/>
      <c r="AF294" s="6"/>
      <c r="AG294" s="6"/>
      <c r="AH294" s="6">
        <f>TABL12345[[#This Row],[ (RESV. STORGE) BER]]/10</f>
        <v>0</v>
      </c>
      <c r="AI294" s="6"/>
      <c r="AJ294" s="33">
        <f>TABL12345[[#This Row],[(A/B TOT) AJD]]-TABL12345[[#This Row],[BER_ IN]]</f>
        <v>0</v>
      </c>
      <c r="AK294" s="6"/>
      <c r="AL294" s="6"/>
      <c r="AM294" s="32"/>
      <c r="AN294" s="32">
        <f>TABL12345[[#This Row],[ (RESV. STORGE) SER]]/10</f>
        <v>0</v>
      </c>
      <c r="AO294" s="68"/>
      <c r="AP294" s="68">
        <f>TABL12345[[#This Row],[(A/S TOT) AJD]]-TABL12345[[#This Row],[SER_ IN]]</f>
        <v>0</v>
      </c>
    </row>
    <row r="295" spans="1:42" ht="18.75" x14ac:dyDescent="0.25">
      <c r="A295" s="2">
        <v>47412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>
        <f>TABL12345[[#This Row],[خط (T/B  TOT) SAR]]+TABL12345[[#This Row],[خط (S/S  TOT) SAR2]]</f>
        <v>0</v>
      </c>
      <c r="L295" s="28"/>
      <c r="M295" s="29"/>
      <c r="N295" s="30"/>
      <c r="O295" s="9"/>
      <c r="P295" s="9">
        <f>TABL12345[[#This Row],[خط (S/S  TOT) SAR2]]-TABL12345[[#This Row],[(S/S TOT) AJD]]</f>
        <v>0</v>
      </c>
      <c r="Q295" s="9"/>
      <c r="R295" s="9">
        <f>TABL12345[[#This Row],[خط (T/B  TOT) SAR]]-TABL12345[[#This Row],[(T/B TOT) AJD]]</f>
        <v>0</v>
      </c>
      <c r="S295" s="9">
        <f>TABL12345[[#This Row],[الفرق بين بداية ونهاية خط  S/S]]+TABL12345[[#This Row],[الفرق بين بداية ونهاية خط  T/B]]</f>
        <v>0</v>
      </c>
      <c r="T295" s="9">
        <f t="shared" si="16"/>
        <v>0</v>
      </c>
      <c r="U295" s="9"/>
      <c r="V295" s="9"/>
      <c r="W295" s="9">
        <f t="shared" si="17"/>
        <v>0</v>
      </c>
      <c r="X295" s="9">
        <f t="shared" si="18"/>
        <v>0</v>
      </c>
      <c r="Y295" s="18"/>
      <c r="Z295" s="9"/>
      <c r="AA295" s="3">
        <f>TABL12345[[#This Row],[(RESV. STORGE) AJD]]/10</f>
        <v>0</v>
      </c>
      <c r="AB295" s="6">
        <f t="shared" si="19"/>
        <v>0</v>
      </c>
      <c r="AC295" s="5"/>
      <c r="AD295" s="6">
        <f>(TABL12345[[#This Row],[( S/S+T/B) AJD]]*1000)-((TABL12345[[#This Row],[(STORGE DIFF.) AJD]]*1000)+TABL12345[[#This Row],[البخر  AJD]]+(TABL12345[[#This Row],[(A/B + A/S) AJD]]*1000))</f>
        <v>0</v>
      </c>
      <c r="AE295" s="33"/>
      <c r="AF295" s="6"/>
      <c r="AG295" s="6"/>
      <c r="AH295" s="6">
        <f>TABL12345[[#This Row],[ (RESV. STORGE) BER]]/10</f>
        <v>0</v>
      </c>
      <c r="AI295" s="6"/>
      <c r="AJ295" s="33">
        <f>TABL12345[[#This Row],[(A/B TOT) AJD]]-TABL12345[[#This Row],[BER_ IN]]</f>
        <v>0</v>
      </c>
      <c r="AK295" s="6"/>
      <c r="AL295" s="6"/>
      <c r="AM295" s="32"/>
      <c r="AN295" s="32">
        <f>TABL12345[[#This Row],[ (RESV. STORGE) SER]]/10</f>
        <v>0</v>
      </c>
      <c r="AO295" s="68"/>
      <c r="AP295" s="68">
        <f>TABL12345[[#This Row],[(A/S TOT) AJD]]-TABL12345[[#This Row],[SER_ IN]]</f>
        <v>0</v>
      </c>
    </row>
    <row r="296" spans="1:42" ht="18.75" x14ac:dyDescent="0.25">
      <c r="A296" s="2">
        <v>47413</v>
      </c>
      <c r="B296" s="28"/>
      <c r="C296" s="28"/>
      <c r="D296" s="28"/>
      <c r="E296" s="28"/>
      <c r="F296" s="28"/>
      <c r="G296" s="28"/>
      <c r="H296" s="28"/>
      <c r="I296" s="28"/>
      <c r="J296" s="28"/>
      <c r="K296" s="28">
        <f>TABL12345[[#This Row],[خط (T/B  TOT) SAR]]+TABL12345[[#This Row],[خط (S/S  TOT) SAR2]]</f>
        <v>0</v>
      </c>
      <c r="L296" s="28"/>
      <c r="M296" s="29"/>
      <c r="N296" s="30"/>
      <c r="O296" s="9"/>
      <c r="P296" s="9">
        <f>TABL12345[[#This Row],[خط (S/S  TOT) SAR2]]-TABL12345[[#This Row],[(S/S TOT) AJD]]</f>
        <v>0</v>
      </c>
      <c r="Q296" s="9"/>
      <c r="R296" s="9">
        <f>TABL12345[[#This Row],[خط (T/B  TOT) SAR]]-TABL12345[[#This Row],[(T/B TOT) AJD]]</f>
        <v>0</v>
      </c>
      <c r="S296" s="9">
        <f>TABL12345[[#This Row],[الفرق بين بداية ونهاية خط  S/S]]+TABL12345[[#This Row],[الفرق بين بداية ونهاية خط  T/B]]</f>
        <v>0</v>
      </c>
      <c r="T296" s="9">
        <f t="shared" si="16"/>
        <v>0</v>
      </c>
      <c r="U296" s="9"/>
      <c r="V296" s="9"/>
      <c r="W296" s="9">
        <f t="shared" si="17"/>
        <v>0</v>
      </c>
      <c r="X296" s="9">
        <f t="shared" si="18"/>
        <v>0</v>
      </c>
      <c r="Y296" s="18"/>
      <c r="Z296" s="9"/>
      <c r="AA296" s="3">
        <f>TABL12345[[#This Row],[(RESV. STORGE) AJD]]/10</f>
        <v>0</v>
      </c>
      <c r="AB296" s="6">
        <f t="shared" si="19"/>
        <v>0</v>
      </c>
      <c r="AC296" s="5"/>
      <c r="AD296" s="6">
        <f>(TABL12345[[#This Row],[( S/S+T/B) AJD]]*1000)-((TABL12345[[#This Row],[(STORGE DIFF.) AJD]]*1000)+TABL12345[[#This Row],[البخر  AJD]]+(TABL12345[[#This Row],[(A/B + A/S) AJD]]*1000))</f>
        <v>0</v>
      </c>
      <c r="AE296" s="33"/>
      <c r="AF296" s="6"/>
      <c r="AG296" s="6"/>
      <c r="AH296" s="6">
        <f>TABL12345[[#This Row],[ (RESV. STORGE) BER]]/10</f>
        <v>0</v>
      </c>
      <c r="AI296" s="6"/>
      <c r="AJ296" s="33">
        <f>TABL12345[[#This Row],[(A/B TOT) AJD]]-TABL12345[[#This Row],[BER_ IN]]</f>
        <v>0</v>
      </c>
      <c r="AK296" s="6"/>
      <c r="AL296" s="6"/>
      <c r="AM296" s="32"/>
      <c r="AN296" s="32">
        <f>TABL12345[[#This Row],[ (RESV. STORGE) SER]]/10</f>
        <v>0</v>
      </c>
      <c r="AO296" s="68"/>
      <c r="AP296" s="68">
        <f>TABL12345[[#This Row],[(A/S TOT) AJD]]-TABL12345[[#This Row],[SER_ IN]]</f>
        <v>0</v>
      </c>
    </row>
    <row r="297" spans="1:42" ht="18.75" x14ac:dyDescent="0.25">
      <c r="A297" s="2">
        <v>47414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>
        <f>TABL12345[[#This Row],[خط (T/B  TOT) SAR]]+TABL12345[[#This Row],[خط (S/S  TOT) SAR2]]</f>
        <v>0</v>
      </c>
      <c r="L297" s="28"/>
      <c r="M297" s="29"/>
      <c r="N297" s="30"/>
      <c r="O297" s="9"/>
      <c r="P297" s="9">
        <f>TABL12345[[#This Row],[خط (S/S  TOT) SAR2]]-TABL12345[[#This Row],[(S/S TOT) AJD]]</f>
        <v>0</v>
      </c>
      <c r="Q297" s="9"/>
      <c r="R297" s="9">
        <f>TABL12345[[#This Row],[خط (T/B  TOT) SAR]]-TABL12345[[#This Row],[(T/B TOT) AJD]]</f>
        <v>0</v>
      </c>
      <c r="S297" s="9">
        <f>TABL12345[[#This Row],[الفرق بين بداية ونهاية خط  S/S]]+TABL12345[[#This Row],[الفرق بين بداية ونهاية خط  T/B]]</f>
        <v>0</v>
      </c>
      <c r="T297" s="9">
        <f t="shared" si="16"/>
        <v>0</v>
      </c>
      <c r="U297" s="9"/>
      <c r="V297" s="9"/>
      <c r="W297" s="9">
        <f t="shared" si="17"/>
        <v>0</v>
      </c>
      <c r="X297" s="9">
        <f t="shared" si="18"/>
        <v>0</v>
      </c>
      <c r="Y297" s="18"/>
      <c r="Z297" s="9"/>
      <c r="AA297" s="3">
        <f>TABL12345[[#This Row],[(RESV. STORGE) AJD]]/10</f>
        <v>0</v>
      </c>
      <c r="AB297" s="6">
        <f t="shared" si="19"/>
        <v>0</v>
      </c>
      <c r="AC297" s="5"/>
      <c r="AD297" s="6">
        <f>(TABL12345[[#This Row],[( S/S+T/B) AJD]]*1000)-((TABL12345[[#This Row],[(STORGE DIFF.) AJD]]*1000)+TABL12345[[#This Row],[البخر  AJD]]+(TABL12345[[#This Row],[(A/B + A/S) AJD]]*1000))</f>
        <v>0</v>
      </c>
      <c r="AE297" s="33"/>
      <c r="AF297" s="6"/>
      <c r="AG297" s="6"/>
      <c r="AH297" s="6">
        <f>TABL12345[[#This Row],[ (RESV. STORGE) BER]]/10</f>
        <v>0</v>
      </c>
      <c r="AI297" s="6"/>
      <c r="AJ297" s="33">
        <f>TABL12345[[#This Row],[(A/B TOT) AJD]]-TABL12345[[#This Row],[BER_ IN]]</f>
        <v>0</v>
      </c>
      <c r="AK297" s="6"/>
      <c r="AL297" s="6"/>
      <c r="AM297" s="32"/>
      <c r="AN297" s="32">
        <f>TABL12345[[#This Row],[ (RESV. STORGE) SER]]/10</f>
        <v>0</v>
      </c>
      <c r="AO297" s="68"/>
      <c r="AP297" s="68">
        <f>TABL12345[[#This Row],[(A/S TOT) AJD]]-TABL12345[[#This Row],[SER_ IN]]</f>
        <v>0</v>
      </c>
    </row>
    <row r="298" spans="1:42" ht="18.75" x14ac:dyDescent="0.25">
      <c r="A298" s="2">
        <v>47415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>
        <f>TABL12345[[#This Row],[خط (T/B  TOT) SAR]]+TABL12345[[#This Row],[خط (S/S  TOT) SAR2]]</f>
        <v>0</v>
      </c>
      <c r="L298" s="28"/>
      <c r="M298" s="29"/>
      <c r="N298" s="30"/>
      <c r="O298" s="9"/>
      <c r="P298" s="9">
        <f>TABL12345[[#This Row],[خط (S/S  TOT) SAR2]]-TABL12345[[#This Row],[(S/S TOT) AJD]]</f>
        <v>0</v>
      </c>
      <c r="Q298" s="9"/>
      <c r="R298" s="9">
        <f>TABL12345[[#This Row],[خط (T/B  TOT) SAR]]-TABL12345[[#This Row],[(T/B TOT) AJD]]</f>
        <v>0</v>
      </c>
      <c r="S298" s="9">
        <f>TABL12345[[#This Row],[الفرق بين بداية ونهاية خط  S/S]]+TABL12345[[#This Row],[الفرق بين بداية ونهاية خط  T/B]]</f>
        <v>0</v>
      </c>
      <c r="T298" s="9">
        <f t="shared" si="16"/>
        <v>0</v>
      </c>
      <c r="U298" s="9"/>
      <c r="V298" s="9"/>
      <c r="W298" s="9">
        <f t="shared" si="17"/>
        <v>0</v>
      </c>
      <c r="X298" s="9">
        <f t="shared" si="18"/>
        <v>0</v>
      </c>
      <c r="Y298" s="18"/>
      <c r="Z298" s="9"/>
      <c r="AA298" s="3">
        <f>TABL12345[[#This Row],[(RESV. STORGE) AJD]]/10</f>
        <v>0</v>
      </c>
      <c r="AB298" s="6">
        <f t="shared" si="19"/>
        <v>0</v>
      </c>
      <c r="AC298" s="5"/>
      <c r="AD298" s="6">
        <f>(TABL12345[[#This Row],[( S/S+T/B) AJD]]*1000)-((TABL12345[[#This Row],[(STORGE DIFF.) AJD]]*1000)+TABL12345[[#This Row],[البخر  AJD]]+(TABL12345[[#This Row],[(A/B + A/S) AJD]]*1000))</f>
        <v>0</v>
      </c>
      <c r="AE298" s="33"/>
      <c r="AF298" s="6"/>
      <c r="AG298" s="6"/>
      <c r="AH298" s="6">
        <f>TABL12345[[#This Row],[ (RESV. STORGE) BER]]/10</f>
        <v>0</v>
      </c>
      <c r="AI298" s="6"/>
      <c r="AJ298" s="33">
        <f>TABL12345[[#This Row],[(A/B TOT) AJD]]-TABL12345[[#This Row],[BER_ IN]]</f>
        <v>0</v>
      </c>
      <c r="AK298" s="6"/>
      <c r="AL298" s="6"/>
      <c r="AM298" s="32"/>
      <c r="AN298" s="32">
        <f>TABL12345[[#This Row],[ (RESV. STORGE) SER]]/10</f>
        <v>0</v>
      </c>
      <c r="AO298" s="68"/>
      <c r="AP298" s="68">
        <f>TABL12345[[#This Row],[(A/S TOT) AJD]]-TABL12345[[#This Row],[SER_ IN]]</f>
        <v>0</v>
      </c>
    </row>
    <row r="299" spans="1:42" ht="18.75" x14ac:dyDescent="0.25">
      <c r="A299" s="2">
        <v>47416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>
        <f>TABL12345[[#This Row],[خط (T/B  TOT) SAR]]+TABL12345[[#This Row],[خط (S/S  TOT) SAR2]]</f>
        <v>0</v>
      </c>
      <c r="L299" s="28"/>
      <c r="M299" s="29"/>
      <c r="N299" s="30"/>
      <c r="O299" s="9"/>
      <c r="P299" s="9">
        <f>TABL12345[[#This Row],[خط (S/S  TOT) SAR2]]-TABL12345[[#This Row],[(S/S TOT) AJD]]</f>
        <v>0</v>
      </c>
      <c r="Q299" s="9"/>
      <c r="R299" s="9">
        <f>TABL12345[[#This Row],[خط (T/B  TOT) SAR]]-TABL12345[[#This Row],[(T/B TOT) AJD]]</f>
        <v>0</v>
      </c>
      <c r="S299" s="9">
        <f>TABL12345[[#This Row],[الفرق بين بداية ونهاية خط  S/S]]+TABL12345[[#This Row],[الفرق بين بداية ونهاية خط  T/B]]</f>
        <v>0</v>
      </c>
      <c r="T299" s="9">
        <f t="shared" si="16"/>
        <v>0</v>
      </c>
      <c r="U299" s="9"/>
      <c r="V299" s="9"/>
      <c r="W299" s="9">
        <f t="shared" si="17"/>
        <v>0</v>
      </c>
      <c r="X299" s="9">
        <f t="shared" si="18"/>
        <v>0</v>
      </c>
      <c r="Y299" s="18"/>
      <c r="Z299" s="9"/>
      <c r="AA299" s="3">
        <f>TABL12345[[#This Row],[(RESV. STORGE) AJD]]/10</f>
        <v>0</v>
      </c>
      <c r="AB299" s="6">
        <f t="shared" si="19"/>
        <v>0</v>
      </c>
      <c r="AC299" s="5"/>
      <c r="AD299" s="6">
        <f>(TABL12345[[#This Row],[( S/S+T/B) AJD]]*1000)-((TABL12345[[#This Row],[(STORGE DIFF.) AJD]]*1000)+TABL12345[[#This Row],[البخر  AJD]]+(TABL12345[[#This Row],[(A/B + A/S) AJD]]*1000))</f>
        <v>0</v>
      </c>
      <c r="AE299" s="33"/>
      <c r="AF299" s="6"/>
      <c r="AG299" s="6"/>
      <c r="AH299" s="6">
        <f>TABL12345[[#This Row],[ (RESV. STORGE) BER]]/10</f>
        <v>0</v>
      </c>
      <c r="AI299" s="6"/>
      <c r="AJ299" s="33">
        <f>TABL12345[[#This Row],[(A/B TOT) AJD]]-TABL12345[[#This Row],[BER_ IN]]</f>
        <v>0</v>
      </c>
      <c r="AK299" s="6"/>
      <c r="AL299" s="6"/>
      <c r="AM299" s="32"/>
      <c r="AN299" s="32">
        <f>TABL12345[[#This Row],[ (RESV. STORGE) SER]]/10</f>
        <v>0</v>
      </c>
      <c r="AO299" s="68"/>
      <c r="AP299" s="68">
        <f>TABL12345[[#This Row],[(A/S TOT) AJD]]-TABL12345[[#This Row],[SER_ IN]]</f>
        <v>0</v>
      </c>
    </row>
    <row r="300" spans="1:42" ht="18.75" x14ac:dyDescent="0.25">
      <c r="A300" s="2">
        <v>47417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>
        <f>TABL12345[[#This Row],[خط (T/B  TOT) SAR]]+TABL12345[[#This Row],[خط (S/S  TOT) SAR2]]</f>
        <v>0</v>
      </c>
      <c r="L300" s="28"/>
      <c r="M300" s="29"/>
      <c r="N300" s="30"/>
      <c r="O300" s="9"/>
      <c r="P300" s="9">
        <f>TABL12345[[#This Row],[خط (S/S  TOT) SAR2]]-TABL12345[[#This Row],[(S/S TOT) AJD]]</f>
        <v>0</v>
      </c>
      <c r="Q300" s="9"/>
      <c r="R300" s="9">
        <f>TABL12345[[#This Row],[خط (T/B  TOT) SAR]]-TABL12345[[#This Row],[(T/B TOT) AJD]]</f>
        <v>0</v>
      </c>
      <c r="S300" s="9">
        <f>TABL12345[[#This Row],[الفرق بين بداية ونهاية خط  S/S]]+TABL12345[[#This Row],[الفرق بين بداية ونهاية خط  T/B]]</f>
        <v>0</v>
      </c>
      <c r="T300" s="9">
        <f t="shared" si="16"/>
        <v>0</v>
      </c>
      <c r="U300" s="9"/>
      <c r="V300" s="9"/>
      <c r="W300" s="9">
        <f t="shared" si="17"/>
        <v>0</v>
      </c>
      <c r="X300" s="9">
        <f t="shared" si="18"/>
        <v>0</v>
      </c>
      <c r="Y300" s="18"/>
      <c r="Z300" s="9"/>
      <c r="AA300" s="3">
        <f>TABL12345[[#This Row],[(RESV. STORGE) AJD]]/10</f>
        <v>0</v>
      </c>
      <c r="AB300" s="6">
        <f t="shared" si="19"/>
        <v>0</v>
      </c>
      <c r="AC300" s="5"/>
      <c r="AD300" s="6">
        <f>(TABL12345[[#This Row],[( S/S+T/B) AJD]]*1000)-((TABL12345[[#This Row],[(STORGE DIFF.) AJD]]*1000)+TABL12345[[#This Row],[البخر  AJD]]+(TABL12345[[#This Row],[(A/B + A/S) AJD]]*1000))</f>
        <v>0</v>
      </c>
      <c r="AE300" s="33"/>
      <c r="AF300" s="6"/>
      <c r="AG300" s="6"/>
      <c r="AH300" s="6">
        <f>TABL12345[[#This Row],[ (RESV. STORGE) BER]]/10</f>
        <v>0</v>
      </c>
      <c r="AI300" s="6"/>
      <c r="AJ300" s="33">
        <f>TABL12345[[#This Row],[(A/B TOT) AJD]]-TABL12345[[#This Row],[BER_ IN]]</f>
        <v>0</v>
      </c>
      <c r="AK300" s="6"/>
      <c r="AL300" s="6"/>
      <c r="AM300" s="32"/>
      <c r="AN300" s="32">
        <f>TABL12345[[#This Row],[ (RESV. STORGE) SER]]/10</f>
        <v>0</v>
      </c>
      <c r="AO300" s="68"/>
      <c r="AP300" s="68">
        <f>TABL12345[[#This Row],[(A/S TOT) AJD]]-TABL12345[[#This Row],[SER_ IN]]</f>
        <v>0</v>
      </c>
    </row>
    <row r="301" spans="1:42" ht="18.75" x14ac:dyDescent="0.25">
      <c r="A301" s="2">
        <v>47418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>
        <f>TABL12345[[#This Row],[خط (T/B  TOT) SAR]]+TABL12345[[#This Row],[خط (S/S  TOT) SAR2]]</f>
        <v>0</v>
      </c>
      <c r="L301" s="28"/>
      <c r="M301" s="29"/>
      <c r="N301" s="30"/>
      <c r="O301" s="9"/>
      <c r="P301" s="9">
        <f>TABL12345[[#This Row],[خط (S/S  TOT) SAR2]]-TABL12345[[#This Row],[(S/S TOT) AJD]]</f>
        <v>0</v>
      </c>
      <c r="Q301" s="9"/>
      <c r="R301" s="9">
        <f>TABL12345[[#This Row],[خط (T/B  TOT) SAR]]-TABL12345[[#This Row],[(T/B TOT) AJD]]</f>
        <v>0</v>
      </c>
      <c r="S301" s="9">
        <f>TABL12345[[#This Row],[الفرق بين بداية ونهاية خط  S/S]]+TABL12345[[#This Row],[الفرق بين بداية ونهاية خط  T/B]]</f>
        <v>0</v>
      </c>
      <c r="T301" s="9">
        <f t="shared" si="16"/>
        <v>0</v>
      </c>
      <c r="U301" s="9"/>
      <c r="V301" s="9"/>
      <c r="W301" s="9">
        <f t="shared" si="17"/>
        <v>0</v>
      </c>
      <c r="X301" s="9">
        <f t="shared" si="18"/>
        <v>0</v>
      </c>
      <c r="Y301" s="18"/>
      <c r="Z301" s="9"/>
      <c r="AA301" s="3">
        <f>TABL12345[[#This Row],[(RESV. STORGE) AJD]]/10</f>
        <v>0</v>
      </c>
      <c r="AB301" s="6">
        <f t="shared" si="19"/>
        <v>0</v>
      </c>
      <c r="AC301" s="5"/>
      <c r="AD301" s="6">
        <f>(TABL12345[[#This Row],[( S/S+T/B) AJD]]*1000)-((TABL12345[[#This Row],[(STORGE DIFF.) AJD]]*1000)+TABL12345[[#This Row],[البخر  AJD]]+(TABL12345[[#This Row],[(A/B + A/S) AJD]]*1000))</f>
        <v>0</v>
      </c>
      <c r="AE301" s="33"/>
      <c r="AF301" s="6"/>
      <c r="AG301" s="6"/>
      <c r="AH301" s="6">
        <f>TABL12345[[#This Row],[ (RESV. STORGE) BER]]/10</f>
        <v>0</v>
      </c>
      <c r="AI301" s="6"/>
      <c r="AJ301" s="33">
        <f>TABL12345[[#This Row],[(A/B TOT) AJD]]-TABL12345[[#This Row],[BER_ IN]]</f>
        <v>0</v>
      </c>
      <c r="AK301" s="6"/>
      <c r="AL301" s="6"/>
      <c r="AM301" s="32"/>
      <c r="AN301" s="32">
        <f>TABL12345[[#This Row],[ (RESV. STORGE) SER]]/10</f>
        <v>0</v>
      </c>
      <c r="AO301" s="68"/>
      <c r="AP301" s="68">
        <f>TABL12345[[#This Row],[(A/S TOT) AJD]]-TABL12345[[#This Row],[SER_ IN]]</f>
        <v>0</v>
      </c>
    </row>
    <row r="302" spans="1:42" ht="18.75" x14ac:dyDescent="0.25">
      <c r="A302" s="2">
        <v>47419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>
        <f>TABL12345[[#This Row],[خط (T/B  TOT) SAR]]+TABL12345[[#This Row],[خط (S/S  TOT) SAR2]]</f>
        <v>0</v>
      </c>
      <c r="L302" s="28"/>
      <c r="M302" s="29"/>
      <c r="N302" s="30"/>
      <c r="O302" s="9"/>
      <c r="P302" s="9">
        <f>TABL12345[[#This Row],[خط (S/S  TOT) SAR2]]-TABL12345[[#This Row],[(S/S TOT) AJD]]</f>
        <v>0</v>
      </c>
      <c r="Q302" s="9"/>
      <c r="R302" s="9">
        <f>TABL12345[[#This Row],[خط (T/B  TOT) SAR]]-TABL12345[[#This Row],[(T/B TOT) AJD]]</f>
        <v>0</v>
      </c>
      <c r="S302" s="9">
        <f>TABL12345[[#This Row],[الفرق بين بداية ونهاية خط  S/S]]+TABL12345[[#This Row],[الفرق بين بداية ونهاية خط  T/B]]</f>
        <v>0</v>
      </c>
      <c r="T302" s="9">
        <f t="shared" si="16"/>
        <v>0</v>
      </c>
      <c r="U302" s="9"/>
      <c r="V302" s="9"/>
      <c r="W302" s="9">
        <f t="shared" si="17"/>
        <v>0</v>
      </c>
      <c r="X302" s="9">
        <f t="shared" si="18"/>
        <v>0</v>
      </c>
      <c r="Y302" s="18"/>
      <c r="Z302" s="9"/>
      <c r="AA302" s="3">
        <f>TABL12345[[#This Row],[(RESV. STORGE) AJD]]/10</f>
        <v>0</v>
      </c>
      <c r="AB302" s="6">
        <f t="shared" si="19"/>
        <v>0</v>
      </c>
      <c r="AC302" s="5"/>
      <c r="AD302" s="6">
        <f>(TABL12345[[#This Row],[( S/S+T/B) AJD]]*1000)-((TABL12345[[#This Row],[(STORGE DIFF.) AJD]]*1000)+TABL12345[[#This Row],[البخر  AJD]]+(TABL12345[[#This Row],[(A/B + A/S) AJD]]*1000))</f>
        <v>0</v>
      </c>
      <c r="AE302" s="33"/>
      <c r="AF302" s="6"/>
      <c r="AG302" s="6"/>
      <c r="AH302" s="6">
        <f>TABL12345[[#This Row],[ (RESV. STORGE) BER]]/10</f>
        <v>0</v>
      </c>
      <c r="AI302" s="6"/>
      <c r="AJ302" s="33">
        <f>TABL12345[[#This Row],[(A/B TOT) AJD]]-TABL12345[[#This Row],[BER_ IN]]</f>
        <v>0</v>
      </c>
      <c r="AK302" s="6"/>
      <c r="AL302" s="6"/>
      <c r="AM302" s="32"/>
      <c r="AN302" s="32">
        <f>TABL12345[[#This Row],[ (RESV. STORGE) SER]]/10</f>
        <v>0</v>
      </c>
      <c r="AO302" s="68"/>
      <c r="AP302" s="68">
        <f>TABL12345[[#This Row],[(A/S TOT) AJD]]-TABL12345[[#This Row],[SER_ IN]]</f>
        <v>0</v>
      </c>
    </row>
    <row r="303" spans="1:42" ht="18.75" x14ac:dyDescent="0.25">
      <c r="A303" s="2">
        <v>47420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>
        <f>TABL12345[[#This Row],[خط (T/B  TOT) SAR]]+TABL12345[[#This Row],[خط (S/S  TOT) SAR2]]</f>
        <v>0</v>
      </c>
      <c r="L303" s="28"/>
      <c r="M303" s="29"/>
      <c r="N303" s="30"/>
      <c r="O303" s="9"/>
      <c r="P303" s="9">
        <f>TABL12345[[#This Row],[خط (S/S  TOT) SAR2]]-TABL12345[[#This Row],[(S/S TOT) AJD]]</f>
        <v>0</v>
      </c>
      <c r="Q303" s="9"/>
      <c r="R303" s="9">
        <f>TABL12345[[#This Row],[خط (T/B  TOT) SAR]]-TABL12345[[#This Row],[(T/B TOT) AJD]]</f>
        <v>0</v>
      </c>
      <c r="S303" s="9">
        <f>TABL12345[[#This Row],[الفرق بين بداية ونهاية خط  S/S]]+TABL12345[[#This Row],[الفرق بين بداية ونهاية خط  T/B]]</f>
        <v>0</v>
      </c>
      <c r="T303" s="9">
        <f t="shared" si="16"/>
        <v>0</v>
      </c>
      <c r="U303" s="9"/>
      <c r="V303" s="9"/>
      <c r="W303" s="9">
        <f t="shared" si="17"/>
        <v>0</v>
      </c>
      <c r="X303" s="9">
        <f t="shared" si="18"/>
        <v>0</v>
      </c>
      <c r="Y303" s="18"/>
      <c r="Z303" s="9"/>
      <c r="AA303" s="3">
        <f>TABL12345[[#This Row],[(RESV. STORGE) AJD]]/10</f>
        <v>0</v>
      </c>
      <c r="AB303" s="6">
        <f t="shared" si="19"/>
        <v>0</v>
      </c>
      <c r="AC303" s="5"/>
      <c r="AD303" s="6">
        <f>(TABL12345[[#This Row],[( S/S+T/B) AJD]]*1000)-((TABL12345[[#This Row],[(STORGE DIFF.) AJD]]*1000)+TABL12345[[#This Row],[البخر  AJD]]+(TABL12345[[#This Row],[(A/B + A/S) AJD]]*1000))</f>
        <v>0</v>
      </c>
      <c r="AE303" s="33"/>
      <c r="AF303" s="6"/>
      <c r="AG303" s="6"/>
      <c r="AH303" s="6">
        <f>TABL12345[[#This Row],[ (RESV. STORGE) BER]]/10</f>
        <v>0</v>
      </c>
      <c r="AI303" s="6"/>
      <c r="AJ303" s="33">
        <f>TABL12345[[#This Row],[(A/B TOT) AJD]]-TABL12345[[#This Row],[BER_ IN]]</f>
        <v>0</v>
      </c>
      <c r="AK303" s="6"/>
      <c r="AL303" s="6"/>
      <c r="AM303" s="32"/>
      <c r="AN303" s="32">
        <f>TABL12345[[#This Row],[ (RESV. STORGE) SER]]/10</f>
        <v>0</v>
      </c>
      <c r="AO303" s="68"/>
      <c r="AP303" s="68">
        <f>TABL12345[[#This Row],[(A/S TOT) AJD]]-TABL12345[[#This Row],[SER_ IN]]</f>
        <v>0</v>
      </c>
    </row>
    <row r="304" spans="1:42" ht="18.75" x14ac:dyDescent="0.25">
      <c r="A304" s="2">
        <v>47421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>
        <f>TABL12345[[#This Row],[خط (T/B  TOT) SAR]]+TABL12345[[#This Row],[خط (S/S  TOT) SAR2]]</f>
        <v>0</v>
      </c>
      <c r="L304" s="28"/>
      <c r="M304" s="29"/>
      <c r="N304" s="30"/>
      <c r="O304" s="9"/>
      <c r="P304" s="9">
        <f>TABL12345[[#This Row],[خط (S/S  TOT) SAR2]]-TABL12345[[#This Row],[(S/S TOT) AJD]]</f>
        <v>0</v>
      </c>
      <c r="Q304" s="9"/>
      <c r="R304" s="9">
        <f>TABL12345[[#This Row],[خط (T/B  TOT) SAR]]-TABL12345[[#This Row],[(T/B TOT) AJD]]</f>
        <v>0</v>
      </c>
      <c r="S304" s="9">
        <f>TABL12345[[#This Row],[الفرق بين بداية ونهاية خط  S/S]]+TABL12345[[#This Row],[الفرق بين بداية ونهاية خط  T/B]]</f>
        <v>0</v>
      </c>
      <c r="T304" s="9">
        <f t="shared" si="16"/>
        <v>0</v>
      </c>
      <c r="U304" s="9"/>
      <c r="V304" s="9"/>
      <c r="W304" s="9">
        <f t="shared" si="17"/>
        <v>0</v>
      </c>
      <c r="X304" s="9">
        <f t="shared" si="18"/>
        <v>0</v>
      </c>
      <c r="Y304" s="18"/>
      <c r="Z304" s="9"/>
      <c r="AA304" s="3">
        <f>TABL12345[[#This Row],[(RESV. STORGE) AJD]]/10</f>
        <v>0</v>
      </c>
      <c r="AB304" s="6">
        <f t="shared" si="19"/>
        <v>0</v>
      </c>
      <c r="AC304" s="5"/>
      <c r="AD304" s="6">
        <f>(TABL12345[[#This Row],[( S/S+T/B) AJD]]*1000)-((TABL12345[[#This Row],[(STORGE DIFF.) AJD]]*1000)+TABL12345[[#This Row],[البخر  AJD]]+(TABL12345[[#This Row],[(A/B + A/S) AJD]]*1000))</f>
        <v>0</v>
      </c>
      <c r="AE304" s="33"/>
      <c r="AF304" s="6"/>
      <c r="AG304" s="6"/>
      <c r="AH304" s="6">
        <f>TABL12345[[#This Row],[ (RESV. STORGE) BER]]/10</f>
        <v>0</v>
      </c>
      <c r="AI304" s="6"/>
      <c r="AJ304" s="33">
        <f>TABL12345[[#This Row],[(A/B TOT) AJD]]-TABL12345[[#This Row],[BER_ IN]]</f>
        <v>0</v>
      </c>
      <c r="AK304" s="6"/>
      <c r="AL304" s="6"/>
      <c r="AM304" s="32"/>
      <c r="AN304" s="32">
        <f>TABL12345[[#This Row],[ (RESV. STORGE) SER]]/10</f>
        <v>0</v>
      </c>
      <c r="AO304" s="68"/>
      <c r="AP304" s="68">
        <f>TABL12345[[#This Row],[(A/S TOT) AJD]]-TABL12345[[#This Row],[SER_ IN]]</f>
        <v>0</v>
      </c>
    </row>
    <row r="305" spans="1:42" ht="18.75" x14ac:dyDescent="0.25">
      <c r="A305" s="2">
        <v>47422</v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>
        <f>TABL12345[[#This Row],[خط (T/B  TOT) SAR]]+TABL12345[[#This Row],[خط (S/S  TOT) SAR2]]</f>
        <v>0</v>
      </c>
      <c r="L305" s="28"/>
      <c r="M305" s="29"/>
      <c r="N305" s="30"/>
      <c r="O305" s="9"/>
      <c r="P305" s="9">
        <f>TABL12345[[#This Row],[خط (S/S  TOT) SAR2]]-TABL12345[[#This Row],[(S/S TOT) AJD]]</f>
        <v>0</v>
      </c>
      <c r="Q305" s="9"/>
      <c r="R305" s="9">
        <f>TABL12345[[#This Row],[خط (T/B  TOT) SAR]]-TABL12345[[#This Row],[(T/B TOT) AJD]]</f>
        <v>0</v>
      </c>
      <c r="S305" s="9">
        <f>TABL12345[[#This Row],[الفرق بين بداية ونهاية خط  S/S]]+TABL12345[[#This Row],[الفرق بين بداية ونهاية خط  T/B]]</f>
        <v>0</v>
      </c>
      <c r="T305" s="9">
        <f t="shared" si="16"/>
        <v>0</v>
      </c>
      <c r="U305" s="9"/>
      <c r="V305" s="9"/>
      <c r="W305" s="9">
        <f t="shared" si="17"/>
        <v>0</v>
      </c>
      <c r="X305" s="9">
        <f t="shared" si="18"/>
        <v>0</v>
      </c>
      <c r="Y305" s="18"/>
      <c r="Z305" s="9"/>
      <c r="AA305" s="3">
        <f>TABL12345[[#This Row],[(RESV. STORGE) AJD]]/10</f>
        <v>0</v>
      </c>
      <c r="AB305" s="6">
        <f t="shared" si="19"/>
        <v>0</v>
      </c>
      <c r="AC305" s="5"/>
      <c r="AD305" s="6">
        <f>(TABL12345[[#This Row],[( S/S+T/B) AJD]]*1000)-((TABL12345[[#This Row],[(STORGE DIFF.) AJD]]*1000)+TABL12345[[#This Row],[البخر  AJD]]+(TABL12345[[#This Row],[(A/B + A/S) AJD]]*1000))</f>
        <v>0</v>
      </c>
      <c r="AE305" s="33"/>
      <c r="AF305" s="6"/>
      <c r="AG305" s="6"/>
      <c r="AH305" s="6">
        <f>TABL12345[[#This Row],[ (RESV. STORGE) BER]]/10</f>
        <v>0</v>
      </c>
      <c r="AI305" s="6"/>
      <c r="AJ305" s="33">
        <f>TABL12345[[#This Row],[(A/B TOT) AJD]]-TABL12345[[#This Row],[BER_ IN]]</f>
        <v>0</v>
      </c>
      <c r="AK305" s="6"/>
      <c r="AL305" s="6"/>
      <c r="AM305" s="32"/>
      <c r="AN305" s="32">
        <f>TABL12345[[#This Row],[ (RESV. STORGE) SER]]/10</f>
        <v>0</v>
      </c>
      <c r="AO305" s="68"/>
      <c r="AP305" s="68">
        <f>TABL12345[[#This Row],[(A/S TOT) AJD]]-TABL12345[[#This Row],[SER_ IN]]</f>
        <v>0</v>
      </c>
    </row>
    <row r="306" spans="1:42" ht="18.75" x14ac:dyDescent="0.25">
      <c r="A306" s="2">
        <v>47423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>
        <f>TABL12345[[#This Row],[خط (T/B  TOT) SAR]]+TABL12345[[#This Row],[خط (S/S  TOT) SAR2]]</f>
        <v>0</v>
      </c>
      <c r="L306" s="28"/>
      <c r="M306" s="29"/>
      <c r="N306" s="30"/>
      <c r="O306" s="39"/>
      <c r="P306" s="9">
        <f>TABL12345[[#This Row],[خط (S/S  TOT) SAR2]]-TABL12345[[#This Row],[(S/S TOT) AJD]]</f>
        <v>0</v>
      </c>
      <c r="Q306" s="9"/>
      <c r="R306" s="9">
        <f>TABL12345[[#This Row],[خط (T/B  TOT) SAR]]-TABL12345[[#This Row],[(T/B TOT) AJD]]</f>
        <v>0</v>
      </c>
      <c r="S306" s="9">
        <f>TABL12345[[#This Row],[الفرق بين بداية ونهاية خط  S/S]]+TABL12345[[#This Row],[الفرق بين بداية ونهاية خط  T/B]]</f>
        <v>0</v>
      </c>
      <c r="T306" s="9">
        <f t="shared" si="16"/>
        <v>0</v>
      </c>
      <c r="U306" s="9"/>
      <c r="V306" s="9"/>
      <c r="W306" s="9">
        <f t="shared" si="17"/>
        <v>0</v>
      </c>
      <c r="X306" s="9">
        <f t="shared" si="18"/>
        <v>0</v>
      </c>
      <c r="Y306" s="18"/>
      <c r="Z306" s="9"/>
      <c r="AA306" s="3">
        <f>TABL12345[[#This Row],[(RESV. STORGE) AJD]]/10</f>
        <v>0</v>
      </c>
      <c r="AB306" s="6">
        <f t="shared" si="19"/>
        <v>0</v>
      </c>
      <c r="AC306" s="5"/>
      <c r="AD306" s="6">
        <f>(TABL12345[[#This Row],[( S/S+T/B) AJD]]*1000)-((TABL12345[[#This Row],[(STORGE DIFF.) AJD]]*1000)+TABL12345[[#This Row],[البخر  AJD]]+(TABL12345[[#This Row],[(A/B + A/S) AJD]]*1000))</f>
        <v>0</v>
      </c>
      <c r="AE306" s="33"/>
      <c r="AF306" s="6"/>
      <c r="AG306" s="6"/>
      <c r="AH306" s="6">
        <f>TABL12345[[#This Row],[ (RESV. STORGE) BER]]/10</f>
        <v>0</v>
      </c>
      <c r="AI306" s="6"/>
      <c r="AJ306" s="33">
        <f>TABL12345[[#This Row],[(A/B TOT) AJD]]-TABL12345[[#This Row],[BER_ IN]]</f>
        <v>0</v>
      </c>
      <c r="AK306" s="6"/>
      <c r="AL306" s="6"/>
      <c r="AM306" s="32"/>
      <c r="AN306" s="32">
        <f>TABL12345[[#This Row],[ (RESV. STORGE) SER]]/10</f>
        <v>0</v>
      </c>
      <c r="AO306" s="68"/>
      <c r="AP306" s="68">
        <f>TABL12345[[#This Row],[(A/S TOT) AJD]]-TABL12345[[#This Row],[SER_ IN]]</f>
        <v>0</v>
      </c>
    </row>
    <row r="307" spans="1:42" ht="18.75" x14ac:dyDescent="0.25">
      <c r="A307" s="2">
        <v>47424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>
        <f>TABL12345[[#This Row],[خط (T/B  TOT) SAR]]+TABL12345[[#This Row],[خط (S/S  TOT) SAR2]]</f>
        <v>0</v>
      </c>
      <c r="L307" s="28"/>
      <c r="M307" s="29"/>
      <c r="N307" s="30"/>
      <c r="O307" s="40"/>
      <c r="P307" s="9">
        <f>TABL12345[[#This Row],[خط (S/S  TOT) SAR2]]-TABL12345[[#This Row],[(S/S TOT) AJD]]</f>
        <v>0</v>
      </c>
      <c r="Q307" s="9"/>
      <c r="R307" s="9">
        <f>TABL12345[[#This Row],[خط (T/B  TOT) SAR]]-TABL12345[[#This Row],[(T/B TOT) AJD]]</f>
        <v>0</v>
      </c>
      <c r="S307" s="9">
        <f>TABL12345[[#This Row],[الفرق بين بداية ونهاية خط  S/S]]+TABL12345[[#This Row],[الفرق بين بداية ونهاية خط  T/B]]</f>
        <v>0</v>
      </c>
      <c r="T307" s="9">
        <f t="shared" si="16"/>
        <v>0</v>
      </c>
      <c r="U307" s="9"/>
      <c r="V307" s="9"/>
      <c r="W307" s="9">
        <f t="shared" si="17"/>
        <v>0</v>
      </c>
      <c r="X307" s="9">
        <f t="shared" si="18"/>
        <v>0</v>
      </c>
      <c r="Y307" s="18"/>
      <c r="Z307" s="9"/>
      <c r="AA307" s="3">
        <f>TABL12345[[#This Row],[(RESV. STORGE) AJD]]/10</f>
        <v>0</v>
      </c>
      <c r="AB307" s="6">
        <f t="shared" si="19"/>
        <v>0</v>
      </c>
      <c r="AC307" s="5"/>
      <c r="AD307" s="6">
        <f>(TABL12345[[#This Row],[( S/S+T/B) AJD]]*1000)-((TABL12345[[#This Row],[(STORGE DIFF.) AJD]]*1000)+TABL12345[[#This Row],[البخر  AJD]]+(TABL12345[[#This Row],[(A/B + A/S) AJD]]*1000))</f>
        <v>0</v>
      </c>
      <c r="AE307" s="33"/>
      <c r="AF307" s="6"/>
      <c r="AG307" s="6"/>
      <c r="AH307" s="6">
        <f>TABL12345[[#This Row],[ (RESV. STORGE) BER]]/10</f>
        <v>0</v>
      </c>
      <c r="AI307" s="6"/>
      <c r="AJ307" s="33">
        <f>TABL12345[[#This Row],[(A/B TOT) AJD]]-TABL12345[[#This Row],[BER_ IN]]</f>
        <v>0</v>
      </c>
      <c r="AK307" s="6"/>
      <c r="AL307" s="6"/>
      <c r="AM307" s="32"/>
      <c r="AN307" s="32">
        <f>TABL12345[[#This Row],[ (RESV. STORGE) SER]]/10</f>
        <v>0</v>
      </c>
      <c r="AO307" s="68"/>
      <c r="AP307" s="68">
        <f>TABL12345[[#This Row],[(A/S TOT) AJD]]-TABL12345[[#This Row],[SER_ IN]]</f>
        <v>0</v>
      </c>
    </row>
    <row r="308" spans="1:42" ht="18.75" x14ac:dyDescent="0.25">
      <c r="A308" s="2">
        <v>47425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>
        <f>TABL12345[[#This Row],[خط (T/B  TOT) SAR]]+TABL12345[[#This Row],[خط (S/S  TOT) SAR2]]</f>
        <v>0</v>
      </c>
      <c r="L308" s="28"/>
      <c r="M308" s="29"/>
      <c r="N308" s="30"/>
      <c r="O308" s="39"/>
      <c r="P308" s="9">
        <f>TABL12345[[#This Row],[خط (S/S  TOT) SAR2]]-TABL12345[[#This Row],[(S/S TOT) AJD]]</f>
        <v>0</v>
      </c>
      <c r="Q308" s="9"/>
      <c r="R308" s="9">
        <f>TABL12345[[#This Row],[خط (T/B  TOT) SAR]]-TABL12345[[#This Row],[(T/B TOT) AJD]]</f>
        <v>0</v>
      </c>
      <c r="S308" s="9">
        <f>TABL12345[[#This Row],[الفرق بين بداية ونهاية خط  S/S]]+TABL12345[[#This Row],[الفرق بين بداية ونهاية خط  T/B]]</f>
        <v>0</v>
      </c>
      <c r="T308" s="9">
        <f t="shared" si="16"/>
        <v>0</v>
      </c>
      <c r="U308" s="9"/>
      <c r="V308" s="9"/>
      <c r="W308" s="9">
        <f t="shared" si="17"/>
        <v>0</v>
      </c>
      <c r="X308" s="9">
        <f t="shared" si="18"/>
        <v>0</v>
      </c>
      <c r="Y308" s="18"/>
      <c r="Z308" s="9"/>
      <c r="AA308" s="3">
        <f>TABL12345[[#This Row],[(RESV. STORGE) AJD]]/10</f>
        <v>0</v>
      </c>
      <c r="AB308" s="6">
        <f t="shared" si="19"/>
        <v>0</v>
      </c>
      <c r="AC308" s="5"/>
      <c r="AD308" s="6">
        <f>(TABL12345[[#This Row],[( S/S+T/B) AJD]]*1000)-((TABL12345[[#This Row],[(STORGE DIFF.) AJD]]*1000)+TABL12345[[#This Row],[البخر  AJD]]+(TABL12345[[#This Row],[(A/B + A/S) AJD]]*1000))</f>
        <v>0</v>
      </c>
      <c r="AE308" s="33"/>
      <c r="AF308" s="6"/>
      <c r="AG308" s="6"/>
      <c r="AH308" s="6">
        <f>TABL12345[[#This Row],[ (RESV. STORGE) BER]]/10</f>
        <v>0</v>
      </c>
      <c r="AI308" s="6"/>
      <c r="AJ308" s="33">
        <f>TABL12345[[#This Row],[(A/B TOT) AJD]]-TABL12345[[#This Row],[BER_ IN]]</f>
        <v>0</v>
      </c>
      <c r="AK308" s="6"/>
      <c r="AL308" s="6"/>
      <c r="AM308" s="32"/>
      <c r="AN308" s="32">
        <f>TABL12345[[#This Row],[ (RESV. STORGE) SER]]/10</f>
        <v>0</v>
      </c>
      <c r="AO308" s="68"/>
      <c r="AP308" s="68">
        <f>TABL12345[[#This Row],[(A/S TOT) AJD]]-TABL12345[[#This Row],[SER_ IN]]</f>
        <v>0</v>
      </c>
    </row>
    <row r="309" spans="1:42" ht="18.75" x14ac:dyDescent="0.25">
      <c r="A309" s="2">
        <v>47426</v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>
        <f>TABL12345[[#This Row],[خط (T/B  TOT) SAR]]+TABL12345[[#This Row],[خط (S/S  TOT) SAR2]]</f>
        <v>0</v>
      </c>
      <c r="L309" s="28"/>
      <c r="M309" s="29"/>
      <c r="N309" s="30"/>
      <c r="O309" s="40"/>
      <c r="P309" s="9">
        <f>TABL12345[[#This Row],[خط (S/S  TOT) SAR2]]-TABL12345[[#This Row],[(S/S TOT) AJD]]</f>
        <v>0</v>
      </c>
      <c r="Q309" s="9"/>
      <c r="R309" s="9">
        <f>TABL12345[[#This Row],[خط (T/B  TOT) SAR]]-TABL12345[[#This Row],[(T/B TOT) AJD]]</f>
        <v>0</v>
      </c>
      <c r="S309" s="9">
        <f>TABL12345[[#This Row],[الفرق بين بداية ونهاية خط  S/S]]+TABL12345[[#This Row],[الفرق بين بداية ونهاية خط  T/B]]</f>
        <v>0</v>
      </c>
      <c r="T309" s="9">
        <f t="shared" si="16"/>
        <v>0</v>
      </c>
      <c r="U309" s="9"/>
      <c r="V309" s="9"/>
      <c r="W309" s="9">
        <f t="shared" si="17"/>
        <v>0</v>
      </c>
      <c r="X309" s="9">
        <f t="shared" si="18"/>
        <v>0</v>
      </c>
      <c r="Y309" s="18"/>
      <c r="Z309" s="9"/>
      <c r="AA309" s="3">
        <f>TABL12345[[#This Row],[(RESV. STORGE) AJD]]/10</f>
        <v>0</v>
      </c>
      <c r="AB309" s="6">
        <f t="shared" si="19"/>
        <v>0</v>
      </c>
      <c r="AC309" s="5"/>
      <c r="AD309" s="6">
        <f>(TABL12345[[#This Row],[( S/S+T/B) AJD]]*1000)-((TABL12345[[#This Row],[(STORGE DIFF.) AJD]]*1000)+TABL12345[[#This Row],[البخر  AJD]]+(TABL12345[[#This Row],[(A/B + A/S) AJD]]*1000))</f>
        <v>0</v>
      </c>
      <c r="AE309" s="33"/>
      <c r="AF309" s="6"/>
      <c r="AG309" s="6"/>
      <c r="AH309" s="6">
        <f>TABL12345[[#This Row],[ (RESV. STORGE) BER]]/10</f>
        <v>0</v>
      </c>
      <c r="AI309" s="6"/>
      <c r="AJ309" s="33">
        <f>TABL12345[[#This Row],[(A/B TOT) AJD]]-TABL12345[[#This Row],[BER_ IN]]</f>
        <v>0</v>
      </c>
      <c r="AK309" s="6"/>
      <c r="AL309" s="6"/>
      <c r="AM309" s="32"/>
      <c r="AN309" s="32">
        <f>TABL12345[[#This Row],[ (RESV. STORGE) SER]]/10</f>
        <v>0</v>
      </c>
      <c r="AO309" s="68"/>
      <c r="AP309" s="68">
        <f>TABL12345[[#This Row],[(A/S TOT) AJD]]-TABL12345[[#This Row],[SER_ IN]]</f>
        <v>0</v>
      </c>
    </row>
    <row r="310" spans="1:42" ht="18.75" x14ac:dyDescent="0.25">
      <c r="A310" s="2">
        <v>47427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>
        <f>TABL12345[[#This Row],[خط (T/B  TOT) SAR]]+TABL12345[[#This Row],[خط (S/S  TOT) SAR2]]</f>
        <v>0</v>
      </c>
      <c r="L310" s="28"/>
      <c r="M310" s="29"/>
      <c r="N310" s="30"/>
      <c r="O310" s="39"/>
      <c r="P310" s="9">
        <f>TABL12345[[#This Row],[خط (S/S  TOT) SAR2]]-TABL12345[[#This Row],[(S/S TOT) AJD]]</f>
        <v>0</v>
      </c>
      <c r="Q310" s="9"/>
      <c r="R310" s="9">
        <f>TABL12345[[#This Row],[خط (T/B  TOT) SAR]]-TABL12345[[#This Row],[(T/B TOT) AJD]]</f>
        <v>0</v>
      </c>
      <c r="S310" s="9">
        <f>TABL12345[[#This Row],[الفرق بين بداية ونهاية خط  S/S]]+TABL12345[[#This Row],[الفرق بين بداية ونهاية خط  T/B]]</f>
        <v>0</v>
      </c>
      <c r="T310" s="9">
        <f t="shared" si="16"/>
        <v>0</v>
      </c>
      <c r="U310" s="9"/>
      <c r="V310" s="9"/>
      <c r="W310" s="9">
        <f t="shared" si="17"/>
        <v>0</v>
      </c>
      <c r="X310" s="9">
        <f t="shared" si="18"/>
        <v>0</v>
      </c>
      <c r="Y310" s="18"/>
      <c r="Z310" s="9"/>
      <c r="AA310" s="3">
        <f>TABL12345[[#This Row],[(RESV. STORGE) AJD]]/10</f>
        <v>0</v>
      </c>
      <c r="AB310" s="6">
        <f t="shared" si="19"/>
        <v>0</v>
      </c>
      <c r="AC310" s="5"/>
      <c r="AD310" s="6">
        <f>(TABL12345[[#This Row],[( S/S+T/B) AJD]]*1000)-((TABL12345[[#This Row],[(STORGE DIFF.) AJD]]*1000)+TABL12345[[#This Row],[البخر  AJD]]+(TABL12345[[#This Row],[(A/B + A/S) AJD]]*1000))</f>
        <v>0</v>
      </c>
      <c r="AE310" s="33"/>
      <c r="AF310" s="6"/>
      <c r="AG310" s="6"/>
      <c r="AH310" s="6">
        <f>TABL12345[[#This Row],[ (RESV. STORGE) BER]]/10</f>
        <v>0</v>
      </c>
      <c r="AI310" s="6"/>
      <c r="AJ310" s="33">
        <f>TABL12345[[#This Row],[(A/B TOT) AJD]]-TABL12345[[#This Row],[BER_ IN]]</f>
        <v>0</v>
      </c>
      <c r="AK310" s="6"/>
      <c r="AL310" s="6"/>
      <c r="AM310" s="32"/>
      <c r="AN310" s="32">
        <f>TABL12345[[#This Row],[ (RESV. STORGE) SER]]/10</f>
        <v>0</v>
      </c>
      <c r="AO310" s="68"/>
      <c r="AP310" s="68">
        <f>TABL12345[[#This Row],[(A/S TOT) AJD]]-TABL12345[[#This Row],[SER_ IN]]</f>
        <v>0</v>
      </c>
    </row>
    <row r="311" spans="1:42" ht="18.75" x14ac:dyDescent="0.25">
      <c r="A311" s="2">
        <v>47428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>
        <f>TABL12345[[#This Row],[خط (T/B  TOT) SAR]]+TABL12345[[#This Row],[خط (S/S  TOT) SAR2]]</f>
        <v>0</v>
      </c>
      <c r="L311" s="28"/>
      <c r="M311" s="29"/>
      <c r="N311" s="30"/>
      <c r="O311" s="40"/>
      <c r="P311" s="9">
        <f>TABL12345[[#This Row],[خط (S/S  TOT) SAR2]]-TABL12345[[#This Row],[(S/S TOT) AJD]]</f>
        <v>0</v>
      </c>
      <c r="Q311" s="9"/>
      <c r="R311" s="9">
        <f>TABL12345[[#This Row],[خط (T/B  TOT) SAR]]-TABL12345[[#This Row],[(T/B TOT) AJD]]</f>
        <v>0</v>
      </c>
      <c r="S311" s="9">
        <f>TABL12345[[#This Row],[الفرق بين بداية ونهاية خط  S/S]]+TABL12345[[#This Row],[الفرق بين بداية ونهاية خط  T/B]]</f>
        <v>0</v>
      </c>
      <c r="T311" s="9">
        <f t="shared" si="16"/>
        <v>0</v>
      </c>
      <c r="U311" s="9"/>
      <c r="V311" s="9"/>
      <c r="W311" s="9">
        <f t="shared" si="17"/>
        <v>0</v>
      </c>
      <c r="X311" s="9">
        <f t="shared" si="18"/>
        <v>0</v>
      </c>
      <c r="Y311" s="18"/>
      <c r="Z311" s="9"/>
      <c r="AA311" s="3">
        <f>TABL12345[[#This Row],[(RESV. STORGE) AJD]]/10</f>
        <v>0</v>
      </c>
      <c r="AB311" s="6">
        <f t="shared" si="19"/>
        <v>0</v>
      </c>
      <c r="AC311" s="5"/>
      <c r="AD311" s="6">
        <f>(TABL12345[[#This Row],[( S/S+T/B) AJD]]*1000)-((TABL12345[[#This Row],[(STORGE DIFF.) AJD]]*1000)+TABL12345[[#This Row],[البخر  AJD]]+(TABL12345[[#This Row],[(A/B + A/S) AJD]]*1000))</f>
        <v>0</v>
      </c>
      <c r="AE311" s="33"/>
      <c r="AF311" s="6"/>
      <c r="AG311" s="6"/>
      <c r="AH311" s="6">
        <f>TABL12345[[#This Row],[ (RESV. STORGE) BER]]/10</f>
        <v>0</v>
      </c>
      <c r="AI311" s="6"/>
      <c r="AJ311" s="33">
        <f>TABL12345[[#This Row],[(A/B TOT) AJD]]-TABL12345[[#This Row],[BER_ IN]]</f>
        <v>0</v>
      </c>
      <c r="AK311" s="6"/>
      <c r="AL311" s="6"/>
      <c r="AM311" s="32"/>
      <c r="AN311" s="32">
        <f>TABL12345[[#This Row],[ (RESV. STORGE) SER]]/10</f>
        <v>0</v>
      </c>
      <c r="AO311" s="68"/>
      <c r="AP311" s="68">
        <f>TABL12345[[#This Row],[(A/S TOT) AJD]]-TABL12345[[#This Row],[SER_ IN]]</f>
        <v>0</v>
      </c>
    </row>
    <row r="312" spans="1:42" ht="18.75" x14ac:dyDescent="0.25">
      <c r="A312" s="2">
        <v>47429</v>
      </c>
      <c r="B312" s="28"/>
      <c r="C312" s="28"/>
      <c r="D312" s="28"/>
      <c r="E312" s="28"/>
      <c r="F312" s="28"/>
      <c r="G312" s="28"/>
      <c r="H312" s="28"/>
      <c r="I312" s="28"/>
      <c r="J312" s="28"/>
      <c r="K312" s="28">
        <f>TABL12345[[#This Row],[خط (T/B  TOT) SAR]]+TABL12345[[#This Row],[خط (S/S  TOT) SAR2]]</f>
        <v>0</v>
      </c>
      <c r="L312" s="28"/>
      <c r="M312" s="29"/>
      <c r="N312" s="30"/>
      <c r="O312" s="39"/>
      <c r="P312" s="9">
        <f>TABL12345[[#This Row],[خط (S/S  TOT) SAR2]]-TABL12345[[#This Row],[(S/S TOT) AJD]]</f>
        <v>0</v>
      </c>
      <c r="Q312" s="9"/>
      <c r="R312" s="9">
        <f>TABL12345[[#This Row],[خط (T/B  TOT) SAR]]-TABL12345[[#This Row],[(T/B TOT) AJD]]</f>
        <v>0</v>
      </c>
      <c r="S312" s="9">
        <f>TABL12345[[#This Row],[الفرق بين بداية ونهاية خط  S/S]]+TABL12345[[#This Row],[الفرق بين بداية ونهاية خط  T/B]]</f>
        <v>0</v>
      </c>
      <c r="T312" s="9">
        <f t="shared" si="16"/>
        <v>0</v>
      </c>
      <c r="U312" s="9"/>
      <c r="V312" s="9"/>
      <c r="W312" s="9">
        <f t="shared" si="17"/>
        <v>0</v>
      </c>
      <c r="X312" s="9">
        <f t="shared" si="18"/>
        <v>0</v>
      </c>
      <c r="Y312" s="18"/>
      <c r="Z312" s="9"/>
      <c r="AA312" s="3">
        <f>TABL12345[[#This Row],[(RESV. STORGE) AJD]]/10</f>
        <v>0</v>
      </c>
      <c r="AB312" s="6">
        <f t="shared" si="19"/>
        <v>0</v>
      </c>
      <c r="AC312" s="5"/>
      <c r="AD312" s="6">
        <f>(TABL12345[[#This Row],[( S/S+T/B) AJD]]*1000)-((TABL12345[[#This Row],[(STORGE DIFF.) AJD]]*1000)+TABL12345[[#This Row],[البخر  AJD]]+(TABL12345[[#This Row],[(A/B + A/S) AJD]]*1000))</f>
        <v>0</v>
      </c>
      <c r="AE312" s="33"/>
      <c r="AF312" s="6"/>
      <c r="AG312" s="6"/>
      <c r="AH312" s="6">
        <f>TABL12345[[#This Row],[ (RESV. STORGE) BER]]/10</f>
        <v>0</v>
      </c>
      <c r="AI312" s="6"/>
      <c r="AJ312" s="33">
        <f>TABL12345[[#This Row],[(A/B TOT) AJD]]-TABL12345[[#This Row],[BER_ IN]]</f>
        <v>0</v>
      </c>
      <c r="AK312" s="6"/>
      <c r="AL312" s="6"/>
      <c r="AM312" s="32"/>
      <c r="AN312" s="32">
        <f>TABL12345[[#This Row],[ (RESV. STORGE) SER]]/10</f>
        <v>0</v>
      </c>
      <c r="AO312" s="68"/>
      <c r="AP312" s="68">
        <f>TABL12345[[#This Row],[(A/S TOT) AJD]]-TABL12345[[#This Row],[SER_ IN]]</f>
        <v>0</v>
      </c>
    </row>
    <row r="313" spans="1:42" ht="18.75" x14ac:dyDescent="0.25">
      <c r="A313" s="2">
        <v>47430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>
        <f>TABL12345[[#This Row],[خط (T/B  TOT) SAR]]+TABL12345[[#This Row],[خط (S/S  TOT) SAR2]]</f>
        <v>0</v>
      </c>
      <c r="L313" s="28"/>
      <c r="M313" s="29"/>
      <c r="N313" s="30"/>
      <c r="O313" s="40"/>
      <c r="P313" s="9">
        <f>TABL12345[[#This Row],[خط (S/S  TOT) SAR2]]-TABL12345[[#This Row],[(S/S TOT) AJD]]</f>
        <v>0</v>
      </c>
      <c r="Q313" s="9"/>
      <c r="R313" s="9">
        <f>TABL12345[[#This Row],[خط (T/B  TOT) SAR]]-TABL12345[[#This Row],[(T/B TOT) AJD]]</f>
        <v>0</v>
      </c>
      <c r="S313" s="9">
        <f>TABL12345[[#This Row],[الفرق بين بداية ونهاية خط  S/S]]+TABL12345[[#This Row],[الفرق بين بداية ونهاية خط  T/B]]</f>
        <v>0</v>
      </c>
      <c r="T313" s="9">
        <f t="shared" si="16"/>
        <v>0</v>
      </c>
      <c r="U313" s="9"/>
      <c r="V313" s="9"/>
      <c r="W313" s="9">
        <f t="shared" si="17"/>
        <v>0</v>
      </c>
      <c r="X313" s="9">
        <f t="shared" si="18"/>
        <v>0</v>
      </c>
      <c r="Y313" s="18"/>
      <c r="Z313" s="9"/>
      <c r="AA313" s="3">
        <f>TABL12345[[#This Row],[(RESV. STORGE) AJD]]/10</f>
        <v>0</v>
      </c>
      <c r="AB313" s="6">
        <f t="shared" si="19"/>
        <v>0</v>
      </c>
      <c r="AC313" s="5"/>
      <c r="AD313" s="6">
        <f>(TABL12345[[#This Row],[( S/S+T/B) AJD]]*1000)-((TABL12345[[#This Row],[(STORGE DIFF.) AJD]]*1000)+TABL12345[[#This Row],[البخر  AJD]]+(TABL12345[[#This Row],[(A/B + A/S) AJD]]*1000))</f>
        <v>0</v>
      </c>
      <c r="AE313" s="33"/>
      <c r="AF313" s="6"/>
      <c r="AG313" s="6"/>
      <c r="AH313" s="6">
        <f>TABL12345[[#This Row],[ (RESV. STORGE) BER]]/10</f>
        <v>0</v>
      </c>
      <c r="AI313" s="6"/>
      <c r="AJ313" s="33">
        <f>TABL12345[[#This Row],[(A/B TOT) AJD]]-TABL12345[[#This Row],[BER_ IN]]</f>
        <v>0</v>
      </c>
      <c r="AK313" s="6"/>
      <c r="AL313" s="6"/>
      <c r="AM313" s="32"/>
      <c r="AN313" s="32">
        <f>TABL12345[[#This Row],[ (RESV. STORGE) SER]]/10</f>
        <v>0</v>
      </c>
      <c r="AO313" s="68"/>
      <c r="AP313" s="68">
        <f>TABL12345[[#This Row],[(A/S TOT) AJD]]-TABL12345[[#This Row],[SER_ IN]]</f>
        <v>0</v>
      </c>
    </row>
    <row r="314" spans="1:42" ht="18.75" x14ac:dyDescent="0.25">
      <c r="A314" s="2">
        <v>47431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>
        <f>TABL12345[[#This Row],[خط (T/B  TOT) SAR]]+TABL12345[[#This Row],[خط (S/S  TOT) SAR2]]</f>
        <v>0</v>
      </c>
      <c r="L314" s="28"/>
      <c r="M314" s="29"/>
      <c r="N314" s="30"/>
      <c r="O314" s="39"/>
      <c r="P314" s="9">
        <f>TABL12345[[#This Row],[خط (S/S  TOT) SAR2]]-TABL12345[[#This Row],[(S/S TOT) AJD]]</f>
        <v>0</v>
      </c>
      <c r="Q314" s="9"/>
      <c r="R314" s="9">
        <f>TABL12345[[#This Row],[خط (T/B  TOT) SAR]]-TABL12345[[#This Row],[(T/B TOT) AJD]]</f>
        <v>0</v>
      </c>
      <c r="S314" s="9">
        <f>TABL12345[[#This Row],[الفرق بين بداية ونهاية خط  S/S]]+TABL12345[[#This Row],[الفرق بين بداية ونهاية خط  T/B]]</f>
        <v>0</v>
      </c>
      <c r="T314" s="9">
        <f t="shared" si="16"/>
        <v>0</v>
      </c>
      <c r="U314" s="9"/>
      <c r="V314" s="9"/>
      <c r="W314" s="9">
        <f t="shared" si="17"/>
        <v>0</v>
      </c>
      <c r="X314" s="9">
        <f t="shared" si="18"/>
        <v>0</v>
      </c>
      <c r="Y314" s="18"/>
      <c r="Z314" s="9"/>
      <c r="AA314" s="3">
        <f>TABL12345[[#This Row],[(RESV. STORGE) AJD]]/10</f>
        <v>0</v>
      </c>
      <c r="AB314" s="6">
        <f t="shared" si="19"/>
        <v>0</v>
      </c>
      <c r="AC314" s="5"/>
      <c r="AD314" s="6">
        <f>(TABL12345[[#This Row],[( S/S+T/B) AJD]]*1000)-((TABL12345[[#This Row],[(STORGE DIFF.) AJD]]*1000)+TABL12345[[#This Row],[البخر  AJD]]+(TABL12345[[#This Row],[(A/B + A/S) AJD]]*1000))</f>
        <v>0</v>
      </c>
      <c r="AE314" s="33"/>
      <c r="AF314" s="6"/>
      <c r="AG314" s="6"/>
      <c r="AH314" s="6">
        <f>TABL12345[[#This Row],[ (RESV. STORGE) BER]]/10</f>
        <v>0</v>
      </c>
      <c r="AI314" s="6"/>
      <c r="AJ314" s="33">
        <f>TABL12345[[#This Row],[(A/B TOT) AJD]]-TABL12345[[#This Row],[BER_ IN]]</f>
        <v>0</v>
      </c>
      <c r="AK314" s="6"/>
      <c r="AL314" s="6"/>
      <c r="AM314" s="32"/>
      <c r="AN314" s="32">
        <f>TABL12345[[#This Row],[ (RESV. STORGE) SER]]/10</f>
        <v>0</v>
      </c>
      <c r="AO314" s="68"/>
      <c r="AP314" s="68">
        <f>TABL12345[[#This Row],[(A/S TOT) AJD]]-TABL12345[[#This Row],[SER_ IN]]</f>
        <v>0</v>
      </c>
    </row>
    <row r="315" spans="1:42" ht="18.75" x14ac:dyDescent="0.25">
      <c r="A315" s="2">
        <v>47432</v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>
        <f>TABL12345[[#This Row],[خط (T/B  TOT) SAR]]+TABL12345[[#This Row],[خط (S/S  TOT) SAR2]]</f>
        <v>0</v>
      </c>
      <c r="L315" s="28"/>
      <c r="M315" s="29"/>
      <c r="N315" s="30"/>
      <c r="O315" s="40"/>
      <c r="P315" s="9">
        <f>TABL12345[[#This Row],[خط (S/S  TOT) SAR2]]-TABL12345[[#This Row],[(S/S TOT) AJD]]</f>
        <v>0</v>
      </c>
      <c r="Q315" s="9"/>
      <c r="R315" s="9">
        <f>TABL12345[[#This Row],[خط (T/B  TOT) SAR]]-TABL12345[[#This Row],[(T/B TOT) AJD]]</f>
        <v>0</v>
      </c>
      <c r="S315" s="9">
        <f>TABL12345[[#This Row],[الفرق بين بداية ونهاية خط  S/S]]+TABL12345[[#This Row],[الفرق بين بداية ونهاية خط  T/B]]</f>
        <v>0</v>
      </c>
      <c r="T315" s="9">
        <f t="shared" si="16"/>
        <v>0</v>
      </c>
      <c r="U315" s="9"/>
      <c r="V315" s="9"/>
      <c r="W315" s="9">
        <f t="shared" si="17"/>
        <v>0</v>
      </c>
      <c r="X315" s="9">
        <f t="shared" si="18"/>
        <v>0</v>
      </c>
      <c r="Y315" s="18"/>
      <c r="Z315" s="9"/>
      <c r="AA315" s="3">
        <f>TABL12345[[#This Row],[(RESV. STORGE) AJD]]/10</f>
        <v>0</v>
      </c>
      <c r="AB315" s="6">
        <f t="shared" si="19"/>
        <v>0</v>
      </c>
      <c r="AC315" s="5"/>
      <c r="AD315" s="6">
        <f>(TABL12345[[#This Row],[( S/S+T/B) AJD]]*1000)-((TABL12345[[#This Row],[(STORGE DIFF.) AJD]]*1000)+TABL12345[[#This Row],[البخر  AJD]]+(TABL12345[[#This Row],[(A/B + A/S) AJD]]*1000))</f>
        <v>0</v>
      </c>
      <c r="AE315" s="33"/>
      <c r="AF315" s="6"/>
      <c r="AG315" s="6"/>
      <c r="AH315" s="6">
        <f>TABL12345[[#This Row],[ (RESV. STORGE) BER]]/10</f>
        <v>0</v>
      </c>
      <c r="AI315" s="6"/>
      <c r="AJ315" s="33">
        <f>TABL12345[[#This Row],[(A/B TOT) AJD]]-TABL12345[[#This Row],[BER_ IN]]</f>
        <v>0</v>
      </c>
      <c r="AK315" s="6"/>
      <c r="AL315" s="6"/>
      <c r="AM315" s="32"/>
      <c r="AN315" s="32">
        <f>TABL12345[[#This Row],[ (RESV. STORGE) SER]]/10</f>
        <v>0</v>
      </c>
      <c r="AO315" s="68"/>
      <c r="AP315" s="68">
        <f>TABL12345[[#This Row],[(A/S TOT) AJD]]-TABL12345[[#This Row],[SER_ IN]]</f>
        <v>0</v>
      </c>
    </row>
    <row r="316" spans="1:42" ht="18.75" x14ac:dyDescent="0.25">
      <c r="A316" s="2">
        <v>47433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>
        <f>TABL12345[[#This Row],[خط (T/B  TOT) SAR]]+TABL12345[[#This Row],[خط (S/S  TOT) SAR2]]</f>
        <v>0</v>
      </c>
      <c r="L316" s="28"/>
      <c r="M316" s="29"/>
      <c r="N316" s="30"/>
      <c r="O316" s="39"/>
      <c r="P316" s="9">
        <f>TABL12345[[#This Row],[خط (S/S  TOT) SAR2]]-TABL12345[[#This Row],[(S/S TOT) AJD]]</f>
        <v>0</v>
      </c>
      <c r="Q316" s="9"/>
      <c r="R316" s="9">
        <f>TABL12345[[#This Row],[خط (T/B  TOT) SAR]]-TABL12345[[#This Row],[(T/B TOT) AJD]]</f>
        <v>0</v>
      </c>
      <c r="S316" s="9">
        <f>TABL12345[[#This Row],[الفرق بين بداية ونهاية خط  S/S]]+TABL12345[[#This Row],[الفرق بين بداية ونهاية خط  T/B]]</f>
        <v>0</v>
      </c>
      <c r="T316" s="9">
        <f t="shared" si="16"/>
        <v>0</v>
      </c>
      <c r="U316" s="9"/>
      <c r="V316" s="9"/>
      <c r="W316" s="9">
        <f t="shared" si="17"/>
        <v>0</v>
      </c>
      <c r="X316" s="9">
        <f t="shared" si="18"/>
        <v>0</v>
      </c>
      <c r="Y316" s="18"/>
      <c r="Z316" s="9"/>
      <c r="AA316" s="3">
        <f>TABL12345[[#This Row],[(RESV. STORGE) AJD]]/10</f>
        <v>0</v>
      </c>
      <c r="AB316" s="6">
        <f t="shared" si="19"/>
        <v>0</v>
      </c>
      <c r="AC316" s="5"/>
      <c r="AD316" s="6">
        <f>(TABL12345[[#This Row],[( S/S+T/B) AJD]]*1000)-((TABL12345[[#This Row],[(STORGE DIFF.) AJD]]*1000)+TABL12345[[#This Row],[البخر  AJD]]+(TABL12345[[#This Row],[(A/B + A/S) AJD]]*1000))</f>
        <v>0</v>
      </c>
      <c r="AE316" s="33"/>
      <c r="AF316" s="6"/>
      <c r="AG316" s="6"/>
      <c r="AH316" s="6">
        <f>TABL12345[[#This Row],[ (RESV. STORGE) BER]]/10</f>
        <v>0</v>
      </c>
      <c r="AI316" s="6"/>
      <c r="AJ316" s="33">
        <f>TABL12345[[#This Row],[(A/B TOT) AJD]]-TABL12345[[#This Row],[BER_ IN]]</f>
        <v>0</v>
      </c>
      <c r="AK316" s="6"/>
      <c r="AL316" s="6"/>
      <c r="AM316" s="32"/>
      <c r="AN316" s="32">
        <f>TABL12345[[#This Row],[ (RESV. STORGE) SER]]/10</f>
        <v>0</v>
      </c>
      <c r="AO316" s="68"/>
      <c r="AP316" s="68">
        <f>TABL12345[[#This Row],[(A/S TOT) AJD]]-TABL12345[[#This Row],[SER_ IN]]</f>
        <v>0</v>
      </c>
    </row>
    <row r="317" spans="1:42" ht="18.75" x14ac:dyDescent="0.25">
      <c r="A317" s="2">
        <v>47434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>
        <f>TABL12345[[#This Row],[خط (T/B  TOT) SAR]]+TABL12345[[#This Row],[خط (S/S  TOT) SAR2]]</f>
        <v>0</v>
      </c>
      <c r="L317" s="28"/>
      <c r="M317" s="29"/>
      <c r="N317" s="30"/>
      <c r="O317" s="40"/>
      <c r="P317" s="9">
        <f>TABL12345[[#This Row],[خط (S/S  TOT) SAR2]]-TABL12345[[#This Row],[(S/S TOT) AJD]]</f>
        <v>0</v>
      </c>
      <c r="Q317" s="9"/>
      <c r="R317" s="9">
        <f>TABL12345[[#This Row],[خط (T/B  TOT) SAR]]-TABL12345[[#This Row],[(T/B TOT) AJD]]</f>
        <v>0</v>
      </c>
      <c r="S317" s="9">
        <f>TABL12345[[#This Row],[الفرق بين بداية ونهاية خط  S/S]]+TABL12345[[#This Row],[الفرق بين بداية ونهاية خط  T/B]]</f>
        <v>0</v>
      </c>
      <c r="T317" s="9">
        <f t="shared" si="16"/>
        <v>0</v>
      </c>
      <c r="U317" s="9"/>
      <c r="V317" s="9"/>
      <c r="W317" s="9">
        <f t="shared" si="17"/>
        <v>0</v>
      </c>
      <c r="X317" s="9">
        <f t="shared" si="18"/>
        <v>0</v>
      </c>
      <c r="Y317" s="18"/>
      <c r="Z317" s="9"/>
      <c r="AA317" s="3">
        <f>TABL12345[[#This Row],[(RESV. STORGE) AJD]]/10</f>
        <v>0</v>
      </c>
      <c r="AB317" s="6">
        <f t="shared" si="19"/>
        <v>0</v>
      </c>
      <c r="AC317" s="5"/>
      <c r="AD317" s="6">
        <f>(TABL12345[[#This Row],[( S/S+T/B) AJD]]*1000)-((TABL12345[[#This Row],[(STORGE DIFF.) AJD]]*1000)+TABL12345[[#This Row],[البخر  AJD]]+(TABL12345[[#This Row],[(A/B + A/S) AJD]]*1000))</f>
        <v>0</v>
      </c>
      <c r="AE317" s="33"/>
      <c r="AF317" s="6"/>
      <c r="AG317" s="6"/>
      <c r="AH317" s="6">
        <f>TABL12345[[#This Row],[ (RESV. STORGE) BER]]/10</f>
        <v>0</v>
      </c>
      <c r="AI317" s="6"/>
      <c r="AJ317" s="33">
        <f>TABL12345[[#This Row],[(A/B TOT) AJD]]-TABL12345[[#This Row],[BER_ IN]]</f>
        <v>0</v>
      </c>
      <c r="AK317" s="6"/>
      <c r="AL317" s="6"/>
      <c r="AM317" s="32"/>
      <c r="AN317" s="32">
        <f>TABL12345[[#This Row],[ (RESV. STORGE) SER]]/10</f>
        <v>0</v>
      </c>
      <c r="AO317" s="68"/>
      <c r="AP317" s="68">
        <f>TABL12345[[#This Row],[(A/S TOT) AJD]]-TABL12345[[#This Row],[SER_ IN]]</f>
        <v>0</v>
      </c>
    </row>
    <row r="318" spans="1:42" ht="18.75" x14ac:dyDescent="0.25">
      <c r="A318" s="2">
        <v>47435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>
        <f>TABL12345[[#This Row],[خط (T/B  TOT) SAR]]+TABL12345[[#This Row],[خط (S/S  TOT) SAR2]]</f>
        <v>0</v>
      </c>
      <c r="L318" s="28"/>
      <c r="M318" s="29"/>
      <c r="N318" s="30"/>
      <c r="O318" s="39"/>
      <c r="P318" s="9">
        <f>TABL12345[[#This Row],[خط (S/S  TOT) SAR2]]-TABL12345[[#This Row],[(S/S TOT) AJD]]</f>
        <v>0</v>
      </c>
      <c r="Q318" s="9"/>
      <c r="R318" s="9">
        <f>TABL12345[[#This Row],[خط (T/B  TOT) SAR]]-TABL12345[[#This Row],[(T/B TOT) AJD]]</f>
        <v>0</v>
      </c>
      <c r="S318" s="9">
        <f>TABL12345[[#This Row],[الفرق بين بداية ونهاية خط  S/S]]+TABL12345[[#This Row],[الفرق بين بداية ونهاية خط  T/B]]</f>
        <v>0</v>
      </c>
      <c r="T318" s="9">
        <f t="shared" si="16"/>
        <v>0</v>
      </c>
      <c r="U318" s="9"/>
      <c r="V318" s="9"/>
      <c r="W318" s="9">
        <f t="shared" si="17"/>
        <v>0</v>
      </c>
      <c r="X318" s="9">
        <f t="shared" si="18"/>
        <v>0</v>
      </c>
      <c r="Y318" s="18"/>
      <c r="Z318" s="9"/>
      <c r="AA318" s="3">
        <f>TABL12345[[#This Row],[(RESV. STORGE) AJD]]/10</f>
        <v>0</v>
      </c>
      <c r="AB318" s="6">
        <f t="shared" si="19"/>
        <v>0</v>
      </c>
      <c r="AC318" s="5"/>
      <c r="AD318" s="6">
        <f>(TABL12345[[#This Row],[( S/S+T/B) AJD]]*1000)-((TABL12345[[#This Row],[(STORGE DIFF.) AJD]]*1000)+TABL12345[[#This Row],[البخر  AJD]]+(TABL12345[[#This Row],[(A/B + A/S) AJD]]*1000))</f>
        <v>0</v>
      </c>
      <c r="AE318" s="33"/>
      <c r="AF318" s="6"/>
      <c r="AG318" s="6"/>
      <c r="AH318" s="6">
        <f>TABL12345[[#This Row],[ (RESV. STORGE) BER]]/10</f>
        <v>0</v>
      </c>
      <c r="AI318" s="6"/>
      <c r="AJ318" s="33">
        <f>TABL12345[[#This Row],[(A/B TOT) AJD]]-TABL12345[[#This Row],[BER_ IN]]</f>
        <v>0</v>
      </c>
      <c r="AK318" s="6"/>
      <c r="AL318" s="6"/>
      <c r="AM318" s="32"/>
      <c r="AN318" s="32">
        <f>TABL12345[[#This Row],[ (RESV. STORGE) SER]]/10</f>
        <v>0</v>
      </c>
      <c r="AO318" s="68"/>
      <c r="AP318" s="68">
        <f>TABL12345[[#This Row],[(A/S TOT) AJD]]-TABL12345[[#This Row],[SER_ IN]]</f>
        <v>0</v>
      </c>
    </row>
    <row r="319" spans="1:42" ht="18.75" x14ac:dyDescent="0.25">
      <c r="A319" s="2">
        <v>47436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>
        <f>TABL12345[[#This Row],[خط (T/B  TOT) SAR]]+TABL12345[[#This Row],[خط (S/S  TOT) SAR2]]</f>
        <v>0</v>
      </c>
      <c r="L319" s="28"/>
      <c r="M319" s="29"/>
      <c r="N319" s="30"/>
      <c r="O319" s="40"/>
      <c r="P319" s="9">
        <f>TABL12345[[#This Row],[خط (S/S  TOT) SAR2]]-TABL12345[[#This Row],[(S/S TOT) AJD]]</f>
        <v>0</v>
      </c>
      <c r="Q319" s="9"/>
      <c r="R319" s="9">
        <f>TABL12345[[#This Row],[خط (T/B  TOT) SAR]]-TABL12345[[#This Row],[(T/B TOT) AJD]]</f>
        <v>0</v>
      </c>
      <c r="S319" s="9">
        <f>TABL12345[[#This Row],[الفرق بين بداية ونهاية خط  S/S]]+TABL12345[[#This Row],[الفرق بين بداية ونهاية خط  T/B]]</f>
        <v>0</v>
      </c>
      <c r="T319" s="9">
        <f t="shared" si="16"/>
        <v>0</v>
      </c>
      <c r="U319" s="9"/>
      <c r="V319" s="9"/>
      <c r="W319" s="9">
        <f t="shared" si="17"/>
        <v>0</v>
      </c>
      <c r="X319" s="9">
        <f t="shared" si="18"/>
        <v>0</v>
      </c>
      <c r="Y319" s="18"/>
      <c r="Z319" s="9"/>
      <c r="AA319" s="3">
        <f>TABL12345[[#This Row],[(RESV. STORGE) AJD]]/10</f>
        <v>0</v>
      </c>
      <c r="AB319" s="6">
        <f t="shared" si="19"/>
        <v>0</v>
      </c>
      <c r="AC319" s="5"/>
      <c r="AD319" s="6">
        <f>(TABL12345[[#This Row],[( S/S+T/B) AJD]]*1000)-((TABL12345[[#This Row],[(STORGE DIFF.) AJD]]*1000)+TABL12345[[#This Row],[البخر  AJD]]+(TABL12345[[#This Row],[(A/B + A/S) AJD]]*1000))</f>
        <v>0</v>
      </c>
      <c r="AE319" s="33"/>
      <c r="AF319" s="6"/>
      <c r="AG319" s="6"/>
      <c r="AH319" s="6">
        <f>TABL12345[[#This Row],[ (RESV. STORGE) BER]]/10</f>
        <v>0</v>
      </c>
      <c r="AI319" s="6"/>
      <c r="AJ319" s="33">
        <f>TABL12345[[#This Row],[(A/B TOT) AJD]]-TABL12345[[#This Row],[BER_ IN]]</f>
        <v>0</v>
      </c>
      <c r="AK319" s="6"/>
      <c r="AL319" s="6"/>
      <c r="AM319" s="32"/>
      <c r="AN319" s="32">
        <f>TABL12345[[#This Row],[ (RESV. STORGE) SER]]/10</f>
        <v>0</v>
      </c>
      <c r="AO319" s="68"/>
      <c r="AP319" s="68">
        <f>TABL12345[[#This Row],[(A/S TOT) AJD]]-TABL12345[[#This Row],[SER_ IN]]</f>
        <v>0</v>
      </c>
    </row>
    <row r="320" spans="1:42" ht="18.75" x14ac:dyDescent="0.25">
      <c r="A320" s="2">
        <v>47437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>
        <f>TABL12345[[#This Row],[خط (T/B  TOT) SAR]]+TABL12345[[#This Row],[خط (S/S  TOT) SAR2]]</f>
        <v>0</v>
      </c>
      <c r="L320" s="28"/>
      <c r="M320" s="29"/>
      <c r="N320" s="30"/>
      <c r="O320" s="39"/>
      <c r="P320" s="9">
        <f>TABL12345[[#This Row],[خط (S/S  TOT) SAR2]]-TABL12345[[#This Row],[(S/S TOT) AJD]]</f>
        <v>0</v>
      </c>
      <c r="Q320" s="9"/>
      <c r="R320" s="9">
        <f>TABL12345[[#This Row],[خط (T/B  TOT) SAR]]-TABL12345[[#This Row],[(T/B TOT) AJD]]</f>
        <v>0</v>
      </c>
      <c r="S320" s="9">
        <f>TABL12345[[#This Row],[الفرق بين بداية ونهاية خط  S/S]]+TABL12345[[#This Row],[الفرق بين بداية ونهاية خط  T/B]]</f>
        <v>0</v>
      </c>
      <c r="T320" s="9">
        <f t="shared" si="16"/>
        <v>0</v>
      </c>
      <c r="U320" s="9"/>
      <c r="V320" s="9"/>
      <c r="W320" s="9">
        <f t="shared" si="17"/>
        <v>0</v>
      </c>
      <c r="X320" s="9">
        <f t="shared" si="18"/>
        <v>0</v>
      </c>
      <c r="Y320" s="18"/>
      <c r="Z320" s="9"/>
      <c r="AA320" s="3">
        <f>TABL12345[[#This Row],[(RESV. STORGE) AJD]]/10</f>
        <v>0</v>
      </c>
      <c r="AB320" s="6">
        <f t="shared" si="19"/>
        <v>0</v>
      </c>
      <c r="AC320" s="5"/>
      <c r="AD320" s="6">
        <f>(TABL12345[[#This Row],[( S/S+T/B) AJD]]*1000)-((TABL12345[[#This Row],[(STORGE DIFF.) AJD]]*1000)+TABL12345[[#This Row],[البخر  AJD]]+(TABL12345[[#This Row],[(A/B + A/S) AJD]]*1000))</f>
        <v>0</v>
      </c>
      <c r="AE320" s="33"/>
      <c r="AF320" s="6"/>
      <c r="AG320" s="6"/>
      <c r="AH320" s="6">
        <f>TABL12345[[#This Row],[ (RESV. STORGE) BER]]/10</f>
        <v>0</v>
      </c>
      <c r="AI320" s="6"/>
      <c r="AJ320" s="33">
        <f>TABL12345[[#This Row],[(A/B TOT) AJD]]-TABL12345[[#This Row],[BER_ IN]]</f>
        <v>0</v>
      </c>
      <c r="AK320" s="6"/>
      <c r="AL320" s="6"/>
      <c r="AM320" s="32"/>
      <c r="AN320" s="32">
        <f>TABL12345[[#This Row],[ (RESV. STORGE) SER]]/10</f>
        <v>0</v>
      </c>
      <c r="AO320" s="68"/>
      <c r="AP320" s="68">
        <f>TABL12345[[#This Row],[(A/S TOT) AJD]]-TABL12345[[#This Row],[SER_ IN]]</f>
        <v>0</v>
      </c>
    </row>
    <row r="321" spans="1:42" ht="18.75" x14ac:dyDescent="0.25">
      <c r="A321" s="2">
        <v>47438</v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>
        <f>TABL12345[[#This Row],[خط (T/B  TOT) SAR]]+TABL12345[[#This Row],[خط (S/S  TOT) SAR2]]</f>
        <v>0</v>
      </c>
      <c r="L321" s="28"/>
      <c r="M321" s="29"/>
      <c r="N321" s="30"/>
      <c r="O321" s="40"/>
      <c r="P321" s="9">
        <f>TABL12345[[#This Row],[خط (S/S  TOT) SAR2]]-TABL12345[[#This Row],[(S/S TOT) AJD]]</f>
        <v>0</v>
      </c>
      <c r="Q321" s="9"/>
      <c r="R321" s="9">
        <f>TABL12345[[#This Row],[خط (T/B  TOT) SAR]]-TABL12345[[#This Row],[(T/B TOT) AJD]]</f>
        <v>0</v>
      </c>
      <c r="S321" s="9">
        <f>TABL12345[[#This Row],[الفرق بين بداية ونهاية خط  S/S]]+TABL12345[[#This Row],[الفرق بين بداية ونهاية خط  T/B]]</f>
        <v>0</v>
      </c>
      <c r="T321" s="9">
        <f t="shared" si="16"/>
        <v>0</v>
      </c>
      <c r="U321" s="9"/>
      <c r="V321" s="9"/>
      <c r="W321" s="9">
        <f t="shared" si="17"/>
        <v>0</v>
      </c>
      <c r="X321" s="9">
        <f t="shared" si="18"/>
        <v>0</v>
      </c>
      <c r="Y321" s="18"/>
      <c r="Z321" s="9"/>
      <c r="AA321" s="3">
        <f>TABL12345[[#This Row],[(RESV. STORGE) AJD]]/10</f>
        <v>0</v>
      </c>
      <c r="AB321" s="6">
        <f t="shared" si="19"/>
        <v>0</v>
      </c>
      <c r="AC321" s="5"/>
      <c r="AD321" s="6">
        <f>(TABL12345[[#This Row],[( S/S+T/B) AJD]]*1000)-((TABL12345[[#This Row],[(STORGE DIFF.) AJD]]*1000)+TABL12345[[#This Row],[البخر  AJD]]+(TABL12345[[#This Row],[(A/B + A/S) AJD]]*1000))</f>
        <v>0</v>
      </c>
      <c r="AE321" s="33"/>
      <c r="AF321" s="6"/>
      <c r="AG321" s="6"/>
      <c r="AH321" s="6">
        <f>TABL12345[[#This Row],[ (RESV. STORGE) BER]]/10</f>
        <v>0</v>
      </c>
      <c r="AI321" s="6"/>
      <c r="AJ321" s="33">
        <f>TABL12345[[#This Row],[(A/B TOT) AJD]]-TABL12345[[#This Row],[BER_ IN]]</f>
        <v>0</v>
      </c>
      <c r="AK321" s="6"/>
      <c r="AL321" s="6"/>
      <c r="AM321" s="32"/>
      <c r="AN321" s="32">
        <f>TABL12345[[#This Row],[ (RESV. STORGE) SER]]/10</f>
        <v>0</v>
      </c>
      <c r="AO321" s="68"/>
      <c r="AP321" s="68">
        <f>TABL12345[[#This Row],[(A/S TOT) AJD]]-TABL12345[[#This Row],[SER_ IN]]</f>
        <v>0</v>
      </c>
    </row>
    <row r="322" spans="1:42" ht="18.75" x14ac:dyDescent="0.25">
      <c r="A322" s="2">
        <v>47439</v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>
        <f>TABL12345[[#This Row],[خط (T/B  TOT) SAR]]+TABL12345[[#This Row],[خط (S/S  TOT) SAR2]]</f>
        <v>0</v>
      </c>
      <c r="L322" s="28"/>
      <c r="M322" s="29"/>
      <c r="N322" s="30"/>
      <c r="O322" s="39"/>
      <c r="P322" s="9">
        <f>TABL12345[[#This Row],[خط (S/S  TOT) SAR2]]-TABL12345[[#This Row],[(S/S TOT) AJD]]</f>
        <v>0</v>
      </c>
      <c r="Q322" s="9"/>
      <c r="R322" s="9">
        <f>TABL12345[[#This Row],[خط (T/B  TOT) SAR]]-TABL12345[[#This Row],[(T/B TOT) AJD]]</f>
        <v>0</v>
      </c>
      <c r="S322" s="9">
        <f>TABL12345[[#This Row],[الفرق بين بداية ونهاية خط  S/S]]+TABL12345[[#This Row],[الفرق بين بداية ونهاية خط  T/B]]</f>
        <v>0</v>
      </c>
      <c r="T322" s="9">
        <f t="shared" ref="T322:T366" si="20">O322+Q322</f>
        <v>0</v>
      </c>
      <c r="U322" s="9"/>
      <c r="V322" s="9"/>
      <c r="W322" s="9">
        <f t="shared" ref="W322:W366" si="21">U322+V322</f>
        <v>0</v>
      </c>
      <c r="X322" s="9">
        <f t="shared" ref="X322:X366" si="22">T322-W322</f>
        <v>0</v>
      </c>
      <c r="Y322" s="18"/>
      <c r="Z322" s="9"/>
      <c r="AA322" s="3">
        <f>TABL12345[[#This Row],[(RESV. STORGE) AJD]]/10</f>
        <v>0</v>
      </c>
      <c r="AB322" s="6">
        <f t="shared" si="19"/>
        <v>0</v>
      </c>
      <c r="AC322" s="5"/>
      <c r="AD322" s="6">
        <f>(TABL12345[[#This Row],[( S/S+T/B) AJD]]*1000)-((TABL12345[[#This Row],[(STORGE DIFF.) AJD]]*1000)+TABL12345[[#This Row],[البخر  AJD]]+(TABL12345[[#This Row],[(A/B + A/S) AJD]]*1000))</f>
        <v>0</v>
      </c>
      <c r="AE322" s="33"/>
      <c r="AF322" s="6"/>
      <c r="AG322" s="6"/>
      <c r="AH322" s="6">
        <f>TABL12345[[#This Row],[ (RESV. STORGE) BER]]/10</f>
        <v>0</v>
      </c>
      <c r="AI322" s="6"/>
      <c r="AJ322" s="33">
        <f>TABL12345[[#This Row],[(A/B TOT) AJD]]-TABL12345[[#This Row],[BER_ IN]]</f>
        <v>0</v>
      </c>
      <c r="AK322" s="6"/>
      <c r="AL322" s="6"/>
      <c r="AM322" s="32"/>
      <c r="AN322" s="32">
        <f>TABL12345[[#This Row],[ (RESV. STORGE) SER]]/10</f>
        <v>0</v>
      </c>
      <c r="AO322" s="68"/>
      <c r="AP322" s="68">
        <f>TABL12345[[#This Row],[(A/S TOT) AJD]]-TABL12345[[#This Row],[SER_ IN]]</f>
        <v>0</v>
      </c>
    </row>
    <row r="323" spans="1:42" ht="18.75" x14ac:dyDescent="0.25">
      <c r="A323" s="2">
        <v>47440</v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>
        <f>TABL12345[[#This Row],[خط (T/B  TOT) SAR]]+TABL12345[[#This Row],[خط (S/S  TOT) SAR2]]</f>
        <v>0</v>
      </c>
      <c r="L323" s="28"/>
      <c r="M323" s="29"/>
      <c r="N323" s="30"/>
      <c r="O323" s="40"/>
      <c r="P323" s="9">
        <f>TABL12345[[#This Row],[خط (S/S  TOT) SAR2]]-TABL12345[[#This Row],[(S/S TOT) AJD]]</f>
        <v>0</v>
      </c>
      <c r="Q323" s="9"/>
      <c r="R323" s="9">
        <f>TABL12345[[#This Row],[خط (T/B  TOT) SAR]]-TABL12345[[#This Row],[(T/B TOT) AJD]]</f>
        <v>0</v>
      </c>
      <c r="S323" s="9">
        <f>TABL12345[[#This Row],[الفرق بين بداية ونهاية خط  S/S]]+TABL12345[[#This Row],[الفرق بين بداية ونهاية خط  T/B]]</f>
        <v>0</v>
      </c>
      <c r="T323" s="9">
        <f t="shared" si="20"/>
        <v>0</v>
      </c>
      <c r="U323" s="9"/>
      <c r="V323" s="9"/>
      <c r="W323" s="9">
        <f t="shared" si="21"/>
        <v>0</v>
      </c>
      <c r="X323" s="9">
        <f t="shared" si="22"/>
        <v>0</v>
      </c>
      <c r="Y323" s="18"/>
      <c r="Z323" s="9"/>
      <c r="AA323" s="3">
        <f>TABL12345[[#This Row],[(RESV. STORGE) AJD]]/10</f>
        <v>0</v>
      </c>
      <c r="AB323" s="6">
        <f t="shared" si="19"/>
        <v>0</v>
      </c>
      <c r="AC323" s="5"/>
      <c r="AD323" s="6">
        <f>(TABL12345[[#This Row],[( S/S+T/B) AJD]]*1000)-((TABL12345[[#This Row],[(STORGE DIFF.) AJD]]*1000)+TABL12345[[#This Row],[البخر  AJD]]+(TABL12345[[#This Row],[(A/B + A/S) AJD]]*1000))</f>
        <v>0</v>
      </c>
      <c r="AE323" s="33"/>
      <c r="AF323" s="6"/>
      <c r="AG323" s="6"/>
      <c r="AH323" s="6">
        <f>TABL12345[[#This Row],[ (RESV. STORGE) BER]]/10</f>
        <v>0</v>
      </c>
      <c r="AI323" s="6"/>
      <c r="AJ323" s="33">
        <f>TABL12345[[#This Row],[(A/B TOT) AJD]]-TABL12345[[#This Row],[BER_ IN]]</f>
        <v>0</v>
      </c>
      <c r="AK323" s="6"/>
      <c r="AL323" s="6"/>
      <c r="AM323" s="32"/>
      <c r="AN323" s="32">
        <f>TABL12345[[#This Row],[ (RESV. STORGE) SER]]/10</f>
        <v>0</v>
      </c>
      <c r="AO323" s="68"/>
      <c r="AP323" s="68">
        <f>TABL12345[[#This Row],[(A/S TOT) AJD]]-TABL12345[[#This Row],[SER_ IN]]</f>
        <v>0</v>
      </c>
    </row>
    <row r="324" spans="1:42" ht="18.75" x14ac:dyDescent="0.25">
      <c r="A324" s="2">
        <v>47441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>
        <f>TABL12345[[#This Row],[خط (T/B  TOT) SAR]]+TABL12345[[#This Row],[خط (S/S  TOT) SAR2]]</f>
        <v>0</v>
      </c>
      <c r="L324" s="28"/>
      <c r="M324" s="29"/>
      <c r="N324" s="30"/>
      <c r="O324" s="39"/>
      <c r="P324" s="9">
        <f>TABL12345[[#This Row],[خط (S/S  TOT) SAR2]]-TABL12345[[#This Row],[(S/S TOT) AJD]]</f>
        <v>0</v>
      </c>
      <c r="Q324" s="9"/>
      <c r="R324" s="9">
        <f>TABL12345[[#This Row],[خط (T/B  TOT) SAR]]-TABL12345[[#This Row],[(T/B TOT) AJD]]</f>
        <v>0</v>
      </c>
      <c r="S324" s="9">
        <f>TABL12345[[#This Row],[الفرق بين بداية ونهاية خط  S/S]]+TABL12345[[#This Row],[الفرق بين بداية ونهاية خط  T/B]]</f>
        <v>0</v>
      </c>
      <c r="T324" s="9">
        <f t="shared" si="20"/>
        <v>0</v>
      </c>
      <c r="U324" s="9"/>
      <c r="V324" s="9"/>
      <c r="W324" s="9">
        <f t="shared" si="21"/>
        <v>0</v>
      </c>
      <c r="X324" s="9">
        <f t="shared" si="22"/>
        <v>0</v>
      </c>
      <c r="Y324" s="18"/>
      <c r="Z324" s="9"/>
      <c r="AA324" s="3">
        <f>TABL12345[[#This Row],[(RESV. STORGE) AJD]]/10</f>
        <v>0</v>
      </c>
      <c r="AB324" s="6">
        <f t="shared" ref="AB324:AB366" si="23">(Z324-Z323)/1000</f>
        <v>0</v>
      </c>
      <c r="AC324" s="5"/>
      <c r="AD324" s="6">
        <f>(TABL12345[[#This Row],[( S/S+T/B) AJD]]*1000)-((TABL12345[[#This Row],[(STORGE DIFF.) AJD]]*1000)+TABL12345[[#This Row],[البخر  AJD]]+(TABL12345[[#This Row],[(A/B + A/S) AJD]]*1000))</f>
        <v>0</v>
      </c>
      <c r="AE324" s="33"/>
      <c r="AF324" s="6"/>
      <c r="AG324" s="6"/>
      <c r="AH324" s="6">
        <f>TABL12345[[#This Row],[ (RESV. STORGE) BER]]/10</f>
        <v>0</v>
      </c>
      <c r="AI324" s="6"/>
      <c r="AJ324" s="33">
        <f>TABL12345[[#This Row],[(A/B TOT) AJD]]-TABL12345[[#This Row],[BER_ IN]]</f>
        <v>0</v>
      </c>
      <c r="AK324" s="6"/>
      <c r="AL324" s="6"/>
      <c r="AM324" s="32"/>
      <c r="AN324" s="32">
        <f>TABL12345[[#This Row],[ (RESV. STORGE) SER]]/10</f>
        <v>0</v>
      </c>
      <c r="AO324" s="68"/>
      <c r="AP324" s="68">
        <f>TABL12345[[#This Row],[(A/S TOT) AJD]]-TABL12345[[#This Row],[SER_ IN]]</f>
        <v>0</v>
      </c>
    </row>
    <row r="325" spans="1:42" ht="18.75" x14ac:dyDescent="0.25">
      <c r="A325" s="2">
        <v>47442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>
        <f>TABL12345[[#This Row],[خط (T/B  TOT) SAR]]+TABL12345[[#This Row],[خط (S/S  TOT) SAR2]]</f>
        <v>0</v>
      </c>
      <c r="L325" s="28"/>
      <c r="M325" s="29"/>
      <c r="N325" s="30"/>
      <c r="O325" s="40"/>
      <c r="P325" s="9">
        <f>TABL12345[[#This Row],[خط (S/S  TOT) SAR2]]-TABL12345[[#This Row],[(S/S TOT) AJD]]</f>
        <v>0</v>
      </c>
      <c r="Q325" s="9"/>
      <c r="R325" s="9">
        <f>TABL12345[[#This Row],[خط (T/B  TOT) SAR]]-TABL12345[[#This Row],[(T/B TOT) AJD]]</f>
        <v>0</v>
      </c>
      <c r="S325" s="9">
        <f>TABL12345[[#This Row],[الفرق بين بداية ونهاية خط  S/S]]+TABL12345[[#This Row],[الفرق بين بداية ونهاية خط  T/B]]</f>
        <v>0</v>
      </c>
      <c r="T325" s="9">
        <f t="shared" si="20"/>
        <v>0</v>
      </c>
      <c r="U325" s="9"/>
      <c r="V325" s="9"/>
      <c r="W325" s="9">
        <f t="shared" si="21"/>
        <v>0</v>
      </c>
      <c r="X325" s="9">
        <f t="shared" si="22"/>
        <v>0</v>
      </c>
      <c r="Y325" s="18"/>
      <c r="Z325" s="9"/>
      <c r="AA325" s="3">
        <f>TABL12345[[#This Row],[(RESV. STORGE) AJD]]/10</f>
        <v>0</v>
      </c>
      <c r="AB325" s="6">
        <f t="shared" si="23"/>
        <v>0</v>
      </c>
      <c r="AC325" s="5"/>
      <c r="AD325" s="6">
        <f>(TABL12345[[#This Row],[( S/S+T/B) AJD]]*1000)-((TABL12345[[#This Row],[(STORGE DIFF.) AJD]]*1000)+TABL12345[[#This Row],[البخر  AJD]]+(TABL12345[[#This Row],[(A/B + A/S) AJD]]*1000))</f>
        <v>0</v>
      </c>
      <c r="AE325" s="33"/>
      <c r="AF325" s="6"/>
      <c r="AG325" s="6"/>
      <c r="AH325" s="6">
        <f>TABL12345[[#This Row],[ (RESV. STORGE) BER]]/10</f>
        <v>0</v>
      </c>
      <c r="AI325" s="6"/>
      <c r="AJ325" s="33">
        <f>TABL12345[[#This Row],[(A/B TOT) AJD]]-TABL12345[[#This Row],[BER_ IN]]</f>
        <v>0</v>
      </c>
      <c r="AK325" s="6"/>
      <c r="AL325" s="6"/>
      <c r="AM325" s="32"/>
      <c r="AN325" s="32">
        <f>TABL12345[[#This Row],[ (RESV. STORGE) SER]]/10</f>
        <v>0</v>
      </c>
      <c r="AO325" s="68"/>
      <c r="AP325" s="68">
        <f>TABL12345[[#This Row],[(A/S TOT) AJD]]-TABL12345[[#This Row],[SER_ IN]]</f>
        <v>0</v>
      </c>
    </row>
    <row r="326" spans="1:42" ht="18.75" x14ac:dyDescent="0.25">
      <c r="A326" s="2">
        <v>47443</v>
      </c>
      <c r="B326" s="28"/>
      <c r="C326" s="28"/>
      <c r="D326" s="28"/>
      <c r="E326" s="28"/>
      <c r="F326" s="28"/>
      <c r="G326" s="28"/>
      <c r="H326" s="28"/>
      <c r="I326" s="28"/>
      <c r="J326" s="28"/>
      <c r="K326" s="28">
        <f>TABL12345[[#This Row],[خط (T/B  TOT) SAR]]+TABL12345[[#This Row],[خط (S/S  TOT) SAR2]]</f>
        <v>0</v>
      </c>
      <c r="L326" s="28"/>
      <c r="M326" s="29"/>
      <c r="N326" s="30"/>
      <c r="O326" s="39"/>
      <c r="P326" s="9">
        <f>TABL12345[[#This Row],[خط (S/S  TOT) SAR2]]-TABL12345[[#This Row],[(S/S TOT) AJD]]</f>
        <v>0</v>
      </c>
      <c r="Q326" s="9"/>
      <c r="R326" s="9">
        <f>TABL12345[[#This Row],[خط (T/B  TOT) SAR]]-TABL12345[[#This Row],[(T/B TOT) AJD]]</f>
        <v>0</v>
      </c>
      <c r="S326" s="9">
        <f>TABL12345[[#This Row],[الفرق بين بداية ونهاية خط  S/S]]+TABL12345[[#This Row],[الفرق بين بداية ونهاية خط  T/B]]</f>
        <v>0</v>
      </c>
      <c r="T326" s="9">
        <f t="shared" si="20"/>
        <v>0</v>
      </c>
      <c r="U326" s="9"/>
      <c r="V326" s="9"/>
      <c r="W326" s="9">
        <f t="shared" si="21"/>
        <v>0</v>
      </c>
      <c r="X326" s="9">
        <f t="shared" si="22"/>
        <v>0</v>
      </c>
      <c r="Y326" s="18"/>
      <c r="Z326" s="9"/>
      <c r="AA326" s="3">
        <f>TABL12345[[#This Row],[(RESV. STORGE) AJD]]/10</f>
        <v>0</v>
      </c>
      <c r="AB326" s="6">
        <f t="shared" si="23"/>
        <v>0</v>
      </c>
      <c r="AC326" s="5"/>
      <c r="AD326" s="6">
        <f>(TABL12345[[#This Row],[( S/S+T/B) AJD]]*1000)-((TABL12345[[#This Row],[(STORGE DIFF.) AJD]]*1000)+TABL12345[[#This Row],[البخر  AJD]]+(TABL12345[[#This Row],[(A/B + A/S) AJD]]*1000))</f>
        <v>0</v>
      </c>
      <c r="AE326" s="33"/>
      <c r="AF326" s="6"/>
      <c r="AG326" s="6"/>
      <c r="AH326" s="6">
        <f>TABL12345[[#This Row],[ (RESV. STORGE) BER]]/10</f>
        <v>0</v>
      </c>
      <c r="AI326" s="6"/>
      <c r="AJ326" s="33">
        <f>TABL12345[[#This Row],[(A/B TOT) AJD]]-TABL12345[[#This Row],[BER_ IN]]</f>
        <v>0</v>
      </c>
      <c r="AK326" s="6"/>
      <c r="AL326" s="6"/>
      <c r="AM326" s="32"/>
      <c r="AN326" s="32">
        <f>TABL12345[[#This Row],[ (RESV. STORGE) SER]]/10</f>
        <v>0</v>
      </c>
      <c r="AO326" s="68"/>
      <c r="AP326" s="68">
        <f>TABL12345[[#This Row],[(A/S TOT) AJD]]-TABL12345[[#This Row],[SER_ IN]]</f>
        <v>0</v>
      </c>
    </row>
    <row r="327" spans="1:42" ht="18.75" x14ac:dyDescent="0.25">
      <c r="A327" s="2">
        <v>47444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>
        <f>TABL12345[[#This Row],[خط (T/B  TOT) SAR]]+TABL12345[[#This Row],[خط (S/S  TOT) SAR2]]</f>
        <v>0</v>
      </c>
      <c r="L327" s="28"/>
      <c r="M327" s="29"/>
      <c r="N327" s="30"/>
      <c r="O327" s="40"/>
      <c r="P327" s="9">
        <f>TABL12345[[#This Row],[خط (S/S  TOT) SAR2]]-TABL12345[[#This Row],[(S/S TOT) AJD]]</f>
        <v>0</v>
      </c>
      <c r="Q327" s="9"/>
      <c r="R327" s="9">
        <f>TABL12345[[#This Row],[خط (T/B  TOT) SAR]]-TABL12345[[#This Row],[(T/B TOT) AJD]]</f>
        <v>0</v>
      </c>
      <c r="S327" s="9">
        <f>TABL12345[[#This Row],[الفرق بين بداية ونهاية خط  S/S]]+TABL12345[[#This Row],[الفرق بين بداية ونهاية خط  T/B]]</f>
        <v>0</v>
      </c>
      <c r="T327" s="9">
        <f t="shared" si="20"/>
        <v>0</v>
      </c>
      <c r="U327" s="9"/>
      <c r="V327" s="9"/>
      <c r="W327" s="9">
        <f t="shared" si="21"/>
        <v>0</v>
      </c>
      <c r="X327" s="9">
        <f t="shared" si="22"/>
        <v>0</v>
      </c>
      <c r="Y327" s="18"/>
      <c r="Z327" s="9"/>
      <c r="AA327" s="3">
        <f>TABL12345[[#This Row],[(RESV. STORGE) AJD]]/10</f>
        <v>0</v>
      </c>
      <c r="AB327" s="6">
        <f t="shared" si="23"/>
        <v>0</v>
      </c>
      <c r="AC327" s="5"/>
      <c r="AD327" s="6">
        <f>(TABL12345[[#This Row],[( S/S+T/B) AJD]]*1000)-((TABL12345[[#This Row],[(STORGE DIFF.) AJD]]*1000)+TABL12345[[#This Row],[البخر  AJD]]+(TABL12345[[#This Row],[(A/B + A/S) AJD]]*1000))</f>
        <v>0</v>
      </c>
      <c r="AE327" s="33"/>
      <c r="AF327" s="6"/>
      <c r="AG327" s="6"/>
      <c r="AH327" s="6">
        <f>TABL12345[[#This Row],[ (RESV. STORGE) BER]]/10</f>
        <v>0</v>
      </c>
      <c r="AI327" s="6"/>
      <c r="AJ327" s="33">
        <f>TABL12345[[#This Row],[(A/B TOT) AJD]]-TABL12345[[#This Row],[BER_ IN]]</f>
        <v>0</v>
      </c>
      <c r="AK327" s="6"/>
      <c r="AL327" s="6"/>
      <c r="AM327" s="32"/>
      <c r="AN327" s="32">
        <f>TABL12345[[#This Row],[ (RESV. STORGE) SER]]/10</f>
        <v>0</v>
      </c>
      <c r="AO327" s="68"/>
      <c r="AP327" s="68">
        <f>TABL12345[[#This Row],[(A/S TOT) AJD]]-TABL12345[[#This Row],[SER_ IN]]</f>
        <v>0</v>
      </c>
    </row>
    <row r="328" spans="1:42" ht="18.75" x14ac:dyDescent="0.25">
      <c r="A328" s="2">
        <v>47445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>
        <f>TABL12345[[#This Row],[خط (T/B  TOT) SAR]]+TABL12345[[#This Row],[خط (S/S  TOT) SAR2]]</f>
        <v>0</v>
      </c>
      <c r="L328" s="28"/>
      <c r="M328" s="29"/>
      <c r="N328" s="30"/>
      <c r="O328" s="39"/>
      <c r="P328" s="9">
        <f>TABL12345[[#This Row],[خط (S/S  TOT) SAR2]]-TABL12345[[#This Row],[(S/S TOT) AJD]]</f>
        <v>0</v>
      </c>
      <c r="Q328" s="9"/>
      <c r="R328" s="9">
        <f>TABL12345[[#This Row],[خط (T/B  TOT) SAR]]-TABL12345[[#This Row],[(T/B TOT) AJD]]</f>
        <v>0</v>
      </c>
      <c r="S328" s="9">
        <f>TABL12345[[#This Row],[الفرق بين بداية ونهاية خط  S/S]]+TABL12345[[#This Row],[الفرق بين بداية ونهاية خط  T/B]]</f>
        <v>0</v>
      </c>
      <c r="T328" s="9">
        <f t="shared" si="20"/>
        <v>0</v>
      </c>
      <c r="U328" s="9"/>
      <c r="V328" s="9"/>
      <c r="W328" s="9">
        <f t="shared" si="21"/>
        <v>0</v>
      </c>
      <c r="X328" s="9">
        <f t="shared" si="22"/>
        <v>0</v>
      </c>
      <c r="Y328" s="18"/>
      <c r="Z328" s="9"/>
      <c r="AA328" s="3">
        <f>TABL12345[[#This Row],[(RESV. STORGE) AJD]]/10</f>
        <v>0</v>
      </c>
      <c r="AB328" s="6">
        <f t="shared" si="23"/>
        <v>0</v>
      </c>
      <c r="AC328" s="5"/>
      <c r="AD328" s="6">
        <f>(TABL12345[[#This Row],[( S/S+T/B) AJD]]*1000)-((TABL12345[[#This Row],[(STORGE DIFF.) AJD]]*1000)+TABL12345[[#This Row],[البخر  AJD]]+(TABL12345[[#This Row],[(A/B + A/S) AJD]]*1000))</f>
        <v>0</v>
      </c>
      <c r="AE328" s="33"/>
      <c r="AF328" s="6"/>
      <c r="AG328" s="6"/>
      <c r="AH328" s="6">
        <f>TABL12345[[#This Row],[ (RESV. STORGE) BER]]/10</f>
        <v>0</v>
      </c>
      <c r="AI328" s="6"/>
      <c r="AJ328" s="33">
        <f>TABL12345[[#This Row],[(A/B TOT) AJD]]-TABL12345[[#This Row],[BER_ IN]]</f>
        <v>0</v>
      </c>
      <c r="AK328" s="6"/>
      <c r="AL328" s="6"/>
      <c r="AM328" s="32"/>
      <c r="AN328" s="32">
        <f>TABL12345[[#This Row],[ (RESV. STORGE) SER]]/10</f>
        <v>0</v>
      </c>
      <c r="AO328" s="68"/>
      <c r="AP328" s="68">
        <f>TABL12345[[#This Row],[(A/S TOT) AJD]]-TABL12345[[#This Row],[SER_ IN]]</f>
        <v>0</v>
      </c>
    </row>
    <row r="329" spans="1:42" ht="18.75" x14ac:dyDescent="0.25">
      <c r="A329" s="2">
        <v>47446</v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>
        <f>TABL12345[[#This Row],[خط (T/B  TOT) SAR]]+TABL12345[[#This Row],[خط (S/S  TOT) SAR2]]</f>
        <v>0</v>
      </c>
      <c r="L329" s="28"/>
      <c r="M329" s="29"/>
      <c r="N329" s="30"/>
      <c r="O329" s="40"/>
      <c r="P329" s="9">
        <f>TABL12345[[#This Row],[خط (S/S  TOT) SAR2]]-TABL12345[[#This Row],[(S/S TOT) AJD]]</f>
        <v>0</v>
      </c>
      <c r="Q329" s="9"/>
      <c r="R329" s="9">
        <f>TABL12345[[#This Row],[خط (T/B  TOT) SAR]]-TABL12345[[#This Row],[(T/B TOT) AJD]]</f>
        <v>0</v>
      </c>
      <c r="S329" s="9">
        <f>TABL12345[[#This Row],[الفرق بين بداية ونهاية خط  S/S]]+TABL12345[[#This Row],[الفرق بين بداية ونهاية خط  T/B]]</f>
        <v>0</v>
      </c>
      <c r="T329" s="9">
        <f t="shared" si="20"/>
        <v>0</v>
      </c>
      <c r="U329" s="9"/>
      <c r="V329" s="9"/>
      <c r="W329" s="9">
        <f t="shared" si="21"/>
        <v>0</v>
      </c>
      <c r="X329" s="9">
        <f t="shared" si="22"/>
        <v>0</v>
      </c>
      <c r="Y329" s="18"/>
      <c r="Z329" s="9"/>
      <c r="AA329" s="3">
        <f>TABL12345[[#This Row],[(RESV. STORGE) AJD]]/10</f>
        <v>0</v>
      </c>
      <c r="AB329" s="6">
        <f t="shared" si="23"/>
        <v>0</v>
      </c>
      <c r="AC329" s="5"/>
      <c r="AD329" s="6">
        <f>(TABL12345[[#This Row],[( S/S+T/B) AJD]]*1000)-((TABL12345[[#This Row],[(STORGE DIFF.) AJD]]*1000)+TABL12345[[#This Row],[البخر  AJD]]+(TABL12345[[#This Row],[(A/B + A/S) AJD]]*1000))</f>
        <v>0</v>
      </c>
      <c r="AE329" s="33"/>
      <c r="AF329" s="6"/>
      <c r="AG329" s="6"/>
      <c r="AH329" s="6">
        <f>TABL12345[[#This Row],[ (RESV. STORGE) BER]]/10</f>
        <v>0</v>
      </c>
      <c r="AI329" s="6"/>
      <c r="AJ329" s="33">
        <f>TABL12345[[#This Row],[(A/B TOT) AJD]]-TABL12345[[#This Row],[BER_ IN]]</f>
        <v>0</v>
      </c>
      <c r="AK329" s="6"/>
      <c r="AL329" s="6"/>
      <c r="AM329" s="32"/>
      <c r="AN329" s="32">
        <f>TABL12345[[#This Row],[ (RESV. STORGE) SER]]/10</f>
        <v>0</v>
      </c>
      <c r="AO329" s="68"/>
      <c r="AP329" s="68">
        <f>TABL12345[[#This Row],[(A/S TOT) AJD]]-TABL12345[[#This Row],[SER_ IN]]</f>
        <v>0</v>
      </c>
    </row>
    <row r="330" spans="1:42" ht="18.75" x14ac:dyDescent="0.25">
      <c r="A330" s="2">
        <v>47447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>
        <f>TABL12345[[#This Row],[خط (T/B  TOT) SAR]]+TABL12345[[#This Row],[خط (S/S  TOT) SAR2]]</f>
        <v>0</v>
      </c>
      <c r="L330" s="28"/>
      <c r="M330" s="29"/>
      <c r="N330" s="30"/>
      <c r="O330" s="39"/>
      <c r="P330" s="9">
        <f>TABL12345[[#This Row],[خط (S/S  TOT) SAR2]]-TABL12345[[#This Row],[(S/S TOT) AJD]]</f>
        <v>0</v>
      </c>
      <c r="Q330" s="9"/>
      <c r="R330" s="9">
        <f>TABL12345[[#This Row],[خط (T/B  TOT) SAR]]-TABL12345[[#This Row],[(T/B TOT) AJD]]</f>
        <v>0</v>
      </c>
      <c r="S330" s="9">
        <f>TABL12345[[#This Row],[الفرق بين بداية ونهاية خط  S/S]]+TABL12345[[#This Row],[الفرق بين بداية ونهاية خط  T/B]]</f>
        <v>0</v>
      </c>
      <c r="T330" s="9">
        <f t="shared" si="20"/>
        <v>0</v>
      </c>
      <c r="U330" s="9"/>
      <c r="V330" s="9"/>
      <c r="W330" s="9">
        <f t="shared" si="21"/>
        <v>0</v>
      </c>
      <c r="X330" s="9">
        <f t="shared" si="22"/>
        <v>0</v>
      </c>
      <c r="Y330" s="18"/>
      <c r="Z330" s="9"/>
      <c r="AA330" s="3">
        <f>TABL12345[[#This Row],[(RESV. STORGE) AJD]]/10</f>
        <v>0</v>
      </c>
      <c r="AB330" s="6">
        <f t="shared" si="23"/>
        <v>0</v>
      </c>
      <c r="AC330" s="5"/>
      <c r="AD330" s="6">
        <f>(TABL12345[[#This Row],[( S/S+T/B) AJD]]*1000)-((TABL12345[[#This Row],[(STORGE DIFF.) AJD]]*1000)+TABL12345[[#This Row],[البخر  AJD]]+(TABL12345[[#This Row],[(A/B + A/S) AJD]]*1000))</f>
        <v>0</v>
      </c>
      <c r="AE330" s="33"/>
      <c r="AF330" s="6"/>
      <c r="AG330" s="6"/>
      <c r="AH330" s="6">
        <f>TABL12345[[#This Row],[ (RESV. STORGE) BER]]/10</f>
        <v>0</v>
      </c>
      <c r="AI330" s="6"/>
      <c r="AJ330" s="33">
        <f>TABL12345[[#This Row],[(A/B TOT) AJD]]-TABL12345[[#This Row],[BER_ IN]]</f>
        <v>0</v>
      </c>
      <c r="AK330" s="6"/>
      <c r="AL330" s="6"/>
      <c r="AM330" s="32"/>
      <c r="AN330" s="32">
        <f>TABL12345[[#This Row],[ (RESV. STORGE) SER]]/10</f>
        <v>0</v>
      </c>
      <c r="AO330" s="68"/>
      <c r="AP330" s="68">
        <f>TABL12345[[#This Row],[(A/S TOT) AJD]]-TABL12345[[#This Row],[SER_ IN]]</f>
        <v>0</v>
      </c>
    </row>
    <row r="331" spans="1:42" ht="18.75" x14ac:dyDescent="0.25">
      <c r="A331" s="2">
        <v>47448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>
        <f>TABL12345[[#This Row],[خط (T/B  TOT) SAR]]+TABL12345[[#This Row],[خط (S/S  TOT) SAR2]]</f>
        <v>0</v>
      </c>
      <c r="L331" s="28"/>
      <c r="M331" s="29"/>
      <c r="N331" s="30"/>
      <c r="O331" s="40"/>
      <c r="P331" s="9">
        <f>TABL12345[[#This Row],[خط (S/S  TOT) SAR2]]-TABL12345[[#This Row],[(S/S TOT) AJD]]</f>
        <v>0</v>
      </c>
      <c r="Q331" s="9"/>
      <c r="R331" s="9">
        <f>TABL12345[[#This Row],[خط (T/B  TOT) SAR]]-TABL12345[[#This Row],[(T/B TOT) AJD]]</f>
        <v>0</v>
      </c>
      <c r="S331" s="9">
        <f>TABL12345[[#This Row],[الفرق بين بداية ونهاية خط  S/S]]+TABL12345[[#This Row],[الفرق بين بداية ونهاية خط  T/B]]</f>
        <v>0</v>
      </c>
      <c r="T331" s="9">
        <f t="shared" si="20"/>
        <v>0</v>
      </c>
      <c r="U331" s="9"/>
      <c r="V331" s="9"/>
      <c r="W331" s="9">
        <f t="shared" si="21"/>
        <v>0</v>
      </c>
      <c r="X331" s="9">
        <f t="shared" si="22"/>
        <v>0</v>
      </c>
      <c r="Y331" s="18"/>
      <c r="Z331" s="9"/>
      <c r="AA331" s="3">
        <f>TABL12345[[#This Row],[(RESV. STORGE) AJD]]/10</f>
        <v>0</v>
      </c>
      <c r="AB331" s="6">
        <f t="shared" si="23"/>
        <v>0</v>
      </c>
      <c r="AC331" s="5"/>
      <c r="AD331" s="6">
        <f>(TABL12345[[#This Row],[( S/S+T/B) AJD]]*1000)-((TABL12345[[#This Row],[(STORGE DIFF.) AJD]]*1000)+TABL12345[[#This Row],[البخر  AJD]]+(TABL12345[[#This Row],[(A/B + A/S) AJD]]*1000))</f>
        <v>0</v>
      </c>
      <c r="AE331" s="33"/>
      <c r="AF331" s="6"/>
      <c r="AG331" s="6"/>
      <c r="AH331" s="6">
        <f>TABL12345[[#This Row],[ (RESV. STORGE) BER]]/10</f>
        <v>0</v>
      </c>
      <c r="AI331" s="6"/>
      <c r="AJ331" s="33">
        <f>TABL12345[[#This Row],[(A/B TOT) AJD]]-TABL12345[[#This Row],[BER_ IN]]</f>
        <v>0</v>
      </c>
      <c r="AK331" s="6"/>
      <c r="AL331" s="6"/>
      <c r="AM331" s="32"/>
      <c r="AN331" s="32">
        <f>TABL12345[[#This Row],[ (RESV. STORGE) SER]]/10</f>
        <v>0</v>
      </c>
      <c r="AO331" s="68"/>
      <c r="AP331" s="68">
        <f>TABL12345[[#This Row],[(A/S TOT) AJD]]-TABL12345[[#This Row],[SER_ IN]]</f>
        <v>0</v>
      </c>
    </row>
    <row r="332" spans="1:42" ht="18.75" x14ac:dyDescent="0.25">
      <c r="A332" s="2">
        <v>47449</v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>
        <f>TABL12345[[#This Row],[خط (T/B  TOT) SAR]]+TABL12345[[#This Row],[خط (S/S  TOT) SAR2]]</f>
        <v>0</v>
      </c>
      <c r="L332" s="28"/>
      <c r="M332" s="29"/>
      <c r="N332" s="30"/>
      <c r="O332" s="39"/>
      <c r="P332" s="9">
        <f>TABL12345[[#This Row],[خط (S/S  TOT) SAR2]]-TABL12345[[#This Row],[(S/S TOT) AJD]]</f>
        <v>0</v>
      </c>
      <c r="Q332" s="9"/>
      <c r="R332" s="9">
        <f>TABL12345[[#This Row],[خط (T/B  TOT) SAR]]-TABL12345[[#This Row],[(T/B TOT) AJD]]</f>
        <v>0</v>
      </c>
      <c r="S332" s="9">
        <f>TABL12345[[#This Row],[الفرق بين بداية ونهاية خط  S/S]]+TABL12345[[#This Row],[الفرق بين بداية ونهاية خط  T/B]]</f>
        <v>0</v>
      </c>
      <c r="T332" s="9">
        <f t="shared" si="20"/>
        <v>0</v>
      </c>
      <c r="U332" s="9"/>
      <c r="V332" s="9"/>
      <c r="W332" s="9">
        <f t="shared" si="21"/>
        <v>0</v>
      </c>
      <c r="X332" s="9">
        <f t="shared" si="22"/>
        <v>0</v>
      </c>
      <c r="Y332" s="18"/>
      <c r="Z332" s="9"/>
      <c r="AA332" s="3">
        <f>TABL12345[[#This Row],[(RESV. STORGE) AJD]]/10</f>
        <v>0</v>
      </c>
      <c r="AB332" s="6">
        <f t="shared" si="23"/>
        <v>0</v>
      </c>
      <c r="AC332" s="5"/>
      <c r="AD332" s="6">
        <f>(TABL12345[[#This Row],[( S/S+T/B) AJD]]*1000)-((TABL12345[[#This Row],[(STORGE DIFF.) AJD]]*1000)+TABL12345[[#This Row],[البخر  AJD]]+(TABL12345[[#This Row],[(A/B + A/S) AJD]]*1000))</f>
        <v>0</v>
      </c>
      <c r="AE332" s="33"/>
      <c r="AF332" s="6"/>
      <c r="AG332" s="6"/>
      <c r="AH332" s="6">
        <f>TABL12345[[#This Row],[ (RESV. STORGE) BER]]/10</f>
        <v>0</v>
      </c>
      <c r="AI332" s="6"/>
      <c r="AJ332" s="33">
        <f>TABL12345[[#This Row],[(A/B TOT) AJD]]-TABL12345[[#This Row],[BER_ IN]]</f>
        <v>0</v>
      </c>
      <c r="AK332" s="6"/>
      <c r="AL332" s="6"/>
      <c r="AM332" s="32"/>
      <c r="AN332" s="32">
        <f>TABL12345[[#This Row],[ (RESV. STORGE) SER]]/10</f>
        <v>0</v>
      </c>
      <c r="AO332" s="68"/>
      <c r="AP332" s="68">
        <f>TABL12345[[#This Row],[(A/S TOT) AJD]]-TABL12345[[#This Row],[SER_ IN]]</f>
        <v>0</v>
      </c>
    </row>
    <row r="333" spans="1:42" ht="18.75" x14ac:dyDescent="0.25">
      <c r="A333" s="2">
        <v>47450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>
        <f>TABL12345[[#This Row],[خط (T/B  TOT) SAR]]+TABL12345[[#This Row],[خط (S/S  TOT) SAR2]]</f>
        <v>0</v>
      </c>
      <c r="L333" s="28"/>
      <c r="M333" s="29"/>
      <c r="N333" s="30"/>
      <c r="O333" s="40"/>
      <c r="P333" s="9">
        <f>TABL12345[[#This Row],[خط (S/S  TOT) SAR2]]-TABL12345[[#This Row],[(S/S TOT) AJD]]</f>
        <v>0</v>
      </c>
      <c r="Q333" s="9"/>
      <c r="R333" s="9">
        <f>TABL12345[[#This Row],[خط (T/B  TOT) SAR]]-TABL12345[[#This Row],[(T/B TOT) AJD]]</f>
        <v>0</v>
      </c>
      <c r="S333" s="9">
        <f>TABL12345[[#This Row],[الفرق بين بداية ونهاية خط  S/S]]+TABL12345[[#This Row],[الفرق بين بداية ونهاية خط  T/B]]</f>
        <v>0</v>
      </c>
      <c r="T333" s="9">
        <f t="shared" si="20"/>
        <v>0</v>
      </c>
      <c r="U333" s="9"/>
      <c r="V333" s="9"/>
      <c r="W333" s="9">
        <f t="shared" si="21"/>
        <v>0</v>
      </c>
      <c r="X333" s="9">
        <f t="shared" si="22"/>
        <v>0</v>
      </c>
      <c r="Y333" s="18"/>
      <c r="Z333" s="9"/>
      <c r="AA333" s="3">
        <f>TABL12345[[#This Row],[(RESV. STORGE) AJD]]/10</f>
        <v>0</v>
      </c>
      <c r="AB333" s="6">
        <f t="shared" si="23"/>
        <v>0</v>
      </c>
      <c r="AC333" s="5"/>
      <c r="AD333" s="6">
        <f>(TABL12345[[#This Row],[( S/S+T/B) AJD]]*1000)-((TABL12345[[#This Row],[(STORGE DIFF.) AJD]]*1000)+TABL12345[[#This Row],[البخر  AJD]]+(TABL12345[[#This Row],[(A/B + A/S) AJD]]*1000))</f>
        <v>0</v>
      </c>
      <c r="AE333" s="33"/>
      <c r="AF333" s="6"/>
      <c r="AG333" s="6"/>
      <c r="AH333" s="6">
        <f>TABL12345[[#This Row],[ (RESV. STORGE) BER]]/10</f>
        <v>0</v>
      </c>
      <c r="AI333" s="6"/>
      <c r="AJ333" s="33">
        <f>TABL12345[[#This Row],[(A/B TOT) AJD]]-TABL12345[[#This Row],[BER_ IN]]</f>
        <v>0</v>
      </c>
      <c r="AK333" s="6"/>
      <c r="AL333" s="6"/>
      <c r="AM333" s="32"/>
      <c r="AN333" s="32">
        <f>TABL12345[[#This Row],[ (RESV. STORGE) SER]]/10</f>
        <v>0</v>
      </c>
      <c r="AO333" s="68"/>
      <c r="AP333" s="68">
        <f>TABL12345[[#This Row],[(A/S TOT) AJD]]-TABL12345[[#This Row],[SER_ IN]]</f>
        <v>0</v>
      </c>
    </row>
    <row r="334" spans="1:42" ht="18.75" x14ac:dyDescent="0.25">
      <c r="A334" s="2">
        <v>47451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>
        <f>TABL12345[[#This Row],[خط (T/B  TOT) SAR]]+TABL12345[[#This Row],[خط (S/S  TOT) SAR2]]</f>
        <v>0</v>
      </c>
      <c r="L334" s="28"/>
      <c r="M334" s="29"/>
      <c r="N334" s="30"/>
      <c r="O334" s="39"/>
      <c r="P334" s="9">
        <f>TABL12345[[#This Row],[خط (S/S  TOT) SAR2]]-TABL12345[[#This Row],[(S/S TOT) AJD]]</f>
        <v>0</v>
      </c>
      <c r="Q334" s="9"/>
      <c r="R334" s="9">
        <f>TABL12345[[#This Row],[خط (T/B  TOT) SAR]]-TABL12345[[#This Row],[(T/B TOT) AJD]]</f>
        <v>0</v>
      </c>
      <c r="S334" s="9">
        <f>TABL12345[[#This Row],[الفرق بين بداية ونهاية خط  S/S]]+TABL12345[[#This Row],[الفرق بين بداية ونهاية خط  T/B]]</f>
        <v>0</v>
      </c>
      <c r="T334" s="9">
        <f t="shared" si="20"/>
        <v>0</v>
      </c>
      <c r="U334" s="9"/>
      <c r="V334" s="9"/>
      <c r="W334" s="9">
        <f t="shared" si="21"/>
        <v>0</v>
      </c>
      <c r="X334" s="9">
        <f t="shared" si="22"/>
        <v>0</v>
      </c>
      <c r="Y334" s="18"/>
      <c r="Z334" s="9"/>
      <c r="AA334" s="3">
        <f>TABL12345[[#This Row],[(RESV. STORGE) AJD]]/10</f>
        <v>0</v>
      </c>
      <c r="AB334" s="6">
        <f t="shared" si="23"/>
        <v>0</v>
      </c>
      <c r="AC334" s="5"/>
      <c r="AD334" s="6">
        <f>(TABL12345[[#This Row],[( S/S+T/B) AJD]]*1000)-((TABL12345[[#This Row],[(STORGE DIFF.) AJD]]*1000)+TABL12345[[#This Row],[البخر  AJD]]+(TABL12345[[#This Row],[(A/B + A/S) AJD]]*1000))</f>
        <v>0</v>
      </c>
      <c r="AE334" s="33"/>
      <c r="AF334" s="6"/>
      <c r="AG334" s="6"/>
      <c r="AH334" s="6">
        <f>TABL12345[[#This Row],[ (RESV. STORGE) BER]]/10</f>
        <v>0</v>
      </c>
      <c r="AI334" s="6"/>
      <c r="AJ334" s="33">
        <f>TABL12345[[#This Row],[(A/B TOT) AJD]]-TABL12345[[#This Row],[BER_ IN]]</f>
        <v>0</v>
      </c>
      <c r="AK334" s="6"/>
      <c r="AL334" s="6"/>
      <c r="AM334" s="32"/>
      <c r="AN334" s="32">
        <f>TABL12345[[#This Row],[ (RESV. STORGE) SER]]/10</f>
        <v>0</v>
      </c>
      <c r="AO334" s="68"/>
      <c r="AP334" s="68">
        <f>TABL12345[[#This Row],[(A/S TOT) AJD]]-TABL12345[[#This Row],[SER_ IN]]</f>
        <v>0</v>
      </c>
    </row>
    <row r="335" spans="1:42" ht="18.75" x14ac:dyDescent="0.25">
      <c r="A335" s="2">
        <v>47452</v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>
        <f>TABL12345[[#This Row],[خط (T/B  TOT) SAR]]+TABL12345[[#This Row],[خط (S/S  TOT) SAR2]]</f>
        <v>0</v>
      </c>
      <c r="L335" s="28"/>
      <c r="M335" s="29"/>
      <c r="N335" s="30"/>
      <c r="O335" s="40"/>
      <c r="P335" s="9">
        <f>TABL12345[[#This Row],[خط (S/S  TOT) SAR2]]-TABL12345[[#This Row],[(S/S TOT) AJD]]</f>
        <v>0</v>
      </c>
      <c r="Q335" s="9"/>
      <c r="R335" s="9">
        <f>TABL12345[[#This Row],[خط (T/B  TOT) SAR]]-TABL12345[[#This Row],[(T/B TOT) AJD]]</f>
        <v>0</v>
      </c>
      <c r="S335" s="9">
        <f>TABL12345[[#This Row],[الفرق بين بداية ونهاية خط  S/S]]+TABL12345[[#This Row],[الفرق بين بداية ونهاية خط  T/B]]</f>
        <v>0</v>
      </c>
      <c r="T335" s="9">
        <f t="shared" si="20"/>
        <v>0</v>
      </c>
      <c r="U335" s="9"/>
      <c r="V335" s="9"/>
      <c r="W335" s="9">
        <f t="shared" si="21"/>
        <v>0</v>
      </c>
      <c r="X335" s="9">
        <f t="shared" si="22"/>
        <v>0</v>
      </c>
      <c r="Y335" s="18"/>
      <c r="Z335" s="9"/>
      <c r="AA335" s="3">
        <f>TABL12345[[#This Row],[(RESV. STORGE) AJD]]/10</f>
        <v>0</v>
      </c>
      <c r="AB335" s="6">
        <f t="shared" si="23"/>
        <v>0</v>
      </c>
      <c r="AC335" s="5"/>
      <c r="AD335" s="6">
        <f>(TABL12345[[#This Row],[( S/S+T/B) AJD]]*1000)-((TABL12345[[#This Row],[(STORGE DIFF.) AJD]]*1000)+TABL12345[[#This Row],[البخر  AJD]]+(TABL12345[[#This Row],[(A/B + A/S) AJD]]*1000))</f>
        <v>0</v>
      </c>
      <c r="AE335" s="33"/>
      <c r="AF335" s="6"/>
      <c r="AG335" s="6"/>
      <c r="AH335" s="6">
        <f>TABL12345[[#This Row],[ (RESV. STORGE) BER]]/10</f>
        <v>0</v>
      </c>
      <c r="AI335" s="6"/>
      <c r="AJ335" s="33">
        <f>TABL12345[[#This Row],[(A/B TOT) AJD]]-TABL12345[[#This Row],[BER_ IN]]</f>
        <v>0</v>
      </c>
      <c r="AK335" s="6"/>
      <c r="AL335" s="6"/>
      <c r="AM335" s="32"/>
      <c r="AN335" s="32">
        <f>TABL12345[[#This Row],[ (RESV. STORGE) SER]]/10</f>
        <v>0</v>
      </c>
      <c r="AO335" s="68"/>
      <c r="AP335" s="68">
        <f>TABL12345[[#This Row],[(A/S TOT) AJD]]-TABL12345[[#This Row],[SER_ IN]]</f>
        <v>0</v>
      </c>
    </row>
    <row r="336" spans="1:42" ht="18.75" x14ac:dyDescent="0.25">
      <c r="A336" s="2">
        <v>47453</v>
      </c>
      <c r="B336" s="41"/>
      <c r="C336" s="41"/>
      <c r="D336" s="41"/>
      <c r="E336" s="41"/>
      <c r="F336" s="41"/>
      <c r="G336" s="39"/>
      <c r="H336" s="41"/>
      <c r="I336" s="39"/>
      <c r="J336" s="39"/>
      <c r="K336" s="28">
        <f>TABL12345[[#This Row],[خط (T/B  TOT) SAR]]+TABL12345[[#This Row],[خط (S/S  TOT) SAR2]]</f>
        <v>0</v>
      </c>
      <c r="L336" s="41"/>
      <c r="M336" s="42"/>
      <c r="N336" s="42"/>
      <c r="O336" s="39"/>
      <c r="P336" s="9">
        <f>TABL12345[[#This Row],[خط (S/S  TOT) SAR2]]-TABL12345[[#This Row],[(S/S TOT) AJD]]</f>
        <v>0</v>
      </c>
      <c r="Q336" s="39"/>
      <c r="R336" s="9">
        <f>TABL12345[[#This Row],[خط (T/B  TOT) SAR]]-TABL12345[[#This Row],[(T/B TOT) AJD]]</f>
        <v>0</v>
      </c>
      <c r="S336" s="9">
        <f>TABL12345[[#This Row],[الفرق بين بداية ونهاية خط  S/S]]+TABL12345[[#This Row],[الفرق بين بداية ونهاية خط  T/B]]</f>
        <v>0</v>
      </c>
      <c r="T336" s="9">
        <f t="shared" si="20"/>
        <v>0</v>
      </c>
      <c r="U336" s="41"/>
      <c r="V336" s="41"/>
      <c r="W336" s="9">
        <f t="shared" si="21"/>
        <v>0</v>
      </c>
      <c r="X336" s="9">
        <f t="shared" si="22"/>
        <v>0</v>
      </c>
      <c r="Y336" s="41"/>
      <c r="Z336" s="43"/>
      <c r="AA336" s="3">
        <f>TABL12345[[#This Row],[(RESV. STORGE) AJD]]/10</f>
        <v>0</v>
      </c>
      <c r="AB336" s="43">
        <f t="shared" si="23"/>
        <v>0</v>
      </c>
      <c r="AC336" s="5"/>
      <c r="AD336" s="39">
        <f>(TABL12345[[#This Row],[( S/S+T/B) AJD]]*1000)-((TABL12345[[#This Row],[(STORGE DIFF.) AJD]]*1000)+TABL12345[[#This Row],[البخر  AJD]]+(TABL12345[[#This Row],[(A/B + A/S) AJD]]*1000))</f>
        <v>0</v>
      </c>
      <c r="AE336" s="41"/>
      <c r="AF336" s="43"/>
      <c r="AG336" s="43"/>
      <c r="AH336" s="6">
        <f>TABL12345[[#This Row],[ (RESV. STORGE) BER]]/10</f>
        <v>0</v>
      </c>
      <c r="AI336" s="41"/>
      <c r="AJ336" s="41">
        <f>TABL12345[[#This Row],[(A/B TOT) AJD]]-TABL12345[[#This Row],[BER_ IN]]</f>
        <v>0</v>
      </c>
      <c r="AK336" s="43"/>
      <c r="AL336" s="43"/>
      <c r="AM336" s="32"/>
      <c r="AN336" s="32">
        <f>TABL12345[[#This Row],[ (RESV. STORGE) SER]]/10</f>
        <v>0</v>
      </c>
      <c r="AO336" s="68"/>
      <c r="AP336" s="68">
        <f>TABL12345[[#This Row],[(A/S TOT) AJD]]-TABL12345[[#This Row],[SER_ IN]]</f>
        <v>0</v>
      </c>
    </row>
    <row r="337" spans="1:42" ht="18.75" x14ac:dyDescent="0.25">
      <c r="A337" s="2">
        <v>47454</v>
      </c>
      <c r="B337" s="44"/>
      <c r="C337" s="44"/>
      <c r="D337" s="44"/>
      <c r="E337" s="44"/>
      <c r="F337" s="44"/>
      <c r="G337" s="40"/>
      <c r="H337" s="44"/>
      <c r="I337" s="40"/>
      <c r="J337" s="44"/>
      <c r="K337" s="28">
        <f>TABL12345[[#This Row],[خط (T/B  TOT) SAR]]+TABL12345[[#This Row],[خط (S/S  TOT) SAR2]]</f>
        <v>0</v>
      </c>
      <c r="L337" s="45"/>
      <c r="M337" s="46"/>
      <c r="N337" s="46"/>
      <c r="O337" s="40"/>
      <c r="P337" s="9">
        <f>TABL12345[[#This Row],[خط (S/S  TOT) SAR2]]-TABL12345[[#This Row],[(S/S TOT) AJD]]</f>
        <v>0</v>
      </c>
      <c r="Q337" s="40"/>
      <c r="R337" s="9">
        <f>TABL12345[[#This Row],[خط (T/B  TOT) SAR]]-TABL12345[[#This Row],[(T/B TOT) AJD]]</f>
        <v>0</v>
      </c>
      <c r="S337" s="9">
        <f>TABL12345[[#This Row],[الفرق بين بداية ونهاية خط  S/S]]+TABL12345[[#This Row],[الفرق بين بداية ونهاية خط  T/B]]</f>
        <v>0</v>
      </c>
      <c r="T337" s="9">
        <f t="shared" si="20"/>
        <v>0</v>
      </c>
      <c r="U337" s="44"/>
      <c r="V337" s="44"/>
      <c r="W337" s="9">
        <f t="shared" si="21"/>
        <v>0</v>
      </c>
      <c r="X337" s="9">
        <f t="shared" si="22"/>
        <v>0</v>
      </c>
      <c r="Y337" s="44"/>
      <c r="Z337" s="45"/>
      <c r="AA337" s="3">
        <f>TABL12345[[#This Row],[(RESV. STORGE) AJD]]/10</f>
        <v>0</v>
      </c>
      <c r="AB337" s="45">
        <f t="shared" si="23"/>
        <v>0</v>
      </c>
      <c r="AC337" s="5"/>
      <c r="AD337" s="40">
        <f>(TABL12345[[#This Row],[( S/S+T/B) AJD]]*1000)-((TABL12345[[#This Row],[(STORGE DIFF.) AJD]]*1000)+TABL12345[[#This Row],[البخر  AJD]]+(TABL12345[[#This Row],[(A/B + A/S) AJD]]*1000))</f>
        <v>0</v>
      </c>
      <c r="AE337" s="44"/>
      <c r="AF337" s="45"/>
      <c r="AG337" s="45"/>
      <c r="AH337" s="6">
        <f>TABL12345[[#This Row],[ (RESV. STORGE) BER]]/10</f>
        <v>0</v>
      </c>
      <c r="AI337" s="44"/>
      <c r="AJ337" s="44">
        <f>TABL12345[[#This Row],[(A/B TOT) AJD]]-TABL12345[[#This Row],[BER_ IN]]</f>
        <v>0</v>
      </c>
      <c r="AK337" s="45"/>
      <c r="AL337" s="45"/>
      <c r="AM337" s="32"/>
      <c r="AN337" s="32">
        <f>TABL12345[[#This Row],[ (RESV. STORGE) SER]]/10</f>
        <v>0</v>
      </c>
      <c r="AO337" s="68"/>
      <c r="AP337" s="68">
        <f>TABL12345[[#This Row],[(A/S TOT) AJD]]-TABL12345[[#This Row],[SER_ IN]]</f>
        <v>0</v>
      </c>
    </row>
    <row r="338" spans="1:42" ht="18.75" x14ac:dyDescent="0.25">
      <c r="A338" s="2">
        <v>47455</v>
      </c>
      <c r="B338" s="41"/>
      <c r="C338" s="41"/>
      <c r="D338" s="41"/>
      <c r="E338" s="41"/>
      <c r="F338" s="41"/>
      <c r="G338" s="39"/>
      <c r="H338" s="41"/>
      <c r="I338" s="39"/>
      <c r="J338" s="39"/>
      <c r="K338" s="28">
        <f>TABL12345[[#This Row],[خط (T/B  TOT) SAR]]+TABL12345[[#This Row],[خط (S/S  TOT) SAR2]]</f>
        <v>0</v>
      </c>
      <c r="L338" s="41"/>
      <c r="M338" s="42"/>
      <c r="N338" s="42"/>
      <c r="O338" s="39"/>
      <c r="P338" s="9">
        <f>TABL12345[[#This Row],[خط (S/S  TOT) SAR2]]-TABL12345[[#This Row],[(S/S TOT) AJD]]</f>
        <v>0</v>
      </c>
      <c r="Q338" s="39"/>
      <c r="R338" s="9">
        <f>TABL12345[[#This Row],[خط (T/B  TOT) SAR]]-TABL12345[[#This Row],[(T/B TOT) AJD]]</f>
        <v>0</v>
      </c>
      <c r="S338" s="9">
        <f>TABL12345[[#This Row],[الفرق بين بداية ونهاية خط  S/S]]+TABL12345[[#This Row],[الفرق بين بداية ونهاية خط  T/B]]</f>
        <v>0</v>
      </c>
      <c r="T338" s="9">
        <f t="shared" si="20"/>
        <v>0</v>
      </c>
      <c r="U338" s="41"/>
      <c r="V338" s="41"/>
      <c r="W338" s="9">
        <f t="shared" si="21"/>
        <v>0</v>
      </c>
      <c r="X338" s="9">
        <f t="shared" si="22"/>
        <v>0</v>
      </c>
      <c r="Y338" s="41"/>
      <c r="Z338" s="43"/>
      <c r="AA338" s="3">
        <f>TABL12345[[#This Row],[(RESV. STORGE) AJD]]/10</f>
        <v>0</v>
      </c>
      <c r="AB338" s="43">
        <f t="shared" si="23"/>
        <v>0</v>
      </c>
      <c r="AC338" s="5"/>
      <c r="AD338" s="39">
        <f>(TABL12345[[#This Row],[( S/S+T/B) AJD]]*1000)-((TABL12345[[#This Row],[(STORGE DIFF.) AJD]]*1000)+TABL12345[[#This Row],[البخر  AJD]]+(TABL12345[[#This Row],[(A/B + A/S) AJD]]*1000))</f>
        <v>0</v>
      </c>
      <c r="AE338" s="41"/>
      <c r="AF338" s="43"/>
      <c r="AG338" s="43"/>
      <c r="AH338" s="6">
        <f>TABL12345[[#This Row],[ (RESV. STORGE) BER]]/10</f>
        <v>0</v>
      </c>
      <c r="AI338" s="41"/>
      <c r="AJ338" s="41">
        <f>TABL12345[[#This Row],[(A/B TOT) AJD]]-TABL12345[[#This Row],[BER_ IN]]</f>
        <v>0</v>
      </c>
      <c r="AK338" s="43"/>
      <c r="AL338" s="43"/>
      <c r="AM338" s="32"/>
      <c r="AN338" s="32">
        <f>TABL12345[[#This Row],[ (RESV. STORGE) SER]]/10</f>
        <v>0</v>
      </c>
      <c r="AO338" s="68"/>
      <c r="AP338" s="68">
        <f>TABL12345[[#This Row],[(A/S TOT) AJD]]-TABL12345[[#This Row],[SER_ IN]]</f>
        <v>0</v>
      </c>
    </row>
    <row r="339" spans="1:42" ht="18.75" x14ac:dyDescent="0.25">
      <c r="A339" s="2">
        <v>47456</v>
      </c>
      <c r="B339" s="44"/>
      <c r="C339" s="44"/>
      <c r="D339" s="44"/>
      <c r="E339" s="44"/>
      <c r="F339" s="44"/>
      <c r="G339" s="40"/>
      <c r="H339" s="44"/>
      <c r="I339" s="40"/>
      <c r="J339" s="44"/>
      <c r="K339" s="28">
        <f>TABL12345[[#This Row],[خط (T/B  TOT) SAR]]+TABL12345[[#This Row],[خط (S/S  TOT) SAR2]]</f>
        <v>0</v>
      </c>
      <c r="L339" s="45"/>
      <c r="M339" s="46"/>
      <c r="N339" s="46"/>
      <c r="O339" s="40"/>
      <c r="P339" s="9">
        <f>TABL12345[[#This Row],[خط (S/S  TOT) SAR2]]-TABL12345[[#This Row],[(S/S TOT) AJD]]</f>
        <v>0</v>
      </c>
      <c r="Q339" s="40"/>
      <c r="R339" s="9">
        <f>TABL12345[[#This Row],[خط (T/B  TOT) SAR]]-TABL12345[[#This Row],[(T/B TOT) AJD]]</f>
        <v>0</v>
      </c>
      <c r="S339" s="9">
        <f>TABL12345[[#This Row],[الفرق بين بداية ونهاية خط  S/S]]+TABL12345[[#This Row],[الفرق بين بداية ونهاية خط  T/B]]</f>
        <v>0</v>
      </c>
      <c r="T339" s="9">
        <f t="shared" si="20"/>
        <v>0</v>
      </c>
      <c r="U339" s="44"/>
      <c r="V339" s="47"/>
      <c r="W339" s="9">
        <f t="shared" si="21"/>
        <v>0</v>
      </c>
      <c r="X339" s="9">
        <f t="shared" si="22"/>
        <v>0</v>
      </c>
      <c r="Y339" s="44"/>
      <c r="Z339" s="45"/>
      <c r="AA339" s="3">
        <f>TABL12345[[#This Row],[(RESV. STORGE) AJD]]/10</f>
        <v>0</v>
      </c>
      <c r="AB339" s="45">
        <f t="shared" si="23"/>
        <v>0</v>
      </c>
      <c r="AC339" s="5"/>
      <c r="AD339" s="40">
        <f>(TABL12345[[#This Row],[( S/S+T/B) AJD]]*1000)-((TABL12345[[#This Row],[(STORGE DIFF.) AJD]]*1000)+TABL12345[[#This Row],[البخر  AJD]]+(TABL12345[[#This Row],[(A/B + A/S) AJD]]*1000))</f>
        <v>0</v>
      </c>
      <c r="AE339" s="44"/>
      <c r="AF339" s="45"/>
      <c r="AG339" s="45"/>
      <c r="AH339" s="6">
        <f>TABL12345[[#This Row],[ (RESV. STORGE) BER]]/10</f>
        <v>0</v>
      </c>
      <c r="AI339" s="44"/>
      <c r="AJ339" s="44">
        <f>TABL12345[[#This Row],[(A/B TOT) AJD]]-TABL12345[[#This Row],[BER_ IN]]</f>
        <v>0</v>
      </c>
      <c r="AK339" s="45"/>
      <c r="AL339" s="45"/>
      <c r="AM339" s="32"/>
      <c r="AN339" s="32">
        <f>TABL12345[[#This Row],[ (RESV. STORGE) SER]]/10</f>
        <v>0</v>
      </c>
      <c r="AO339" s="68"/>
      <c r="AP339" s="68">
        <f>TABL12345[[#This Row],[(A/S TOT) AJD]]-TABL12345[[#This Row],[SER_ IN]]</f>
        <v>0</v>
      </c>
    </row>
    <row r="340" spans="1:42" ht="18.75" x14ac:dyDescent="0.25">
      <c r="A340" s="2">
        <v>47457</v>
      </c>
      <c r="B340" s="41"/>
      <c r="C340" s="41"/>
      <c r="D340" s="41"/>
      <c r="E340" s="41"/>
      <c r="F340" s="41"/>
      <c r="G340" s="39"/>
      <c r="H340" s="41"/>
      <c r="I340" s="39"/>
      <c r="J340" s="39"/>
      <c r="K340" s="28">
        <f>TABL12345[[#This Row],[خط (T/B  TOT) SAR]]+TABL12345[[#This Row],[خط (S/S  TOT) SAR2]]</f>
        <v>0</v>
      </c>
      <c r="L340" s="41"/>
      <c r="M340" s="42"/>
      <c r="N340" s="42"/>
      <c r="O340" s="39"/>
      <c r="P340" s="9">
        <f>TABL12345[[#This Row],[خط (S/S  TOT) SAR2]]-TABL12345[[#This Row],[(S/S TOT) AJD]]</f>
        <v>0</v>
      </c>
      <c r="Q340" s="39"/>
      <c r="R340" s="9">
        <f>TABL12345[[#This Row],[خط (T/B  TOT) SAR]]-TABL12345[[#This Row],[(T/B TOT) AJD]]</f>
        <v>0</v>
      </c>
      <c r="S340" s="9">
        <f>TABL12345[[#This Row],[الفرق بين بداية ونهاية خط  S/S]]+TABL12345[[#This Row],[الفرق بين بداية ونهاية خط  T/B]]</f>
        <v>0</v>
      </c>
      <c r="T340" s="9">
        <f t="shared" si="20"/>
        <v>0</v>
      </c>
      <c r="U340" s="41"/>
      <c r="V340" s="41"/>
      <c r="W340" s="9">
        <f t="shared" si="21"/>
        <v>0</v>
      </c>
      <c r="X340" s="9">
        <f t="shared" si="22"/>
        <v>0</v>
      </c>
      <c r="Y340" s="41"/>
      <c r="Z340" s="43"/>
      <c r="AA340" s="3">
        <f>TABL12345[[#This Row],[(RESV. STORGE) AJD]]/10</f>
        <v>0</v>
      </c>
      <c r="AB340" s="43">
        <f t="shared" si="23"/>
        <v>0</v>
      </c>
      <c r="AC340" s="5"/>
      <c r="AD340" s="39">
        <f>(TABL12345[[#This Row],[( S/S+T/B) AJD]]*1000)-((TABL12345[[#This Row],[(STORGE DIFF.) AJD]]*1000)+TABL12345[[#This Row],[البخر  AJD]]+(TABL12345[[#This Row],[(A/B + A/S) AJD]]*1000))</f>
        <v>0</v>
      </c>
      <c r="AE340" s="41"/>
      <c r="AF340" s="43"/>
      <c r="AG340" s="43"/>
      <c r="AH340" s="6">
        <f>TABL12345[[#This Row],[ (RESV. STORGE) BER]]/10</f>
        <v>0</v>
      </c>
      <c r="AI340" s="41"/>
      <c r="AJ340" s="41">
        <f>TABL12345[[#This Row],[(A/B TOT) AJD]]-TABL12345[[#This Row],[BER_ IN]]</f>
        <v>0</v>
      </c>
      <c r="AK340" s="43"/>
      <c r="AL340" s="43"/>
      <c r="AM340" s="32"/>
      <c r="AN340" s="32">
        <f>TABL12345[[#This Row],[ (RESV. STORGE) SER]]/10</f>
        <v>0</v>
      </c>
      <c r="AO340" s="68"/>
      <c r="AP340" s="68">
        <f>TABL12345[[#This Row],[(A/S TOT) AJD]]-TABL12345[[#This Row],[SER_ IN]]</f>
        <v>0</v>
      </c>
    </row>
    <row r="341" spans="1:42" ht="18.75" x14ac:dyDescent="0.25">
      <c r="A341" s="2">
        <v>47458</v>
      </c>
      <c r="B341" s="44"/>
      <c r="C341" s="44"/>
      <c r="D341" s="44"/>
      <c r="E341" s="44"/>
      <c r="F341" s="44"/>
      <c r="G341" s="40"/>
      <c r="H341" s="44"/>
      <c r="I341" s="40"/>
      <c r="J341" s="44"/>
      <c r="K341" s="28">
        <f>TABL12345[[#This Row],[خط (T/B  TOT) SAR]]+TABL12345[[#This Row],[خط (S/S  TOT) SAR2]]</f>
        <v>0</v>
      </c>
      <c r="L341" s="45"/>
      <c r="M341" s="46"/>
      <c r="N341" s="46"/>
      <c r="O341" s="40"/>
      <c r="P341" s="9">
        <f>TABL12345[[#This Row],[خط (S/S  TOT) SAR2]]-TABL12345[[#This Row],[(S/S TOT) AJD]]</f>
        <v>0</v>
      </c>
      <c r="Q341" s="40"/>
      <c r="R341" s="9">
        <f>TABL12345[[#This Row],[خط (T/B  TOT) SAR]]-TABL12345[[#This Row],[(T/B TOT) AJD]]</f>
        <v>0</v>
      </c>
      <c r="S341" s="9">
        <f>TABL12345[[#This Row],[الفرق بين بداية ونهاية خط  S/S]]+TABL12345[[#This Row],[الفرق بين بداية ونهاية خط  T/B]]</f>
        <v>0</v>
      </c>
      <c r="T341" s="9">
        <f t="shared" si="20"/>
        <v>0</v>
      </c>
      <c r="U341" s="44"/>
      <c r="V341" s="44"/>
      <c r="W341" s="9">
        <f t="shared" si="21"/>
        <v>0</v>
      </c>
      <c r="X341" s="9">
        <f t="shared" si="22"/>
        <v>0</v>
      </c>
      <c r="Y341" s="44"/>
      <c r="Z341" s="45"/>
      <c r="AA341" s="3">
        <f>TABL12345[[#This Row],[(RESV. STORGE) AJD]]/10</f>
        <v>0</v>
      </c>
      <c r="AB341" s="45">
        <f t="shared" si="23"/>
        <v>0</v>
      </c>
      <c r="AC341" s="5"/>
      <c r="AD341" s="40">
        <f>(TABL12345[[#This Row],[( S/S+T/B) AJD]]*1000)-((TABL12345[[#This Row],[(STORGE DIFF.) AJD]]*1000)+TABL12345[[#This Row],[البخر  AJD]]+(TABL12345[[#This Row],[(A/B + A/S) AJD]]*1000))</f>
        <v>0</v>
      </c>
      <c r="AE341" s="44"/>
      <c r="AF341" s="45"/>
      <c r="AG341" s="45"/>
      <c r="AH341" s="6">
        <f>TABL12345[[#This Row],[ (RESV. STORGE) BER]]/10</f>
        <v>0</v>
      </c>
      <c r="AI341" s="44"/>
      <c r="AJ341" s="44">
        <f>TABL12345[[#This Row],[(A/B TOT) AJD]]-TABL12345[[#This Row],[BER_ IN]]</f>
        <v>0</v>
      </c>
      <c r="AK341" s="45"/>
      <c r="AL341" s="45"/>
      <c r="AM341" s="32"/>
      <c r="AN341" s="32">
        <f>TABL12345[[#This Row],[ (RESV. STORGE) SER]]/10</f>
        <v>0</v>
      </c>
      <c r="AO341" s="68"/>
      <c r="AP341" s="68">
        <f>TABL12345[[#This Row],[(A/S TOT) AJD]]-TABL12345[[#This Row],[SER_ IN]]</f>
        <v>0</v>
      </c>
    </row>
    <row r="342" spans="1:42" ht="18.75" x14ac:dyDescent="0.25">
      <c r="A342" s="2">
        <v>47459</v>
      </c>
      <c r="B342" s="41"/>
      <c r="C342" s="41"/>
      <c r="D342" s="41"/>
      <c r="E342" s="41"/>
      <c r="F342" s="41"/>
      <c r="G342" s="39"/>
      <c r="H342" s="41"/>
      <c r="I342" s="39"/>
      <c r="J342" s="39"/>
      <c r="K342" s="28">
        <f>TABL12345[[#This Row],[خط (T/B  TOT) SAR]]+TABL12345[[#This Row],[خط (S/S  TOT) SAR2]]</f>
        <v>0</v>
      </c>
      <c r="L342" s="41"/>
      <c r="M342" s="42"/>
      <c r="N342" s="42"/>
      <c r="O342" s="39"/>
      <c r="P342" s="9">
        <f>TABL12345[[#This Row],[خط (S/S  TOT) SAR2]]-TABL12345[[#This Row],[(S/S TOT) AJD]]</f>
        <v>0</v>
      </c>
      <c r="Q342" s="39"/>
      <c r="R342" s="9">
        <f>TABL12345[[#This Row],[خط (T/B  TOT) SAR]]-TABL12345[[#This Row],[(T/B TOT) AJD]]</f>
        <v>0</v>
      </c>
      <c r="S342" s="9">
        <f>TABL12345[[#This Row],[الفرق بين بداية ونهاية خط  S/S]]+TABL12345[[#This Row],[الفرق بين بداية ونهاية خط  T/B]]</f>
        <v>0</v>
      </c>
      <c r="T342" s="9">
        <f t="shared" si="20"/>
        <v>0</v>
      </c>
      <c r="U342" s="41"/>
      <c r="V342" s="41"/>
      <c r="W342" s="9">
        <f t="shared" si="21"/>
        <v>0</v>
      </c>
      <c r="X342" s="9">
        <f t="shared" si="22"/>
        <v>0</v>
      </c>
      <c r="Y342" s="41"/>
      <c r="Z342" s="43"/>
      <c r="AA342" s="3">
        <f>TABL12345[[#This Row],[(RESV. STORGE) AJD]]/10</f>
        <v>0</v>
      </c>
      <c r="AB342" s="43">
        <f t="shared" si="23"/>
        <v>0</v>
      </c>
      <c r="AC342" s="5"/>
      <c r="AD342" s="39">
        <f>(TABL12345[[#This Row],[( S/S+T/B) AJD]]*1000)-((TABL12345[[#This Row],[(STORGE DIFF.) AJD]]*1000)+TABL12345[[#This Row],[البخر  AJD]]+(TABL12345[[#This Row],[(A/B + A/S) AJD]]*1000))</f>
        <v>0</v>
      </c>
      <c r="AE342" s="41"/>
      <c r="AF342" s="43"/>
      <c r="AG342" s="43"/>
      <c r="AH342" s="6">
        <f>TABL12345[[#This Row],[ (RESV. STORGE) BER]]/10</f>
        <v>0</v>
      </c>
      <c r="AI342" s="41"/>
      <c r="AJ342" s="41">
        <f>TABL12345[[#This Row],[(A/B TOT) AJD]]-TABL12345[[#This Row],[BER_ IN]]</f>
        <v>0</v>
      </c>
      <c r="AK342" s="43"/>
      <c r="AL342" s="43"/>
      <c r="AM342" s="32"/>
      <c r="AN342" s="32">
        <f>TABL12345[[#This Row],[ (RESV. STORGE) SER]]/10</f>
        <v>0</v>
      </c>
      <c r="AO342" s="68"/>
      <c r="AP342" s="68">
        <f>TABL12345[[#This Row],[(A/S TOT) AJD]]-TABL12345[[#This Row],[SER_ IN]]</f>
        <v>0</v>
      </c>
    </row>
    <row r="343" spans="1:42" ht="18.75" x14ac:dyDescent="0.25">
      <c r="A343" s="2">
        <v>47460</v>
      </c>
      <c r="B343" s="44"/>
      <c r="C343" s="44"/>
      <c r="D343" s="44"/>
      <c r="E343" s="44"/>
      <c r="F343" s="44"/>
      <c r="G343" s="40"/>
      <c r="H343" s="44"/>
      <c r="I343" s="40"/>
      <c r="J343" s="44"/>
      <c r="K343" s="28">
        <f>TABL12345[[#This Row],[خط (T/B  TOT) SAR]]+TABL12345[[#This Row],[خط (S/S  TOT) SAR2]]</f>
        <v>0</v>
      </c>
      <c r="L343" s="45"/>
      <c r="M343" s="46"/>
      <c r="N343" s="46"/>
      <c r="O343" s="40"/>
      <c r="P343" s="9">
        <f>TABL12345[[#This Row],[خط (S/S  TOT) SAR2]]-TABL12345[[#This Row],[(S/S TOT) AJD]]</f>
        <v>0</v>
      </c>
      <c r="Q343" s="40"/>
      <c r="R343" s="9">
        <f>TABL12345[[#This Row],[خط (T/B  TOT) SAR]]-TABL12345[[#This Row],[(T/B TOT) AJD]]</f>
        <v>0</v>
      </c>
      <c r="S343" s="9">
        <f>TABL12345[[#This Row],[الفرق بين بداية ونهاية خط  S/S]]+TABL12345[[#This Row],[الفرق بين بداية ونهاية خط  T/B]]</f>
        <v>0</v>
      </c>
      <c r="T343" s="9">
        <f t="shared" si="20"/>
        <v>0</v>
      </c>
      <c r="U343" s="44"/>
      <c r="V343" s="44"/>
      <c r="W343" s="9">
        <f t="shared" si="21"/>
        <v>0</v>
      </c>
      <c r="X343" s="9">
        <f t="shared" si="22"/>
        <v>0</v>
      </c>
      <c r="Y343" s="44"/>
      <c r="Z343" s="45"/>
      <c r="AA343" s="3">
        <f>TABL12345[[#This Row],[(RESV. STORGE) AJD]]/10</f>
        <v>0</v>
      </c>
      <c r="AB343" s="45">
        <f t="shared" si="23"/>
        <v>0</v>
      </c>
      <c r="AC343" s="5"/>
      <c r="AD343" s="40">
        <f>(TABL12345[[#This Row],[( S/S+T/B) AJD]]*1000)-((TABL12345[[#This Row],[(STORGE DIFF.) AJD]]*1000)+TABL12345[[#This Row],[البخر  AJD]]+(TABL12345[[#This Row],[(A/B + A/S) AJD]]*1000))</f>
        <v>0</v>
      </c>
      <c r="AE343" s="44"/>
      <c r="AF343" s="45"/>
      <c r="AG343" s="45"/>
      <c r="AH343" s="6">
        <f>TABL12345[[#This Row],[ (RESV. STORGE) BER]]/10</f>
        <v>0</v>
      </c>
      <c r="AI343" s="44"/>
      <c r="AJ343" s="44">
        <f>TABL12345[[#This Row],[(A/B TOT) AJD]]-TABL12345[[#This Row],[BER_ IN]]</f>
        <v>0</v>
      </c>
      <c r="AK343" s="45"/>
      <c r="AL343" s="45"/>
      <c r="AM343" s="32"/>
      <c r="AN343" s="32">
        <f>TABL12345[[#This Row],[ (RESV. STORGE) SER]]/10</f>
        <v>0</v>
      </c>
      <c r="AO343" s="68"/>
      <c r="AP343" s="68">
        <f>TABL12345[[#This Row],[(A/S TOT) AJD]]-TABL12345[[#This Row],[SER_ IN]]</f>
        <v>0</v>
      </c>
    </row>
    <row r="344" spans="1:42" ht="18.75" x14ac:dyDescent="0.25">
      <c r="A344" s="2">
        <v>47461</v>
      </c>
      <c r="B344" s="41"/>
      <c r="C344" s="41"/>
      <c r="D344" s="41"/>
      <c r="E344" s="41"/>
      <c r="F344" s="41"/>
      <c r="G344" s="39"/>
      <c r="H344" s="41"/>
      <c r="I344" s="39"/>
      <c r="J344" s="39"/>
      <c r="K344" s="28">
        <f>TABL12345[[#This Row],[خط (T/B  TOT) SAR]]+TABL12345[[#This Row],[خط (S/S  TOT) SAR2]]</f>
        <v>0</v>
      </c>
      <c r="L344" s="41"/>
      <c r="M344" s="42"/>
      <c r="N344" s="42"/>
      <c r="O344" s="39"/>
      <c r="P344" s="9">
        <f>TABL12345[[#This Row],[خط (S/S  TOT) SAR2]]-TABL12345[[#This Row],[(S/S TOT) AJD]]</f>
        <v>0</v>
      </c>
      <c r="Q344" s="39"/>
      <c r="R344" s="9">
        <f>TABL12345[[#This Row],[خط (T/B  TOT) SAR]]-TABL12345[[#This Row],[(T/B TOT) AJD]]</f>
        <v>0</v>
      </c>
      <c r="S344" s="9">
        <f>TABL12345[[#This Row],[الفرق بين بداية ونهاية خط  S/S]]+TABL12345[[#This Row],[الفرق بين بداية ونهاية خط  T/B]]</f>
        <v>0</v>
      </c>
      <c r="T344" s="9">
        <f t="shared" si="20"/>
        <v>0</v>
      </c>
      <c r="U344" s="41"/>
      <c r="V344" s="41"/>
      <c r="W344" s="9">
        <f t="shared" si="21"/>
        <v>0</v>
      </c>
      <c r="X344" s="9">
        <f t="shared" si="22"/>
        <v>0</v>
      </c>
      <c r="Y344" s="41"/>
      <c r="Z344" s="43"/>
      <c r="AA344" s="3">
        <f>TABL12345[[#This Row],[(RESV. STORGE) AJD]]/10</f>
        <v>0</v>
      </c>
      <c r="AB344" s="43">
        <f t="shared" si="23"/>
        <v>0</v>
      </c>
      <c r="AC344" s="5"/>
      <c r="AD344" s="39">
        <f>(TABL12345[[#This Row],[( S/S+T/B) AJD]]*1000)-((TABL12345[[#This Row],[(STORGE DIFF.) AJD]]*1000)+TABL12345[[#This Row],[البخر  AJD]]+(TABL12345[[#This Row],[(A/B + A/S) AJD]]*1000))</f>
        <v>0</v>
      </c>
      <c r="AE344" s="41"/>
      <c r="AF344" s="43"/>
      <c r="AG344" s="43"/>
      <c r="AH344" s="6">
        <f>TABL12345[[#This Row],[ (RESV. STORGE) BER]]/10</f>
        <v>0</v>
      </c>
      <c r="AI344" s="41"/>
      <c r="AJ344" s="41">
        <f>TABL12345[[#This Row],[(A/B TOT) AJD]]-TABL12345[[#This Row],[BER_ IN]]</f>
        <v>0</v>
      </c>
      <c r="AK344" s="43"/>
      <c r="AL344" s="43"/>
      <c r="AM344" s="32"/>
      <c r="AN344" s="32">
        <f>TABL12345[[#This Row],[ (RESV. STORGE) SER]]/10</f>
        <v>0</v>
      </c>
      <c r="AO344" s="68"/>
      <c r="AP344" s="68">
        <f>TABL12345[[#This Row],[(A/S TOT) AJD]]-TABL12345[[#This Row],[SER_ IN]]</f>
        <v>0</v>
      </c>
    </row>
    <row r="345" spans="1:42" ht="18.75" x14ac:dyDescent="0.25">
      <c r="A345" s="2">
        <v>47462</v>
      </c>
      <c r="B345" s="44"/>
      <c r="C345" s="44"/>
      <c r="D345" s="44"/>
      <c r="E345" s="44"/>
      <c r="F345" s="44"/>
      <c r="G345" s="40"/>
      <c r="H345" s="44"/>
      <c r="I345" s="40"/>
      <c r="J345" s="44"/>
      <c r="K345" s="28">
        <f>TABL12345[[#This Row],[خط (T/B  TOT) SAR]]+TABL12345[[#This Row],[خط (S/S  TOT) SAR2]]</f>
        <v>0</v>
      </c>
      <c r="L345" s="45"/>
      <c r="M345" s="46"/>
      <c r="N345" s="46"/>
      <c r="O345" s="40"/>
      <c r="P345" s="9">
        <f>TABL12345[[#This Row],[خط (S/S  TOT) SAR2]]-TABL12345[[#This Row],[(S/S TOT) AJD]]</f>
        <v>0</v>
      </c>
      <c r="Q345" s="40"/>
      <c r="R345" s="9">
        <f>TABL12345[[#This Row],[خط (T/B  TOT) SAR]]-TABL12345[[#This Row],[(T/B TOT) AJD]]</f>
        <v>0</v>
      </c>
      <c r="S345" s="9">
        <f>TABL12345[[#This Row],[الفرق بين بداية ونهاية خط  S/S]]+TABL12345[[#This Row],[الفرق بين بداية ونهاية خط  T/B]]</f>
        <v>0</v>
      </c>
      <c r="T345" s="9">
        <f t="shared" si="20"/>
        <v>0</v>
      </c>
      <c r="U345" s="44"/>
      <c r="V345" s="44"/>
      <c r="W345" s="9">
        <f t="shared" si="21"/>
        <v>0</v>
      </c>
      <c r="X345" s="9">
        <f t="shared" si="22"/>
        <v>0</v>
      </c>
      <c r="Y345" s="44"/>
      <c r="Z345" s="45"/>
      <c r="AA345" s="3">
        <f>TABL12345[[#This Row],[(RESV. STORGE) AJD]]/10</f>
        <v>0</v>
      </c>
      <c r="AB345" s="45">
        <f t="shared" si="23"/>
        <v>0</v>
      </c>
      <c r="AC345" s="5"/>
      <c r="AD345" s="40">
        <f>(TABL12345[[#This Row],[( S/S+T/B) AJD]]*1000)-((TABL12345[[#This Row],[(STORGE DIFF.) AJD]]*1000)+TABL12345[[#This Row],[البخر  AJD]]+(TABL12345[[#This Row],[(A/B + A/S) AJD]]*1000))</f>
        <v>0</v>
      </c>
      <c r="AE345" s="44"/>
      <c r="AF345" s="45"/>
      <c r="AG345" s="45"/>
      <c r="AH345" s="6">
        <f>TABL12345[[#This Row],[ (RESV. STORGE) BER]]/10</f>
        <v>0</v>
      </c>
      <c r="AI345" s="44"/>
      <c r="AJ345" s="44">
        <f>TABL12345[[#This Row],[(A/B TOT) AJD]]-TABL12345[[#This Row],[BER_ IN]]</f>
        <v>0</v>
      </c>
      <c r="AK345" s="45"/>
      <c r="AL345" s="45"/>
      <c r="AM345" s="32"/>
      <c r="AN345" s="32">
        <f>TABL12345[[#This Row],[ (RESV. STORGE) SER]]/10</f>
        <v>0</v>
      </c>
      <c r="AO345" s="68"/>
      <c r="AP345" s="68">
        <f>TABL12345[[#This Row],[(A/S TOT) AJD]]-TABL12345[[#This Row],[SER_ IN]]</f>
        <v>0</v>
      </c>
    </row>
    <row r="346" spans="1:42" ht="18.75" x14ac:dyDescent="0.25">
      <c r="A346" s="2">
        <v>47463</v>
      </c>
      <c r="B346" s="41"/>
      <c r="C346" s="41"/>
      <c r="D346" s="41"/>
      <c r="E346" s="41"/>
      <c r="F346" s="41"/>
      <c r="G346" s="39"/>
      <c r="H346" s="41"/>
      <c r="I346" s="39"/>
      <c r="J346" s="39"/>
      <c r="K346" s="28">
        <f>TABL12345[[#This Row],[خط (T/B  TOT) SAR]]+TABL12345[[#This Row],[خط (S/S  TOT) SAR2]]</f>
        <v>0</v>
      </c>
      <c r="L346" s="41"/>
      <c r="M346" s="42"/>
      <c r="N346" s="42"/>
      <c r="O346" s="39"/>
      <c r="P346" s="9">
        <f>TABL12345[[#This Row],[خط (S/S  TOT) SAR2]]-TABL12345[[#This Row],[(S/S TOT) AJD]]</f>
        <v>0</v>
      </c>
      <c r="Q346" s="39"/>
      <c r="R346" s="9">
        <f>TABL12345[[#This Row],[خط (T/B  TOT) SAR]]-TABL12345[[#This Row],[(T/B TOT) AJD]]</f>
        <v>0</v>
      </c>
      <c r="S346" s="9">
        <f>TABL12345[[#This Row],[الفرق بين بداية ونهاية خط  S/S]]+TABL12345[[#This Row],[الفرق بين بداية ونهاية خط  T/B]]</f>
        <v>0</v>
      </c>
      <c r="T346" s="9">
        <f t="shared" si="20"/>
        <v>0</v>
      </c>
      <c r="U346" s="41"/>
      <c r="V346" s="41"/>
      <c r="W346" s="9">
        <f t="shared" si="21"/>
        <v>0</v>
      </c>
      <c r="X346" s="9">
        <f t="shared" si="22"/>
        <v>0</v>
      </c>
      <c r="Y346" s="41"/>
      <c r="Z346" s="43"/>
      <c r="AA346" s="3">
        <f>TABL12345[[#This Row],[(RESV. STORGE) AJD]]/10</f>
        <v>0</v>
      </c>
      <c r="AB346" s="43">
        <f t="shared" si="23"/>
        <v>0</v>
      </c>
      <c r="AC346" s="5"/>
      <c r="AD346" s="39">
        <f>(TABL12345[[#This Row],[( S/S+T/B) AJD]]*1000)-((TABL12345[[#This Row],[(STORGE DIFF.) AJD]]*1000)+TABL12345[[#This Row],[البخر  AJD]]+(TABL12345[[#This Row],[(A/B + A/S) AJD]]*1000))</f>
        <v>0</v>
      </c>
      <c r="AE346" s="41"/>
      <c r="AF346" s="43"/>
      <c r="AG346" s="48"/>
      <c r="AH346" s="6">
        <f>TABL12345[[#This Row],[ (RESV. STORGE) BER]]/10</f>
        <v>0</v>
      </c>
      <c r="AI346" s="41"/>
      <c r="AJ346" s="49">
        <f>TABL12345[[#This Row],[(A/B TOT) AJD]]-TABL12345[[#This Row],[BER_ IN]]</f>
        <v>0</v>
      </c>
      <c r="AK346" s="43"/>
      <c r="AL346" s="43"/>
      <c r="AM346" s="32"/>
      <c r="AN346" s="32">
        <f>TABL12345[[#This Row],[ (RESV. STORGE) SER]]/10</f>
        <v>0</v>
      </c>
      <c r="AO346" s="68"/>
      <c r="AP346" s="68">
        <f>TABL12345[[#This Row],[(A/S TOT) AJD]]-TABL12345[[#This Row],[SER_ IN]]</f>
        <v>0</v>
      </c>
    </row>
    <row r="347" spans="1:42" ht="18.75" x14ac:dyDescent="0.25">
      <c r="A347" s="2">
        <v>47464</v>
      </c>
      <c r="B347" s="44"/>
      <c r="C347" s="44"/>
      <c r="D347" s="44"/>
      <c r="E347" s="44"/>
      <c r="F347" s="44"/>
      <c r="G347" s="40"/>
      <c r="H347" s="44"/>
      <c r="I347" s="40"/>
      <c r="J347" s="44"/>
      <c r="K347" s="28">
        <f>TABL12345[[#This Row],[خط (T/B  TOT) SAR]]+TABL12345[[#This Row],[خط (S/S  TOT) SAR2]]</f>
        <v>0</v>
      </c>
      <c r="L347" s="45"/>
      <c r="M347" s="46"/>
      <c r="N347" s="46"/>
      <c r="O347" s="40"/>
      <c r="P347" s="9">
        <f>TABL12345[[#This Row],[خط (S/S  TOT) SAR2]]-TABL12345[[#This Row],[(S/S TOT) AJD]]</f>
        <v>0</v>
      </c>
      <c r="Q347" s="40"/>
      <c r="R347" s="9">
        <f>TABL12345[[#This Row],[خط (T/B  TOT) SAR]]-TABL12345[[#This Row],[(T/B TOT) AJD]]</f>
        <v>0</v>
      </c>
      <c r="S347" s="9">
        <f>TABL12345[[#This Row],[الفرق بين بداية ونهاية خط  S/S]]+TABL12345[[#This Row],[الفرق بين بداية ونهاية خط  T/B]]</f>
        <v>0</v>
      </c>
      <c r="T347" s="9">
        <f t="shared" si="20"/>
        <v>0</v>
      </c>
      <c r="U347" s="44"/>
      <c r="V347" s="44"/>
      <c r="W347" s="9">
        <f t="shared" si="21"/>
        <v>0</v>
      </c>
      <c r="X347" s="9">
        <f t="shared" si="22"/>
        <v>0</v>
      </c>
      <c r="Y347" s="44"/>
      <c r="Z347" s="45"/>
      <c r="AA347" s="3">
        <f>TABL12345[[#This Row],[(RESV. STORGE) AJD]]/10</f>
        <v>0</v>
      </c>
      <c r="AB347" s="45">
        <f t="shared" si="23"/>
        <v>0</v>
      </c>
      <c r="AC347" s="5"/>
      <c r="AD347" s="40">
        <f>(TABL12345[[#This Row],[( S/S+T/B) AJD]]*1000)-((TABL12345[[#This Row],[(STORGE DIFF.) AJD]]*1000)+TABL12345[[#This Row],[البخر  AJD]]+(TABL12345[[#This Row],[(A/B + A/S) AJD]]*1000))</f>
        <v>0</v>
      </c>
      <c r="AE347" s="44"/>
      <c r="AF347" s="45"/>
      <c r="AG347" s="45"/>
      <c r="AH347" s="6">
        <f>TABL12345[[#This Row],[ (RESV. STORGE) BER]]/10</f>
        <v>0</v>
      </c>
      <c r="AI347" s="44"/>
      <c r="AJ347" s="44">
        <f>TABL12345[[#This Row],[(A/B TOT) AJD]]-TABL12345[[#This Row],[BER_ IN]]</f>
        <v>0</v>
      </c>
      <c r="AK347" s="45"/>
      <c r="AL347" s="45"/>
      <c r="AM347" s="32"/>
      <c r="AN347" s="32">
        <f>TABL12345[[#This Row],[ (RESV. STORGE) SER]]/10</f>
        <v>0</v>
      </c>
      <c r="AO347" s="68"/>
      <c r="AP347" s="68">
        <f>TABL12345[[#This Row],[(A/S TOT) AJD]]-TABL12345[[#This Row],[SER_ IN]]</f>
        <v>0</v>
      </c>
    </row>
    <row r="348" spans="1:42" ht="18.75" x14ac:dyDescent="0.25">
      <c r="A348" s="2">
        <v>47465</v>
      </c>
      <c r="B348" s="41"/>
      <c r="C348" s="41"/>
      <c r="D348" s="41"/>
      <c r="E348" s="41"/>
      <c r="F348" s="41"/>
      <c r="G348" s="39"/>
      <c r="H348" s="41"/>
      <c r="I348" s="39"/>
      <c r="J348" s="39"/>
      <c r="K348" s="28">
        <f>TABL12345[[#This Row],[خط (T/B  TOT) SAR]]+TABL12345[[#This Row],[خط (S/S  TOT) SAR2]]</f>
        <v>0</v>
      </c>
      <c r="L348" s="41"/>
      <c r="M348" s="42"/>
      <c r="N348" s="42"/>
      <c r="O348" s="39"/>
      <c r="P348" s="9">
        <f>TABL12345[[#This Row],[خط (S/S  TOT) SAR2]]-TABL12345[[#This Row],[(S/S TOT) AJD]]</f>
        <v>0</v>
      </c>
      <c r="Q348" s="39"/>
      <c r="R348" s="9">
        <f>TABL12345[[#This Row],[خط (T/B  TOT) SAR]]-TABL12345[[#This Row],[(T/B TOT) AJD]]</f>
        <v>0</v>
      </c>
      <c r="S348" s="9">
        <f>TABL12345[[#This Row],[الفرق بين بداية ونهاية خط  S/S]]+TABL12345[[#This Row],[الفرق بين بداية ونهاية خط  T/B]]</f>
        <v>0</v>
      </c>
      <c r="T348" s="9">
        <f t="shared" si="20"/>
        <v>0</v>
      </c>
      <c r="U348" s="41"/>
      <c r="V348" s="41"/>
      <c r="W348" s="9">
        <f t="shared" si="21"/>
        <v>0</v>
      </c>
      <c r="X348" s="9">
        <f t="shared" si="22"/>
        <v>0</v>
      </c>
      <c r="Y348" s="41"/>
      <c r="Z348" s="43"/>
      <c r="AA348" s="3">
        <f>TABL12345[[#This Row],[(RESV. STORGE) AJD]]/10</f>
        <v>0</v>
      </c>
      <c r="AB348" s="43">
        <f t="shared" si="23"/>
        <v>0</v>
      </c>
      <c r="AC348" s="5"/>
      <c r="AD348" s="39">
        <f>(TABL12345[[#This Row],[( S/S+T/B) AJD]]*1000)-((TABL12345[[#This Row],[(STORGE DIFF.) AJD]]*1000)+TABL12345[[#This Row],[البخر  AJD]]+(TABL12345[[#This Row],[(A/B + A/S) AJD]]*1000))</f>
        <v>0</v>
      </c>
      <c r="AE348" s="41"/>
      <c r="AF348" s="43"/>
      <c r="AG348" s="43"/>
      <c r="AH348" s="6">
        <f>TABL12345[[#This Row],[ (RESV. STORGE) BER]]/10</f>
        <v>0</v>
      </c>
      <c r="AI348" s="41"/>
      <c r="AJ348" s="41">
        <f>TABL12345[[#This Row],[(A/B TOT) AJD]]-TABL12345[[#This Row],[BER_ IN]]</f>
        <v>0</v>
      </c>
      <c r="AK348" s="43"/>
      <c r="AL348" s="43"/>
      <c r="AM348" s="32"/>
      <c r="AN348" s="32">
        <f>TABL12345[[#This Row],[ (RESV. STORGE) SER]]/10</f>
        <v>0</v>
      </c>
      <c r="AO348" s="68"/>
      <c r="AP348" s="68">
        <f>TABL12345[[#This Row],[(A/S TOT) AJD]]-TABL12345[[#This Row],[SER_ IN]]</f>
        <v>0</v>
      </c>
    </row>
    <row r="349" spans="1:42" ht="18.75" x14ac:dyDescent="0.25">
      <c r="A349" s="2">
        <v>47466</v>
      </c>
      <c r="B349" s="44"/>
      <c r="C349" s="44"/>
      <c r="D349" s="44"/>
      <c r="E349" s="44"/>
      <c r="F349" s="44"/>
      <c r="G349" s="40"/>
      <c r="H349" s="44"/>
      <c r="I349" s="40"/>
      <c r="J349" s="44"/>
      <c r="K349" s="28">
        <f>TABL12345[[#This Row],[خط (T/B  TOT) SAR]]+TABL12345[[#This Row],[خط (S/S  TOT) SAR2]]</f>
        <v>0</v>
      </c>
      <c r="L349" s="45"/>
      <c r="M349" s="46"/>
      <c r="N349" s="46"/>
      <c r="O349" s="40"/>
      <c r="P349" s="9">
        <f>TABL12345[[#This Row],[خط (S/S  TOT) SAR2]]-TABL12345[[#This Row],[(S/S TOT) AJD]]</f>
        <v>0</v>
      </c>
      <c r="Q349" s="40"/>
      <c r="R349" s="9">
        <f>TABL12345[[#This Row],[خط (T/B  TOT) SAR]]-TABL12345[[#This Row],[(T/B TOT) AJD]]</f>
        <v>0</v>
      </c>
      <c r="S349" s="9">
        <f>TABL12345[[#This Row],[الفرق بين بداية ونهاية خط  S/S]]+TABL12345[[#This Row],[الفرق بين بداية ونهاية خط  T/B]]</f>
        <v>0</v>
      </c>
      <c r="T349" s="9">
        <f t="shared" si="20"/>
        <v>0</v>
      </c>
      <c r="U349" s="44"/>
      <c r="V349" s="44"/>
      <c r="W349" s="9">
        <f t="shared" si="21"/>
        <v>0</v>
      </c>
      <c r="X349" s="9">
        <f t="shared" si="22"/>
        <v>0</v>
      </c>
      <c r="Y349" s="44"/>
      <c r="Z349" s="45"/>
      <c r="AA349" s="3">
        <f>TABL12345[[#This Row],[(RESV. STORGE) AJD]]/10</f>
        <v>0</v>
      </c>
      <c r="AB349" s="45">
        <f t="shared" si="23"/>
        <v>0</v>
      </c>
      <c r="AC349" s="5"/>
      <c r="AD349" s="40">
        <f>(TABL12345[[#This Row],[( S/S+T/B) AJD]]*1000)-((TABL12345[[#This Row],[(STORGE DIFF.) AJD]]*1000)+TABL12345[[#This Row],[البخر  AJD]]+(TABL12345[[#This Row],[(A/B + A/S) AJD]]*1000))</f>
        <v>0</v>
      </c>
      <c r="AE349" s="44"/>
      <c r="AF349" s="45"/>
      <c r="AG349" s="45"/>
      <c r="AH349" s="6">
        <f>TABL12345[[#This Row],[ (RESV. STORGE) BER]]/10</f>
        <v>0</v>
      </c>
      <c r="AI349" s="44"/>
      <c r="AJ349" s="44">
        <f>TABL12345[[#This Row],[(A/B TOT) AJD]]-TABL12345[[#This Row],[BER_ IN]]</f>
        <v>0</v>
      </c>
      <c r="AK349" s="45"/>
      <c r="AL349" s="45"/>
      <c r="AM349" s="32"/>
      <c r="AN349" s="32">
        <f>TABL12345[[#This Row],[ (RESV. STORGE) SER]]/10</f>
        <v>0</v>
      </c>
      <c r="AO349" s="68"/>
      <c r="AP349" s="68">
        <f>TABL12345[[#This Row],[(A/S TOT) AJD]]-TABL12345[[#This Row],[SER_ IN]]</f>
        <v>0</v>
      </c>
    </row>
    <row r="350" spans="1:42" ht="18.75" x14ac:dyDescent="0.25">
      <c r="A350" s="2">
        <v>47467</v>
      </c>
      <c r="B350" s="41"/>
      <c r="C350" s="41"/>
      <c r="D350" s="41"/>
      <c r="E350" s="41"/>
      <c r="F350" s="41"/>
      <c r="G350" s="39"/>
      <c r="H350" s="41"/>
      <c r="I350" s="39"/>
      <c r="J350" s="39"/>
      <c r="K350" s="28">
        <f>TABL12345[[#This Row],[خط (T/B  TOT) SAR]]+TABL12345[[#This Row],[خط (S/S  TOT) SAR2]]</f>
        <v>0</v>
      </c>
      <c r="L350" s="41"/>
      <c r="M350" s="42"/>
      <c r="N350" s="42"/>
      <c r="O350" s="39"/>
      <c r="P350" s="9">
        <f>TABL12345[[#This Row],[خط (S/S  TOT) SAR2]]-TABL12345[[#This Row],[(S/S TOT) AJD]]</f>
        <v>0</v>
      </c>
      <c r="Q350" s="39"/>
      <c r="R350" s="9">
        <f>TABL12345[[#This Row],[خط (T/B  TOT) SAR]]-TABL12345[[#This Row],[(T/B TOT) AJD]]</f>
        <v>0</v>
      </c>
      <c r="S350" s="9">
        <f>TABL12345[[#This Row],[الفرق بين بداية ونهاية خط  S/S]]+TABL12345[[#This Row],[الفرق بين بداية ونهاية خط  T/B]]</f>
        <v>0</v>
      </c>
      <c r="T350" s="9">
        <f t="shared" si="20"/>
        <v>0</v>
      </c>
      <c r="U350" s="41"/>
      <c r="V350" s="41"/>
      <c r="W350" s="9">
        <f t="shared" si="21"/>
        <v>0</v>
      </c>
      <c r="X350" s="9">
        <f t="shared" si="22"/>
        <v>0</v>
      </c>
      <c r="Y350" s="41"/>
      <c r="Z350" s="43"/>
      <c r="AA350" s="3">
        <f>TABL12345[[#This Row],[(RESV. STORGE) AJD]]/10</f>
        <v>0</v>
      </c>
      <c r="AB350" s="43">
        <f t="shared" si="23"/>
        <v>0</v>
      </c>
      <c r="AC350" s="5"/>
      <c r="AD350" s="39">
        <f>(TABL12345[[#This Row],[( S/S+T/B) AJD]]*1000)-((TABL12345[[#This Row],[(STORGE DIFF.) AJD]]*1000)+TABL12345[[#This Row],[البخر  AJD]]+(TABL12345[[#This Row],[(A/B + A/S) AJD]]*1000))</f>
        <v>0</v>
      </c>
      <c r="AE350" s="41"/>
      <c r="AF350" s="43"/>
      <c r="AG350" s="43"/>
      <c r="AH350" s="6">
        <f>TABL12345[[#This Row],[ (RESV. STORGE) BER]]/10</f>
        <v>0</v>
      </c>
      <c r="AI350" s="41"/>
      <c r="AJ350" s="41">
        <f>TABL12345[[#This Row],[(A/B TOT) AJD]]-TABL12345[[#This Row],[BER_ IN]]</f>
        <v>0</v>
      </c>
      <c r="AK350" s="43"/>
      <c r="AL350" s="43"/>
      <c r="AM350" s="32"/>
      <c r="AN350" s="32">
        <f>TABL12345[[#This Row],[ (RESV. STORGE) SER]]/10</f>
        <v>0</v>
      </c>
      <c r="AO350" s="68"/>
      <c r="AP350" s="68">
        <f>TABL12345[[#This Row],[(A/S TOT) AJD]]-TABL12345[[#This Row],[SER_ IN]]</f>
        <v>0</v>
      </c>
    </row>
    <row r="351" spans="1:42" ht="18.75" x14ac:dyDescent="0.25">
      <c r="A351" s="2">
        <v>47468</v>
      </c>
      <c r="B351" s="44"/>
      <c r="C351" s="44"/>
      <c r="D351" s="44"/>
      <c r="E351" s="44"/>
      <c r="F351" s="44"/>
      <c r="G351" s="40"/>
      <c r="H351" s="44"/>
      <c r="I351" s="40"/>
      <c r="J351" s="44"/>
      <c r="K351" s="28">
        <f>TABL12345[[#This Row],[خط (T/B  TOT) SAR]]+TABL12345[[#This Row],[خط (S/S  TOT) SAR2]]</f>
        <v>0</v>
      </c>
      <c r="L351" s="45"/>
      <c r="M351" s="46"/>
      <c r="N351" s="46"/>
      <c r="O351" s="40"/>
      <c r="P351" s="9">
        <f>TABL12345[[#This Row],[خط (S/S  TOT) SAR2]]-TABL12345[[#This Row],[(S/S TOT) AJD]]</f>
        <v>0</v>
      </c>
      <c r="Q351" s="40"/>
      <c r="R351" s="9">
        <f>TABL12345[[#This Row],[خط (T/B  TOT) SAR]]-TABL12345[[#This Row],[(T/B TOT) AJD]]</f>
        <v>0</v>
      </c>
      <c r="S351" s="9">
        <f>TABL12345[[#This Row],[الفرق بين بداية ونهاية خط  S/S]]+TABL12345[[#This Row],[الفرق بين بداية ونهاية خط  T/B]]</f>
        <v>0</v>
      </c>
      <c r="T351" s="9">
        <f t="shared" si="20"/>
        <v>0</v>
      </c>
      <c r="U351" s="44"/>
      <c r="V351" s="44"/>
      <c r="W351" s="9">
        <f t="shared" si="21"/>
        <v>0</v>
      </c>
      <c r="X351" s="9">
        <f t="shared" si="22"/>
        <v>0</v>
      </c>
      <c r="Y351" s="44"/>
      <c r="Z351" s="45"/>
      <c r="AA351" s="3">
        <f>TABL12345[[#This Row],[(RESV. STORGE) AJD]]/10</f>
        <v>0</v>
      </c>
      <c r="AB351" s="45">
        <f t="shared" si="23"/>
        <v>0</v>
      </c>
      <c r="AC351" s="5"/>
      <c r="AD351" s="40">
        <f>(TABL12345[[#This Row],[( S/S+T/B) AJD]]*1000)-((TABL12345[[#This Row],[(STORGE DIFF.) AJD]]*1000)+TABL12345[[#This Row],[البخر  AJD]]+(TABL12345[[#This Row],[(A/B + A/S) AJD]]*1000))</f>
        <v>0</v>
      </c>
      <c r="AE351" s="44"/>
      <c r="AF351" s="45"/>
      <c r="AG351" s="45"/>
      <c r="AH351" s="6">
        <f>TABL12345[[#This Row],[ (RESV. STORGE) BER]]/10</f>
        <v>0</v>
      </c>
      <c r="AI351" s="44"/>
      <c r="AJ351" s="44">
        <f>TABL12345[[#This Row],[(A/B TOT) AJD]]-TABL12345[[#This Row],[BER_ IN]]</f>
        <v>0</v>
      </c>
      <c r="AK351" s="45"/>
      <c r="AL351" s="45"/>
      <c r="AM351" s="32"/>
      <c r="AN351" s="32">
        <f>TABL12345[[#This Row],[ (RESV. STORGE) SER]]/10</f>
        <v>0</v>
      </c>
      <c r="AO351" s="68"/>
      <c r="AP351" s="68">
        <f>TABL12345[[#This Row],[(A/S TOT) AJD]]-TABL12345[[#This Row],[SER_ IN]]</f>
        <v>0</v>
      </c>
    </row>
    <row r="352" spans="1:42" ht="18.75" x14ac:dyDescent="0.25">
      <c r="A352" s="2">
        <v>47469</v>
      </c>
      <c r="B352" s="41"/>
      <c r="C352" s="41"/>
      <c r="D352" s="41"/>
      <c r="E352" s="41"/>
      <c r="F352" s="41"/>
      <c r="G352" s="39"/>
      <c r="H352" s="41"/>
      <c r="I352" s="39"/>
      <c r="J352" s="39"/>
      <c r="K352" s="28">
        <f>TABL12345[[#This Row],[خط (T/B  TOT) SAR]]+TABL12345[[#This Row],[خط (S/S  TOT) SAR2]]</f>
        <v>0</v>
      </c>
      <c r="L352" s="41"/>
      <c r="M352" s="42"/>
      <c r="N352" s="42"/>
      <c r="O352" s="39"/>
      <c r="P352" s="9">
        <f>TABL12345[[#This Row],[خط (S/S  TOT) SAR2]]-TABL12345[[#This Row],[(S/S TOT) AJD]]</f>
        <v>0</v>
      </c>
      <c r="Q352" s="39"/>
      <c r="R352" s="9">
        <f>TABL12345[[#This Row],[خط (T/B  TOT) SAR]]-TABL12345[[#This Row],[(T/B TOT) AJD]]</f>
        <v>0</v>
      </c>
      <c r="S352" s="9">
        <f>TABL12345[[#This Row],[الفرق بين بداية ونهاية خط  S/S]]+TABL12345[[#This Row],[الفرق بين بداية ونهاية خط  T/B]]</f>
        <v>0</v>
      </c>
      <c r="T352" s="9">
        <f t="shared" si="20"/>
        <v>0</v>
      </c>
      <c r="U352" s="41"/>
      <c r="V352" s="41"/>
      <c r="W352" s="9">
        <f t="shared" si="21"/>
        <v>0</v>
      </c>
      <c r="X352" s="9">
        <f t="shared" si="22"/>
        <v>0</v>
      </c>
      <c r="Y352" s="41"/>
      <c r="Z352" s="43"/>
      <c r="AA352" s="3">
        <f>TABL12345[[#This Row],[(RESV. STORGE) AJD]]/10</f>
        <v>0</v>
      </c>
      <c r="AB352" s="43">
        <f t="shared" si="23"/>
        <v>0</v>
      </c>
      <c r="AC352" s="5"/>
      <c r="AD352" s="39">
        <f>(TABL12345[[#This Row],[( S/S+T/B) AJD]]*1000)-((TABL12345[[#This Row],[(STORGE DIFF.) AJD]]*1000)+TABL12345[[#This Row],[البخر  AJD]]+(TABL12345[[#This Row],[(A/B + A/S) AJD]]*1000))</f>
        <v>0</v>
      </c>
      <c r="AE352" s="41"/>
      <c r="AF352" s="43"/>
      <c r="AG352" s="43"/>
      <c r="AH352" s="6">
        <f>TABL12345[[#This Row],[ (RESV. STORGE) BER]]/10</f>
        <v>0</v>
      </c>
      <c r="AI352" s="41"/>
      <c r="AJ352" s="41">
        <f>TABL12345[[#This Row],[(A/B TOT) AJD]]-TABL12345[[#This Row],[BER_ IN]]</f>
        <v>0</v>
      </c>
      <c r="AK352" s="43"/>
      <c r="AL352" s="43"/>
      <c r="AM352" s="32"/>
      <c r="AN352" s="32">
        <f>TABL12345[[#This Row],[ (RESV. STORGE) SER]]/10</f>
        <v>0</v>
      </c>
      <c r="AO352" s="68"/>
      <c r="AP352" s="68">
        <f>TABL12345[[#This Row],[(A/S TOT) AJD]]-TABL12345[[#This Row],[SER_ IN]]</f>
        <v>0</v>
      </c>
    </row>
    <row r="353" spans="1:42" ht="18.75" x14ac:dyDescent="0.25">
      <c r="A353" s="2">
        <v>47470</v>
      </c>
      <c r="B353" s="44"/>
      <c r="C353" s="44"/>
      <c r="D353" s="44"/>
      <c r="E353" s="44"/>
      <c r="F353" s="44"/>
      <c r="G353" s="40"/>
      <c r="H353" s="44"/>
      <c r="I353" s="40"/>
      <c r="J353" s="44"/>
      <c r="K353" s="28">
        <f>TABL12345[[#This Row],[خط (T/B  TOT) SAR]]+TABL12345[[#This Row],[خط (S/S  TOT) SAR2]]</f>
        <v>0</v>
      </c>
      <c r="L353" s="45"/>
      <c r="M353" s="46"/>
      <c r="N353" s="46"/>
      <c r="O353" s="40"/>
      <c r="P353" s="9">
        <f>TABL12345[[#This Row],[خط (S/S  TOT) SAR2]]-TABL12345[[#This Row],[(S/S TOT) AJD]]</f>
        <v>0</v>
      </c>
      <c r="Q353" s="40"/>
      <c r="R353" s="9">
        <f>TABL12345[[#This Row],[خط (T/B  TOT) SAR]]-TABL12345[[#This Row],[(T/B TOT) AJD]]</f>
        <v>0</v>
      </c>
      <c r="S353" s="9">
        <f>TABL12345[[#This Row],[الفرق بين بداية ونهاية خط  S/S]]+TABL12345[[#This Row],[الفرق بين بداية ونهاية خط  T/B]]</f>
        <v>0</v>
      </c>
      <c r="T353" s="9">
        <f t="shared" si="20"/>
        <v>0</v>
      </c>
      <c r="U353" s="44"/>
      <c r="V353" s="44"/>
      <c r="W353" s="9">
        <f t="shared" si="21"/>
        <v>0</v>
      </c>
      <c r="X353" s="9">
        <f t="shared" si="22"/>
        <v>0</v>
      </c>
      <c r="Y353" s="44"/>
      <c r="Z353" s="45"/>
      <c r="AA353" s="3">
        <f>TABL12345[[#This Row],[(RESV. STORGE) AJD]]/10</f>
        <v>0</v>
      </c>
      <c r="AB353" s="45">
        <f t="shared" si="23"/>
        <v>0</v>
      </c>
      <c r="AC353" s="5"/>
      <c r="AD353" s="40">
        <f>(TABL12345[[#This Row],[( S/S+T/B) AJD]]*1000)-((TABL12345[[#This Row],[(STORGE DIFF.) AJD]]*1000)+TABL12345[[#This Row],[البخر  AJD]]+(TABL12345[[#This Row],[(A/B + A/S) AJD]]*1000))</f>
        <v>0</v>
      </c>
      <c r="AE353" s="44"/>
      <c r="AF353" s="45"/>
      <c r="AG353" s="45"/>
      <c r="AH353" s="6">
        <f>TABL12345[[#This Row],[ (RESV. STORGE) BER]]/10</f>
        <v>0</v>
      </c>
      <c r="AI353" s="44"/>
      <c r="AJ353" s="44">
        <f>TABL12345[[#This Row],[(A/B TOT) AJD]]-TABL12345[[#This Row],[BER_ IN]]</f>
        <v>0</v>
      </c>
      <c r="AK353" s="45"/>
      <c r="AL353" s="45"/>
      <c r="AM353" s="32"/>
      <c r="AN353" s="32">
        <f>TABL12345[[#This Row],[ (RESV. STORGE) SER]]/10</f>
        <v>0</v>
      </c>
      <c r="AO353" s="68"/>
      <c r="AP353" s="68">
        <f>TABL12345[[#This Row],[(A/S TOT) AJD]]-TABL12345[[#This Row],[SER_ IN]]</f>
        <v>0</v>
      </c>
    </row>
    <row r="354" spans="1:42" ht="18.75" x14ac:dyDescent="0.25">
      <c r="A354" s="2">
        <v>47471</v>
      </c>
      <c r="B354" s="41"/>
      <c r="C354" s="41"/>
      <c r="D354" s="41"/>
      <c r="E354" s="41"/>
      <c r="F354" s="41"/>
      <c r="G354" s="39"/>
      <c r="H354" s="41"/>
      <c r="I354" s="39"/>
      <c r="J354" s="39"/>
      <c r="K354" s="28">
        <f>TABL12345[[#This Row],[خط (T/B  TOT) SAR]]+TABL12345[[#This Row],[خط (S/S  TOT) SAR2]]</f>
        <v>0</v>
      </c>
      <c r="L354" s="41"/>
      <c r="M354" s="42"/>
      <c r="N354" s="42"/>
      <c r="O354" s="39"/>
      <c r="P354" s="9">
        <f>TABL12345[[#This Row],[خط (S/S  TOT) SAR2]]-TABL12345[[#This Row],[(S/S TOT) AJD]]</f>
        <v>0</v>
      </c>
      <c r="Q354" s="39"/>
      <c r="R354" s="9">
        <f>TABL12345[[#This Row],[خط (T/B  TOT) SAR]]-TABL12345[[#This Row],[(T/B TOT) AJD]]</f>
        <v>0</v>
      </c>
      <c r="S354" s="9">
        <f>TABL12345[[#This Row],[الفرق بين بداية ونهاية خط  S/S]]+TABL12345[[#This Row],[الفرق بين بداية ونهاية خط  T/B]]</f>
        <v>0</v>
      </c>
      <c r="T354" s="9">
        <f t="shared" si="20"/>
        <v>0</v>
      </c>
      <c r="U354" s="41"/>
      <c r="V354" s="41"/>
      <c r="W354" s="9">
        <f t="shared" si="21"/>
        <v>0</v>
      </c>
      <c r="X354" s="9">
        <f t="shared" si="22"/>
        <v>0</v>
      </c>
      <c r="Y354" s="41"/>
      <c r="Z354" s="43"/>
      <c r="AA354" s="3">
        <f>TABL12345[[#This Row],[(RESV. STORGE) AJD]]/10</f>
        <v>0</v>
      </c>
      <c r="AB354" s="43">
        <f t="shared" si="23"/>
        <v>0</v>
      </c>
      <c r="AC354" s="5"/>
      <c r="AD354" s="39">
        <f>(TABL12345[[#This Row],[( S/S+T/B) AJD]]*1000)-((TABL12345[[#This Row],[(STORGE DIFF.) AJD]]*1000)+TABL12345[[#This Row],[البخر  AJD]]+(TABL12345[[#This Row],[(A/B + A/S) AJD]]*1000))</f>
        <v>0</v>
      </c>
      <c r="AE354" s="41"/>
      <c r="AF354" s="43"/>
      <c r="AG354" s="43"/>
      <c r="AH354" s="6">
        <f>TABL12345[[#This Row],[ (RESV. STORGE) BER]]/10</f>
        <v>0</v>
      </c>
      <c r="AI354" s="41"/>
      <c r="AJ354" s="41">
        <f>TABL12345[[#This Row],[(A/B TOT) AJD]]-TABL12345[[#This Row],[BER_ IN]]</f>
        <v>0</v>
      </c>
      <c r="AK354" s="43"/>
      <c r="AL354" s="43"/>
      <c r="AM354" s="32"/>
      <c r="AN354" s="32">
        <f>TABL12345[[#This Row],[ (RESV. STORGE) SER]]/10</f>
        <v>0</v>
      </c>
      <c r="AO354" s="68"/>
      <c r="AP354" s="68">
        <f>TABL12345[[#This Row],[(A/S TOT) AJD]]-TABL12345[[#This Row],[SER_ IN]]</f>
        <v>0</v>
      </c>
    </row>
    <row r="355" spans="1:42" ht="18.75" x14ac:dyDescent="0.25">
      <c r="A355" s="2">
        <v>47472</v>
      </c>
      <c r="B355" s="44"/>
      <c r="C355" s="44"/>
      <c r="D355" s="44"/>
      <c r="E355" s="44"/>
      <c r="F355" s="44"/>
      <c r="G355" s="40"/>
      <c r="H355" s="44"/>
      <c r="I355" s="40"/>
      <c r="J355" s="44"/>
      <c r="K355" s="28">
        <f>TABL12345[[#This Row],[خط (T/B  TOT) SAR]]+TABL12345[[#This Row],[خط (S/S  TOT) SAR2]]</f>
        <v>0</v>
      </c>
      <c r="L355" s="45"/>
      <c r="M355" s="46"/>
      <c r="N355" s="46"/>
      <c r="O355" s="40"/>
      <c r="P355" s="9">
        <f>TABL12345[[#This Row],[خط (S/S  TOT) SAR2]]-TABL12345[[#This Row],[(S/S TOT) AJD]]</f>
        <v>0</v>
      </c>
      <c r="Q355" s="40"/>
      <c r="R355" s="9">
        <f>TABL12345[[#This Row],[خط (T/B  TOT) SAR]]-TABL12345[[#This Row],[(T/B TOT) AJD]]</f>
        <v>0</v>
      </c>
      <c r="S355" s="9">
        <f>TABL12345[[#This Row],[الفرق بين بداية ونهاية خط  S/S]]+TABL12345[[#This Row],[الفرق بين بداية ونهاية خط  T/B]]</f>
        <v>0</v>
      </c>
      <c r="T355" s="9">
        <f t="shared" si="20"/>
        <v>0</v>
      </c>
      <c r="U355" s="44"/>
      <c r="V355" s="44"/>
      <c r="W355" s="9">
        <f t="shared" si="21"/>
        <v>0</v>
      </c>
      <c r="X355" s="9">
        <f t="shared" si="22"/>
        <v>0</v>
      </c>
      <c r="Y355" s="44"/>
      <c r="Z355" s="45"/>
      <c r="AA355" s="3">
        <f>TABL12345[[#This Row],[(RESV. STORGE) AJD]]/10</f>
        <v>0</v>
      </c>
      <c r="AB355" s="45">
        <f t="shared" si="23"/>
        <v>0</v>
      </c>
      <c r="AC355" s="5"/>
      <c r="AD355" s="40">
        <f>(TABL12345[[#This Row],[( S/S+T/B) AJD]]*1000)-((TABL12345[[#This Row],[(STORGE DIFF.) AJD]]*1000)+TABL12345[[#This Row],[البخر  AJD]]+(TABL12345[[#This Row],[(A/B + A/S) AJD]]*1000))</f>
        <v>0</v>
      </c>
      <c r="AE355" s="44"/>
      <c r="AF355" s="45"/>
      <c r="AG355" s="45"/>
      <c r="AH355" s="6">
        <f>TABL12345[[#This Row],[ (RESV. STORGE) BER]]/10</f>
        <v>0</v>
      </c>
      <c r="AI355" s="44"/>
      <c r="AJ355" s="44">
        <f>TABL12345[[#This Row],[(A/B TOT) AJD]]-TABL12345[[#This Row],[BER_ IN]]</f>
        <v>0</v>
      </c>
      <c r="AK355" s="45"/>
      <c r="AL355" s="45"/>
      <c r="AM355" s="32"/>
      <c r="AN355" s="32">
        <f>TABL12345[[#This Row],[ (RESV. STORGE) SER]]/10</f>
        <v>0</v>
      </c>
      <c r="AO355" s="68"/>
      <c r="AP355" s="68">
        <f>TABL12345[[#This Row],[(A/S TOT) AJD]]-TABL12345[[#This Row],[SER_ IN]]</f>
        <v>0</v>
      </c>
    </row>
    <row r="356" spans="1:42" ht="18.75" x14ac:dyDescent="0.25">
      <c r="A356" s="2">
        <v>47473</v>
      </c>
      <c r="B356" s="41"/>
      <c r="C356" s="41"/>
      <c r="D356" s="41"/>
      <c r="E356" s="41"/>
      <c r="F356" s="41"/>
      <c r="G356" s="39"/>
      <c r="H356" s="41"/>
      <c r="I356" s="39"/>
      <c r="J356" s="39"/>
      <c r="K356" s="28">
        <f>TABL12345[[#This Row],[خط (T/B  TOT) SAR]]+TABL12345[[#This Row],[خط (S/S  TOT) SAR2]]</f>
        <v>0</v>
      </c>
      <c r="L356" s="41"/>
      <c r="M356" s="42"/>
      <c r="N356" s="42"/>
      <c r="O356" s="39"/>
      <c r="P356" s="9">
        <f>TABL12345[[#This Row],[خط (S/S  TOT) SAR2]]-TABL12345[[#This Row],[(S/S TOT) AJD]]</f>
        <v>0</v>
      </c>
      <c r="Q356" s="39"/>
      <c r="R356" s="9">
        <f>TABL12345[[#This Row],[خط (T/B  TOT) SAR]]-TABL12345[[#This Row],[(T/B TOT) AJD]]</f>
        <v>0</v>
      </c>
      <c r="S356" s="9">
        <f>TABL12345[[#This Row],[الفرق بين بداية ونهاية خط  S/S]]+TABL12345[[#This Row],[الفرق بين بداية ونهاية خط  T/B]]</f>
        <v>0</v>
      </c>
      <c r="T356" s="9">
        <f t="shared" si="20"/>
        <v>0</v>
      </c>
      <c r="U356" s="41"/>
      <c r="V356" s="41"/>
      <c r="W356" s="9">
        <f t="shared" si="21"/>
        <v>0</v>
      </c>
      <c r="X356" s="9">
        <f t="shared" si="22"/>
        <v>0</v>
      </c>
      <c r="Y356" s="41"/>
      <c r="Z356" s="43"/>
      <c r="AA356" s="3">
        <f>TABL12345[[#This Row],[(RESV. STORGE) AJD]]/10</f>
        <v>0</v>
      </c>
      <c r="AB356" s="43">
        <f t="shared" si="23"/>
        <v>0</v>
      </c>
      <c r="AC356" s="5"/>
      <c r="AD356" s="39">
        <f>(TABL12345[[#This Row],[( S/S+T/B) AJD]]*1000)-((TABL12345[[#This Row],[(STORGE DIFF.) AJD]]*1000)+TABL12345[[#This Row],[البخر  AJD]]+(TABL12345[[#This Row],[(A/B + A/S) AJD]]*1000))</f>
        <v>0</v>
      </c>
      <c r="AE356" s="41"/>
      <c r="AF356" s="43"/>
      <c r="AG356" s="43"/>
      <c r="AH356" s="6">
        <f>TABL12345[[#This Row],[ (RESV. STORGE) BER]]/10</f>
        <v>0</v>
      </c>
      <c r="AI356" s="41"/>
      <c r="AJ356" s="41">
        <f>TABL12345[[#This Row],[(A/B TOT) AJD]]-TABL12345[[#This Row],[BER_ IN]]</f>
        <v>0</v>
      </c>
      <c r="AK356" s="43"/>
      <c r="AL356" s="43"/>
      <c r="AM356" s="32"/>
      <c r="AN356" s="32">
        <f>TABL12345[[#This Row],[ (RESV. STORGE) SER]]/10</f>
        <v>0</v>
      </c>
      <c r="AO356" s="68"/>
      <c r="AP356" s="68">
        <f>TABL12345[[#This Row],[(A/S TOT) AJD]]-TABL12345[[#This Row],[SER_ IN]]</f>
        <v>0</v>
      </c>
    </row>
    <row r="357" spans="1:42" ht="18.75" x14ac:dyDescent="0.25">
      <c r="A357" s="2">
        <v>47474</v>
      </c>
      <c r="B357" s="44"/>
      <c r="C357" s="44"/>
      <c r="D357" s="44"/>
      <c r="E357" s="44"/>
      <c r="F357" s="44"/>
      <c r="G357" s="40"/>
      <c r="H357" s="44"/>
      <c r="I357" s="40"/>
      <c r="J357" s="44"/>
      <c r="K357" s="28">
        <f>TABL12345[[#This Row],[خط (T/B  TOT) SAR]]+TABL12345[[#This Row],[خط (S/S  TOT) SAR2]]</f>
        <v>0</v>
      </c>
      <c r="L357" s="45"/>
      <c r="M357" s="46"/>
      <c r="N357" s="46"/>
      <c r="O357" s="40"/>
      <c r="P357" s="9">
        <f>TABL12345[[#This Row],[خط (S/S  TOT) SAR2]]-TABL12345[[#This Row],[(S/S TOT) AJD]]</f>
        <v>0</v>
      </c>
      <c r="Q357" s="40"/>
      <c r="R357" s="9">
        <f>TABL12345[[#This Row],[خط (T/B  TOT) SAR]]-TABL12345[[#This Row],[(T/B TOT) AJD]]</f>
        <v>0</v>
      </c>
      <c r="S357" s="9">
        <f>TABL12345[[#This Row],[الفرق بين بداية ونهاية خط  S/S]]+TABL12345[[#This Row],[الفرق بين بداية ونهاية خط  T/B]]</f>
        <v>0</v>
      </c>
      <c r="T357" s="9">
        <f t="shared" si="20"/>
        <v>0</v>
      </c>
      <c r="U357" s="44"/>
      <c r="V357" s="44"/>
      <c r="W357" s="9">
        <f t="shared" si="21"/>
        <v>0</v>
      </c>
      <c r="X357" s="9">
        <f t="shared" si="22"/>
        <v>0</v>
      </c>
      <c r="Y357" s="44"/>
      <c r="Z357" s="45"/>
      <c r="AA357" s="3">
        <f>TABL12345[[#This Row],[(RESV. STORGE) AJD]]/10</f>
        <v>0</v>
      </c>
      <c r="AB357" s="45">
        <f t="shared" si="23"/>
        <v>0</v>
      </c>
      <c r="AC357" s="5"/>
      <c r="AD357" s="40">
        <f>(TABL12345[[#This Row],[( S/S+T/B) AJD]]*1000)-((TABL12345[[#This Row],[(STORGE DIFF.) AJD]]*1000)+TABL12345[[#This Row],[البخر  AJD]]+(TABL12345[[#This Row],[(A/B + A/S) AJD]]*1000))</f>
        <v>0</v>
      </c>
      <c r="AE357" s="44"/>
      <c r="AF357" s="45"/>
      <c r="AG357" s="45"/>
      <c r="AH357" s="6">
        <f>TABL12345[[#This Row],[ (RESV. STORGE) BER]]/10</f>
        <v>0</v>
      </c>
      <c r="AI357" s="44"/>
      <c r="AJ357" s="44">
        <f>TABL12345[[#This Row],[(A/B TOT) AJD]]-TABL12345[[#This Row],[BER_ IN]]</f>
        <v>0</v>
      </c>
      <c r="AK357" s="45"/>
      <c r="AL357" s="45"/>
      <c r="AM357" s="32"/>
      <c r="AN357" s="32">
        <f>TABL12345[[#This Row],[ (RESV. STORGE) SER]]/10</f>
        <v>0</v>
      </c>
      <c r="AO357" s="68"/>
      <c r="AP357" s="68">
        <f>TABL12345[[#This Row],[(A/S TOT) AJD]]-TABL12345[[#This Row],[SER_ IN]]</f>
        <v>0</v>
      </c>
    </row>
    <row r="358" spans="1:42" ht="18.75" x14ac:dyDescent="0.25">
      <c r="A358" s="2">
        <v>47475</v>
      </c>
      <c r="B358" s="41"/>
      <c r="C358" s="41"/>
      <c r="D358" s="41"/>
      <c r="E358" s="41"/>
      <c r="F358" s="41"/>
      <c r="G358" s="39"/>
      <c r="H358" s="41"/>
      <c r="I358" s="39"/>
      <c r="J358" s="39"/>
      <c r="K358" s="28">
        <f>TABL12345[[#This Row],[خط (T/B  TOT) SAR]]+TABL12345[[#This Row],[خط (S/S  TOT) SAR2]]</f>
        <v>0</v>
      </c>
      <c r="L358" s="41"/>
      <c r="M358" s="42"/>
      <c r="N358" s="42"/>
      <c r="O358" s="39"/>
      <c r="P358" s="9">
        <f>TABL12345[[#This Row],[خط (S/S  TOT) SAR2]]-TABL12345[[#This Row],[(S/S TOT) AJD]]</f>
        <v>0</v>
      </c>
      <c r="Q358" s="39"/>
      <c r="R358" s="9">
        <f>TABL12345[[#This Row],[خط (T/B  TOT) SAR]]-TABL12345[[#This Row],[(T/B TOT) AJD]]</f>
        <v>0</v>
      </c>
      <c r="S358" s="9">
        <f>TABL12345[[#This Row],[الفرق بين بداية ونهاية خط  S/S]]+TABL12345[[#This Row],[الفرق بين بداية ونهاية خط  T/B]]</f>
        <v>0</v>
      </c>
      <c r="T358" s="9">
        <f t="shared" si="20"/>
        <v>0</v>
      </c>
      <c r="U358" s="41"/>
      <c r="V358" s="41"/>
      <c r="W358" s="9">
        <f t="shared" si="21"/>
        <v>0</v>
      </c>
      <c r="X358" s="9">
        <f t="shared" si="22"/>
        <v>0</v>
      </c>
      <c r="Y358" s="41"/>
      <c r="Z358" s="43"/>
      <c r="AA358" s="3">
        <f>TABL12345[[#This Row],[(RESV. STORGE) AJD]]/10</f>
        <v>0</v>
      </c>
      <c r="AB358" s="43">
        <f t="shared" si="23"/>
        <v>0</v>
      </c>
      <c r="AC358" s="5"/>
      <c r="AD358" s="39">
        <f>(TABL12345[[#This Row],[( S/S+T/B) AJD]]*1000)-((TABL12345[[#This Row],[(STORGE DIFF.) AJD]]*1000)+TABL12345[[#This Row],[البخر  AJD]]+(TABL12345[[#This Row],[(A/B + A/S) AJD]]*1000))</f>
        <v>0</v>
      </c>
      <c r="AE358" s="41"/>
      <c r="AF358" s="43"/>
      <c r="AG358" s="43"/>
      <c r="AH358" s="6">
        <f>TABL12345[[#This Row],[ (RESV. STORGE) BER]]/10</f>
        <v>0</v>
      </c>
      <c r="AI358" s="41"/>
      <c r="AJ358" s="41">
        <f>TABL12345[[#This Row],[(A/B TOT) AJD]]-TABL12345[[#This Row],[BER_ IN]]</f>
        <v>0</v>
      </c>
      <c r="AK358" s="43"/>
      <c r="AL358" s="43"/>
      <c r="AM358" s="32"/>
      <c r="AN358" s="32">
        <f>TABL12345[[#This Row],[ (RESV. STORGE) SER]]/10</f>
        <v>0</v>
      </c>
      <c r="AO358" s="68"/>
      <c r="AP358" s="68">
        <f>TABL12345[[#This Row],[(A/S TOT) AJD]]-TABL12345[[#This Row],[SER_ IN]]</f>
        <v>0</v>
      </c>
    </row>
    <row r="359" spans="1:42" ht="18.75" x14ac:dyDescent="0.25">
      <c r="A359" s="2">
        <v>47476</v>
      </c>
      <c r="B359" s="44"/>
      <c r="C359" s="44"/>
      <c r="D359" s="44"/>
      <c r="E359" s="44"/>
      <c r="F359" s="44"/>
      <c r="G359" s="40"/>
      <c r="H359" s="44"/>
      <c r="I359" s="40"/>
      <c r="J359" s="44"/>
      <c r="K359" s="28">
        <f>TABL12345[[#This Row],[خط (T/B  TOT) SAR]]+TABL12345[[#This Row],[خط (S/S  TOT) SAR2]]</f>
        <v>0</v>
      </c>
      <c r="L359" s="45"/>
      <c r="M359" s="46"/>
      <c r="N359" s="46"/>
      <c r="O359" s="40"/>
      <c r="P359" s="9">
        <f>TABL12345[[#This Row],[خط (S/S  TOT) SAR2]]-TABL12345[[#This Row],[(S/S TOT) AJD]]</f>
        <v>0</v>
      </c>
      <c r="Q359" s="40"/>
      <c r="R359" s="9">
        <f>TABL12345[[#This Row],[خط (T/B  TOT) SAR]]-TABL12345[[#This Row],[(T/B TOT) AJD]]</f>
        <v>0</v>
      </c>
      <c r="S359" s="9">
        <f>TABL12345[[#This Row],[الفرق بين بداية ونهاية خط  S/S]]+TABL12345[[#This Row],[الفرق بين بداية ونهاية خط  T/B]]</f>
        <v>0</v>
      </c>
      <c r="T359" s="9">
        <f t="shared" si="20"/>
        <v>0</v>
      </c>
      <c r="U359" s="44"/>
      <c r="V359" s="44"/>
      <c r="W359" s="9">
        <f t="shared" si="21"/>
        <v>0</v>
      </c>
      <c r="X359" s="9">
        <f t="shared" si="22"/>
        <v>0</v>
      </c>
      <c r="Y359" s="44"/>
      <c r="Z359" s="45"/>
      <c r="AA359" s="3">
        <f>TABL12345[[#This Row],[(RESV. STORGE) AJD]]/10</f>
        <v>0</v>
      </c>
      <c r="AB359" s="45">
        <f t="shared" si="23"/>
        <v>0</v>
      </c>
      <c r="AC359" s="5"/>
      <c r="AD359" s="40">
        <f>(TABL12345[[#This Row],[( S/S+T/B) AJD]]*1000)-((TABL12345[[#This Row],[(STORGE DIFF.) AJD]]*1000)+TABL12345[[#This Row],[البخر  AJD]]+(TABL12345[[#This Row],[(A/B + A/S) AJD]]*1000))</f>
        <v>0</v>
      </c>
      <c r="AE359" s="44"/>
      <c r="AF359" s="45"/>
      <c r="AG359" s="45"/>
      <c r="AH359" s="6">
        <f>TABL12345[[#This Row],[ (RESV. STORGE) BER]]/10</f>
        <v>0</v>
      </c>
      <c r="AI359" s="44"/>
      <c r="AJ359" s="44">
        <f>TABL12345[[#This Row],[(A/B TOT) AJD]]-TABL12345[[#This Row],[BER_ IN]]</f>
        <v>0</v>
      </c>
      <c r="AK359" s="45"/>
      <c r="AL359" s="45"/>
      <c r="AM359" s="32"/>
      <c r="AN359" s="32">
        <f>TABL12345[[#This Row],[ (RESV. STORGE) SER]]/10</f>
        <v>0</v>
      </c>
      <c r="AO359" s="68"/>
      <c r="AP359" s="68">
        <f>TABL12345[[#This Row],[(A/S TOT) AJD]]-TABL12345[[#This Row],[SER_ IN]]</f>
        <v>0</v>
      </c>
    </row>
    <row r="360" spans="1:42" ht="18.75" x14ac:dyDescent="0.25">
      <c r="A360" s="2">
        <v>47477</v>
      </c>
      <c r="B360" s="41"/>
      <c r="C360" s="41"/>
      <c r="D360" s="41"/>
      <c r="E360" s="41"/>
      <c r="F360" s="41"/>
      <c r="G360" s="39"/>
      <c r="H360" s="41"/>
      <c r="I360" s="39"/>
      <c r="J360" s="39"/>
      <c r="K360" s="28">
        <f>TABL12345[[#This Row],[خط (T/B  TOT) SAR]]+TABL12345[[#This Row],[خط (S/S  TOT) SAR2]]</f>
        <v>0</v>
      </c>
      <c r="L360" s="41"/>
      <c r="M360" s="42"/>
      <c r="N360" s="42"/>
      <c r="O360" s="39"/>
      <c r="P360" s="9">
        <f>TABL12345[[#This Row],[خط (S/S  TOT) SAR2]]-TABL12345[[#This Row],[(S/S TOT) AJD]]</f>
        <v>0</v>
      </c>
      <c r="Q360" s="39"/>
      <c r="R360" s="9">
        <f>TABL12345[[#This Row],[خط (T/B  TOT) SAR]]-TABL12345[[#This Row],[(T/B TOT) AJD]]</f>
        <v>0</v>
      </c>
      <c r="S360" s="9">
        <f>TABL12345[[#This Row],[الفرق بين بداية ونهاية خط  S/S]]+TABL12345[[#This Row],[الفرق بين بداية ونهاية خط  T/B]]</f>
        <v>0</v>
      </c>
      <c r="T360" s="9">
        <f t="shared" si="20"/>
        <v>0</v>
      </c>
      <c r="U360" s="41"/>
      <c r="V360" s="41"/>
      <c r="W360" s="9">
        <f t="shared" si="21"/>
        <v>0</v>
      </c>
      <c r="X360" s="9">
        <f t="shared" si="22"/>
        <v>0</v>
      </c>
      <c r="Y360" s="41"/>
      <c r="Z360" s="43"/>
      <c r="AA360" s="3">
        <f>TABL12345[[#This Row],[(RESV. STORGE) AJD]]/10</f>
        <v>0</v>
      </c>
      <c r="AB360" s="43">
        <f t="shared" si="23"/>
        <v>0</v>
      </c>
      <c r="AC360" s="5"/>
      <c r="AD360" s="39">
        <f>(TABL12345[[#This Row],[( S/S+T/B) AJD]]*1000)-((TABL12345[[#This Row],[(STORGE DIFF.) AJD]]*1000)+TABL12345[[#This Row],[البخر  AJD]]+(TABL12345[[#This Row],[(A/B + A/S) AJD]]*1000))</f>
        <v>0</v>
      </c>
      <c r="AE360" s="41"/>
      <c r="AF360" s="43"/>
      <c r="AG360" s="43"/>
      <c r="AH360" s="6">
        <f>TABL12345[[#This Row],[ (RESV. STORGE) BER]]/10</f>
        <v>0</v>
      </c>
      <c r="AI360" s="41"/>
      <c r="AJ360" s="41">
        <f>TABL12345[[#This Row],[(A/B TOT) AJD]]-TABL12345[[#This Row],[BER_ IN]]</f>
        <v>0</v>
      </c>
      <c r="AK360" s="43"/>
      <c r="AL360" s="43"/>
      <c r="AM360" s="32"/>
      <c r="AN360" s="32">
        <f>TABL12345[[#This Row],[ (RESV. STORGE) SER]]/10</f>
        <v>0</v>
      </c>
      <c r="AO360" s="68"/>
      <c r="AP360" s="68">
        <f>TABL12345[[#This Row],[(A/S TOT) AJD]]-TABL12345[[#This Row],[SER_ IN]]</f>
        <v>0</v>
      </c>
    </row>
    <row r="361" spans="1:42" ht="18.75" x14ac:dyDescent="0.25">
      <c r="A361" s="2">
        <v>47478</v>
      </c>
      <c r="B361" s="44"/>
      <c r="C361" s="44"/>
      <c r="D361" s="44"/>
      <c r="E361" s="44"/>
      <c r="F361" s="44"/>
      <c r="G361" s="40"/>
      <c r="H361" s="44"/>
      <c r="I361" s="40"/>
      <c r="J361" s="44"/>
      <c r="K361" s="28">
        <f>TABL12345[[#This Row],[خط (T/B  TOT) SAR]]+TABL12345[[#This Row],[خط (S/S  TOT) SAR2]]</f>
        <v>0</v>
      </c>
      <c r="L361" s="45"/>
      <c r="M361" s="46"/>
      <c r="N361" s="46"/>
      <c r="O361" s="40"/>
      <c r="P361" s="9">
        <f>TABL12345[[#This Row],[خط (S/S  TOT) SAR2]]-TABL12345[[#This Row],[(S/S TOT) AJD]]</f>
        <v>0</v>
      </c>
      <c r="Q361" s="40"/>
      <c r="R361" s="9">
        <f>TABL12345[[#This Row],[خط (T/B  TOT) SAR]]-TABL12345[[#This Row],[(T/B TOT) AJD]]</f>
        <v>0</v>
      </c>
      <c r="S361" s="9">
        <f>TABL12345[[#This Row],[الفرق بين بداية ونهاية خط  S/S]]+TABL12345[[#This Row],[الفرق بين بداية ونهاية خط  T/B]]</f>
        <v>0</v>
      </c>
      <c r="T361" s="9">
        <f t="shared" si="20"/>
        <v>0</v>
      </c>
      <c r="U361" s="44"/>
      <c r="V361" s="44"/>
      <c r="W361" s="9">
        <f t="shared" si="21"/>
        <v>0</v>
      </c>
      <c r="X361" s="9">
        <f t="shared" si="22"/>
        <v>0</v>
      </c>
      <c r="Y361" s="44"/>
      <c r="Z361" s="45"/>
      <c r="AA361" s="3">
        <f>TABL12345[[#This Row],[(RESV. STORGE) AJD]]/10</f>
        <v>0</v>
      </c>
      <c r="AB361" s="45">
        <f t="shared" si="23"/>
        <v>0</v>
      </c>
      <c r="AC361" s="5"/>
      <c r="AD361" s="40">
        <f>(TABL12345[[#This Row],[( S/S+T/B) AJD]]*1000)-((TABL12345[[#This Row],[(STORGE DIFF.) AJD]]*1000)+TABL12345[[#This Row],[البخر  AJD]]+(TABL12345[[#This Row],[(A/B + A/S) AJD]]*1000))</f>
        <v>0</v>
      </c>
      <c r="AE361" s="44"/>
      <c r="AF361" s="45"/>
      <c r="AG361" s="45"/>
      <c r="AH361" s="6">
        <f>TABL12345[[#This Row],[ (RESV. STORGE) BER]]/10</f>
        <v>0</v>
      </c>
      <c r="AI361" s="44"/>
      <c r="AJ361" s="44">
        <f>TABL12345[[#This Row],[(A/B TOT) AJD]]-TABL12345[[#This Row],[BER_ IN]]</f>
        <v>0</v>
      </c>
      <c r="AK361" s="45"/>
      <c r="AL361" s="45"/>
      <c r="AM361" s="32"/>
      <c r="AN361" s="32">
        <f>TABL12345[[#This Row],[ (RESV. STORGE) SER]]/10</f>
        <v>0</v>
      </c>
      <c r="AO361" s="68"/>
      <c r="AP361" s="68">
        <f>TABL12345[[#This Row],[(A/S TOT) AJD]]-TABL12345[[#This Row],[SER_ IN]]</f>
        <v>0</v>
      </c>
    </row>
    <row r="362" spans="1:42" ht="18.75" x14ac:dyDescent="0.25">
      <c r="A362" s="2">
        <v>47479</v>
      </c>
      <c r="B362" s="41"/>
      <c r="C362" s="41"/>
      <c r="D362" s="41"/>
      <c r="E362" s="41"/>
      <c r="F362" s="41"/>
      <c r="G362" s="39"/>
      <c r="H362" s="41"/>
      <c r="I362" s="39"/>
      <c r="J362" s="39"/>
      <c r="K362" s="28">
        <f>TABL12345[[#This Row],[خط (T/B  TOT) SAR]]+TABL12345[[#This Row],[خط (S/S  TOT) SAR2]]</f>
        <v>0</v>
      </c>
      <c r="L362" s="41"/>
      <c r="M362" s="42"/>
      <c r="N362" s="42"/>
      <c r="O362" s="39"/>
      <c r="P362" s="9">
        <f>TABL12345[[#This Row],[خط (S/S  TOT) SAR2]]-TABL12345[[#This Row],[(S/S TOT) AJD]]</f>
        <v>0</v>
      </c>
      <c r="Q362" s="39"/>
      <c r="R362" s="9">
        <f>TABL12345[[#This Row],[خط (T/B  TOT) SAR]]-TABL12345[[#This Row],[(T/B TOT) AJD]]</f>
        <v>0</v>
      </c>
      <c r="S362" s="9">
        <f>TABL12345[[#This Row],[الفرق بين بداية ونهاية خط  S/S]]+TABL12345[[#This Row],[الفرق بين بداية ونهاية خط  T/B]]</f>
        <v>0</v>
      </c>
      <c r="T362" s="9">
        <f t="shared" si="20"/>
        <v>0</v>
      </c>
      <c r="U362" s="41"/>
      <c r="V362" s="41"/>
      <c r="W362" s="9">
        <f t="shared" si="21"/>
        <v>0</v>
      </c>
      <c r="X362" s="9">
        <f t="shared" si="22"/>
        <v>0</v>
      </c>
      <c r="Y362" s="41"/>
      <c r="Z362" s="43"/>
      <c r="AA362" s="3">
        <f>TABL12345[[#This Row],[(RESV. STORGE) AJD]]/10</f>
        <v>0</v>
      </c>
      <c r="AB362" s="43">
        <f t="shared" si="23"/>
        <v>0</v>
      </c>
      <c r="AC362" s="5"/>
      <c r="AD362" s="39">
        <f>(TABL12345[[#This Row],[( S/S+T/B) AJD]]*1000)-((TABL12345[[#This Row],[(STORGE DIFF.) AJD]]*1000)+TABL12345[[#This Row],[البخر  AJD]]+(TABL12345[[#This Row],[(A/B + A/S) AJD]]*1000))</f>
        <v>0</v>
      </c>
      <c r="AE362" s="41"/>
      <c r="AF362" s="43"/>
      <c r="AG362" s="43"/>
      <c r="AH362" s="6">
        <f>TABL12345[[#This Row],[ (RESV. STORGE) BER]]/10</f>
        <v>0</v>
      </c>
      <c r="AI362" s="41"/>
      <c r="AJ362" s="41">
        <f>TABL12345[[#This Row],[(A/B TOT) AJD]]-TABL12345[[#This Row],[BER_ IN]]</f>
        <v>0</v>
      </c>
      <c r="AK362" s="43"/>
      <c r="AL362" s="43"/>
      <c r="AM362" s="32"/>
      <c r="AN362" s="32">
        <f>TABL12345[[#This Row],[ (RESV. STORGE) SER]]/10</f>
        <v>0</v>
      </c>
      <c r="AO362" s="68"/>
      <c r="AP362" s="68">
        <f>TABL12345[[#This Row],[(A/S TOT) AJD]]-TABL12345[[#This Row],[SER_ IN]]</f>
        <v>0</v>
      </c>
    </row>
    <row r="363" spans="1:42" ht="18.75" x14ac:dyDescent="0.25">
      <c r="A363" s="2">
        <v>47480</v>
      </c>
      <c r="B363" s="44"/>
      <c r="C363" s="44"/>
      <c r="D363" s="44"/>
      <c r="E363" s="44"/>
      <c r="F363" s="44"/>
      <c r="G363" s="40"/>
      <c r="H363" s="44"/>
      <c r="I363" s="40"/>
      <c r="J363" s="44"/>
      <c r="K363" s="28">
        <f>TABL12345[[#This Row],[خط (T/B  TOT) SAR]]+TABL12345[[#This Row],[خط (S/S  TOT) SAR2]]</f>
        <v>0</v>
      </c>
      <c r="L363" s="45"/>
      <c r="M363" s="46"/>
      <c r="N363" s="46"/>
      <c r="O363" s="40"/>
      <c r="P363" s="9">
        <f>TABL12345[[#This Row],[خط (S/S  TOT) SAR2]]-TABL12345[[#This Row],[(S/S TOT) AJD]]</f>
        <v>0</v>
      </c>
      <c r="Q363" s="40"/>
      <c r="R363" s="9">
        <f>TABL12345[[#This Row],[خط (T/B  TOT) SAR]]-TABL12345[[#This Row],[(T/B TOT) AJD]]</f>
        <v>0</v>
      </c>
      <c r="S363" s="9">
        <f>TABL12345[[#This Row],[الفرق بين بداية ونهاية خط  S/S]]+TABL12345[[#This Row],[الفرق بين بداية ونهاية خط  T/B]]</f>
        <v>0</v>
      </c>
      <c r="T363" s="9">
        <f t="shared" si="20"/>
        <v>0</v>
      </c>
      <c r="U363" s="44"/>
      <c r="V363" s="44"/>
      <c r="W363" s="9">
        <f t="shared" si="21"/>
        <v>0</v>
      </c>
      <c r="X363" s="9">
        <f t="shared" si="22"/>
        <v>0</v>
      </c>
      <c r="Y363" s="44"/>
      <c r="Z363" s="45"/>
      <c r="AA363" s="3">
        <f>TABL12345[[#This Row],[(RESV. STORGE) AJD]]/10</f>
        <v>0</v>
      </c>
      <c r="AB363" s="45">
        <f t="shared" si="23"/>
        <v>0</v>
      </c>
      <c r="AC363" s="5"/>
      <c r="AD363" s="40">
        <f>(TABL12345[[#This Row],[( S/S+T/B) AJD]]*1000)-((TABL12345[[#This Row],[(STORGE DIFF.) AJD]]*1000)+TABL12345[[#This Row],[البخر  AJD]]+(TABL12345[[#This Row],[(A/B + A/S) AJD]]*1000))</f>
        <v>0</v>
      </c>
      <c r="AE363" s="44"/>
      <c r="AF363" s="45"/>
      <c r="AG363" s="45"/>
      <c r="AH363" s="6">
        <f>TABL12345[[#This Row],[ (RESV. STORGE) BER]]/10</f>
        <v>0</v>
      </c>
      <c r="AI363" s="44"/>
      <c r="AJ363" s="44">
        <f>TABL12345[[#This Row],[(A/B TOT) AJD]]-TABL12345[[#This Row],[BER_ IN]]</f>
        <v>0</v>
      </c>
      <c r="AK363" s="45"/>
      <c r="AL363" s="45"/>
      <c r="AM363" s="32"/>
      <c r="AN363" s="32">
        <f>TABL12345[[#This Row],[ (RESV. STORGE) SER]]/10</f>
        <v>0</v>
      </c>
      <c r="AO363" s="68"/>
      <c r="AP363" s="68">
        <f>TABL12345[[#This Row],[(A/S TOT) AJD]]-TABL12345[[#This Row],[SER_ IN]]</f>
        <v>0</v>
      </c>
    </row>
    <row r="364" spans="1:42" ht="18.75" x14ac:dyDescent="0.25">
      <c r="A364" s="2">
        <v>47481</v>
      </c>
      <c r="B364" s="41"/>
      <c r="C364" s="41"/>
      <c r="D364" s="41"/>
      <c r="E364" s="41"/>
      <c r="F364" s="41"/>
      <c r="G364" s="39"/>
      <c r="H364" s="41"/>
      <c r="I364" s="39"/>
      <c r="J364" s="39"/>
      <c r="K364" s="28">
        <f>TABL12345[[#This Row],[خط (T/B  TOT) SAR]]+TABL12345[[#This Row],[خط (S/S  TOT) SAR2]]</f>
        <v>0</v>
      </c>
      <c r="L364" s="41"/>
      <c r="M364" s="42"/>
      <c r="N364" s="42"/>
      <c r="O364" s="39"/>
      <c r="P364" s="9">
        <f>TABL12345[[#This Row],[خط (S/S  TOT) SAR2]]-TABL12345[[#This Row],[(S/S TOT) AJD]]</f>
        <v>0</v>
      </c>
      <c r="Q364" s="39"/>
      <c r="R364" s="9">
        <f>TABL12345[[#This Row],[خط (T/B  TOT) SAR]]-TABL12345[[#This Row],[(T/B TOT) AJD]]</f>
        <v>0</v>
      </c>
      <c r="S364" s="9">
        <f>TABL12345[[#This Row],[الفرق بين بداية ونهاية خط  S/S]]+TABL12345[[#This Row],[الفرق بين بداية ونهاية خط  T/B]]</f>
        <v>0</v>
      </c>
      <c r="T364" s="9">
        <f t="shared" si="20"/>
        <v>0</v>
      </c>
      <c r="U364" s="41"/>
      <c r="V364" s="41"/>
      <c r="W364" s="9">
        <f t="shared" si="21"/>
        <v>0</v>
      </c>
      <c r="X364" s="9">
        <f t="shared" si="22"/>
        <v>0</v>
      </c>
      <c r="Y364" s="41"/>
      <c r="Z364" s="43"/>
      <c r="AA364" s="3">
        <f>TABL12345[[#This Row],[(RESV. STORGE) AJD]]/10</f>
        <v>0</v>
      </c>
      <c r="AB364" s="43">
        <f t="shared" si="23"/>
        <v>0</v>
      </c>
      <c r="AC364" s="5"/>
      <c r="AD364" s="39">
        <f>(TABL12345[[#This Row],[( S/S+T/B) AJD]]*1000)-((TABL12345[[#This Row],[(STORGE DIFF.) AJD]]*1000)+TABL12345[[#This Row],[البخر  AJD]]+(TABL12345[[#This Row],[(A/B + A/S) AJD]]*1000))</f>
        <v>0</v>
      </c>
      <c r="AE364" s="41"/>
      <c r="AF364" s="43"/>
      <c r="AG364" s="43"/>
      <c r="AH364" s="6">
        <f>TABL12345[[#This Row],[ (RESV. STORGE) BER]]/10</f>
        <v>0</v>
      </c>
      <c r="AI364" s="41"/>
      <c r="AJ364" s="41">
        <f>TABL12345[[#This Row],[(A/B TOT) AJD]]-TABL12345[[#This Row],[BER_ IN]]</f>
        <v>0</v>
      </c>
      <c r="AK364" s="43"/>
      <c r="AL364" s="43"/>
      <c r="AM364" s="32"/>
      <c r="AN364" s="32">
        <f>TABL12345[[#This Row],[ (RESV. STORGE) SER]]/10</f>
        <v>0</v>
      </c>
      <c r="AO364" s="68"/>
      <c r="AP364" s="68">
        <f>TABL12345[[#This Row],[(A/S TOT) AJD]]-TABL12345[[#This Row],[SER_ IN]]</f>
        <v>0</v>
      </c>
    </row>
    <row r="365" spans="1:42" ht="18.75" x14ac:dyDescent="0.25">
      <c r="A365" s="2">
        <v>47482</v>
      </c>
      <c r="B365" s="44"/>
      <c r="C365" s="44"/>
      <c r="D365" s="44"/>
      <c r="E365" s="44"/>
      <c r="F365" s="44"/>
      <c r="G365" s="40"/>
      <c r="H365" s="44"/>
      <c r="I365" s="40"/>
      <c r="J365" s="44"/>
      <c r="K365" s="28">
        <f>TABL12345[[#This Row],[خط (T/B  TOT) SAR]]+TABL12345[[#This Row],[خط (S/S  TOT) SAR2]]</f>
        <v>0</v>
      </c>
      <c r="L365" s="45"/>
      <c r="M365" s="46"/>
      <c r="N365" s="46"/>
      <c r="O365" s="40"/>
      <c r="P365" s="9">
        <f>TABL12345[[#This Row],[خط (S/S  TOT) SAR2]]-TABL12345[[#This Row],[(S/S TOT) AJD]]</f>
        <v>0</v>
      </c>
      <c r="Q365" s="40"/>
      <c r="R365" s="9">
        <f>TABL12345[[#This Row],[خط (T/B  TOT) SAR]]-TABL12345[[#This Row],[(T/B TOT) AJD]]</f>
        <v>0</v>
      </c>
      <c r="S365" s="9">
        <f>TABL12345[[#This Row],[الفرق بين بداية ونهاية خط  S/S]]+TABL12345[[#This Row],[الفرق بين بداية ونهاية خط  T/B]]</f>
        <v>0</v>
      </c>
      <c r="T365" s="9">
        <f t="shared" si="20"/>
        <v>0</v>
      </c>
      <c r="U365" s="44"/>
      <c r="V365" s="44"/>
      <c r="W365" s="9">
        <f t="shared" si="21"/>
        <v>0</v>
      </c>
      <c r="X365" s="9">
        <f t="shared" si="22"/>
        <v>0</v>
      </c>
      <c r="Y365" s="44"/>
      <c r="Z365" s="45"/>
      <c r="AA365" s="3">
        <f>TABL12345[[#This Row],[(RESV. STORGE) AJD]]/10</f>
        <v>0</v>
      </c>
      <c r="AB365" s="45">
        <f t="shared" si="23"/>
        <v>0</v>
      </c>
      <c r="AC365" s="5"/>
      <c r="AD365" s="50">
        <f>(TABL12345[[#This Row],[( S/S+T/B) AJD]]*1000)-((TABL12345[[#This Row],[(STORGE DIFF.) AJD]]*1000)+TABL12345[[#This Row],[البخر  AJD]]+(TABL12345[[#This Row],[(A/B + A/S) AJD]]*1000))</f>
        <v>0</v>
      </c>
      <c r="AE365" s="44"/>
      <c r="AF365" s="45"/>
      <c r="AG365" s="45"/>
      <c r="AH365" s="6">
        <f>TABL12345[[#This Row],[ (RESV. STORGE) BER]]/10</f>
        <v>0</v>
      </c>
      <c r="AI365" s="44"/>
      <c r="AJ365" s="47">
        <f>TABL12345[[#This Row],[(A/B TOT) AJD]]-TABL12345[[#This Row],[BER_ IN]]</f>
        <v>0</v>
      </c>
      <c r="AK365" s="45"/>
      <c r="AL365" s="45"/>
      <c r="AM365" s="32"/>
      <c r="AN365" s="32">
        <f>TABL12345[[#This Row],[ (RESV. STORGE) SER]]/10</f>
        <v>0</v>
      </c>
      <c r="AO365" s="68"/>
      <c r="AP365" s="68">
        <f>TABL12345[[#This Row],[(A/S TOT) AJD]]-TABL12345[[#This Row],[SER_ IN]]</f>
        <v>0</v>
      </c>
    </row>
    <row r="366" spans="1:42" ht="18.75" x14ac:dyDescent="0.25">
      <c r="A366" s="2">
        <v>47483</v>
      </c>
      <c r="B366" s="41"/>
      <c r="C366" s="41"/>
      <c r="D366" s="41"/>
      <c r="E366" s="41"/>
      <c r="F366" s="41"/>
      <c r="G366" s="39"/>
      <c r="H366" s="41"/>
      <c r="I366" s="39"/>
      <c r="J366" s="39"/>
      <c r="K366" s="51">
        <f>TABL12345[[#This Row],[خط (T/B  TOT) SAR]]+TABL12345[[#This Row],[خط (S/S  TOT) SAR2]]</f>
        <v>0</v>
      </c>
      <c r="L366" s="41"/>
      <c r="M366" s="42"/>
      <c r="N366" s="42"/>
      <c r="O366" s="39"/>
      <c r="P366" s="19">
        <f>TABL12345[[#This Row],[خط (S/S  TOT) SAR2]]-TABL12345[[#This Row],[(S/S TOT) AJD]]</f>
        <v>0</v>
      </c>
      <c r="Q366" s="39"/>
      <c r="R366" s="19">
        <f>TABL12345[[#This Row],[خط (T/B  TOT) SAR]]-TABL12345[[#This Row],[(T/B TOT) AJD]]</f>
        <v>0</v>
      </c>
      <c r="S366" s="19">
        <f>TABL12345[[#This Row],[الفرق بين بداية ونهاية خط  S/S]]+TABL12345[[#This Row],[الفرق بين بداية ونهاية خط  T/B]]</f>
        <v>0</v>
      </c>
      <c r="T366" s="19">
        <f t="shared" si="20"/>
        <v>0</v>
      </c>
      <c r="U366" s="41"/>
      <c r="V366" s="41"/>
      <c r="W366" s="19">
        <f t="shared" si="21"/>
        <v>0</v>
      </c>
      <c r="X366" s="19">
        <f t="shared" si="22"/>
        <v>0</v>
      </c>
      <c r="Y366" s="41"/>
      <c r="Z366" s="43"/>
      <c r="AA366" s="3">
        <f>TABL12345[[#This Row],[(RESV. STORGE) AJD]]/10</f>
        <v>0</v>
      </c>
      <c r="AB366" s="43">
        <f t="shared" si="23"/>
        <v>0</v>
      </c>
      <c r="AC366" s="5"/>
      <c r="AD366" s="50">
        <f>(TABL12345[[#This Row],[( S/S+T/B) AJD]]*1000)-((TABL12345[[#This Row],[(STORGE DIFF.) AJD]]*1000)+TABL12345[[#This Row],[البخر  AJD]]+(TABL12345[[#This Row],[(A/B + A/S) AJD]]*1000))</f>
        <v>0</v>
      </c>
      <c r="AE366" s="41"/>
      <c r="AF366" s="43"/>
      <c r="AG366" s="43"/>
      <c r="AH366" s="21">
        <f>TABL12345[[#This Row],[ (RESV. STORGE) BER]]/10</f>
        <v>0</v>
      </c>
      <c r="AI366" s="41"/>
      <c r="AJ366" s="41">
        <f>TABL12345[[#This Row],[(A/B TOT) AJD]]-TABL12345[[#This Row],[BER_ IN]]</f>
        <v>0</v>
      </c>
      <c r="AK366" s="43"/>
      <c r="AL366" s="43"/>
      <c r="AM366" s="32"/>
      <c r="AN366" s="32">
        <f>TABL12345[[#This Row],[ (RESV. STORGE) SER]]/10</f>
        <v>0</v>
      </c>
      <c r="AO366" s="83"/>
      <c r="AP366" s="83">
        <f>TABL12345[[#This Row],[(A/S TOT) AJD]]-TABL12345[[#This Row],[SER_ IN]]</f>
        <v>0</v>
      </c>
    </row>
    <row r="367" spans="1:42" x14ac:dyDescent="0.25">
      <c r="A367" s="59"/>
      <c r="B367" s="60"/>
      <c r="C367" s="61"/>
      <c r="D367" s="61"/>
      <c r="E367" s="61"/>
      <c r="F367" s="61"/>
      <c r="G367" s="61"/>
      <c r="H367" s="61"/>
      <c r="I367" s="62"/>
      <c r="J367" s="61"/>
      <c r="K367" s="62"/>
      <c r="L367" s="61"/>
      <c r="M367" s="63"/>
      <c r="N367" s="64"/>
      <c r="O367" s="52"/>
      <c r="P367" s="19"/>
      <c r="Q367" s="52"/>
      <c r="R367" s="19"/>
      <c r="S367" s="19"/>
      <c r="T367" s="19"/>
      <c r="U367" s="52"/>
      <c r="V367" s="52"/>
      <c r="W367" s="19"/>
      <c r="X367" s="19"/>
      <c r="Y367" s="53"/>
      <c r="Z367" s="52"/>
      <c r="AA367" s="19"/>
      <c r="AB367" s="19"/>
      <c r="AC367" s="65"/>
      <c r="AD367" s="54"/>
      <c r="AE367" s="52"/>
      <c r="AF367" s="20"/>
      <c r="AG367" s="19"/>
      <c r="AH367" s="19"/>
      <c r="AI367" s="19"/>
      <c r="AJ367" s="21"/>
      <c r="AK367" s="55"/>
      <c r="AL367" s="19"/>
      <c r="AM367" s="54"/>
      <c r="AN367" s="6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C5A3-ED4A-43E4-AA03-6333E0A84A52}">
  <dimension ref="A1:AP367"/>
  <sheetViews>
    <sheetView rightToLeft="1" topLeftCell="X1" workbookViewId="0">
      <selection activeCell="AB3" sqref="AB3"/>
    </sheetView>
  </sheetViews>
  <sheetFormatPr defaultRowHeight="15" x14ac:dyDescent="0.25"/>
  <cols>
    <col min="1" max="1" width="12.5" customWidth="1"/>
    <col min="2" max="2" width="7.875" style="56" customWidth="1"/>
    <col min="3" max="3" width="8.125" style="56" customWidth="1"/>
    <col min="4" max="4" width="7.75" style="56" customWidth="1"/>
    <col min="5" max="5" width="8.25" style="56" customWidth="1"/>
    <col min="6" max="6" width="8.125" style="56" customWidth="1"/>
    <col min="7" max="7" width="8" style="56" customWidth="1"/>
    <col min="8" max="8" width="7.25" style="56" customWidth="1"/>
    <col min="9" max="9" width="9.375" style="56" customWidth="1"/>
    <col min="10" max="11" width="10.625" style="56" customWidth="1"/>
    <col min="12" max="12" width="11.375" style="56" customWidth="1"/>
    <col min="13" max="13" width="10.625" style="57" customWidth="1"/>
    <col min="14" max="14" width="8.25" style="58" customWidth="1"/>
    <col min="15" max="15" width="10.375" style="7" customWidth="1"/>
    <col min="16" max="16" width="7.875" style="7" customWidth="1"/>
    <col min="17" max="17" width="8.875" style="7" customWidth="1"/>
    <col min="18" max="19" width="10.5" style="7" customWidth="1"/>
    <col min="20" max="20" width="9.75" style="7" customWidth="1"/>
    <col min="21" max="21" width="7" style="7" customWidth="1"/>
    <col min="22" max="22" width="6.875" style="7" customWidth="1"/>
    <col min="23" max="23" width="8.5" style="7" customWidth="1"/>
    <col min="24" max="24" width="11.125" style="7" customWidth="1"/>
    <col min="25" max="25" width="10.875" style="7" customWidth="1"/>
    <col min="26" max="27" width="9.125" style="7" customWidth="1"/>
    <col min="28" max="29" width="9.625" style="7" customWidth="1"/>
    <col min="30" max="30" width="15.75" style="7" customWidth="1"/>
    <col min="31" max="32" width="9.625" style="7" customWidth="1"/>
    <col min="33" max="33" width="11.25" style="7" customWidth="1"/>
    <col min="34" max="34" width="9.625" style="7" customWidth="1"/>
    <col min="35" max="35" width="14.25" style="7" customWidth="1"/>
    <col min="36" max="37" width="9.625" style="7" customWidth="1"/>
    <col min="38" max="38" width="14.5" style="7" customWidth="1"/>
    <col min="39" max="39" width="9.625" style="7" customWidth="1"/>
    <col min="40" max="40" width="11.625" style="7" customWidth="1"/>
  </cols>
  <sheetData>
    <row r="1" spans="1:42" s="27" customFormat="1" ht="55.5" customHeight="1" x14ac:dyDescent="0.2">
      <c r="A1" s="22" t="s">
        <v>0</v>
      </c>
      <c r="B1" s="23" t="s">
        <v>14</v>
      </c>
      <c r="C1" s="23" t="s">
        <v>15</v>
      </c>
      <c r="D1" s="23" t="s">
        <v>16</v>
      </c>
      <c r="E1" s="23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23</v>
      </c>
      <c r="L1" s="25" t="s">
        <v>24</v>
      </c>
      <c r="M1" s="25" t="s">
        <v>25</v>
      </c>
      <c r="N1" s="25" t="s">
        <v>26</v>
      </c>
      <c r="O1" s="26" t="s">
        <v>8</v>
      </c>
      <c r="P1" s="26" t="s">
        <v>9</v>
      </c>
      <c r="Q1" s="26" t="s">
        <v>10</v>
      </c>
      <c r="R1" s="26" t="s">
        <v>11</v>
      </c>
      <c r="S1" s="26" t="s">
        <v>27</v>
      </c>
      <c r="T1" s="26" t="s">
        <v>12</v>
      </c>
      <c r="U1" s="26" t="s">
        <v>1</v>
      </c>
      <c r="V1" s="26" t="s">
        <v>2</v>
      </c>
      <c r="W1" s="26" t="s">
        <v>3</v>
      </c>
      <c r="X1" s="26" t="s">
        <v>13</v>
      </c>
      <c r="Y1" s="26" t="s">
        <v>4</v>
      </c>
      <c r="Z1" s="26" t="s">
        <v>5</v>
      </c>
      <c r="AA1" s="26" t="s">
        <v>39</v>
      </c>
      <c r="AB1" s="26" t="s">
        <v>6</v>
      </c>
      <c r="AC1" s="26" t="s">
        <v>7</v>
      </c>
      <c r="AD1" s="26" t="s">
        <v>28</v>
      </c>
      <c r="AE1" s="1" t="s">
        <v>29</v>
      </c>
      <c r="AF1" s="1" t="s">
        <v>30</v>
      </c>
      <c r="AG1" s="1" t="s">
        <v>31</v>
      </c>
      <c r="AH1" s="1" t="s">
        <v>40</v>
      </c>
      <c r="AI1" s="1" t="s">
        <v>32</v>
      </c>
      <c r="AJ1" s="1" t="s">
        <v>33</v>
      </c>
      <c r="AK1" s="26" t="s">
        <v>34</v>
      </c>
      <c r="AL1" s="26" t="s">
        <v>35</v>
      </c>
      <c r="AM1" s="26" t="s">
        <v>36</v>
      </c>
      <c r="AN1" s="26" t="s">
        <v>41</v>
      </c>
      <c r="AO1" s="26" t="s">
        <v>37</v>
      </c>
      <c r="AP1" s="26" t="s">
        <v>38</v>
      </c>
    </row>
    <row r="2" spans="1:42" ht="18.75" x14ac:dyDescent="0.25">
      <c r="A2" s="2">
        <v>47484</v>
      </c>
      <c r="B2" s="41"/>
      <c r="C2" s="41"/>
      <c r="D2" s="41"/>
      <c r="E2" s="41"/>
      <c r="F2" s="41"/>
      <c r="G2" s="39"/>
      <c r="H2" s="41"/>
      <c r="I2" s="39"/>
      <c r="J2" s="39"/>
      <c r="K2" s="28">
        <f>TABL12345[[#This Row],[خط (T/B  TOT) SAR]]+TABL12345[[#This Row],[خط (S/S  TOT) SAR2]]</f>
        <v>0</v>
      </c>
      <c r="L2" s="41"/>
      <c r="M2" s="42"/>
      <c r="N2" s="42"/>
      <c r="O2" s="39"/>
      <c r="P2" s="3">
        <f>TABL12345[[#This Row],[خط (S/S  TOT) SAR2]]-TABL12345[[#This Row],[(S/S TOT) AJD]]</f>
        <v>0</v>
      </c>
      <c r="Q2" s="39"/>
      <c r="R2" s="3">
        <f>TABL12345[[#This Row],[خط (T/B  TOT) SAR]]-TABL12345[[#This Row],[(T/B TOT) AJD]]</f>
        <v>0</v>
      </c>
      <c r="S2" s="3">
        <f>TABL12345[[#This Row],[الفرق بين بداية ونهاية خط  S/S]]+TABL12345[[#This Row],[الفرق بين بداية ونهاية خط  T/B]]</f>
        <v>0</v>
      </c>
      <c r="T2" s="3">
        <f t="shared" ref="T2:T65" si="0">O2+Q2</f>
        <v>0</v>
      </c>
      <c r="U2" s="41"/>
      <c r="V2" s="41"/>
      <c r="W2" s="3">
        <f t="shared" ref="W2:W65" si="1">U2+V2</f>
        <v>0</v>
      </c>
      <c r="X2" s="3">
        <f t="shared" ref="X2:X65" si="2">T2-W2</f>
        <v>0</v>
      </c>
      <c r="Y2" s="41"/>
      <c r="Z2" s="43"/>
      <c r="AA2" s="3">
        <f>TABL12345[[#This Row],[(RESV. STORGE) AJD]]/10</f>
        <v>0</v>
      </c>
      <c r="AB2" s="43">
        <v>0</v>
      </c>
      <c r="AC2" s="5"/>
      <c r="AD2" s="39">
        <f>(TABL12345[[#This Row],[( S/S+T/B) AJD]]*1000)-((TABL12345[[#This Row],[(STORGE DIFF.) AJD]]*1000)+TABL12345[[#This Row],[البخر  AJD]]+(TABL12345[[#This Row],[(A/B + A/S) AJD]]*1000))</f>
        <v>10000</v>
      </c>
      <c r="AE2" s="41"/>
      <c r="AF2" s="43"/>
      <c r="AG2" s="43"/>
      <c r="AH2" s="5">
        <f>TABL12345[[#This Row],[ (RESV. STORGE) BER]]/10</f>
        <v>0</v>
      </c>
      <c r="AI2" s="41"/>
      <c r="AJ2" s="41">
        <f>TABL12345[[#This Row],[(A/B TOT) AJD]]-TABL12345[[#This Row],[BER_ IN]]</f>
        <v>0</v>
      </c>
      <c r="AK2" s="43"/>
      <c r="AL2" s="43"/>
      <c r="AM2" s="32"/>
      <c r="AN2" s="32">
        <f>TABL12345[[#This Row],[ (RESV. STORGE) SER]]/10</f>
        <v>0</v>
      </c>
      <c r="AO2" s="82"/>
      <c r="AP2" s="82">
        <f>TABL12345[[#This Row],[(A/S TOT) AJD]]-TABL12345[[#This Row],[SER_ IN]]</f>
        <v>0</v>
      </c>
    </row>
    <row r="3" spans="1:42" ht="18.75" x14ac:dyDescent="0.25">
      <c r="A3" s="2">
        <v>47485</v>
      </c>
      <c r="B3" s="44"/>
      <c r="C3" s="44"/>
      <c r="D3" s="44"/>
      <c r="E3" s="44"/>
      <c r="F3" s="44"/>
      <c r="G3" s="40"/>
      <c r="H3" s="44"/>
      <c r="I3" s="40"/>
      <c r="J3" s="44"/>
      <c r="K3" s="28">
        <f>TABL12345[[#This Row],[خط (T/B  TOT) SAR]]+TABL12345[[#This Row],[خط (S/S  TOT) SAR2]]</f>
        <v>0</v>
      </c>
      <c r="L3" s="45"/>
      <c r="M3" s="46"/>
      <c r="N3" s="46"/>
      <c r="O3" s="40"/>
      <c r="P3" s="3">
        <f>TABL12345[[#This Row],[خط (S/S  TOT) SAR2]]-TABL12345[[#This Row],[(S/S TOT) AJD]]</f>
        <v>0</v>
      </c>
      <c r="Q3" s="40"/>
      <c r="R3" s="3">
        <f>TABL12345[[#This Row],[خط (T/B  TOT) SAR]]-TABL12345[[#This Row],[(T/B TOT) AJD]]</f>
        <v>0</v>
      </c>
      <c r="S3" s="3">
        <f>TABL12345[[#This Row],[الفرق بين بداية ونهاية خط  S/S]]+TABL12345[[#This Row],[الفرق بين بداية ونهاية خط  T/B]]</f>
        <v>0</v>
      </c>
      <c r="T3" s="3">
        <f t="shared" si="0"/>
        <v>0</v>
      </c>
      <c r="U3" s="44"/>
      <c r="V3" s="44"/>
      <c r="W3" s="3">
        <f t="shared" si="1"/>
        <v>0</v>
      </c>
      <c r="X3" s="3">
        <f t="shared" si="2"/>
        <v>0</v>
      </c>
      <c r="Y3" s="44"/>
      <c r="Z3" s="45"/>
      <c r="AA3" s="3">
        <f>TABL12345[[#This Row],[(RESV. STORGE) AJD]]/10</f>
        <v>0</v>
      </c>
      <c r="AB3" s="45">
        <f>(Z3-Z2)/1000</f>
        <v>0</v>
      </c>
      <c r="AC3" s="5"/>
      <c r="AD3" s="40">
        <f>(TABL12345[[#This Row],[( S/S+T/B) AJD]]*1000)-((TABL12345[[#This Row],[(STORGE DIFF.) AJD]]*1000)+TABL12345[[#This Row],[البخر  AJD]]+(TABL12345[[#This Row],[(A/B + A/S) AJD]]*1000))</f>
        <v>0</v>
      </c>
      <c r="AE3" s="44"/>
      <c r="AF3" s="45"/>
      <c r="AG3" s="45"/>
      <c r="AH3" s="6">
        <f>TABL12345[[#This Row],[ (RESV. STORGE) BER]]/10</f>
        <v>0</v>
      </c>
      <c r="AI3" s="44"/>
      <c r="AJ3" s="44">
        <f>TABL12345[[#This Row],[(A/B TOT) AJD]]-TABL12345[[#This Row],[BER_ IN]]</f>
        <v>0</v>
      </c>
      <c r="AK3" s="45"/>
      <c r="AL3" s="45"/>
      <c r="AM3" s="32"/>
      <c r="AN3" s="32">
        <f>TABL12345[[#This Row],[ (RESV. STORGE) SER]]/10</f>
        <v>0</v>
      </c>
      <c r="AO3" s="68"/>
      <c r="AP3" s="68">
        <f>TABL12345[[#This Row],[(A/S TOT) AJD]]-TABL12345[[#This Row],[SER_ IN]]</f>
        <v>0</v>
      </c>
    </row>
    <row r="4" spans="1:42" ht="18.75" x14ac:dyDescent="0.25">
      <c r="A4" s="2">
        <v>47486</v>
      </c>
      <c r="B4" s="41"/>
      <c r="C4" s="41"/>
      <c r="D4" s="41"/>
      <c r="E4" s="41"/>
      <c r="F4" s="41"/>
      <c r="G4" s="39"/>
      <c r="H4" s="41"/>
      <c r="I4" s="39"/>
      <c r="J4" s="39"/>
      <c r="K4" s="28">
        <f>TABL12345[[#This Row],[خط (T/B  TOT) SAR]]+TABL12345[[#This Row],[خط (S/S  TOT) SAR2]]</f>
        <v>0</v>
      </c>
      <c r="L4" s="41"/>
      <c r="M4" s="42"/>
      <c r="N4" s="42"/>
      <c r="O4" s="39"/>
      <c r="P4" s="3">
        <f>TABL12345[[#This Row],[خط (S/S  TOT) SAR2]]-TABL12345[[#This Row],[(S/S TOT) AJD]]</f>
        <v>0</v>
      </c>
      <c r="Q4" s="39"/>
      <c r="R4" s="3">
        <f>TABL12345[[#This Row],[خط (T/B  TOT) SAR]]-TABL12345[[#This Row],[(T/B TOT) AJD]]</f>
        <v>0</v>
      </c>
      <c r="S4" s="3">
        <f>TABL12345[[#This Row],[الفرق بين بداية ونهاية خط  S/S]]+TABL12345[[#This Row],[الفرق بين بداية ونهاية خط  T/B]]</f>
        <v>0</v>
      </c>
      <c r="T4" s="3">
        <f t="shared" si="0"/>
        <v>0</v>
      </c>
      <c r="U4" s="41"/>
      <c r="V4" s="41"/>
      <c r="W4" s="3">
        <f t="shared" si="1"/>
        <v>0</v>
      </c>
      <c r="X4" s="3">
        <f t="shared" si="2"/>
        <v>0</v>
      </c>
      <c r="Y4" s="41"/>
      <c r="Z4" s="43"/>
      <c r="AA4" s="3">
        <f>TABL12345[[#This Row],[(RESV. STORGE) AJD]]/10</f>
        <v>0</v>
      </c>
      <c r="AB4" s="43">
        <f t="shared" ref="AB4:AB67" si="3">(Z4-Z3)/1000</f>
        <v>0</v>
      </c>
      <c r="AC4" s="5"/>
      <c r="AD4" s="39">
        <f>(TABL12345[[#This Row],[( S/S+T/B) AJD]]*1000)-((TABL12345[[#This Row],[(STORGE DIFF.) AJD]]*1000)+TABL12345[[#This Row],[البخر  AJD]]+(TABL12345[[#This Row],[(A/B + A/S) AJD]]*1000))</f>
        <v>0</v>
      </c>
      <c r="AE4" s="41"/>
      <c r="AF4" s="43"/>
      <c r="AG4" s="43"/>
      <c r="AH4" s="6">
        <f>TABL12345[[#This Row],[ (RESV. STORGE) BER]]/10</f>
        <v>0</v>
      </c>
      <c r="AI4" s="41"/>
      <c r="AJ4" s="41">
        <f>TABL12345[[#This Row],[(A/B TOT) AJD]]-TABL12345[[#This Row],[BER_ IN]]</f>
        <v>0</v>
      </c>
      <c r="AK4" s="43"/>
      <c r="AL4" s="43"/>
      <c r="AM4" s="32"/>
      <c r="AN4" s="32">
        <f>TABL12345[[#This Row],[ (RESV. STORGE) SER]]/10</f>
        <v>0</v>
      </c>
      <c r="AO4" s="68"/>
      <c r="AP4" s="68">
        <f>TABL12345[[#This Row],[(A/S TOT) AJD]]-TABL12345[[#This Row],[SER_ IN]]</f>
        <v>0</v>
      </c>
    </row>
    <row r="5" spans="1:42" ht="18.75" x14ac:dyDescent="0.25">
      <c r="A5" s="2">
        <v>47487</v>
      </c>
      <c r="B5" s="44"/>
      <c r="C5" s="44"/>
      <c r="D5" s="44"/>
      <c r="E5" s="44"/>
      <c r="F5" s="44"/>
      <c r="G5" s="40"/>
      <c r="H5" s="44"/>
      <c r="I5" s="40"/>
      <c r="J5" s="44"/>
      <c r="K5" s="28">
        <f>TABL12345[[#This Row],[خط (T/B  TOT) SAR]]+TABL12345[[#This Row],[خط (S/S  TOT) SAR2]]</f>
        <v>0</v>
      </c>
      <c r="L5" s="45"/>
      <c r="M5" s="46"/>
      <c r="N5" s="46"/>
      <c r="O5" s="40"/>
      <c r="P5" s="3">
        <f>TABL12345[[#This Row],[خط (S/S  TOT) SAR2]]-TABL12345[[#This Row],[(S/S TOT) AJD]]</f>
        <v>0</v>
      </c>
      <c r="Q5" s="40"/>
      <c r="R5" s="3">
        <f>TABL12345[[#This Row],[خط (T/B  TOT) SAR]]-TABL12345[[#This Row],[(T/B TOT) AJD]]</f>
        <v>0</v>
      </c>
      <c r="S5" s="3">
        <f>TABL12345[[#This Row],[الفرق بين بداية ونهاية خط  S/S]]+TABL12345[[#This Row],[الفرق بين بداية ونهاية خط  T/B]]</f>
        <v>0</v>
      </c>
      <c r="T5" s="3">
        <f t="shared" si="0"/>
        <v>0</v>
      </c>
      <c r="U5" s="44"/>
      <c r="V5" s="44"/>
      <c r="W5" s="3">
        <f t="shared" si="1"/>
        <v>0</v>
      </c>
      <c r="X5" s="3">
        <f t="shared" si="2"/>
        <v>0</v>
      </c>
      <c r="Y5" s="44"/>
      <c r="Z5" s="45"/>
      <c r="AA5" s="3">
        <f>TABL12345[[#This Row],[(RESV. STORGE) AJD]]/10</f>
        <v>0</v>
      </c>
      <c r="AB5" s="45">
        <f t="shared" si="3"/>
        <v>0</v>
      </c>
      <c r="AC5" s="5"/>
      <c r="AD5" s="40">
        <f>(TABL12345[[#This Row],[( S/S+T/B) AJD]]*1000)-((TABL12345[[#This Row],[(STORGE DIFF.) AJD]]*1000)+TABL12345[[#This Row],[البخر  AJD]]+(TABL12345[[#This Row],[(A/B + A/S) AJD]]*1000))</f>
        <v>0</v>
      </c>
      <c r="AE5" s="44"/>
      <c r="AF5" s="45"/>
      <c r="AG5" s="45"/>
      <c r="AH5" s="6">
        <f>TABL12345[[#This Row],[ (RESV. STORGE) BER]]/10</f>
        <v>0</v>
      </c>
      <c r="AI5" s="44"/>
      <c r="AJ5" s="44">
        <f>TABL12345[[#This Row],[(A/B TOT) AJD]]-TABL12345[[#This Row],[BER_ IN]]</f>
        <v>0</v>
      </c>
      <c r="AK5" s="45"/>
      <c r="AL5" s="45"/>
      <c r="AM5" s="32"/>
      <c r="AN5" s="32">
        <f>TABL12345[[#This Row],[ (RESV. STORGE) SER]]/10</f>
        <v>0</v>
      </c>
      <c r="AO5" s="68"/>
      <c r="AP5" s="68">
        <f>TABL12345[[#This Row],[(A/S TOT) AJD]]-TABL12345[[#This Row],[SER_ IN]]</f>
        <v>0</v>
      </c>
    </row>
    <row r="6" spans="1:42" ht="18.75" x14ac:dyDescent="0.25">
      <c r="A6" s="2">
        <v>47488</v>
      </c>
      <c r="B6" s="41"/>
      <c r="C6" s="41"/>
      <c r="D6" s="41"/>
      <c r="E6" s="41"/>
      <c r="F6" s="41"/>
      <c r="G6" s="39"/>
      <c r="H6" s="41"/>
      <c r="I6" s="39"/>
      <c r="J6" s="39"/>
      <c r="K6" s="28">
        <f>TABL12345[[#This Row],[خط (T/B  TOT) SAR]]+TABL12345[[#This Row],[خط (S/S  TOT) SAR2]]</f>
        <v>0</v>
      </c>
      <c r="L6" s="41"/>
      <c r="M6" s="42"/>
      <c r="N6" s="42"/>
      <c r="O6" s="39"/>
      <c r="P6" s="3">
        <f>TABL12345[[#This Row],[خط (S/S  TOT) SAR2]]-TABL12345[[#This Row],[(S/S TOT) AJD]]</f>
        <v>0</v>
      </c>
      <c r="Q6" s="39"/>
      <c r="R6" s="3">
        <f>TABL12345[[#This Row],[خط (T/B  TOT) SAR]]-TABL12345[[#This Row],[(T/B TOT) AJD]]</f>
        <v>0</v>
      </c>
      <c r="S6" s="3">
        <f>TABL12345[[#This Row],[الفرق بين بداية ونهاية خط  S/S]]+TABL12345[[#This Row],[الفرق بين بداية ونهاية خط  T/B]]</f>
        <v>0</v>
      </c>
      <c r="T6" s="3">
        <f t="shared" si="0"/>
        <v>0</v>
      </c>
      <c r="U6" s="41"/>
      <c r="V6" s="41"/>
      <c r="W6" s="3">
        <f t="shared" si="1"/>
        <v>0</v>
      </c>
      <c r="X6" s="3">
        <f t="shared" si="2"/>
        <v>0</v>
      </c>
      <c r="Y6" s="41"/>
      <c r="Z6" s="43"/>
      <c r="AA6" s="3">
        <f>TABL12345[[#This Row],[(RESV. STORGE) AJD]]/10</f>
        <v>0</v>
      </c>
      <c r="AB6" s="43">
        <f t="shared" si="3"/>
        <v>0</v>
      </c>
      <c r="AC6" s="5"/>
      <c r="AD6" s="39">
        <f>(TABL12345[[#This Row],[( S/S+T/B) AJD]]*1000)-((TABL12345[[#This Row],[(STORGE DIFF.) AJD]]*1000)+TABL12345[[#This Row],[البخر  AJD]]+(TABL12345[[#This Row],[(A/B + A/S) AJD]]*1000))</f>
        <v>0</v>
      </c>
      <c r="AE6" s="41"/>
      <c r="AF6" s="43"/>
      <c r="AG6" s="43"/>
      <c r="AH6" s="6">
        <f>TABL12345[[#This Row],[ (RESV. STORGE) BER]]/10</f>
        <v>0</v>
      </c>
      <c r="AI6" s="41"/>
      <c r="AJ6" s="41">
        <f>TABL12345[[#This Row],[(A/B TOT) AJD]]-TABL12345[[#This Row],[BER_ IN]]</f>
        <v>0</v>
      </c>
      <c r="AK6" s="43"/>
      <c r="AL6" s="43"/>
      <c r="AM6" s="32"/>
      <c r="AN6" s="32">
        <f>TABL12345[[#This Row],[ (RESV. STORGE) SER]]/10</f>
        <v>0</v>
      </c>
      <c r="AO6" s="68"/>
      <c r="AP6" s="68">
        <f>TABL12345[[#This Row],[(A/S TOT) AJD]]-TABL12345[[#This Row],[SER_ IN]]</f>
        <v>0</v>
      </c>
    </row>
    <row r="7" spans="1:42" ht="18.75" x14ac:dyDescent="0.25">
      <c r="A7" s="2">
        <v>47489</v>
      </c>
      <c r="B7" s="44"/>
      <c r="C7" s="44"/>
      <c r="D7" s="44"/>
      <c r="E7" s="44"/>
      <c r="F7" s="44"/>
      <c r="G7" s="40"/>
      <c r="H7" s="44"/>
      <c r="I7" s="40"/>
      <c r="J7" s="44"/>
      <c r="K7" s="28">
        <f>TABL12345[[#This Row],[خط (T/B  TOT) SAR]]+TABL12345[[#This Row],[خط (S/S  TOT) SAR2]]</f>
        <v>0</v>
      </c>
      <c r="L7" s="45"/>
      <c r="M7" s="46"/>
      <c r="N7" s="46"/>
      <c r="O7" s="40"/>
      <c r="P7" s="3">
        <f>TABL12345[[#This Row],[خط (S/S  TOT) SAR2]]-TABL12345[[#This Row],[(S/S TOT) AJD]]</f>
        <v>0</v>
      </c>
      <c r="Q7" s="40"/>
      <c r="R7" s="3">
        <f>TABL12345[[#This Row],[خط (T/B  TOT) SAR]]-TABL12345[[#This Row],[(T/B TOT) AJD]]</f>
        <v>0</v>
      </c>
      <c r="S7" s="3">
        <f>TABL12345[[#This Row],[الفرق بين بداية ونهاية خط  S/S]]+TABL12345[[#This Row],[الفرق بين بداية ونهاية خط  T/B]]</f>
        <v>0</v>
      </c>
      <c r="T7" s="3">
        <f t="shared" si="0"/>
        <v>0</v>
      </c>
      <c r="U7" s="44"/>
      <c r="V7" s="44"/>
      <c r="W7" s="3">
        <f t="shared" si="1"/>
        <v>0</v>
      </c>
      <c r="X7" s="3">
        <f t="shared" si="2"/>
        <v>0</v>
      </c>
      <c r="Y7" s="67"/>
      <c r="Z7" s="45"/>
      <c r="AA7" s="3">
        <f>TABL12345[[#This Row],[(RESV. STORGE) AJD]]/10</f>
        <v>0</v>
      </c>
      <c r="AB7" s="45">
        <f t="shared" si="3"/>
        <v>0</v>
      </c>
      <c r="AC7" s="5"/>
      <c r="AD7" s="40">
        <f>(TABL12345[[#This Row],[( S/S+T/B) AJD]]*1000)-((TABL12345[[#This Row],[(STORGE DIFF.) AJD]]*1000)+TABL12345[[#This Row],[البخر  AJD]]+(TABL12345[[#This Row],[(A/B + A/S) AJD]]*1000))</f>
        <v>0</v>
      </c>
      <c r="AE7" s="44"/>
      <c r="AF7" s="45"/>
      <c r="AG7" s="45"/>
      <c r="AH7" s="6">
        <f>TABL12345[[#This Row],[ (RESV. STORGE) BER]]/10</f>
        <v>0</v>
      </c>
      <c r="AI7" s="44"/>
      <c r="AJ7" s="44">
        <f>TABL12345[[#This Row],[(A/B TOT) AJD]]-TABL12345[[#This Row],[BER_ IN]]</f>
        <v>0</v>
      </c>
      <c r="AK7" s="45"/>
      <c r="AL7" s="45"/>
      <c r="AM7" s="32"/>
      <c r="AN7" s="32">
        <f>TABL12345[[#This Row],[ (RESV. STORGE) SER]]/10</f>
        <v>0</v>
      </c>
      <c r="AO7" s="68"/>
      <c r="AP7" s="68">
        <f>TABL12345[[#This Row],[(A/S TOT) AJD]]-TABL12345[[#This Row],[SER_ IN]]</f>
        <v>0</v>
      </c>
    </row>
    <row r="8" spans="1:42" ht="18.75" x14ac:dyDescent="0.25">
      <c r="A8" s="2">
        <v>47490</v>
      </c>
      <c r="B8" s="41"/>
      <c r="C8" s="41"/>
      <c r="D8" s="41"/>
      <c r="E8" s="41"/>
      <c r="F8" s="41"/>
      <c r="G8" s="39"/>
      <c r="H8" s="41"/>
      <c r="I8" s="39"/>
      <c r="J8" s="39"/>
      <c r="K8" s="28">
        <f>TABL12345[[#This Row],[خط (T/B  TOT) SAR]]+TABL12345[[#This Row],[خط (S/S  TOT) SAR2]]</f>
        <v>0</v>
      </c>
      <c r="L8" s="41"/>
      <c r="M8" s="42"/>
      <c r="N8" s="42"/>
      <c r="O8" s="39"/>
      <c r="P8" s="3">
        <f>TABL12345[[#This Row],[خط (S/S  TOT) SAR2]]-TABL12345[[#This Row],[(S/S TOT) AJD]]</f>
        <v>0</v>
      </c>
      <c r="Q8" s="39"/>
      <c r="R8" s="3">
        <f>TABL12345[[#This Row],[خط (T/B  TOT) SAR]]-TABL12345[[#This Row],[(T/B TOT) AJD]]</f>
        <v>0</v>
      </c>
      <c r="S8" s="3">
        <f>TABL12345[[#This Row],[الفرق بين بداية ونهاية خط  S/S]]+TABL12345[[#This Row],[الفرق بين بداية ونهاية خط  T/B]]</f>
        <v>0</v>
      </c>
      <c r="T8" s="3">
        <f t="shared" si="0"/>
        <v>0</v>
      </c>
      <c r="U8" s="41"/>
      <c r="V8" s="41"/>
      <c r="W8" s="3">
        <f t="shared" si="1"/>
        <v>0</v>
      </c>
      <c r="X8" s="3">
        <f t="shared" si="2"/>
        <v>0</v>
      </c>
      <c r="Y8" s="41"/>
      <c r="Z8" s="43"/>
      <c r="AA8" s="3">
        <f>TABL12345[[#This Row],[(RESV. STORGE) AJD]]/10</f>
        <v>0</v>
      </c>
      <c r="AB8" s="43">
        <f t="shared" si="3"/>
        <v>0</v>
      </c>
      <c r="AC8" s="5"/>
      <c r="AD8" s="39">
        <f>(TABL12345[[#This Row],[( S/S+T/B) AJD]]*1000)-((TABL12345[[#This Row],[(STORGE DIFF.) AJD]]*1000)+TABL12345[[#This Row],[البخر  AJD]]+(TABL12345[[#This Row],[(A/B + A/S) AJD]]*1000))</f>
        <v>0</v>
      </c>
      <c r="AE8" s="41"/>
      <c r="AF8" s="43"/>
      <c r="AG8" s="43"/>
      <c r="AH8" s="6">
        <f>TABL12345[[#This Row],[ (RESV. STORGE) BER]]/10</f>
        <v>0</v>
      </c>
      <c r="AI8" s="41"/>
      <c r="AJ8" s="41">
        <f>TABL12345[[#This Row],[(A/B TOT) AJD]]-TABL12345[[#This Row],[BER_ IN]]</f>
        <v>0</v>
      </c>
      <c r="AK8" s="43"/>
      <c r="AL8" s="43"/>
      <c r="AM8" s="32"/>
      <c r="AN8" s="32">
        <f>TABL12345[[#This Row],[ (RESV. STORGE) SER]]/10</f>
        <v>0</v>
      </c>
      <c r="AO8" s="68"/>
      <c r="AP8" s="68">
        <f>TABL12345[[#This Row],[(A/S TOT) AJD]]-TABL12345[[#This Row],[SER_ IN]]</f>
        <v>0</v>
      </c>
    </row>
    <row r="9" spans="1:42" ht="18.75" x14ac:dyDescent="0.25">
      <c r="A9" s="2">
        <v>47491</v>
      </c>
      <c r="B9" s="44"/>
      <c r="C9" s="44"/>
      <c r="D9" s="44"/>
      <c r="E9" s="44"/>
      <c r="F9" s="44"/>
      <c r="G9" s="40"/>
      <c r="H9" s="44"/>
      <c r="I9" s="40"/>
      <c r="J9" s="44"/>
      <c r="K9" s="28">
        <f>TABL12345[[#This Row],[خط (T/B  TOT) SAR]]+TABL12345[[#This Row],[خط (S/S  TOT) SAR2]]</f>
        <v>0</v>
      </c>
      <c r="L9" s="45"/>
      <c r="M9" s="46"/>
      <c r="N9" s="46"/>
      <c r="O9" s="40"/>
      <c r="P9" s="3">
        <f>TABL12345[[#This Row],[خط (S/S  TOT) SAR2]]-TABL12345[[#This Row],[(S/S TOT) AJD]]</f>
        <v>0</v>
      </c>
      <c r="Q9" s="40"/>
      <c r="R9" s="3">
        <f>TABL12345[[#This Row],[خط (T/B  TOT) SAR]]-TABL12345[[#This Row],[(T/B TOT) AJD]]</f>
        <v>0</v>
      </c>
      <c r="S9" s="3">
        <f>TABL12345[[#This Row],[الفرق بين بداية ونهاية خط  S/S]]+TABL12345[[#This Row],[الفرق بين بداية ونهاية خط  T/B]]</f>
        <v>0</v>
      </c>
      <c r="T9" s="3">
        <f t="shared" si="0"/>
        <v>0</v>
      </c>
      <c r="U9" s="44"/>
      <c r="V9" s="44"/>
      <c r="W9" s="3">
        <f t="shared" si="1"/>
        <v>0</v>
      </c>
      <c r="X9" s="3">
        <f t="shared" si="2"/>
        <v>0</v>
      </c>
      <c r="Y9" s="44"/>
      <c r="Z9" s="45"/>
      <c r="AA9" s="3">
        <f>TABL12345[[#This Row],[(RESV. STORGE) AJD]]/10</f>
        <v>0</v>
      </c>
      <c r="AB9" s="45">
        <f t="shared" si="3"/>
        <v>0</v>
      </c>
      <c r="AC9" s="5"/>
      <c r="AD9" s="40">
        <f>(TABL12345[[#This Row],[( S/S+T/B) AJD]]*1000)-((TABL12345[[#This Row],[(STORGE DIFF.) AJD]]*1000)+TABL12345[[#This Row],[البخر  AJD]]+(TABL12345[[#This Row],[(A/B + A/S) AJD]]*1000))</f>
        <v>0</v>
      </c>
      <c r="AE9" s="44"/>
      <c r="AF9" s="45"/>
      <c r="AG9" s="45"/>
      <c r="AH9" s="6">
        <f>TABL12345[[#This Row],[ (RESV. STORGE) BER]]/10</f>
        <v>0</v>
      </c>
      <c r="AI9" s="44"/>
      <c r="AJ9" s="44">
        <f>TABL12345[[#This Row],[(A/B TOT) AJD]]-TABL12345[[#This Row],[BER_ IN]]</f>
        <v>0</v>
      </c>
      <c r="AK9" s="45"/>
      <c r="AL9" s="45"/>
      <c r="AM9" s="32"/>
      <c r="AN9" s="32">
        <f>TABL12345[[#This Row],[ (RESV. STORGE) SER]]/10</f>
        <v>0</v>
      </c>
      <c r="AO9" s="68"/>
      <c r="AP9" s="68">
        <f>TABL12345[[#This Row],[(A/S TOT) AJD]]-TABL12345[[#This Row],[SER_ IN]]</f>
        <v>0</v>
      </c>
    </row>
    <row r="10" spans="1:42" ht="18.75" x14ac:dyDescent="0.25">
      <c r="A10" s="2">
        <v>47492</v>
      </c>
      <c r="B10" s="41"/>
      <c r="C10" s="41"/>
      <c r="D10" s="41"/>
      <c r="E10" s="41"/>
      <c r="F10" s="41"/>
      <c r="G10" s="39"/>
      <c r="H10" s="41"/>
      <c r="I10" s="39"/>
      <c r="J10" s="39"/>
      <c r="K10" s="28">
        <f>TABL12345[[#This Row],[خط (T/B  TOT) SAR]]+TABL12345[[#This Row],[خط (S/S  TOT) SAR2]]</f>
        <v>0</v>
      </c>
      <c r="L10" s="41"/>
      <c r="M10" s="42"/>
      <c r="N10" s="42"/>
      <c r="O10" s="39"/>
      <c r="P10" s="3">
        <f>TABL12345[[#This Row],[خط (S/S  TOT) SAR2]]-TABL12345[[#This Row],[(S/S TOT) AJD]]</f>
        <v>0</v>
      </c>
      <c r="Q10" s="39"/>
      <c r="R10" s="3">
        <f>TABL12345[[#This Row],[خط (T/B  TOT) SAR]]-TABL12345[[#This Row],[(T/B TOT) AJD]]</f>
        <v>0</v>
      </c>
      <c r="S10" s="3">
        <f>TABL12345[[#This Row],[الفرق بين بداية ونهاية خط  S/S]]+TABL12345[[#This Row],[الفرق بين بداية ونهاية خط  T/B]]</f>
        <v>0</v>
      </c>
      <c r="T10" s="3">
        <f t="shared" si="0"/>
        <v>0</v>
      </c>
      <c r="U10" s="41"/>
      <c r="V10" s="41"/>
      <c r="W10" s="3">
        <f t="shared" si="1"/>
        <v>0</v>
      </c>
      <c r="X10" s="3">
        <f t="shared" si="2"/>
        <v>0</v>
      </c>
      <c r="Y10" s="41"/>
      <c r="Z10" s="43"/>
      <c r="AA10" s="3">
        <f>TABL12345[[#This Row],[(RESV. STORGE) AJD]]/10</f>
        <v>0</v>
      </c>
      <c r="AB10" s="43">
        <f t="shared" si="3"/>
        <v>0</v>
      </c>
      <c r="AC10" s="5"/>
      <c r="AD10" s="39">
        <f>(TABL12345[[#This Row],[( S/S+T/B) AJD]]*1000)-((TABL12345[[#This Row],[(STORGE DIFF.) AJD]]*1000)+TABL12345[[#This Row],[البخر  AJD]]+(TABL12345[[#This Row],[(A/B + A/S) AJD]]*1000))</f>
        <v>0</v>
      </c>
      <c r="AE10" s="41"/>
      <c r="AF10" s="43"/>
      <c r="AG10" s="43"/>
      <c r="AH10" s="6">
        <f>TABL12345[[#This Row],[ (RESV. STORGE) BER]]/10</f>
        <v>0</v>
      </c>
      <c r="AI10" s="41"/>
      <c r="AJ10" s="41">
        <f>TABL12345[[#This Row],[(A/B TOT) AJD]]-TABL12345[[#This Row],[BER_ IN]]</f>
        <v>0</v>
      </c>
      <c r="AK10" s="43"/>
      <c r="AL10" s="43"/>
      <c r="AM10" s="32"/>
      <c r="AN10" s="32">
        <f>TABL12345[[#This Row],[ (RESV. STORGE) SER]]/10</f>
        <v>0</v>
      </c>
      <c r="AO10" s="68"/>
      <c r="AP10" s="68">
        <f>TABL12345[[#This Row],[(A/S TOT) AJD]]-TABL12345[[#This Row],[SER_ IN]]</f>
        <v>0</v>
      </c>
    </row>
    <row r="11" spans="1:42" ht="18.75" x14ac:dyDescent="0.25">
      <c r="A11" s="2">
        <v>47493</v>
      </c>
      <c r="B11" s="44"/>
      <c r="C11" s="44"/>
      <c r="D11" s="44"/>
      <c r="E11" s="44"/>
      <c r="F11" s="44"/>
      <c r="G11" s="40"/>
      <c r="H11" s="44"/>
      <c r="I11" s="40"/>
      <c r="J11" s="44"/>
      <c r="K11" s="28">
        <f>TABL12345[[#This Row],[خط (T/B  TOT) SAR]]+TABL12345[[#This Row],[خط (S/S  TOT) SAR2]]</f>
        <v>0</v>
      </c>
      <c r="L11" s="45"/>
      <c r="M11" s="46"/>
      <c r="N11" s="46"/>
      <c r="O11" s="40"/>
      <c r="P11" s="3">
        <f>TABL12345[[#This Row],[خط (S/S  TOT) SAR2]]-TABL12345[[#This Row],[(S/S TOT) AJD]]</f>
        <v>0</v>
      </c>
      <c r="Q11" s="40"/>
      <c r="R11" s="3">
        <f>TABL12345[[#This Row],[خط (T/B  TOT) SAR]]-TABL12345[[#This Row],[(T/B TOT) AJD]]</f>
        <v>0</v>
      </c>
      <c r="S11" s="3">
        <f>TABL12345[[#This Row],[الفرق بين بداية ونهاية خط  S/S]]+TABL12345[[#This Row],[الفرق بين بداية ونهاية خط  T/B]]</f>
        <v>0</v>
      </c>
      <c r="T11" s="3">
        <f t="shared" si="0"/>
        <v>0</v>
      </c>
      <c r="U11" s="44"/>
      <c r="V11" s="44"/>
      <c r="W11" s="3">
        <f t="shared" si="1"/>
        <v>0</v>
      </c>
      <c r="X11" s="3">
        <f t="shared" si="2"/>
        <v>0</v>
      </c>
      <c r="Y11" s="44"/>
      <c r="Z11" s="45"/>
      <c r="AA11" s="3">
        <f>TABL12345[[#This Row],[(RESV. STORGE) AJD]]/10</f>
        <v>0</v>
      </c>
      <c r="AB11" s="45">
        <f t="shared" si="3"/>
        <v>0</v>
      </c>
      <c r="AC11" s="5"/>
      <c r="AD11" s="40">
        <f>(TABL12345[[#This Row],[( S/S+T/B) AJD]]*1000)-((TABL12345[[#This Row],[(STORGE DIFF.) AJD]]*1000)+TABL12345[[#This Row],[البخر  AJD]]+(TABL12345[[#This Row],[(A/B + A/S) AJD]]*1000))</f>
        <v>0</v>
      </c>
      <c r="AE11" s="44"/>
      <c r="AF11" s="45"/>
      <c r="AG11" s="45"/>
      <c r="AH11" s="6">
        <f>TABL12345[[#This Row],[ (RESV. STORGE) BER]]/10</f>
        <v>0</v>
      </c>
      <c r="AI11" s="44"/>
      <c r="AJ11" s="44">
        <f>TABL12345[[#This Row],[(A/B TOT) AJD]]-TABL12345[[#This Row],[BER_ IN]]</f>
        <v>0</v>
      </c>
      <c r="AK11" s="45"/>
      <c r="AL11" s="45"/>
      <c r="AM11" s="32"/>
      <c r="AN11" s="32">
        <f>TABL12345[[#This Row],[ (RESV. STORGE) SER]]/10</f>
        <v>0</v>
      </c>
      <c r="AO11" s="68"/>
      <c r="AP11" s="68">
        <f>TABL12345[[#This Row],[(A/S TOT) AJD]]-TABL12345[[#This Row],[SER_ IN]]</f>
        <v>0</v>
      </c>
    </row>
    <row r="12" spans="1:42" ht="18.75" x14ac:dyDescent="0.25">
      <c r="A12" s="2">
        <v>47494</v>
      </c>
      <c r="B12" s="41"/>
      <c r="C12" s="41"/>
      <c r="D12" s="41"/>
      <c r="E12" s="41"/>
      <c r="F12" s="41"/>
      <c r="G12" s="39"/>
      <c r="H12" s="41"/>
      <c r="I12" s="39"/>
      <c r="J12" s="39"/>
      <c r="K12" s="28">
        <f>TABL12345[[#This Row],[خط (T/B  TOT) SAR]]+TABL12345[[#This Row],[خط (S/S  TOT) SAR2]]</f>
        <v>0</v>
      </c>
      <c r="L12" s="41"/>
      <c r="M12" s="42"/>
      <c r="N12" s="42"/>
      <c r="O12" s="39"/>
      <c r="P12" s="3">
        <f>TABL12345[[#This Row],[خط (S/S  TOT) SAR2]]-TABL12345[[#This Row],[(S/S TOT) AJD]]</f>
        <v>0</v>
      </c>
      <c r="Q12" s="39"/>
      <c r="R12" s="3">
        <f>TABL12345[[#This Row],[خط (T/B  TOT) SAR]]-TABL12345[[#This Row],[(T/B TOT) AJD]]</f>
        <v>0</v>
      </c>
      <c r="S12" s="3">
        <f>TABL12345[[#This Row],[الفرق بين بداية ونهاية خط  S/S]]+TABL12345[[#This Row],[الفرق بين بداية ونهاية خط  T/B]]</f>
        <v>0</v>
      </c>
      <c r="T12" s="3">
        <f t="shared" si="0"/>
        <v>0</v>
      </c>
      <c r="U12" s="41"/>
      <c r="V12" s="41"/>
      <c r="W12" s="3">
        <f t="shared" si="1"/>
        <v>0</v>
      </c>
      <c r="X12" s="3">
        <f t="shared" si="2"/>
        <v>0</v>
      </c>
      <c r="Y12" s="41"/>
      <c r="Z12" s="43"/>
      <c r="AA12" s="3">
        <f>TABL12345[[#This Row],[(RESV. STORGE) AJD]]/10</f>
        <v>0</v>
      </c>
      <c r="AB12" s="43">
        <f t="shared" si="3"/>
        <v>0</v>
      </c>
      <c r="AC12" s="5"/>
      <c r="AD12" s="39">
        <f>(TABL12345[[#This Row],[( S/S+T/B) AJD]]*1000)-((TABL12345[[#This Row],[(STORGE DIFF.) AJD]]*1000)+TABL12345[[#This Row],[البخر  AJD]]+(TABL12345[[#This Row],[(A/B + A/S) AJD]]*1000))</f>
        <v>0</v>
      </c>
      <c r="AE12" s="41"/>
      <c r="AF12" s="43"/>
      <c r="AG12" s="68"/>
      <c r="AH12" s="6">
        <f>TABL12345[[#This Row],[ (RESV. STORGE) BER]]/10</f>
        <v>0</v>
      </c>
      <c r="AI12" s="41"/>
      <c r="AJ12" s="69">
        <f>TABL12345[[#This Row],[(A/B TOT) AJD]]-TABL12345[[#This Row],[BER_ IN]]</f>
        <v>0</v>
      </c>
      <c r="AK12" s="43"/>
      <c r="AL12" s="43"/>
      <c r="AM12" s="32"/>
      <c r="AN12" s="32">
        <f>TABL12345[[#This Row],[ (RESV. STORGE) SER]]/10</f>
        <v>0</v>
      </c>
      <c r="AO12" s="68"/>
      <c r="AP12" s="68">
        <f>TABL12345[[#This Row],[(A/S TOT) AJD]]-TABL12345[[#This Row],[SER_ IN]]</f>
        <v>0</v>
      </c>
    </row>
    <row r="13" spans="1:42" ht="18.75" x14ac:dyDescent="0.25">
      <c r="A13" s="2">
        <v>47495</v>
      </c>
      <c r="B13" s="44"/>
      <c r="C13" s="44"/>
      <c r="D13" s="44"/>
      <c r="E13" s="44"/>
      <c r="F13" s="44"/>
      <c r="G13" s="40"/>
      <c r="H13" s="44"/>
      <c r="I13" s="40"/>
      <c r="J13" s="44"/>
      <c r="K13" s="28">
        <f>TABL12345[[#This Row],[خط (T/B  TOT) SAR]]+TABL12345[[#This Row],[خط (S/S  TOT) SAR2]]</f>
        <v>0</v>
      </c>
      <c r="L13" s="45"/>
      <c r="M13" s="46"/>
      <c r="N13" s="46"/>
      <c r="O13" s="40"/>
      <c r="P13" s="3">
        <f>TABL12345[[#This Row],[خط (S/S  TOT) SAR2]]-TABL12345[[#This Row],[(S/S TOT) AJD]]</f>
        <v>0</v>
      </c>
      <c r="Q13" s="40"/>
      <c r="R13" s="3">
        <f>TABL12345[[#This Row],[خط (T/B  TOT) SAR]]-TABL12345[[#This Row],[(T/B TOT) AJD]]</f>
        <v>0</v>
      </c>
      <c r="S13" s="3">
        <f>TABL12345[[#This Row],[الفرق بين بداية ونهاية خط  S/S]]+TABL12345[[#This Row],[الفرق بين بداية ونهاية خط  T/B]]</f>
        <v>0</v>
      </c>
      <c r="T13" s="3">
        <f t="shared" si="0"/>
        <v>0</v>
      </c>
      <c r="U13" s="44"/>
      <c r="V13" s="44"/>
      <c r="W13" s="3">
        <f t="shared" si="1"/>
        <v>0</v>
      </c>
      <c r="X13" s="3">
        <f t="shared" si="2"/>
        <v>0</v>
      </c>
      <c r="Y13" s="44"/>
      <c r="Z13" s="45"/>
      <c r="AA13" s="3">
        <f>TABL12345[[#This Row],[(RESV. STORGE) AJD]]/10</f>
        <v>0</v>
      </c>
      <c r="AB13" s="45">
        <f t="shared" si="3"/>
        <v>0</v>
      </c>
      <c r="AC13" s="5"/>
      <c r="AD13" s="40">
        <f>(TABL12345[[#This Row],[( S/S+T/B) AJD]]*1000)-((TABL12345[[#This Row],[(STORGE DIFF.) AJD]]*1000)+TABL12345[[#This Row],[البخر  AJD]]+(TABL12345[[#This Row],[(A/B + A/S) AJD]]*1000))</f>
        <v>0</v>
      </c>
      <c r="AE13" s="44"/>
      <c r="AF13" s="45"/>
      <c r="AG13" s="45"/>
      <c r="AH13" s="6">
        <f>TABL12345[[#This Row],[ (RESV. STORGE) BER]]/10</f>
        <v>0</v>
      </c>
      <c r="AI13" s="44"/>
      <c r="AJ13" s="44">
        <f>TABL12345[[#This Row],[(A/B TOT) AJD]]-TABL12345[[#This Row],[BER_ IN]]</f>
        <v>0</v>
      </c>
      <c r="AK13" s="45"/>
      <c r="AL13" s="45"/>
      <c r="AM13" s="32"/>
      <c r="AN13" s="32">
        <f>TABL12345[[#This Row],[ (RESV. STORGE) SER]]/10</f>
        <v>0</v>
      </c>
      <c r="AO13" s="68"/>
      <c r="AP13" s="68">
        <f>TABL12345[[#This Row],[(A/S TOT) AJD]]-TABL12345[[#This Row],[SER_ IN]]</f>
        <v>0</v>
      </c>
    </row>
    <row r="14" spans="1:42" ht="18.75" x14ac:dyDescent="0.25">
      <c r="A14" s="2">
        <v>47496</v>
      </c>
      <c r="B14" s="41"/>
      <c r="C14" s="41"/>
      <c r="D14" s="41"/>
      <c r="E14" s="41"/>
      <c r="F14" s="41"/>
      <c r="G14" s="39"/>
      <c r="H14" s="41"/>
      <c r="I14" s="39"/>
      <c r="J14" s="39"/>
      <c r="K14" s="28">
        <f>TABL12345[[#This Row],[خط (T/B  TOT) SAR]]+TABL12345[[#This Row],[خط (S/S  TOT) SAR2]]</f>
        <v>0</v>
      </c>
      <c r="L14" s="41"/>
      <c r="M14" s="42"/>
      <c r="N14" s="42"/>
      <c r="O14" s="39"/>
      <c r="P14" s="3">
        <f>TABL12345[[#This Row],[خط (S/S  TOT) SAR2]]-TABL12345[[#This Row],[(S/S TOT) AJD]]</f>
        <v>0</v>
      </c>
      <c r="Q14" s="39"/>
      <c r="R14" s="3">
        <f>TABL12345[[#This Row],[خط (T/B  TOT) SAR]]-TABL12345[[#This Row],[(T/B TOT) AJD]]</f>
        <v>0</v>
      </c>
      <c r="S14" s="3">
        <f>TABL12345[[#This Row],[الفرق بين بداية ونهاية خط  S/S]]+TABL12345[[#This Row],[الفرق بين بداية ونهاية خط  T/B]]</f>
        <v>0</v>
      </c>
      <c r="T14" s="3">
        <f t="shared" si="0"/>
        <v>0</v>
      </c>
      <c r="U14" s="41"/>
      <c r="V14" s="41"/>
      <c r="W14" s="3">
        <f t="shared" si="1"/>
        <v>0</v>
      </c>
      <c r="X14" s="3">
        <f t="shared" si="2"/>
        <v>0</v>
      </c>
      <c r="Y14" s="41"/>
      <c r="Z14" s="43"/>
      <c r="AA14" s="3">
        <f>TABL12345[[#This Row],[(RESV. STORGE) AJD]]/10</f>
        <v>0</v>
      </c>
      <c r="AB14" s="43">
        <f t="shared" si="3"/>
        <v>0</v>
      </c>
      <c r="AC14" s="5"/>
      <c r="AD14" s="39">
        <f>(TABL12345[[#This Row],[( S/S+T/B) AJD]]*1000)-((TABL12345[[#This Row],[(STORGE DIFF.) AJD]]*1000)+TABL12345[[#This Row],[البخر  AJD]]+(TABL12345[[#This Row],[(A/B + A/S) AJD]]*1000))</f>
        <v>0</v>
      </c>
      <c r="AE14" s="41"/>
      <c r="AF14" s="43"/>
      <c r="AG14" s="43"/>
      <c r="AH14" s="6">
        <f>TABL12345[[#This Row],[ (RESV. STORGE) BER]]/10</f>
        <v>0</v>
      </c>
      <c r="AI14" s="41"/>
      <c r="AJ14" s="41">
        <f>TABL12345[[#This Row],[(A/B TOT) AJD]]-TABL12345[[#This Row],[BER_ IN]]</f>
        <v>0</v>
      </c>
      <c r="AK14" s="43"/>
      <c r="AL14" s="43"/>
      <c r="AM14" s="32"/>
      <c r="AN14" s="32">
        <f>TABL12345[[#This Row],[ (RESV. STORGE) SER]]/10</f>
        <v>0</v>
      </c>
      <c r="AO14" s="68"/>
      <c r="AP14" s="68">
        <f>TABL12345[[#This Row],[(A/S TOT) AJD]]-TABL12345[[#This Row],[SER_ IN]]</f>
        <v>0</v>
      </c>
    </row>
    <row r="15" spans="1:42" ht="18.75" x14ac:dyDescent="0.25">
      <c r="A15" s="2">
        <v>47497</v>
      </c>
      <c r="B15" s="44"/>
      <c r="C15" s="44"/>
      <c r="D15" s="44"/>
      <c r="E15" s="44"/>
      <c r="F15" s="44"/>
      <c r="G15" s="40"/>
      <c r="H15" s="44"/>
      <c r="I15" s="40"/>
      <c r="J15" s="44"/>
      <c r="K15" s="28">
        <f>TABL12345[[#This Row],[خط (T/B  TOT) SAR]]+TABL12345[[#This Row],[خط (S/S  TOT) SAR2]]</f>
        <v>0</v>
      </c>
      <c r="L15" s="45"/>
      <c r="M15" s="46"/>
      <c r="N15" s="46"/>
      <c r="O15" s="40"/>
      <c r="P15" s="3">
        <f>TABL12345[[#This Row],[خط (S/S  TOT) SAR2]]-TABL12345[[#This Row],[(S/S TOT) AJD]]</f>
        <v>0</v>
      </c>
      <c r="Q15" s="40"/>
      <c r="R15" s="3">
        <f>TABL12345[[#This Row],[خط (T/B  TOT) SAR]]-TABL12345[[#This Row],[(T/B TOT) AJD]]</f>
        <v>0</v>
      </c>
      <c r="S15" s="3">
        <f>TABL12345[[#This Row],[الفرق بين بداية ونهاية خط  S/S]]+TABL12345[[#This Row],[الفرق بين بداية ونهاية خط  T/B]]</f>
        <v>0</v>
      </c>
      <c r="T15" s="3">
        <f t="shared" si="0"/>
        <v>0</v>
      </c>
      <c r="U15" s="44"/>
      <c r="V15" s="44"/>
      <c r="W15" s="3">
        <f t="shared" si="1"/>
        <v>0</v>
      </c>
      <c r="X15" s="3">
        <f t="shared" si="2"/>
        <v>0</v>
      </c>
      <c r="Y15" s="44"/>
      <c r="Z15" s="45"/>
      <c r="AA15" s="3">
        <f>TABL12345[[#This Row],[(RESV. STORGE) AJD]]/10</f>
        <v>0</v>
      </c>
      <c r="AB15" s="45">
        <f t="shared" si="3"/>
        <v>0</v>
      </c>
      <c r="AC15" s="5"/>
      <c r="AD15" s="40">
        <f>(TABL12345[[#This Row],[( S/S+T/B) AJD]]*1000)-((TABL12345[[#This Row],[(STORGE DIFF.) AJD]]*1000)+TABL12345[[#This Row],[البخر  AJD]]+(TABL12345[[#This Row],[(A/B + A/S) AJD]]*1000))</f>
        <v>0</v>
      </c>
      <c r="AE15" s="44"/>
      <c r="AF15" s="45"/>
      <c r="AG15" s="45"/>
      <c r="AH15" s="6">
        <f>TABL12345[[#This Row],[ (RESV. STORGE) BER]]/10</f>
        <v>0</v>
      </c>
      <c r="AI15" s="44"/>
      <c r="AJ15" s="44">
        <f>TABL12345[[#This Row],[(A/B TOT) AJD]]-TABL12345[[#This Row],[BER_ IN]]</f>
        <v>0</v>
      </c>
      <c r="AK15" s="45"/>
      <c r="AL15" s="45"/>
      <c r="AM15" s="32"/>
      <c r="AN15" s="32">
        <f>TABL12345[[#This Row],[ (RESV. STORGE) SER]]/10</f>
        <v>0</v>
      </c>
      <c r="AO15" s="68"/>
      <c r="AP15" s="68">
        <f>TABL12345[[#This Row],[(A/S TOT) AJD]]-TABL12345[[#This Row],[SER_ IN]]</f>
        <v>0</v>
      </c>
    </row>
    <row r="16" spans="1:42" ht="18.75" x14ac:dyDescent="0.25">
      <c r="A16" s="2">
        <v>47498</v>
      </c>
      <c r="B16" s="41"/>
      <c r="C16" s="41"/>
      <c r="D16" s="41"/>
      <c r="E16" s="41"/>
      <c r="F16" s="41"/>
      <c r="G16" s="39"/>
      <c r="H16" s="41"/>
      <c r="I16" s="39"/>
      <c r="J16" s="39"/>
      <c r="K16" s="28">
        <f>TABL12345[[#This Row],[خط (T/B  TOT) SAR]]+TABL12345[[#This Row],[خط (S/S  TOT) SAR2]]</f>
        <v>0</v>
      </c>
      <c r="L16" s="41"/>
      <c r="M16" s="42"/>
      <c r="N16" s="42"/>
      <c r="O16" s="39"/>
      <c r="P16" s="3">
        <f>TABL12345[[#This Row],[خط (S/S  TOT) SAR2]]-TABL12345[[#This Row],[(S/S TOT) AJD]]</f>
        <v>0</v>
      </c>
      <c r="Q16" s="39"/>
      <c r="R16" s="3">
        <f>TABL12345[[#This Row],[خط (T/B  TOT) SAR]]-TABL12345[[#This Row],[(T/B TOT) AJD]]</f>
        <v>0</v>
      </c>
      <c r="S16" s="3">
        <f>TABL12345[[#This Row],[الفرق بين بداية ونهاية خط  S/S]]+TABL12345[[#This Row],[الفرق بين بداية ونهاية خط  T/B]]</f>
        <v>0</v>
      </c>
      <c r="T16" s="3">
        <f t="shared" si="0"/>
        <v>0</v>
      </c>
      <c r="U16" s="41"/>
      <c r="V16" s="41"/>
      <c r="W16" s="3">
        <f t="shared" si="1"/>
        <v>0</v>
      </c>
      <c r="X16" s="3">
        <f t="shared" si="2"/>
        <v>0</v>
      </c>
      <c r="Y16" s="41"/>
      <c r="Z16" s="43"/>
      <c r="AA16" s="3">
        <f>TABL12345[[#This Row],[(RESV. STORGE) AJD]]/10</f>
        <v>0</v>
      </c>
      <c r="AB16" s="43">
        <f t="shared" si="3"/>
        <v>0</v>
      </c>
      <c r="AC16" s="5"/>
      <c r="AD16" s="39">
        <f>(TABL12345[[#This Row],[( S/S+T/B) AJD]]*1000)-((TABL12345[[#This Row],[(STORGE DIFF.) AJD]]*1000)+TABL12345[[#This Row],[البخر  AJD]]+(TABL12345[[#This Row],[(A/B + A/S) AJD]]*1000))</f>
        <v>0</v>
      </c>
      <c r="AE16" s="41"/>
      <c r="AF16" s="43"/>
      <c r="AG16" s="43"/>
      <c r="AH16" s="6">
        <f>TABL12345[[#This Row],[ (RESV. STORGE) BER]]/10</f>
        <v>0</v>
      </c>
      <c r="AI16" s="41"/>
      <c r="AJ16" s="41">
        <f>TABL12345[[#This Row],[(A/B TOT) AJD]]-TABL12345[[#This Row],[BER_ IN]]</f>
        <v>0</v>
      </c>
      <c r="AK16" s="43"/>
      <c r="AL16" s="43"/>
      <c r="AM16" s="32"/>
      <c r="AN16" s="32">
        <f>TABL12345[[#This Row],[ (RESV. STORGE) SER]]/10</f>
        <v>0</v>
      </c>
      <c r="AO16" s="68"/>
      <c r="AP16" s="68">
        <f>TABL12345[[#This Row],[(A/S TOT) AJD]]-TABL12345[[#This Row],[SER_ IN]]</f>
        <v>0</v>
      </c>
    </row>
    <row r="17" spans="1:42" ht="18.75" x14ac:dyDescent="0.25">
      <c r="A17" s="2">
        <v>47499</v>
      </c>
      <c r="B17" s="44"/>
      <c r="C17" s="44"/>
      <c r="D17" s="44"/>
      <c r="E17" s="44"/>
      <c r="F17" s="44"/>
      <c r="G17" s="40"/>
      <c r="H17" s="44"/>
      <c r="I17" s="40"/>
      <c r="J17" s="44"/>
      <c r="K17" s="28">
        <f>TABL12345[[#This Row],[خط (T/B  TOT) SAR]]+TABL12345[[#This Row],[خط (S/S  TOT) SAR2]]</f>
        <v>0</v>
      </c>
      <c r="L17" s="45"/>
      <c r="M17" s="46"/>
      <c r="N17" s="46"/>
      <c r="O17" s="40"/>
      <c r="P17" s="3">
        <f>TABL12345[[#This Row],[خط (S/S  TOT) SAR2]]-TABL12345[[#This Row],[(S/S TOT) AJD]]</f>
        <v>0</v>
      </c>
      <c r="Q17" s="40"/>
      <c r="R17" s="3">
        <f>TABL12345[[#This Row],[خط (T/B  TOT) SAR]]-TABL12345[[#This Row],[(T/B TOT) AJD]]</f>
        <v>0</v>
      </c>
      <c r="S17" s="3">
        <f>TABL12345[[#This Row],[الفرق بين بداية ونهاية خط  S/S]]+TABL12345[[#This Row],[الفرق بين بداية ونهاية خط  T/B]]</f>
        <v>0</v>
      </c>
      <c r="T17" s="3">
        <f t="shared" si="0"/>
        <v>0</v>
      </c>
      <c r="U17" s="44"/>
      <c r="V17" s="44"/>
      <c r="W17" s="3">
        <f t="shared" si="1"/>
        <v>0</v>
      </c>
      <c r="X17" s="3">
        <f t="shared" si="2"/>
        <v>0</v>
      </c>
      <c r="Y17" s="44"/>
      <c r="Z17" s="45"/>
      <c r="AA17" s="3">
        <f>TABL12345[[#This Row],[(RESV. STORGE) AJD]]/10</f>
        <v>0</v>
      </c>
      <c r="AB17" s="45">
        <f t="shared" si="3"/>
        <v>0</v>
      </c>
      <c r="AC17" s="5"/>
      <c r="AD17" s="40">
        <f>(TABL12345[[#This Row],[( S/S+T/B) AJD]]*1000)-((TABL12345[[#This Row],[(STORGE DIFF.) AJD]]*1000)+TABL12345[[#This Row],[البخر  AJD]]+(TABL12345[[#This Row],[(A/B + A/S) AJD]]*1000))</f>
        <v>0</v>
      </c>
      <c r="AE17" s="44"/>
      <c r="AF17" s="45"/>
      <c r="AG17" s="45"/>
      <c r="AH17" s="6">
        <f>TABL12345[[#This Row],[ (RESV. STORGE) BER]]/10</f>
        <v>0</v>
      </c>
      <c r="AI17" s="44"/>
      <c r="AJ17" s="44">
        <f>TABL12345[[#This Row],[(A/B TOT) AJD]]-TABL12345[[#This Row],[BER_ IN]]</f>
        <v>0</v>
      </c>
      <c r="AK17" s="45"/>
      <c r="AL17" s="45"/>
      <c r="AM17" s="32"/>
      <c r="AN17" s="32">
        <f>TABL12345[[#This Row],[ (RESV. STORGE) SER]]/10</f>
        <v>0</v>
      </c>
      <c r="AO17" s="68"/>
      <c r="AP17" s="68">
        <f>TABL12345[[#This Row],[(A/S TOT) AJD]]-TABL12345[[#This Row],[SER_ IN]]</f>
        <v>0</v>
      </c>
    </row>
    <row r="18" spans="1:42" ht="18.75" x14ac:dyDescent="0.25">
      <c r="A18" s="2">
        <v>47500</v>
      </c>
      <c r="B18" s="41"/>
      <c r="C18" s="41"/>
      <c r="D18" s="41"/>
      <c r="E18" s="41"/>
      <c r="F18" s="41"/>
      <c r="G18" s="39"/>
      <c r="H18" s="41"/>
      <c r="I18" s="39"/>
      <c r="J18" s="39"/>
      <c r="K18" s="28">
        <f>TABL12345[[#This Row],[خط (T/B  TOT) SAR]]+TABL12345[[#This Row],[خط (S/S  TOT) SAR2]]</f>
        <v>0</v>
      </c>
      <c r="L18" s="41"/>
      <c r="M18" s="42"/>
      <c r="N18" s="42"/>
      <c r="O18" s="39"/>
      <c r="P18" s="3">
        <f>TABL12345[[#This Row],[خط (S/S  TOT) SAR2]]-TABL12345[[#This Row],[(S/S TOT) AJD]]</f>
        <v>0</v>
      </c>
      <c r="Q18" s="39"/>
      <c r="R18" s="3">
        <f>TABL12345[[#This Row],[خط (T/B  TOT) SAR]]-TABL12345[[#This Row],[(T/B TOT) AJD]]</f>
        <v>0</v>
      </c>
      <c r="S18" s="3">
        <f>TABL12345[[#This Row],[الفرق بين بداية ونهاية خط  S/S]]+TABL12345[[#This Row],[الفرق بين بداية ونهاية خط  T/B]]</f>
        <v>0</v>
      </c>
      <c r="T18" s="3">
        <f t="shared" si="0"/>
        <v>0</v>
      </c>
      <c r="U18" s="41"/>
      <c r="V18" s="41"/>
      <c r="W18" s="3">
        <f t="shared" si="1"/>
        <v>0</v>
      </c>
      <c r="X18" s="3">
        <f t="shared" si="2"/>
        <v>0</v>
      </c>
      <c r="Y18" s="41"/>
      <c r="Z18" s="43"/>
      <c r="AA18" s="3">
        <f>TABL12345[[#This Row],[(RESV. STORGE) AJD]]/10</f>
        <v>0</v>
      </c>
      <c r="AB18" s="43">
        <f t="shared" si="3"/>
        <v>0</v>
      </c>
      <c r="AC18" s="5"/>
      <c r="AD18" s="39">
        <f>(TABL12345[[#This Row],[( S/S+T/B) AJD]]*1000)-((TABL12345[[#This Row],[(STORGE DIFF.) AJD]]*1000)+TABL12345[[#This Row],[البخر  AJD]]+(TABL12345[[#This Row],[(A/B + A/S) AJD]]*1000))</f>
        <v>0</v>
      </c>
      <c r="AE18" s="41"/>
      <c r="AF18" s="43"/>
      <c r="AG18" s="43"/>
      <c r="AH18" s="6">
        <f>TABL12345[[#This Row],[ (RESV. STORGE) BER]]/10</f>
        <v>0</v>
      </c>
      <c r="AI18" s="41"/>
      <c r="AJ18" s="41">
        <f>TABL12345[[#This Row],[(A/B TOT) AJD]]-TABL12345[[#This Row],[BER_ IN]]</f>
        <v>0</v>
      </c>
      <c r="AK18" s="43"/>
      <c r="AL18" s="43"/>
      <c r="AM18" s="32"/>
      <c r="AN18" s="32">
        <f>TABL12345[[#This Row],[ (RESV. STORGE) SER]]/10</f>
        <v>0</v>
      </c>
      <c r="AO18" s="68"/>
      <c r="AP18" s="68">
        <f>TABL12345[[#This Row],[(A/S TOT) AJD]]-TABL12345[[#This Row],[SER_ IN]]</f>
        <v>0</v>
      </c>
    </row>
    <row r="19" spans="1:42" ht="18.75" x14ac:dyDescent="0.25">
      <c r="A19" s="2">
        <v>47501</v>
      </c>
      <c r="B19" s="44"/>
      <c r="C19" s="44"/>
      <c r="D19" s="44"/>
      <c r="E19" s="44"/>
      <c r="F19" s="44"/>
      <c r="G19" s="40"/>
      <c r="H19" s="44"/>
      <c r="I19" s="40"/>
      <c r="J19" s="44"/>
      <c r="K19" s="28">
        <f>TABL12345[[#This Row],[خط (T/B  TOT) SAR]]+TABL12345[[#This Row],[خط (S/S  TOT) SAR2]]</f>
        <v>0</v>
      </c>
      <c r="L19" s="45"/>
      <c r="M19" s="46"/>
      <c r="N19" s="46"/>
      <c r="O19" s="40"/>
      <c r="P19" s="3">
        <f>TABL12345[[#This Row],[خط (S/S  TOT) SAR2]]-TABL12345[[#This Row],[(S/S TOT) AJD]]</f>
        <v>0</v>
      </c>
      <c r="Q19" s="40"/>
      <c r="R19" s="3">
        <f>TABL12345[[#This Row],[خط (T/B  TOT) SAR]]-TABL12345[[#This Row],[(T/B TOT) AJD]]</f>
        <v>0</v>
      </c>
      <c r="S19" s="3">
        <f>TABL12345[[#This Row],[الفرق بين بداية ونهاية خط  S/S]]+TABL12345[[#This Row],[الفرق بين بداية ونهاية خط  T/B]]</f>
        <v>0</v>
      </c>
      <c r="T19" s="3">
        <f t="shared" si="0"/>
        <v>0</v>
      </c>
      <c r="U19" s="44"/>
      <c r="V19" s="44"/>
      <c r="W19" s="3">
        <f t="shared" si="1"/>
        <v>0</v>
      </c>
      <c r="X19" s="3">
        <f t="shared" si="2"/>
        <v>0</v>
      </c>
      <c r="Y19" s="44"/>
      <c r="Z19" s="45"/>
      <c r="AA19" s="3">
        <f>TABL12345[[#This Row],[(RESV. STORGE) AJD]]/10</f>
        <v>0</v>
      </c>
      <c r="AB19" s="45">
        <f t="shared" si="3"/>
        <v>0</v>
      </c>
      <c r="AC19" s="5"/>
      <c r="AD19" s="40">
        <f>(TABL12345[[#This Row],[( S/S+T/B) AJD]]*1000)-((TABL12345[[#This Row],[(STORGE DIFF.) AJD]]*1000)+TABL12345[[#This Row],[البخر  AJD]]+(TABL12345[[#This Row],[(A/B + A/S) AJD]]*1000))</f>
        <v>0</v>
      </c>
      <c r="AE19" s="44"/>
      <c r="AF19" s="45"/>
      <c r="AG19" s="45"/>
      <c r="AH19" s="6">
        <f>TABL12345[[#This Row],[ (RESV. STORGE) BER]]/10</f>
        <v>0</v>
      </c>
      <c r="AI19" s="44"/>
      <c r="AJ19" s="44">
        <f>TABL12345[[#This Row],[(A/B TOT) AJD]]-TABL12345[[#This Row],[BER_ IN]]</f>
        <v>0</v>
      </c>
      <c r="AK19" s="45"/>
      <c r="AL19" s="45"/>
      <c r="AM19" s="32"/>
      <c r="AN19" s="32">
        <f>TABL12345[[#This Row],[ (RESV. STORGE) SER]]/10</f>
        <v>0</v>
      </c>
      <c r="AO19" s="68"/>
      <c r="AP19" s="68">
        <f>TABL12345[[#This Row],[(A/S TOT) AJD]]-TABL12345[[#This Row],[SER_ IN]]</f>
        <v>0</v>
      </c>
    </row>
    <row r="20" spans="1:42" ht="18.75" x14ac:dyDescent="0.25">
      <c r="A20" s="2">
        <v>47502</v>
      </c>
      <c r="B20" s="41"/>
      <c r="C20" s="41"/>
      <c r="D20" s="41"/>
      <c r="E20" s="41"/>
      <c r="F20" s="41"/>
      <c r="G20" s="39"/>
      <c r="H20" s="41"/>
      <c r="I20" s="39"/>
      <c r="J20" s="39"/>
      <c r="K20" s="28">
        <f>TABL12345[[#This Row],[خط (T/B  TOT) SAR]]+TABL12345[[#This Row],[خط (S/S  TOT) SAR2]]</f>
        <v>0</v>
      </c>
      <c r="L20" s="41"/>
      <c r="M20" s="42"/>
      <c r="N20" s="42"/>
      <c r="O20" s="39"/>
      <c r="P20" s="3">
        <f>TABL12345[[#This Row],[خط (S/S  TOT) SAR2]]-TABL12345[[#This Row],[(S/S TOT) AJD]]</f>
        <v>0</v>
      </c>
      <c r="Q20" s="39"/>
      <c r="R20" s="3">
        <f>TABL12345[[#This Row],[خط (T/B  TOT) SAR]]-TABL12345[[#This Row],[(T/B TOT) AJD]]</f>
        <v>0</v>
      </c>
      <c r="S20" s="3">
        <f>TABL12345[[#This Row],[الفرق بين بداية ونهاية خط  S/S]]+TABL12345[[#This Row],[الفرق بين بداية ونهاية خط  T/B]]</f>
        <v>0</v>
      </c>
      <c r="T20" s="3">
        <f t="shared" si="0"/>
        <v>0</v>
      </c>
      <c r="U20" s="41"/>
      <c r="V20" s="41"/>
      <c r="W20" s="3">
        <f t="shared" si="1"/>
        <v>0</v>
      </c>
      <c r="X20" s="3">
        <f t="shared" si="2"/>
        <v>0</v>
      </c>
      <c r="Y20" s="41"/>
      <c r="Z20" s="43"/>
      <c r="AA20" s="3">
        <f>TABL12345[[#This Row],[(RESV. STORGE) AJD]]/10</f>
        <v>0</v>
      </c>
      <c r="AB20" s="43">
        <f t="shared" si="3"/>
        <v>0</v>
      </c>
      <c r="AC20" s="5"/>
      <c r="AD20" s="39">
        <f>(TABL12345[[#This Row],[( S/S+T/B) AJD]]*1000)-((TABL12345[[#This Row],[(STORGE DIFF.) AJD]]*1000)+TABL12345[[#This Row],[البخر  AJD]]+(TABL12345[[#This Row],[(A/B + A/S) AJD]]*1000))</f>
        <v>0</v>
      </c>
      <c r="AE20" s="41"/>
      <c r="AF20" s="43"/>
      <c r="AG20" s="43"/>
      <c r="AH20" s="6">
        <f>TABL12345[[#This Row],[ (RESV. STORGE) BER]]/10</f>
        <v>0</v>
      </c>
      <c r="AI20" s="41"/>
      <c r="AJ20" s="41">
        <f>TABL12345[[#This Row],[(A/B TOT) AJD]]-TABL12345[[#This Row],[BER_ IN]]</f>
        <v>0</v>
      </c>
      <c r="AK20" s="43"/>
      <c r="AL20" s="43"/>
      <c r="AM20" s="32"/>
      <c r="AN20" s="32">
        <f>TABL12345[[#This Row],[ (RESV. STORGE) SER]]/10</f>
        <v>0</v>
      </c>
      <c r="AO20" s="68"/>
      <c r="AP20" s="68">
        <f>TABL12345[[#This Row],[(A/S TOT) AJD]]-TABL12345[[#This Row],[SER_ IN]]</f>
        <v>0</v>
      </c>
    </row>
    <row r="21" spans="1:42" ht="18.75" x14ac:dyDescent="0.25">
      <c r="A21" s="2">
        <v>47503</v>
      </c>
      <c r="B21" s="44"/>
      <c r="C21" s="44"/>
      <c r="D21" s="44"/>
      <c r="E21" s="44"/>
      <c r="F21" s="44"/>
      <c r="G21" s="40"/>
      <c r="H21" s="44"/>
      <c r="I21" s="40"/>
      <c r="J21" s="44"/>
      <c r="K21" s="28">
        <f>TABL12345[[#This Row],[خط (T/B  TOT) SAR]]+TABL12345[[#This Row],[خط (S/S  TOT) SAR2]]</f>
        <v>0</v>
      </c>
      <c r="L21" s="45"/>
      <c r="M21" s="46"/>
      <c r="N21" s="46"/>
      <c r="O21" s="40"/>
      <c r="P21" s="3">
        <f>TABL12345[[#This Row],[خط (S/S  TOT) SAR2]]-TABL12345[[#This Row],[(S/S TOT) AJD]]</f>
        <v>0</v>
      </c>
      <c r="Q21" s="40"/>
      <c r="R21" s="3">
        <f>TABL12345[[#This Row],[خط (T/B  TOT) SAR]]-TABL12345[[#This Row],[(T/B TOT) AJD]]</f>
        <v>0</v>
      </c>
      <c r="S21" s="3">
        <f>TABL12345[[#This Row],[الفرق بين بداية ونهاية خط  S/S]]+TABL12345[[#This Row],[الفرق بين بداية ونهاية خط  T/B]]</f>
        <v>0</v>
      </c>
      <c r="T21" s="3">
        <f t="shared" si="0"/>
        <v>0</v>
      </c>
      <c r="U21" s="44"/>
      <c r="V21" s="44"/>
      <c r="W21" s="3">
        <f t="shared" si="1"/>
        <v>0</v>
      </c>
      <c r="X21" s="3">
        <f t="shared" si="2"/>
        <v>0</v>
      </c>
      <c r="Y21" s="44"/>
      <c r="Z21" s="45"/>
      <c r="AA21" s="3">
        <f>TABL12345[[#This Row],[(RESV. STORGE) AJD]]/10</f>
        <v>0</v>
      </c>
      <c r="AB21" s="45">
        <f t="shared" si="3"/>
        <v>0</v>
      </c>
      <c r="AC21" s="5"/>
      <c r="AD21" s="40">
        <f>(TABL12345[[#This Row],[( S/S+T/B) AJD]]*1000)-((TABL12345[[#This Row],[(STORGE DIFF.) AJD]]*1000)+TABL12345[[#This Row],[البخر  AJD]]+(TABL12345[[#This Row],[(A/B + A/S) AJD]]*1000))</f>
        <v>0</v>
      </c>
      <c r="AE21" s="44"/>
      <c r="AF21" s="45"/>
      <c r="AG21" s="45"/>
      <c r="AH21" s="6">
        <f>TABL12345[[#This Row],[ (RESV. STORGE) BER]]/10</f>
        <v>0</v>
      </c>
      <c r="AI21" s="44"/>
      <c r="AJ21" s="44">
        <f>TABL12345[[#This Row],[(A/B TOT) AJD]]-TABL12345[[#This Row],[BER_ IN]]</f>
        <v>0</v>
      </c>
      <c r="AK21" s="45"/>
      <c r="AL21" s="45"/>
      <c r="AM21" s="32"/>
      <c r="AN21" s="32">
        <f>TABL12345[[#This Row],[ (RESV. STORGE) SER]]/10</f>
        <v>0</v>
      </c>
      <c r="AO21" s="68"/>
      <c r="AP21" s="68">
        <f>TABL12345[[#This Row],[(A/S TOT) AJD]]-TABL12345[[#This Row],[SER_ IN]]</f>
        <v>0</v>
      </c>
    </row>
    <row r="22" spans="1:42" ht="18.75" x14ac:dyDescent="0.25">
      <c r="A22" s="2">
        <v>47504</v>
      </c>
      <c r="B22" s="41"/>
      <c r="C22" s="41"/>
      <c r="D22" s="41"/>
      <c r="E22" s="41"/>
      <c r="F22" s="41"/>
      <c r="G22" s="39"/>
      <c r="H22" s="41"/>
      <c r="I22" s="39"/>
      <c r="J22" s="39"/>
      <c r="K22" s="28">
        <f>TABL12345[[#This Row],[خط (T/B  TOT) SAR]]+TABL12345[[#This Row],[خط (S/S  TOT) SAR2]]</f>
        <v>0</v>
      </c>
      <c r="L22" s="41"/>
      <c r="M22" s="42"/>
      <c r="N22" s="42"/>
      <c r="O22" s="39"/>
      <c r="P22" s="3">
        <f>TABL12345[[#This Row],[خط (S/S  TOT) SAR2]]-TABL12345[[#This Row],[(S/S TOT) AJD]]</f>
        <v>0</v>
      </c>
      <c r="Q22" s="39"/>
      <c r="R22" s="3">
        <f>TABL12345[[#This Row],[خط (T/B  TOT) SAR]]-TABL12345[[#This Row],[(T/B TOT) AJD]]</f>
        <v>0</v>
      </c>
      <c r="S22" s="3">
        <f>TABL12345[[#This Row],[الفرق بين بداية ونهاية خط  S/S]]+TABL12345[[#This Row],[الفرق بين بداية ونهاية خط  T/B]]</f>
        <v>0</v>
      </c>
      <c r="T22" s="3">
        <f t="shared" si="0"/>
        <v>0</v>
      </c>
      <c r="U22" s="41"/>
      <c r="V22" s="41"/>
      <c r="W22" s="3">
        <f t="shared" si="1"/>
        <v>0</v>
      </c>
      <c r="X22" s="3">
        <f t="shared" si="2"/>
        <v>0</v>
      </c>
      <c r="Y22" s="41"/>
      <c r="Z22" s="43"/>
      <c r="AA22" s="3">
        <f>TABL12345[[#This Row],[(RESV. STORGE) AJD]]/10</f>
        <v>0</v>
      </c>
      <c r="AB22" s="43">
        <f t="shared" si="3"/>
        <v>0</v>
      </c>
      <c r="AC22" s="5"/>
      <c r="AD22" s="39">
        <f>(TABL12345[[#This Row],[( S/S+T/B) AJD]]*1000)-((TABL12345[[#This Row],[(STORGE DIFF.) AJD]]*1000)+TABL12345[[#This Row],[البخر  AJD]]+(TABL12345[[#This Row],[(A/B + A/S) AJD]]*1000))</f>
        <v>0</v>
      </c>
      <c r="AE22" s="41"/>
      <c r="AF22" s="43"/>
      <c r="AG22" s="43"/>
      <c r="AH22" s="6">
        <f>TABL12345[[#This Row],[ (RESV. STORGE) BER]]/10</f>
        <v>0</v>
      </c>
      <c r="AI22" s="41"/>
      <c r="AJ22" s="41">
        <f>TABL12345[[#This Row],[(A/B TOT) AJD]]-TABL12345[[#This Row],[BER_ IN]]</f>
        <v>0</v>
      </c>
      <c r="AK22" s="43"/>
      <c r="AL22" s="43"/>
      <c r="AM22" s="32"/>
      <c r="AN22" s="32">
        <f>TABL12345[[#This Row],[ (RESV. STORGE) SER]]/10</f>
        <v>0</v>
      </c>
      <c r="AO22" s="68"/>
      <c r="AP22" s="68">
        <f>TABL12345[[#This Row],[(A/S TOT) AJD]]-TABL12345[[#This Row],[SER_ IN]]</f>
        <v>0</v>
      </c>
    </row>
    <row r="23" spans="1:42" ht="18.75" x14ac:dyDescent="0.25">
      <c r="A23" s="2">
        <v>47505</v>
      </c>
      <c r="B23" s="44"/>
      <c r="C23" s="44"/>
      <c r="D23" s="44"/>
      <c r="E23" s="44"/>
      <c r="F23" s="44"/>
      <c r="G23" s="40"/>
      <c r="H23" s="44"/>
      <c r="I23" s="40"/>
      <c r="J23" s="44"/>
      <c r="K23" s="28">
        <f>TABL12345[[#This Row],[خط (T/B  TOT) SAR]]+TABL12345[[#This Row],[خط (S/S  TOT) SAR2]]</f>
        <v>0</v>
      </c>
      <c r="L23" s="45"/>
      <c r="M23" s="46"/>
      <c r="N23" s="46"/>
      <c r="O23" s="40"/>
      <c r="P23" s="3">
        <f>TABL12345[[#This Row],[خط (S/S  TOT) SAR2]]-TABL12345[[#This Row],[(S/S TOT) AJD]]</f>
        <v>0</v>
      </c>
      <c r="Q23" s="40"/>
      <c r="R23" s="3">
        <f>TABL12345[[#This Row],[خط (T/B  TOT) SAR]]-TABL12345[[#This Row],[(T/B TOT) AJD]]</f>
        <v>0</v>
      </c>
      <c r="S23" s="3">
        <f>TABL12345[[#This Row],[الفرق بين بداية ونهاية خط  S/S]]+TABL12345[[#This Row],[الفرق بين بداية ونهاية خط  T/B]]</f>
        <v>0</v>
      </c>
      <c r="T23" s="3">
        <f t="shared" si="0"/>
        <v>0</v>
      </c>
      <c r="U23" s="44"/>
      <c r="V23" s="44"/>
      <c r="W23" s="3">
        <f t="shared" si="1"/>
        <v>0</v>
      </c>
      <c r="X23" s="3">
        <f t="shared" si="2"/>
        <v>0</v>
      </c>
      <c r="Y23" s="44"/>
      <c r="Z23" s="45"/>
      <c r="AA23" s="3">
        <f>TABL12345[[#This Row],[(RESV. STORGE) AJD]]/10</f>
        <v>0</v>
      </c>
      <c r="AB23" s="45">
        <f t="shared" si="3"/>
        <v>0</v>
      </c>
      <c r="AC23" s="5"/>
      <c r="AD23" s="40">
        <f>(TABL12345[[#This Row],[( S/S+T/B) AJD]]*1000)-((TABL12345[[#This Row],[(STORGE DIFF.) AJD]]*1000)+TABL12345[[#This Row],[البخر  AJD]]+(TABL12345[[#This Row],[(A/B + A/S) AJD]]*1000))</f>
        <v>0</v>
      </c>
      <c r="AE23" s="44"/>
      <c r="AF23" s="45"/>
      <c r="AG23" s="45"/>
      <c r="AH23" s="6">
        <f>TABL12345[[#This Row],[ (RESV. STORGE) BER]]/10</f>
        <v>0</v>
      </c>
      <c r="AI23" s="44"/>
      <c r="AJ23" s="44">
        <f>TABL12345[[#This Row],[(A/B TOT) AJD]]-TABL12345[[#This Row],[BER_ IN]]</f>
        <v>0</v>
      </c>
      <c r="AK23" s="45"/>
      <c r="AL23" s="45"/>
      <c r="AM23" s="32"/>
      <c r="AN23" s="32">
        <f>TABL12345[[#This Row],[ (RESV. STORGE) SER]]/10</f>
        <v>0</v>
      </c>
      <c r="AO23" s="68"/>
      <c r="AP23" s="68">
        <f>TABL12345[[#This Row],[(A/S TOT) AJD]]-TABL12345[[#This Row],[SER_ IN]]</f>
        <v>0</v>
      </c>
    </row>
    <row r="24" spans="1:42" ht="18.75" x14ac:dyDescent="0.25">
      <c r="A24" s="2">
        <v>47506</v>
      </c>
      <c r="B24" s="41"/>
      <c r="C24" s="41"/>
      <c r="D24" s="41"/>
      <c r="E24" s="41"/>
      <c r="F24" s="41"/>
      <c r="G24" s="39"/>
      <c r="H24" s="41"/>
      <c r="I24" s="39"/>
      <c r="J24" s="39"/>
      <c r="K24" s="28">
        <f>TABL12345[[#This Row],[خط (T/B  TOT) SAR]]+TABL12345[[#This Row],[خط (S/S  TOT) SAR2]]</f>
        <v>0</v>
      </c>
      <c r="L24" s="41"/>
      <c r="M24" s="42"/>
      <c r="N24" s="42"/>
      <c r="O24" s="39"/>
      <c r="P24" s="3">
        <f>TABL12345[[#This Row],[خط (S/S  TOT) SAR2]]-TABL12345[[#This Row],[(S/S TOT) AJD]]</f>
        <v>0</v>
      </c>
      <c r="Q24" s="39"/>
      <c r="R24" s="3">
        <f>TABL12345[[#This Row],[خط (T/B  TOT) SAR]]-TABL12345[[#This Row],[(T/B TOT) AJD]]</f>
        <v>0</v>
      </c>
      <c r="S24" s="3">
        <f>TABL12345[[#This Row],[الفرق بين بداية ونهاية خط  S/S]]+TABL12345[[#This Row],[الفرق بين بداية ونهاية خط  T/B]]</f>
        <v>0</v>
      </c>
      <c r="T24" s="3">
        <f t="shared" si="0"/>
        <v>0</v>
      </c>
      <c r="U24" s="41"/>
      <c r="V24" s="41"/>
      <c r="W24" s="3">
        <f t="shared" si="1"/>
        <v>0</v>
      </c>
      <c r="X24" s="3">
        <f t="shared" si="2"/>
        <v>0</v>
      </c>
      <c r="Y24" s="41"/>
      <c r="Z24" s="43"/>
      <c r="AA24" s="3">
        <f>TABL12345[[#This Row],[(RESV. STORGE) AJD]]/10</f>
        <v>0</v>
      </c>
      <c r="AB24" s="43">
        <f t="shared" si="3"/>
        <v>0</v>
      </c>
      <c r="AC24" s="5"/>
      <c r="AD24" s="39">
        <f>(TABL12345[[#This Row],[( S/S+T/B) AJD]]*1000)-((TABL12345[[#This Row],[(STORGE DIFF.) AJD]]*1000)+TABL12345[[#This Row],[البخر  AJD]]+(TABL12345[[#This Row],[(A/B + A/S) AJD]]*1000))</f>
        <v>0</v>
      </c>
      <c r="AE24" s="41"/>
      <c r="AF24" s="43"/>
      <c r="AG24" s="43"/>
      <c r="AH24" s="6">
        <f>TABL12345[[#This Row],[ (RESV. STORGE) BER]]/10</f>
        <v>0</v>
      </c>
      <c r="AI24" s="41"/>
      <c r="AJ24" s="41">
        <f>TABL12345[[#This Row],[(A/B TOT) AJD]]-TABL12345[[#This Row],[BER_ IN]]</f>
        <v>0</v>
      </c>
      <c r="AK24" s="43"/>
      <c r="AL24" s="43"/>
      <c r="AM24" s="32"/>
      <c r="AN24" s="32">
        <f>TABL12345[[#This Row],[ (RESV. STORGE) SER]]/10</f>
        <v>0</v>
      </c>
      <c r="AO24" s="68"/>
      <c r="AP24" s="68">
        <f>TABL12345[[#This Row],[(A/S TOT) AJD]]-TABL12345[[#This Row],[SER_ IN]]</f>
        <v>0</v>
      </c>
    </row>
    <row r="25" spans="1:42" ht="18.75" x14ac:dyDescent="0.25">
      <c r="A25" s="2">
        <v>47507</v>
      </c>
      <c r="B25" s="44"/>
      <c r="C25" s="44"/>
      <c r="D25" s="44"/>
      <c r="E25" s="44"/>
      <c r="F25" s="44"/>
      <c r="G25" s="40"/>
      <c r="H25" s="44"/>
      <c r="I25" s="40"/>
      <c r="J25" s="44"/>
      <c r="K25" s="28">
        <f>TABL12345[[#This Row],[خط (T/B  TOT) SAR]]+TABL12345[[#This Row],[خط (S/S  TOT) SAR2]]</f>
        <v>0</v>
      </c>
      <c r="L25" s="45"/>
      <c r="M25" s="46"/>
      <c r="N25" s="46"/>
      <c r="O25" s="40"/>
      <c r="P25" s="3">
        <f>TABL12345[[#This Row],[خط (S/S  TOT) SAR2]]-TABL12345[[#This Row],[(S/S TOT) AJD]]</f>
        <v>0</v>
      </c>
      <c r="Q25" s="40"/>
      <c r="R25" s="3">
        <f>TABL12345[[#This Row],[خط (T/B  TOT) SAR]]-TABL12345[[#This Row],[(T/B TOT) AJD]]</f>
        <v>0</v>
      </c>
      <c r="S25" s="3">
        <f>TABL12345[[#This Row],[الفرق بين بداية ونهاية خط  S/S]]+TABL12345[[#This Row],[الفرق بين بداية ونهاية خط  T/B]]</f>
        <v>0</v>
      </c>
      <c r="T25" s="3">
        <f t="shared" si="0"/>
        <v>0</v>
      </c>
      <c r="U25" s="44"/>
      <c r="V25" s="44"/>
      <c r="W25" s="3">
        <f t="shared" si="1"/>
        <v>0</v>
      </c>
      <c r="X25" s="3">
        <f t="shared" si="2"/>
        <v>0</v>
      </c>
      <c r="Y25" s="44"/>
      <c r="Z25" s="45"/>
      <c r="AA25" s="3">
        <f>TABL12345[[#This Row],[(RESV. STORGE) AJD]]/10</f>
        <v>0</v>
      </c>
      <c r="AB25" s="45">
        <f t="shared" si="3"/>
        <v>0</v>
      </c>
      <c r="AC25" s="5"/>
      <c r="AD25" s="40">
        <f>(TABL12345[[#This Row],[( S/S+T/B) AJD]]*1000)-((TABL12345[[#This Row],[(STORGE DIFF.) AJD]]*1000)+TABL12345[[#This Row],[البخر  AJD]]+(TABL12345[[#This Row],[(A/B + A/S) AJD]]*1000))</f>
        <v>0</v>
      </c>
      <c r="AE25" s="44"/>
      <c r="AF25" s="45"/>
      <c r="AG25" s="45"/>
      <c r="AH25" s="6">
        <f>TABL12345[[#This Row],[ (RESV. STORGE) BER]]/10</f>
        <v>0</v>
      </c>
      <c r="AI25" s="44"/>
      <c r="AJ25" s="44">
        <f>TABL12345[[#This Row],[(A/B TOT) AJD]]-TABL12345[[#This Row],[BER_ IN]]</f>
        <v>0</v>
      </c>
      <c r="AK25" s="45"/>
      <c r="AL25" s="45"/>
      <c r="AM25" s="32"/>
      <c r="AN25" s="32">
        <f>TABL12345[[#This Row],[ (RESV. STORGE) SER]]/10</f>
        <v>0</v>
      </c>
      <c r="AO25" s="68"/>
      <c r="AP25" s="68">
        <f>TABL12345[[#This Row],[(A/S TOT) AJD]]-TABL12345[[#This Row],[SER_ IN]]</f>
        <v>0</v>
      </c>
    </row>
    <row r="26" spans="1:42" ht="18.75" x14ac:dyDescent="0.25">
      <c r="A26" s="2">
        <v>47508</v>
      </c>
      <c r="B26" s="41"/>
      <c r="C26" s="41"/>
      <c r="D26" s="41"/>
      <c r="E26" s="41"/>
      <c r="F26" s="41"/>
      <c r="G26" s="39"/>
      <c r="H26" s="41"/>
      <c r="I26" s="39"/>
      <c r="J26" s="39"/>
      <c r="K26" s="28">
        <f>TABL12345[[#This Row],[خط (T/B  TOT) SAR]]+TABL12345[[#This Row],[خط (S/S  TOT) SAR2]]</f>
        <v>0</v>
      </c>
      <c r="L26" s="41"/>
      <c r="M26" s="42"/>
      <c r="N26" s="42"/>
      <c r="O26" s="39"/>
      <c r="P26" s="3">
        <f>TABL12345[[#This Row],[خط (S/S  TOT) SAR2]]-TABL12345[[#This Row],[(S/S TOT) AJD]]</f>
        <v>0</v>
      </c>
      <c r="Q26" s="39"/>
      <c r="R26" s="3">
        <f>TABL12345[[#This Row],[خط (T/B  TOT) SAR]]-TABL12345[[#This Row],[(T/B TOT) AJD]]</f>
        <v>0</v>
      </c>
      <c r="S26" s="3">
        <f>TABL12345[[#This Row],[الفرق بين بداية ونهاية خط  S/S]]+TABL12345[[#This Row],[الفرق بين بداية ونهاية خط  T/B]]</f>
        <v>0</v>
      </c>
      <c r="T26" s="3">
        <f t="shared" si="0"/>
        <v>0</v>
      </c>
      <c r="U26" s="41"/>
      <c r="V26" s="41"/>
      <c r="W26" s="3">
        <f t="shared" si="1"/>
        <v>0</v>
      </c>
      <c r="X26" s="3">
        <f t="shared" si="2"/>
        <v>0</v>
      </c>
      <c r="Y26" s="41"/>
      <c r="Z26" s="43"/>
      <c r="AA26" s="3">
        <f>TABL12345[[#This Row],[(RESV. STORGE) AJD]]/10</f>
        <v>0</v>
      </c>
      <c r="AB26" s="43">
        <f t="shared" si="3"/>
        <v>0</v>
      </c>
      <c r="AC26" s="5"/>
      <c r="AD26" s="39">
        <f>(TABL12345[[#This Row],[( S/S+T/B) AJD]]*1000)-((TABL12345[[#This Row],[(STORGE DIFF.) AJD]]*1000)+TABL12345[[#This Row],[البخر  AJD]]+(TABL12345[[#This Row],[(A/B + A/S) AJD]]*1000))</f>
        <v>0</v>
      </c>
      <c r="AE26" s="41"/>
      <c r="AF26" s="43"/>
      <c r="AG26" s="43"/>
      <c r="AH26" s="6">
        <f>TABL12345[[#This Row],[ (RESV. STORGE) BER]]/10</f>
        <v>0</v>
      </c>
      <c r="AI26" s="41"/>
      <c r="AJ26" s="41">
        <f>TABL12345[[#This Row],[(A/B TOT) AJD]]-TABL12345[[#This Row],[BER_ IN]]</f>
        <v>0</v>
      </c>
      <c r="AK26" s="43"/>
      <c r="AL26" s="43"/>
      <c r="AM26" s="32"/>
      <c r="AN26" s="32">
        <f>TABL12345[[#This Row],[ (RESV. STORGE) SER]]/10</f>
        <v>0</v>
      </c>
      <c r="AO26" s="68"/>
      <c r="AP26" s="68">
        <f>TABL12345[[#This Row],[(A/S TOT) AJD]]-TABL12345[[#This Row],[SER_ IN]]</f>
        <v>0</v>
      </c>
    </row>
    <row r="27" spans="1:42" ht="18.75" x14ac:dyDescent="0.25">
      <c r="A27" s="2">
        <v>47509</v>
      </c>
      <c r="B27" s="44"/>
      <c r="C27" s="44"/>
      <c r="D27" s="44"/>
      <c r="E27" s="44"/>
      <c r="F27" s="44"/>
      <c r="G27" s="40"/>
      <c r="H27" s="44"/>
      <c r="I27" s="40"/>
      <c r="J27" s="44"/>
      <c r="K27" s="28">
        <f>TABL12345[[#This Row],[خط (T/B  TOT) SAR]]+TABL12345[[#This Row],[خط (S/S  TOT) SAR2]]</f>
        <v>0</v>
      </c>
      <c r="L27" s="45"/>
      <c r="M27" s="46"/>
      <c r="N27" s="46"/>
      <c r="O27" s="40"/>
      <c r="P27" s="3">
        <f>TABL12345[[#This Row],[خط (S/S  TOT) SAR2]]-TABL12345[[#This Row],[(S/S TOT) AJD]]</f>
        <v>0</v>
      </c>
      <c r="Q27" s="40"/>
      <c r="R27" s="3">
        <f>TABL12345[[#This Row],[خط (T/B  TOT) SAR]]-TABL12345[[#This Row],[(T/B TOT) AJD]]</f>
        <v>0</v>
      </c>
      <c r="S27" s="3">
        <f>TABL12345[[#This Row],[الفرق بين بداية ونهاية خط  S/S]]+TABL12345[[#This Row],[الفرق بين بداية ونهاية خط  T/B]]</f>
        <v>0</v>
      </c>
      <c r="T27" s="3">
        <f t="shared" si="0"/>
        <v>0</v>
      </c>
      <c r="U27" s="44"/>
      <c r="V27" s="44"/>
      <c r="W27" s="3">
        <f t="shared" si="1"/>
        <v>0</v>
      </c>
      <c r="X27" s="3">
        <f t="shared" si="2"/>
        <v>0</v>
      </c>
      <c r="Y27" s="44"/>
      <c r="Z27" s="45"/>
      <c r="AA27" s="3">
        <f>TABL12345[[#This Row],[(RESV. STORGE) AJD]]/10</f>
        <v>0</v>
      </c>
      <c r="AB27" s="45">
        <f t="shared" si="3"/>
        <v>0</v>
      </c>
      <c r="AC27" s="5"/>
      <c r="AD27" s="40">
        <f>(TABL12345[[#This Row],[( S/S+T/B) AJD]]*1000)-((TABL12345[[#This Row],[(STORGE DIFF.) AJD]]*1000)+TABL12345[[#This Row],[البخر  AJD]]+(TABL12345[[#This Row],[(A/B + A/S) AJD]]*1000))</f>
        <v>0</v>
      </c>
      <c r="AE27" s="44"/>
      <c r="AF27" s="45"/>
      <c r="AG27" s="45"/>
      <c r="AH27" s="6">
        <f>TABL12345[[#This Row],[ (RESV. STORGE) BER]]/10</f>
        <v>0</v>
      </c>
      <c r="AI27" s="44"/>
      <c r="AJ27" s="44">
        <f>TABL12345[[#This Row],[(A/B TOT) AJD]]-TABL12345[[#This Row],[BER_ IN]]</f>
        <v>0</v>
      </c>
      <c r="AK27" s="45"/>
      <c r="AL27" s="45"/>
      <c r="AM27" s="32"/>
      <c r="AN27" s="32">
        <f>TABL12345[[#This Row],[ (RESV. STORGE) SER]]/10</f>
        <v>0</v>
      </c>
      <c r="AO27" s="68"/>
      <c r="AP27" s="68">
        <f>TABL12345[[#This Row],[(A/S TOT) AJD]]-TABL12345[[#This Row],[SER_ IN]]</f>
        <v>0</v>
      </c>
    </row>
    <row r="28" spans="1:42" ht="18.75" x14ac:dyDescent="0.25">
      <c r="A28" s="2">
        <v>47510</v>
      </c>
      <c r="B28" s="41"/>
      <c r="C28" s="41"/>
      <c r="D28" s="41"/>
      <c r="E28" s="41"/>
      <c r="F28" s="41"/>
      <c r="G28" s="39"/>
      <c r="H28" s="41"/>
      <c r="I28" s="39"/>
      <c r="J28" s="39"/>
      <c r="K28" s="28">
        <f>TABL12345[[#This Row],[خط (T/B  TOT) SAR]]+TABL12345[[#This Row],[خط (S/S  TOT) SAR2]]</f>
        <v>0</v>
      </c>
      <c r="L28" s="41"/>
      <c r="M28" s="42"/>
      <c r="N28" s="42"/>
      <c r="O28" s="39"/>
      <c r="P28" s="3">
        <f>TABL12345[[#This Row],[خط (S/S  TOT) SAR2]]-TABL12345[[#This Row],[(S/S TOT) AJD]]</f>
        <v>0</v>
      </c>
      <c r="Q28" s="39"/>
      <c r="R28" s="3">
        <f>TABL12345[[#This Row],[خط (T/B  TOT) SAR]]-TABL12345[[#This Row],[(T/B TOT) AJD]]</f>
        <v>0</v>
      </c>
      <c r="S28" s="3">
        <f>TABL12345[[#This Row],[الفرق بين بداية ونهاية خط  S/S]]+TABL12345[[#This Row],[الفرق بين بداية ونهاية خط  T/B]]</f>
        <v>0</v>
      </c>
      <c r="T28" s="3">
        <f t="shared" si="0"/>
        <v>0</v>
      </c>
      <c r="U28" s="41"/>
      <c r="V28" s="41"/>
      <c r="W28" s="3">
        <f t="shared" si="1"/>
        <v>0</v>
      </c>
      <c r="X28" s="3">
        <f t="shared" si="2"/>
        <v>0</v>
      </c>
      <c r="Y28" s="41"/>
      <c r="Z28" s="43"/>
      <c r="AA28" s="3">
        <f>TABL12345[[#This Row],[(RESV. STORGE) AJD]]/10</f>
        <v>0</v>
      </c>
      <c r="AB28" s="43">
        <f t="shared" si="3"/>
        <v>0</v>
      </c>
      <c r="AC28" s="5"/>
      <c r="AD28" s="39">
        <f>(TABL12345[[#This Row],[( S/S+T/B) AJD]]*1000)-((TABL12345[[#This Row],[(STORGE DIFF.) AJD]]*1000)+TABL12345[[#This Row],[البخر  AJD]]+(TABL12345[[#This Row],[(A/B + A/S) AJD]]*1000))</f>
        <v>0</v>
      </c>
      <c r="AE28" s="41"/>
      <c r="AF28" s="43"/>
      <c r="AG28" s="43"/>
      <c r="AH28" s="6">
        <f>TABL12345[[#This Row],[ (RESV. STORGE) BER]]/10</f>
        <v>0</v>
      </c>
      <c r="AI28" s="41"/>
      <c r="AJ28" s="41">
        <f>TABL12345[[#This Row],[(A/B TOT) AJD]]-TABL12345[[#This Row],[BER_ IN]]</f>
        <v>0</v>
      </c>
      <c r="AK28" s="43"/>
      <c r="AL28" s="43"/>
      <c r="AM28" s="32"/>
      <c r="AN28" s="32">
        <f>TABL12345[[#This Row],[ (RESV. STORGE) SER]]/10</f>
        <v>0</v>
      </c>
      <c r="AO28" s="68"/>
      <c r="AP28" s="68">
        <f>TABL12345[[#This Row],[(A/S TOT) AJD]]-TABL12345[[#This Row],[SER_ IN]]</f>
        <v>0</v>
      </c>
    </row>
    <row r="29" spans="1:42" ht="18.75" x14ac:dyDescent="0.25">
      <c r="A29" s="2">
        <v>47511</v>
      </c>
      <c r="B29" s="44"/>
      <c r="C29" s="44"/>
      <c r="D29" s="44"/>
      <c r="E29" s="44"/>
      <c r="F29" s="44"/>
      <c r="G29" s="40"/>
      <c r="H29" s="44"/>
      <c r="I29" s="40"/>
      <c r="J29" s="44"/>
      <c r="K29" s="28">
        <f>TABL12345[[#This Row],[خط (T/B  TOT) SAR]]+TABL12345[[#This Row],[خط (S/S  TOT) SAR2]]</f>
        <v>0</v>
      </c>
      <c r="L29" s="45"/>
      <c r="M29" s="46"/>
      <c r="N29" s="46"/>
      <c r="O29" s="40"/>
      <c r="P29" s="3">
        <f>TABL12345[[#This Row],[خط (S/S  TOT) SAR2]]-TABL12345[[#This Row],[(S/S TOT) AJD]]</f>
        <v>0</v>
      </c>
      <c r="Q29" s="40"/>
      <c r="R29" s="3">
        <f>TABL12345[[#This Row],[خط (T/B  TOT) SAR]]-TABL12345[[#This Row],[(T/B TOT) AJD]]</f>
        <v>0</v>
      </c>
      <c r="S29" s="3">
        <f>TABL12345[[#This Row],[الفرق بين بداية ونهاية خط  S/S]]+TABL12345[[#This Row],[الفرق بين بداية ونهاية خط  T/B]]</f>
        <v>0</v>
      </c>
      <c r="T29" s="3">
        <f t="shared" si="0"/>
        <v>0</v>
      </c>
      <c r="U29" s="44"/>
      <c r="V29" s="44"/>
      <c r="W29" s="3">
        <f t="shared" si="1"/>
        <v>0</v>
      </c>
      <c r="X29" s="3">
        <f t="shared" si="2"/>
        <v>0</v>
      </c>
      <c r="Y29" s="44"/>
      <c r="Z29" s="45"/>
      <c r="AA29" s="3">
        <f>TABL12345[[#This Row],[(RESV. STORGE) AJD]]/10</f>
        <v>0</v>
      </c>
      <c r="AB29" s="45">
        <f t="shared" si="3"/>
        <v>0</v>
      </c>
      <c r="AC29" s="5"/>
      <c r="AD29" s="40">
        <f>(TABL12345[[#This Row],[( S/S+T/B) AJD]]*1000)-((TABL12345[[#This Row],[(STORGE DIFF.) AJD]]*1000)+TABL12345[[#This Row],[البخر  AJD]]+(TABL12345[[#This Row],[(A/B + A/S) AJD]]*1000))</f>
        <v>0</v>
      </c>
      <c r="AE29" s="44"/>
      <c r="AF29" s="45"/>
      <c r="AG29" s="45"/>
      <c r="AH29" s="6">
        <f>TABL12345[[#This Row],[ (RESV. STORGE) BER]]/10</f>
        <v>0</v>
      </c>
      <c r="AI29" s="44"/>
      <c r="AJ29" s="44">
        <f>TABL12345[[#This Row],[(A/B TOT) AJD]]-TABL12345[[#This Row],[BER_ IN]]</f>
        <v>0</v>
      </c>
      <c r="AK29" s="45"/>
      <c r="AL29" s="45"/>
      <c r="AM29" s="32"/>
      <c r="AN29" s="32">
        <f>TABL12345[[#This Row],[ (RESV. STORGE) SER]]/10</f>
        <v>0</v>
      </c>
      <c r="AO29" s="68"/>
      <c r="AP29" s="68">
        <f>TABL12345[[#This Row],[(A/S TOT) AJD]]-TABL12345[[#This Row],[SER_ IN]]</f>
        <v>0</v>
      </c>
    </row>
    <row r="30" spans="1:42" ht="18.75" x14ac:dyDescent="0.25">
      <c r="A30" s="2">
        <v>47512</v>
      </c>
      <c r="B30" s="41"/>
      <c r="C30" s="41"/>
      <c r="D30" s="41"/>
      <c r="E30" s="41"/>
      <c r="F30" s="41"/>
      <c r="G30" s="39"/>
      <c r="H30" s="41"/>
      <c r="I30" s="39"/>
      <c r="J30" s="39"/>
      <c r="K30" s="28">
        <f>TABL12345[[#This Row],[خط (T/B  TOT) SAR]]+TABL12345[[#This Row],[خط (S/S  TOT) SAR2]]</f>
        <v>0</v>
      </c>
      <c r="L30" s="41"/>
      <c r="M30" s="42"/>
      <c r="N30" s="42"/>
      <c r="O30" s="39"/>
      <c r="P30" s="3">
        <f>TABL12345[[#This Row],[خط (S/S  TOT) SAR2]]-TABL12345[[#This Row],[(S/S TOT) AJD]]</f>
        <v>0</v>
      </c>
      <c r="Q30" s="39"/>
      <c r="R30" s="3">
        <f>TABL12345[[#This Row],[خط (T/B  TOT) SAR]]-TABL12345[[#This Row],[(T/B TOT) AJD]]</f>
        <v>0</v>
      </c>
      <c r="S30" s="3">
        <f>TABL12345[[#This Row],[الفرق بين بداية ونهاية خط  S/S]]+TABL12345[[#This Row],[الفرق بين بداية ونهاية خط  T/B]]</f>
        <v>0</v>
      </c>
      <c r="T30" s="3">
        <f t="shared" si="0"/>
        <v>0</v>
      </c>
      <c r="U30" s="41"/>
      <c r="V30" s="41"/>
      <c r="W30" s="3">
        <f t="shared" si="1"/>
        <v>0</v>
      </c>
      <c r="X30" s="3">
        <f t="shared" si="2"/>
        <v>0</v>
      </c>
      <c r="Y30" s="41"/>
      <c r="Z30" s="43"/>
      <c r="AA30" s="3">
        <f>TABL12345[[#This Row],[(RESV. STORGE) AJD]]/10</f>
        <v>0</v>
      </c>
      <c r="AB30" s="43">
        <f t="shared" si="3"/>
        <v>0</v>
      </c>
      <c r="AC30" s="5"/>
      <c r="AD30" s="39">
        <f>(TABL12345[[#This Row],[( S/S+T/B) AJD]]*1000)-((TABL12345[[#This Row],[(STORGE DIFF.) AJD]]*1000)+TABL12345[[#This Row],[البخر  AJD]]+(TABL12345[[#This Row],[(A/B + A/S) AJD]]*1000))</f>
        <v>0</v>
      </c>
      <c r="AE30" s="41"/>
      <c r="AF30" s="43"/>
      <c r="AG30" s="43"/>
      <c r="AH30" s="6">
        <f>TABL12345[[#This Row],[ (RESV. STORGE) BER]]/10</f>
        <v>0</v>
      </c>
      <c r="AI30" s="41"/>
      <c r="AJ30" s="41">
        <f>TABL12345[[#This Row],[(A/B TOT) AJD]]-TABL12345[[#This Row],[BER_ IN]]</f>
        <v>0</v>
      </c>
      <c r="AK30" s="43"/>
      <c r="AL30" s="43"/>
      <c r="AM30" s="32"/>
      <c r="AN30" s="32">
        <f>TABL12345[[#This Row],[ (RESV. STORGE) SER]]/10</f>
        <v>0</v>
      </c>
      <c r="AO30" s="68"/>
      <c r="AP30" s="68">
        <f>TABL12345[[#This Row],[(A/S TOT) AJD]]-TABL12345[[#This Row],[SER_ IN]]</f>
        <v>0</v>
      </c>
    </row>
    <row r="31" spans="1:42" ht="19.5" thickBot="1" x14ac:dyDescent="0.3">
      <c r="A31" s="2">
        <v>47513</v>
      </c>
      <c r="B31" s="44"/>
      <c r="C31" s="44"/>
      <c r="D31" s="44"/>
      <c r="E31" s="44"/>
      <c r="F31" s="44"/>
      <c r="G31" s="40"/>
      <c r="H31" s="44"/>
      <c r="I31" s="40"/>
      <c r="J31" s="44"/>
      <c r="K31" s="28">
        <f>TABL12345[[#This Row],[خط (T/B  TOT) SAR]]+TABL12345[[#This Row],[خط (S/S  TOT) SAR2]]</f>
        <v>0</v>
      </c>
      <c r="L31" s="45"/>
      <c r="M31" s="46"/>
      <c r="N31" s="46"/>
      <c r="O31" s="40"/>
      <c r="P31" s="3">
        <f>TABL12345[[#This Row],[خط (S/S  TOT) SAR2]]-TABL12345[[#This Row],[(S/S TOT) AJD]]</f>
        <v>0</v>
      </c>
      <c r="Q31" s="40"/>
      <c r="R31" s="3">
        <f>TABL12345[[#This Row],[خط (T/B  TOT) SAR]]-TABL12345[[#This Row],[(T/B TOT) AJD]]</f>
        <v>0</v>
      </c>
      <c r="S31" s="3">
        <f>TABL12345[[#This Row],[الفرق بين بداية ونهاية خط  S/S]]+TABL12345[[#This Row],[الفرق بين بداية ونهاية خط  T/B]]</f>
        <v>0</v>
      </c>
      <c r="T31" s="3">
        <f t="shared" si="0"/>
        <v>0</v>
      </c>
      <c r="U31" s="44"/>
      <c r="V31" s="44"/>
      <c r="W31" s="3">
        <f t="shared" si="1"/>
        <v>0</v>
      </c>
      <c r="X31" s="3">
        <f t="shared" si="2"/>
        <v>0</v>
      </c>
      <c r="Y31" s="44"/>
      <c r="Z31" s="45"/>
      <c r="AA31" s="3">
        <f>TABL12345[[#This Row],[(RESV. STORGE) AJD]]/10</f>
        <v>0</v>
      </c>
      <c r="AB31" s="45">
        <f t="shared" si="3"/>
        <v>0</v>
      </c>
      <c r="AC31" s="5"/>
      <c r="AD31" s="70">
        <f>(TABL12345[[#This Row],[( S/S+T/B) AJD]]*1000)-((TABL12345[[#This Row],[(STORGE DIFF.) AJD]]*1000)+TABL12345[[#This Row],[البخر  AJD]]+(TABL12345[[#This Row],[(A/B + A/S) AJD]]*1000))</f>
        <v>0</v>
      </c>
      <c r="AE31" s="44"/>
      <c r="AF31" s="45"/>
      <c r="AG31" s="45"/>
      <c r="AH31" s="6">
        <f>TABL12345[[#This Row],[ (RESV. STORGE) BER]]/10</f>
        <v>0</v>
      </c>
      <c r="AI31" s="44"/>
      <c r="AJ31" s="67">
        <f>TABL12345[[#This Row],[(A/B TOT) AJD]]-TABL12345[[#This Row],[BER_ IN]]</f>
        <v>0</v>
      </c>
      <c r="AK31" s="45"/>
      <c r="AL31" s="45"/>
      <c r="AM31" s="32"/>
      <c r="AN31" s="32">
        <f>TABL12345[[#This Row],[ (RESV. STORGE) SER]]/10</f>
        <v>0</v>
      </c>
      <c r="AO31" s="68"/>
      <c r="AP31" s="68">
        <f>TABL12345[[#This Row],[(A/S TOT) AJD]]-TABL12345[[#This Row],[SER_ IN]]</f>
        <v>0</v>
      </c>
    </row>
    <row r="32" spans="1:42" ht="20.25" thickTop="1" thickBot="1" x14ac:dyDescent="0.3">
      <c r="A32" s="2">
        <v>47514</v>
      </c>
      <c r="B32" s="41"/>
      <c r="C32" s="41"/>
      <c r="D32" s="41"/>
      <c r="E32" s="41"/>
      <c r="F32" s="41"/>
      <c r="G32" s="39"/>
      <c r="H32" s="41"/>
      <c r="I32" s="39"/>
      <c r="J32" s="39"/>
      <c r="K32" s="28">
        <f>TABL12345[[#This Row],[خط (T/B  TOT) SAR]]+TABL12345[[#This Row],[خط (S/S  TOT) SAR2]]</f>
        <v>0</v>
      </c>
      <c r="L32" s="41"/>
      <c r="M32" s="42"/>
      <c r="N32" s="42"/>
      <c r="O32" s="39"/>
      <c r="P32" s="3">
        <f>TABL12345[[#This Row],[خط (S/S  TOT) SAR2]]-TABL12345[[#This Row],[(S/S TOT) AJD]]</f>
        <v>0</v>
      </c>
      <c r="Q32" s="39"/>
      <c r="R32" s="3">
        <f>TABL12345[[#This Row],[خط (T/B  TOT) SAR]]-TABL12345[[#This Row],[(T/B TOT) AJD]]</f>
        <v>0</v>
      </c>
      <c r="S32" s="3">
        <f>TABL12345[[#This Row],[الفرق بين بداية ونهاية خط  S/S]]+TABL12345[[#This Row],[الفرق بين بداية ونهاية خط  T/B]]</f>
        <v>0</v>
      </c>
      <c r="T32" s="3">
        <f t="shared" si="0"/>
        <v>0</v>
      </c>
      <c r="U32" s="41"/>
      <c r="V32" s="41"/>
      <c r="W32" s="3">
        <f t="shared" si="1"/>
        <v>0</v>
      </c>
      <c r="X32" s="3">
        <f t="shared" si="2"/>
        <v>0</v>
      </c>
      <c r="Y32" s="41"/>
      <c r="Z32" s="43"/>
      <c r="AA32" s="3">
        <f>TABL12345[[#This Row],[(RESV. STORGE) AJD]]/10</f>
        <v>0</v>
      </c>
      <c r="AB32" s="71">
        <f t="shared" si="3"/>
        <v>0</v>
      </c>
      <c r="AC32" s="5"/>
      <c r="AD32" s="39">
        <f>(TABL12345[[#This Row],[( S/S+T/B) AJD]]*1000)-((TABL12345[[#This Row],[(STORGE DIFF.) AJD]]*1000)+TABL12345[[#This Row],[البخر  AJD]]+(TABL12345[[#This Row],[(A/B + A/S) AJD]]*1000))</f>
        <v>0</v>
      </c>
      <c r="AE32" s="41"/>
      <c r="AF32" s="43"/>
      <c r="AG32" s="43"/>
      <c r="AH32" s="6">
        <f>TABL12345[[#This Row],[ (RESV. STORGE) BER]]/10</f>
        <v>0</v>
      </c>
      <c r="AI32" s="41"/>
      <c r="AJ32" s="41">
        <f>TABL12345[[#This Row],[(A/B TOT) AJD]]-TABL12345[[#This Row],[BER_ IN]]</f>
        <v>0</v>
      </c>
      <c r="AK32" s="43"/>
      <c r="AL32" s="43"/>
      <c r="AM32" s="32"/>
      <c r="AN32" s="32">
        <f>TABL12345[[#This Row],[ (RESV. STORGE) SER]]/10</f>
        <v>0</v>
      </c>
      <c r="AO32" s="68"/>
      <c r="AP32" s="68">
        <f>TABL12345[[#This Row],[(A/S TOT) AJD]]-TABL12345[[#This Row],[SER_ IN]]</f>
        <v>0</v>
      </c>
    </row>
    <row r="33" spans="1:42" ht="19.5" thickTop="1" x14ac:dyDescent="0.25">
      <c r="A33" s="2">
        <v>47515</v>
      </c>
      <c r="B33" s="41"/>
      <c r="C33" s="41"/>
      <c r="D33" s="41"/>
      <c r="E33" s="44"/>
      <c r="F33" s="41"/>
      <c r="G33" s="39"/>
      <c r="H33" s="28"/>
      <c r="I33" s="39"/>
      <c r="J33" s="39"/>
      <c r="K33" s="28">
        <f>TABL12345[[#This Row],[خط (T/B  TOT) SAR]]+TABL12345[[#This Row],[خط (S/S  TOT) SAR2]]</f>
        <v>0</v>
      </c>
      <c r="L33" s="41"/>
      <c r="M33" s="42"/>
      <c r="N33" s="42"/>
      <c r="O33" s="39"/>
      <c r="P33" s="3">
        <f>TABL12345[[#This Row],[خط (S/S  TOT) SAR2]]-TABL12345[[#This Row],[(S/S TOT) AJD]]</f>
        <v>0</v>
      </c>
      <c r="Q33" s="39"/>
      <c r="R33" s="3">
        <f>TABL12345[[#This Row],[خط (T/B  TOT) SAR]]-TABL12345[[#This Row],[(T/B TOT) AJD]]</f>
        <v>0</v>
      </c>
      <c r="S33" s="3">
        <f>TABL12345[[#This Row],[الفرق بين بداية ونهاية خط  S/S]]+TABL12345[[#This Row],[الفرق بين بداية ونهاية خط  T/B]]</f>
        <v>0</v>
      </c>
      <c r="T33" s="3">
        <f t="shared" si="0"/>
        <v>0</v>
      </c>
      <c r="U33" s="41"/>
      <c r="V33" s="41"/>
      <c r="W33" s="3">
        <f t="shared" si="1"/>
        <v>0</v>
      </c>
      <c r="X33" s="3">
        <f t="shared" si="2"/>
        <v>0</v>
      </c>
      <c r="Y33" s="41"/>
      <c r="Z33" s="43"/>
      <c r="AA33" s="3">
        <f>TABL12345[[#This Row],[(RESV. STORGE) AJD]]/10</f>
        <v>0</v>
      </c>
      <c r="AB33" s="43">
        <f t="shared" si="3"/>
        <v>0</v>
      </c>
      <c r="AC33" s="5"/>
      <c r="AD33" s="39">
        <f>(TABL12345[[#This Row],[( S/S+T/B) AJD]]*1000)-((TABL12345[[#This Row],[(STORGE DIFF.) AJD]]*1000)+TABL12345[[#This Row],[البخر  AJD]]+(TABL12345[[#This Row],[(A/B + A/S) AJD]]*1000))</f>
        <v>0</v>
      </c>
      <c r="AE33" s="41"/>
      <c r="AF33" s="43"/>
      <c r="AG33" s="43"/>
      <c r="AH33" s="6">
        <f>TABL12345[[#This Row],[ (RESV. STORGE) BER]]/10</f>
        <v>0</v>
      </c>
      <c r="AI33" s="41"/>
      <c r="AJ33" s="41">
        <f>TABL12345[[#This Row],[(A/B TOT) AJD]]-TABL12345[[#This Row],[BER_ IN]]</f>
        <v>0</v>
      </c>
      <c r="AK33" s="43"/>
      <c r="AL33" s="43"/>
      <c r="AM33" s="32"/>
      <c r="AN33" s="32">
        <f>TABL12345[[#This Row],[ (RESV. STORGE) SER]]/10</f>
        <v>0</v>
      </c>
      <c r="AO33" s="68"/>
      <c r="AP33" s="68">
        <f>TABL12345[[#This Row],[(A/S TOT) AJD]]-TABL12345[[#This Row],[SER_ IN]]</f>
        <v>0</v>
      </c>
    </row>
    <row r="34" spans="1:42" ht="18.75" x14ac:dyDescent="0.25">
      <c r="A34" s="2">
        <v>47516</v>
      </c>
      <c r="B34" s="44"/>
      <c r="C34" s="44"/>
      <c r="D34" s="44"/>
      <c r="E34" s="41"/>
      <c r="F34" s="44"/>
      <c r="G34" s="40"/>
      <c r="H34" s="28"/>
      <c r="I34" s="40"/>
      <c r="J34" s="44"/>
      <c r="K34" s="28">
        <f>TABL12345[[#This Row],[خط (T/B  TOT) SAR]]+TABL12345[[#This Row],[خط (S/S  TOT) SAR2]]</f>
        <v>0</v>
      </c>
      <c r="L34" s="45"/>
      <c r="M34" s="46"/>
      <c r="N34" s="46"/>
      <c r="O34" s="40"/>
      <c r="P34" s="3">
        <f>TABL12345[[#This Row],[خط (S/S  TOT) SAR2]]-TABL12345[[#This Row],[(S/S TOT) AJD]]</f>
        <v>0</v>
      </c>
      <c r="Q34" s="40"/>
      <c r="R34" s="3">
        <f>TABL12345[[#This Row],[خط (T/B  TOT) SAR]]-TABL12345[[#This Row],[(T/B TOT) AJD]]</f>
        <v>0</v>
      </c>
      <c r="S34" s="3">
        <f>TABL12345[[#This Row],[الفرق بين بداية ونهاية خط  S/S]]+TABL12345[[#This Row],[الفرق بين بداية ونهاية خط  T/B]]</f>
        <v>0</v>
      </c>
      <c r="T34" s="3">
        <f t="shared" si="0"/>
        <v>0</v>
      </c>
      <c r="U34" s="44"/>
      <c r="V34" s="44"/>
      <c r="W34" s="3">
        <f t="shared" si="1"/>
        <v>0</v>
      </c>
      <c r="X34" s="3">
        <f t="shared" si="2"/>
        <v>0</v>
      </c>
      <c r="Y34" s="44"/>
      <c r="Z34" s="45"/>
      <c r="AA34" s="3">
        <f>TABL12345[[#This Row],[(RESV. STORGE) AJD]]/10</f>
        <v>0</v>
      </c>
      <c r="AB34" s="45">
        <f t="shared" si="3"/>
        <v>0</v>
      </c>
      <c r="AC34" s="5"/>
      <c r="AD34" s="40">
        <f>(TABL12345[[#This Row],[( S/S+T/B) AJD]]*1000)-((TABL12345[[#This Row],[(STORGE DIFF.) AJD]]*1000)+TABL12345[[#This Row],[البخر  AJD]]+(TABL12345[[#This Row],[(A/B + A/S) AJD]]*1000))</f>
        <v>0</v>
      </c>
      <c r="AE34" s="44"/>
      <c r="AF34" s="45"/>
      <c r="AG34" s="45"/>
      <c r="AH34" s="6">
        <f>TABL12345[[#This Row],[ (RESV. STORGE) BER]]/10</f>
        <v>0</v>
      </c>
      <c r="AI34" s="44"/>
      <c r="AJ34" s="44">
        <f>TABL12345[[#This Row],[(A/B TOT) AJD]]-TABL12345[[#This Row],[BER_ IN]]</f>
        <v>0</v>
      </c>
      <c r="AK34" s="45"/>
      <c r="AL34" s="45"/>
      <c r="AM34" s="32"/>
      <c r="AN34" s="32">
        <f>TABL12345[[#This Row],[ (RESV. STORGE) SER]]/10</f>
        <v>0</v>
      </c>
      <c r="AO34" s="68"/>
      <c r="AP34" s="68">
        <f>TABL12345[[#This Row],[(A/S TOT) AJD]]-TABL12345[[#This Row],[SER_ IN]]</f>
        <v>0</v>
      </c>
    </row>
    <row r="35" spans="1:42" ht="18.75" x14ac:dyDescent="0.25">
      <c r="A35" s="2">
        <v>47517</v>
      </c>
      <c r="B35" s="41"/>
      <c r="C35" s="41"/>
      <c r="D35" s="41"/>
      <c r="E35" s="44"/>
      <c r="F35" s="41"/>
      <c r="G35" s="39"/>
      <c r="H35" s="28"/>
      <c r="I35" s="39"/>
      <c r="J35" s="39"/>
      <c r="K35" s="28">
        <f>TABL12345[[#This Row],[خط (T/B  TOT) SAR]]+TABL12345[[#This Row],[خط (S/S  TOT) SAR2]]</f>
        <v>0</v>
      </c>
      <c r="L35" s="41"/>
      <c r="M35" s="42"/>
      <c r="N35" s="42"/>
      <c r="O35" s="39"/>
      <c r="P35" s="3">
        <f>TABL12345[[#This Row],[خط (S/S  TOT) SAR2]]-TABL12345[[#This Row],[(S/S TOT) AJD]]</f>
        <v>0</v>
      </c>
      <c r="Q35" s="39"/>
      <c r="R35" s="3">
        <f>TABL12345[[#This Row],[خط (T/B  TOT) SAR]]-TABL12345[[#This Row],[(T/B TOT) AJD]]</f>
        <v>0</v>
      </c>
      <c r="S35" s="3">
        <f>TABL12345[[#This Row],[الفرق بين بداية ونهاية خط  S/S]]+TABL12345[[#This Row],[الفرق بين بداية ونهاية خط  T/B]]</f>
        <v>0</v>
      </c>
      <c r="T35" s="3">
        <f t="shared" si="0"/>
        <v>0</v>
      </c>
      <c r="U35" s="41"/>
      <c r="V35" s="41"/>
      <c r="W35" s="3">
        <f t="shared" si="1"/>
        <v>0</v>
      </c>
      <c r="X35" s="3">
        <f t="shared" si="2"/>
        <v>0</v>
      </c>
      <c r="Y35" s="41"/>
      <c r="Z35" s="43"/>
      <c r="AA35" s="3">
        <f>TABL12345[[#This Row],[(RESV. STORGE) AJD]]/10</f>
        <v>0</v>
      </c>
      <c r="AB35" s="43">
        <f t="shared" si="3"/>
        <v>0</v>
      </c>
      <c r="AC35" s="5"/>
      <c r="AD35" s="39">
        <f>(TABL12345[[#This Row],[( S/S+T/B) AJD]]*1000)-((TABL12345[[#This Row],[(STORGE DIFF.) AJD]]*1000)+TABL12345[[#This Row],[البخر  AJD]]+(TABL12345[[#This Row],[(A/B + A/S) AJD]]*1000))</f>
        <v>0</v>
      </c>
      <c r="AE35" s="41"/>
      <c r="AF35" s="43"/>
      <c r="AG35" s="43"/>
      <c r="AH35" s="6">
        <f>TABL12345[[#This Row],[ (RESV. STORGE) BER]]/10</f>
        <v>0</v>
      </c>
      <c r="AI35" s="41"/>
      <c r="AJ35" s="41">
        <f>TABL12345[[#This Row],[(A/B TOT) AJD]]-TABL12345[[#This Row],[BER_ IN]]</f>
        <v>0</v>
      </c>
      <c r="AK35" s="43"/>
      <c r="AL35" s="43"/>
      <c r="AM35" s="32"/>
      <c r="AN35" s="32">
        <f>TABL12345[[#This Row],[ (RESV. STORGE) SER]]/10</f>
        <v>0</v>
      </c>
      <c r="AO35" s="68"/>
      <c r="AP35" s="68">
        <f>TABL12345[[#This Row],[(A/S TOT) AJD]]-TABL12345[[#This Row],[SER_ IN]]</f>
        <v>0</v>
      </c>
    </row>
    <row r="36" spans="1:42" ht="18.75" x14ac:dyDescent="0.25">
      <c r="A36" s="2">
        <v>47518</v>
      </c>
      <c r="B36" s="44"/>
      <c r="C36" s="44"/>
      <c r="D36" s="44"/>
      <c r="E36" s="44"/>
      <c r="F36" s="44"/>
      <c r="G36" s="40"/>
      <c r="H36" s="28"/>
      <c r="I36" s="40"/>
      <c r="J36" s="44"/>
      <c r="K36" s="28">
        <f>TABL12345[[#This Row],[خط (T/B  TOT) SAR]]+TABL12345[[#This Row],[خط (S/S  TOT) SAR2]]</f>
        <v>0</v>
      </c>
      <c r="L36" s="45"/>
      <c r="M36" s="46"/>
      <c r="N36" s="46"/>
      <c r="O36" s="40"/>
      <c r="P36" s="3">
        <f>TABL12345[[#This Row],[خط (S/S  TOT) SAR2]]-TABL12345[[#This Row],[(S/S TOT) AJD]]</f>
        <v>0</v>
      </c>
      <c r="Q36" s="40"/>
      <c r="R36" s="3">
        <f>TABL12345[[#This Row],[خط (T/B  TOT) SAR]]-TABL12345[[#This Row],[(T/B TOT) AJD]]</f>
        <v>0</v>
      </c>
      <c r="S36" s="3">
        <f>TABL12345[[#This Row],[الفرق بين بداية ونهاية خط  S/S]]+TABL12345[[#This Row],[الفرق بين بداية ونهاية خط  T/B]]</f>
        <v>0</v>
      </c>
      <c r="T36" s="3">
        <f t="shared" si="0"/>
        <v>0</v>
      </c>
      <c r="U36" s="44"/>
      <c r="V36" s="44"/>
      <c r="W36" s="3">
        <f t="shared" si="1"/>
        <v>0</v>
      </c>
      <c r="X36" s="3">
        <f t="shared" si="2"/>
        <v>0</v>
      </c>
      <c r="Y36" s="44"/>
      <c r="Z36" s="45"/>
      <c r="AA36" s="3">
        <f>TABL12345[[#This Row],[(RESV. STORGE) AJD]]/10</f>
        <v>0</v>
      </c>
      <c r="AB36" s="45">
        <f t="shared" si="3"/>
        <v>0</v>
      </c>
      <c r="AC36" s="5"/>
      <c r="AD36" s="40">
        <f>(TABL12345[[#This Row],[( S/S+T/B) AJD]]*1000)-((TABL12345[[#This Row],[(STORGE DIFF.) AJD]]*1000)+TABL12345[[#This Row],[البخر  AJD]]+(TABL12345[[#This Row],[(A/B + A/S) AJD]]*1000))</f>
        <v>0</v>
      </c>
      <c r="AE36" s="44"/>
      <c r="AF36" s="45"/>
      <c r="AG36" s="45"/>
      <c r="AH36" s="6">
        <f>TABL12345[[#This Row],[ (RESV. STORGE) BER]]/10</f>
        <v>0</v>
      </c>
      <c r="AI36" s="44"/>
      <c r="AJ36" s="44">
        <f>TABL12345[[#This Row],[(A/B TOT) AJD]]-TABL12345[[#This Row],[BER_ IN]]</f>
        <v>0</v>
      </c>
      <c r="AK36" s="45"/>
      <c r="AL36" s="45"/>
      <c r="AM36" s="32"/>
      <c r="AN36" s="32">
        <f>TABL12345[[#This Row],[ (RESV. STORGE) SER]]/10</f>
        <v>0</v>
      </c>
      <c r="AO36" s="68"/>
      <c r="AP36" s="68">
        <f>TABL12345[[#This Row],[(A/S TOT) AJD]]-TABL12345[[#This Row],[SER_ IN]]</f>
        <v>0</v>
      </c>
    </row>
    <row r="37" spans="1:42" ht="18.75" x14ac:dyDescent="0.25">
      <c r="A37" s="2">
        <v>47519</v>
      </c>
      <c r="B37" s="41"/>
      <c r="C37" s="41"/>
      <c r="D37" s="41"/>
      <c r="E37" s="41"/>
      <c r="F37" s="41"/>
      <c r="G37" s="39"/>
      <c r="H37" s="28"/>
      <c r="I37" s="39"/>
      <c r="J37" s="39"/>
      <c r="K37" s="28">
        <f>TABL12345[[#This Row],[خط (T/B  TOT) SAR]]+TABL12345[[#This Row],[خط (S/S  TOT) SAR2]]</f>
        <v>0</v>
      </c>
      <c r="L37" s="41"/>
      <c r="M37" s="42"/>
      <c r="N37" s="42"/>
      <c r="O37" s="39"/>
      <c r="P37" s="3">
        <f>TABL12345[[#This Row],[خط (S/S  TOT) SAR2]]-TABL12345[[#This Row],[(S/S TOT) AJD]]</f>
        <v>0</v>
      </c>
      <c r="Q37" s="39"/>
      <c r="R37" s="3">
        <f>TABL12345[[#This Row],[خط (T/B  TOT) SAR]]-TABL12345[[#This Row],[(T/B TOT) AJD]]</f>
        <v>0</v>
      </c>
      <c r="S37" s="3">
        <f>TABL12345[[#This Row],[الفرق بين بداية ونهاية خط  S/S]]+TABL12345[[#This Row],[الفرق بين بداية ونهاية خط  T/B]]</f>
        <v>0</v>
      </c>
      <c r="T37" s="3">
        <f t="shared" si="0"/>
        <v>0</v>
      </c>
      <c r="U37" s="41"/>
      <c r="V37" s="41"/>
      <c r="W37" s="3">
        <f t="shared" si="1"/>
        <v>0</v>
      </c>
      <c r="X37" s="3">
        <f t="shared" si="2"/>
        <v>0</v>
      </c>
      <c r="Y37" s="41"/>
      <c r="Z37" s="43"/>
      <c r="AA37" s="3">
        <f>TABL12345[[#This Row],[(RESV. STORGE) AJD]]/10</f>
        <v>0</v>
      </c>
      <c r="AB37" s="43">
        <f t="shared" si="3"/>
        <v>0</v>
      </c>
      <c r="AC37" s="5"/>
      <c r="AD37" s="39">
        <f>(TABL12345[[#This Row],[( S/S+T/B) AJD]]*1000)-((TABL12345[[#This Row],[(STORGE DIFF.) AJD]]*1000)+TABL12345[[#This Row],[البخر  AJD]]+(TABL12345[[#This Row],[(A/B + A/S) AJD]]*1000))</f>
        <v>0</v>
      </c>
      <c r="AE37" s="41"/>
      <c r="AF37" s="43"/>
      <c r="AG37" s="43"/>
      <c r="AH37" s="6">
        <f>TABL12345[[#This Row],[ (RESV. STORGE) BER]]/10</f>
        <v>0</v>
      </c>
      <c r="AI37" s="41"/>
      <c r="AJ37" s="41">
        <f>TABL12345[[#This Row],[(A/B TOT) AJD]]-TABL12345[[#This Row],[BER_ IN]]</f>
        <v>0</v>
      </c>
      <c r="AK37" s="43"/>
      <c r="AL37" s="43"/>
      <c r="AM37" s="32"/>
      <c r="AN37" s="32">
        <f>TABL12345[[#This Row],[ (RESV. STORGE) SER]]/10</f>
        <v>0</v>
      </c>
      <c r="AO37" s="68"/>
      <c r="AP37" s="68">
        <f>TABL12345[[#This Row],[(A/S TOT) AJD]]-TABL12345[[#This Row],[SER_ IN]]</f>
        <v>0</v>
      </c>
    </row>
    <row r="38" spans="1:42" ht="18.75" x14ac:dyDescent="0.25">
      <c r="A38" s="2">
        <v>47520</v>
      </c>
      <c r="B38" s="44"/>
      <c r="C38" s="44"/>
      <c r="D38" s="44"/>
      <c r="E38" s="44"/>
      <c r="F38" s="44"/>
      <c r="G38" s="40"/>
      <c r="H38" s="28"/>
      <c r="I38" s="40"/>
      <c r="J38" s="44"/>
      <c r="K38" s="28">
        <f>TABL12345[[#This Row],[خط (T/B  TOT) SAR]]+TABL12345[[#This Row],[خط (S/S  TOT) SAR2]]</f>
        <v>0</v>
      </c>
      <c r="L38" s="45"/>
      <c r="M38" s="46"/>
      <c r="N38" s="46"/>
      <c r="O38" s="40"/>
      <c r="P38" s="3">
        <f>TABL12345[[#This Row],[خط (S/S  TOT) SAR2]]-TABL12345[[#This Row],[(S/S TOT) AJD]]</f>
        <v>0</v>
      </c>
      <c r="Q38" s="40"/>
      <c r="R38" s="3">
        <f>TABL12345[[#This Row],[خط (T/B  TOT) SAR]]-TABL12345[[#This Row],[(T/B TOT) AJD]]</f>
        <v>0</v>
      </c>
      <c r="S38" s="3">
        <f>TABL12345[[#This Row],[الفرق بين بداية ونهاية خط  S/S]]+TABL12345[[#This Row],[الفرق بين بداية ونهاية خط  T/B]]</f>
        <v>0</v>
      </c>
      <c r="T38" s="3">
        <f t="shared" si="0"/>
        <v>0</v>
      </c>
      <c r="U38" s="44"/>
      <c r="V38" s="44"/>
      <c r="W38" s="3">
        <f t="shared" si="1"/>
        <v>0</v>
      </c>
      <c r="X38" s="3">
        <f t="shared" si="2"/>
        <v>0</v>
      </c>
      <c r="Y38" s="44"/>
      <c r="Z38" s="45"/>
      <c r="AA38" s="3">
        <f>TABL12345[[#This Row],[(RESV. STORGE) AJD]]/10</f>
        <v>0</v>
      </c>
      <c r="AB38" s="45">
        <f t="shared" si="3"/>
        <v>0</v>
      </c>
      <c r="AC38" s="5"/>
      <c r="AD38" s="40">
        <f>(TABL12345[[#This Row],[( S/S+T/B) AJD]]*1000)-((TABL12345[[#This Row],[(STORGE DIFF.) AJD]]*1000)+TABL12345[[#This Row],[البخر  AJD]]+(TABL12345[[#This Row],[(A/B + A/S) AJD]]*1000))</f>
        <v>0</v>
      </c>
      <c r="AE38" s="44"/>
      <c r="AF38" s="45"/>
      <c r="AG38" s="45"/>
      <c r="AH38" s="6">
        <f>TABL12345[[#This Row],[ (RESV. STORGE) BER]]/10</f>
        <v>0</v>
      </c>
      <c r="AI38" s="44"/>
      <c r="AJ38" s="44">
        <f>TABL12345[[#This Row],[(A/B TOT) AJD]]-TABL12345[[#This Row],[BER_ IN]]</f>
        <v>0</v>
      </c>
      <c r="AK38" s="45"/>
      <c r="AL38" s="45"/>
      <c r="AM38" s="32"/>
      <c r="AN38" s="32">
        <f>TABL12345[[#This Row],[ (RESV. STORGE) SER]]/10</f>
        <v>0</v>
      </c>
      <c r="AO38" s="68"/>
      <c r="AP38" s="68">
        <f>TABL12345[[#This Row],[(A/S TOT) AJD]]-TABL12345[[#This Row],[SER_ IN]]</f>
        <v>0</v>
      </c>
    </row>
    <row r="39" spans="1:42" ht="18.75" x14ac:dyDescent="0.25">
      <c r="A39" s="2">
        <v>47521</v>
      </c>
      <c r="B39" s="41"/>
      <c r="C39" s="41"/>
      <c r="D39" s="41"/>
      <c r="E39" s="41"/>
      <c r="F39" s="41"/>
      <c r="G39" s="39"/>
      <c r="H39" s="28"/>
      <c r="I39" s="39"/>
      <c r="J39" s="39"/>
      <c r="K39" s="28">
        <f>TABL12345[[#This Row],[خط (T/B  TOT) SAR]]+TABL12345[[#This Row],[خط (S/S  TOT) SAR2]]</f>
        <v>0</v>
      </c>
      <c r="L39" s="41"/>
      <c r="M39" s="42"/>
      <c r="N39" s="42"/>
      <c r="O39" s="39"/>
      <c r="P39" s="3">
        <f>TABL12345[[#This Row],[خط (S/S  TOT) SAR2]]-TABL12345[[#This Row],[(S/S TOT) AJD]]</f>
        <v>0</v>
      </c>
      <c r="Q39" s="39"/>
      <c r="R39" s="3">
        <f>TABL12345[[#This Row],[خط (T/B  TOT) SAR]]-TABL12345[[#This Row],[(T/B TOT) AJD]]</f>
        <v>0</v>
      </c>
      <c r="S39" s="3">
        <f>TABL12345[[#This Row],[الفرق بين بداية ونهاية خط  S/S]]+TABL12345[[#This Row],[الفرق بين بداية ونهاية خط  T/B]]</f>
        <v>0</v>
      </c>
      <c r="T39" s="3">
        <f t="shared" si="0"/>
        <v>0</v>
      </c>
      <c r="U39" s="41"/>
      <c r="V39" s="41"/>
      <c r="W39" s="3">
        <f t="shared" si="1"/>
        <v>0</v>
      </c>
      <c r="X39" s="3">
        <f t="shared" si="2"/>
        <v>0</v>
      </c>
      <c r="Y39" s="41"/>
      <c r="Z39" s="43"/>
      <c r="AA39" s="3">
        <f>TABL12345[[#This Row],[(RESV. STORGE) AJD]]/10</f>
        <v>0</v>
      </c>
      <c r="AB39" s="43">
        <f t="shared" si="3"/>
        <v>0</v>
      </c>
      <c r="AC39" s="5"/>
      <c r="AD39" s="39">
        <f>(TABL12345[[#This Row],[( S/S+T/B) AJD]]*1000)-((TABL12345[[#This Row],[(STORGE DIFF.) AJD]]*1000)+TABL12345[[#This Row],[البخر  AJD]]+(TABL12345[[#This Row],[(A/B + A/S) AJD]]*1000))</f>
        <v>0</v>
      </c>
      <c r="AE39" s="41"/>
      <c r="AF39" s="43"/>
      <c r="AG39" s="43"/>
      <c r="AH39" s="6">
        <f>TABL12345[[#This Row],[ (RESV. STORGE) BER]]/10</f>
        <v>0</v>
      </c>
      <c r="AI39" s="41"/>
      <c r="AJ39" s="41">
        <f>TABL12345[[#This Row],[(A/B TOT) AJD]]-TABL12345[[#This Row],[BER_ IN]]</f>
        <v>0</v>
      </c>
      <c r="AK39" s="43"/>
      <c r="AL39" s="43"/>
      <c r="AM39" s="32"/>
      <c r="AN39" s="32">
        <f>TABL12345[[#This Row],[ (RESV. STORGE) SER]]/10</f>
        <v>0</v>
      </c>
      <c r="AO39" s="68"/>
      <c r="AP39" s="68">
        <f>TABL12345[[#This Row],[(A/S TOT) AJD]]-TABL12345[[#This Row],[SER_ IN]]</f>
        <v>0</v>
      </c>
    </row>
    <row r="40" spans="1:42" ht="18.75" x14ac:dyDescent="0.25">
      <c r="A40" s="2">
        <v>47522</v>
      </c>
      <c r="B40" s="44"/>
      <c r="C40" s="44"/>
      <c r="D40" s="44"/>
      <c r="E40" s="44"/>
      <c r="F40" s="44"/>
      <c r="G40" s="40"/>
      <c r="H40" s="28"/>
      <c r="I40" s="40"/>
      <c r="J40" s="44"/>
      <c r="K40" s="28">
        <f>TABL12345[[#This Row],[خط (T/B  TOT) SAR]]+TABL12345[[#This Row],[خط (S/S  TOT) SAR2]]</f>
        <v>0</v>
      </c>
      <c r="L40" s="45"/>
      <c r="M40" s="46"/>
      <c r="N40" s="46"/>
      <c r="O40" s="40"/>
      <c r="P40" s="3">
        <f>TABL12345[[#This Row],[خط (S/S  TOT) SAR2]]-TABL12345[[#This Row],[(S/S TOT) AJD]]</f>
        <v>0</v>
      </c>
      <c r="Q40" s="40"/>
      <c r="R40" s="3">
        <f>TABL12345[[#This Row],[خط (T/B  TOT) SAR]]-TABL12345[[#This Row],[(T/B TOT) AJD]]</f>
        <v>0</v>
      </c>
      <c r="S40" s="3">
        <f>TABL12345[[#This Row],[الفرق بين بداية ونهاية خط  S/S]]+TABL12345[[#This Row],[الفرق بين بداية ونهاية خط  T/B]]</f>
        <v>0</v>
      </c>
      <c r="T40" s="3">
        <f t="shared" si="0"/>
        <v>0</v>
      </c>
      <c r="U40" s="44"/>
      <c r="V40" s="44"/>
      <c r="W40" s="3">
        <f t="shared" si="1"/>
        <v>0</v>
      </c>
      <c r="X40" s="3">
        <f t="shared" si="2"/>
        <v>0</v>
      </c>
      <c r="Y40" s="44"/>
      <c r="Z40" s="45"/>
      <c r="AA40" s="3">
        <f>TABL12345[[#This Row],[(RESV. STORGE) AJD]]/10</f>
        <v>0</v>
      </c>
      <c r="AB40" s="45">
        <f t="shared" si="3"/>
        <v>0</v>
      </c>
      <c r="AC40" s="5"/>
      <c r="AD40" s="40">
        <f>(TABL12345[[#This Row],[( S/S+T/B) AJD]]*1000)-((TABL12345[[#This Row],[(STORGE DIFF.) AJD]]*1000)+TABL12345[[#This Row],[البخر  AJD]]+(TABL12345[[#This Row],[(A/B + A/S) AJD]]*1000))</f>
        <v>0</v>
      </c>
      <c r="AE40" s="44"/>
      <c r="AF40" s="45"/>
      <c r="AG40" s="45"/>
      <c r="AH40" s="6">
        <f>TABL12345[[#This Row],[ (RESV. STORGE) BER]]/10</f>
        <v>0</v>
      </c>
      <c r="AI40" s="44"/>
      <c r="AJ40" s="44">
        <f>TABL12345[[#This Row],[(A/B TOT) AJD]]-TABL12345[[#This Row],[BER_ IN]]</f>
        <v>0</v>
      </c>
      <c r="AK40" s="45"/>
      <c r="AL40" s="45"/>
      <c r="AM40" s="32"/>
      <c r="AN40" s="32">
        <f>TABL12345[[#This Row],[ (RESV. STORGE) SER]]/10</f>
        <v>0</v>
      </c>
      <c r="AO40" s="68"/>
      <c r="AP40" s="68">
        <f>TABL12345[[#This Row],[(A/S TOT) AJD]]-TABL12345[[#This Row],[SER_ IN]]</f>
        <v>0</v>
      </c>
    </row>
    <row r="41" spans="1:42" ht="18.75" x14ac:dyDescent="0.25">
      <c r="A41" s="2">
        <v>47523</v>
      </c>
      <c r="B41" s="41"/>
      <c r="C41" s="41"/>
      <c r="D41" s="41"/>
      <c r="E41" s="41"/>
      <c r="F41" s="41"/>
      <c r="G41" s="39"/>
      <c r="H41" s="28"/>
      <c r="I41" s="39"/>
      <c r="J41" s="39"/>
      <c r="K41" s="28">
        <f>TABL12345[[#This Row],[خط (T/B  TOT) SAR]]+TABL12345[[#This Row],[خط (S/S  TOT) SAR2]]</f>
        <v>0</v>
      </c>
      <c r="L41" s="41"/>
      <c r="M41" s="42"/>
      <c r="N41" s="42"/>
      <c r="O41" s="39"/>
      <c r="P41" s="3">
        <f>TABL12345[[#This Row],[خط (S/S  TOT) SAR2]]-TABL12345[[#This Row],[(S/S TOT) AJD]]</f>
        <v>0</v>
      </c>
      <c r="Q41" s="39"/>
      <c r="R41" s="3">
        <f>TABL12345[[#This Row],[خط (T/B  TOT) SAR]]-TABL12345[[#This Row],[(T/B TOT) AJD]]</f>
        <v>0</v>
      </c>
      <c r="S41" s="3">
        <f>TABL12345[[#This Row],[الفرق بين بداية ونهاية خط  S/S]]+TABL12345[[#This Row],[الفرق بين بداية ونهاية خط  T/B]]</f>
        <v>0</v>
      </c>
      <c r="T41" s="3">
        <f t="shared" si="0"/>
        <v>0</v>
      </c>
      <c r="U41" s="41"/>
      <c r="V41" s="41"/>
      <c r="W41" s="3">
        <f t="shared" si="1"/>
        <v>0</v>
      </c>
      <c r="X41" s="3">
        <f t="shared" si="2"/>
        <v>0</v>
      </c>
      <c r="Y41" s="41"/>
      <c r="Z41" s="43"/>
      <c r="AA41" s="3">
        <f>TABL12345[[#This Row],[(RESV. STORGE) AJD]]/10</f>
        <v>0</v>
      </c>
      <c r="AB41" s="43">
        <f t="shared" si="3"/>
        <v>0</v>
      </c>
      <c r="AC41" s="5"/>
      <c r="AD41" s="39">
        <f>(TABL12345[[#This Row],[( S/S+T/B) AJD]]*1000)-((TABL12345[[#This Row],[(STORGE DIFF.) AJD]]*1000)+TABL12345[[#This Row],[البخر  AJD]]+(TABL12345[[#This Row],[(A/B + A/S) AJD]]*1000))</f>
        <v>0</v>
      </c>
      <c r="AE41" s="41"/>
      <c r="AF41" s="43"/>
      <c r="AG41" s="43"/>
      <c r="AH41" s="6">
        <f>TABL12345[[#This Row],[ (RESV. STORGE) BER]]/10</f>
        <v>0</v>
      </c>
      <c r="AI41" s="41"/>
      <c r="AJ41" s="41">
        <f>TABL12345[[#This Row],[(A/B TOT) AJD]]-TABL12345[[#This Row],[BER_ IN]]</f>
        <v>0</v>
      </c>
      <c r="AK41" s="43"/>
      <c r="AL41" s="43"/>
      <c r="AM41" s="32"/>
      <c r="AN41" s="32">
        <f>TABL12345[[#This Row],[ (RESV. STORGE) SER]]/10</f>
        <v>0</v>
      </c>
      <c r="AO41" s="68"/>
      <c r="AP41" s="68">
        <f>TABL12345[[#This Row],[(A/S TOT) AJD]]-TABL12345[[#This Row],[SER_ IN]]</f>
        <v>0</v>
      </c>
    </row>
    <row r="42" spans="1:42" ht="18.75" x14ac:dyDescent="0.25">
      <c r="A42" s="2">
        <v>47524</v>
      </c>
      <c r="B42" s="44"/>
      <c r="C42" s="44"/>
      <c r="D42" s="44"/>
      <c r="E42" s="44"/>
      <c r="F42" s="44"/>
      <c r="G42" s="40"/>
      <c r="H42" s="28"/>
      <c r="I42" s="40"/>
      <c r="J42" s="44"/>
      <c r="K42" s="28">
        <f>TABL12345[[#This Row],[خط (T/B  TOT) SAR]]+TABL12345[[#This Row],[خط (S/S  TOT) SAR2]]</f>
        <v>0</v>
      </c>
      <c r="L42" s="45"/>
      <c r="M42" s="46"/>
      <c r="N42" s="46"/>
      <c r="O42" s="40"/>
      <c r="P42" s="3">
        <f>TABL12345[[#This Row],[خط (S/S  TOT) SAR2]]-TABL12345[[#This Row],[(S/S TOT) AJD]]</f>
        <v>0</v>
      </c>
      <c r="Q42" s="40"/>
      <c r="R42" s="3">
        <f>TABL12345[[#This Row],[خط (T/B  TOT) SAR]]-TABL12345[[#This Row],[(T/B TOT) AJD]]</f>
        <v>0</v>
      </c>
      <c r="S42" s="3">
        <f>TABL12345[[#This Row],[الفرق بين بداية ونهاية خط  S/S]]+TABL12345[[#This Row],[الفرق بين بداية ونهاية خط  T/B]]</f>
        <v>0</v>
      </c>
      <c r="T42" s="3">
        <f t="shared" si="0"/>
        <v>0</v>
      </c>
      <c r="U42" s="44"/>
      <c r="V42" s="44"/>
      <c r="W42" s="3">
        <f t="shared" si="1"/>
        <v>0</v>
      </c>
      <c r="X42" s="3">
        <f t="shared" si="2"/>
        <v>0</v>
      </c>
      <c r="Y42" s="44"/>
      <c r="Z42" s="45"/>
      <c r="AA42" s="3">
        <f>TABL12345[[#This Row],[(RESV. STORGE) AJD]]/10</f>
        <v>0</v>
      </c>
      <c r="AB42" s="45">
        <f t="shared" si="3"/>
        <v>0</v>
      </c>
      <c r="AC42" s="5"/>
      <c r="AD42" s="40">
        <f>(TABL12345[[#This Row],[( S/S+T/B) AJD]]*1000)-((TABL12345[[#This Row],[(STORGE DIFF.) AJD]]*1000)+TABL12345[[#This Row],[البخر  AJD]]+(TABL12345[[#This Row],[(A/B + A/S) AJD]]*1000))</f>
        <v>0</v>
      </c>
      <c r="AE42" s="44"/>
      <c r="AF42" s="45"/>
      <c r="AG42" s="45"/>
      <c r="AH42" s="6">
        <f>TABL12345[[#This Row],[ (RESV. STORGE) BER]]/10</f>
        <v>0</v>
      </c>
      <c r="AI42" s="44"/>
      <c r="AJ42" s="44">
        <f>TABL12345[[#This Row],[(A/B TOT) AJD]]-TABL12345[[#This Row],[BER_ IN]]</f>
        <v>0</v>
      </c>
      <c r="AK42" s="45"/>
      <c r="AL42" s="45"/>
      <c r="AM42" s="32"/>
      <c r="AN42" s="32">
        <f>TABL12345[[#This Row],[ (RESV. STORGE) SER]]/10</f>
        <v>0</v>
      </c>
      <c r="AO42" s="68"/>
      <c r="AP42" s="68">
        <f>TABL12345[[#This Row],[(A/S TOT) AJD]]-TABL12345[[#This Row],[SER_ IN]]</f>
        <v>0</v>
      </c>
    </row>
    <row r="43" spans="1:42" ht="18.75" x14ac:dyDescent="0.25">
      <c r="A43" s="2">
        <v>47525</v>
      </c>
      <c r="B43" s="41"/>
      <c r="C43" s="41"/>
      <c r="D43" s="41"/>
      <c r="E43" s="41"/>
      <c r="F43" s="41"/>
      <c r="G43" s="39"/>
      <c r="H43" s="28"/>
      <c r="I43" s="39"/>
      <c r="J43" s="39"/>
      <c r="K43" s="28">
        <f>TABL12345[[#This Row],[خط (T/B  TOT) SAR]]+TABL12345[[#This Row],[خط (S/S  TOT) SAR2]]</f>
        <v>0</v>
      </c>
      <c r="L43" s="41"/>
      <c r="M43" s="42"/>
      <c r="N43" s="42"/>
      <c r="O43" s="39"/>
      <c r="P43" s="3">
        <f>TABL12345[[#This Row],[خط (S/S  TOT) SAR2]]-TABL12345[[#This Row],[(S/S TOT) AJD]]</f>
        <v>0</v>
      </c>
      <c r="Q43" s="39"/>
      <c r="R43" s="3">
        <f>TABL12345[[#This Row],[خط (T/B  TOT) SAR]]-TABL12345[[#This Row],[(T/B TOT) AJD]]</f>
        <v>0</v>
      </c>
      <c r="S43" s="3">
        <f>TABL12345[[#This Row],[الفرق بين بداية ونهاية خط  S/S]]+TABL12345[[#This Row],[الفرق بين بداية ونهاية خط  T/B]]</f>
        <v>0</v>
      </c>
      <c r="T43" s="3">
        <f t="shared" si="0"/>
        <v>0</v>
      </c>
      <c r="U43" s="41"/>
      <c r="V43" s="41"/>
      <c r="W43" s="3">
        <f t="shared" si="1"/>
        <v>0</v>
      </c>
      <c r="X43" s="3">
        <f t="shared" si="2"/>
        <v>0</v>
      </c>
      <c r="Y43" s="41"/>
      <c r="Z43" s="43"/>
      <c r="AA43" s="3">
        <f>TABL12345[[#This Row],[(RESV. STORGE) AJD]]/10</f>
        <v>0</v>
      </c>
      <c r="AB43" s="43">
        <f t="shared" si="3"/>
        <v>0</v>
      </c>
      <c r="AC43" s="5"/>
      <c r="AD43" s="39">
        <f>(TABL12345[[#This Row],[( S/S+T/B) AJD]]*1000)-((TABL12345[[#This Row],[(STORGE DIFF.) AJD]]*1000)+TABL12345[[#This Row],[البخر  AJD]]+(TABL12345[[#This Row],[(A/B + A/S) AJD]]*1000))</f>
        <v>0</v>
      </c>
      <c r="AE43" s="41"/>
      <c r="AF43" s="43"/>
      <c r="AG43" s="43"/>
      <c r="AH43" s="6">
        <f>TABL12345[[#This Row],[ (RESV. STORGE) BER]]/10</f>
        <v>0</v>
      </c>
      <c r="AI43" s="41"/>
      <c r="AJ43" s="41">
        <f>TABL12345[[#This Row],[(A/B TOT) AJD]]-TABL12345[[#This Row],[BER_ IN]]</f>
        <v>0</v>
      </c>
      <c r="AK43" s="43"/>
      <c r="AL43" s="43"/>
      <c r="AM43" s="32"/>
      <c r="AN43" s="32">
        <f>TABL12345[[#This Row],[ (RESV. STORGE) SER]]/10</f>
        <v>0</v>
      </c>
      <c r="AO43" s="68"/>
      <c r="AP43" s="68">
        <f>TABL12345[[#This Row],[(A/S TOT) AJD]]-TABL12345[[#This Row],[SER_ IN]]</f>
        <v>0</v>
      </c>
    </row>
    <row r="44" spans="1:42" ht="18.75" x14ac:dyDescent="0.25">
      <c r="A44" s="2">
        <v>47526</v>
      </c>
      <c r="B44" s="44"/>
      <c r="C44" s="44"/>
      <c r="D44" s="44"/>
      <c r="E44" s="44"/>
      <c r="F44" s="44"/>
      <c r="G44" s="40"/>
      <c r="H44" s="28"/>
      <c r="I44" s="40"/>
      <c r="J44" s="44"/>
      <c r="K44" s="28">
        <f>TABL12345[[#This Row],[خط (T/B  TOT) SAR]]+TABL12345[[#This Row],[خط (S/S  TOT) SAR2]]</f>
        <v>0</v>
      </c>
      <c r="L44" s="45"/>
      <c r="M44" s="46"/>
      <c r="N44" s="46"/>
      <c r="O44" s="40"/>
      <c r="P44" s="3">
        <f>TABL12345[[#This Row],[خط (S/S  TOT) SAR2]]-TABL12345[[#This Row],[(S/S TOT) AJD]]</f>
        <v>0</v>
      </c>
      <c r="Q44" s="40"/>
      <c r="R44" s="3">
        <f>TABL12345[[#This Row],[خط (T/B  TOT) SAR]]-TABL12345[[#This Row],[(T/B TOT) AJD]]</f>
        <v>0</v>
      </c>
      <c r="S44" s="3">
        <f>TABL12345[[#This Row],[الفرق بين بداية ونهاية خط  S/S]]+TABL12345[[#This Row],[الفرق بين بداية ونهاية خط  T/B]]</f>
        <v>0</v>
      </c>
      <c r="T44" s="3">
        <f t="shared" si="0"/>
        <v>0</v>
      </c>
      <c r="U44" s="44"/>
      <c r="V44" s="44"/>
      <c r="W44" s="3">
        <f t="shared" si="1"/>
        <v>0</v>
      </c>
      <c r="X44" s="3">
        <f t="shared" si="2"/>
        <v>0</v>
      </c>
      <c r="Y44" s="44"/>
      <c r="Z44" s="45"/>
      <c r="AA44" s="3">
        <f>TABL12345[[#This Row],[(RESV. STORGE) AJD]]/10</f>
        <v>0</v>
      </c>
      <c r="AB44" s="45">
        <f t="shared" si="3"/>
        <v>0</v>
      </c>
      <c r="AC44" s="5"/>
      <c r="AD44" s="40">
        <f>(TABL12345[[#This Row],[( S/S+T/B) AJD]]*1000)-((TABL12345[[#This Row],[(STORGE DIFF.) AJD]]*1000)+TABL12345[[#This Row],[البخر  AJD]]+(TABL12345[[#This Row],[(A/B + A/S) AJD]]*1000))</f>
        <v>0</v>
      </c>
      <c r="AE44" s="44"/>
      <c r="AF44" s="45"/>
      <c r="AG44" s="45"/>
      <c r="AH44" s="6">
        <f>TABL12345[[#This Row],[ (RESV. STORGE) BER]]/10</f>
        <v>0</v>
      </c>
      <c r="AI44" s="44"/>
      <c r="AJ44" s="44">
        <f>TABL12345[[#This Row],[(A/B TOT) AJD]]-TABL12345[[#This Row],[BER_ IN]]</f>
        <v>0</v>
      </c>
      <c r="AK44" s="45"/>
      <c r="AL44" s="45"/>
      <c r="AM44" s="32"/>
      <c r="AN44" s="32">
        <f>TABL12345[[#This Row],[ (RESV. STORGE) SER]]/10</f>
        <v>0</v>
      </c>
      <c r="AO44" s="68"/>
      <c r="AP44" s="68">
        <f>TABL12345[[#This Row],[(A/S TOT) AJD]]-TABL12345[[#This Row],[SER_ IN]]</f>
        <v>0</v>
      </c>
    </row>
    <row r="45" spans="1:42" ht="18.75" x14ac:dyDescent="0.25">
      <c r="A45" s="2">
        <v>47527</v>
      </c>
      <c r="B45" s="41"/>
      <c r="C45" s="41"/>
      <c r="D45" s="41"/>
      <c r="E45" s="41"/>
      <c r="F45" s="41"/>
      <c r="G45" s="39"/>
      <c r="H45" s="28"/>
      <c r="I45" s="39"/>
      <c r="J45" s="39"/>
      <c r="K45" s="28">
        <f>TABL12345[[#This Row],[خط (T/B  TOT) SAR]]+TABL12345[[#This Row],[خط (S/S  TOT) SAR2]]</f>
        <v>0</v>
      </c>
      <c r="L45" s="41"/>
      <c r="M45" s="42"/>
      <c r="N45" s="42"/>
      <c r="O45" s="39"/>
      <c r="P45" s="3">
        <f>TABL12345[[#This Row],[خط (S/S  TOT) SAR2]]-TABL12345[[#This Row],[(S/S TOT) AJD]]</f>
        <v>0</v>
      </c>
      <c r="Q45" s="39"/>
      <c r="R45" s="3">
        <f>TABL12345[[#This Row],[خط (T/B  TOT) SAR]]-TABL12345[[#This Row],[(T/B TOT) AJD]]</f>
        <v>0</v>
      </c>
      <c r="S45" s="3">
        <f>TABL12345[[#This Row],[الفرق بين بداية ونهاية خط  S/S]]+TABL12345[[#This Row],[الفرق بين بداية ونهاية خط  T/B]]</f>
        <v>0</v>
      </c>
      <c r="T45" s="3">
        <f t="shared" si="0"/>
        <v>0</v>
      </c>
      <c r="U45" s="41"/>
      <c r="V45" s="41"/>
      <c r="W45" s="3">
        <f t="shared" si="1"/>
        <v>0</v>
      </c>
      <c r="X45" s="3">
        <f t="shared" si="2"/>
        <v>0</v>
      </c>
      <c r="Y45" s="41"/>
      <c r="Z45" s="43"/>
      <c r="AA45" s="3">
        <f>TABL12345[[#This Row],[(RESV. STORGE) AJD]]/10</f>
        <v>0</v>
      </c>
      <c r="AB45" s="43">
        <f t="shared" si="3"/>
        <v>0</v>
      </c>
      <c r="AC45" s="5"/>
      <c r="AD45" s="39">
        <f>(TABL12345[[#This Row],[( S/S+T/B) AJD]]*1000)-((TABL12345[[#This Row],[(STORGE DIFF.) AJD]]*1000)+TABL12345[[#This Row],[البخر  AJD]]+(TABL12345[[#This Row],[(A/B + A/S) AJD]]*1000))</f>
        <v>0</v>
      </c>
      <c r="AE45" s="41"/>
      <c r="AF45" s="43"/>
      <c r="AG45" s="43"/>
      <c r="AH45" s="6">
        <f>TABL12345[[#This Row],[ (RESV. STORGE) BER]]/10</f>
        <v>0</v>
      </c>
      <c r="AI45" s="41"/>
      <c r="AJ45" s="41">
        <f>TABL12345[[#This Row],[(A/B TOT) AJD]]-TABL12345[[#This Row],[BER_ IN]]</f>
        <v>0</v>
      </c>
      <c r="AK45" s="43"/>
      <c r="AL45" s="43"/>
      <c r="AM45" s="32"/>
      <c r="AN45" s="32">
        <f>TABL12345[[#This Row],[ (RESV. STORGE) SER]]/10</f>
        <v>0</v>
      </c>
      <c r="AO45" s="68"/>
      <c r="AP45" s="68">
        <f>TABL12345[[#This Row],[(A/S TOT) AJD]]-TABL12345[[#This Row],[SER_ IN]]</f>
        <v>0</v>
      </c>
    </row>
    <row r="46" spans="1:42" ht="18.75" x14ac:dyDescent="0.25">
      <c r="A46" s="2">
        <v>47528</v>
      </c>
      <c r="B46" s="44"/>
      <c r="C46" s="44"/>
      <c r="D46" s="44"/>
      <c r="E46" s="44"/>
      <c r="F46" s="44"/>
      <c r="G46" s="40"/>
      <c r="H46" s="28"/>
      <c r="I46" s="40"/>
      <c r="J46" s="44"/>
      <c r="K46" s="28">
        <f>TABL12345[[#This Row],[خط (T/B  TOT) SAR]]+TABL12345[[#This Row],[خط (S/S  TOT) SAR2]]</f>
        <v>0</v>
      </c>
      <c r="L46" s="45"/>
      <c r="M46" s="46"/>
      <c r="N46" s="46"/>
      <c r="O46" s="40"/>
      <c r="P46" s="3">
        <f>TABL12345[[#This Row],[خط (S/S  TOT) SAR2]]-TABL12345[[#This Row],[(S/S TOT) AJD]]</f>
        <v>0</v>
      </c>
      <c r="Q46" s="40"/>
      <c r="R46" s="3">
        <f>TABL12345[[#This Row],[خط (T/B  TOT) SAR]]-TABL12345[[#This Row],[(T/B TOT) AJD]]</f>
        <v>0</v>
      </c>
      <c r="S46" s="3">
        <f>TABL12345[[#This Row],[الفرق بين بداية ونهاية خط  S/S]]+TABL12345[[#This Row],[الفرق بين بداية ونهاية خط  T/B]]</f>
        <v>0</v>
      </c>
      <c r="T46" s="3">
        <f t="shared" si="0"/>
        <v>0</v>
      </c>
      <c r="U46" s="44"/>
      <c r="V46" s="44"/>
      <c r="W46" s="3">
        <f t="shared" si="1"/>
        <v>0</v>
      </c>
      <c r="X46" s="3">
        <f t="shared" si="2"/>
        <v>0</v>
      </c>
      <c r="Y46" s="44"/>
      <c r="Z46" s="45"/>
      <c r="AA46" s="3">
        <f>TABL12345[[#This Row],[(RESV. STORGE) AJD]]/10</f>
        <v>0</v>
      </c>
      <c r="AB46" s="45">
        <f t="shared" si="3"/>
        <v>0</v>
      </c>
      <c r="AC46" s="5"/>
      <c r="AD46" s="40">
        <f>(TABL12345[[#This Row],[( S/S+T/B) AJD]]*1000)-((TABL12345[[#This Row],[(STORGE DIFF.) AJD]]*1000)+TABL12345[[#This Row],[البخر  AJD]]+(TABL12345[[#This Row],[(A/B + A/S) AJD]]*1000))</f>
        <v>0</v>
      </c>
      <c r="AE46" s="44"/>
      <c r="AF46" s="45"/>
      <c r="AG46" s="45"/>
      <c r="AH46" s="6">
        <f>TABL12345[[#This Row],[ (RESV. STORGE) BER]]/10</f>
        <v>0</v>
      </c>
      <c r="AI46" s="44"/>
      <c r="AJ46" s="44">
        <f>TABL12345[[#This Row],[(A/B TOT) AJD]]-TABL12345[[#This Row],[BER_ IN]]</f>
        <v>0</v>
      </c>
      <c r="AK46" s="45"/>
      <c r="AL46" s="45"/>
      <c r="AM46" s="32"/>
      <c r="AN46" s="32">
        <f>TABL12345[[#This Row],[ (RESV. STORGE) SER]]/10</f>
        <v>0</v>
      </c>
      <c r="AO46" s="68"/>
      <c r="AP46" s="68">
        <f>TABL12345[[#This Row],[(A/S TOT) AJD]]-TABL12345[[#This Row],[SER_ IN]]</f>
        <v>0</v>
      </c>
    </row>
    <row r="47" spans="1:42" ht="18.75" x14ac:dyDescent="0.25">
      <c r="A47" s="2">
        <v>47529</v>
      </c>
      <c r="B47" s="41"/>
      <c r="C47" s="41"/>
      <c r="D47" s="41"/>
      <c r="E47" s="41"/>
      <c r="F47" s="41"/>
      <c r="G47" s="39"/>
      <c r="H47" s="28"/>
      <c r="I47" s="39"/>
      <c r="J47" s="39"/>
      <c r="K47" s="28">
        <f>TABL12345[[#This Row],[خط (T/B  TOT) SAR]]+TABL12345[[#This Row],[خط (S/S  TOT) SAR2]]</f>
        <v>0</v>
      </c>
      <c r="L47" s="41"/>
      <c r="M47" s="42"/>
      <c r="N47" s="42"/>
      <c r="O47" s="39"/>
      <c r="P47" s="3">
        <f>TABL12345[[#This Row],[خط (S/S  TOT) SAR2]]-TABL12345[[#This Row],[(S/S TOT) AJD]]</f>
        <v>0</v>
      </c>
      <c r="Q47" s="39"/>
      <c r="R47" s="3">
        <f>TABL12345[[#This Row],[خط (T/B  TOT) SAR]]-TABL12345[[#This Row],[(T/B TOT) AJD]]</f>
        <v>0</v>
      </c>
      <c r="S47" s="3">
        <f>TABL12345[[#This Row],[الفرق بين بداية ونهاية خط  S/S]]+TABL12345[[#This Row],[الفرق بين بداية ونهاية خط  T/B]]</f>
        <v>0</v>
      </c>
      <c r="T47" s="3">
        <f t="shared" si="0"/>
        <v>0</v>
      </c>
      <c r="U47" s="41"/>
      <c r="V47" s="41"/>
      <c r="W47" s="3">
        <f t="shared" si="1"/>
        <v>0</v>
      </c>
      <c r="X47" s="3">
        <f t="shared" si="2"/>
        <v>0</v>
      </c>
      <c r="Y47" s="41"/>
      <c r="Z47" s="43"/>
      <c r="AA47" s="3">
        <f>TABL12345[[#This Row],[(RESV. STORGE) AJD]]/10</f>
        <v>0</v>
      </c>
      <c r="AB47" s="43">
        <f t="shared" si="3"/>
        <v>0</v>
      </c>
      <c r="AC47" s="5"/>
      <c r="AD47" s="39">
        <f>(TABL12345[[#This Row],[( S/S+T/B) AJD]]*1000)-((TABL12345[[#This Row],[(STORGE DIFF.) AJD]]*1000)+TABL12345[[#This Row],[البخر  AJD]]+(TABL12345[[#This Row],[(A/B + A/S) AJD]]*1000))</f>
        <v>0</v>
      </c>
      <c r="AE47" s="41"/>
      <c r="AF47" s="43"/>
      <c r="AG47" s="43"/>
      <c r="AH47" s="6">
        <f>TABL12345[[#This Row],[ (RESV. STORGE) BER]]/10</f>
        <v>0</v>
      </c>
      <c r="AI47" s="41"/>
      <c r="AJ47" s="41">
        <f>TABL12345[[#This Row],[(A/B TOT) AJD]]-TABL12345[[#This Row],[BER_ IN]]</f>
        <v>0</v>
      </c>
      <c r="AK47" s="43"/>
      <c r="AL47" s="43"/>
      <c r="AM47" s="32"/>
      <c r="AN47" s="32">
        <f>TABL12345[[#This Row],[ (RESV. STORGE) SER]]/10</f>
        <v>0</v>
      </c>
      <c r="AO47" s="68"/>
      <c r="AP47" s="68">
        <f>TABL12345[[#This Row],[(A/S TOT) AJD]]-TABL12345[[#This Row],[SER_ IN]]</f>
        <v>0</v>
      </c>
    </row>
    <row r="48" spans="1:42" ht="18.75" x14ac:dyDescent="0.25">
      <c r="A48" s="2">
        <v>47530</v>
      </c>
      <c r="B48" s="44"/>
      <c r="C48" s="44"/>
      <c r="D48" s="44"/>
      <c r="E48" s="44"/>
      <c r="F48" s="44"/>
      <c r="G48" s="40"/>
      <c r="H48" s="28"/>
      <c r="I48" s="40"/>
      <c r="J48" s="44"/>
      <c r="K48" s="28">
        <f>TABL12345[[#This Row],[خط (T/B  TOT) SAR]]+TABL12345[[#This Row],[خط (S/S  TOT) SAR2]]</f>
        <v>0</v>
      </c>
      <c r="L48" s="45"/>
      <c r="M48" s="46"/>
      <c r="N48" s="46"/>
      <c r="O48" s="40"/>
      <c r="P48" s="3">
        <f>TABL12345[[#This Row],[خط (S/S  TOT) SAR2]]-TABL12345[[#This Row],[(S/S TOT) AJD]]</f>
        <v>0</v>
      </c>
      <c r="Q48" s="40"/>
      <c r="R48" s="3">
        <f>TABL12345[[#This Row],[خط (T/B  TOT) SAR]]-TABL12345[[#This Row],[(T/B TOT) AJD]]</f>
        <v>0</v>
      </c>
      <c r="S48" s="3">
        <f>TABL12345[[#This Row],[الفرق بين بداية ونهاية خط  S/S]]+TABL12345[[#This Row],[الفرق بين بداية ونهاية خط  T/B]]</f>
        <v>0</v>
      </c>
      <c r="T48" s="3">
        <f t="shared" si="0"/>
        <v>0</v>
      </c>
      <c r="U48" s="44"/>
      <c r="V48" s="44"/>
      <c r="W48" s="3">
        <f t="shared" si="1"/>
        <v>0</v>
      </c>
      <c r="X48" s="3">
        <f t="shared" si="2"/>
        <v>0</v>
      </c>
      <c r="Y48" s="44"/>
      <c r="Z48" s="45"/>
      <c r="AA48" s="3">
        <f>TABL12345[[#This Row],[(RESV. STORGE) AJD]]/10</f>
        <v>0</v>
      </c>
      <c r="AB48" s="45">
        <f t="shared" si="3"/>
        <v>0</v>
      </c>
      <c r="AC48" s="5"/>
      <c r="AD48" s="40">
        <f>(TABL12345[[#This Row],[( S/S+T/B) AJD]]*1000)-((TABL12345[[#This Row],[(STORGE DIFF.) AJD]]*1000)+TABL12345[[#This Row],[البخر  AJD]]+(TABL12345[[#This Row],[(A/B + A/S) AJD]]*1000))</f>
        <v>0</v>
      </c>
      <c r="AE48" s="44"/>
      <c r="AF48" s="45"/>
      <c r="AG48" s="45"/>
      <c r="AH48" s="6">
        <f>TABL12345[[#This Row],[ (RESV. STORGE) BER]]/10</f>
        <v>0</v>
      </c>
      <c r="AI48" s="44"/>
      <c r="AJ48" s="44">
        <f>TABL12345[[#This Row],[(A/B TOT) AJD]]-TABL12345[[#This Row],[BER_ IN]]</f>
        <v>0</v>
      </c>
      <c r="AK48" s="45"/>
      <c r="AL48" s="45"/>
      <c r="AM48" s="32"/>
      <c r="AN48" s="32">
        <f>TABL12345[[#This Row],[ (RESV. STORGE) SER]]/10</f>
        <v>0</v>
      </c>
      <c r="AO48" s="68"/>
      <c r="AP48" s="68">
        <f>TABL12345[[#This Row],[(A/S TOT) AJD]]-TABL12345[[#This Row],[SER_ IN]]</f>
        <v>0</v>
      </c>
    </row>
    <row r="49" spans="1:42" ht="18.75" x14ac:dyDescent="0.25">
      <c r="A49" s="2">
        <v>47531</v>
      </c>
      <c r="B49" s="41"/>
      <c r="C49" s="41"/>
      <c r="D49" s="41"/>
      <c r="E49" s="41"/>
      <c r="F49" s="41"/>
      <c r="G49" s="39"/>
      <c r="H49" s="28"/>
      <c r="I49" s="39"/>
      <c r="J49" s="39"/>
      <c r="K49" s="28">
        <f>TABL12345[[#This Row],[خط (T/B  TOT) SAR]]+TABL12345[[#This Row],[خط (S/S  TOT) SAR2]]</f>
        <v>0</v>
      </c>
      <c r="L49" s="41"/>
      <c r="M49" s="42"/>
      <c r="N49" s="42"/>
      <c r="O49" s="39"/>
      <c r="P49" s="3">
        <f>TABL12345[[#This Row],[خط (S/S  TOT) SAR2]]-TABL12345[[#This Row],[(S/S TOT) AJD]]</f>
        <v>0</v>
      </c>
      <c r="Q49" s="39"/>
      <c r="R49" s="3">
        <f>TABL12345[[#This Row],[خط (T/B  TOT) SAR]]-TABL12345[[#This Row],[(T/B TOT) AJD]]</f>
        <v>0</v>
      </c>
      <c r="S49" s="3">
        <f>TABL12345[[#This Row],[الفرق بين بداية ونهاية خط  S/S]]+TABL12345[[#This Row],[الفرق بين بداية ونهاية خط  T/B]]</f>
        <v>0</v>
      </c>
      <c r="T49" s="3">
        <f t="shared" si="0"/>
        <v>0</v>
      </c>
      <c r="U49" s="41"/>
      <c r="V49" s="41"/>
      <c r="W49" s="3">
        <f t="shared" si="1"/>
        <v>0</v>
      </c>
      <c r="X49" s="3">
        <f t="shared" si="2"/>
        <v>0</v>
      </c>
      <c r="Y49" s="41"/>
      <c r="Z49" s="43"/>
      <c r="AA49" s="3">
        <f>TABL12345[[#This Row],[(RESV. STORGE) AJD]]/10</f>
        <v>0</v>
      </c>
      <c r="AB49" s="43">
        <f t="shared" si="3"/>
        <v>0</v>
      </c>
      <c r="AC49" s="5"/>
      <c r="AD49" s="39">
        <f>(TABL12345[[#This Row],[( S/S+T/B) AJD]]*1000)-((TABL12345[[#This Row],[(STORGE DIFF.) AJD]]*1000)+TABL12345[[#This Row],[البخر  AJD]]+(TABL12345[[#This Row],[(A/B + A/S) AJD]]*1000))</f>
        <v>0</v>
      </c>
      <c r="AE49" s="41"/>
      <c r="AF49" s="43"/>
      <c r="AG49" s="43"/>
      <c r="AH49" s="6">
        <f>TABL12345[[#This Row],[ (RESV. STORGE) BER]]/10</f>
        <v>0</v>
      </c>
      <c r="AI49" s="41"/>
      <c r="AJ49" s="41">
        <f>TABL12345[[#This Row],[(A/B TOT) AJD]]-TABL12345[[#This Row],[BER_ IN]]</f>
        <v>0</v>
      </c>
      <c r="AK49" s="43"/>
      <c r="AL49" s="43"/>
      <c r="AM49" s="32"/>
      <c r="AN49" s="32">
        <f>TABL12345[[#This Row],[ (RESV. STORGE) SER]]/10</f>
        <v>0</v>
      </c>
      <c r="AO49" s="68"/>
      <c r="AP49" s="68">
        <f>TABL12345[[#This Row],[(A/S TOT) AJD]]-TABL12345[[#This Row],[SER_ IN]]</f>
        <v>0</v>
      </c>
    </row>
    <row r="50" spans="1:42" ht="18.75" x14ac:dyDescent="0.25">
      <c r="A50" s="2">
        <v>47532</v>
      </c>
      <c r="B50" s="44"/>
      <c r="C50" s="44"/>
      <c r="D50" s="44"/>
      <c r="E50" s="44"/>
      <c r="F50" s="44"/>
      <c r="G50" s="40"/>
      <c r="H50" s="28"/>
      <c r="I50" s="40"/>
      <c r="J50" s="44"/>
      <c r="K50" s="28">
        <f>TABL12345[[#This Row],[خط (T/B  TOT) SAR]]+TABL12345[[#This Row],[خط (S/S  TOT) SAR2]]</f>
        <v>0</v>
      </c>
      <c r="L50" s="45"/>
      <c r="M50" s="46"/>
      <c r="N50" s="46"/>
      <c r="O50" s="40"/>
      <c r="P50" s="3">
        <f>TABL12345[[#This Row],[خط (S/S  TOT) SAR2]]-TABL12345[[#This Row],[(S/S TOT) AJD]]</f>
        <v>0</v>
      </c>
      <c r="Q50" s="40"/>
      <c r="R50" s="3">
        <f>TABL12345[[#This Row],[خط (T/B  TOT) SAR]]-TABL12345[[#This Row],[(T/B TOT) AJD]]</f>
        <v>0</v>
      </c>
      <c r="S50" s="3">
        <f>TABL12345[[#This Row],[الفرق بين بداية ونهاية خط  S/S]]+TABL12345[[#This Row],[الفرق بين بداية ونهاية خط  T/B]]</f>
        <v>0</v>
      </c>
      <c r="T50" s="3">
        <f t="shared" si="0"/>
        <v>0</v>
      </c>
      <c r="U50" s="44"/>
      <c r="V50" s="44"/>
      <c r="W50" s="3">
        <f t="shared" si="1"/>
        <v>0</v>
      </c>
      <c r="X50" s="3">
        <f t="shared" si="2"/>
        <v>0</v>
      </c>
      <c r="Y50" s="44"/>
      <c r="Z50" s="45"/>
      <c r="AA50" s="3">
        <f>TABL12345[[#This Row],[(RESV. STORGE) AJD]]/10</f>
        <v>0</v>
      </c>
      <c r="AB50" s="45">
        <f t="shared" si="3"/>
        <v>0</v>
      </c>
      <c r="AC50" s="5"/>
      <c r="AD50" s="40">
        <f>(TABL12345[[#This Row],[( S/S+T/B) AJD]]*1000)-((TABL12345[[#This Row],[(STORGE DIFF.) AJD]]*1000)+TABL12345[[#This Row],[البخر  AJD]]+(TABL12345[[#This Row],[(A/B + A/S) AJD]]*1000))</f>
        <v>0</v>
      </c>
      <c r="AE50" s="44"/>
      <c r="AF50" s="45"/>
      <c r="AG50" s="45"/>
      <c r="AH50" s="6">
        <f>TABL12345[[#This Row],[ (RESV. STORGE) BER]]/10</f>
        <v>0</v>
      </c>
      <c r="AI50" s="44"/>
      <c r="AJ50" s="44">
        <f>TABL12345[[#This Row],[(A/B TOT) AJD]]-TABL12345[[#This Row],[BER_ IN]]</f>
        <v>0</v>
      </c>
      <c r="AK50" s="45"/>
      <c r="AL50" s="45"/>
      <c r="AM50" s="32"/>
      <c r="AN50" s="32">
        <f>TABL12345[[#This Row],[ (RESV. STORGE) SER]]/10</f>
        <v>0</v>
      </c>
      <c r="AO50" s="68"/>
      <c r="AP50" s="68">
        <f>TABL12345[[#This Row],[(A/S TOT) AJD]]-TABL12345[[#This Row],[SER_ IN]]</f>
        <v>0</v>
      </c>
    </row>
    <row r="51" spans="1:42" ht="18.75" x14ac:dyDescent="0.25">
      <c r="A51" s="2">
        <v>47533</v>
      </c>
      <c r="B51" s="41"/>
      <c r="C51" s="41"/>
      <c r="D51" s="41"/>
      <c r="E51" s="41"/>
      <c r="F51" s="41"/>
      <c r="G51" s="39"/>
      <c r="H51" s="28"/>
      <c r="I51" s="39"/>
      <c r="J51" s="39"/>
      <c r="K51" s="28">
        <f>TABL12345[[#This Row],[خط (T/B  TOT) SAR]]+TABL12345[[#This Row],[خط (S/S  TOT) SAR2]]</f>
        <v>0</v>
      </c>
      <c r="L51" s="41"/>
      <c r="M51" s="42"/>
      <c r="N51" s="42"/>
      <c r="O51" s="39"/>
      <c r="P51" s="3">
        <f>TABL12345[[#This Row],[خط (S/S  TOT) SAR2]]-TABL12345[[#This Row],[(S/S TOT) AJD]]</f>
        <v>0</v>
      </c>
      <c r="Q51" s="39"/>
      <c r="R51" s="3">
        <f>TABL12345[[#This Row],[خط (T/B  TOT) SAR]]-TABL12345[[#This Row],[(T/B TOT) AJD]]</f>
        <v>0</v>
      </c>
      <c r="S51" s="3">
        <f>TABL12345[[#This Row],[الفرق بين بداية ونهاية خط  S/S]]+TABL12345[[#This Row],[الفرق بين بداية ونهاية خط  T/B]]</f>
        <v>0</v>
      </c>
      <c r="T51" s="3">
        <f t="shared" si="0"/>
        <v>0</v>
      </c>
      <c r="U51" s="41"/>
      <c r="V51" s="41"/>
      <c r="W51" s="3">
        <f t="shared" si="1"/>
        <v>0</v>
      </c>
      <c r="X51" s="3">
        <f t="shared" si="2"/>
        <v>0</v>
      </c>
      <c r="Y51" s="41"/>
      <c r="Z51" s="43"/>
      <c r="AA51" s="3">
        <f>TABL12345[[#This Row],[(RESV. STORGE) AJD]]/10</f>
        <v>0</v>
      </c>
      <c r="AB51" s="43">
        <f t="shared" si="3"/>
        <v>0</v>
      </c>
      <c r="AC51" s="5"/>
      <c r="AD51" s="39">
        <f>(TABL12345[[#This Row],[( S/S+T/B) AJD]]*1000)-((TABL12345[[#This Row],[(STORGE DIFF.) AJD]]*1000)+TABL12345[[#This Row],[البخر  AJD]]+(TABL12345[[#This Row],[(A/B + A/S) AJD]]*1000))</f>
        <v>0</v>
      </c>
      <c r="AE51" s="41"/>
      <c r="AF51" s="43"/>
      <c r="AG51" s="43"/>
      <c r="AH51" s="6">
        <f>TABL12345[[#This Row],[ (RESV. STORGE) BER]]/10</f>
        <v>0</v>
      </c>
      <c r="AI51" s="41"/>
      <c r="AJ51" s="41">
        <f>TABL12345[[#This Row],[(A/B TOT) AJD]]-TABL12345[[#This Row],[BER_ IN]]</f>
        <v>0</v>
      </c>
      <c r="AK51" s="43"/>
      <c r="AL51" s="43"/>
      <c r="AM51" s="32"/>
      <c r="AN51" s="32">
        <f>TABL12345[[#This Row],[ (RESV. STORGE) SER]]/10</f>
        <v>0</v>
      </c>
      <c r="AO51" s="68"/>
      <c r="AP51" s="68">
        <f>TABL12345[[#This Row],[(A/S TOT) AJD]]-TABL12345[[#This Row],[SER_ IN]]</f>
        <v>0</v>
      </c>
    </row>
    <row r="52" spans="1:42" ht="18.75" x14ac:dyDescent="0.25">
      <c r="A52" s="2">
        <v>47534</v>
      </c>
      <c r="B52" s="44"/>
      <c r="C52" s="44"/>
      <c r="D52" s="44"/>
      <c r="E52" s="44"/>
      <c r="F52" s="44"/>
      <c r="G52" s="40"/>
      <c r="H52" s="28"/>
      <c r="I52" s="40"/>
      <c r="J52" s="44"/>
      <c r="K52" s="28">
        <f>TABL12345[[#This Row],[خط (T/B  TOT) SAR]]+TABL12345[[#This Row],[خط (S/S  TOT) SAR2]]</f>
        <v>0</v>
      </c>
      <c r="L52" s="45"/>
      <c r="M52" s="46"/>
      <c r="N52" s="46"/>
      <c r="O52" s="40"/>
      <c r="P52" s="3">
        <f>TABL12345[[#This Row],[خط (S/S  TOT) SAR2]]-TABL12345[[#This Row],[(S/S TOT) AJD]]</f>
        <v>0</v>
      </c>
      <c r="Q52" s="40"/>
      <c r="R52" s="3">
        <f>TABL12345[[#This Row],[خط (T/B  TOT) SAR]]-TABL12345[[#This Row],[(T/B TOT) AJD]]</f>
        <v>0</v>
      </c>
      <c r="S52" s="3">
        <f>TABL12345[[#This Row],[الفرق بين بداية ونهاية خط  S/S]]+TABL12345[[#This Row],[الفرق بين بداية ونهاية خط  T/B]]</f>
        <v>0</v>
      </c>
      <c r="T52" s="3">
        <f t="shared" si="0"/>
        <v>0</v>
      </c>
      <c r="U52" s="44"/>
      <c r="V52" s="44"/>
      <c r="W52" s="3">
        <f t="shared" si="1"/>
        <v>0</v>
      </c>
      <c r="X52" s="3">
        <f t="shared" si="2"/>
        <v>0</v>
      </c>
      <c r="Y52" s="44"/>
      <c r="Z52" s="45"/>
      <c r="AA52" s="3">
        <f>TABL12345[[#This Row],[(RESV. STORGE) AJD]]/10</f>
        <v>0</v>
      </c>
      <c r="AB52" s="45">
        <f t="shared" si="3"/>
        <v>0</v>
      </c>
      <c r="AC52" s="5"/>
      <c r="AD52" s="40">
        <f>(TABL12345[[#This Row],[( S/S+T/B) AJD]]*1000)-((TABL12345[[#This Row],[(STORGE DIFF.) AJD]]*1000)+TABL12345[[#This Row],[البخر  AJD]]+(TABL12345[[#This Row],[(A/B + A/S) AJD]]*1000))</f>
        <v>0</v>
      </c>
      <c r="AE52" s="44"/>
      <c r="AF52" s="45"/>
      <c r="AG52" s="45"/>
      <c r="AH52" s="6">
        <f>TABL12345[[#This Row],[ (RESV. STORGE) BER]]/10</f>
        <v>0</v>
      </c>
      <c r="AI52" s="44"/>
      <c r="AJ52" s="44">
        <f>TABL12345[[#This Row],[(A/B TOT) AJD]]-TABL12345[[#This Row],[BER_ IN]]</f>
        <v>0</v>
      </c>
      <c r="AK52" s="45"/>
      <c r="AL52" s="45"/>
      <c r="AM52" s="32"/>
      <c r="AN52" s="32">
        <f>TABL12345[[#This Row],[ (RESV. STORGE) SER]]/10</f>
        <v>0</v>
      </c>
      <c r="AO52" s="68"/>
      <c r="AP52" s="68">
        <f>TABL12345[[#This Row],[(A/S TOT) AJD]]-TABL12345[[#This Row],[SER_ IN]]</f>
        <v>0</v>
      </c>
    </row>
    <row r="53" spans="1:42" ht="18.75" x14ac:dyDescent="0.25">
      <c r="A53" s="2">
        <v>47535</v>
      </c>
      <c r="B53" s="41"/>
      <c r="C53" s="41"/>
      <c r="D53" s="41"/>
      <c r="E53" s="41"/>
      <c r="F53" s="41"/>
      <c r="G53" s="39"/>
      <c r="H53" s="28"/>
      <c r="I53" s="39"/>
      <c r="J53" s="39"/>
      <c r="K53" s="28">
        <f>TABL12345[[#This Row],[خط (T/B  TOT) SAR]]+TABL12345[[#This Row],[خط (S/S  TOT) SAR2]]</f>
        <v>0</v>
      </c>
      <c r="L53" s="41"/>
      <c r="M53" s="42"/>
      <c r="N53" s="42"/>
      <c r="O53" s="39"/>
      <c r="P53" s="3">
        <f>TABL12345[[#This Row],[خط (S/S  TOT) SAR2]]-TABL12345[[#This Row],[(S/S TOT) AJD]]</f>
        <v>0</v>
      </c>
      <c r="Q53" s="39"/>
      <c r="R53" s="3">
        <f>TABL12345[[#This Row],[خط (T/B  TOT) SAR]]-TABL12345[[#This Row],[(T/B TOT) AJD]]</f>
        <v>0</v>
      </c>
      <c r="S53" s="3">
        <f>TABL12345[[#This Row],[الفرق بين بداية ونهاية خط  S/S]]+TABL12345[[#This Row],[الفرق بين بداية ونهاية خط  T/B]]</f>
        <v>0</v>
      </c>
      <c r="T53" s="3">
        <f t="shared" si="0"/>
        <v>0</v>
      </c>
      <c r="U53" s="41"/>
      <c r="V53" s="41"/>
      <c r="W53" s="3">
        <f t="shared" si="1"/>
        <v>0</v>
      </c>
      <c r="X53" s="3">
        <f t="shared" si="2"/>
        <v>0</v>
      </c>
      <c r="Y53" s="41"/>
      <c r="Z53" s="43"/>
      <c r="AA53" s="3">
        <f>TABL12345[[#This Row],[(RESV. STORGE) AJD]]/10</f>
        <v>0</v>
      </c>
      <c r="AB53" s="43">
        <f t="shared" si="3"/>
        <v>0</v>
      </c>
      <c r="AC53" s="5"/>
      <c r="AD53" s="39">
        <f>(TABL12345[[#This Row],[( S/S+T/B) AJD]]*1000)-((TABL12345[[#This Row],[(STORGE DIFF.) AJD]]*1000)+TABL12345[[#This Row],[البخر  AJD]]+(TABL12345[[#This Row],[(A/B + A/S) AJD]]*1000))</f>
        <v>0</v>
      </c>
      <c r="AE53" s="41"/>
      <c r="AF53" s="43"/>
      <c r="AG53" s="43"/>
      <c r="AH53" s="6">
        <f>TABL12345[[#This Row],[ (RESV. STORGE) BER]]/10</f>
        <v>0</v>
      </c>
      <c r="AI53" s="41"/>
      <c r="AJ53" s="41">
        <f>TABL12345[[#This Row],[(A/B TOT) AJD]]-TABL12345[[#This Row],[BER_ IN]]</f>
        <v>0</v>
      </c>
      <c r="AK53" s="43"/>
      <c r="AL53" s="43"/>
      <c r="AM53" s="32"/>
      <c r="AN53" s="32">
        <f>TABL12345[[#This Row],[ (RESV. STORGE) SER]]/10</f>
        <v>0</v>
      </c>
      <c r="AO53" s="68"/>
      <c r="AP53" s="68">
        <f>TABL12345[[#This Row],[(A/S TOT) AJD]]-TABL12345[[#This Row],[SER_ IN]]</f>
        <v>0</v>
      </c>
    </row>
    <row r="54" spans="1:42" ht="18.75" x14ac:dyDescent="0.25">
      <c r="A54" s="2">
        <v>47536</v>
      </c>
      <c r="B54" s="44"/>
      <c r="C54" s="44"/>
      <c r="D54" s="44"/>
      <c r="E54" s="44"/>
      <c r="F54" s="44"/>
      <c r="G54" s="40"/>
      <c r="H54" s="28"/>
      <c r="I54" s="40"/>
      <c r="J54" s="44"/>
      <c r="K54" s="28">
        <f>TABL12345[[#This Row],[خط (T/B  TOT) SAR]]+TABL12345[[#This Row],[خط (S/S  TOT) SAR2]]</f>
        <v>0</v>
      </c>
      <c r="L54" s="45"/>
      <c r="M54" s="46"/>
      <c r="N54" s="46"/>
      <c r="O54" s="40"/>
      <c r="P54" s="3">
        <f>TABL12345[[#This Row],[خط (S/S  TOT) SAR2]]-TABL12345[[#This Row],[(S/S TOT) AJD]]</f>
        <v>0</v>
      </c>
      <c r="Q54" s="40"/>
      <c r="R54" s="3">
        <f>TABL12345[[#This Row],[خط (T/B  TOT) SAR]]-TABL12345[[#This Row],[(T/B TOT) AJD]]</f>
        <v>0</v>
      </c>
      <c r="S54" s="3">
        <f>TABL12345[[#This Row],[الفرق بين بداية ونهاية خط  S/S]]+TABL12345[[#This Row],[الفرق بين بداية ونهاية خط  T/B]]</f>
        <v>0</v>
      </c>
      <c r="T54" s="3">
        <f t="shared" si="0"/>
        <v>0</v>
      </c>
      <c r="U54" s="44"/>
      <c r="V54" s="44"/>
      <c r="W54" s="3">
        <f t="shared" si="1"/>
        <v>0</v>
      </c>
      <c r="X54" s="3">
        <f t="shared" si="2"/>
        <v>0</v>
      </c>
      <c r="Y54" s="44"/>
      <c r="Z54" s="45"/>
      <c r="AA54" s="3">
        <f>TABL12345[[#This Row],[(RESV. STORGE) AJD]]/10</f>
        <v>0</v>
      </c>
      <c r="AB54" s="45">
        <f t="shared" si="3"/>
        <v>0</v>
      </c>
      <c r="AC54" s="5"/>
      <c r="AD54" s="40">
        <f>(TABL12345[[#This Row],[( S/S+T/B) AJD]]*1000)-((TABL12345[[#This Row],[(STORGE DIFF.) AJD]]*1000)+TABL12345[[#This Row],[البخر  AJD]]+(TABL12345[[#This Row],[(A/B + A/S) AJD]]*1000))</f>
        <v>0</v>
      </c>
      <c r="AE54" s="44"/>
      <c r="AF54" s="45"/>
      <c r="AG54" s="45"/>
      <c r="AH54" s="6">
        <f>TABL12345[[#This Row],[ (RESV. STORGE) BER]]/10</f>
        <v>0</v>
      </c>
      <c r="AI54" s="44"/>
      <c r="AJ54" s="44">
        <f>TABL12345[[#This Row],[(A/B TOT) AJD]]-TABL12345[[#This Row],[BER_ IN]]</f>
        <v>0</v>
      </c>
      <c r="AK54" s="45"/>
      <c r="AL54" s="45"/>
      <c r="AM54" s="32"/>
      <c r="AN54" s="32">
        <f>TABL12345[[#This Row],[ (RESV. STORGE) SER]]/10</f>
        <v>0</v>
      </c>
      <c r="AO54" s="68"/>
      <c r="AP54" s="68">
        <f>TABL12345[[#This Row],[(A/S TOT) AJD]]-TABL12345[[#This Row],[SER_ IN]]</f>
        <v>0</v>
      </c>
    </row>
    <row r="55" spans="1:42" ht="18.75" x14ac:dyDescent="0.25">
      <c r="A55" s="2">
        <v>47537</v>
      </c>
      <c r="B55" s="41"/>
      <c r="C55" s="41"/>
      <c r="D55" s="41"/>
      <c r="E55" s="41"/>
      <c r="F55" s="41"/>
      <c r="G55" s="39"/>
      <c r="H55" s="28"/>
      <c r="I55" s="39"/>
      <c r="J55" s="39"/>
      <c r="K55" s="28">
        <f>TABL12345[[#This Row],[خط (T/B  TOT) SAR]]+TABL12345[[#This Row],[خط (S/S  TOT) SAR2]]</f>
        <v>0</v>
      </c>
      <c r="L55" s="41"/>
      <c r="M55" s="42"/>
      <c r="N55" s="42"/>
      <c r="O55" s="39"/>
      <c r="P55" s="3">
        <f>TABL12345[[#This Row],[خط (S/S  TOT) SAR2]]-TABL12345[[#This Row],[(S/S TOT) AJD]]</f>
        <v>0</v>
      </c>
      <c r="Q55" s="39"/>
      <c r="R55" s="3">
        <f>TABL12345[[#This Row],[خط (T/B  TOT) SAR]]-TABL12345[[#This Row],[(T/B TOT) AJD]]</f>
        <v>0</v>
      </c>
      <c r="S55" s="3">
        <f>TABL12345[[#This Row],[الفرق بين بداية ونهاية خط  S/S]]+TABL12345[[#This Row],[الفرق بين بداية ونهاية خط  T/B]]</f>
        <v>0</v>
      </c>
      <c r="T55" s="3">
        <f t="shared" si="0"/>
        <v>0</v>
      </c>
      <c r="U55" s="41"/>
      <c r="V55" s="41"/>
      <c r="W55" s="3">
        <f t="shared" si="1"/>
        <v>0</v>
      </c>
      <c r="X55" s="3">
        <f t="shared" si="2"/>
        <v>0</v>
      </c>
      <c r="Y55" s="41"/>
      <c r="Z55" s="43"/>
      <c r="AA55" s="3">
        <f>TABL12345[[#This Row],[(RESV. STORGE) AJD]]/10</f>
        <v>0</v>
      </c>
      <c r="AB55" s="43">
        <f t="shared" si="3"/>
        <v>0</v>
      </c>
      <c r="AC55" s="5"/>
      <c r="AD55" s="39">
        <f>(TABL12345[[#This Row],[( S/S+T/B) AJD]]*1000)-((TABL12345[[#This Row],[(STORGE DIFF.) AJD]]*1000)+TABL12345[[#This Row],[البخر  AJD]]+(TABL12345[[#This Row],[(A/B + A/S) AJD]]*1000))</f>
        <v>0</v>
      </c>
      <c r="AE55" s="41"/>
      <c r="AF55" s="43"/>
      <c r="AG55" s="43"/>
      <c r="AH55" s="6">
        <f>TABL12345[[#This Row],[ (RESV. STORGE) BER]]/10</f>
        <v>0</v>
      </c>
      <c r="AI55" s="41"/>
      <c r="AJ55" s="41">
        <f>TABL12345[[#This Row],[(A/B TOT) AJD]]-TABL12345[[#This Row],[BER_ IN]]</f>
        <v>0</v>
      </c>
      <c r="AK55" s="43"/>
      <c r="AL55" s="43"/>
      <c r="AM55" s="32"/>
      <c r="AN55" s="32">
        <f>TABL12345[[#This Row],[ (RESV. STORGE) SER]]/10</f>
        <v>0</v>
      </c>
      <c r="AO55" s="68"/>
      <c r="AP55" s="68">
        <f>TABL12345[[#This Row],[(A/S TOT) AJD]]-TABL12345[[#This Row],[SER_ IN]]</f>
        <v>0</v>
      </c>
    </row>
    <row r="56" spans="1:42" ht="18.75" x14ac:dyDescent="0.25">
      <c r="A56" s="2">
        <v>47538</v>
      </c>
      <c r="B56" s="44"/>
      <c r="C56" s="44"/>
      <c r="D56" s="44"/>
      <c r="E56" s="44"/>
      <c r="F56" s="44"/>
      <c r="G56" s="40"/>
      <c r="H56" s="28"/>
      <c r="I56" s="40"/>
      <c r="J56" s="44"/>
      <c r="K56" s="28">
        <f>TABL12345[[#This Row],[خط (T/B  TOT) SAR]]+TABL12345[[#This Row],[خط (S/S  TOT) SAR2]]</f>
        <v>0</v>
      </c>
      <c r="L56" s="45"/>
      <c r="M56" s="46"/>
      <c r="N56" s="46"/>
      <c r="O56" s="40"/>
      <c r="P56" s="3">
        <f>TABL12345[[#This Row],[خط (S/S  TOT) SAR2]]-TABL12345[[#This Row],[(S/S TOT) AJD]]</f>
        <v>0</v>
      </c>
      <c r="Q56" s="40"/>
      <c r="R56" s="3">
        <f>TABL12345[[#This Row],[خط (T/B  TOT) SAR]]-TABL12345[[#This Row],[(T/B TOT) AJD]]</f>
        <v>0</v>
      </c>
      <c r="S56" s="3">
        <f>TABL12345[[#This Row],[الفرق بين بداية ونهاية خط  S/S]]+TABL12345[[#This Row],[الفرق بين بداية ونهاية خط  T/B]]</f>
        <v>0</v>
      </c>
      <c r="T56" s="3">
        <f t="shared" si="0"/>
        <v>0</v>
      </c>
      <c r="U56" s="44"/>
      <c r="V56" s="44"/>
      <c r="W56" s="3">
        <f t="shared" si="1"/>
        <v>0</v>
      </c>
      <c r="X56" s="3">
        <f t="shared" si="2"/>
        <v>0</v>
      </c>
      <c r="Y56" s="44"/>
      <c r="Z56" s="45"/>
      <c r="AA56" s="3">
        <f>TABL12345[[#This Row],[(RESV. STORGE) AJD]]/10</f>
        <v>0</v>
      </c>
      <c r="AB56" s="45">
        <f t="shared" si="3"/>
        <v>0</v>
      </c>
      <c r="AC56" s="5"/>
      <c r="AD56" s="40">
        <f>(TABL12345[[#This Row],[( S/S+T/B) AJD]]*1000)-((TABL12345[[#This Row],[(STORGE DIFF.) AJD]]*1000)+TABL12345[[#This Row],[البخر  AJD]]+(TABL12345[[#This Row],[(A/B + A/S) AJD]]*1000))</f>
        <v>0</v>
      </c>
      <c r="AE56" s="44"/>
      <c r="AF56" s="45"/>
      <c r="AG56" s="45"/>
      <c r="AH56" s="6">
        <f>TABL12345[[#This Row],[ (RESV. STORGE) BER]]/10</f>
        <v>0</v>
      </c>
      <c r="AI56" s="44"/>
      <c r="AJ56" s="44">
        <f>TABL12345[[#This Row],[(A/B TOT) AJD]]-TABL12345[[#This Row],[BER_ IN]]</f>
        <v>0</v>
      </c>
      <c r="AK56" s="45"/>
      <c r="AL56" s="45"/>
      <c r="AM56" s="32"/>
      <c r="AN56" s="32">
        <f>TABL12345[[#This Row],[ (RESV. STORGE) SER]]/10</f>
        <v>0</v>
      </c>
      <c r="AO56" s="68"/>
      <c r="AP56" s="68">
        <f>TABL12345[[#This Row],[(A/S TOT) AJD]]-TABL12345[[#This Row],[SER_ IN]]</f>
        <v>0</v>
      </c>
    </row>
    <row r="57" spans="1:42" ht="18.75" x14ac:dyDescent="0.25">
      <c r="A57" s="2">
        <v>47539</v>
      </c>
      <c r="B57" s="41"/>
      <c r="C57" s="41"/>
      <c r="D57" s="41"/>
      <c r="E57" s="41"/>
      <c r="F57" s="41"/>
      <c r="G57" s="39"/>
      <c r="H57" s="28"/>
      <c r="I57" s="39"/>
      <c r="J57" s="39"/>
      <c r="K57" s="28">
        <f>TABL12345[[#This Row],[خط (T/B  TOT) SAR]]+TABL12345[[#This Row],[خط (S/S  TOT) SAR2]]</f>
        <v>0</v>
      </c>
      <c r="L57" s="41"/>
      <c r="M57" s="42"/>
      <c r="N57" s="42"/>
      <c r="O57" s="39"/>
      <c r="P57" s="3">
        <f>TABL12345[[#This Row],[خط (S/S  TOT) SAR2]]-TABL12345[[#This Row],[(S/S TOT) AJD]]</f>
        <v>0</v>
      </c>
      <c r="Q57" s="39"/>
      <c r="R57" s="3">
        <f>TABL12345[[#This Row],[خط (T/B  TOT) SAR]]-TABL12345[[#This Row],[(T/B TOT) AJD]]</f>
        <v>0</v>
      </c>
      <c r="S57" s="3">
        <f>TABL12345[[#This Row],[الفرق بين بداية ونهاية خط  S/S]]+TABL12345[[#This Row],[الفرق بين بداية ونهاية خط  T/B]]</f>
        <v>0</v>
      </c>
      <c r="T57" s="3">
        <f t="shared" si="0"/>
        <v>0</v>
      </c>
      <c r="U57" s="41"/>
      <c r="V57" s="41"/>
      <c r="W57" s="3">
        <f t="shared" si="1"/>
        <v>0</v>
      </c>
      <c r="X57" s="3">
        <f t="shared" si="2"/>
        <v>0</v>
      </c>
      <c r="Y57" s="41"/>
      <c r="Z57" s="43"/>
      <c r="AA57" s="3">
        <f>TABL12345[[#This Row],[(RESV. STORGE) AJD]]/10</f>
        <v>0</v>
      </c>
      <c r="AB57" s="43">
        <f t="shared" si="3"/>
        <v>0</v>
      </c>
      <c r="AC57" s="5"/>
      <c r="AD57" s="39">
        <f>(TABL12345[[#This Row],[( S/S+T/B) AJD]]*1000)-((TABL12345[[#This Row],[(STORGE DIFF.) AJD]]*1000)+TABL12345[[#This Row],[البخر  AJD]]+(TABL12345[[#This Row],[(A/B + A/S) AJD]]*1000))</f>
        <v>0</v>
      </c>
      <c r="AE57" s="41"/>
      <c r="AF57" s="43"/>
      <c r="AG57" s="43"/>
      <c r="AH57" s="6">
        <f>TABL12345[[#This Row],[ (RESV. STORGE) BER]]/10</f>
        <v>0</v>
      </c>
      <c r="AI57" s="41"/>
      <c r="AJ57" s="41">
        <f>TABL12345[[#This Row],[(A/B TOT) AJD]]-TABL12345[[#This Row],[BER_ IN]]</f>
        <v>0</v>
      </c>
      <c r="AK57" s="43"/>
      <c r="AL57" s="43"/>
      <c r="AM57" s="32"/>
      <c r="AN57" s="32">
        <f>TABL12345[[#This Row],[ (RESV. STORGE) SER]]/10</f>
        <v>0</v>
      </c>
      <c r="AO57" s="68"/>
      <c r="AP57" s="68">
        <f>TABL12345[[#This Row],[(A/S TOT) AJD]]-TABL12345[[#This Row],[SER_ IN]]</f>
        <v>0</v>
      </c>
    </row>
    <row r="58" spans="1:42" ht="18.75" x14ac:dyDescent="0.25">
      <c r="A58" s="2">
        <v>47540</v>
      </c>
      <c r="B58" s="44"/>
      <c r="C58" s="44"/>
      <c r="D58" s="44"/>
      <c r="E58" s="44"/>
      <c r="F58" s="44"/>
      <c r="G58" s="40"/>
      <c r="H58" s="28"/>
      <c r="I58" s="40"/>
      <c r="J58" s="44"/>
      <c r="K58" s="28">
        <f>TABL12345[[#This Row],[خط (T/B  TOT) SAR]]+TABL12345[[#This Row],[خط (S/S  TOT) SAR2]]</f>
        <v>0</v>
      </c>
      <c r="L58" s="45"/>
      <c r="M58" s="46"/>
      <c r="N58" s="46"/>
      <c r="O58" s="40"/>
      <c r="P58" s="3">
        <f>TABL12345[[#This Row],[خط (S/S  TOT) SAR2]]-TABL12345[[#This Row],[(S/S TOT) AJD]]</f>
        <v>0</v>
      </c>
      <c r="Q58" s="40"/>
      <c r="R58" s="3">
        <f>TABL12345[[#This Row],[خط (T/B  TOT) SAR]]-TABL12345[[#This Row],[(T/B TOT) AJD]]</f>
        <v>0</v>
      </c>
      <c r="S58" s="3">
        <f>TABL12345[[#This Row],[الفرق بين بداية ونهاية خط  S/S]]+TABL12345[[#This Row],[الفرق بين بداية ونهاية خط  T/B]]</f>
        <v>0</v>
      </c>
      <c r="T58" s="3">
        <f t="shared" si="0"/>
        <v>0</v>
      </c>
      <c r="U58" s="44"/>
      <c r="V58" s="44"/>
      <c r="W58" s="3">
        <f t="shared" si="1"/>
        <v>0</v>
      </c>
      <c r="X58" s="3">
        <f t="shared" si="2"/>
        <v>0</v>
      </c>
      <c r="Y58" s="44"/>
      <c r="Z58" s="45"/>
      <c r="AA58" s="3">
        <f>TABL12345[[#This Row],[(RESV. STORGE) AJD]]/10</f>
        <v>0</v>
      </c>
      <c r="AB58" s="45">
        <f t="shared" si="3"/>
        <v>0</v>
      </c>
      <c r="AC58" s="5"/>
      <c r="AD58" s="40">
        <f>(TABL12345[[#This Row],[( S/S+T/B) AJD]]*1000)-((TABL12345[[#This Row],[(STORGE DIFF.) AJD]]*1000)+TABL12345[[#This Row],[البخر  AJD]]+(TABL12345[[#This Row],[(A/B + A/S) AJD]]*1000))</f>
        <v>0</v>
      </c>
      <c r="AE58" s="44"/>
      <c r="AF58" s="45"/>
      <c r="AG58" s="45"/>
      <c r="AH58" s="6">
        <f>TABL12345[[#This Row],[ (RESV. STORGE) BER]]/10</f>
        <v>0</v>
      </c>
      <c r="AI58" s="44"/>
      <c r="AJ58" s="44">
        <f>TABL12345[[#This Row],[(A/B TOT) AJD]]-TABL12345[[#This Row],[BER_ IN]]</f>
        <v>0</v>
      </c>
      <c r="AK58" s="45"/>
      <c r="AL58" s="45"/>
      <c r="AM58" s="32"/>
      <c r="AN58" s="32">
        <f>TABL12345[[#This Row],[ (RESV. STORGE) SER]]/10</f>
        <v>0</v>
      </c>
      <c r="AO58" s="68"/>
      <c r="AP58" s="68">
        <f>TABL12345[[#This Row],[(A/S TOT) AJD]]-TABL12345[[#This Row],[SER_ IN]]</f>
        <v>0</v>
      </c>
    </row>
    <row r="59" spans="1:42" ht="18.75" x14ac:dyDescent="0.25">
      <c r="A59" s="2">
        <v>47541</v>
      </c>
      <c r="B59" s="41"/>
      <c r="C59" s="41"/>
      <c r="D59" s="41"/>
      <c r="E59" s="41"/>
      <c r="F59" s="41"/>
      <c r="G59" s="39"/>
      <c r="H59" s="28"/>
      <c r="I59" s="39"/>
      <c r="J59" s="39"/>
      <c r="K59" s="28">
        <f>TABL12345[[#This Row],[خط (T/B  TOT) SAR]]+TABL12345[[#This Row],[خط (S/S  TOT) SAR2]]</f>
        <v>0</v>
      </c>
      <c r="L59" s="41"/>
      <c r="M59" s="42"/>
      <c r="N59" s="42"/>
      <c r="O59" s="39"/>
      <c r="P59" s="3">
        <f>TABL12345[[#This Row],[خط (S/S  TOT) SAR2]]-TABL12345[[#This Row],[(S/S TOT) AJD]]</f>
        <v>0</v>
      </c>
      <c r="Q59" s="39"/>
      <c r="R59" s="3">
        <f>TABL12345[[#This Row],[خط (T/B  TOT) SAR]]-TABL12345[[#This Row],[(T/B TOT) AJD]]</f>
        <v>0</v>
      </c>
      <c r="S59" s="3">
        <f>TABL12345[[#This Row],[الفرق بين بداية ونهاية خط  S/S]]+TABL12345[[#This Row],[الفرق بين بداية ونهاية خط  T/B]]</f>
        <v>0</v>
      </c>
      <c r="T59" s="3">
        <f t="shared" si="0"/>
        <v>0</v>
      </c>
      <c r="U59" s="41"/>
      <c r="V59" s="41"/>
      <c r="W59" s="3">
        <f t="shared" si="1"/>
        <v>0</v>
      </c>
      <c r="X59" s="3">
        <f t="shared" si="2"/>
        <v>0</v>
      </c>
      <c r="Y59" s="41"/>
      <c r="Z59" s="43"/>
      <c r="AA59" s="3">
        <f>TABL12345[[#This Row],[(RESV. STORGE) AJD]]/10</f>
        <v>0</v>
      </c>
      <c r="AB59" s="43">
        <f t="shared" si="3"/>
        <v>0</v>
      </c>
      <c r="AC59" s="5"/>
      <c r="AD59" s="39">
        <f>(TABL12345[[#This Row],[( S/S+T/B) AJD]]*1000)-((TABL12345[[#This Row],[(STORGE DIFF.) AJD]]*1000)+TABL12345[[#This Row],[البخر  AJD]]+(TABL12345[[#This Row],[(A/B + A/S) AJD]]*1000))</f>
        <v>0</v>
      </c>
      <c r="AE59" s="41"/>
      <c r="AF59" s="43"/>
      <c r="AG59" s="43"/>
      <c r="AH59" s="6">
        <f>TABL12345[[#This Row],[ (RESV. STORGE) BER]]/10</f>
        <v>0</v>
      </c>
      <c r="AI59" s="41"/>
      <c r="AJ59" s="41">
        <f>TABL12345[[#This Row],[(A/B TOT) AJD]]-TABL12345[[#This Row],[BER_ IN]]</f>
        <v>0</v>
      </c>
      <c r="AK59" s="43"/>
      <c r="AL59" s="43"/>
      <c r="AM59" s="32"/>
      <c r="AN59" s="32">
        <f>TABL12345[[#This Row],[ (RESV. STORGE) SER]]/10</f>
        <v>0</v>
      </c>
      <c r="AO59" s="68"/>
      <c r="AP59" s="68">
        <f>TABL12345[[#This Row],[(A/S TOT) AJD]]-TABL12345[[#This Row],[SER_ IN]]</f>
        <v>0</v>
      </c>
    </row>
    <row r="60" spans="1:42" ht="18.75" x14ac:dyDescent="0.25">
      <c r="A60" s="2">
        <v>47542</v>
      </c>
      <c r="B60" s="44"/>
      <c r="C60" s="44"/>
      <c r="D60" s="44"/>
      <c r="E60" s="44"/>
      <c r="F60" s="44"/>
      <c r="G60" s="40"/>
      <c r="H60" s="28"/>
      <c r="I60" s="40"/>
      <c r="J60" s="44"/>
      <c r="K60" s="28">
        <f>TABL12345[[#This Row],[خط (T/B  TOT) SAR]]+TABL12345[[#This Row],[خط (S/S  TOT) SAR2]]</f>
        <v>0</v>
      </c>
      <c r="L60" s="45"/>
      <c r="M60" s="46"/>
      <c r="N60" s="46"/>
      <c r="O60" s="40"/>
      <c r="P60" s="3">
        <f>TABL12345[[#This Row],[خط (S/S  TOT) SAR2]]-TABL12345[[#This Row],[(S/S TOT) AJD]]</f>
        <v>0</v>
      </c>
      <c r="Q60" s="40"/>
      <c r="R60" s="3">
        <f>TABL12345[[#This Row],[خط (T/B  TOT) SAR]]-TABL12345[[#This Row],[(T/B TOT) AJD]]</f>
        <v>0</v>
      </c>
      <c r="S60" s="3">
        <f>TABL12345[[#This Row],[الفرق بين بداية ونهاية خط  S/S]]+TABL12345[[#This Row],[الفرق بين بداية ونهاية خط  T/B]]</f>
        <v>0</v>
      </c>
      <c r="T60" s="3">
        <f t="shared" si="0"/>
        <v>0</v>
      </c>
      <c r="U60" s="44"/>
      <c r="V60" s="44"/>
      <c r="W60" s="3">
        <f t="shared" si="1"/>
        <v>0</v>
      </c>
      <c r="X60" s="3">
        <f t="shared" si="2"/>
        <v>0</v>
      </c>
      <c r="Y60" s="44"/>
      <c r="Z60" s="45"/>
      <c r="AA60" s="3">
        <f>TABL12345[[#This Row],[(RESV. STORGE) AJD]]/10</f>
        <v>0</v>
      </c>
      <c r="AB60" s="45">
        <f t="shared" si="3"/>
        <v>0</v>
      </c>
      <c r="AC60" s="5"/>
      <c r="AD60" s="40">
        <f>(TABL12345[[#This Row],[( S/S+T/B) AJD]]*1000)-((TABL12345[[#This Row],[(STORGE DIFF.) AJD]]*1000)+TABL12345[[#This Row],[البخر  AJD]]+(TABL12345[[#This Row],[(A/B + A/S) AJD]]*1000))</f>
        <v>0</v>
      </c>
      <c r="AE60" s="44"/>
      <c r="AF60" s="45"/>
      <c r="AG60" s="45"/>
      <c r="AH60" s="6">
        <f>TABL12345[[#This Row],[ (RESV. STORGE) BER]]/10</f>
        <v>0</v>
      </c>
      <c r="AI60" s="44"/>
      <c r="AJ60" s="44">
        <f>TABL12345[[#This Row],[(A/B TOT) AJD]]-TABL12345[[#This Row],[BER_ IN]]</f>
        <v>0</v>
      </c>
      <c r="AK60" s="45"/>
      <c r="AL60" s="45"/>
      <c r="AM60" s="32"/>
      <c r="AN60" s="32">
        <f>TABL12345[[#This Row],[ (RESV. STORGE) SER]]/10</f>
        <v>0</v>
      </c>
      <c r="AO60" s="68"/>
      <c r="AP60" s="68">
        <f>TABL12345[[#This Row],[(A/S TOT) AJD]]-TABL12345[[#This Row],[SER_ IN]]</f>
        <v>0</v>
      </c>
    </row>
    <row r="61" spans="1:42" ht="18.75" x14ac:dyDescent="0.25">
      <c r="A61" s="2">
        <v>47543</v>
      </c>
      <c r="B61" s="41"/>
      <c r="C61" s="41"/>
      <c r="D61" s="41"/>
      <c r="E61" s="44"/>
      <c r="F61" s="41"/>
      <c r="G61" s="39"/>
      <c r="H61" s="28"/>
      <c r="I61" s="39"/>
      <c r="J61" s="39"/>
      <c r="K61" s="28">
        <f>TABL12345[[#This Row],[خط (T/B  TOT) SAR]]+TABL12345[[#This Row],[خط (S/S  TOT) SAR2]]</f>
        <v>0</v>
      </c>
      <c r="L61" s="41"/>
      <c r="M61" s="42"/>
      <c r="N61" s="42"/>
      <c r="O61" s="39"/>
      <c r="P61" s="3">
        <f>TABL12345[[#This Row],[خط (S/S  TOT) SAR2]]-TABL12345[[#This Row],[(S/S TOT) AJD]]</f>
        <v>0</v>
      </c>
      <c r="Q61" s="39"/>
      <c r="R61" s="3">
        <f>TABL12345[[#This Row],[خط (T/B  TOT) SAR]]-TABL12345[[#This Row],[(T/B TOT) AJD]]</f>
        <v>0</v>
      </c>
      <c r="S61" s="3">
        <f>TABL12345[[#This Row],[الفرق بين بداية ونهاية خط  S/S]]+TABL12345[[#This Row],[الفرق بين بداية ونهاية خط  T/B]]</f>
        <v>0</v>
      </c>
      <c r="T61" s="3">
        <f t="shared" si="0"/>
        <v>0</v>
      </c>
      <c r="U61" s="41"/>
      <c r="V61" s="41"/>
      <c r="W61" s="3">
        <f t="shared" si="1"/>
        <v>0</v>
      </c>
      <c r="X61" s="3">
        <f t="shared" si="2"/>
        <v>0</v>
      </c>
      <c r="Y61" s="41"/>
      <c r="Z61" s="43"/>
      <c r="AA61" s="3">
        <f>TABL12345[[#This Row],[(RESV. STORGE) AJD]]/10</f>
        <v>0</v>
      </c>
      <c r="AB61" s="43">
        <f t="shared" si="3"/>
        <v>0</v>
      </c>
      <c r="AC61" s="5"/>
      <c r="AD61" s="39">
        <f>(TABL12345[[#This Row],[( S/S+T/B) AJD]]*1000)-((TABL12345[[#This Row],[(STORGE DIFF.) AJD]]*1000)+TABL12345[[#This Row],[البخر  AJD]]+(TABL12345[[#This Row],[(A/B + A/S) AJD]]*1000))</f>
        <v>0</v>
      </c>
      <c r="AE61" s="41"/>
      <c r="AF61" s="43"/>
      <c r="AG61" s="43"/>
      <c r="AH61" s="6">
        <f>TABL12345[[#This Row],[ (RESV. STORGE) BER]]/10</f>
        <v>0</v>
      </c>
      <c r="AI61" s="41"/>
      <c r="AJ61" s="41">
        <f>TABL12345[[#This Row],[(A/B TOT) AJD]]-TABL12345[[#This Row],[BER_ IN]]</f>
        <v>0</v>
      </c>
      <c r="AK61" s="43"/>
      <c r="AL61" s="43"/>
      <c r="AM61" s="32"/>
      <c r="AN61" s="32">
        <f>TABL12345[[#This Row],[ (RESV. STORGE) SER]]/10</f>
        <v>0</v>
      </c>
      <c r="AO61" s="68"/>
      <c r="AP61" s="68">
        <f>TABL12345[[#This Row],[(A/S TOT) AJD]]-TABL12345[[#This Row],[SER_ IN]]</f>
        <v>0</v>
      </c>
    </row>
    <row r="62" spans="1:42" ht="18.75" x14ac:dyDescent="0.25">
      <c r="A62" s="2">
        <v>47544</v>
      </c>
      <c r="B62" s="44"/>
      <c r="C62" s="44"/>
      <c r="D62" s="44"/>
      <c r="E62" s="44"/>
      <c r="F62" s="44"/>
      <c r="G62" s="40"/>
      <c r="H62" s="28"/>
      <c r="I62" s="40"/>
      <c r="J62" s="44"/>
      <c r="K62" s="28">
        <f>TABL12345[[#This Row],[خط (T/B  TOT) SAR]]+TABL12345[[#This Row],[خط (S/S  TOT) SAR2]]</f>
        <v>0</v>
      </c>
      <c r="L62" s="45"/>
      <c r="M62" s="46"/>
      <c r="N62" s="46"/>
      <c r="O62" s="40"/>
      <c r="P62" s="3">
        <f>TABL12345[[#This Row],[خط (S/S  TOT) SAR2]]-TABL12345[[#This Row],[(S/S TOT) AJD]]</f>
        <v>0</v>
      </c>
      <c r="Q62" s="40"/>
      <c r="R62" s="3">
        <f>TABL12345[[#This Row],[خط (T/B  TOT) SAR]]-TABL12345[[#This Row],[(T/B TOT) AJD]]</f>
        <v>0</v>
      </c>
      <c r="S62" s="3">
        <f>TABL12345[[#This Row],[الفرق بين بداية ونهاية خط  S/S]]+TABL12345[[#This Row],[الفرق بين بداية ونهاية خط  T/B]]</f>
        <v>0</v>
      </c>
      <c r="T62" s="3">
        <f t="shared" si="0"/>
        <v>0</v>
      </c>
      <c r="U62" s="44"/>
      <c r="V62" s="44"/>
      <c r="W62" s="3">
        <f t="shared" si="1"/>
        <v>0</v>
      </c>
      <c r="X62" s="3">
        <f t="shared" si="2"/>
        <v>0</v>
      </c>
      <c r="Y62" s="44"/>
      <c r="Z62" s="45"/>
      <c r="AA62" s="3">
        <f>TABL12345[[#This Row],[(RESV. STORGE) AJD]]/10</f>
        <v>0</v>
      </c>
      <c r="AB62" s="45">
        <f t="shared" si="3"/>
        <v>0</v>
      </c>
      <c r="AC62" s="5"/>
      <c r="AD62" s="40">
        <f>(TABL12345[[#This Row],[( S/S+T/B) AJD]]*1000)-((TABL12345[[#This Row],[(STORGE DIFF.) AJD]]*1000)+TABL12345[[#This Row],[البخر  AJD]]+(TABL12345[[#This Row],[(A/B + A/S) AJD]]*1000))</f>
        <v>0</v>
      </c>
      <c r="AE62" s="44"/>
      <c r="AF62" s="45"/>
      <c r="AG62" s="45"/>
      <c r="AH62" s="6">
        <f>TABL12345[[#This Row],[ (RESV. STORGE) BER]]/10</f>
        <v>0</v>
      </c>
      <c r="AI62" s="44"/>
      <c r="AJ62" s="44">
        <f>TABL12345[[#This Row],[(A/B TOT) AJD]]-TABL12345[[#This Row],[BER_ IN]]</f>
        <v>0</v>
      </c>
      <c r="AK62" s="45"/>
      <c r="AL62" s="45"/>
      <c r="AM62" s="32"/>
      <c r="AN62" s="32">
        <f>TABL12345[[#This Row],[ (RESV. STORGE) SER]]/10</f>
        <v>0</v>
      </c>
      <c r="AO62" s="68"/>
      <c r="AP62" s="68">
        <f>TABL12345[[#This Row],[(A/S TOT) AJD]]-TABL12345[[#This Row],[SER_ IN]]</f>
        <v>0</v>
      </c>
    </row>
    <row r="63" spans="1:42" ht="18.75" x14ac:dyDescent="0.25">
      <c r="A63" s="2">
        <v>47545</v>
      </c>
      <c r="B63" s="41"/>
      <c r="C63" s="41"/>
      <c r="D63" s="41"/>
      <c r="E63" s="44"/>
      <c r="F63" s="41"/>
      <c r="G63" s="39"/>
      <c r="H63" s="28"/>
      <c r="I63" s="39"/>
      <c r="J63" s="39"/>
      <c r="K63" s="28">
        <f>TABL12345[[#This Row],[خط (T/B  TOT) SAR]]+TABL12345[[#This Row],[خط (S/S  TOT) SAR2]]</f>
        <v>0</v>
      </c>
      <c r="L63" s="41"/>
      <c r="M63" s="42"/>
      <c r="N63" s="42"/>
      <c r="O63" s="39"/>
      <c r="P63" s="3">
        <f>TABL12345[[#This Row],[خط (S/S  TOT) SAR2]]-TABL12345[[#This Row],[(S/S TOT) AJD]]</f>
        <v>0</v>
      </c>
      <c r="Q63" s="39"/>
      <c r="R63" s="3">
        <f>TABL12345[[#This Row],[خط (T/B  TOT) SAR]]-TABL12345[[#This Row],[(T/B TOT) AJD]]</f>
        <v>0</v>
      </c>
      <c r="S63" s="3">
        <f>TABL12345[[#This Row],[الفرق بين بداية ونهاية خط  S/S]]+TABL12345[[#This Row],[الفرق بين بداية ونهاية خط  T/B]]</f>
        <v>0</v>
      </c>
      <c r="T63" s="3">
        <f t="shared" si="0"/>
        <v>0</v>
      </c>
      <c r="U63" s="41"/>
      <c r="V63" s="41"/>
      <c r="W63" s="3">
        <f t="shared" si="1"/>
        <v>0</v>
      </c>
      <c r="X63" s="3">
        <f t="shared" si="2"/>
        <v>0</v>
      </c>
      <c r="Y63" s="41"/>
      <c r="Z63" s="43"/>
      <c r="AA63" s="3">
        <f>TABL12345[[#This Row],[(RESV. STORGE) AJD]]/10</f>
        <v>0</v>
      </c>
      <c r="AB63" s="43">
        <f t="shared" si="3"/>
        <v>0</v>
      </c>
      <c r="AC63" s="5"/>
      <c r="AD63" s="39">
        <f>(TABL12345[[#This Row],[( S/S+T/B) AJD]]*1000)-((TABL12345[[#This Row],[(STORGE DIFF.) AJD]]*1000)+TABL12345[[#This Row],[البخر  AJD]]+(TABL12345[[#This Row],[(A/B + A/S) AJD]]*1000))</f>
        <v>0</v>
      </c>
      <c r="AE63" s="41"/>
      <c r="AF63" s="43"/>
      <c r="AG63" s="43"/>
      <c r="AH63" s="6">
        <f>TABL12345[[#This Row],[ (RESV. STORGE) BER]]/10</f>
        <v>0</v>
      </c>
      <c r="AI63" s="41"/>
      <c r="AJ63" s="41">
        <f>TABL12345[[#This Row],[(A/B TOT) AJD]]-TABL12345[[#This Row],[BER_ IN]]</f>
        <v>0</v>
      </c>
      <c r="AK63" s="43"/>
      <c r="AL63" s="43"/>
      <c r="AM63" s="32"/>
      <c r="AN63" s="32">
        <f>TABL12345[[#This Row],[ (RESV. STORGE) SER]]/10</f>
        <v>0</v>
      </c>
      <c r="AO63" s="68"/>
      <c r="AP63" s="68">
        <f>TABL12345[[#This Row],[(A/S TOT) AJD]]-TABL12345[[#This Row],[SER_ IN]]</f>
        <v>0</v>
      </c>
    </row>
    <row r="64" spans="1:42" ht="18.75" x14ac:dyDescent="0.25">
      <c r="A64" s="2">
        <v>47546</v>
      </c>
      <c r="B64" s="44"/>
      <c r="C64" s="44"/>
      <c r="D64" s="44"/>
      <c r="E64" s="28"/>
      <c r="F64" s="44"/>
      <c r="G64" s="40"/>
      <c r="H64" s="28"/>
      <c r="I64" s="40"/>
      <c r="J64" s="44"/>
      <c r="K64" s="28">
        <f>TABL12345[[#This Row],[خط (T/B  TOT) SAR]]+TABL12345[[#This Row],[خط (S/S  TOT) SAR2]]</f>
        <v>0</v>
      </c>
      <c r="L64" s="45"/>
      <c r="M64" s="46"/>
      <c r="N64" s="46"/>
      <c r="O64" s="40"/>
      <c r="P64" s="3">
        <f>TABL12345[[#This Row],[خط (S/S  TOT) SAR2]]-TABL12345[[#This Row],[(S/S TOT) AJD]]</f>
        <v>0</v>
      </c>
      <c r="Q64" s="40"/>
      <c r="R64" s="3">
        <f>TABL12345[[#This Row],[خط (T/B  TOT) SAR]]-TABL12345[[#This Row],[(T/B TOT) AJD]]</f>
        <v>0</v>
      </c>
      <c r="S64" s="3">
        <f>TABL12345[[#This Row],[الفرق بين بداية ونهاية خط  S/S]]+TABL12345[[#This Row],[الفرق بين بداية ونهاية خط  T/B]]</f>
        <v>0</v>
      </c>
      <c r="T64" s="3">
        <f t="shared" si="0"/>
        <v>0</v>
      </c>
      <c r="U64" s="44"/>
      <c r="V64" s="44"/>
      <c r="W64" s="3">
        <f t="shared" si="1"/>
        <v>0</v>
      </c>
      <c r="X64" s="3">
        <f t="shared" si="2"/>
        <v>0</v>
      </c>
      <c r="Y64" s="44"/>
      <c r="Z64" s="45"/>
      <c r="AA64" s="3">
        <f>TABL12345[[#This Row],[(RESV. STORGE) AJD]]/10</f>
        <v>0</v>
      </c>
      <c r="AB64" s="45">
        <f t="shared" si="3"/>
        <v>0</v>
      </c>
      <c r="AC64" s="5"/>
      <c r="AD64" s="40">
        <f>(TABL12345[[#This Row],[( S/S+T/B) AJD]]*1000)-((TABL12345[[#This Row],[(STORGE DIFF.) AJD]]*1000)+TABL12345[[#This Row],[البخر  AJD]]+(TABL12345[[#This Row],[(A/B + A/S) AJD]]*1000))</f>
        <v>0</v>
      </c>
      <c r="AE64" s="44"/>
      <c r="AF64" s="45"/>
      <c r="AG64" s="45"/>
      <c r="AH64" s="6">
        <f>TABL12345[[#This Row],[ (RESV. STORGE) BER]]/10</f>
        <v>0</v>
      </c>
      <c r="AI64" s="44"/>
      <c r="AJ64" s="44">
        <f>TABL12345[[#This Row],[(A/B TOT) AJD]]-TABL12345[[#This Row],[BER_ IN]]</f>
        <v>0</v>
      </c>
      <c r="AK64" s="45"/>
      <c r="AL64" s="45"/>
      <c r="AM64" s="32"/>
      <c r="AN64" s="32">
        <f>TABL12345[[#This Row],[ (RESV. STORGE) SER]]/10</f>
        <v>0</v>
      </c>
      <c r="AO64" s="68"/>
      <c r="AP64" s="68">
        <f>TABL12345[[#This Row],[(A/S TOT) AJD]]-TABL12345[[#This Row],[SER_ IN]]</f>
        <v>0</v>
      </c>
    </row>
    <row r="65" spans="1:42" ht="18.75" x14ac:dyDescent="0.25">
      <c r="A65" s="2">
        <v>47547</v>
      </c>
      <c r="B65" s="41"/>
      <c r="C65" s="41"/>
      <c r="D65" s="41"/>
      <c r="E65" s="28"/>
      <c r="F65" s="41"/>
      <c r="G65" s="39"/>
      <c r="H65" s="28"/>
      <c r="I65" s="39"/>
      <c r="J65" s="39"/>
      <c r="K65" s="28">
        <f>TABL12345[[#This Row],[خط (T/B  TOT) SAR]]+TABL12345[[#This Row],[خط (S/S  TOT) SAR2]]</f>
        <v>0</v>
      </c>
      <c r="L65" s="41"/>
      <c r="M65" s="42"/>
      <c r="N65" s="42"/>
      <c r="O65" s="39"/>
      <c r="P65" s="3">
        <f>TABL12345[[#This Row],[خط (S/S  TOT) SAR2]]-TABL12345[[#This Row],[(S/S TOT) AJD]]</f>
        <v>0</v>
      </c>
      <c r="Q65" s="39"/>
      <c r="R65" s="3">
        <f>TABL12345[[#This Row],[خط (T/B  TOT) SAR]]-TABL12345[[#This Row],[(T/B TOT) AJD]]</f>
        <v>0</v>
      </c>
      <c r="S65" s="3">
        <f>TABL12345[[#This Row],[الفرق بين بداية ونهاية خط  S/S]]+TABL12345[[#This Row],[الفرق بين بداية ونهاية خط  T/B]]</f>
        <v>0</v>
      </c>
      <c r="T65" s="3">
        <f t="shared" si="0"/>
        <v>0</v>
      </c>
      <c r="U65" s="41"/>
      <c r="V65" s="41"/>
      <c r="W65" s="3">
        <f t="shared" si="1"/>
        <v>0</v>
      </c>
      <c r="X65" s="3">
        <f t="shared" si="2"/>
        <v>0</v>
      </c>
      <c r="Y65" s="41"/>
      <c r="Z65" s="43"/>
      <c r="AA65" s="3">
        <f>TABL12345[[#This Row],[(RESV. STORGE) AJD]]/10</f>
        <v>0</v>
      </c>
      <c r="AB65" s="43">
        <f t="shared" si="3"/>
        <v>0</v>
      </c>
      <c r="AC65" s="5"/>
      <c r="AD65" s="39">
        <f>(TABL12345[[#This Row],[( S/S+T/B) AJD]]*1000)-((TABL12345[[#This Row],[(STORGE DIFF.) AJD]]*1000)+TABL12345[[#This Row],[البخر  AJD]]+(TABL12345[[#This Row],[(A/B + A/S) AJD]]*1000))</f>
        <v>0</v>
      </c>
      <c r="AE65" s="41"/>
      <c r="AF65" s="43"/>
      <c r="AG65" s="43"/>
      <c r="AH65" s="6">
        <f>TABL12345[[#This Row],[ (RESV. STORGE) BER]]/10</f>
        <v>0</v>
      </c>
      <c r="AI65" s="41"/>
      <c r="AJ65" s="41">
        <f>TABL12345[[#This Row],[(A/B TOT) AJD]]-TABL12345[[#This Row],[BER_ IN]]</f>
        <v>0</v>
      </c>
      <c r="AK65" s="43"/>
      <c r="AL65" s="43"/>
      <c r="AM65" s="32"/>
      <c r="AN65" s="32">
        <f>TABL12345[[#This Row],[ (RESV. STORGE) SER]]/10</f>
        <v>0</v>
      </c>
      <c r="AO65" s="68"/>
      <c r="AP65" s="68">
        <f>TABL12345[[#This Row],[(A/S TOT) AJD]]-TABL12345[[#This Row],[SER_ IN]]</f>
        <v>0</v>
      </c>
    </row>
    <row r="66" spans="1:42" ht="18.75" x14ac:dyDescent="0.25">
      <c r="A66" s="2">
        <v>47548</v>
      </c>
      <c r="B66" s="44"/>
      <c r="C66" s="44"/>
      <c r="D66" s="44"/>
      <c r="E66" s="28"/>
      <c r="F66" s="44"/>
      <c r="G66" s="40"/>
      <c r="H66" s="28"/>
      <c r="I66" s="40"/>
      <c r="J66" s="44"/>
      <c r="K66" s="28">
        <f>TABL12345[[#This Row],[خط (T/B  TOT) SAR]]+TABL12345[[#This Row],[خط (S/S  TOT) SAR2]]</f>
        <v>0</v>
      </c>
      <c r="L66" s="45"/>
      <c r="M66" s="46"/>
      <c r="N66" s="46"/>
      <c r="O66" s="40"/>
      <c r="P66" s="3">
        <f>TABL12345[[#This Row],[خط (S/S  TOT) SAR2]]-TABL12345[[#This Row],[(S/S TOT) AJD]]</f>
        <v>0</v>
      </c>
      <c r="Q66" s="40"/>
      <c r="R66" s="3">
        <f>TABL12345[[#This Row],[خط (T/B  TOT) SAR]]-TABL12345[[#This Row],[(T/B TOT) AJD]]</f>
        <v>0</v>
      </c>
      <c r="S66" s="3">
        <f>TABL12345[[#This Row],[الفرق بين بداية ونهاية خط  S/S]]+TABL12345[[#This Row],[الفرق بين بداية ونهاية خط  T/B]]</f>
        <v>0</v>
      </c>
      <c r="T66" s="3">
        <f t="shared" ref="T66:T129" si="4">O66+Q66</f>
        <v>0</v>
      </c>
      <c r="U66" s="44"/>
      <c r="V66" s="44"/>
      <c r="W66" s="3">
        <f t="shared" ref="W66:W129" si="5">U66+V66</f>
        <v>0</v>
      </c>
      <c r="X66" s="3">
        <f t="shared" ref="X66:X129" si="6">T66-W66</f>
        <v>0</v>
      </c>
      <c r="Y66" s="44"/>
      <c r="Z66" s="45"/>
      <c r="AA66" s="3">
        <f>TABL12345[[#This Row],[(RESV. STORGE) AJD]]/10</f>
        <v>0</v>
      </c>
      <c r="AB66" s="45">
        <f t="shared" si="3"/>
        <v>0</v>
      </c>
      <c r="AC66" s="5"/>
      <c r="AD66" s="40">
        <f>(TABL12345[[#This Row],[( S/S+T/B) AJD]]*1000)-((TABL12345[[#This Row],[(STORGE DIFF.) AJD]]*1000)+TABL12345[[#This Row],[البخر  AJD]]+(TABL12345[[#This Row],[(A/B + A/S) AJD]]*1000))</f>
        <v>0</v>
      </c>
      <c r="AE66" s="44"/>
      <c r="AF66" s="45"/>
      <c r="AG66" s="45"/>
      <c r="AH66" s="6">
        <f>TABL12345[[#This Row],[ (RESV. STORGE) BER]]/10</f>
        <v>0</v>
      </c>
      <c r="AI66" s="44"/>
      <c r="AJ66" s="44">
        <f>TABL12345[[#This Row],[(A/B TOT) AJD]]-TABL12345[[#This Row],[BER_ IN]]</f>
        <v>0</v>
      </c>
      <c r="AK66" s="45"/>
      <c r="AL66" s="45"/>
      <c r="AM66" s="32"/>
      <c r="AN66" s="32">
        <f>TABL12345[[#This Row],[ (RESV. STORGE) SER]]/10</f>
        <v>0</v>
      </c>
      <c r="AO66" s="68"/>
      <c r="AP66" s="68">
        <f>TABL12345[[#This Row],[(A/S TOT) AJD]]-TABL12345[[#This Row],[SER_ IN]]</f>
        <v>0</v>
      </c>
    </row>
    <row r="67" spans="1:42" ht="18.75" x14ac:dyDescent="0.25">
      <c r="A67" s="2">
        <v>47549</v>
      </c>
      <c r="B67" s="41"/>
      <c r="C67" s="41"/>
      <c r="D67" s="41"/>
      <c r="E67" s="28"/>
      <c r="F67" s="41"/>
      <c r="G67" s="39"/>
      <c r="H67" s="28"/>
      <c r="I67" s="39"/>
      <c r="J67" s="39"/>
      <c r="K67" s="28">
        <f>TABL12345[[#This Row],[خط (T/B  TOT) SAR]]+TABL12345[[#This Row],[خط (S/S  TOT) SAR2]]</f>
        <v>0</v>
      </c>
      <c r="L67" s="41"/>
      <c r="M67" s="42"/>
      <c r="N67" s="42"/>
      <c r="O67" s="39"/>
      <c r="P67" s="3">
        <f>TABL12345[[#This Row],[خط (S/S  TOT) SAR2]]-TABL12345[[#This Row],[(S/S TOT) AJD]]</f>
        <v>0</v>
      </c>
      <c r="Q67" s="39"/>
      <c r="R67" s="3">
        <f>TABL12345[[#This Row],[خط (T/B  TOT) SAR]]-TABL12345[[#This Row],[(T/B TOT) AJD]]</f>
        <v>0</v>
      </c>
      <c r="S67" s="3">
        <f>TABL12345[[#This Row],[الفرق بين بداية ونهاية خط  S/S]]+TABL12345[[#This Row],[الفرق بين بداية ونهاية خط  T/B]]</f>
        <v>0</v>
      </c>
      <c r="T67" s="3">
        <f t="shared" si="4"/>
        <v>0</v>
      </c>
      <c r="U67" s="41"/>
      <c r="V67" s="41"/>
      <c r="W67" s="3">
        <f t="shared" si="5"/>
        <v>0</v>
      </c>
      <c r="X67" s="3">
        <f t="shared" si="6"/>
        <v>0</v>
      </c>
      <c r="Y67" s="41"/>
      <c r="Z67" s="43"/>
      <c r="AA67" s="3">
        <f>TABL12345[[#This Row],[(RESV. STORGE) AJD]]/10</f>
        <v>0</v>
      </c>
      <c r="AB67" s="43">
        <f t="shared" si="3"/>
        <v>0</v>
      </c>
      <c r="AC67" s="5"/>
      <c r="AD67" s="39">
        <f>(TABL12345[[#This Row],[( S/S+T/B) AJD]]*1000)-((TABL12345[[#This Row],[(STORGE DIFF.) AJD]]*1000)+TABL12345[[#This Row],[البخر  AJD]]+(TABL12345[[#This Row],[(A/B + A/S) AJD]]*1000))</f>
        <v>0</v>
      </c>
      <c r="AE67" s="41"/>
      <c r="AF67" s="43"/>
      <c r="AG67" s="43"/>
      <c r="AH67" s="6">
        <f>TABL12345[[#This Row],[ (RESV. STORGE) BER]]/10</f>
        <v>0</v>
      </c>
      <c r="AI67" s="41"/>
      <c r="AJ67" s="41">
        <f>TABL12345[[#This Row],[(A/B TOT) AJD]]-TABL12345[[#This Row],[BER_ IN]]</f>
        <v>0</v>
      </c>
      <c r="AK67" s="43"/>
      <c r="AL67" s="43"/>
      <c r="AM67" s="32"/>
      <c r="AN67" s="32">
        <f>TABL12345[[#This Row],[ (RESV. STORGE) SER]]/10</f>
        <v>0</v>
      </c>
      <c r="AO67" s="68"/>
      <c r="AP67" s="68">
        <f>TABL12345[[#This Row],[(A/S TOT) AJD]]-TABL12345[[#This Row],[SER_ IN]]</f>
        <v>0</v>
      </c>
    </row>
    <row r="68" spans="1:42" ht="18.75" x14ac:dyDescent="0.25">
      <c r="A68" s="2">
        <v>47550</v>
      </c>
      <c r="B68" s="44"/>
      <c r="C68" s="44"/>
      <c r="D68" s="44"/>
      <c r="E68" s="28"/>
      <c r="F68" s="44"/>
      <c r="G68" s="40"/>
      <c r="H68" s="28"/>
      <c r="I68" s="40"/>
      <c r="J68" s="44"/>
      <c r="K68" s="28">
        <f>TABL12345[[#This Row],[خط (T/B  TOT) SAR]]+TABL12345[[#This Row],[خط (S/S  TOT) SAR2]]</f>
        <v>0</v>
      </c>
      <c r="L68" s="45"/>
      <c r="M68" s="46"/>
      <c r="N68" s="46"/>
      <c r="O68" s="40"/>
      <c r="P68" s="3">
        <f>TABL12345[[#This Row],[خط (S/S  TOT) SAR2]]-TABL12345[[#This Row],[(S/S TOT) AJD]]</f>
        <v>0</v>
      </c>
      <c r="Q68" s="40"/>
      <c r="R68" s="3">
        <f>TABL12345[[#This Row],[خط (T/B  TOT) SAR]]-TABL12345[[#This Row],[(T/B TOT) AJD]]</f>
        <v>0</v>
      </c>
      <c r="S68" s="3">
        <f>TABL12345[[#This Row],[الفرق بين بداية ونهاية خط  S/S]]+TABL12345[[#This Row],[الفرق بين بداية ونهاية خط  T/B]]</f>
        <v>0</v>
      </c>
      <c r="T68" s="3">
        <f t="shared" si="4"/>
        <v>0</v>
      </c>
      <c r="U68" s="44"/>
      <c r="V68" s="44"/>
      <c r="W68" s="3">
        <f t="shared" si="5"/>
        <v>0</v>
      </c>
      <c r="X68" s="3">
        <f t="shared" si="6"/>
        <v>0</v>
      </c>
      <c r="Y68" s="44"/>
      <c r="Z68" s="45"/>
      <c r="AA68" s="3">
        <f>TABL12345[[#This Row],[(RESV. STORGE) AJD]]/10</f>
        <v>0</v>
      </c>
      <c r="AB68" s="45">
        <f t="shared" ref="AB68:AB131" si="7">(Z68-Z67)/1000</f>
        <v>0</v>
      </c>
      <c r="AC68" s="5"/>
      <c r="AD68" s="40">
        <f>(TABL12345[[#This Row],[( S/S+T/B) AJD]]*1000)-((TABL12345[[#This Row],[(STORGE DIFF.) AJD]]*1000)+TABL12345[[#This Row],[البخر  AJD]]+(TABL12345[[#This Row],[(A/B + A/S) AJD]]*1000))</f>
        <v>0</v>
      </c>
      <c r="AE68" s="44"/>
      <c r="AF68" s="45"/>
      <c r="AG68" s="45"/>
      <c r="AH68" s="6">
        <f>TABL12345[[#This Row],[ (RESV. STORGE) BER]]/10</f>
        <v>0</v>
      </c>
      <c r="AI68" s="44"/>
      <c r="AJ68" s="44">
        <f>TABL12345[[#This Row],[(A/B TOT) AJD]]-TABL12345[[#This Row],[BER_ IN]]</f>
        <v>0</v>
      </c>
      <c r="AK68" s="45"/>
      <c r="AL68" s="45"/>
      <c r="AM68" s="32"/>
      <c r="AN68" s="32">
        <f>TABL12345[[#This Row],[ (RESV. STORGE) SER]]/10</f>
        <v>0</v>
      </c>
      <c r="AO68" s="68"/>
      <c r="AP68" s="68">
        <f>TABL12345[[#This Row],[(A/S TOT) AJD]]-TABL12345[[#This Row],[SER_ IN]]</f>
        <v>0</v>
      </c>
    </row>
    <row r="69" spans="1:42" ht="18.75" x14ac:dyDescent="0.25">
      <c r="A69" s="2">
        <v>47551</v>
      </c>
      <c r="B69" s="41"/>
      <c r="C69" s="41"/>
      <c r="D69" s="41"/>
      <c r="E69" s="28"/>
      <c r="F69" s="41"/>
      <c r="G69" s="39"/>
      <c r="H69" s="28"/>
      <c r="I69" s="39"/>
      <c r="J69" s="39"/>
      <c r="K69" s="28">
        <f>TABL12345[[#This Row],[خط (T/B  TOT) SAR]]+TABL12345[[#This Row],[خط (S/S  TOT) SAR2]]</f>
        <v>0</v>
      </c>
      <c r="L69" s="41"/>
      <c r="M69" s="42"/>
      <c r="N69" s="42"/>
      <c r="O69" s="39"/>
      <c r="P69" s="3">
        <f>TABL12345[[#This Row],[خط (S/S  TOT) SAR2]]-TABL12345[[#This Row],[(S/S TOT) AJD]]</f>
        <v>0</v>
      </c>
      <c r="Q69" s="39"/>
      <c r="R69" s="3">
        <f>TABL12345[[#This Row],[خط (T/B  TOT) SAR]]-TABL12345[[#This Row],[(T/B TOT) AJD]]</f>
        <v>0</v>
      </c>
      <c r="S69" s="3">
        <f>TABL12345[[#This Row],[الفرق بين بداية ونهاية خط  S/S]]+TABL12345[[#This Row],[الفرق بين بداية ونهاية خط  T/B]]</f>
        <v>0</v>
      </c>
      <c r="T69" s="3">
        <f t="shared" si="4"/>
        <v>0</v>
      </c>
      <c r="U69" s="41"/>
      <c r="V69" s="41"/>
      <c r="W69" s="3">
        <f t="shared" si="5"/>
        <v>0</v>
      </c>
      <c r="X69" s="3">
        <f t="shared" si="6"/>
        <v>0</v>
      </c>
      <c r="Y69" s="41"/>
      <c r="Z69" s="43"/>
      <c r="AA69" s="3">
        <f>TABL12345[[#This Row],[(RESV. STORGE) AJD]]/10</f>
        <v>0</v>
      </c>
      <c r="AB69" s="43">
        <f t="shared" si="7"/>
        <v>0</v>
      </c>
      <c r="AC69" s="5"/>
      <c r="AD69" s="39">
        <f>(TABL12345[[#This Row],[( S/S+T/B) AJD]]*1000)-((TABL12345[[#This Row],[(STORGE DIFF.) AJD]]*1000)+TABL12345[[#This Row],[البخر  AJD]]+(TABL12345[[#This Row],[(A/B + A/S) AJD]]*1000))</f>
        <v>0</v>
      </c>
      <c r="AE69" s="41"/>
      <c r="AF69" s="43"/>
      <c r="AG69" s="43"/>
      <c r="AH69" s="6">
        <f>TABL12345[[#This Row],[ (RESV. STORGE) BER]]/10</f>
        <v>0</v>
      </c>
      <c r="AI69" s="41"/>
      <c r="AJ69" s="41">
        <f>TABL12345[[#This Row],[(A/B TOT) AJD]]-TABL12345[[#This Row],[BER_ IN]]</f>
        <v>0</v>
      </c>
      <c r="AK69" s="43"/>
      <c r="AL69" s="43"/>
      <c r="AM69" s="32"/>
      <c r="AN69" s="32">
        <f>TABL12345[[#This Row],[ (RESV. STORGE) SER]]/10</f>
        <v>0</v>
      </c>
      <c r="AO69" s="68"/>
      <c r="AP69" s="68">
        <f>TABL12345[[#This Row],[(A/S TOT) AJD]]-TABL12345[[#This Row],[SER_ IN]]</f>
        <v>0</v>
      </c>
    </row>
    <row r="70" spans="1:42" ht="18.75" x14ac:dyDescent="0.25">
      <c r="A70" s="2">
        <v>47552</v>
      </c>
      <c r="B70" s="44"/>
      <c r="C70" s="44"/>
      <c r="D70" s="44"/>
      <c r="E70" s="28"/>
      <c r="F70" s="44"/>
      <c r="G70" s="40"/>
      <c r="H70" s="28"/>
      <c r="I70" s="40"/>
      <c r="J70" s="44"/>
      <c r="K70" s="28">
        <f>TABL12345[[#This Row],[خط (T/B  TOT) SAR]]+TABL12345[[#This Row],[خط (S/S  TOT) SAR2]]</f>
        <v>0</v>
      </c>
      <c r="L70" s="45"/>
      <c r="M70" s="46"/>
      <c r="N70" s="46"/>
      <c r="O70" s="40"/>
      <c r="P70" s="3">
        <f>TABL12345[[#This Row],[خط (S/S  TOT) SAR2]]-TABL12345[[#This Row],[(S/S TOT) AJD]]</f>
        <v>0</v>
      </c>
      <c r="Q70" s="40"/>
      <c r="R70" s="3">
        <f>TABL12345[[#This Row],[خط (T/B  TOT) SAR]]-TABL12345[[#This Row],[(T/B TOT) AJD]]</f>
        <v>0</v>
      </c>
      <c r="S70" s="3">
        <f>TABL12345[[#This Row],[الفرق بين بداية ونهاية خط  S/S]]+TABL12345[[#This Row],[الفرق بين بداية ونهاية خط  T/B]]</f>
        <v>0</v>
      </c>
      <c r="T70" s="3">
        <f t="shared" si="4"/>
        <v>0</v>
      </c>
      <c r="U70" s="44"/>
      <c r="V70" s="44"/>
      <c r="W70" s="3">
        <f t="shared" si="5"/>
        <v>0</v>
      </c>
      <c r="X70" s="3">
        <f t="shared" si="6"/>
        <v>0</v>
      </c>
      <c r="Y70" s="44"/>
      <c r="Z70" s="45"/>
      <c r="AA70" s="3">
        <f>TABL12345[[#This Row],[(RESV. STORGE) AJD]]/10</f>
        <v>0</v>
      </c>
      <c r="AB70" s="45">
        <f t="shared" si="7"/>
        <v>0</v>
      </c>
      <c r="AC70" s="5"/>
      <c r="AD70" s="40">
        <f>(TABL12345[[#This Row],[( S/S+T/B) AJD]]*1000)-((TABL12345[[#This Row],[(STORGE DIFF.) AJD]]*1000)+TABL12345[[#This Row],[البخر  AJD]]+(TABL12345[[#This Row],[(A/B + A/S) AJD]]*1000))</f>
        <v>0</v>
      </c>
      <c r="AE70" s="44"/>
      <c r="AF70" s="45"/>
      <c r="AG70" s="45"/>
      <c r="AH70" s="6">
        <f>TABL12345[[#This Row],[ (RESV. STORGE) BER]]/10</f>
        <v>0</v>
      </c>
      <c r="AI70" s="44"/>
      <c r="AJ70" s="44">
        <f>TABL12345[[#This Row],[(A/B TOT) AJD]]-TABL12345[[#This Row],[BER_ IN]]</f>
        <v>0</v>
      </c>
      <c r="AK70" s="45"/>
      <c r="AL70" s="45"/>
      <c r="AM70" s="32"/>
      <c r="AN70" s="32">
        <f>TABL12345[[#This Row],[ (RESV. STORGE) SER]]/10</f>
        <v>0</v>
      </c>
      <c r="AO70" s="68"/>
      <c r="AP70" s="68">
        <f>TABL12345[[#This Row],[(A/S TOT) AJD]]-TABL12345[[#This Row],[SER_ IN]]</f>
        <v>0</v>
      </c>
    </row>
    <row r="71" spans="1:42" ht="18.75" x14ac:dyDescent="0.25">
      <c r="A71" s="2">
        <v>47553</v>
      </c>
      <c r="B71" s="41"/>
      <c r="C71" s="41"/>
      <c r="D71" s="41"/>
      <c r="E71" s="28"/>
      <c r="F71" s="41"/>
      <c r="G71" s="39"/>
      <c r="H71" s="28"/>
      <c r="I71" s="39"/>
      <c r="J71" s="39"/>
      <c r="K71" s="28">
        <f>TABL12345[[#This Row],[خط (T/B  TOT) SAR]]+TABL12345[[#This Row],[خط (S/S  TOT) SAR2]]</f>
        <v>0</v>
      </c>
      <c r="L71" s="41"/>
      <c r="M71" s="42"/>
      <c r="N71" s="42"/>
      <c r="O71" s="39"/>
      <c r="P71" s="3">
        <f>TABL12345[[#This Row],[خط (S/S  TOT) SAR2]]-TABL12345[[#This Row],[(S/S TOT) AJD]]</f>
        <v>0</v>
      </c>
      <c r="Q71" s="39"/>
      <c r="R71" s="3">
        <f>TABL12345[[#This Row],[خط (T/B  TOT) SAR]]-TABL12345[[#This Row],[(T/B TOT) AJD]]</f>
        <v>0</v>
      </c>
      <c r="S71" s="3">
        <f>TABL12345[[#This Row],[الفرق بين بداية ونهاية خط  S/S]]+TABL12345[[#This Row],[الفرق بين بداية ونهاية خط  T/B]]</f>
        <v>0</v>
      </c>
      <c r="T71" s="3">
        <f t="shared" si="4"/>
        <v>0</v>
      </c>
      <c r="U71" s="41"/>
      <c r="V71" s="41"/>
      <c r="W71" s="3">
        <f t="shared" si="5"/>
        <v>0</v>
      </c>
      <c r="X71" s="3">
        <f t="shared" si="6"/>
        <v>0</v>
      </c>
      <c r="Y71" s="41"/>
      <c r="Z71" s="43"/>
      <c r="AA71" s="3">
        <f>TABL12345[[#This Row],[(RESV. STORGE) AJD]]/10</f>
        <v>0</v>
      </c>
      <c r="AB71" s="43">
        <f t="shared" si="7"/>
        <v>0</v>
      </c>
      <c r="AC71" s="5"/>
      <c r="AD71" s="39">
        <f>(TABL12345[[#This Row],[( S/S+T/B) AJD]]*1000)-((TABL12345[[#This Row],[(STORGE DIFF.) AJD]]*1000)+TABL12345[[#This Row],[البخر  AJD]]+(TABL12345[[#This Row],[(A/B + A/S) AJD]]*1000))</f>
        <v>0</v>
      </c>
      <c r="AE71" s="41"/>
      <c r="AF71" s="43"/>
      <c r="AG71" s="68"/>
      <c r="AH71" s="6">
        <f>TABL12345[[#This Row],[ (RESV. STORGE) BER]]/10</f>
        <v>0</v>
      </c>
      <c r="AI71" s="41"/>
      <c r="AJ71" s="69">
        <f>TABL12345[[#This Row],[(A/B TOT) AJD]]-TABL12345[[#This Row],[BER_ IN]]</f>
        <v>0</v>
      </c>
      <c r="AK71" s="43"/>
      <c r="AL71" s="43"/>
      <c r="AM71" s="32"/>
      <c r="AN71" s="32">
        <f>TABL12345[[#This Row],[ (RESV. STORGE) SER]]/10</f>
        <v>0</v>
      </c>
      <c r="AO71" s="68"/>
      <c r="AP71" s="68">
        <f>TABL12345[[#This Row],[(A/S TOT) AJD]]-TABL12345[[#This Row],[SER_ IN]]</f>
        <v>0</v>
      </c>
    </row>
    <row r="72" spans="1:42" ht="18.75" x14ac:dyDescent="0.25">
      <c r="A72" s="2">
        <v>47554</v>
      </c>
      <c r="B72" s="44"/>
      <c r="C72" s="44"/>
      <c r="D72" s="44"/>
      <c r="E72" s="28"/>
      <c r="F72" s="44"/>
      <c r="G72" s="40"/>
      <c r="H72" s="28"/>
      <c r="I72" s="40"/>
      <c r="J72" s="44"/>
      <c r="K72" s="28">
        <f>TABL12345[[#This Row],[خط (T/B  TOT) SAR]]+TABL12345[[#This Row],[خط (S/S  TOT) SAR2]]</f>
        <v>0</v>
      </c>
      <c r="L72" s="45"/>
      <c r="M72" s="46"/>
      <c r="N72" s="46"/>
      <c r="O72" s="40"/>
      <c r="P72" s="3">
        <f>TABL12345[[#This Row],[خط (S/S  TOT) SAR2]]-TABL12345[[#This Row],[(S/S TOT) AJD]]</f>
        <v>0</v>
      </c>
      <c r="Q72" s="40"/>
      <c r="R72" s="3">
        <f>TABL12345[[#This Row],[خط (T/B  TOT) SAR]]-TABL12345[[#This Row],[(T/B TOT) AJD]]</f>
        <v>0</v>
      </c>
      <c r="S72" s="3">
        <f>TABL12345[[#This Row],[الفرق بين بداية ونهاية خط  S/S]]+TABL12345[[#This Row],[الفرق بين بداية ونهاية خط  T/B]]</f>
        <v>0</v>
      </c>
      <c r="T72" s="3">
        <f t="shared" si="4"/>
        <v>0</v>
      </c>
      <c r="U72" s="44"/>
      <c r="V72" s="44"/>
      <c r="W72" s="3">
        <f t="shared" si="5"/>
        <v>0</v>
      </c>
      <c r="X72" s="3">
        <f t="shared" si="6"/>
        <v>0</v>
      </c>
      <c r="Y72" s="44"/>
      <c r="Z72" s="45"/>
      <c r="AA72" s="3">
        <f>TABL12345[[#This Row],[(RESV. STORGE) AJD]]/10</f>
        <v>0</v>
      </c>
      <c r="AB72" s="45">
        <f t="shared" si="7"/>
        <v>0</v>
      </c>
      <c r="AC72" s="5"/>
      <c r="AD72" s="40">
        <f>(TABL12345[[#This Row],[( S/S+T/B) AJD]]*1000)-((TABL12345[[#This Row],[(STORGE DIFF.) AJD]]*1000)+TABL12345[[#This Row],[البخر  AJD]]+(TABL12345[[#This Row],[(A/B + A/S) AJD]]*1000))</f>
        <v>0</v>
      </c>
      <c r="AE72" s="44"/>
      <c r="AF72" s="45"/>
      <c r="AG72" s="45"/>
      <c r="AH72" s="6">
        <f>TABL12345[[#This Row],[ (RESV. STORGE) BER]]/10</f>
        <v>0</v>
      </c>
      <c r="AI72" s="44"/>
      <c r="AJ72" s="44">
        <f>TABL12345[[#This Row],[(A/B TOT) AJD]]-TABL12345[[#This Row],[BER_ IN]]</f>
        <v>0</v>
      </c>
      <c r="AK72" s="45"/>
      <c r="AL72" s="45"/>
      <c r="AM72" s="32"/>
      <c r="AN72" s="32">
        <f>TABL12345[[#This Row],[ (RESV. STORGE) SER]]/10</f>
        <v>0</v>
      </c>
      <c r="AO72" s="68"/>
      <c r="AP72" s="68">
        <f>TABL12345[[#This Row],[(A/S TOT) AJD]]-TABL12345[[#This Row],[SER_ IN]]</f>
        <v>0</v>
      </c>
    </row>
    <row r="73" spans="1:42" ht="18.75" x14ac:dyDescent="0.25">
      <c r="A73" s="2">
        <v>47555</v>
      </c>
      <c r="B73" s="41"/>
      <c r="C73" s="41"/>
      <c r="D73" s="41"/>
      <c r="E73" s="28"/>
      <c r="F73" s="41"/>
      <c r="G73" s="39"/>
      <c r="H73" s="28"/>
      <c r="I73" s="39"/>
      <c r="J73" s="39"/>
      <c r="K73" s="28">
        <f>TABL12345[[#This Row],[خط (T/B  TOT) SAR]]+TABL12345[[#This Row],[خط (S/S  TOT) SAR2]]</f>
        <v>0</v>
      </c>
      <c r="L73" s="41"/>
      <c r="M73" s="42"/>
      <c r="N73" s="42"/>
      <c r="O73" s="39"/>
      <c r="P73" s="3">
        <f>TABL12345[[#This Row],[خط (S/S  TOT) SAR2]]-TABL12345[[#This Row],[(S/S TOT) AJD]]</f>
        <v>0</v>
      </c>
      <c r="Q73" s="39"/>
      <c r="R73" s="3">
        <f>TABL12345[[#This Row],[خط (T/B  TOT) SAR]]-TABL12345[[#This Row],[(T/B TOT) AJD]]</f>
        <v>0</v>
      </c>
      <c r="S73" s="3">
        <f>TABL12345[[#This Row],[الفرق بين بداية ونهاية خط  S/S]]+TABL12345[[#This Row],[الفرق بين بداية ونهاية خط  T/B]]</f>
        <v>0</v>
      </c>
      <c r="T73" s="3">
        <f t="shared" si="4"/>
        <v>0</v>
      </c>
      <c r="U73" s="41"/>
      <c r="V73" s="41"/>
      <c r="W73" s="3">
        <f t="shared" si="5"/>
        <v>0</v>
      </c>
      <c r="X73" s="3">
        <f t="shared" si="6"/>
        <v>0</v>
      </c>
      <c r="Y73" s="41"/>
      <c r="Z73" s="43"/>
      <c r="AA73" s="3">
        <f>TABL12345[[#This Row],[(RESV. STORGE) AJD]]/10</f>
        <v>0</v>
      </c>
      <c r="AB73" s="43">
        <f t="shared" si="7"/>
        <v>0</v>
      </c>
      <c r="AC73" s="5"/>
      <c r="AD73" s="39">
        <f>(TABL12345[[#This Row],[( S/S+T/B) AJD]]*1000)-((TABL12345[[#This Row],[(STORGE DIFF.) AJD]]*1000)+TABL12345[[#This Row],[البخر  AJD]]+(TABL12345[[#This Row],[(A/B + A/S) AJD]]*1000))</f>
        <v>0</v>
      </c>
      <c r="AE73" s="41"/>
      <c r="AF73" s="43"/>
      <c r="AG73" s="43"/>
      <c r="AH73" s="6">
        <f>TABL12345[[#This Row],[ (RESV. STORGE) BER]]/10</f>
        <v>0</v>
      </c>
      <c r="AI73" s="41"/>
      <c r="AJ73" s="41">
        <f>TABL12345[[#This Row],[(A/B TOT) AJD]]-TABL12345[[#This Row],[BER_ IN]]</f>
        <v>0</v>
      </c>
      <c r="AK73" s="43"/>
      <c r="AL73" s="43"/>
      <c r="AM73" s="32"/>
      <c r="AN73" s="32">
        <f>TABL12345[[#This Row],[ (RESV. STORGE) SER]]/10</f>
        <v>0</v>
      </c>
      <c r="AO73" s="68"/>
      <c r="AP73" s="68">
        <f>TABL12345[[#This Row],[(A/S TOT) AJD]]-TABL12345[[#This Row],[SER_ IN]]</f>
        <v>0</v>
      </c>
    </row>
    <row r="74" spans="1:42" ht="18.75" x14ac:dyDescent="0.25">
      <c r="A74" s="2">
        <v>47556</v>
      </c>
      <c r="B74" s="44"/>
      <c r="C74" s="44"/>
      <c r="D74" s="44"/>
      <c r="E74" s="28"/>
      <c r="F74" s="44"/>
      <c r="G74" s="40"/>
      <c r="H74" s="28"/>
      <c r="I74" s="40"/>
      <c r="J74" s="44"/>
      <c r="K74" s="28">
        <f>TABL12345[[#This Row],[خط (T/B  TOT) SAR]]+TABL12345[[#This Row],[خط (S/S  TOT) SAR2]]</f>
        <v>0</v>
      </c>
      <c r="L74" s="45"/>
      <c r="M74" s="46"/>
      <c r="N74" s="46"/>
      <c r="O74" s="40"/>
      <c r="P74" s="3">
        <f>TABL12345[[#This Row],[خط (S/S  TOT) SAR2]]-TABL12345[[#This Row],[(S/S TOT) AJD]]</f>
        <v>0</v>
      </c>
      <c r="Q74" s="40"/>
      <c r="R74" s="3">
        <f>TABL12345[[#This Row],[خط (T/B  TOT) SAR]]-TABL12345[[#This Row],[(T/B TOT) AJD]]</f>
        <v>0</v>
      </c>
      <c r="S74" s="3">
        <f>TABL12345[[#This Row],[الفرق بين بداية ونهاية خط  S/S]]+TABL12345[[#This Row],[الفرق بين بداية ونهاية خط  T/B]]</f>
        <v>0</v>
      </c>
      <c r="T74" s="3">
        <f t="shared" si="4"/>
        <v>0</v>
      </c>
      <c r="U74" s="44"/>
      <c r="V74" s="44"/>
      <c r="W74" s="3">
        <f t="shared" si="5"/>
        <v>0</v>
      </c>
      <c r="X74" s="3">
        <f t="shared" si="6"/>
        <v>0</v>
      </c>
      <c r="Y74" s="44"/>
      <c r="Z74" s="45"/>
      <c r="AA74" s="3">
        <f>TABL12345[[#This Row],[(RESV. STORGE) AJD]]/10</f>
        <v>0</v>
      </c>
      <c r="AB74" s="45">
        <f t="shared" si="7"/>
        <v>0</v>
      </c>
      <c r="AC74" s="5"/>
      <c r="AD74" s="40">
        <f>(TABL12345[[#This Row],[( S/S+T/B) AJD]]*1000)-((TABL12345[[#This Row],[(STORGE DIFF.) AJD]]*1000)+TABL12345[[#This Row],[البخر  AJD]]+(TABL12345[[#This Row],[(A/B + A/S) AJD]]*1000))</f>
        <v>0</v>
      </c>
      <c r="AE74" s="44"/>
      <c r="AF74" s="45"/>
      <c r="AG74" s="45"/>
      <c r="AH74" s="6">
        <f>TABL12345[[#This Row],[ (RESV. STORGE) BER]]/10</f>
        <v>0</v>
      </c>
      <c r="AI74" s="44"/>
      <c r="AJ74" s="44">
        <f>TABL12345[[#This Row],[(A/B TOT) AJD]]-TABL12345[[#This Row],[BER_ IN]]</f>
        <v>0</v>
      </c>
      <c r="AK74" s="45"/>
      <c r="AL74" s="45"/>
      <c r="AM74" s="32"/>
      <c r="AN74" s="32">
        <f>TABL12345[[#This Row],[ (RESV. STORGE) SER]]/10</f>
        <v>0</v>
      </c>
      <c r="AO74" s="68"/>
      <c r="AP74" s="68">
        <f>TABL12345[[#This Row],[(A/S TOT) AJD]]-TABL12345[[#This Row],[SER_ IN]]</f>
        <v>0</v>
      </c>
    </row>
    <row r="75" spans="1:42" ht="18.75" x14ac:dyDescent="0.25">
      <c r="A75" s="2">
        <v>47557</v>
      </c>
      <c r="B75" s="41"/>
      <c r="C75" s="41"/>
      <c r="D75" s="41"/>
      <c r="E75" s="28"/>
      <c r="F75" s="41"/>
      <c r="G75" s="39"/>
      <c r="H75" s="28"/>
      <c r="I75" s="39"/>
      <c r="J75" s="39"/>
      <c r="K75" s="28">
        <f>TABL12345[[#This Row],[خط (T/B  TOT) SAR]]+TABL12345[[#This Row],[خط (S/S  TOT) SAR2]]</f>
        <v>0</v>
      </c>
      <c r="L75" s="41"/>
      <c r="M75" s="42"/>
      <c r="N75" s="42"/>
      <c r="O75" s="39"/>
      <c r="P75" s="3">
        <f>TABL12345[[#This Row],[خط (S/S  TOT) SAR2]]-TABL12345[[#This Row],[(S/S TOT) AJD]]</f>
        <v>0</v>
      </c>
      <c r="Q75" s="39"/>
      <c r="R75" s="3">
        <f>TABL12345[[#This Row],[خط (T/B  TOT) SAR]]-TABL12345[[#This Row],[(T/B TOT) AJD]]</f>
        <v>0</v>
      </c>
      <c r="S75" s="3">
        <f>TABL12345[[#This Row],[الفرق بين بداية ونهاية خط  S/S]]+TABL12345[[#This Row],[الفرق بين بداية ونهاية خط  T/B]]</f>
        <v>0</v>
      </c>
      <c r="T75" s="3">
        <f t="shared" si="4"/>
        <v>0</v>
      </c>
      <c r="U75" s="41"/>
      <c r="V75" s="41"/>
      <c r="W75" s="3">
        <f t="shared" si="5"/>
        <v>0</v>
      </c>
      <c r="X75" s="3">
        <f t="shared" si="6"/>
        <v>0</v>
      </c>
      <c r="Y75" s="41"/>
      <c r="Z75" s="43"/>
      <c r="AA75" s="3">
        <f>TABL12345[[#This Row],[(RESV. STORGE) AJD]]/10</f>
        <v>0</v>
      </c>
      <c r="AB75" s="43">
        <f t="shared" si="7"/>
        <v>0</v>
      </c>
      <c r="AC75" s="5"/>
      <c r="AD75" s="39">
        <f>(TABL12345[[#This Row],[( S/S+T/B) AJD]]*1000)-((TABL12345[[#This Row],[(STORGE DIFF.) AJD]]*1000)+TABL12345[[#This Row],[البخر  AJD]]+(TABL12345[[#This Row],[(A/B + A/S) AJD]]*1000))</f>
        <v>0</v>
      </c>
      <c r="AE75" s="41"/>
      <c r="AF75" s="43"/>
      <c r="AG75" s="43"/>
      <c r="AH75" s="6">
        <f>TABL12345[[#This Row],[ (RESV. STORGE) BER]]/10</f>
        <v>0</v>
      </c>
      <c r="AI75" s="41"/>
      <c r="AJ75" s="41">
        <f>TABL12345[[#This Row],[(A/B TOT) AJD]]-TABL12345[[#This Row],[BER_ IN]]</f>
        <v>0</v>
      </c>
      <c r="AK75" s="43"/>
      <c r="AL75" s="43"/>
      <c r="AM75" s="32"/>
      <c r="AN75" s="32">
        <f>TABL12345[[#This Row],[ (RESV. STORGE) SER]]/10</f>
        <v>0</v>
      </c>
      <c r="AO75" s="68"/>
      <c r="AP75" s="68">
        <f>TABL12345[[#This Row],[(A/S TOT) AJD]]-TABL12345[[#This Row],[SER_ IN]]</f>
        <v>0</v>
      </c>
    </row>
    <row r="76" spans="1:42" ht="18.75" x14ac:dyDescent="0.25">
      <c r="A76" s="2">
        <v>47558</v>
      </c>
      <c r="B76" s="44"/>
      <c r="C76" s="44"/>
      <c r="D76" s="44"/>
      <c r="E76" s="28"/>
      <c r="F76" s="44"/>
      <c r="G76" s="40"/>
      <c r="H76" s="28"/>
      <c r="I76" s="40"/>
      <c r="J76" s="44"/>
      <c r="K76" s="28">
        <f>TABL12345[[#This Row],[خط (T/B  TOT) SAR]]+TABL12345[[#This Row],[خط (S/S  TOT) SAR2]]</f>
        <v>0</v>
      </c>
      <c r="L76" s="45"/>
      <c r="M76" s="46"/>
      <c r="N76" s="46"/>
      <c r="O76" s="40"/>
      <c r="P76" s="3">
        <f>TABL12345[[#This Row],[خط (S/S  TOT) SAR2]]-TABL12345[[#This Row],[(S/S TOT) AJD]]</f>
        <v>0</v>
      </c>
      <c r="Q76" s="40"/>
      <c r="R76" s="3">
        <f>TABL12345[[#This Row],[خط (T/B  TOT) SAR]]-TABL12345[[#This Row],[(T/B TOT) AJD]]</f>
        <v>0</v>
      </c>
      <c r="S76" s="3">
        <f>TABL12345[[#This Row],[الفرق بين بداية ونهاية خط  S/S]]+TABL12345[[#This Row],[الفرق بين بداية ونهاية خط  T/B]]</f>
        <v>0</v>
      </c>
      <c r="T76" s="3">
        <f t="shared" si="4"/>
        <v>0</v>
      </c>
      <c r="U76" s="44"/>
      <c r="V76" s="44"/>
      <c r="W76" s="3">
        <f t="shared" si="5"/>
        <v>0</v>
      </c>
      <c r="X76" s="3">
        <f t="shared" si="6"/>
        <v>0</v>
      </c>
      <c r="Y76" s="44"/>
      <c r="Z76" s="45"/>
      <c r="AA76" s="3">
        <f>TABL12345[[#This Row],[(RESV. STORGE) AJD]]/10</f>
        <v>0</v>
      </c>
      <c r="AB76" s="45">
        <f t="shared" si="7"/>
        <v>0</v>
      </c>
      <c r="AC76" s="5"/>
      <c r="AD76" s="40">
        <f>(TABL12345[[#This Row],[( S/S+T/B) AJD]]*1000)-((TABL12345[[#This Row],[(STORGE DIFF.) AJD]]*1000)+TABL12345[[#This Row],[البخر  AJD]]+(TABL12345[[#This Row],[(A/B + A/S) AJD]]*1000))</f>
        <v>0</v>
      </c>
      <c r="AE76" s="44"/>
      <c r="AF76" s="45"/>
      <c r="AG76" s="45"/>
      <c r="AH76" s="6">
        <f>TABL12345[[#This Row],[ (RESV. STORGE) BER]]/10</f>
        <v>0</v>
      </c>
      <c r="AI76" s="44"/>
      <c r="AJ76" s="44">
        <f>TABL12345[[#This Row],[(A/B TOT) AJD]]-TABL12345[[#This Row],[BER_ IN]]</f>
        <v>0</v>
      </c>
      <c r="AK76" s="45"/>
      <c r="AL76" s="45"/>
      <c r="AM76" s="32"/>
      <c r="AN76" s="32">
        <f>TABL12345[[#This Row],[ (RESV. STORGE) SER]]/10</f>
        <v>0</v>
      </c>
      <c r="AO76" s="68"/>
      <c r="AP76" s="68">
        <f>TABL12345[[#This Row],[(A/S TOT) AJD]]-TABL12345[[#This Row],[SER_ IN]]</f>
        <v>0</v>
      </c>
    </row>
    <row r="77" spans="1:42" ht="18.75" x14ac:dyDescent="0.25">
      <c r="A77" s="2">
        <v>47559</v>
      </c>
      <c r="B77" s="41"/>
      <c r="C77" s="41"/>
      <c r="D77" s="41"/>
      <c r="E77" s="28"/>
      <c r="F77" s="41"/>
      <c r="G77" s="39"/>
      <c r="H77" s="28"/>
      <c r="I77" s="39"/>
      <c r="J77" s="39"/>
      <c r="K77" s="28">
        <f>TABL12345[[#This Row],[خط (T/B  TOT) SAR]]+TABL12345[[#This Row],[خط (S/S  TOT) SAR2]]</f>
        <v>0</v>
      </c>
      <c r="L77" s="41"/>
      <c r="M77" s="42"/>
      <c r="N77" s="42"/>
      <c r="O77" s="39"/>
      <c r="P77" s="3">
        <f>TABL12345[[#This Row],[خط (S/S  TOT) SAR2]]-TABL12345[[#This Row],[(S/S TOT) AJD]]</f>
        <v>0</v>
      </c>
      <c r="Q77" s="39"/>
      <c r="R77" s="3">
        <f>TABL12345[[#This Row],[خط (T/B  TOT) SAR]]-TABL12345[[#This Row],[(T/B TOT) AJD]]</f>
        <v>0</v>
      </c>
      <c r="S77" s="3">
        <f>TABL12345[[#This Row],[الفرق بين بداية ونهاية خط  S/S]]+TABL12345[[#This Row],[الفرق بين بداية ونهاية خط  T/B]]</f>
        <v>0</v>
      </c>
      <c r="T77" s="3">
        <f t="shared" si="4"/>
        <v>0</v>
      </c>
      <c r="U77" s="41"/>
      <c r="V77" s="41"/>
      <c r="W77" s="3">
        <f t="shared" si="5"/>
        <v>0</v>
      </c>
      <c r="X77" s="3">
        <f t="shared" si="6"/>
        <v>0</v>
      </c>
      <c r="Y77" s="41"/>
      <c r="Z77" s="43"/>
      <c r="AA77" s="3">
        <f>TABL12345[[#This Row],[(RESV. STORGE) AJD]]/10</f>
        <v>0</v>
      </c>
      <c r="AB77" s="43">
        <f t="shared" si="7"/>
        <v>0</v>
      </c>
      <c r="AC77" s="5"/>
      <c r="AD77" s="39">
        <f>(TABL12345[[#This Row],[( S/S+T/B) AJD]]*1000)-((TABL12345[[#This Row],[(STORGE DIFF.) AJD]]*1000)+TABL12345[[#This Row],[البخر  AJD]]+(TABL12345[[#This Row],[(A/B + A/S) AJD]]*1000))</f>
        <v>0</v>
      </c>
      <c r="AE77" s="41"/>
      <c r="AF77" s="43"/>
      <c r="AG77" s="43"/>
      <c r="AH77" s="6">
        <f>TABL12345[[#This Row],[ (RESV. STORGE) BER]]/10</f>
        <v>0</v>
      </c>
      <c r="AI77" s="41"/>
      <c r="AJ77" s="41">
        <f>TABL12345[[#This Row],[(A/B TOT) AJD]]-TABL12345[[#This Row],[BER_ IN]]</f>
        <v>0</v>
      </c>
      <c r="AK77" s="43"/>
      <c r="AL77" s="43"/>
      <c r="AM77" s="32"/>
      <c r="AN77" s="32">
        <f>TABL12345[[#This Row],[ (RESV. STORGE) SER]]/10</f>
        <v>0</v>
      </c>
      <c r="AO77" s="68"/>
      <c r="AP77" s="68">
        <f>TABL12345[[#This Row],[(A/S TOT) AJD]]-TABL12345[[#This Row],[SER_ IN]]</f>
        <v>0</v>
      </c>
    </row>
    <row r="78" spans="1:42" ht="18.75" x14ac:dyDescent="0.25">
      <c r="A78" s="2">
        <v>47560</v>
      </c>
      <c r="B78" s="44"/>
      <c r="C78" s="44"/>
      <c r="D78" s="44"/>
      <c r="E78" s="28"/>
      <c r="F78" s="44"/>
      <c r="G78" s="40"/>
      <c r="H78" s="28"/>
      <c r="I78" s="40"/>
      <c r="J78" s="44"/>
      <c r="K78" s="28">
        <f>TABL12345[[#This Row],[خط (T/B  TOT) SAR]]+TABL12345[[#This Row],[خط (S/S  TOT) SAR2]]</f>
        <v>0</v>
      </c>
      <c r="L78" s="45"/>
      <c r="M78" s="46"/>
      <c r="N78" s="46"/>
      <c r="O78" s="40"/>
      <c r="P78" s="3">
        <f>TABL12345[[#This Row],[خط (S/S  TOT) SAR2]]-TABL12345[[#This Row],[(S/S TOT) AJD]]</f>
        <v>0</v>
      </c>
      <c r="Q78" s="40"/>
      <c r="R78" s="3">
        <f>TABL12345[[#This Row],[خط (T/B  TOT) SAR]]-TABL12345[[#This Row],[(T/B TOT) AJD]]</f>
        <v>0</v>
      </c>
      <c r="S78" s="3">
        <f>TABL12345[[#This Row],[الفرق بين بداية ونهاية خط  S/S]]+TABL12345[[#This Row],[الفرق بين بداية ونهاية خط  T/B]]</f>
        <v>0</v>
      </c>
      <c r="T78" s="3">
        <f t="shared" si="4"/>
        <v>0</v>
      </c>
      <c r="U78" s="44"/>
      <c r="V78" s="44"/>
      <c r="W78" s="3">
        <f t="shared" si="5"/>
        <v>0</v>
      </c>
      <c r="X78" s="3">
        <f t="shared" si="6"/>
        <v>0</v>
      </c>
      <c r="Y78" s="44"/>
      <c r="Z78" s="45"/>
      <c r="AA78" s="3">
        <f>TABL12345[[#This Row],[(RESV. STORGE) AJD]]/10</f>
        <v>0</v>
      </c>
      <c r="AB78" s="45">
        <f t="shared" si="7"/>
        <v>0</v>
      </c>
      <c r="AC78" s="5"/>
      <c r="AD78" s="40">
        <f>(TABL12345[[#This Row],[( S/S+T/B) AJD]]*1000)-((TABL12345[[#This Row],[(STORGE DIFF.) AJD]]*1000)+TABL12345[[#This Row],[البخر  AJD]]+(TABL12345[[#This Row],[(A/B + A/S) AJD]]*1000))</f>
        <v>0</v>
      </c>
      <c r="AE78" s="44"/>
      <c r="AF78" s="45"/>
      <c r="AG78" s="45"/>
      <c r="AH78" s="6">
        <f>TABL12345[[#This Row],[ (RESV. STORGE) BER]]/10</f>
        <v>0</v>
      </c>
      <c r="AI78" s="44"/>
      <c r="AJ78" s="44">
        <f>TABL12345[[#This Row],[(A/B TOT) AJD]]-TABL12345[[#This Row],[BER_ IN]]</f>
        <v>0</v>
      </c>
      <c r="AK78" s="45"/>
      <c r="AL78" s="45"/>
      <c r="AM78" s="32"/>
      <c r="AN78" s="32">
        <f>TABL12345[[#This Row],[ (RESV. STORGE) SER]]/10</f>
        <v>0</v>
      </c>
      <c r="AO78" s="68"/>
      <c r="AP78" s="68">
        <f>TABL12345[[#This Row],[(A/S TOT) AJD]]-TABL12345[[#This Row],[SER_ IN]]</f>
        <v>0</v>
      </c>
    </row>
    <row r="79" spans="1:42" ht="18.75" x14ac:dyDescent="0.25">
      <c r="A79" s="2">
        <v>47561</v>
      </c>
      <c r="B79" s="41"/>
      <c r="C79" s="41"/>
      <c r="D79" s="41"/>
      <c r="E79" s="28"/>
      <c r="F79" s="41"/>
      <c r="G79" s="39"/>
      <c r="H79" s="28"/>
      <c r="I79" s="39"/>
      <c r="J79" s="39"/>
      <c r="K79" s="28">
        <f>TABL12345[[#This Row],[خط (T/B  TOT) SAR]]+TABL12345[[#This Row],[خط (S/S  TOT) SAR2]]</f>
        <v>0</v>
      </c>
      <c r="L79" s="41"/>
      <c r="M79" s="42"/>
      <c r="N79" s="42"/>
      <c r="O79" s="39"/>
      <c r="P79" s="3">
        <f>TABL12345[[#This Row],[خط (S/S  TOT) SAR2]]-TABL12345[[#This Row],[(S/S TOT) AJD]]</f>
        <v>0</v>
      </c>
      <c r="Q79" s="39"/>
      <c r="R79" s="3">
        <f>TABL12345[[#This Row],[خط (T/B  TOT) SAR]]-TABL12345[[#This Row],[(T/B TOT) AJD]]</f>
        <v>0</v>
      </c>
      <c r="S79" s="3">
        <f>TABL12345[[#This Row],[الفرق بين بداية ونهاية خط  S/S]]+TABL12345[[#This Row],[الفرق بين بداية ونهاية خط  T/B]]</f>
        <v>0</v>
      </c>
      <c r="T79" s="3">
        <f t="shared" si="4"/>
        <v>0</v>
      </c>
      <c r="U79" s="41"/>
      <c r="V79" s="41"/>
      <c r="W79" s="3">
        <f t="shared" si="5"/>
        <v>0</v>
      </c>
      <c r="X79" s="3">
        <f t="shared" si="6"/>
        <v>0</v>
      </c>
      <c r="Y79" s="41"/>
      <c r="Z79" s="43"/>
      <c r="AA79" s="3">
        <f>TABL12345[[#This Row],[(RESV. STORGE) AJD]]/10</f>
        <v>0</v>
      </c>
      <c r="AB79" s="43">
        <f t="shared" si="7"/>
        <v>0</v>
      </c>
      <c r="AC79" s="5"/>
      <c r="AD79" s="39">
        <f>(TABL12345[[#This Row],[( S/S+T/B) AJD]]*1000)-((TABL12345[[#This Row],[(STORGE DIFF.) AJD]]*1000)+TABL12345[[#This Row],[البخر  AJD]]+(TABL12345[[#This Row],[(A/B + A/S) AJD]]*1000))</f>
        <v>0</v>
      </c>
      <c r="AE79" s="41"/>
      <c r="AF79" s="43"/>
      <c r="AG79" s="43"/>
      <c r="AH79" s="6">
        <f>TABL12345[[#This Row],[ (RESV. STORGE) BER]]/10</f>
        <v>0</v>
      </c>
      <c r="AI79" s="41"/>
      <c r="AJ79" s="41">
        <f>TABL12345[[#This Row],[(A/B TOT) AJD]]-TABL12345[[#This Row],[BER_ IN]]</f>
        <v>0</v>
      </c>
      <c r="AK79" s="43"/>
      <c r="AL79" s="43"/>
      <c r="AM79" s="32"/>
      <c r="AN79" s="32">
        <f>TABL12345[[#This Row],[ (RESV. STORGE) SER]]/10</f>
        <v>0</v>
      </c>
      <c r="AO79" s="68"/>
      <c r="AP79" s="68">
        <f>TABL12345[[#This Row],[(A/S TOT) AJD]]-TABL12345[[#This Row],[SER_ IN]]</f>
        <v>0</v>
      </c>
    </row>
    <row r="80" spans="1:42" ht="18.75" x14ac:dyDescent="0.25">
      <c r="A80" s="2">
        <v>47562</v>
      </c>
      <c r="B80" s="44"/>
      <c r="C80" s="44"/>
      <c r="D80" s="44"/>
      <c r="E80" s="28"/>
      <c r="F80" s="44"/>
      <c r="G80" s="40"/>
      <c r="H80" s="28"/>
      <c r="I80" s="40"/>
      <c r="J80" s="44"/>
      <c r="K80" s="28">
        <f>TABL12345[[#This Row],[خط (T/B  TOT) SAR]]+TABL12345[[#This Row],[خط (S/S  TOT) SAR2]]</f>
        <v>0</v>
      </c>
      <c r="L80" s="45"/>
      <c r="M80" s="46"/>
      <c r="N80" s="46"/>
      <c r="O80" s="40"/>
      <c r="P80" s="3">
        <f>TABL12345[[#This Row],[خط (S/S  TOT) SAR2]]-TABL12345[[#This Row],[(S/S TOT) AJD]]</f>
        <v>0</v>
      </c>
      <c r="Q80" s="40"/>
      <c r="R80" s="3">
        <f>TABL12345[[#This Row],[خط (T/B  TOT) SAR]]-TABL12345[[#This Row],[(T/B TOT) AJD]]</f>
        <v>0</v>
      </c>
      <c r="S80" s="3">
        <f>TABL12345[[#This Row],[الفرق بين بداية ونهاية خط  S/S]]+TABL12345[[#This Row],[الفرق بين بداية ونهاية خط  T/B]]</f>
        <v>0</v>
      </c>
      <c r="T80" s="3">
        <f t="shared" si="4"/>
        <v>0</v>
      </c>
      <c r="U80" s="44"/>
      <c r="V80" s="44"/>
      <c r="W80" s="3">
        <f t="shared" si="5"/>
        <v>0</v>
      </c>
      <c r="X80" s="3">
        <f t="shared" si="6"/>
        <v>0</v>
      </c>
      <c r="Y80" s="44"/>
      <c r="Z80" s="45"/>
      <c r="AA80" s="3">
        <f>TABL12345[[#This Row],[(RESV. STORGE) AJD]]/10</f>
        <v>0</v>
      </c>
      <c r="AB80" s="45">
        <f t="shared" si="7"/>
        <v>0</v>
      </c>
      <c r="AC80" s="5"/>
      <c r="AD80" s="40">
        <f>(TABL12345[[#This Row],[( S/S+T/B) AJD]]*1000)-((TABL12345[[#This Row],[(STORGE DIFF.) AJD]]*1000)+TABL12345[[#This Row],[البخر  AJD]]+(TABL12345[[#This Row],[(A/B + A/S) AJD]]*1000))</f>
        <v>0</v>
      </c>
      <c r="AE80" s="44"/>
      <c r="AF80" s="45"/>
      <c r="AG80" s="45"/>
      <c r="AH80" s="6">
        <f>TABL12345[[#This Row],[ (RESV. STORGE) BER]]/10</f>
        <v>0</v>
      </c>
      <c r="AI80" s="44"/>
      <c r="AJ80" s="44">
        <f>TABL12345[[#This Row],[(A/B TOT) AJD]]-TABL12345[[#This Row],[BER_ IN]]</f>
        <v>0</v>
      </c>
      <c r="AK80" s="45"/>
      <c r="AL80" s="45"/>
      <c r="AM80" s="32"/>
      <c r="AN80" s="32">
        <f>TABL12345[[#This Row],[ (RESV. STORGE) SER]]/10</f>
        <v>0</v>
      </c>
      <c r="AO80" s="68"/>
      <c r="AP80" s="68">
        <f>TABL12345[[#This Row],[(A/S TOT) AJD]]-TABL12345[[#This Row],[SER_ IN]]</f>
        <v>0</v>
      </c>
    </row>
    <row r="81" spans="1:42" ht="18.75" x14ac:dyDescent="0.25">
      <c r="A81" s="2">
        <v>47563</v>
      </c>
      <c r="B81" s="41"/>
      <c r="C81" s="41"/>
      <c r="D81" s="41"/>
      <c r="E81" s="28"/>
      <c r="F81" s="41"/>
      <c r="G81" s="39"/>
      <c r="H81" s="28"/>
      <c r="I81" s="39"/>
      <c r="J81" s="39"/>
      <c r="K81" s="28">
        <f>TABL12345[[#This Row],[خط (T/B  TOT) SAR]]+TABL12345[[#This Row],[خط (S/S  TOT) SAR2]]</f>
        <v>0</v>
      </c>
      <c r="L81" s="41"/>
      <c r="M81" s="42"/>
      <c r="N81" s="42"/>
      <c r="O81" s="39"/>
      <c r="P81" s="3">
        <f>TABL12345[[#This Row],[خط (S/S  TOT) SAR2]]-TABL12345[[#This Row],[(S/S TOT) AJD]]</f>
        <v>0</v>
      </c>
      <c r="Q81" s="39"/>
      <c r="R81" s="3">
        <f>TABL12345[[#This Row],[خط (T/B  TOT) SAR]]-TABL12345[[#This Row],[(T/B TOT) AJD]]</f>
        <v>0</v>
      </c>
      <c r="S81" s="3">
        <f>TABL12345[[#This Row],[الفرق بين بداية ونهاية خط  S/S]]+TABL12345[[#This Row],[الفرق بين بداية ونهاية خط  T/B]]</f>
        <v>0</v>
      </c>
      <c r="T81" s="3">
        <f t="shared" si="4"/>
        <v>0</v>
      </c>
      <c r="U81" s="41"/>
      <c r="V81" s="41"/>
      <c r="W81" s="3">
        <f t="shared" si="5"/>
        <v>0</v>
      </c>
      <c r="X81" s="3">
        <f t="shared" si="6"/>
        <v>0</v>
      </c>
      <c r="Y81" s="41"/>
      <c r="Z81" s="43"/>
      <c r="AA81" s="3">
        <f>TABL12345[[#This Row],[(RESV. STORGE) AJD]]/10</f>
        <v>0</v>
      </c>
      <c r="AB81" s="43">
        <f t="shared" si="7"/>
        <v>0</v>
      </c>
      <c r="AC81" s="5"/>
      <c r="AD81" s="39">
        <f>(TABL12345[[#This Row],[( S/S+T/B) AJD]]*1000)-((TABL12345[[#This Row],[(STORGE DIFF.) AJD]]*1000)+TABL12345[[#This Row],[البخر  AJD]]+(TABL12345[[#This Row],[(A/B + A/S) AJD]]*1000))</f>
        <v>0</v>
      </c>
      <c r="AE81" s="41"/>
      <c r="AF81" s="43"/>
      <c r="AG81" s="43"/>
      <c r="AH81" s="6">
        <f>TABL12345[[#This Row],[ (RESV. STORGE) BER]]/10</f>
        <v>0</v>
      </c>
      <c r="AI81" s="41"/>
      <c r="AJ81" s="41">
        <f>TABL12345[[#This Row],[(A/B TOT) AJD]]-TABL12345[[#This Row],[BER_ IN]]</f>
        <v>0</v>
      </c>
      <c r="AK81" s="43"/>
      <c r="AL81" s="43"/>
      <c r="AM81" s="32"/>
      <c r="AN81" s="32">
        <f>TABL12345[[#This Row],[ (RESV. STORGE) SER]]/10</f>
        <v>0</v>
      </c>
      <c r="AO81" s="68"/>
      <c r="AP81" s="68">
        <f>TABL12345[[#This Row],[(A/S TOT) AJD]]-TABL12345[[#This Row],[SER_ IN]]</f>
        <v>0</v>
      </c>
    </row>
    <row r="82" spans="1:42" ht="18.75" x14ac:dyDescent="0.25">
      <c r="A82" s="2">
        <v>47564</v>
      </c>
      <c r="B82" s="44"/>
      <c r="C82" s="44"/>
      <c r="D82" s="44"/>
      <c r="E82" s="28"/>
      <c r="F82" s="44"/>
      <c r="G82" s="40"/>
      <c r="H82" s="28"/>
      <c r="I82" s="40"/>
      <c r="J82" s="44"/>
      <c r="K82" s="28">
        <f>TABL12345[[#This Row],[خط (T/B  TOT) SAR]]+TABL12345[[#This Row],[خط (S/S  TOT) SAR2]]</f>
        <v>0</v>
      </c>
      <c r="L82" s="45"/>
      <c r="M82" s="46"/>
      <c r="N82" s="46"/>
      <c r="O82" s="40"/>
      <c r="P82" s="3">
        <f>TABL12345[[#This Row],[خط (S/S  TOT) SAR2]]-TABL12345[[#This Row],[(S/S TOT) AJD]]</f>
        <v>0</v>
      </c>
      <c r="Q82" s="40"/>
      <c r="R82" s="3">
        <f>TABL12345[[#This Row],[خط (T/B  TOT) SAR]]-TABL12345[[#This Row],[(T/B TOT) AJD]]</f>
        <v>0</v>
      </c>
      <c r="S82" s="3">
        <f>TABL12345[[#This Row],[الفرق بين بداية ونهاية خط  S/S]]+TABL12345[[#This Row],[الفرق بين بداية ونهاية خط  T/B]]</f>
        <v>0</v>
      </c>
      <c r="T82" s="3">
        <f t="shared" si="4"/>
        <v>0</v>
      </c>
      <c r="U82" s="44"/>
      <c r="V82" s="44"/>
      <c r="W82" s="3">
        <f t="shared" si="5"/>
        <v>0</v>
      </c>
      <c r="X82" s="3">
        <f t="shared" si="6"/>
        <v>0</v>
      </c>
      <c r="Y82" s="44"/>
      <c r="Z82" s="45"/>
      <c r="AA82" s="3">
        <f>TABL12345[[#This Row],[(RESV. STORGE) AJD]]/10</f>
        <v>0</v>
      </c>
      <c r="AB82" s="45">
        <f t="shared" si="7"/>
        <v>0</v>
      </c>
      <c r="AC82" s="5"/>
      <c r="AD82" s="40">
        <f>(TABL12345[[#This Row],[( S/S+T/B) AJD]]*1000)-((TABL12345[[#This Row],[(STORGE DIFF.) AJD]]*1000)+TABL12345[[#This Row],[البخر  AJD]]+(TABL12345[[#This Row],[(A/B + A/S) AJD]]*1000))</f>
        <v>0</v>
      </c>
      <c r="AE82" s="44"/>
      <c r="AF82" s="45"/>
      <c r="AG82" s="45"/>
      <c r="AH82" s="6">
        <f>TABL12345[[#This Row],[ (RESV. STORGE) BER]]/10</f>
        <v>0</v>
      </c>
      <c r="AI82" s="44"/>
      <c r="AJ82" s="44">
        <f>TABL12345[[#This Row],[(A/B TOT) AJD]]-TABL12345[[#This Row],[BER_ IN]]</f>
        <v>0</v>
      </c>
      <c r="AK82" s="45"/>
      <c r="AL82" s="45"/>
      <c r="AM82" s="32"/>
      <c r="AN82" s="32">
        <f>TABL12345[[#This Row],[ (RESV. STORGE) SER]]/10</f>
        <v>0</v>
      </c>
      <c r="AO82" s="68"/>
      <c r="AP82" s="68">
        <f>TABL12345[[#This Row],[(A/S TOT) AJD]]-TABL12345[[#This Row],[SER_ IN]]</f>
        <v>0</v>
      </c>
    </row>
    <row r="83" spans="1:42" ht="18.75" x14ac:dyDescent="0.25">
      <c r="A83" s="2">
        <v>47565</v>
      </c>
      <c r="B83" s="41"/>
      <c r="C83" s="41"/>
      <c r="D83" s="41"/>
      <c r="E83" s="28"/>
      <c r="F83" s="41"/>
      <c r="G83" s="39"/>
      <c r="H83" s="28"/>
      <c r="I83" s="39"/>
      <c r="J83" s="39"/>
      <c r="K83" s="28">
        <f>TABL12345[[#This Row],[خط (T/B  TOT) SAR]]+TABL12345[[#This Row],[خط (S/S  TOT) SAR2]]</f>
        <v>0</v>
      </c>
      <c r="L83" s="41"/>
      <c r="M83" s="42"/>
      <c r="N83" s="42"/>
      <c r="O83" s="39"/>
      <c r="P83" s="3">
        <f>TABL12345[[#This Row],[خط (S/S  TOT) SAR2]]-TABL12345[[#This Row],[(S/S TOT) AJD]]</f>
        <v>0</v>
      </c>
      <c r="Q83" s="39"/>
      <c r="R83" s="3">
        <f>TABL12345[[#This Row],[خط (T/B  TOT) SAR]]-TABL12345[[#This Row],[(T/B TOT) AJD]]</f>
        <v>0</v>
      </c>
      <c r="S83" s="3">
        <f>TABL12345[[#This Row],[الفرق بين بداية ونهاية خط  S/S]]+TABL12345[[#This Row],[الفرق بين بداية ونهاية خط  T/B]]</f>
        <v>0</v>
      </c>
      <c r="T83" s="3">
        <f t="shared" si="4"/>
        <v>0</v>
      </c>
      <c r="U83" s="41"/>
      <c r="V83" s="41"/>
      <c r="W83" s="3">
        <f t="shared" si="5"/>
        <v>0</v>
      </c>
      <c r="X83" s="3">
        <f t="shared" si="6"/>
        <v>0</v>
      </c>
      <c r="Y83" s="41"/>
      <c r="Z83" s="43"/>
      <c r="AA83" s="3">
        <f>TABL12345[[#This Row],[(RESV. STORGE) AJD]]/10</f>
        <v>0</v>
      </c>
      <c r="AB83" s="43">
        <f t="shared" si="7"/>
        <v>0</v>
      </c>
      <c r="AC83" s="5"/>
      <c r="AD83" s="39">
        <f>(TABL12345[[#This Row],[( S/S+T/B) AJD]]*1000)-((TABL12345[[#This Row],[(STORGE DIFF.) AJD]]*1000)+TABL12345[[#This Row],[البخر  AJD]]+(TABL12345[[#This Row],[(A/B + A/S) AJD]]*1000))</f>
        <v>0</v>
      </c>
      <c r="AE83" s="41"/>
      <c r="AF83" s="43"/>
      <c r="AG83" s="43"/>
      <c r="AH83" s="6">
        <f>TABL12345[[#This Row],[ (RESV. STORGE) BER]]/10</f>
        <v>0</v>
      </c>
      <c r="AI83" s="41"/>
      <c r="AJ83" s="41">
        <f>TABL12345[[#This Row],[(A/B TOT) AJD]]-TABL12345[[#This Row],[BER_ IN]]</f>
        <v>0</v>
      </c>
      <c r="AK83" s="43"/>
      <c r="AL83" s="43"/>
      <c r="AM83" s="32"/>
      <c r="AN83" s="32">
        <f>TABL12345[[#This Row],[ (RESV. STORGE) SER]]/10</f>
        <v>0</v>
      </c>
      <c r="AO83" s="68"/>
      <c r="AP83" s="68">
        <f>TABL12345[[#This Row],[(A/S TOT) AJD]]-TABL12345[[#This Row],[SER_ IN]]</f>
        <v>0</v>
      </c>
    </row>
    <row r="84" spans="1:42" ht="18.75" x14ac:dyDescent="0.25">
      <c r="A84" s="2">
        <v>47566</v>
      </c>
      <c r="B84" s="44"/>
      <c r="C84" s="44"/>
      <c r="D84" s="44"/>
      <c r="E84" s="28"/>
      <c r="F84" s="44"/>
      <c r="G84" s="40"/>
      <c r="H84" s="28"/>
      <c r="I84" s="40"/>
      <c r="J84" s="44"/>
      <c r="K84" s="28">
        <f>TABL12345[[#This Row],[خط (T/B  TOT) SAR]]+TABL12345[[#This Row],[خط (S/S  TOT) SAR2]]</f>
        <v>0</v>
      </c>
      <c r="L84" s="45"/>
      <c r="M84" s="46"/>
      <c r="N84" s="46"/>
      <c r="O84" s="40"/>
      <c r="P84" s="3">
        <f>TABL12345[[#This Row],[خط (S/S  TOT) SAR2]]-TABL12345[[#This Row],[(S/S TOT) AJD]]</f>
        <v>0</v>
      </c>
      <c r="Q84" s="40"/>
      <c r="R84" s="3">
        <f>TABL12345[[#This Row],[خط (T/B  TOT) SAR]]-TABL12345[[#This Row],[(T/B TOT) AJD]]</f>
        <v>0</v>
      </c>
      <c r="S84" s="3">
        <f>TABL12345[[#This Row],[الفرق بين بداية ونهاية خط  S/S]]+TABL12345[[#This Row],[الفرق بين بداية ونهاية خط  T/B]]</f>
        <v>0</v>
      </c>
      <c r="T84" s="3">
        <f t="shared" si="4"/>
        <v>0</v>
      </c>
      <c r="U84" s="44"/>
      <c r="V84" s="44"/>
      <c r="W84" s="3">
        <f t="shared" si="5"/>
        <v>0</v>
      </c>
      <c r="X84" s="3">
        <f t="shared" si="6"/>
        <v>0</v>
      </c>
      <c r="Y84" s="44"/>
      <c r="Z84" s="45"/>
      <c r="AA84" s="3">
        <f>TABL12345[[#This Row],[(RESV. STORGE) AJD]]/10</f>
        <v>0</v>
      </c>
      <c r="AB84" s="45">
        <f t="shared" si="7"/>
        <v>0</v>
      </c>
      <c r="AC84" s="5"/>
      <c r="AD84" s="40">
        <f>(TABL12345[[#This Row],[( S/S+T/B) AJD]]*1000)-((TABL12345[[#This Row],[(STORGE DIFF.) AJD]]*1000)+TABL12345[[#This Row],[البخر  AJD]]+(TABL12345[[#This Row],[(A/B + A/S) AJD]]*1000))</f>
        <v>0</v>
      </c>
      <c r="AE84" s="44"/>
      <c r="AF84" s="45"/>
      <c r="AG84" s="45"/>
      <c r="AH84" s="6">
        <f>TABL12345[[#This Row],[ (RESV. STORGE) BER]]/10</f>
        <v>0</v>
      </c>
      <c r="AI84" s="44"/>
      <c r="AJ84" s="44">
        <f>TABL12345[[#This Row],[(A/B TOT) AJD]]-TABL12345[[#This Row],[BER_ IN]]</f>
        <v>0</v>
      </c>
      <c r="AK84" s="45"/>
      <c r="AL84" s="45"/>
      <c r="AM84" s="32"/>
      <c r="AN84" s="32">
        <f>TABL12345[[#This Row],[ (RESV. STORGE) SER]]/10</f>
        <v>0</v>
      </c>
      <c r="AO84" s="68"/>
      <c r="AP84" s="68">
        <f>TABL12345[[#This Row],[(A/S TOT) AJD]]-TABL12345[[#This Row],[SER_ IN]]</f>
        <v>0</v>
      </c>
    </row>
    <row r="85" spans="1:42" ht="18.75" x14ac:dyDescent="0.25">
      <c r="A85" s="2">
        <v>47567</v>
      </c>
      <c r="B85" s="41"/>
      <c r="C85" s="41"/>
      <c r="D85" s="41"/>
      <c r="E85" s="28"/>
      <c r="F85" s="41"/>
      <c r="G85" s="39"/>
      <c r="H85" s="28"/>
      <c r="I85" s="39"/>
      <c r="J85" s="39"/>
      <c r="K85" s="28">
        <f>TABL12345[[#This Row],[خط (T/B  TOT) SAR]]+TABL12345[[#This Row],[خط (S/S  TOT) SAR2]]</f>
        <v>0</v>
      </c>
      <c r="L85" s="41"/>
      <c r="M85" s="42"/>
      <c r="N85" s="42"/>
      <c r="O85" s="39"/>
      <c r="P85" s="3">
        <f>TABL12345[[#This Row],[خط (S/S  TOT) SAR2]]-TABL12345[[#This Row],[(S/S TOT) AJD]]</f>
        <v>0</v>
      </c>
      <c r="Q85" s="39"/>
      <c r="R85" s="3">
        <f>TABL12345[[#This Row],[خط (T/B  TOT) SAR]]-TABL12345[[#This Row],[(T/B TOT) AJD]]</f>
        <v>0</v>
      </c>
      <c r="S85" s="3">
        <f>TABL12345[[#This Row],[الفرق بين بداية ونهاية خط  S/S]]+TABL12345[[#This Row],[الفرق بين بداية ونهاية خط  T/B]]</f>
        <v>0</v>
      </c>
      <c r="T85" s="3">
        <f t="shared" si="4"/>
        <v>0</v>
      </c>
      <c r="U85" s="41"/>
      <c r="V85" s="41"/>
      <c r="W85" s="3">
        <f t="shared" si="5"/>
        <v>0</v>
      </c>
      <c r="X85" s="3">
        <f t="shared" si="6"/>
        <v>0</v>
      </c>
      <c r="Y85" s="41"/>
      <c r="Z85" s="43"/>
      <c r="AA85" s="3">
        <f>TABL12345[[#This Row],[(RESV. STORGE) AJD]]/10</f>
        <v>0</v>
      </c>
      <c r="AB85" s="43">
        <f t="shared" si="7"/>
        <v>0</v>
      </c>
      <c r="AC85" s="5"/>
      <c r="AD85" s="39">
        <f>(TABL12345[[#This Row],[( S/S+T/B) AJD]]*1000)-((TABL12345[[#This Row],[(STORGE DIFF.) AJD]]*1000)+TABL12345[[#This Row],[البخر  AJD]]+(TABL12345[[#This Row],[(A/B + A/S) AJD]]*1000))</f>
        <v>0</v>
      </c>
      <c r="AE85" s="41"/>
      <c r="AF85" s="43"/>
      <c r="AG85" s="43"/>
      <c r="AH85" s="6">
        <f>TABL12345[[#This Row],[ (RESV. STORGE) BER]]/10</f>
        <v>0</v>
      </c>
      <c r="AI85" s="41"/>
      <c r="AJ85" s="41">
        <f>TABL12345[[#This Row],[(A/B TOT) AJD]]-TABL12345[[#This Row],[BER_ IN]]</f>
        <v>0</v>
      </c>
      <c r="AK85" s="43"/>
      <c r="AL85" s="43"/>
      <c r="AM85" s="32"/>
      <c r="AN85" s="32">
        <f>TABL12345[[#This Row],[ (RESV. STORGE) SER]]/10</f>
        <v>0</v>
      </c>
      <c r="AO85" s="68"/>
      <c r="AP85" s="68">
        <f>TABL12345[[#This Row],[(A/S TOT) AJD]]-TABL12345[[#This Row],[SER_ IN]]</f>
        <v>0</v>
      </c>
    </row>
    <row r="86" spans="1:42" ht="18.75" x14ac:dyDescent="0.25">
      <c r="A86" s="2">
        <v>47568</v>
      </c>
      <c r="B86" s="44"/>
      <c r="C86" s="44"/>
      <c r="D86" s="44"/>
      <c r="E86" s="28"/>
      <c r="F86" s="44"/>
      <c r="G86" s="40"/>
      <c r="H86" s="28"/>
      <c r="I86" s="40"/>
      <c r="J86" s="44"/>
      <c r="K86" s="28">
        <f>TABL12345[[#This Row],[خط (T/B  TOT) SAR]]+TABL12345[[#This Row],[خط (S/S  TOT) SAR2]]</f>
        <v>0</v>
      </c>
      <c r="L86" s="45"/>
      <c r="M86" s="46"/>
      <c r="N86" s="46"/>
      <c r="O86" s="40"/>
      <c r="P86" s="3">
        <f>TABL12345[[#This Row],[خط (S/S  TOT) SAR2]]-TABL12345[[#This Row],[(S/S TOT) AJD]]</f>
        <v>0</v>
      </c>
      <c r="Q86" s="40"/>
      <c r="R86" s="3">
        <f>TABL12345[[#This Row],[خط (T/B  TOT) SAR]]-TABL12345[[#This Row],[(T/B TOT) AJD]]</f>
        <v>0</v>
      </c>
      <c r="S86" s="3">
        <f>TABL12345[[#This Row],[الفرق بين بداية ونهاية خط  S/S]]+TABL12345[[#This Row],[الفرق بين بداية ونهاية خط  T/B]]</f>
        <v>0</v>
      </c>
      <c r="T86" s="3">
        <f t="shared" si="4"/>
        <v>0</v>
      </c>
      <c r="U86" s="44"/>
      <c r="V86" s="44"/>
      <c r="W86" s="3">
        <f t="shared" si="5"/>
        <v>0</v>
      </c>
      <c r="X86" s="3">
        <f t="shared" si="6"/>
        <v>0</v>
      </c>
      <c r="Y86" s="44"/>
      <c r="Z86" s="45"/>
      <c r="AA86" s="3">
        <f>TABL12345[[#This Row],[(RESV. STORGE) AJD]]/10</f>
        <v>0</v>
      </c>
      <c r="AB86" s="45">
        <f t="shared" si="7"/>
        <v>0</v>
      </c>
      <c r="AC86" s="5"/>
      <c r="AD86" s="40">
        <f>(TABL12345[[#This Row],[( S/S+T/B) AJD]]*1000)-((TABL12345[[#This Row],[(STORGE DIFF.) AJD]]*1000)+TABL12345[[#This Row],[البخر  AJD]]+(TABL12345[[#This Row],[(A/B + A/S) AJD]]*1000))</f>
        <v>0</v>
      </c>
      <c r="AE86" s="44"/>
      <c r="AF86" s="45"/>
      <c r="AG86" s="45"/>
      <c r="AH86" s="6">
        <f>TABL12345[[#This Row],[ (RESV. STORGE) BER]]/10</f>
        <v>0</v>
      </c>
      <c r="AI86" s="44"/>
      <c r="AJ86" s="44">
        <f>TABL12345[[#This Row],[(A/B TOT) AJD]]-TABL12345[[#This Row],[BER_ IN]]</f>
        <v>0</v>
      </c>
      <c r="AK86" s="45"/>
      <c r="AL86" s="45"/>
      <c r="AM86" s="32"/>
      <c r="AN86" s="32">
        <f>TABL12345[[#This Row],[ (RESV. STORGE) SER]]/10</f>
        <v>0</v>
      </c>
      <c r="AO86" s="68"/>
      <c r="AP86" s="68">
        <f>TABL12345[[#This Row],[(A/S TOT) AJD]]-TABL12345[[#This Row],[SER_ IN]]</f>
        <v>0</v>
      </c>
    </row>
    <row r="87" spans="1:42" ht="18.75" x14ac:dyDescent="0.25">
      <c r="A87" s="2">
        <v>47569</v>
      </c>
      <c r="B87" s="41"/>
      <c r="C87" s="41"/>
      <c r="D87" s="41"/>
      <c r="E87" s="28"/>
      <c r="F87" s="41"/>
      <c r="G87" s="39"/>
      <c r="H87" s="28"/>
      <c r="I87" s="39"/>
      <c r="J87" s="39"/>
      <c r="K87" s="28">
        <f>TABL12345[[#This Row],[خط (T/B  TOT) SAR]]+TABL12345[[#This Row],[خط (S/S  TOT) SAR2]]</f>
        <v>0</v>
      </c>
      <c r="L87" s="41"/>
      <c r="M87" s="42"/>
      <c r="N87" s="42"/>
      <c r="O87" s="39"/>
      <c r="P87" s="3">
        <f>TABL12345[[#This Row],[خط (S/S  TOT) SAR2]]-TABL12345[[#This Row],[(S/S TOT) AJD]]</f>
        <v>0</v>
      </c>
      <c r="Q87" s="39"/>
      <c r="R87" s="3">
        <f>TABL12345[[#This Row],[خط (T/B  TOT) SAR]]-TABL12345[[#This Row],[(T/B TOT) AJD]]</f>
        <v>0</v>
      </c>
      <c r="S87" s="3">
        <f>TABL12345[[#This Row],[الفرق بين بداية ونهاية خط  S/S]]+TABL12345[[#This Row],[الفرق بين بداية ونهاية خط  T/B]]</f>
        <v>0</v>
      </c>
      <c r="T87" s="3">
        <f t="shared" si="4"/>
        <v>0</v>
      </c>
      <c r="U87" s="41"/>
      <c r="V87" s="41"/>
      <c r="W87" s="3">
        <f t="shared" si="5"/>
        <v>0</v>
      </c>
      <c r="X87" s="3">
        <f t="shared" si="6"/>
        <v>0</v>
      </c>
      <c r="Y87" s="41"/>
      <c r="Z87" s="43"/>
      <c r="AA87" s="3">
        <f>TABL12345[[#This Row],[(RESV. STORGE) AJD]]/10</f>
        <v>0</v>
      </c>
      <c r="AB87" s="43">
        <f t="shared" si="7"/>
        <v>0</v>
      </c>
      <c r="AC87" s="5"/>
      <c r="AD87" s="39">
        <f>(TABL12345[[#This Row],[( S/S+T/B) AJD]]*1000)-((TABL12345[[#This Row],[(STORGE DIFF.) AJD]]*1000)+TABL12345[[#This Row],[البخر  AJD]]+(TABL12345[[#This Row],[(A/B + A/S) AJD]]*1000))</f>
        <v>0</v>
      </c>
      <c r="AE87" s="41"/>
      <c r="AF87" s="43"/>
      <c r="AG87" s="43"/>
      <c r="AH87" s="6">
        <f>TABL12345[[#This Row],[ (RESV. STORGE) BER]]/10</f>
        <v>0</v>
      </c>
      <c r="AI87" s="41"/>
      <c r="AJ87" s="41">
        <f>TABL12345[[#This Row],[(A/B TOT) AJD]]-TABL12345[[#This Row],[BER_ IN]]</f>
        <v>0</v>
      </c>
      <c r="AK87" s="43"/>
      <c r="AL87" s="43"/>
      <c r="AM87" s="32"/>
      <c r="AN87" s="32">
        <f>TABL12345[[#This Row],[ (RESV. STORGE) SER]]/10</f>
        <v>0</v>
      </c>
      <c r="AO87" s="68"/>
      <c r="AP87" s="68">
        <f>TABL12345[[#This Row],[(A/S TOT) AJD]]-TABL12345[[#This Row],[SER_ IN]]</f>
        <v>0</v>
      </c>
    </row>
    <row r="88" spans="1:42" ht="18.75" x14ac:dyDescent="0.25">
      <c r="A88" s="2">
        <v>47570</v>
      </c>
      <c r="B88" s="44"/>
      <c r="C88" s="44"/>
      <c r="D88" s="44"/>
      <c r="E88" s="28"/>
      <c r="F88" s="44"/>
      <c r="G88" s="40"/>
      <c r="H88" s="28"/>
      <c r="I88" s="40"/>
      <c r="J88" s="44"/>
      <c r="K88" s="28">
        <f>TABL12345[[#This Row],[خط (T/B  TOT) SAR]]+TABL12345[[#This Row],[خط (S/S  TOT) SAR2]]</f>
        <v>0</v>
      </c>
      <c r="L88" s="45"/>
      <c r="M88" s="46"/>
      <c r="N88" s="46"/>
      <c r="O88" s="40"/>
      <c r="P88" s="3">
        <f>TABL12345[[#This Row],[خط (S/S  TOT) SAR2]]-TABL12345[[#This Row],[(S/S TOT) AJD]]</f>
        <v>0</v>
      </c>
      <c r="Q88" s="40"/>
      <c r="R88" s="3">
        <f>TABL12345[[#This Row],[خط (T/B  TOT) SAR]]-TABL12345[[#This Row],[(T/B TOT) AJD]]</f>
        <v>0</v>
      </c>
      <c r="S88" s="3">
        <f>TABL12345[[#This Row],[الفرق بين بداية ونهاية خط  S/S]]+TABL12345[[#This Row],[الفرق بين بداية ونهاية خط  T/B]]</f>
        <v>0</v>
      </c>
      <c r="T88" s="3">
        <f t="shared" si="4"/>
        <v>0</v>
      </c>
      <c r="U88" s="44"/>
      <c r="V88" s="44"/>
      <c r="W88" s="3">
        <f t="shared" si="5"/>
        <v>0</v>
      </c>
      <c r="X88" s="3">
        <f t="shared" si="6"/>
        <v>0</v>
      </c>
      <c r="Y88" s="44"/>
      <c r="Z88" s="45"/>
      <c r="AA88" s="3">
        <f>TABL12345[[#This Row],[(RESV. STORGE) AJD]]/10</f>
        <v>0</v>
      </c>
      <c r="AB88" s="45">
        <f t="shared" si="7"/>
        <v>0</v>
      </c>
      <c r="AC88" s="5"/>
      <c r="AD88" s="40">
        <f>(TABL12345[[#This Row],[( S/S+T/B) AJD]]*1000)-((TABL12345[[#This Row],[(STORGE DIFF.) AJD]]*1000)+TABL12345[[#This Row],[البخر  AJD]]+(TABL12345[[#This Row],[(A/B + A/S) AJD]]*1000))</f>
        <v>0</v>
      </c>
      <c r="AE88" s="44"/>
      <c r="AF88" s="45"/>
      <c r="AG88" s="45"/>
      <c r="AH88" s="6">
        <f>TABL12345[[#This Row],[ (RESV. STORGE) BER]]/10</f>
        <v>0</v>
      </c>
      <c r="AI88" s="44"/>
      <c r="AJ88" s="44">
        <f>TABL12345[[#This Row],[(A/B TOT) AJD]]-TABL12345[[#This Row],[BER_ IN]]</f>
        <v>0</v>
      </c>
      <c r="AK88" s="45"/>
      <c r="AL88" s="45"/>
      <c r="AM88" s="32"/>
      <c r="AN88" s="32">
        <f>TABL12345[[#This Row],[ (RESV. STORGE) SER]]/10</f>
        <v>0</v>
      </c>
      <c r="AO88" s="68"/>
      <c r="AP88" s="68">
        <f>TABL12345[[#This Row],[(A/S TOT) AJD]]-TABL12345[[#This Row],[SER_ IN]]</f>
        <v>0</v>
      </c>
    </row>
    <row r="89" spans="1:42" ht="18.75" x14ac:dyDescent="0.25">
      <c r="A89" s="2">
        <v>47571</v>
      </c>
      <c r="B89" s="41"/>
      <c r="C89" s="41"/>
      <c r="D89" s="41"/>
      <c r="E89" s="28"/>
      <c r="F89" s="41"/>
      <c r="G89" s="39"/>
      <c r="H89" s="28"/>
      <c r="I89" s="39"/>
      <c r="J89" s="39"/>
      <c r="K89" s="28">
        <f>TABL12345[[#This Row],[خط (T/B  TOT) SAR]]+TABL12345[[#This Row],[خط (S/S  TOT) SAR2]]</f>
        <v>0</v>
      </c>
      <c r="L89" s="41"/>
      <c r="M89" s="42"/>
      <c r="N89" s="42"/>
      <c r="O89" s="39"/>
      <c r="P89" s="3">
        <f>TABL12345[[#This Row],[خط (S/S  TOT) SAR2]]-TABL12345[[#This Row],[(S/S TOT) AJD]]</f>
        <v>0</v>
      </c>
      <c r="Q89" s="39"/>
      <c r="R89" s="3">
        <f>TABL12345[[#This Row],[خط (T/B  TOT) SAR]]-TABL12345[[#This Row],[(T/B TOT) AJD]]</f>
        <v>0</v>
      </c>
      <c r="S89" s="3">
        <f>TABL12345[[#This Row],[الفرق بين بداية ونهاية خط  S/S]]+TABL12345[[#This Row],[الفرق بين بداية ونهاية خط  T/B]]</f>
        <v>0</v>
      </c>
      <c r="T89" s="3">
        <f t="shared" si="4"/>
        <v>0</v>
      </c>
      <c r="U89" s="41"/>
      <c r="V89" s="41"/>
      <c r="W89" s="3">
        <f t="shared" si="5"/>
        <v>0</v>
      </c>
      <c r="X89" s="3">
        <f t="shared" si="6"/>
        <v>0</v>
      </c>
      <c r="Y89" s="41"/>
      <c r="Z89" s="43"/>
      <c r="AA89" s="3">
        <f>TABL12345[[#This Row],[(RESV. STORGE) AJD]]/10</f>
        <v>0</v>
      </c>
      <c r="AB89" s="43">
        <f t="shared" si="7"/>
        <v>0</v>
      </c>
      <c r="AC89" s="5"/>
      <c r="AD89" s="39">
        <f>(TABL12345[[#This Row],[( S/S+T/B) AJD]]*1000)-((TABL12345[[#This Row],[(STORGE DIFF.) AJD]]*1000)+TABL12345[[#This Row],[البخر  AJD]]+(TABL12345[[#This Row],[(A/B + A/S) AJD]]*1000))</f>
        <v>0</v>
      </c>
      <c r="AE89" s="41"/>
      <c r="AF89" s="43"/>
      <c r="AG89" s="43"/>
      <c r="AH89" s="6">
        <f>TABL12345[[#This Row],[ (RESV. STORGE) BER]]/10</f>
        <v>0</v>
      </c>
      <c r="AI89" s="41"/>
      <c r="AJ89" s="41">
        <f>TABL12345[[#This Row],[(A/B TOT) AJD]]-TABL12345[[#This Row],[BER_ IN]]</f>
        <v>0</v>
      </c>
      <c r="AK89" s="43"/>
      <c r="AL89" s="43"/>
      <c r="AM89" s="32"/>
      <c r="AN89" s="32">
        <f>TABL12345[[#This Row],[ (RESV. STORGE) SER]]/10</f>
        <v>0</v>
      </c>
      <c r="AO89" s="68"/>
      <c r="AP89" s="68">
        <f>TABL12345[[#This Row],[(A/S TOT) AJD]]-TABL12345[[#This Row],[SER_ IN]]</f>
        <v>0</v>
      </c>
    </row>
    <row r="90" spans="1:42" ht="18.75" x14ac:dyDescent="0.25">
      <c r="A90" s="2">
        <v>47572</v>
      </c>
      <c r="B90" s="44"/>
      <c r="C90" s="44"/>
      <c r="D90" s="44"/>
      <c r="E90" s="28"/>
      <c r="F90" s="44"/>
      <c r="G90" s="40"/>
      <c r="H90" s="28"/>
      <c r="I90" s="40"/>
      <c r="J90" s="44"/>
      <c r="K90" s="28">
        <f>TABL12345[[#This Row],[خط (T/B  TOT) SAR]]+TABL12345[[#This Row],[خط (S/S  TOT) SAR2]]</f>
        <v>0</v>
      </c>
      <c r="L90" s="45"/>
      <c r="M90" s="46"/>
      <c r="N90" s="46"/>
      <c r="O90" s="40"/>
      <c r="P90" s="3">
        <f>TABL12345[[#This Row],[خط (S/S  TOT) SAR2]]-TABL12345[[#This Row],[(S/S TOT) AJD]]</f>
        <v>0</v>
      </c>
      <c r="Q90" s="40"/>
      <c r="R90" s="3">
        <f>TABL12345[[#This Row],[خط (T/B  TOT) SAR]]-TABL12345[[#This Row],[(T/B TOT) AJD]]</f>
        <v>0</v>
      </c>
      <c r="S90" s="3">
        <f>TABL12345[[#This Row],[الفرق بين بداية ونهاية خط  S/S]]+TABL12345[[#This Row],[الفرق بين بداية ونهاية خط  T/B]]</f>
        <v>0</v>
      </c>
      <c r="T90" s="3">
        <f t="shared" si="4"/>
        <v>0</v>
      </c>
      <c r="U90" s="44"/>
      <c r="V90" s="44"/>
      <c r="W90" s="3">
        <f t="shared" si="5"/>
        <v>0</v>
      </c>
      <c r="X90" s="3">
        <f t="shared" si="6"/>
        <v>0</v>
      </c>
      <c r="Y90" s="44"/>
      <c r="Z90" s="45"/>
      <c r="AA90" s="3">
        <f>TABL12345[[#This Row],[(RESV. STORGE) AJD]]/10</f>
        <v>0</v>
      </c>
      <c r="AB90" s="45">
        <f t="shared" si="7"/>
        <v>0</v>
      </c>
      <c r="AC90" s="5"/>
      <c r="AD90" s="70">
        <f>(TABL12345[[#This Row],[( S/S+T/B) AJD]]*1000)-((TABL12345[[#This Row],[(STORGE DIFF.) AJD]]*1000)+TABL12345[[#This Row],[البخر  AJD]]+(TABL12345[[#This Row],[(A/B + A/S) AJD]]*1000))</f>
        <v>0</v>
      </c>
      <c r="AE90" s="44"/>
      <c r="AF90" s="45"/>
      <c r="AG90" s="45"/>
      <c r="AH90" s="6">
        <f>TABL12345[[#This Row],[ (RESV. STORGE) BER]]/10</f>
        <v>0</v>
      </c>
      <c r="AI90" s="44"/>
      <c r="AJ90" s="67">
        <f>TABL12345[[#This Row],[(A/B TOT) AJD]]-TABL12345[[#This Row],[BER_ IN]]</f>
        <v>0</v>
      </c>
      <c r="AK90" s="45"/>
      <c r="AL90" s="45"/>
      <c r="AM90" s="32"/>
      <c r="AN90" s="32">
        <f>TABL12345[[#This Row],[ (RESV. STORGE) SER]]/10</f>
        <v>0</v>
      </c>
      <c r="AO90" s="68"/>
      <c r="AP90" s="68">
        <f>TABL12345[[#This Row],[(A/S TOT) AJD]]-TABL12345[[#This Row],[SER_ IN]]</f>
        <v>0</v>
      </c>
    </row>
    <row r="91" spans="1:42" ht="18.75" x14ac:dyDescent="0.25">
      <c r="A91" s="2">
        <v>47573</v>
      </c>
      <c r="B91" s="41"/>
      <c r="C91" s="41"/>
      <c r="D91" s="41"/>
      <c r="E91" s="28"/>
      <c r="F91" s="41"/>
      <c r="G91" s="39"/>
      <c r="H91" s="28"/>
      <c r="I91" s="39"/>
      <c r="J91" s="39"/>
      <c r="K91" s="28">
        <f>TABL12345[[#This Row],[خط (T/B  TOT) SAR]]+TABL12345[[#This Row],[خط (S/S  TOT) SAR2]]</f>
        <v>0</v>
      </c>
      <c r="L91" s="41"/>
      <c r="M91" s="42"/>
      <c r="N91" s="42"/>
      <c r="O91" s="39"/>
      <c r="P91" s="3">
        <f>TABL12345[[#This Row],[خط (S/S  TOT) SAR2]]-TABL12345[[#This Row],[(S/S TOT) AJD]]</f>
        <v>0</v>
      </c>
      <c r="Q91" s="39"/>
      <c r="R91" s="3">
        <f>TABL12345[[#This Row],[خط (T/B  TOT) SAR]]-TABL12345[[#This Row],[(T/B TOT) AJD]]</f>
        <v>0</v>
      </c>
      <c r="S91" s="3">
        <f>TABL12345[[#This Row],[الفرق بين بداية ونهاية خط  S/S]]+TABL12345[[#This Row],[الفرق بين بداية ونهاية خط  T/B]]</f>
        <v>0</v>
      </c>
      <c r="T91" s="3">
        <f t="shared" si="4"/>
        <v>0</v>
      </c>
      <c r="U91" s="41"/>
      <c r="V91" s="41"/>
      <c r="W91" s="3">
        <f t="shared" si="5"/>
        <v>0</v>
      </c>
      <c r="X91" s="3">
        <f t="shared" si="6"/>
        <v>0</v>
      </c>
      <c r="Y91" s="41"/>
      <c r="Z91" s="43"/>
      <c r="AA91" s="3">
        <f>TABL12345[[#This Row],[(RESV. STORGE) AJD]]/10</f>
        <v>0</v>
      </c>
      <c r="AB91" s="43">
        <f t="shared" si="7"/>
        <v>0</v>
      </c>
      <c r="AC91" s="5"/>
      <c r="AD91" s="39">
        <f>(TABL12345[[#This Row],[( S/S+T/B) AJD]]*1000)-((TABL12345[[#This Row],[(STORGE DIFF.) AJD]]*1000)+TABL12345[[#This Row],[البخر  AJD]]+(TABL12345[[#This Row],[(A/B + A/S) AJD]]*1000))</f>
        <v>0</v>
      </c>
      <c r="AE91" s="41"/>
      <c r="AF91" s="43"/>
      <c r="AG91" s="43"/>
      <c r="AH91" s="6">
        <f>TABL12345[[#This Row],[ (RESV. STORGE) BER]]/10</f>
        <v>0</v>
      </c>
      <c r="AI91" s="41"/>
      <c r="AJ91" s="41">
        <f>TABL12345[[#This Row],[(A/B TOT) AJD]]-TABL12345[[#This Row],[BER_ IN]]</f>
        <v>0</v>
      </c>
      <c r="AK91" s="43"/>
      <c r="AL91" s="43"/>
      <c r="AM91" s="32"/>
      <c r="AN91" s="32">
        <f>TABL12345[[#This Row],[ (RESV. STORGE) SER]]/10</f>
        <v>0</v>
      </c>
      <c r="AO91" s="68"/>
      <c r="AP91" s="68">
        <f>TABL12345[[#This Row],[(A/S TOT) AJD]]-TABL12345[[#This Row],[SER_ IN]]</f>
        <v>0</v>
      </c>
    </row>
    <row r="92" spans="1:42" ht="18.75" x14ac:dyDescent="0.25">
      <c r="A92" s="2">
        <v>47574</v>
      </c>
      <c r="B92" s="41"/>
      <c r="C92" s="41"/>
      <c r="D92" s="41"/>
      <c r="E92" s="41"/>
      <c r="F92" s="41"/>
      <c r="G92" s="39"/>
      <c r="H92" s="28"/>
      <c r="I92" s="39"/>
      <c r="J92" s="39"/>
      <c r="K92" s="28">
        <f>TABL12345[[#This Row],[خط (T/B  TOT) SAR]]+TABL12345[[#This Row],[خط (S/S  TOT) SAR2]]</f>
        <v>0</v>
      </c>
      <c r="L92" s="41"/>
      <c r="M92" s="42"/>
      <c r="N92" s="42"/>
      <c r="O92" s="39"/>
      <c r="P92" s="3">
        <f>TABL12345[[#This Row],[خط (S/S  TOT) SAR2]]-TABL12345[[#This Row],[(S/S TOT) AJD]]</f>
        <v>0</v>
      </c>
      <c r="Q92" s="39"/>
      <c r="R92" s="3">
        <f>TABL12345[[#This Row],[خط (T/B  TOT) SAR]]-TABL12345[[#This Row],[(T/B TOT) AJD]]</f>
        <v>0</v>
      </c>
      <c r="S92" s="3">
        <f>TABL12345[[#This Row],[الفرق بين بداية ونهاية خط  S/S]]+TABL12345[[#This Row],[الفرق بين بداية ونهاية خط  T/B]]</f>
        <v>0</v>
      </c>
      <c r="T92" s="3">
        <f t="shared" si="4"/>
        <v>0</v>
      </c>
      <c r="U92" s="41"/>
      <c r="V92" s="41"/>
      <c r="W92" s="3">
        <f t="shared" si="5"/>
        <v>0</v>
      </c>
      <c r="X92" s="3">
        <f t="shared" si="6"/>
        <v>0</v>
      </c>
      <c r="Y92" s="41"/>
      <c r="Z92" s="43"/>
      <c r="AA92" s="3">
        <f>TABL12345[[#This Row],[(RESV. STORGE) AJD]]/10</f>
        <v>0</v>
      </c>
      <c r="AB92" s="43">
        <f t="shared" si="7"/>
        <v>0</v>
      </c>
      <c r="AC92" s="5"/>
      <c r="AD92" s="39">
        <f>(TABL12345[[#This Row],[( S/S+T/B) AJD]]*1000)-((TABL12345[[#This Row],[(STORGE DIFF.) AJD]]*1000)+TABL12345[[#This Row],[البخر  AJD]]+(TABL12345[[#This Row],[(A/B + A/S) AJD]]*1000))</f>
        <v>0</v>
      </c>
      <c r="AE92" s="41"/>
      <c r="AF92" s="43"/>
      <c r="AG92" s="43"/>
      <c r="AH92" s="6">
        <f>TABL12345[[#This Row],[ (RESV. STORGE) BER]]/10</f>
        <v>0</v>
      </c>
      <c r="AI92" s="41"/>
      <c r="AJ92" s="41">
        <f>TABL12345[[#This Row],[(A/B TOT) AJD]]-TABL12345[[#This Row],[BER_ IN]]</f>
        <v>0</v>
      </c>
      <c r="AK92" s="43"/>
      <c r="AL92" s="43"/>
      <c r="AM92" s="32"/>
      <c r="AN92" s="32">
        <f>TABL12345[[#This Row],[ (RESV. STORGE) SER]]/10</f>
        <v>0</v>
      </c>
      <c r="AO92" s="68"/>
      <c r="AP92" s="68">
        <f>TABL12345[[#This Row],[(A/S TOT) AJD]]-TABL12345[[#This Row],[SER_ IN]]</f>
        <v>0</v>
      </c>
    </row>
    <row r="93" spans="1:42" ht="18.75" x14ac:dyDescent="0.25">
      <c r="A93" s="2">
        <v>47575</v>
      </c>
      <c r="B93" s="44"/>
      <c r="C93" s="44"/>
      <c r="D93" s="44"/>
      <c r="E93" s="44"/>
      <c r="F93" s="44"/>
      <c r="G93" s="40"/>
      <c r="H93" s="28"/>
      <c r="I93" s="40"/>
      <c r="J93" s="44"/>
      <c r="K93" s="28">
        <f>TABL12345[[#This Row],[خط (T/B  TOT) SAR]]+TABL12345[[#This Row],[خط (S/S  TOT) SAR2]]</f>
        <v>0</v>
      </c>
      <c r="L93" s="45"/>
      <c r="M93" s="46"/>
      <c r="N93" s="46"/>
      <c r="O93" s="40"/>
      <c r="P93" s="3">
        <f>TABL12345[[#This Row],[خط (S/S  TOT) SAR2]]-TABL12345[[#This Row],[(S/S TOT) AJD]]</f>
        <v>0</v>
      </c>
      <c r="Q93" s="40"/>
      <c r="R93" s="3">
        <f>TABL12345[[#This Row],[خط (T/B  TOT) SAR]]-TABL12345[[#This Row],[(T/B TOT) AJD]]</f>
        <v>0</v>
      </c>
      <c r="S93" s="3">
        <f>TABL12345[[#This Row],[الفرق بين بداية ونهاية خط  S/S]]+TABL12345[[#This Row],[الفرق بين بداية ونهاية خط  T/B]]</f>
        <v>0</v>
      </c>
      <c r="T93" s="3">
        <f t="shared" si="4"/>
        <v>0</v>
      </c>
      <c r="U93" s="44"/>
      <c r="V93" s="44"/>
      <c r="W93" s="3">
        <f t="shared" si="5"/>
        <v>0</v>
      </c>
      <c r="X93" s="3">
        <f t="shared" si="6"/>
        <v>0</v>
      </c>
      <c r="Y93" s="44"/>
      <c r="Z93" s="45"/>
      <c r="AA93" s="3">
        <f>TABL12345[[#This Row],[(RESV. STORGE) AJD]]/10</f>
        <v>0</v>
      </c>
      <c r="AB93" s="45">
        <f t="shared" si="7"/>
        <v>0</v>
      </c>
      <c r="AC93" s="5"/>
      <c r="AD93" s="40">
        <f>(TABL12345[[#This Row],[( S/S+T/B) AJD]]*1000)-((TABL12345[[#This Row],[(STORGE DIFF.) AJD]]*1000)+TABL12345[[#This Row],[البخر  AJD]]+(TABL12345[[#This Row],[(A/B + A/S) AJD]]*1000))</f>
        <v>0</v>
      </c>
      <c r="AE93" s="44"/>
      <c r="AF93" s="45"/>
      <c r="AG93" s="45"/>
      <c r="AH93" s="6">
        <f>TABL12345[[#This Row],[ (RESV. STORGE) BER]]/10</f>
        <v>0</v>
      </c>
      <c r="AI93" s="44"/>
      <c r="AJ93" s="44">
        <f>TABL12345[[#This Row],[(A/B TOT) AJD]]-TABL12345[[#This Row],[BER_ IN]]</f>
        <v>0</v>
      </c>
      <c r="AK93" s="45"/>
      <c r="AL93" s="45"/>
      <c r="AM93" s="32"/>
      <c r="AN93" s="32">
        <f>TABL12345[[#This Row],[ (RESV. STORGE) SER]]/10</f>
        <v>0</v>
      </c>
      <c r="AO93" s="68"/>
      <c r="AP93" s="68">
        <f>TABL12345[[#This Row],[(A/S TOT) AJD]]-TABL12345[[#This Row],[SER_ IN]]</f>
        <v>0</v>
      </c>
    </row>
    <row r="94" spans="1:42" ht="18.75" x14ac:dyDescent="0.25">
      <c r="A94" s="2">
        <v>47576</v>
      </c>
      <c r="B94" s="41"/>
      <c r="C94" s="41"/>
      <c r="D94" s="41"/>
      <c r="E94" s="41"/>
      <c r="F94" s="41"/>
      <c r="G94" s="39"/>
      <c r="H94" s="28"/>
      <c r="I94" s="39"/>
      <c r="J94" s="39"/>
      <c r="K94" s="28">
        <f>TABL12345[[#This Row],[خط (T/B  TOT) SAR]]+TABL12345[[#This Row],[خط (S/S  TOT) SAR2]]</f>
        <v>0</v>
      </c>
      <c r="L94" s="41"/>
      <c r="M94" s="42"/>
      <c r="N94" s="42"/>
      <c r="O94" s="39"/>
      <c r="P94" s="3">
        <f>TABL12345[[#This Row],[خط (S/S  TOT) SAR2]]-TABL12345[[#This Row],[(S/S TOT) AJD]]</f>
        <v>0</v>
      </c>
      <c r="Q94" s="39"/>
      <c r="R94" s="3">
        <f>TABL12345[[#This Row],[خط (T/B  TOT) SAR]]-TABL12345[[#This Row],[(T/B TOT) AJD]]</f>
        <v>0</v>
      </c>
      <c r="S94" s="3">
        <f>TABL12345[[#This Row],[الفرق بين بداية ونهاية خط  S/S]]+TABL12345[[#This Row],[الفرق بين بداية ونهاية خط  T/B]]</f>
        <v>0</v>
      </c>
      <c r="T94" s="3">
        <f t="shared" si="4"/>
        <v>0</v>
      </c>
      <c r="U94" s="41"/>
      <c r="V94" s="41"/>
      <c r="W94" s="3">
        <f t="shared" si="5"/>
        <v>0</v>
      </c>
      <c r="X94" s="3">
        <f t="shared" si="6"/>
        <v>0</v>
      </c>
      <c r="Y94" s="41"/>
      <c r="Z94" s="43"/>
      <c r="AA94" s="3">
        <f>TABL12345[[#This Row],[(RESV. STORGE) AJD]]/10</f>
        <v>0</v>
      </c>
      <c r="AB94" s="43">
        <f t="shared" si="7"/>
        <v>0</v>
      </c>
      <c r="AC94" s="5"/>
      <c r="AD94" s="39">
        <f>(TABL12345[[#This Row],[( S/S+T/B) AJD]]*1000)-((TABL12345[[#This Row],[(STORGE DIFF.) AJD]]*1000)+TABL12345[[#This Row],[البخر  AJD]]+(TABL12345[[#This Row],[(A/B + A/S) AJD]]*1000))</f>
        <v>0</v>
      </c>
      <c r="AE94" s="41"/>
      <c r="AF94" s="43"/>
      <c r="AG94" s="43"/>
      <c r="AH94" s="6">
        <f>TABL12345[[#This Row],[ (RESV. STORGE) BER]]/10</f>
        <v>0</v>
      </c>
      <c r="AI94" s="41"/>
      <c r="AJ94" s="41">
        <f>TABL12345[[#This Row],[(A/B TOT) AJD]]-TABL12345[[#This Row],[BER_ IN]]</f>
        <v>0</v>
      </c>
      <c r="AK94" s="43"/>
      <c r="AL94" s="43"/>
      <c r="AM94" s="32"/>
      <c r="AN94" s="32">
        <f>TABL12345[[#This Row],[ (RESV. STORGE) SER]]/10</f>
        <v>0</v>
      </c>
      <c r="AO94" s="68"/>
      <c r="AP94" s="68">
        <f>TABL12345[[#This Row],[(A/S TOT) AJD]]-TABL12345[[#This Row],[SER_ IN]]</f>
        <v>0</v>
      </c>
    </row>
    <row r="95" spans="1:42" ht="18.75" x14ac:dyDescent="0.25">
      <c r="A95" s="2">
        <v>47577</v>
      </c>
      <c r="B95" s="44"/>
      <c r="C95" s="44"/>
      <c r="D95" s="44"/>
      <c r="E95" s="44"/>
      <c r="F95" s="44"/>
      <c r="G95" s="40"/>
      <c r="H95" s="28"/>
      <c r="I95" s="40"/>
      <c r="J95" s="44"/>
      <c r="K95" s="28">
        <f>TABL12345[[#This Row],[خط (T/B  TOT) SAR]]+TABL12345[[#This Row],[خط (S/S  TOT) SAR2]]</f>
        <v>0</v>
      </c>
      <c r="L95" s="45"/>
      <c r="M95" s="46"/>
      <c r="N95" s="46"/>
      <c r="O95" s="40"/>
      <c r="P95" s="3">
        <f>TABL12345[[#This Row],[خط (S/S  TOT) SAR2]]-TABL12345[[#This Row],[(S/S TOT) AJD]]</f>
        <v>0</v>
      </c>
      <c r="Q95" s="40"/>
      <c r="R95" s="3">
        <f>TABL12345[[#This Row],[خط (T/B  TOT) SAR]]-TABL12345[[#This Row],[(T/B TOT) AJD]]</f>
        <v>0</v>
      </c>
      <c r="S95" s="3">
        <f>TABL12345[[#This Row],[الفرق بين بداية ونهاية خط  S/S]]+TABL12345[[#This Row],[الفرق بين بداية ونهاية خط  T/B]]</f>
        <v>0</v>
      </c>
      <c r="T95" s="3">
        <f t="shared" si="4"/>
        <v>0</v>
      </c>
      <c r="U95" s="44"/>
      <c r="V95" s="44"/>
      <c r="W95" s="3">
        <f t="shared" si="5"/>
        <v>0</v>
      </c>
      <c r="X95" s="3">
        <f t="shared" si="6"/>
        <v>0</v>
      </c>
      <c r="Y95" s="44"/>
      <c r="Z95" s="45"/>
      <c r="AA95" s="3">
        <f>TABL12345[[#This Row],[(RESV. STORGE) AJD]]/10</f>
        <v>0</v>
      </c>
      <c r="AB95" s="45">
        <f t="shared" si="7"/>
        <v>0</v>
      </c>
      <c r="AC95" s="5"/>
      <c r="AD95" s="40">
        <f>(TABL12345[[#This Row],[( S/S+T/B) AJD]]*1000)-((TABL12345[[#This Row],[(STORGE DIFF.) AJD]]*1000)+TABL12345[[#This Row],[البخر  AJD]]+(TABL12345[[#This Row],[(A/B + A/S) AJD]]*1000))</f>
        <v>0</v>
      </c>
      <c r="AE95" s="44"/>
      <c r="AF95" s="45"/>
      <c r="AG95" s="45"/>
      <c r="AH95" s="6">
        <f>TABL12345[[#This Row],[ (RESV. STORGE) BER]]/10</f>
        <v>0</v>
      </c>
      <c r="AI95" s="44"/>
      <c r="AJ95" s="44">
        <f>TABL12345[[#This Row],[(A/B TOT) AJD]]-TABL12345[[#This Row],[BER_ IN]]</f>
        <v>0</v>
      </c>
      <c r="AK95" s="45"/>
      <c r="AL95" s="45"/>
      <c r="AM95" s="32"/>
      <c r="AN95" s="32">
        <f>TABL12345[[#This Row],[ (RESV. STORGE) SER]]/10</f>
        <v>0</v>
      </c>
      <c r="AO95" s="68"/>
      <c r="AP95" s="68">
        <f>TABL12345[[#This Row],[(A/S TOT) AJD]]-TABL12345[[#This Row],[SER_ IN]]</f>
        <v>0</v>
      </c>
    </row>
    <row r="96" spans="1:42" ht="18.75" x14ac:dyDescent="0.25">
      <c r="A96" s="2">
        <v>47578</v>
      </c>
      <c r="B96" s="41"/>
      <c r="C96" s="41"/>
      <c r="D96" s="41"/>
      <c r="E96" s="41"/>
      <c r="F96" s="41"/>
      <c r="G96" s="39"/>
      <c r="H96" s="28"/>
      <c r="I96" s="39"/>
      <c r="J96" s="39"/>
      <c r="K96" s="28">
        <f>TABL12345[[#This Row],[خط (T/B  TOT) SAR]]+TABL12345[[#This Row],[خط (S/S  TOT) SAR2]]</f>
        <v>0</v>
      </c>
      <c r="L96" s="41"/>
      <c r="M96" s="42"/>
      <c r="N96" s="42"/>
      <c r="O96" s="39"/>
      <c r="P96" s="3">
        <f>TABL12345[[#This Row],[خط (S/S  TOT) SAR2]]-TABL12345[[#This Row],[(S/S TOT) AJD]]</f>
        <v>0</v>
      </c>
      <c r="Q96" s="39"/>
      <c r="R96" s="3">
        <f>TABL12345[[#This Row],[خط (T/B  TOT) SAR]]-TABL12345[[#This Row],[(T/B TOT) AJD]]</f>
        <v>0</v>
      </c>
      <c r="S96" s="3">
        <f>TABL12345[[#This Row],[الفرق بين بداية ونهاية خط  S/S]]+TABL12345[[#This Row],[الفرق بين بداية ونهاية خط  T/B]]</f>
        <v>0</v>
      </c>
      <c r="T96" s="3">
        <f t="shared" si="4"/>
        <v>0</v>
      </c>
      <c r="U96" s="41"/>
      <c r="V96" s="41"/>
      <c r="W96" s="3">
        <f t="shared" si="5"/>
        <v>0</v>
      </c>
      <c r="X96" s="3">
        <f t="shared" si="6"/>
        <v>0</v>
      </c>
      <c r="Y96" s="41"/>
      <c r="Z96" s="43"/>
      <c r="AA96" s="3">
        <f>TABL12345[[#This Row],[(RESV. STORGE) AJD]]/10</f>
        <v>0</v>
      </c>
      <c r="AB96" s="43">
        <f t="shared" si="7"/>
        <v>0</v>
      </c>
      <c r="AC96" s="5"/>
      <c r="AD96" s="39">
        <f>(TABL12345[[#This Row],[( S/S+T/B) AJD]]*1000)-((TABL12345[[#This Row],[(STORGE DIFF.) AJD]]*1000)+TABL12345[[#This Row],[البخر  AJD]]+(TABL12345[[#This Row],[(A/B + A/S) AJD]]*1000))</f>
        <v>0</v>
      </c>
      <c r="AE96" s="41"/>
      <c r="AF96" s="43"/>
      <c r="AG96" s="43"/>
      <c r="AH96" s="6">
        <f>TABL12345[[#This Row],[ (RESV. STORGE) BER]]/10</f>
        <v>0</v>
      </c>
      <c r="AI96" s="41"/>
      <c r="AJ96" s="41">
        <f>TABL12345[[#This Row],[(A/B TOT) AJD]]-TABL12345[[#This Row],[BER_ IN]]</f>
        <v>0</v>
      </c>
      <c r="AK96" s="43"/>
      <c r="AL96" s="43"/>
      <c r="AM96" s="32"/>
      <c r="AN96" s="32">
        <f>TABL12345[[#This Row],[ (RESV. STORGE) SER]]/10</f>
        <v>0</v>
      </c>
      <c r="AO96" s="68"/>
      <c r="AP96" s="68">
        <f>TABL12345[[#This Row],[(A/S TOT) AJD]]-TABL12345[[#This Row],[SER_ IN]]</f>
        <v>0</v>
      </c>
    </row>
    <row r="97" spans="1:42" ht="18.75" x14ac:dyDescent="0.25">
      <c r="A97" s="2">
        <v>47579</v>
      </c>
      <c r="B97" s="44"/>
      <c r="C97" s="44"/>
      <c r="D97" s="44"/>
      <c r="E97" s="44"/>
      <c r="F97" s="44"/>
      <c r="G97" s="40"/>
      <c r="H97" s="28"/>
      <c r="I97" s="40"/>
      <c r="J97" s="44"/>
      <c r="K97" s="28">
        <f>TABL12345[[#This Row],[خط (T/B  TOT) SAR]]+TABL12345[[#This Row],[خط (S/S  TOT) SAR2]]</f>
        <v>0</v>
      </c>
      <c r="L97" s="45"/>
      <c r="M97" s="46"/>
      <c r="N97" s="46"/>
      <c r="O97" s="40"/>
      <c r="P97" s="3">
        <f>TABL12345[[#This Row],[خط (S/S  TOT) SAR2]]-TABL12345[[#This Row],[(S/S TOT) AJD]]</f>
        <v>0</v>
      </c>
      <c r="Q97" s="40"/>
      <c r="R97" s="3">
        <f>TABL12345[[#This Row],[خط (T/B  TOT) SAR]]-TABL12345[[#This Row],[(T/B TOT) AJD]]</f>
        <v>0</v>
      </c>
      <c r="S97" s="3">
        <f>TABL12345[[#This Row],[الفرق بين بداية ونهاية خط  S/S]]+TABL12345[[#This Row],[الفرق بين بداية ونهاية خط  T/B]]</f>
        <v>0</v>
      </c>
      <c r="T97" s="3">
        <f t="shared" si="4"/>
        <v>0</v>
      </c>
      <c r="U97" s="44"/>
      <c r="V97" s="44"/>
      <c r="W97" s="3">
        <f t="shared" si="5"/>
        <v>0</v>
      </c>
      <c r="X97" s="3">
        <f t="shared" si="6"/>
        <v>0</v>
      </c>
      <c r="Y97" s="44"/>
      <c r="Z97" s="45"/>
      <c r="AA97" s="3">
        <f>TABL12345[[#This Row],[(RESV. STORGE) AJD]]/10</f>
        <v>0</v>
      </c>
      <c r="AB97" s="45">
        <f t="shared" si="7"/>
        <v>0</v>
      </c>
      <c r="AC97" s="5"/>
      <c r="AD97" s="40">
        <f>(TABL12345[[#This Row],[( S/S+T/B) AJD]]*1000)-((TABL12345[[#This Row],[(STORGE DIFF.) AJD]]*1000)+TABL12345[[#This Row],[البخر  AJD]]+(TABL12345[[#This Row],[(A/B + A/S) AJD]]*1000))</f>
        <v>0</v>
      </c>
      <c r="AE97" s="44"/>
      <c r="AF97" s="45"/>
      <c r="AG97" s="45"/>
      <c r="AH97" s="6">
        <f>TABL12345[[#This Row],[ (RESV. STORGE) BER]]/10</f>
        <v>0</v>
      </c>
      <c r="AI97" s="44"/>
      <c r="AJ97" s="44">
        <f>TABL12345[[#This Row],[(A/B TOT) AJD]]-TABL12345[[#This Row],[BER_ IN]]</f>
        <v>0</v>
      </c>
      <c r="AK97" s="45"/>
      <c r="AL97" s="45"/>
      <c r="AM97" s="32"/>
      <c r="AN97" s="32">
        <f>TABL12345[[#This Row],[ (RESV. STORGE) SER]]/10</f>
        <v>0</v>
      </c>
      <c r="AO97" s="68"/>
      <c r="AP97" s="68">
        <f>TABL12345[[#This Row],[(A/S TOT) AJD]]-TABL12345[[#This Row],[SER_ IN]]</f>
        <v>0</v>
      </c>
    </row>
    <row r="98" spans="1:42" ht="18.75" x14ac:dyDescent="0.25">
      <c r="A98" s="2">
        <v>47580</v>
      </c>
      <c r="B98" s="41"/>
      <c r="C98" s="41"/>
      <c r="D98" s="41"/>
      <c r="E98" s="41"/>
      <c r="F98" s="41"/>
      <c r="G98" s="39"/>
      <c r="H98" s="28"/>
      <c r="I98" s="39"/>
      <c r="J98" s="39"/>
      <c r="K98" s="28">
        <f>TABL12345[[#This Row],[خط (T/B  TOT) SAR]]+TABL12345[[#This Row],[خط (S/S  TOT) SAR2]]</f>
        <v>0</v>
      </c>
      <c r="L98" s="41"/>
      <c r="M98" s="42"/>
      <c r="N98" s="42"/>
      <c r="O98" s="39"/>
      <c r="P98" s="3">
        <f>TABL12345[[#This Row],[خط (S/S  TOT) SAR2]]-TABL12345[[#This Row],[(S/S TOT) AJD]]</f>
        <v>0</v>
      </c>
      <c r="Q98" s="39"/>
      <c r="R98" s="3">
        <f>TABL12345[[#This Row],[خط (T/B  TOT) SAR]]-TABL12345[[#This Row],[(T/B TOT) AJD]]</f>
        <v>0</v>
      </c>
      <c r="S98" s="3">
        <f>TABL12345[[#This Row],[الفرق بين بداية ونهاية خط  S/S]]+TABL12345[[#This Row],[الفرق بين بداية ونهاية خط  T/B]]</f>
        <v>0</v>
      </c>
      <c r="T98" s="3">
        <f t="shared" si="4"/>
        <v>0</v>
      </c>
      <c r="U98" s="41"/>
      <c r="V98" s="41"/>
      <c r="W98" s="3">
        <f t="shared" si="5"/>
        <v>0</v>
      </c>
      <c r="X98" s="3">
        <f t="shared" si="6"/>
        <v>0</v>
      </c>
      <c r="Y98" s="41"/>
      <c r="Z98" s="43"/>
      <c r="AA98" s="3">
        <f>TABL12345[[#This Row],[(RESV. STORGE) AJD]]/10</f>
        <v>0</v>
      </c>
      <c r="AB98" s="43">
        <f t="shared" si="7"/>
        <v>0</v>
      </c>
      <c r="AC98" s="5"/>
      <c r="AD98" s="39">
        <f>(TABL12345[[#This Row],[( S/S+T/B) AJD]]*1000)-((TABL12345[[#This Row],[(STORGE DIFF.) AJD]]*1000)+TABL12345[[#This Row],[البخر  AJD]]+(TABL12345[[#This Row],[(A/B + A/S) AJD]]*1000))</f>
        <v>0</v>
      </c>
      <c r="AE98" s="41"/>
      <c r="AF98" s="43"/>
      <c r="AG98" s="43"/>
      <c r="AH98" s="6">
        <f>TABL12345[[#This Row],[ (RESV. STORGE) BER]]/10</f>
        <v>0</v>
      </c>
      <c r="AI98" s="41"/>
      <c r="AJ98" s="41">
        <f>TABL12345[[#This Row],[(A/B TOT) AJD]]-TABL12345[[#This Row],[BER_ IN]]</f>
        <v>0</v>
      </c>
      <c r="AK98" s="43"/>
      <c r="AL98" s="43"/>
      <c r="AM98" s="32"/>
      <c r="AN98" s="32">
        <f>TABL12345[[#This Row],[ (RESV. STORGE) SER]]/10</f>
        <v>0</v>
      </c>
      <c r="AO98" s="68"/>
      <c r="AP98" s="68">
        <f>TABL12345[[#This Row],[(A/S TOT) AJD]]-TABL12345[[#This Row],[SER_ IN]]</f>
        <v>0</v>
      </c>
    </row>
    <row r="99" spans="1:42" ht="18.75" x14ac:dyDescent="0.25">
      <c r="A99" s="2">
        <v>47581</v>
      </c>
      <c r="B99" s="44"/>
      <c r="C99" s="44"/>
      <c r="D99" s="44"/>
      <c r="E99" s="44"/>
      <c r="F99" s="44"/>
      <c r="G99" s="40"/>
      <c r="H99" s="28"/>
      <c r="I99" s="40"/>
      <c r="J99" s="44"/>
      <c r="K99" s="28">
        <f>TABL12345[[#This Row],[خط (T/B  TOT) SAR]]+TABL12345[[#This Row],[خط (S/S  TOT) SAR2]]</f>
        <v>0</v>
      </c>
      <c r="L99" s="45"/>
      <c r="M99" s="46"/>
      <c r="N99" s="46"/>
      <c r="O99" s="40"/>
      <c r="P99" s="3">
        <f>TABL12345[[#This Row],[خط (S/S  TOT) SAR2]]-TABL12345[[#This Row],[(S/S TOT) AJD]]</f>
        <v>0</v>
      </c>
      <c r="Q99" s="40"/>
      <c r="R99" s="3">
        <f>TABL12345[[#This Row],[خط (T/B  TOT) SAR]]-TABL12345[[#This Row],[(T/B TOT) AJD]]</f>
        <v>0</v>
      </c>
      <c r="S99" s="3">
        <f>TABL12345[[#This Row],[الفرق بين بداية ونهاية خط  S/S]]+TABL12345[[#This Row],[الفرق بين بداية ونهاية خط  T/B]]</f>
        <v>0</v>
      </c>
      <c r="T99" s="3">
        <f t="shared" si="4"/>
        <v>0</v>
      </c>
      <c r="U99" s="44"/>
      <c r="V99" s="44"/>
      <c r="W99" s="3">
        <f t="shared" si="5"/>
        <v>0</v>
      </c>
      <c r="X99" s="3">
        <f t="shared" si="6"/>
        <v>0</v>
      </c>
      <c r="Y99" s="44"/>
      <c r="Z99" s="45"/>
      <c r="AA99" s="3">
        <f>TABL12345[[#This Row],[(RESV. STORGE) AJD]]/10</f>
        <v>0</v>
      </c>
      <c r="AB99" s="45">
        <f t="shared" si="7"/>
        <v>0</v>
      </c>
      <c r="AC99" s="5"/>
      <c r="AD99" s="40">
        <f>(TABL12345[[#This Row],[( S/S+T/B) AJD]]*1000)-((TABL12345[[#This Row],[(STORGE DIFF.) AJD]]*1000)+TABL12345[[#This Row],[البخر  AJD]]+(TABL12345[[#This Row],[(A/B + A/S) AJD]]*1000))</f>
        <v>0</v>
      </c>
      <c r="AE99" s="44"/>
      <c r="AF99" s="45"/>
      <c r="AG99" s="45"/>
      <c r="AH99" s="6">
        <f>TABL12345[[#This Row],[ (RESV. STORGE) BER]]/10</f>
        <v>0</v>
      </c>
      <c r="AI99" s="44"/>
      <c r="AJ99" s="44">
        <f>TABL12345[[#This Row],[(A/B TOT) AJD]]-TABL12345[[#This Row],[BER_ IN]]</f>
        <v>0</v>
      </c>
      <c r="AK99" s="45"/>
      <c r="AL99" s="45"/>
      <c r="AM99" s="32"/>
      <c r="AN99" s="32">
        <f>TABL12345[[#This Row],[ (RESV. STORGE) SER]]/10</f>
        <v>0</v>
      </c>
      <c r="AO99" s="68"/>
      <c r="AP99" s="68">
        <f>TABL12345[[#This Row],[(A/S TOT) AJD]]-TABL12345[[#This Row],[SER_ IN]]</f>
        <v>0</v>
      </c>
    </row>
    <row r="100" spans="1:42" ht="18.75" x14ac:dyDescent="0.25">
      <c r="A100" s="2">
        <v>47582</v>
      </c>
      <c r="B100" s="41"/>
      <c r="C100" s="41"/>
      <c r="D100" s="41"/>
      <c r="E100" s="41"/>
      <c r="F100" s="41"/>
      <c r="G100" s="39"/>
      <c r="H100" s="28"/>
      <c r="I100" s="39"/>
      <c r="J100" s="39"/>
      <c r="K100" s="28">
        <f>TABL12345[[#This Row],[خط (T/B  TOT) SAR]]+TABL12345[[#This Row],[خط (S/S  TOT) SAR2]]</f>
        <v>0</v>
      </c>
      <c r="L100" s="41"/>
      <c r="M100" s="42"/>
      <c r="N100" s="42"/>
      <c r="O100" s="39"/>
      <c r="P100" s="3">
        <f>TABL12345[[#This Row],[خط (S/S  TOT) SAR2]]-TABL12345[[#This Row],[(S/S TOT) AJD]]</f>
        <v>0</v>
      </c>
      <c r="Q100" s="39"/>
      <c r="R100" s="3">
        <f>TABL12345[[#This Row],[خط (T/B  TOT) SAR]]-TABL12345[[#This Row],[(T/B TOT) AJD]]</f>
        <v>0</v>
      </c>
      <c r="S100" s="3">
        <f>TABL12345[[#This Row],[الفرق بين بداية ونهاية خط  S/S]]+TABL12345[[#This Row],[الفرق بين بداية ونهاية خط  T/B]]</f>
        <v>0</v>
      </c>
      <c r="T100" s="3">
        <f t="shared" si="4"/>
        <v>0</v>
      </c>
      <c r="U100" s="41"/>
      <c r="V100" s="41"/>
      <c r="W100" s="3">
        <f t="shared" si="5"/>
        <v>0</v>
      </c>
      <c r="X100" s="3">
        <f t="shared" si="6"/>
        <v>0</v>
      </c>
      <c r="Y100" s="41"/>
      <c r="Z100" s="43"/>
      <c r="AA100" s="3">
        <f>TABL12345[[#This Row],[(RESV. STORGE) AJD]]/10</f>
        <v>0</v>
      </c>
      <c r="AB100" s="43">
        <f t="shared" si="7"/>
        <v>0</v>
      </c>
      <c r="AC100" s="5"/>
      <c r="AD100" s="39">
        <f>(TABL12345[[#This Row],[( S/S+T/B) AJD]]*1000)-((TABL12345[[#This Row],[(STORGE DIFF.) AJD]]*1000)+TABL12345[[#This Row],[البخر  AJD]]+(TABL12345[[#This Row],[(A/B + A/S) AJD]]*1000))</f>
        <v>0</v>
      </c>
      <c r="AE100" s="41"/>
      <c r="AF100" s="43"/>
      <c r="AG100" s="43"/>
      <c r="AH100" s="6">
        <f>TABL12345[[#This Row],[ (RESV. STORGE) BER]]/10</f>
        <v>0</v>
      </c>
      <c r="AI100" s="41"/>
      <c r="AJ100" s="41">
        <f>TABL12345[[#This Row],[(A/B TOT) AJD]]-TABL12345[[#This Row],[BER_ IN]]</f>
        <v>0</v>
      </c>
      <c r="AK100" s="43"/>
      <c r="AL100" s="43"/>
      <c r="AM100" s="32"/>
      <c r="AN100" s="32">
        <f>TABL12345[[#This Row],[ (RESV. STORGE) SER]]/10</f>
        <v>0</v>
      </c>
      <c r="AO100" s="68"/>
      <c r="AP100" s="68">
        <f>TABL12345[[#This Row],[(A/S TOT) AJD]]-TABL12345[[#This Row],[SER_ IN]]</f>
        <v>0</v>
      </c>
    </row>
    <row r="101" spans="1:42" ht="18.75" x14ac:dyDescent="0.25">
      <c r="A101" s="2">
        <v>47583</v>
      </c>
      <c r="B101" s="44"/>
      <c r="C101" s="44"/>
      <c r="D101" s="44"/>
      <c r="E101" s="44"/>
      <c r="F101" s="44"/>
      <c r="G101" s="40"/>
      <c r="H101" s="28"/>
      <c r="I101" s="40"/>
      <c r="J101" s="44"/>
      <c r="K101" s="28">
        <f>TABL12345[[#This Row],[خط (T/B  TOT) SAR]]+TABL12345[[#This Row],[خط (S/S  TOT) SAR2]]</f>
        <v>0</v>
      </c>
      <c r="L101" s="45"/>
      <c r="M101" s="46"/>
      <c r="N101" s="46"/>
      <c r="O101" s="40"/>
      <c r="P101" s="3">
        <f>TABL12345[[#This Row],[خط (S/S  TOT) SAR2]]-TABL12345[[#This Row],[(S/S TOT) AJD]]</f>
        <v>0</v>
      </c>
      <c r="Q101" s="40"/>
      <c r="R101" s="3">
        <f>TABL12345[[#This Row],[خط (T/B  TOT) SAR]]-TABL12345[[#This Row],[(T/B TOT) AJD]]</f>
        <v>0</v>
      </c>
      <c r="S101" s="3">
        <f>TABL12345[[#This Row],[الفرق بين بداية ونهاية خط  S/S]]+TABL12345[[#This Row],[الفرق بين بداية ونهاية خط  T/B]]</f>
        <v>0</v>
      </c>
      <c r="T101" s="3">
        <f t="shared" si="4"/>
        <v>0</v>
      </c>
      <c r="U101" s="44"/>
      <c r="V101" s="44"/>
      <c r="W101" s="3">
        <f t="shared" si="5"/>
        <v>0</v>
      </c>
      <c r="X101" s="3">
        <f t="shared" si="6"/>
        <v>0</v>
      </c>
      <c r="Y101" s="44"/>
      <c r="Z101" s="45"/>
      <c r="AA101" s="3">
        <f>TABL12345[[#This Row],[(RESV. STORGE) AJD]]/10</f>
        <v>0</v>
      </c>
      <c r="AB101" s="45">
        <f t="shared" si="7"/>
        <v>0</v>
      </c>
      <c r="AC101" s="5"/>
      <c r="AD101" s="40">
        <f>(TABL12345[[#This Row],[( S/S+T/B) AJD]]*1000)-((TABL12345[[#This Row],[(STORGE DIFF.) AJD]]*1000)+TABL12345[[#This Row],[البخر  AJD]]+(TABL12345[[#This Row],[(A/B + A/S) AJD]]*1000))</f>
        <v>0</v>
      </c>
      <c r="AE101" s="44"/>
      <c r="AF101" s="45"/>
      <c r="AG101" s="45"/>
      <c r="AH101" s="6">
        <f>TABL12345[[#This Row],[ (RESV. STORGE) BER]]/10</f>
        <v>0</v>
      </c>
      <c r="AI101" s="44"/>
      <c r="AJ101" s="44">
        <f>TABL12345[[#This Row],[(A/B TOT) AJD]]-TABL12345[[#This Row],[BER_ IN]]</f>
        <v>0</v>
      </c>
      <c r="AK101" s="45"/>
      <c r="AL101" s="45"/>
      <c r="AM101" s="32"/>
      <c r="AN101" s="32">
        <f>TABL12345[[#This Row],[ (RESV. STORGE) SER]]/10</f>
        <v>0</v>
      </c>
      <c r="AO101" s="68"/>
      <c r="AP101" s="68">
        <f>TABL12345[[#This Row],[(A/S TOT) AJD]]-TABL12345[[#This Row],[SER_ IN]]</f>
        <v>0</v>
      </c>
    </row>
    <row r="102" spans="1:42" ht="18.75" x14ac:dyDescent="0.25">
      <c r="A102" s="2">
        <v>47584</v>
      </c>
      <c r="B102" s="41"/>
      <c r="C102" s="41"/>
      <c r="D102" s="41"/>
      <c r="E102" s="41"/>
      <c r="F102" s="41"/>
      <c r="G102" s="39"/>
      <c r="H102" s="28"/>
      <c r="I102" s="39"/>
      <c r="J102" s="39"/>
      <c r="K102" s="28">
        <f>TABL12345[[#This Row],[خط (T/B  TOT) SAR]]+TABL12345[[#This Row],[خط (S/S  TOT) SAR2]]</f>
        <v>0</v>
      </c>
      <c r="L102" s="41"/>
      <c r="M102" s="42"/>
      <c r="N102" s="42"/>
      <c r="O102" s="39"/>
      <c r="P102" s="3">
        <f>TABL12345[[#This Row],[خط (S/S  TOT) SAR2]]-TABL12345[[#This Row],[(S/S TOT) AJD]]</f>
        <v>0</v>
      </c>
      <c r="Q102" s="39"/>
      <c r="R102" s="3">
        <f>TABL12345[[#This Row],[خط (T/B  TOT) SAR]]-TABL12345[[#This Row],[(T/B TOT) AJD]]</f>
        <v>0</v>
      </c>
      <c r="S102" s="3">
        <f>TABL12345[[#This Row],[الفرق بين بداية ونهاية خط  S/S]]+TABL12345[[#This Row],[الفرق بين بداية ونهاية خط  T/B]]</f>
        <v>0</v>
      </c>
      <c r="T102" s="3">
        <f t="shared" si="4"/>
        <v>0</v>
      </c>
      <c r="U102" s="41"/>
      <c r="V102" s="41"/>
      <c r="W102" s="3">
        <f t="shared" si="5"/>
        <v>0</v>
      </c>
      <c r="X102" s="3">
        <f t="shared" si="6"/>
        <v>0</v>
      </c>
      <c r="Y102" s="41"/>
      <c r="Z102" s="43"/>
      <c r="AA102" s="3">
        <f>TABL12345[[#This Row],[(RESV. STORGE) AJD]]/10</f>
        <v>0</v>
      </c>
      <c r="AB102" s="43">
        <f t="shared" si="7"/>
        <v>0</v>
      </c>
      <c r="AC102" s="5"/>
      <c r="AD102" s="39">
        <f>(TABL12345[[#This Row],[( S/S+T/B) AJD]]*1000)-((TABL12345[[#This Row],[(STORGE DIFF.) AJD]]*1000)+TABL12345[[#This Row],[البخر  AJD]]+(TABL12345[[#This Row],[(A/B + A/S) AJD]]*1000))</f>
        <v>0</v>
      </c>
      <c r="AE102" s="41"/>
      <c r="AF102" s="43"/>
      <c r="AG102" s="43"/>
      <c r="AH102" s="6">
        <f>TABL12345[[#This Row],[ (RESV. STORGE) BER]]/10</f>
        <v>0</v>
      </c>
      <c r="AI102" s="41"/>
      <c r="AJ102" s="41">
        <f>TABL12345[[#This Row],[(A/B TOT) AJD]]-TABL12345[[#This Row],[BER_ IN]]</f>
        <v>0</v>
      </c>
      <c r="AK102" s="43"/>
      <c r="AL102" s="43"/>
      <c r="AM102" s="32"/>
      <c r="AN102" s="32">
        <f>TABL12345[[#This Row],[ (RESV. STORGE) SER]]/10</f>
        <v>0</v>
      </c>
      <c r="AO102" s="68"/>
      <c r="AP102" s="68">
        <f>TABL12345[[#This Row],[(A/S TOT) AJD]]-TABL12345[[#This Row],[SER_ IN]]</f>
        <v>0</v>
      </c>
    </row>
    <row r="103" spans="1:42" ht="18.75" x14ac:dyDescent="0.25">
      <c r="A103" s="2">
        <v>47585</v>
      </c>
      <c r="B103" s="44"/>
      <c r="C103" s="44"/>
      <c r="D103" s="44"/>
      <c r="E103" s="44"/>
      <c r="F103" s="44"/>
      <c r="G103" s="40"/>
      <c r="H103" s="28"/>
      <c r="I103" s="40"/>
      <c r="J103" s="44"/>
      <c r="K103" s="28">
        <f>TABL12345[[#This Row],[خط (T/B  TOT) SAR]]+TABL12345[[#This Row],[خط (S/S  TOT) SAR2]]</f>
        <v>0</v>
      </c>
      <c r="L103" s="45"/>
      <c r="M103" s="46"/>
      <c r="N103" s="46"/>
      <c r="O103" s="40"/>
      <c r="P103" s="3">
        <f>TABL12345[[#This Row],[خط (S/S  TOT) SAR2]]-TABL12345[[#This Row],[(S/S TOT) AJD]]</f>
        <v>0</v>
      </c>
      <c r="Q103" s="40"/>
      <c r="R103" s="3">
        <f>TABL12345[[#This Row],[خط (T/B  TOT) SAR]]-TABL12345[[#This Row],[(T/B TOT) AJD]]</f>
        <v>0</v>
      </c>
      <c r="S103" s="3">
        <f>TABL12345[[#This Row],[الفرق بين بداية ونهاية خط  S/S]]+TABL12345[[#This Row],[الفرق بين بداية ونهاية خط  T/B]]</f>
        <v>0</v>
      </c>
      <c r="T103" s="3">
        <f t="shared" si="4"/>
        <v>0</v>
      </c>
      <c r="U103" s="44"/>
      <c r="V103" s="44"/>
      <c r="W103" s="3">
        <f t="shared" si="5"/>
        <v>0</v>
      </c>
      <c r="X103" s="3">
        <f t="shared" si="6"/>
        <v>0</v>
      </c>
      <c r="Y103" s="44"/>
      <c r="Z103" s="45"/>
      <c r="AA103" s="3">
        <f>TABL12345[[#This Row],[(RESV. STORGE) AJD]]/10</f>
        <v>0</v>
      </c>
      <c r="AB103" s="45">
        <f t="shared" si="7"/>
        <v>0</v>
      </c>
      <c r="AC103" s="5"/>
      <c r="AD103" s="40">
        <f>(TABL12345[[#This Row],[( S/S+T/B) AJD]]*1000)-((TABL12345[[#This Row],[(STORGE DIFF.) AJD]]*1000)+TABL12345[[#This Row],[البخر  AJD]]+(TABL12345[[#This Row],[(A/B + A/S) AJD]]*1000))</f>
        <v>0</v>
      </c>
      <c r="AE103" s="44"/>
      <c r="AF103" s="45"/>
      <c r="AG103" s="45"/>
      <c r="AH103" s="6">
        <f>TABL12345[[#This Row],[ (RESV. STORGE) BER]]/10</f>
        <v>0</v>
      </c>
      <c r="AI103" s="44"/>
      <c r="AJ103" s="44">
        <f>TABL12345[[#This Row],[(A/B TOT) AJD]]-TABL12345[[#This Row],[BER_ IN]]</f>
        <v>0</v>
      </c>
      <c r="AK103" s="45"/>
      <c r="AL103" s="45"/>
      <c r="AM103" s="32"/>
      <c r="AN103" s="32">
        <f>TABL12345[[#This Row],[ (RESV. STORGE) SER]]/10</f>
        <v>0</v>
      </c>
      <c r="AO103" s="68"/>
      <c r="AP103" s="68">
        <f>TABL12345[[#This Row],[(A/S TOT) AJD]]-TABL12345[[#This Row],[SER_ IN]]</f>
        <v>0</v>
      </c>
    </row>
    <row r="104" spans="1:42" ht="18.75" x14ac:dyDescent="0.25">
      <c r="A104" s="2">
        <v>47586</v>
      </c>
      <c r="B104" s="41"/>
      <c r="C104" s="41"/>
      <c r="D104" s="41"/>
      <c r="E104" s="41"/>
      <c r="F104" s="41"/>
      <c r="G104" s="39"/>
      <c r="H104" s="28"/>
      <c r="I104" s="39"/>
      <c r="J104" s="39"/>
      <c r="K104" s="28">
        <f>TABL12345[[#This Row],[خط (T/B  TOT) SAR]]+TABL12345[[#This Row],[خط (S/S  TOT) SAR2]]</f>
        <v>0</v>
      </c>
      <c r="L104" s="41"/>
      <c r="M104" s="42"/>
      <c r="N104" s="42"/>
      <c r="O104" s="39"/>
      <c r="P104" s="3">
        <f>TABL12345[[#This Row],[خط (S/S  TOT) SAR2]]-TABL12345[[#This Row],[(S/S TOT) AJD]]</f>
        <v>0</v>
      </c>
      <c r="Q104" s="39"/>
      <c r="R104" s="3">
        <f>TABL12345[[#This Row],[خط (T/B  TOT) SAR]]-TABL12345[[#This Row],[(T/B TOT) AJD]]</f>
        <v>0</v>
      </c>
      <c r="S104" s="3">
        <f>TABL12345[[#This Row],[الفرق بين بداية ونهاية خط  S/S]]+TABL12345[[#This Row],[الفرق بين بداية ونهاية خط  T/B]]</f>
        <v>0</v>
      </c>
      <c r="T104" s="3">
        <f t="shared" si="4"/>
        <v>0</v>
      </c>
      <c r="U104" s="41"/>
      <c r="V104" s="41"/>
      <c r="W104" s="3">
        <f t="shared" si="5"/>
        <v>0</v>
      </c>
      <c r="X104" s="3">
        <f t="shared" si="6"/>
        <v>0</v>
      </c>
      <c r="Y104" s="41"/>
      <c r="Z104" s="43"/>
      <c r="AA104" s="3">
        <f>TABL12345[[#This Row],[(RESV. STORGE) AJD]]/10</f>
        <v>0</v>
      </c>
      <c r="AB104" s="43">
        <f t="shared" si="7"/>
        <v>0</v>
      </c>
      <c r="AC104" s="5"/>
      <c r="AD104" s="39">
        <f>(TABL12345[[#This Row],[( S/S+T/B) AJD]]*1000)-((TABL12345[[#This Row],[(STORGE DIFF.) AJD]]*1000)+TABL12345[[#This Row],[البخر  AJD]]+(TABL12345[[#This Row],[(A/B + A/S) AJD]]*1000))</f>
        <v>0</v>
      </c>
      <c r="AE104" s="41"/>
      <c r="AF104" s="43"/>
      <c r="AG104" s="43"/>
      <c r="AH104" s="6">
        <f>TABL12345[[#This Row],[ (RESV. STORGE) BER]]/10</f>
        <v>0</v>
      </c>
      <c r="AI104" s="41"/>
      <c r="AJ104" s="41">
        <f>TABL12345[[#This Row],[(A/B TOT) AJD]]-TABL12345[[#This Row],[BER_ IN]]</f>
        <v>0</v>
      </c>
      <c r="AK104" s="43"/>
      <c r="AL104" s="43"/>
      <c r="AM104" s="32"/>
      <c r="AN104" s="32">
        <f>TABL12345[[#This Row],[ (RESV. STORGE) SER]]/10</f>
        <v>0</v>
      </c>
      <c r="AO104" s="68"/>
      <c r="AP104" s="68">
        <f>TABL12345[[#This Row],[(A/S TOT) AJD]]-TABL12345[[#This Row],[SER_ IN]]</f>
        <v>0</v>
      </c>
    </row>
    <row r="105" spans="1:42" ht="18.75" x14ac:dyDescent="0.25">
      <c r="A105" s="2">
        <v>47587</v>
      </c>
      <c r="B105" s="44"/>
      <c r="C105" s="44"/>
      <c r="D105" s="44"/>
      <c r="E105" s="44"/>
      <c r="F105" s="44"/>
      <c r="G105" s="40"/>
      <c r="H105" s="28"/>
      <c r="I105" s="40"/>
      <c r="J105" s="44"/>
      <c r="K105" s="28">
        <f>TABL12345[[#This Row],[خط (T/B  TOT) SAR]]+TABL12345[[#This Row],[خط (S/S  TOT) SAR2]]</f>
        <v>0</v>
      </c>
      <c r="L105" s="45"/>
      <c r="M105" s="46"/>
      <c r="N105" s="46"/>
      <c r="O105" s="40"/>
      <c r="P105" s="3">
        <f>TABL12345[[#This Row],[خط (S/S  TOT) SAR2]]-TABL12345[[#This Row],[(S/S TOT) AJD]]</f>
        <v>0</v>
      </c>
      <c r="Q105" s="40"/>
      <c r="R105" s="3">
        <f>TABL12345[[#This Row],[خط (T/B  TOT) SAR]]-TABL12345[[#This Row],[(T/B TOT) AJD]]</f>
        <v>0</v>
      </c>
      <c r="S105" s="3">
        <f>TABL12345[[#This Row],[الفرق بين بداية ونهاية خط  S/S]]+TABL12345[[#This Row],[الفرق بين بداية ونهاية خط  T/B]]</f>
        <v>0</v>
      </c>
      <c r="T105" s="3">
        <f t="shared" si="4"/>
        <v>0</v>
      </c>
      <c r="U105" s="44"/>
      <c r="V105" s="44"/>
      <c r="W105" s="3">
        <f t="shared" si="5"/>
        <v>0</v>
      </c>
      <c r="X105" s="3">
        <f t="shared" si="6"/>
        <v>0</v>
      </c>
      <c r="Y105" s="44"/>
      <c r="Z105" s="45"/>
      <c r="AA105" s="3">
        <f>TABL12345[[#This Row],[(RESV. STORGE) AJD]]/10</f>
        <v>0</v>
      </c>
      <c r="AB105" s="45">
        <f t="shared" si="7"/>
        <v>0</v>
      </c>
      <c r="AC105" s="5"/>
      <c r="AD105" s="40">
        <f>(TABL12345[[#This Row],[( S/S+T/B) AJD]]*1000)-((TABL12345[[#This Row],[(STORGE DIFF.) AJD]]*1000)+TABL12345[[#This Row],[البخر  AJD]]+(TABL12345[[#This Row],[(A/B + A/S) AJD]]*1000))</f>
        <v>0</v>
      </c>
      <c r="AE105" s="44"/>
      <c r="AF105" s="45"/>
      <c r="AG105" s="45"/>
      <c r="AH105" s="6">
        <f>TABL12345[[#This Row],[ (RESV. STORGE) BER]]/10</f>
        <v>0</v>
      </c>
      <c r="AI105" s="44"/>
      <c r="AJ105" s="44">
        <f>TABL12345[[#This Row],[(A/B TOT) AJD]]-TABL12345[[#This Row],[BER_ IN]]</f>
        <v>0</v>
      </c>
      <c r="AK105" s="45"/>
      <c r="AL105" s="45"/>
      <c r="AM105" s="32"/>
      <c r="AN105" s="32">
        <f>TABL12345[[#This Row],[ (RESV. STORGE) SER]]/10</f>
        <v>0</v>
      </c>
      <c r="AO105" s="68"/>
      <c r="AP105" s="68">
        <f>TABL12345[[#This Row],[(A/S TOT) AJD]]-TABL12345[[#This Row],[SER_ IN]]</f>
        <v>0</v>
      </c>
    </row>
    <row r="106" spans="1:42" ht="18.75" x14ac:dyDescent="0.25">
      <c r="A106" s="2">
        <v>47588</v>
      </c>
      <c r="B106" s="41"/>
      <c r="C106" s="41"/>
      <c r="D106" s="41"/>
      <c r="E106" s="41"/>
      <c r="F106" s="41"/>
      <c r="G106" s="39"/>
      <c r="H106" s="28"/>
      <c r="I106" s="39"/>
      <c r="J106" s="39"/>
      <c r="K106" s="28">
        <f>TABL12345[[#This Row],[خط (T/B  TOT) SAR]]+TABL12345[[#This Row],[خط (S/S  TOT) SAR2]]</f>
        <v>0</v>
      </c>
      <c r="L106" s="41"/>
      <c r="M106" s="42"/>
      <c r="N106" s="42"/>
      <c r="O106" s="39"/>
      <c r="P106" s="3">
        <f>TABL12345[[#This Row],[خط (S/S  TOT) SAR2]]-TABL12345[[#This Row],[(S/S TOT) AJD]]</f>
        <v>0</v>
      </c>
      <c r="Q106" s="39"/>
      <c r="R106" s="3">
        <f>TABL12345[[#This Row],[خط (T/B  TOT) SAR]]-TABL12345[[#This Row],[(T/B TOT) AJD]]</f>
        <v>0</v>
      </c>
      <c r="S106" s="3">
        <f>TABL12345[[#This Row],[الفرق بين بداية ونهاية خط  S/S]]+TABL12345[[#This Row],[الفرق بين بداية ونهاية خط  T/B]]</f>
        <v>0</v>
      </c>
      <c r="T106" s="3">
        <f t="shared" si="4"/>
        <v>0</v>
      </c>
      <c r="U106" s="41"/>
      <c r="V106" s="41"/>
      <c r="W106" s="3">
        <f t="shared" si="5"/>
        <v>0</v>
      </c>
      <c r="X106" s="3">
        <f t="shared" si="6"/>
        <v>0</v>
      </c>
      <c r="Y106" s="41"/>
      <c r="Z106" s="43"/>
      <c r="AA106" s="3">
        <f>TABL12345[[#This Row],[(RESV. STORGE) AJD]]/10</f>
        <v>0</v>
      </c>
      <c r="AB106" s="43">
        <f t="shared" si="7"/>
        <v>0</v>
      </c>
      <c r="AC106" s="5"/>
      <c r="AD106" s="39">
        <f>(TABL12345[[#This Row],[( S/S+T/B) AJD]]*1000)-((TABL12345[[#This Row],[(STORGE DIFF.) AJD]]*1000)+TABL12345[[#This Row],[البخر  AJD]]+(TABL12345[[#This Row],[(A/B + A/S) AJD]]*1000))</f>
        <v>0</v>
      </c>
      <c r="AE106" s="41"/>
      <c r="AF106" s="43"/>
      <c r="AG106" s="43"/>
      <c r="AH106" s="6">
        <f>TABL12345[[#This Row],[ (RESV. STORGE) BER]]/10</f>
        <v>0</v>
      </c>
      <c r="AI106" s="41"/>
      <c r="AJ106" s="41">
        <f>TABL12345[[#This Row],[(A/B TOT) AJD]]-TABL12345[[#This Row],[BER_ IN]]</f>
        <v>0</v>
      </c>
      <c r="AK106" s="43"/>
      <c r="AL106" s="43"/>
      <c r="AM106" s="32"/>
      <c r="AN106" s="32">
        <f>TABL12345[[#This Row],[ (RESV. STORGE) SER]]/10</f>
        <v>0</v>
      </c>
      <c r="AO106" s="68"/>
      <c r="AP106" s="68">
        <f>TABL12345[[#This Row],[(A/S TOT) AJD]]-TABL12345[[#This Row],[SER_ IN]]</f>
        <v>0</v>
      </c>
    </row>
    <row r="107" spans="1:42" ht="18.75" x14ac:dyDescent="0.25">
      <c r="A107" s="2">
        <v>47589</v>
      </c>
      <c r="B107" s="44"/>
      <c r="C107" s="44"/>
      <c r="D107" s="44"/>
      <c r="E107" s="44"/>
      <c r="F107" s="44"/>
      <c r="G107" s="40"/>
      <c r="H107" s="28"/>
      <c r="I107" s="40"/>
      <c r="J107" s="44"/>
      <c r="K107" s="28">
        <f>TABL12345[[#This Row],[خط (T/B  TOT) SAR]]+TABL12345[[#This Row],[خط (S/S  TOT) SAR2]]</f>
        <v>0</v>
      </c>
      <c r="L107" s="45"/>
      <c r="M107" s="46"/>
      <c r="N107" s="46"/>
      <c r="O107" s="40"/>
      <c r="P107" s="3">
        <f>TABL12345[[#This Row],[خط (S/S  TOT) SAR2]]-TABL12345[[#This Row],[(S/S TOT) AJD]]</f>
        <v>0</v>
      </c>
      <c r="Q107" s="40"/>
      <c r="R107" s="3">
        <f>TABL12345[[#This Row],[خط (T/B  TOT) SAR]]-TABL12345[[#This Row],[(T/B TOT) AJD]]</f>
        <v>0</v>
      </c>
      <c r="S107" s="3">
        <f>TABL12345[[#This Row],[الفرق بين بداية ونهاية خط  S/S]]+TABL12345[[#This Row],[الفرق بين بداية ونهاية خط  T/B]]</f>
        <v>0</v>
      </c>
      <c r="T107" s="3">
        <f t="shared" si="4"/>
        <v>0</v>
      </c>
      <c r="U107" s="44"/>
      <c r="V107" s="44"/>
      <c r="W107" s="3">
        <f t="shared" si="5"/>
        <v>0</v>
      </c>
      <c r="X107" s="3">
        <f t="shared" si="6"/>
        <v>0</v>
      </c>
      <c r="Y107" s="44"/>
      <c r="Z107" s="45"/>
      <c r="AA107" s="3">
        <f>TABL12345[[#This Row],[(RESV. STORGE) AJD]]/10</f>
        <v>0</v>
      </c>
      <c r="AB107" s="45">
        <f t="shared" si="7"/>
        <v>0</v>
      </c>
      <c r="AC107" s="5"/>
      <c r="AD107" s="40">
        <f>(TABL12345[[#This Row],[( S/S+T/B) AJD]]*1000)-((TABL12345[[#This Row],[(STORGE DIFF.) AJD]]*1000)+TABL12345[[#This Row],[البخر  AJD]]+(TABL12345[[#This Row],[(A/B + A/S) AJD]]*1000))</f>
        <v>0</v>
      </c>
      <c r="AE107" s="44"/>
      <c r="AF107" s="45"/>
      <c r="AG107" s="45"/>
      <c r="AH107" s="6">
        <f>TABL12345[[#This Row],[ (RESV. STORGE) BER]]/10</f>
        <v>0</v>
      </c>
      <c r="AI107" s="44"/>
      <c r="AJ107" s="44">
        <f>TABL12345[[#This Row],[(A/B TOT) AJD]]-TABL12345[[#This Row],[BER_ IN]]</f>
        <v>0</v>
      </c>
      <c r="AK107" s="45"/>
      <c r="AL107" s="45"/>
      <c r="AM107" s="32"/>
      <c r="AN107" s="32">
        <f>TABL12345[[#This Row],[ (RESV. STORGE) SER]]/10</f>
        <v>0</v>
      </c>
      <c r="AO107" s="68"/>
      <c r="AP107" s="68">
        <f>TABL12345[[#This Row],[(A/S TOT) AJD]]-TABL12345[[#This Row],[SER_ IN]]</f>
        <v>0</v>
      </c>
    </row>
    <row r="108" spans="1:42" ht="18.75" x14ac:dyDescent="0.25">
      <c r="A108" s="2">
        <v>47590</v>
      </c>
      <c r="B108" s="41"/>
      <c r="C108" s="41"/>
      <c r="D108" s="41"/>
      <c r="E108" s="41"/>
      <c r="F108" s="41"/>
      <c r="G108" s="39"/>
      <c r="H108" s="28"/>
      <c r="I108" s="39"/>
      <c r="J108" s="39"/>
      <c r="K108" s="28">
        <f>TABL12345[[#This Row],[خط (T/B  TOT) SAR]]+TABL12345[[#This Row],[خط (S/S  TOT) SAR2]]</f>
        <v>0</v>
      </c>
      <c r="L108" s="41"/>
      <c r="M108" s="42"/>
      <c r="N108" s="42"/>
      <c r="O108" s="39"/>
      <c r="P108" s="3">
        <f>TABL12345[[#This Row],[خط (S/S  TOT) SAR2]]-TABL12345[[#This Row],[(S/S TOT) AJD]]</f>
        <v>0</v>
      </c>
      <c r="Q108" s="39"/>
      <c r="R108" s="3">
        <f>TABL12345[[#This Row],[خط (T/B  TOT) SAR]]-TABL12345[[#This Row],[(T/B TOT) AJD]]</f>
        <v>0</v>
      </c>
      <c r="S108" s="3">
        <f>TABL12345[[#This Row],[الفرق بين بداية ونهاية خط  S/S]]+TABL12345[[#This Row],[الفرق بين بداية ونهاية خط  T/B]]</f>
        <v>0</v>
      </c>
      <c r="T108" s="3">
        <f t="shared" si="4"/>
        <v>0</v>
      </c>
      <c r="U108" s="41"/>
      <c r="V108" s="41"/>
      <c r="W108" s="3">
        <f t="shared" si="5"/>
        <v>0</v>
      </c>
      <c r="X108" s="3">
        <f t="shared" si="6"/>
        <v>0</v>
      </c>
      <c r="Y108" s="41"/>
      <c r="Z108" s="43"/>
      <c r="AA108" s="3">
        <f>TABL12345[[#This Row],[(RESV. STORGE) AJD]]/10</f>
        <v>0</v>
      </c>
      <c r="AB108" s="43">
        <f t="shared" si="7"/>
        <v>0</v>
      </c>
      <c r="AC108" s="5"/>
      <c r="AD108" s="39">
        <f>(TABL12345[[#This Row],[( S/S+T/B) AJD]]*1000)-((TABL12345[[#This Row],[(STORGE DIFF.) AJD]]*1000)+TABL12345[[#This Row],[البخر  AJD]]+(TABL12345[[#This Row],[(A/B + A/S) AJD]]*1000))</f>
        <v>0</v>
      </c>
      <c r="AE108" s="41"/>
      <c r="AF108" s="43"/>
      <c r="AG108" s="43"/>
      <c r="AH108" s="6">
        <f>TABL12345[[#This Row],[ (RESV. STORGE) BER]]/10</f>
        <v>0</v>
      </c>
      <c r="AI108" s="41"/>
      <c r="AJ108" s="41">
        <f>TABL12345[[#This Row],[(A/B TOT) AJD]]-TABL12345[[#This Row],[BER_ IN]]</f>
        <v>0</v>
      </c>
      <c r="AK108" s="43"/>
      <c r="AL108" s="43"/>
      <c r="AM108" s="32"/>
      <c r="AN108" s="32">
        <f>TABL12345[[#This Row],[ (RESV. STORGE) SER]]/10</f>
        <v>0</v>
      </c>
      <c r="AO108" s="68"/>
      <c r="AP108" s="68">
        <f>TABL12345[[#This Row],[(A/S TOT) AJD]]-TABL12345[[#This Row],[SER_ IN]]</f>
        <v>0</v>
      </c>
    </row>
    <row r="109" spans="1:42" ht="18.75" x14ac:dyDescent="0.25">
      <c r="A109" s="2">
        <v>47591</v>
      </c>
      <c r="B109" s="44"/>
      <c r="C109" s="44"/>
      <c r="D109" s="44"/>
      <c r="E109" s="44"/>
      <c r="F109" s="44"/>
      <c r="G109" s="40"/>
      <c r="H109" s="28"/>
      <c r="I109" s="40"/>
      <c r="J109" s="44"/>
      <c r="K109" s="28">
        <f>TABL12345[[#This Row],[خط (T/B  TOT) SAR]]+TABL12345[[#This Row],[خط (S/S  TOT) SAR2]]</f>
        <v>0</v>
      </c>
      <c r="L109" s="45"/>
      <c r="M109" s="46"/>
      <c r="N109" s="46"/>
      <c r="O109" s="40"/>
      <c r="P109" s="3">
        <f>TABL12345[[#This Row],[خط (S/S  TOT) SAR2]]-TABL12345[[#This Row],[(S/S TOT) AJD]]</f>
        <v>0</v>
      </c>
      <c r="Q109" s="40"/>
      <c r="R109" s="3">
        <f>TABL12345[[#This Row],[خط (T/B  TOT) SAR]]-TABL12345[[#This Row],[(T/B TOT) AJD]]</f>
        <v>0</v>
      </c>
      <c r="S109" s="3">
        <f>TABL12345[[#This Row],[الفرق بين بداية ونهاية خط  S/S]]+TABL12345[[#This Row],[الفرق بين بداية ونهاية خط  T/B]]</f>
        <v>0</v>
      </c>
      <c r="T109" s="3">
        <f t="shared" si="4"/>
        <v>0</v>
      </c>
      <c r="U109" s="44"/>
      <c r="V109" s="44"/>
      <c r="W109" s="3">
        <f t="shared" si="5"/>
        <v>0</v>
      </c>
      <c r="X109" s="3">
        <f t="shared" si="6"/>
        <v>0</v>
      </c>
      <c r="Y109" s="44"/>
      <c r="Z109" s="45"/>
      <c r="AA109" s="3">
        <f>TABL12345[[#This Row],[(RESV. STORGE) AJD]]/10</f>
        <v>0</v>
      </c>
      <c r="AB109" s="45">
        <f t="shared" si="7"/>
        <v>0</v>
      </c>
      <c r="AC109" s="5"/>
      <c r="AD109" s="40">
        <f>(TABL12345[[#This Row],[( S/S+T/B) AJD]]*1000)-((TABL12345[[#This Row],[(STORGE DIFF.) AJD]]*1000)+TABL12345[[#This Row],[البخر  AJD]]+(TABL12345[[#This Row],[(A/B + A/S) AJD]]*1000))</f>
        <v>0</v>
      </c>
      <c r="AE109" s="44"/>
      <c r="AF109" s="45"/>
      <c r="AG109" s="45"/>
      <c r="AH109" s="6">
        <f>TABL12345[[#This Row],[ (RESV. STORGE) BER]]/10</f>
        <v>0</v>
      </c>
      <c r="AI109" s="44"/>
      <c r="AJ109" s="44">
        <f>TABL12345[[#This Row],[(A/B TOT) AJD]]-TABL12345[[#This Row],[BER_ IN]]</f>
        <v>0</v>
      </c>
      <c r="AK109" s="45"/>
      <c r="AL109" s="45"/>
      <c r="AM109" s="32"/>
      <c r="AN109" s="32">
        <f>TABL12345[[#This Row],[ (RESV. STORGE) SER]]/10</f>
        <v>0</v>
      </c>
      <c r="AO109" s="68"/>
      <c r="AP109" s="68">
        <f>TABL12345[[#This Row],[(A/S TOT) AJD]]-TABL12345[[#This Row],[SER_ IN]]</f>
        <v>0</v>
      </c>
    </row>
    <row r="110" spans="1:42" ht="18.75" x14ac:dyDescent="0.25">
      <c r="A110" s="2">
        <v>47592</v>
      </c>
      <c r="B110" s="41"/>
      <c r="C110" s="41"/>
      <c r="D110" s="41"/>
      <c r="E110" s="41"/>
      <c r="F110" s="41"/>
      <c r="G110" s="39"/>
      <c r="H110" s="28"/>
      <c r="I110" s="39"/>
      <c r="J110" s="39"/>
      <c r="K110" s="28">
        <f>TABL12345[[#This Row],[خط (T/B  TOT) SAR]]+TABL12345[[#This Row],[خط (S/S  TOT) SAR2]]</f>
        <v>0</v>
      </c>
      <c r="L110" s="41"/>
      <c r="M110" s="42"/>
      <c r="N110" s="42"/>
      <c r="O110" s="39"/>
      <c r="P110" s="3">
        <f>TABL12345[[#This Row],[خط (S/S  TOT) SAR2]]-TABL12345[[#This Row],[(S/S TOT) AJD]]</f>
        <v>0</v>
      </c>
      <c r="Q110" s="39"/>
      <c r="R110" s="3">
        <f>TABL12345[[#This Row],[خط (T/B  TOT) SAR]]-TABL12345[[#This Row],[(T/B TOT) AJD]]</f>
        <v>0</v>
      </c>
      <c r="S110" s="3">
        <f>TABL12345[[#This Row],[الفرق بين بداية ونهاية خط  S/S]]+TABL12345[[#This Row],[الفرق بين بداية ونهاية خط  T/B]]</f>
        <v>0</v>
      </c>
      <c r="T110" s="3">
        <f t="shared" si="4"/>
        <v>0</v>
      </c>
      <c r="U110" s="41"/>
      <c r="V110" s="41"/>
      <c r="W110" s="3">
        <f t="shared" si="5"/>
        <v>0</v>
      </c>
      <c r="X110" s="3">
        <f t="shared" si="6"/>
        <v>0</v>
      </c>
      <c r="Y110" s="41"/>
      <c r="Z110" s="43"/>
      <c r="AA110" s="3">
        <f>TABL12345[[#This Row],[(RESV. STORGE) AJD]]/10</f>
        <v>0</v>
      </c>
      <c r="AB110" s="43">
        <f t="shared" si="7"/>
        <v>0</v>
      </c>
      <c r="AC110" s="5"/>
      <c r="AD110" s="39">
        <f>(TABL12345[[#This Row],[( S/S+T/B) AJD]]*1000)-((TABL12345[[#This Row],[(STORGE DIFF.) AJD]]*1000)+TABL12345[[#This Row],[البخر  AJD]]+(TABL12345[[#This Row],[(A/B + A/S) AJD]]*1000))</f>
        <v>0</v>
      </c>
      <c r="AE110" s="41"/>
      <c r="AF110" s="43"/>
      <c r="AG110" s="43"/>
      <c r="AH110" s="6">
        <f>TABL12345[[#This Row],[ (RESV. STORGE) BER]]/10</f>
        <v>0</v>
      </c>
      <c r="AI110" s="41"/>
      <c r="AJ110" s="41">
        <f>TABL12345[[#This Row],[(A/B TOT) AJD]]-TABL12345[[#This Row],[BER_ IN]]</f>
        <v>0</v>
      </c>
      <c r="AK110" s="43"/>
      <c r="AL110" s="43"/>
      <c r="AM110" s="32"/>
      <c r="AN110" s="32">
        <f>TABL12345[[#This Row],[ (RESV. STORGE) SER]]/10</f>
        <v>0</v>
      </c>
      <c r="AO110" s="68"/>
      <c r="AP110" s="68">
        <f>TABL12345[[#This Row],[(A/S TOT) AJD]]-TABL12345[[#This Row],[SER_ IN]]</f>
        <v>0</v>
      </c>
    </row>
    <row r="111" spans="1:42" ht="18.75" x14ac:dyDescent="0.25">
      <c r="A111" s="2">
        <v>47593</v>
      </c>
      <c r="B111" s="44"/>
      <c r="C111" s="44"/>
      <c r="D111" s="44"/>
      <c r="E111" s="44"/>
      <c r="F111" s="44"/>
      <c r="G111" s="40"/>
      <c r="H111" s="28"/>
      <c r="I111" s="40"/>
      <c r="J111" s="44"/>
      <c r="K111" s="28">
        <f>TABL12345[[#This Row],[خط (T/B  TOT) SAR]]+TABL12345[[#This Row],[خط (S/S  TOT) SAR2]]</f>
        <v>0</v>
      </c>
      <c r="L111" s="45"/>
      <c r="M111" s="46"/>
      <c r="N111" s="46"/>
      <c r="O111" s="40"/>
      <c r="P111" s="3">
        <f>TABL12345[[#This Row],[خط (S/S  TOT) SAR2]]-TABL12345[[#This Row],[(S/S TOT) AJD]]</f>
        <v>0</v>
      </c>
      <c r="Q111" s="40"/>
      <c r="R111" s="3">
        <f>TABL12345[[#This Row],[خط (T/B  TOT) SAR]]-TABL12345[[#This Row],[(T/B TOT) AJD]]</f>
        <v>0</v>
      </c>
      <c r="S111" s="3">
        <f>TABL12345[[#This Row],[الفرق بين بداية ونهاية خط  S/S]]+TABL12345[[#This Row],[الفرق بين بداية ونهاية خط  T/B]]</f>
        <v>0</v>
      </c>
      <c r="T111" s="3">
        <f t="shared" si="4"/>
        <v>0</v>
      </c>
      <c r="U111" s="44"/>
      <c r="V111" s="44"/>
      <c r="W111" s="3">
        <f t="shared" si="5"/>
        <v>0</v>
      </c>
      <c r="X111" s="3">
        <f t="shared" si="6"/>
        <v>0</v>
      </c>
      <c r="Y111" s="44"/>
      <c r="Z111" s="45"/>
      <c r="AA111" s="3">
        <f>TABL12345[[#This Row],[(RESV. STORGE) AJD]]/10</f>
        <v>0</v>
      </c>
      <c r="AB111" s="45">
        <f t="shared" si="7"/>
        <v>0</v>
      </c>
      <c r="AC111" s="5"/>
      <c r="AD111" s="40">
        <f>(TABL12345[[#This Row],[( S/S+T/B) AJD]]*1000)-((TABL12345[[#This Row],[(STORGE DIFF.) AJD]]*1000)+TABL12345[[#This Row],[البخر  AJD]]+(TABL12345[[#This Row],[(A/B + A/S) AJD]]*1000))</f>
        <v>0</v>
      </c>
      <c r="AE111" s="44"/>
      <c r="AF111" s="45"/>
      <c r="AG111" s="45"/>
      <c r="AH111" s="6">
        <f>TABL12345[[#This Row],[ (RESV. STORGE) BER]]/10</f>
        <v>0</v>
      </c>
      <c r="AI111" s="44"/>
      <c r="AJ111" s="44">
        <f>TABL12345[[#This Row],[(A/B TOT) AJD]]-TABL12345[[#This Row],[BER_ IN]]</f>
        <v>0</v>
      </c>
      <c r="AK111" s="45"/>
      <c r="AL111" s="45"/>
      <c r="AM111" s="32"/>
      <c r="AN111" s="32">
        <f>TABL12345[[#This Row],[ (RESV. STORGE) SER]]/10</f>
        <v>0</v>
      </c>
      <c r="AO111" s="68"/>
      <c r="AP111" s="68">
        <f>TABL12345[[#This Row],[(A/S TOT) AJD]]-TABL12345[[#This Row],[SER_ IN]]</f>
        <v>0</v>
      </c>
    </row>
    <row r="112" spans="1:42" ht="18.75" x14ac:dyDescent="0.25">
      <c r="A112" s="2">
        <v>47594</v>
      </c>
      <c r="B112" s="41"/>
      <c r="C112" s="41"/>
      <c r="D112" s="41"/>
      <c r="E112" s="41"/>
      <c r="F112" s="41"/>
      <c r="G112" s="39"/>
      <c r="H112" s="28"/>
      <c r="I112" s="39"/>
      <c r="J112" s="39"/>
      <c r="K112" s="28">
        <f>TABL12345[[#This Row],[خط (T/B  TOT) SAR]]+TABL12345[[#This Row],[خط (S/S  TOT) SAR2]]</f>
        <v>0</v>
      </c>
      <c r="L112" s="41"/>
      <c r="M112" s="42"/>
      <c r="N112" s="42"/>
      <c r="O112" s="39"/>
      <c r="P112" s="3">
        <f>TABL12345[[#This Row],[خط (S/S  TOT) SAR2]]-TABL12345[[#This Row],[(S/S TOT) AJD]]</f>
        <v>0</v>
      </c>
      <c r="Q112" s="39"/>
      <c r="R112" s="3">
        <f>TABL12345[[#This Row],[خط (T/B  TOT) SAR]]-TABL12345[[#This Row],[(T/B TOT) AJD]]</f>
        <v>0</v>
      </c>
      <c r="S112" s="3">
        <f>TABL12345[[#This Row],[الفرق بين بداية ونهاية خط  S/S]]+TABL12345[[#This Row],[الفرق بين بداية ونهاية خط  T/B]]</f>
        <v>0</v>
      </c>
      <c r="T112" s="3">
        <f t="shared" si="4"/>
        <v>0</v>
      </c>
      <c r="U112" s="41"/>
      <c r="V112" s="41"/>
      <c r="W112" s="3">
        <f t="shared" si="5"/>
        <v>0</v>
      </c>
      <c r="X112" s="3">
        <f t="shared" si="6"/>
        <v>0</v>
      </c>
      <c r="Y112" s="41"/>
      <c r="Z112" s="43"/>
      <c r="AA112" s="3">
        <f>TABL12345[[#This Row],[(RESV. STORGE) AJD]]/10</f>
        <v>0</v>
      </c>
      <c r="AB112" s="43">
        <f t="shared" si="7"/>
        <v>0</v>
      </c>
      <c r="AC112" s="5"/>
      <c r="AD112" s="39">
        <f>(TABL12345[[#This Row],[( S/S+T/B) AJD]]*1000)-((TABL12345[[#This Row],[(STORGE DIFF.) AJD]]*1000)+TABL12345[[#This Row],[البخر  AJD]]+(TABL12345[[#This Row],[(A/B + A/S) AJD]]*1000))</f>
        <v>0</v>
      </c>
      <c r="AE112" s="41"/>
      <c r="AF112" s="43"/>
      <c r="AG112" s="43"/>
      <c r="AH112" s="6">
        <f>TABL12345[[#This Row],[ (RESV. STORGE) BER]]/10</f>
        <v>0</v>
      </c>
      <c r="AI112" s="41"/>
      <c r="AJ112" s="41">
        <f>TABL12345[[#This Row],[(A/B TOT) AJD]]-TABL12345[[#This Row],[BER_ IN]]</f>
        <v>0</v>
      </c>
      <c r="AK112" s="43"/>
      <c r="AL112" s="43"/>
      <c r="AM112" s="32"/>
      <c r="AN112" s="32">
        <f>TABL12345[[#This Row],[ (RESV. STORGE) SER]]/10</f>
        <v>0</v>
      </c>
      <c r="AO112" s="68"/>
      <c r="AP112" s="68">
        <f>TABL12345[[#This Row],[(A/S TOT) AJD]]-TABL12345[[#This Row],[SER_ IN]]</f>
        <v>0</v>
      </c>
    </row>
    <row r="113" spans="1:42" ht="18.75" x14ac:dyDescent="0.25">
      <c r="A113" s="2">
        <v>47595</v>
      </c>
      <c r="B113" s="44"/>
      <c r="C113" s="44"/>
      <c r="D113" s="44"/>
      <c r="E113" s="44"/>
      <c r="F113" s="44"/>
      <c r="G113" s="40"/>
      <c r="H113" s="28"/>
      <c r="I113" s="40"/>
      <c r="J113" s="44"/>
      <c r="K113" s="28">
        <f>TABL12345[[#This Row],[خط (T/B  TOT) SAR]]+TABL12345[[#This Row],[خط (S/S  TOT) SAR2]]</f>
        <v>0</v>
      </c>
      <c r="L113" s="45"/>
      <c r="M113" s="46"/>
      <c r="N113" s="46"/>
      <c r="O113" s="40"/>
      <c r="P113" s="3">
        <f>TABL12345[[#This Row],[خط (S/S  TOT) SAR2]]-TABL12345[[#This Row],[(S/S TOT) AJD]]</f>
        <v>0</v>
      </c>
      <c r="Q113" s="40"/>
      <c r="R113" s="3">
        <f>TABL12345[[#This Row],[خط (T/B  TOT) SAR]]-TABL12345[[#This Row],[(T/B TOT) AJD]]</f>
        <v>0</v>
      </c>
      <c r="S113" s="3">
        <f>TABL12345[[#This Row],[الفرق بين بداية ونهاية خط  S/S]]+TABL12345[[#This Row],[الفرق بين بداية ونهاية خط  T/B]]</f>
        <v>0</v>
      </c>
      <c r="T113" s="3">
        <f t="shared" si="4"/>
        <v>0</v>
      </c>
      <c r="U113" s="44"/>
      <c r="V113" s="44"/>
      <c r="W113" s="3">
        <f t="shared" si="5"/>
        <v>0</v>
      </c>
      <c r="X113" s="3">
        <f t="shared" si="6"/>
        <v>0</v>
      </c>
      <c r="Y113" s="44"/>
      <c r="Z113" s="45"/>
      <c r="AA113" s="3">
        <f>TABL12345[[#This Row],[(RESV. STORGE) AJD]]/10</f>
        <v>0</v>
      </c>
      <c r="AB113" s="45">
        <f t="shared" si="7"/>
        <v>0</v>
      </c>
      <c r="AC113" s="5"/>
      <c r="AD113" s="40">
        <f>(TABL12345[[#This Row],[( S/S+T/B) AJD]]*1000)-((TABL12345[[#This Row],[(STORGE DIFF.) AJD]]*1000)+TABL12345[[#This Row],[البخر  AJD]]+(TABL12345[[#This Row],[(A/B + A/S) AJD]]*1000))</f>
        <v>0</v>
      </c>
      <c r="AE113" s="44"/>
      <c r="AF113" s="45"/>
      <c r="AG113" s="45"/>
      <c r="AH113" s="6">
        <f>TABL12345[[#This Row],[ (RESV. STORGE) BER]]/10</f>
        <v>0</v>
      </c>
      <c r="AI113" s="44"/>
      <c r="AJ113" s="44">
        <f>TABL12345[[#This Row],[(A/B TOT) AJD]]-TABL12345[[#This Row],[BER_ IN]]</f>
        <v>0</v>
      </c>
      <c r="AK113" s="45"/>
      <c r="AL113" s="45"/>
      <c r="AM113" s="32"/>
      <c r="AN113" s="32">
        <f>TABL12345[[#This Row],[ (RESV. STORGE) SER]]/10</f>
        <v>0</v>
      </c>
      <c r="AO113" s="68"/>
      <c r="AP113" s="68">
        <f>TABL12345[[#This Row],[(A/S TOT) AJD]]-TABL12345[[#This Row],[SER_ IN]]</f>
        <v>0</v>
      </c>
    </row>
    <row r="114" spans="1:42" ht="18.75" x14ac:dyDescent="0.25">
      <c r="A114" s="2">
        <v>47596</v>
      </c>
      <c r="B114" s="41"/>
      <c r="C114" s="41"/>
      <c r="D114" s="41"/>
      <c r="E114" s="41"/>
      <c r="F114" s="41"/>
      <c r="G114" s="39"/>
      <c r="H114" s="28"/>
      <c r="I114" s="39"/>
      <c r="J114" s="39"/>
      <c r="K114" s="28">
        <f>TABL12345[[#This Row],[خط (T/B  TOT) SAR]]+TABL12345[[#This Row],[خط (S/S  TOT) SAR2]]</f>
        <v>0</v>
      </c>
      <c r="L114" s="41"/>
      <c r="M114" s="42"/>
      <c r="N114" s="42"/>
      <c r="O114" s="39"/>
      <c r="P114" s="3">
        <f>TABL12345[[#This Row],[خط (S/S  TOT) SAR2]]-TABL12345[[#This Row],[(S/S TOT) AJD]]</f>
        <v>0</v>
      </c>
      <c r="Q114" s="39"/>
      <c r="R114" s="3">
        <f>TABL12345[[#This Row],[خط (T/B  TOT) SAR]]-TABL12345[[#This Row],[(T/B TOT) AJD]]</f>
        <v>0</v>
      </c>
      <c r="S114" s="3">
        <f>TABL12345[[#This Row],[الفرق بين بداية ونهاية خط  S/S]]+TABL12345[[#This Row],[الفرق بين بداية ونهاية خط  T/B]]</f>
        <v>0</v>
      </c>
      <c r="T114" s="3">
        <f t="shared" si="4"/>
        <v>0</v>
      </c>
      <c r="U114" s="41"/>
      <c r="V114" s="41"/>
      <c r="W114" s="3">
        <f t="shared" si="5"/>
        <v>0</v>
      </c>
      <c r="X114" s="3">
        <f t="shared" si="6"/>
        <v>0</v>
      </c>
      <c r="Y114" s="41"/>
      <c r="Z114" s="43"/>
      <c r="AA114" s="3">
        <f>TABL12345[[#This Row],[(RESV. STORGE) AJD]]/10</f>
        <v>0</v>
      </c>
      <c r="AB114" s="43">
        <f t="shared" si="7"/>
        <v>0</v>
      </c>
      <c r="AC114" s="5"/>
      <c r="AD114" s="39">
        <f>(TABL12345[[#This Row],[( S/S+T/B) AJD]]*1000)-((TABL12345[[#This Row],[(STORGE DIFF.) AJD]]*1000)+TABL12345[[#This Row],[البخر  AJD]]+(TABL12345[[#This Row],[(A/B + A/S) AJD]]*1000))</f>
        <v>0</v>
      </c>
      <c r="AE114" s="41"/>
      <c r="AF114" s="43"/>
      <c r="AG114" s="43"/>
      <c r="AH114" s="6">
        <f>TABL12345[[#This Row],[ (RESV. STORGE) BER]]/10</f>
        <v>0</v>
      </c>
      <c r="AI114" s="41"/>
      <c r="AJ114" s="41">
        <f>TABL12345[[#This Row],[(A/B TOT) AJD]]-TABL12345[[#This Row],[BER_ IN]]</f>
        <v>0</v>
      </c>
      <c r="AK114" s="43"/>
      <c r="AL114" s="43"/>
      <c r="AM114" s="32"/>
      <c r="AN114" s="32">
        <f>TABL12345[[#This Row],[ (RESV. STORGE) SER]]/10</f>
        <v>0</v>
      </c>
      <c r="AO114" s="68"/>
      <c r="AP114" s="68">
        <f>TABL12345[[#This Row],[(A/S TOT) AJD]]-TABL12345[[#This Row],[SER_ IN]]</f>
        <v>0</v>
      </c>
    </row>
    <row r="115" spans="1:42" ht="18.75" x14ac:dyDescent="0.25">
      <c r="A115" s="2">
        <v>47597</v>
      </c>
      <c r="B115" s="44"/>
      <c r="C115" s="44"/>
      <c r="D115" s="44"/>
      <c r="E115" s="44"/>
      <c r="F115" s="44"/>
      <c r="G115" s="40"/>
      <c r="H115" s="28"/>
      <c r="I115" s="40"/>
      <c r="J115" s="44"/>
      <c r="K115" s="28">
        <f>TABL12345[[#This Row],[خط (T/B  TOT) SAR]]+TABL12345[[#This Row],[خط (S/S  TOT) SAR2]]</f>
        <v>0</v>
      </c>
      <c r="L115" s="45"/>
      <c r="M115" s="46"/>
      <c r="N115" s="46"/>
      <c r="O115" s="40"/>
      <c r="P115" s="3">
        <f>TABL12345[[#This Row],[خط (S/S  TOT) SAR2]]-TABL12345[[#This Row],[(S/S TOT) AJD]]</f>
        <v>0</v>
      </c>
      <c r="Q115" s="40"/>
      <c r="R115" s="3">
        <f>TABL12345[[#This Row],[خط (T/B  TOT) SAR]]-TABL12345[[#This Row],[(T/B TOT) AJD]]</f>
        <v>0</v>
      </c>
      <c r="S115" s="3">
        <f>TABL12345[[#This Row],[الفرق بين بداية ونهاية خط  S/S]]+TABL12345[[#This Row],[الفرق بين بداية ونهاية خط  T/B]]</f>
        <v>0</v>
      </c>
      <c r="T115" s="3">
        <f t="shared" si="4"/>
        <v>0</v>
      </c>
      <c r="U115" s="44"/>
      <c r="V115" s="44"/>
      <c r="W115" s="3">
        <f t="shared" si="5"/>
        <v>0</v>
      </c>
      <c r="X115" s="3">
        <f t="shared" si="6"/>
        <v>0</v>
      </c>
      <c r="Y115" s="44"/>
      <c r="Z115" s="45"/>
      <c r="AA115" s="3">
        <f>TABL12345[[#This Row],[(RESV. STORGE) AJD]]/10</f>
        <v>0</v>
      </c>
      <c r="AB115" s="45">
        <f t="shared" si="7"/>
        <v>0</v>
      </c>
      <c r="AC115" s="5"/>
      <c r="AD115" s="40">
        <f>(TABL12345[[#This Row],[( S/S+T/B) AJD]]*1000)-((TABL12345[[#This Row],[(STORGE DIFF.) AJD]]*1000)+TABL12345[[#This Row],[البخر  AJD]]+(TABL12345[[#This Row],[(A/B + A/S) AJD]]*1000))</f>
        <v>0</v>
      </c>
      <c r="AE115" s="44"/>
      <c r="AF115" s="45"/>
      <c r="AG115" s="45"/>
      <c r="AH115" s="6">
        <f>TABL12345[[#This Row],[ (RESV. STORGE) BER]]/10</f>
        <v>0</v>
      </c>
      <c r="AI115" s="44"/>
      <c r="AJ115" s="44">
        <f>TABL12345[[#This Row],[(A/B TOT) AJD]]-TABL12345[[#This Row],[BER_ IN]]</f>
        <v>0</v>
      </c>
      <c r="AK115" s="45"/>
      <c r="AL115" s="45"/>
      <c r="AM115" s="32"/>
      <c r="AN115" s="32">
        <f>TABL12345[[#This Row],[ (RESV. STORGE) SER]]/10</f>
        <v>0</v>
      </c>
      <c r="AO115" s="68"/>
      <c r="AP115" s="68">
        <f>TABL12345[[#This Row],[(A/S TOT) AJD]]-TABL12345[[#This Row],[SER_ IN]]</f>
        <v>0</v>
      </c>
    </row>
    <row r="116" spans="1:42" ht="18.75" x14ac:dyDescent="0.25">
      <c r="A116" s="2">
        <v>47598</v>
      </c>
      <c r="B116" s="41"/>
      <c r="C116" s="41"/>
      <c r="D116" s="41"/>
      <c r="E116" s="41"/>
      <c r="F116" s="41"/>
      <c r="G116" s="39"/>
      <c r="H116" s="28"/>
      <c r="I116" s="39"/>
      <c r="J116" s="39"/>
      <c r="K116" s="28">
        <f>TABL12345[[#This Row],[خط (T/B  TOT) SAR]]+TABL12345[[#This Row],[خط (S/S  TOT) SAR2]]</f>
        <v>0</v>
      </c>
      <c r="L116" s="41"/>
      <c r="M116" s="42"/>
      <c r="N116" s="42"/>
      <c r="O116" s="39"/>
      <c r="P116" s="3">
        <f>TABL12345[[#This Row],[خط (S/S  TOT) SAR2]]-TABL12345[[#This Row],[(S/S TOT) AJD]]</f>
        <v>0</v>
      </c>
      <c r="Q116" s="39"/>
      <c r="R116" s="3">
        <f>TABL12345[[#This Row],[خط (T/B  TOT) SAR]]-TABL12345[[#This Row],[(T/B TOT) AJD]]</f>
        <v>0</v>
      </c>
      <c r="S116" s="3">
        <f>TABL12345[[#This Row],[الفرق بين بداية ونهاية خط  S/S]]+TABL12345[[#This Row],[الفرق بين بداية ونهاية خط  T/B]]</f>
        <v>0</v>
      </c>
      <c r="T116" s="3">
        <f t="shared" si="4"/>
        <v>0</v>
      </c>
      <c r="U116" s="41"/>
      <c r="V116" s="41"/>
      <c r="W116" s="3">
        <f t="shared" si="5"/>
        <v>0</v>
      </c>
      <c r="X116" s="3">
        <f t="shared" si="6"/>
        <v>0</v>
      </c>
      <c r="Y116" s="41"/>
      <c r="Z116" s="43"/>
      <c r="AA116" s="3">
        <f>TABL12345[[#This Row],[(RESV. STORGE) AJD]]/10</f>
        <v>0</v>
      </c>
      <c r="AB116" s="43">
        <f t="shared" si="7"/>
        <v>0</v>
      </c>
      <c r="AC116" s="5"/>
      <c r="AD116" s="39">
        <f>(TABL12345[[#This Row],[( S/S+T/B) AJD]]*1000)-((TABL12345[[#This Row],[(STORGE DIFF.) AJD]]*1000)+TABL12345[[#This Row],[البخر  AJD]]+(TABL12345[[#This Row],[(A/B + A/S) AJD]]*1000))</f>
        <v>0</v>
      </c>
      <c r="AE116" s="41"/>
      <c r="AF116" s="43"/>
      <c r="AG116" s="43"/>
      <c r="AH116" s="6">
        <f>TABL12345[[#This Row],[ (RESV. STORGE) BER]]/10</f>
        <v>0</v>
      </c>
      <c r="AI116" s="41"/>
      <c r="AJ116" s="41">
        <f>TABL12345[[#This Row],[(A/B TOT) AJD]]-TABL12345[[#This Row],[BER_ IN]]</f>
        <v>0</v>
      </c>
      <c r="AK116" s="43"/>
      <c r="AL116" s="43"/>
      <c r="AM116" s="32"/>
      <c r="AN116" s="32">
        <f>TABL12345[[#This Row],[ (RESV. STORGE) SER]]/10</f>
        <v>0</v>
      </c>
      <c r="AO116" s="68"/>
      <c r="AP116" s="68">
        <f>TABL12345[[#This Row],[(A/S TOT) AJD]]-TABL12345[[#This Row],[SER_ IN]]</f>
        <v>0</v>
      </c>
    </row>
    <row r="117" spans="1:42" ht="18.75" x14ac:dyDescent="0.25">
      <c r="A117" s="2">
        <v>47599</v>
      </c>
      <c r="B117" s="44"/>
      <c r="C117" s="67"/>
      <c r="D117" s="44"/>
      <c r="E117" s="44"/>
      <c r="F117" s="44"/>
      <c r="G117" s="40"/>
      <c r="H117" s="28"/>
      <c r="I117" s="40"/>
      <c r="J117" s="44"/>
      <c r="K117" s="28">
        <f>TABL12345[[#This Row],[خط (T/B  TOT) SAR]]+TABL12345[[#This Row],[خط (S/S  TOT) SAR2]]</f>
        <v>0</v>
      </c>
      <c r="L117" s="45"/>
      <c r="M117" s="46"/>
      <c r="N117" s="46"/>
      <c r="O117" s="40"/>
      <c r="P117" s="3">
        <f>TABL12345[[#This Row],[خط (S/S  TOT) SAR2]]-TABL12345[[#This Row],[(S/S TOT) AJD]]</f>
        <v>0</v>
      </c>
      <c r="Q117" s="40"/>
      <c r="R117" s="3">
        <f>TABL12345[[#This Row],[خط (T/B  TOT) SAR]]-TABL12345[[#This Row],[(T/B TOT) AJD]]</f>
        <v>0</v>
      </c>
      <c r="S117" s="3">
        <f>TABL12345[[#This Row],[الفرق بين بداية ونهاية خط  S/S]]+TABL12345[[#This Row],[الفرق بين بداية ونهاية خط  T/B]]</f>
        <v>0</v>
      </c>
      <c r="T117" s="3">
        <f t="shared" si="4"/>
        <v>0</v>
      </c>
      <c r="U117" s="44"/>
      <c r="V117" s="44"/>
      <c r="W117" s="3">
        <f t="shared" si="5"/>
        <v>0</v>
      </c>
      <c r="X117" s="3">
        <f t="shared" si="6"/>
        <v>0</v>
      </c>
      <c r="Y117" s="44"/>
      <c r="Z117" s="45"/>
      <c r="AA117" s="3">
        <f>TABL12345[[#This Row],[(RESV. STORGE) AJD]]/10</f>
        <v>0</v>
      </c>
      <c r="AB117" s="45">
        <f t="shared" si="7"/>
        <v>0</v>
      </c>
      <c r="AC117" s="5"/>
      <c r="AD117" s="40">
        <f>(TABL12345[[#This Row],[( S/S+T/B) AJD]]*1000)-((TABL12345[[#This Row],[(STORGE DIFF.) AJD]]*1000)+TABL12345[[#This Row],[البخر  AJD]]+(TABL12345[[#This Row],[(A/B + A/S) AJD]]*1000))</f>
        <v>0</v>
      </c>
      <c r="AE117" s="44"/>
      <c r="AF117" s="45"/>
      <c r="AG117" s="45"/>
      <c r="AH117" s="6">
        <f>TABL12345[[#This Row],[ (RESV. STORGE) BER]]/10</f>
        <v>0</v>
      </c>
      <c r="AI117" s="44"/>
      <c r="AJ117" s="44">
        <f>TABL12345[[#This Row],[(A/B TOT) AJD]]-TABL12345[[#This Row],[BER_ IN]]</f>
        <v>0</v>
      </c>
      <c r="AK117" s="45"/>
      <c r="AL117" s="45"/>
      <c r="AM117" s="32"/>
      <c r="AN117" s="32">
        <f>TABL12345[[#This Row],[ (RESV. STORGE) SER]]/10</f>
        <v>0</v>
      </c>
      <c r="AO117" s="68"/>
      <c r="AP117" s="68">
        <f>TABL12345[[#This Row],[(A/S TOT) AJD]]-TABL12345[[#This Row],[SER_ IN]]</f>
        <v>0</v>
      </c>
    </row>
    <row r="118" spans="1:42" ht="18.75" x14ac:dyDescent="0.25">
      <c r="A118" s="2">
        <v>47600</v>
      </c>
      <c r="B118" s="41"/>
      <c r="C118" s="41"/>
      <c r="D118" s="41"/>
      <c r="E118" s="41"/>
      <c r="F118" s="41"/>
      <c r="G118" s="39"/>
      <c r="H118" s="28"/>
      <c r="I118" s="39"/>
      <c r="J118" s="39"/>
      <c r="K118" s="28">
        <f>TABL12345[[#This Row],[خط (T/B  TOT) SAR]]+TABL12345[[#This Row],[خط (S/S  TOT) SAR2]]</f>
        <v>0</v>
      </c>
      <c r="L118" s="41"/>
      <c r="M118" s="42"/>
      <c r="N118" s="42"/>
      <c r="O118" s="39"/>
      <c r="P118" s="3">
        <f>TABL12345[[#This Row],[خط (S/S  TOT) SAR2]]-TABL12345[[#This Row],[(S/S TOT) AJD]]</f>
        <v>0</v>
      </c>
      <c r="Q118" s="39"/>
      <c r="R118" s="3">
        <f>TABL12345[[#This Row],[خط (T/B  TOT) SAR]]-TABL12345[[#This Row],[(T/B TOT) AJD]]</f>
        <v>0</v>
      </c>
      <c r="S118" s="3">
        <f>TABL12345[[#This Row],[الفرق بين بداية ونهاية خط  S/S]]+TABL12345[[#This Row],[الفرق بين بداية ونهاية خط  T/B]]</f>
        <v>0</v>
      </c>
      <c r="T118" s="3">
        <f t="shared" si="4"/>
        <v>0</v>
      </c>
      <c r="U118" s="41"/>
      <c r="V118" s="41"/>
      <c r="W118" s="3">
        <f t="shared" si="5"/>
        <v>0</v>
      </c>
      <c r="X118" s="3">
        <f t="shared" si="6"/>
        <v>0</v>
      </c>
      <c r="Y118" s="41"/>
      <c r="Z118" s="43"/>
      <c r="AA118" s="3">
        <f>TABL12345[[#This Row],[(RESV. STORGE) AJD]]/10</f>
        <v>0</v>
      </c>
      <c r="AB118" s="43">
        <f t="shared" si="7"/>
        <v>0</v>
      </c>
      <c r="AC118" s="5"/>
      <c r="AD118" s="39">
        <f>(TABL12345[[#This Row],[( S/S+T/B) AJD]]*1000)-((TABL12345[[#This Row],[(STORGE DIFF.) AJD]]*1000)+TABL12345[[#This Row],[البخر  AJD]]+(TABL12345[[#This Row],[(A/B + A/S) AJD]]*1000))</f>
        <v>0</v>
      </c>
      <c r="AE118" s="41"/>
      <c r="AF118" s="43"/>
      <c r="AG118" s="43"/>
      <c r="AH118" s="6">
        <f>TABL12345[[#This Row],[ (RESV. STORGE) BER]]/10</f>
        <v>0</v>
      </c>
      <c r="AI118" s="41"/>
      <c r="AJ118" s="41">
        <f>TABL12345[[#This Row],[(A/B TOT) AJD]]-TABL12345[[#This Row],[BER_ IN]]</f>
        <v>0</v>
      </c>
      <c r="AK118" s="43"/>
      <c r="AL118" s="43"/>
      <c r="AM118" s="32"/>
      <c r="AN118" s="32">
        <f>TABL12345[[#This Row],[ (RESV. STORGE) SER]]/10</f>
        <v>0</v>
      </c>
      <c r="AO118" s="68"/>
      <c r="AP118" s="68">
        <f>TABL12345[[#This Row],[(A/S TOT) AJD]]-TABL12345[[#This Row],[SER_ IN]]</f>
        <v>0</v>
      </c>
    </row>
    <row r="119" spans="1:42" ht="18.75" x14ac:dyDescent="0.25">
      <c r="A119" s="2">
        <v>47601</v>
      </c>
      <c r="B119" s="44"/>
      <c r="C119" s="44"/>
      <c r="D119" s="44"/>
      <c r="E119" s="44"/>
      <c r="F119" s="44"/>
      <c r="G119" s="40"/>
      <c r="H119" s="28"/>
      <c r="I119" s="40"/>
      <c r="J119" s="44"/>
      <c r="K119" s="28">
        <f>TABL12345[[#This Row],[خط (T/B  TOT) SAR]]+TABL12345[[#This Row],[خط (S/S  TOT) SAR2]]</f>
        <v>0</v>
      </c>
      <c r="L119" s="45"/>
      <c r="M119" s="46"/>
      <c r="N119" s="46"/>
      <c r="O119" s="40"/>
      <c r="P119" s="3">
        <f>TABL12345[[#This Row],[خط (S/S  TOT) SAR2]]-TABL12345[[#This Row],[(S/S TOT) AJD]]</f>
        <v>0</v>
      </c>
      <c r="Q119" s="40"/>
      <c r="R119" s="3">
        <f>TABL12345[[#This Row],[خط (T/B  TOT) SAR]]-TABL12345[[#This Row],[(T/B TOT) AJD]]</f>
        <v>0</v>
      </c>
      <c r="S119" s="3">
        <f>TABL12345[[#This Row],[الفرق بين بداية ونهاية خط  S/S]]+TABL12345[[#This Row],[الفرق بين بداية ونهاية خط  T/B]]</f>
        <v>0</v>
      </c>
      <c r="T119" s="3">
        <f t="shared" si="4"/>
        <v>0</v>
      </c>
      <c r="U119" s="44"/>
      <c r="V119" s="44"/>
      <c r="W119" s="3">
        <f t="shared" si="5"/>
        <v>0</v>
      </c>
      <c r="X119" s="3">
        <f t="shared" si="6"/>
        <v>0</v>
      </c>
      <c r="Y119" s="44"/>
      <c r="Z119" s="45"/>
      <c r="AA119" s="3">
        <f>TABL12345[[#This Row],[(RESV. STORGE) AJD]]/10</f>
        <v>0</v>
      </c>
      <c r="AB119" s="45">
        <f t="shared" si="7"/>
        <v>0</v>
      </c>
      <c r="AC119" s="5"/>
      <c r="AD119" s="40">
        <f>(TABL12345[[#This Row],[( S/S+T/B) AJD]]*1000)-((TABL12345[[#This Row],[(STORGE DIFF.) AJD]]*1000)+TABL12345[[#This Row],[البخر  AJD]]+(TABL12345[[#This Row],[(A/B + A/S) AJD]]*1000))</f>
        <v>0</v>
      </c>
      <c r="AE119" s="44"/>
      <c r="AF119" s="45"/>
      <c r="AG119" s="45"/>
      <c r="AH119" s="6">
        <f>TABL12345[[#This Row],[ (RESV. STORGE) BER]]/10</f>
        <v>0</v>
      </c>
      <c r="AI119" s="44"/>
      <c r="AJ119" s="44">
        <f>TABL12345[[#This Row],[(A/B TOT) AJD]]-TABL12345[[#This Row],[BER_ IN]]</f>
        <v>0</v>
      </c>
      <c r="AK119" s="45"/>
      <c r="AL119" s="45"/>
      <c r="AM119" s="32"/>
      <c r="AN119" s="32">
        <f>TABL12345[[#This Row],[ (RESV. STORGE) SER]]/10</f>
        <v>0</v>
      </c>
      <c r="AO119" s="68"/>
      <c r="AP119" s="68">
        <f>TABL12345[[#This Row],[(A/S TOT) AJD]]-TABL12345[[#This Row],[SER_ IN]]</f>
        <v>0</v>
      </c>
    </row>
    <row r="120" spans="1:42" ht="18.75" x14ac:dyDescent="0.25">
      <c r="A120" s="2">
        <v>47602</v>
      </c>
      <c r="B120" s="41"/>
      <c r="C120" s="41"/>
      <c r="D120" s="41"/>
      <c r="E120" s="41"/>
      <c r="F120" s="41"/>
      <c r="G120" s="39"/>
      <c r="H120" s="28"/>
      <c r="I120" s="39"/>
      <c r="J120" s="39"/>
      <c r="K120" s="28">
        <f>TABL12345[[#This Row],[خط (T/B  TOT) SAR]]+TABL12345[[#This Row],[خط (S/S  TOT) SAR2]]</f>
        <v>0</v>
      </c>
      <c r="L120" s="41"/>
      <c r="M120" s="42"/>
      <c r="N120" s="42"/>
      <c r="O120" s="39"/>
      <c r="P120" s="3">
        <f>TABL12345[[#This Row],[خط (S/S  TOT) SAR2]]-TABL12345[[#This Row],[(S/S TOT) AJD]]</f>
        <v>0</v>
      </c>
      <c r="Q120" s="39"/>
      <c r="R120" s="3">
        <f>TABL12345[[#This Row],[خط (T/B  TOT) SAR]]-TABL12345[[#This Row],[(T/B TOT) AJD]]</f>
        <v>0</v>
      </c>
      <c r="S120" s="3">
        <f>TABL12345[[#This Row],[الفرق بين بداية ونهاية خط  S/S]]+TABL12345[[#This Row],[الفرق بين بداية ونهاية خط  T/B]]</f>
        <v>0</v>
      </c>
      <c r="T120" s="3">
        <f t="shared" si="4"/>
        <v>0</v>
      </c>
      <c r="U120" s="41"/>
      <c r="V120" s="41"/>
      <c r="W120" s="3">
        <f t="shared" si="5"/>
        <v>0</v>
      </c>
      <c r="X120" s="3">
        <f t="shared" si="6"/>
        <v>0</v>
      </c>
      <c r="Y120" s="41"/>
      <c r="Z120" s="43"/>
      <c r="AA120" s="3">
        <f>TABL12345[[#This Row],[(RESV. STORGE) AJD]]/10</f>
        <v>0</v>
      </c>
      <c r="AB120" s="43">
        <f t="shared" si="7"/>
        <v>0</v>
      </c>
      <c r="AC120" s="5"/>
      <c r="AD120" s="39">
        <f>(TABL12345[[#This Row],[( S/S+T/B) AJD]]*1000)-((TABL12345[[#This Row],[(STORGE DIFF.) AJD]]*1000)+TABL12345[[#This Row],[البخر  AJD]]+(TABL12345[[#This Row],[(A/B + A/S) AJD]]*1000))</f>
        <v>0</v>
      </c>
      <c r="AE120" s="41"/>
      <c r="AF120" s="43"/>
      <c r="AG120" s="43"/>
      <c r="AH120" s="6">
        <f>TABL12345[[#This Row],[ (RESV. STORGE) BER]]/10</f>
        <v>0</v>
      </c>
      <c r="AI120" s="41"/>
      <c r="AJ120" s="41">
        <f>TABL12345[[#This Row],[(A/B TOT) AJD]]-TABL12345[[#This Row],[BER_ IN]]</f>
        <v>0</v>
      </c>
      <c r="AK120" s="43"/>
      <c r="AL120" s="43"/>
      <c r="AM120" s="32"/>
      <c r="AN120" s="32">
        <f>TABL12345[[#This Row],[ (RESV. STORGE) SER]]/10</f>
        <v>0</v>
      </c>
      <c r="AO120" s="68"/>
      <c r="AP120" s="68">
        <f>TABL12345[[#This Row],[(A/S TOT) AJD]]-TABL12345[[#This Row],[SER_ IN]]</f>
        <v>0</v>
      </c>
    </row>
    <row r="121" spans="1:42" ht="18.75" x14ac:dyDescent="0.25">
      <c r="A121" s="2">
        <v>47603</v>
      </c>
      <c r="B121" s="44"/>
      <c r="C121" s="44"/>
      <c r="D121" s="44"/>
      <c r="E121" s="44"/>
      <c r="F121" s="44"/>
      <c r="G121" s="40"/>
      <c r="H121" s="28"/>
      <c r="I121" s="40"/>
      <c r="J121" s="44"/>
      <c r="K121" s="28">
        <f>TABL12345[[#This Row],[خط (T/B  TOT) SAR]]+TABL12345[[#This Row],[خط (S/S  TOT) SAR2]]</f>
        <v>0</v>
      </c>
      <c r="L121" s="45"/>
      <c r="M121" s="46"/>
      <c r="N121" s="46"/>
      <c r="O121" s="40"/>
      <c r="P121" s="3">
        <f>TABL12345[[#This Row],[خط (S/S  TOT) SAR2]]-TABL12345[[#This Row],[(S/S TOT) AJD]]</f>
        <v>0</v>
      </c>
      <c r="Q121" s="40"/>
      <c r="R121" s="3">
        <f>TABL12345[[#This Row],[خط (T/B  TOT) SAR]]-TABL12345[[#This Row],[(T/B TOT) AJD]]</f>
        <v>0</v>
      </c>
      <c r="S121" s="3">
        <f>TABL12345[[#This Row],[الفرق بين بداية ونهاية خط  S/S]]+TABL12345[[#This Row],[الفرق بين بداية ونهاية خط  T/B]]</f>
        <v>0</v>
      </c>
      <c r="T121" s="3">
        <f t="shared" si="4"/>
        <v>0</v>
      </c>
      <c r="U121" s="44"/>
      <c r="V121" s="44"/>
      <c r="W121" s="3">
        <f t="shared" si="5"/>
        <v>0</v>
      </c>
      <c r="X121" s="3">
        <f t="shared" si="6"/>
        <v>0</v>
      </c>
      <c r="Y121" s="44"/>
      <c r="Z121" s="45"/>
      <c r="AA121" s="3">
        <f>TABL12345[[#This Row],[(RESV. STORGE) AJD]]/10</f>
        <v>0</v>
      </c>
      <c r="AB121" s="45">
        <f t="shared" si="7"/>
        <v>0</v>
      </c>
      <c r="AC121" s="5"/>
      <c r="AD121" s="40">
        <f>(TABL12345[[#This Row],[( S/S+T/B) AJD]]*1000)-((TABL12345[[#This Row],[(STORGE DIFF.) AJD]]*1000)+TABL12345[[#This Row],[البخر  AJD]]+(TABL12345[[#This Row],[(A/B + A/S) AJD]]*1000))</f>
        <v>0</v>
      </c>
      <c r="AE121" s="44"/>
      <c r="AF121" s="45"/>
      <c r="AG121" s="45"/>
      <c r="AH121" s="6">
        <f>TABL12345[[#This Row],[ (RESV. STORGE) BER]]/10</f>
        <v>0</v>
      </c>
      <c r="AI121" s="44"/>
      <c r="AJ121" s="44">
        <f>TABL12345[[#This Row],[(A/B TOT) AJD]]-TABL12345[[#This Row],[BER_ IN]]</f>
        <v>0</v>
      </c>
      <c r="AK121" s="45"/>
      <c r="AL121" s="45"/>
      <c r="AM121" s="32"/>
      <c r="AN121" s="32">
        <f>TABL12345[[#This Row],[ (RESV. STORGE) SER]]/10</f>
        <v>0</v>
      </c>
      <c r="AO121" s="68"/>
      <c r="AP121" s="68">
        <f>TABL12345[[#This Row],[(A/S TOT) AJD]]-TABL12345[[#This Row],[SER_ IN]]</f>
        <v>0</v>
      </c>
    </row>
    <row r="122" spans="1:42" ht="18.75" x14ac:dyDescent="0.25">
      <c r="A122" s="2">
        <v>47604</v>
      </c>
      <c r="B122" s="41"/>
      <c r="C122" s="41"/>
      <c r="D122" s="41"/>
      <c r="E122" s="41"/>
      <c r="F122" s="41"/>
      <c r="G122" s="39"/>
      <c r="H122" s="28"/>
      <c r="I122" s="39"/>
      <c r="J122" s="39"/>
      <c r="K122" s="28">
        <f>TABL12345[[#This Row],[خط (T/B  TOT) SAR]]+TABL12345[[#This Row],[خط (S/S  TOT) SAR2]]</f>
        <v>0</v>
      </c>
      <c r="L122" s="41"/>
      <c r="M122" s="42"/>
      <c r="N122" s="42"/>
      <c r="O122" s="39"/>
      <c r="P122" s="3">
        <f>TABL12345[[#This Row],[خط (S/S  TOT) SAR2]]-TABL12345[[#This Row],[(S/S TOT) AJD]]</f>
        <v>0</v>
      </c>
      <c r="Q122" s="39"/>
      <c r="R122" s="3">
        <f>TABL12345[[#This Row],[خط (T/B  TOT) SAR]]-TABL12345[[#This Row],[(T/B TOT) AJD]]</f>
        <v>0</v>
      </c>
      <c r="S122" s="3">
        <f>TABL12345[[#This Row],[الفرق بين بداية ونهاية خط  S/S]]+TABL12345[[#This Row],[الفرق بين بداية ونهاية خط  T/B]]</f>
        <v>0</v>
      </c>
      <c r="T122" s="3">
        <f t="shared" si="4"/>
        <v>0</v>
      </c>
      <c r="U122" s="41"/>
      <c r="V122" s="41"/>
      <c r="W122" s="3">
        <f t="shared" si="5"/>
        <v>0</v>
      </c>
      <c r="X122" s="3">
        <f t="shared" si="6"/>
        <v>0</v>
      </c>
      <c r="Y122" s="41"/>
      <c r="Z122" s="43"/>
      <c r="AA122" s="3">
        <f>TABL12345[[#This Row],[(RESV. STORGE) AJD]]/10</f>
        <v>0</v>
      </c>
      <c r="AB122" s="43">
        <f t="shared" si="7"/>
        <v>0</v>
      </c>
      <c r="AC122" s="5"/>
      <c r="AD122" s="39">
        <f>(TABL12345[[#This Row],[( S/S+T/B) AJD]]*1000)-((TABL12345[[#This Row],[(STORGE DIFF.) AJD]]*1000)+TABL12345[[#This Row],[البخر  AJD]]+(TABL12345[[#This Row],[(A/B + A/S) AJD]]*1000))</f>
        <v>0</v>
      </c>
      <c r="AE122" s="41"/>
      <c r="AF122" s="43"/>
      <c r="AG122" s="43"/>
      <c r="AH122" s="6">
        <f>TABL12345[[#This Row],[ (RESV. STORGE) BER]]/10</f>
        <v>0</v>
      </c>
      <c r="AI122" s="41"/>
      <c r="AJ122" s="41">
        <f>TABL12345[[#This Row],[(A/B TOT) AJD]]-TABL12345[[#This Row],[BER_ IN]]</f>
        <v>0</v>
      </c>
      <c r="AK122" s="43"/>
      <c r="AL122" s="43"/>
      <c r="AM122" s="32"/>
      <c r="AN122" s="32">
        <f>TABL12345[[#This Row],[ (RESV. STORGE) SER]]/10</f>
        <v>0</v>
      </c>
      <c r="AO122" s="68"/>
      <c r="AP122" s="68">
        <f>TABL12345[[#This Row],[(A/S TOT) AJD]]-TABL12345[[#This Row],[SER_ IN]]</f>
        <v>0</v>
      </c>
    </row>
    <row r="123" spans="1:42" ht="18.75" x14ac:dyDescent="0.25">
      <c r="A123" s="2">
        <v>47605</v>
      </c>
      <c r="B123" s="44"/>
      <c r="C123" s="44"/>
      <c r="D123" s="44"/>
      <c r="E123" s="44"/>
      <c r="F123" s="44"/>
      <c r="G123" s="40"/>
      <c r="H123" s="28"/>
      <c r="I123" s="40"/>
      <c r="J123" s="44"/>
      <c r="K123" s="28">
        <f>TABL12345[[#This Row],[خط (T/B  TOT) SAR]]+TABL12345[[#This Row],[خط (S/S  TOT) SAR2]]</f>
        <v>0</v>
      </c>
      <c r="L123" s="45"/>
      <c r="M123" s="46"/>
      <c r="N123" s="46"/>
      <c r="O123" s="40"/>
      <c r="P123" s="3">
        <f>TABL12345[[#This Row],[خط (S/S  TOT) SAR2]]-TABL12345[[#This Row],[(S/S TOT) AJD]]</f>
        <v>0</v>
      </c>
      <c r="Q123" s="40"/>
      <c r="R123" s="3">
        <f>TABL12345[[#This Row],[خط (T/B  TOT) SAR]]-TABL12345[[#This Row],[(T/B TOT) AJD]]</f>
        <v>0</v>
      </c>
      <c r="S123" s="3">
        <f>TABL12345[[#This Row],[الفرق بين بداية ونهاية خط  S/S]]+TABL12345[[#This Row],[الفرق بين بداية ونهاية خط  T/B]]</f>
        <v>0</v>
      </c>
      <c r="T123" s="3">
        <f t="shared" si="4"/>
        <v>0</v>
      </c>
      <c r="U123" s="44"/>
      <c r="V123" s="44"/>
      <c r="W123" s="3">
        <f t="shared" si="5"/>
        <v>0</v>
      </c>
      <c r="X123" s="3">
        <f t="shared" si="6"/>
        <v>0</v>
      </c>
      <c r="Y123" s="44"/>
      <c r="Z123" s="45"/>
      <c r="AA123" s="3">
        <f>TABL12345[[#This Row],[(RESV. STORGE) AJD]]/10</f>
        <v>0</v>
      </c>
      <c r="AB123" s="45">
        <f t="shared" si="7"/>
        <v>0</v>
      </c>
      <c r="AC123" s="5"/>
      <c r="AD123" s="40">
        <f>(TABL12345[[#This Row],[( S/S+T/B) AJD]]*1000)-((TABL12345[[#This Row],[(STORGE DIFF.) AJD]]*1000)+TABL12345[[#This Row],[البخر  AJD]]+(TABL12345[[#This Row],[(A/B + A/S) AJD]]*1000))</f>
        <v>0</v>
      </c>
      <c r="AE123" s="44"/>
      <c r="AF123" s="45"/>
      <c r="AG123" s="45"/>
      <c r="AH123" s="6">
        <f>TABL12345[[#This Row],[ (RESV. STORGE) BER]]/10</f>
        <v>0</v>
      </c>
      <c r="AI123" s="44"/>
      <c r="AJ123" s="44">
        <f>TABL12345[[#This Row],[(A/B TOT) AJD]]-TABL12345[[#This Row],[BER_ IN]]</f>
        <v>0</v>
      </c>
      <c r="AK123" s="45"/>
      <c r="AL123" s="45"/>
      <c r="AM123" s="32"/>
      <c r="AN123" s="32">
        <f>TABL12345[[#This Row],[ (RESV. STORGE) SER]]/10</f>
        <v>0</v>
      </c>
      <c r="AO123" s="68"/>
      <c r="AP123" s="68">
        <f>TABL12345[[#This Row],[(A/S TOT) AJD]]-TABL12345[[#This Row],[SER_ IN]]</f>
        <v>0</v>
      </c>
    </row>
    <row r="124" spans="1:42" ht="18.75" x14ac:dyDescent="0.25">
      <c r="A124" s="2">
        <v>47606</v>
      </c>
      <c r="B124" s="41"/>
      <c r="C124" s="41"/>
      <c r="D124" s="41"/>
      <c r="E124" s="41"/>
      <c r="F124" s="41"/>
      <c r="G124" s="39"/>
      <c r="H124" s="28"/>
      <c r="I124" s="39"/>
      <c r="J124" s="39"/>
      <c r="K124" s="28">
        <f>TABL12345[[#This Row],[خط (T/B  TOT) SAR]]+TABL12345[[#This Row],[خط (S/S  TOT) SAR2]]</f>
        <v>0</v>
      </c>
      <c r="L124" s="41"/>
      <c r="M124" s="42"/>
      <c r="N124" s="42"/>
      <c r="O124" s="39"/>
      <c r="P124" s="3">
        <f>TABL12345[[#This Row],[خط (S/S  TOT) SAR2]]-TABL12345[[#This Row],[(S/S TOT) AJD]]</f>
        <v>0</v>
      </c>
      <c r="Q124" s="39"/>
      <c r="R124" s="3">
        <f>TABL12345[[#This Row],[خط (T/B  TOT) SAR]]-TABL12345[[#This Row],[(T/B TOT) AJD]]</f>
        <v>0</v>
      </c>
      <c r="S124" s="3">
        <f>TABL12345[[#This Row],[الفرق بين بداية ونهاية خط  S/S]]+TABL12345[[#This Row],[الفرق بين بداية ونهاية خط  T/B]]</f>
        <v>0</v>
      </c>
      <c r="T124" s="3">
        <f t="shared" si="4"/>
        <v>0</v>
      </c>
      <c r="U124" s="41"/>
      <c r="V124" s="41"/>
      <c r="W124" s="3">
        <f t="shared" si="5"/>
        <v>0</v>
      </c>
      <c r="X124" s="3">
        <f t="shared" si="6"/>
        <v>0</v>
      </c>
      <c r="Y124" s="41"/>
      <c r="Z124" s="43"/>
      <c r="AA124" s="3">
        <f>TABL12345[[#This Row],[(RESV. STORGE) AJD]]/10</f>
        <v>0</v>
      </c>
      <c r="AB124" s="43">
        <f t="shared" si="7"/>
        <v>0</v>
      </c>
      <c r="AC124" s="5"/>
      <c r="AD124" s="39">
        <f>(TABL12345[[#This Row],[( S/S+T/B) AJD]]*1000)-((TABL12345[[#This Row],[(STORGE DIFF.) AJD]]*1000)+TABL12345[[#This Row],[البخر  AJD]]+(TABL12345[[#This Row],[(A/B + A/S) AJD]]*1000))</f>
        <v>0</v>
      </c>
      <c r="AE124" s="41"/>
      <c r="AF124" s="43"/>
      <c r="AG124" s="43"/>
      <c r="AH124" s="6">
        <f>TABL12345[[#This Row],[ (RESV. STORGE) BER]]/10</f>
        <v>0</v>
      </c>
      <c r="AI124" s="41"/>
      <c r="AJ124" s="41">
        <f>TABL12345[[#This Row],[(A/B TOT) AJD]]-TABL12345[[#This Row],[BER_ IN]]</f>
        <v>0</v>
      </c>
      <c r="AK124" s="43"/>
      <c r="AL124" s="43"/>
      <c r="AM124" s="32"/>
      <c r="AN124" s="32">
        <f>TABL12345[[#This Row],[ (RESV. STORGE) SER]]/10</f>
        <v>0</v>
      </c>
      <c r="AO124" s="68"/>
      <c r="AP124" s="68">
        <f>TABL12345[[#This Row],[(A/S TOT) AJD]]-TABL12345[[#This Row],[SER_ IN]]</f>
        <v>0</v>
      </c>
    </row>
    <row r="125" spans="1:42" ht="18.75" x14ac:dyDescent="0.25">
      <c r="A125" s="2">
        <v>47607</v>
      </c>
      <c r="B125" s="44"/>
      <c r="C125" s="44"/>
      <c r="D125" s="44"/>
      <c r="E125" s="44"/>
      <c r="F125" s="44"/>
      <c r="G125" s="40"/>
      <c r="H125" s="28"/>
      <c r="I125" s="40"/>
      <c r="J125" s="44"/>
      <c r="K125" s="28">
        <f>TABL12345[[#This Row],[خط (T/B  TOT) SAR]]+TABL12345[[#This Row],[خط (S/S  TOT) SAR2]]</f>
        <v>0</v>
      </c>
      <c r="L125" s="45"/>
      <c r="M125" s="46"/>
      <c r="N125" s="46"/>
      <c r="O125" s="40"/>
      <c r="P125" s="3">
        <f>TABL12345[[#This Row],[خط (S/S  TOT) SAR2]]-TABL12345[[#This Row],[(S/S TOT) AJD]]</f>
        <v>0</v>
      </c>
      <c r="Q125" s="40"/>
      <c r="R125" s="3">
        <f>TABL12345[[#This Row],[خط (T/B  TOT) SAR]]-TABL12345[[#This Row],[(T/B TOT) AJD]]</f>
        <v>0</v>
      </c>
      <c r="S125" s="3">
        <f>TABL12345[[#This Row],[الفرق بين بداية ونهاية خط  S/S]]+TABL12345[[#This Row],[الفرق بين بداية ونهاية خط  T/B]]</f>
        <v>0</v>
      </c>
      <c r="T125" s="3">
        <f t="shared" si="4"/>
        <v>0</v>
      </c>
      <c r="U125" s="44"/>
      <c r="V125" s="44"/>
      <c r="W125" s="3">
        <f t="shared" si="5"/>
        <v>0</v>
      </c>
      <c r="X125" s="3">
        <f t="shared" si="6"/>
        <v>0</v>
      </c>
      <c r="Y125" s="44"/>
      <c r="Z125" s="45"/>
      <c r="AA125" s="3">
        <f>TABL12345[[#This Row],[(RESV. STORGE) AJD]]/10</f>
        <v>0</v>
      </c>
      <c r="AB125" s="45">
        <f t="shared" si="7"/>
        <v>0</v>
      </c>
      <c r="AC125" s="5"/>
      <c r="AD125" s="40">
        <f>(TABL12345[[#This Row],[( S/S+T/B) AJD]]*1000)-((TABL12345[[#This Row],[(STORGE DIFF.) AJD]]*1000)+TABL12345[[#This Row],[البخر  AJD]]+(TABL12345[[#This Row],[(A/B + A/S) AJD]]*1000))</f>
        <v>0</v>
      </c>
      <c r="AE125" s="44"/>
      <c r="AF125" s="45"/>
      <c r="AG125" s="45"/>
      <c r="AH125" s="6">
        <f>TABL12345[[#This Row],[ (RESV. STORGE) BER]]/10</f>
        <v>0</v>
      </c>
      <c r="AI125" s="44"/>
      <c r="AJ125" s="44">
        <f>TABL12345[[#This Row],[(A/B TOT) AJD]]-TABL12345[[#This Row],[BER_ IN]]</f>
        <v>0</v>
      </c>
      <c r="AK125" s="45"/>
      <c r="AL125" s="45"/>
      <c r="AM125" s="32"/>
      <c r="AN125" s="32">
        <f>TABL12345[[#This Row],[ (RESV. STORGE) SER]]/10</f>
        <v>0</v>
      </c>
      <c r="AO125" s="68"/>
      <c r="AP125" s="68">
        <f>TABL12345[[#This Row],[(A/S TOT) AJD]]-TABL12345[[#This Row],[SER_ IN]]</f>
        <v>0</v>
      </c>
    </row>
    <row r="126" spans="1:42" ht="18.75" x14ac:dyDescent="0.25">
      <c r="A126" s="2">
        <v>47608</v>
      </c>
      <c r="B126" s="41"/>
      <c r="C126" s="41"/>
      <c r="D126" s="41"/>
      <c r="E126" s="41"/>
      <c r="F126" s="41"/>
      <c r="G126" s="39"/>
      <c r="H126" s="28"/>
      <c r="I126" s="39"/>
      <c r="J126" s="39"/>
      <c r="K126" s="28">
        <f>TABL12345[[#This Row],[خط (T/B  TOT) SAR]]+TABL12345[[#This Row],[خط (S/S  TOT) SAR2]]</f>
        <v>0</v>
      </c>
      <c r="L126" s="41"/>
      <c r="M126" s="42"/>
      <c r="N126" s="42"/>
      <c r="O126" s="39"/>
      <c r="P126" s="3">
        <f>TABL12345[[#This Row],[خط (S/S  TOT) SAR2]]-TABL12345[[#This Row],[(S/S TOT) AJD]]</f>
        <v>0</v>
      </c>
      <c r="Q126" s="39"/>
      <c r="R126" s="3">
        <f>TABL12345[[#This Row],[خط (T/B  TOT) SAR]]-TABL12345[[#This Row],[(T/B TOT) AJD]]</f>
        <v>0</v>
      </c>
      <c r="S126" s="3">
        <f>TABL12345[[#This Row],[الفرق بين بداية ونهاية خط  S/S]]+TABL12345[[#This Row],[الفرق بين بداية ونهاية خط  T/B]]</f>
        <v>0</v>
      </c>
      <c r="T126" s="3">
        <f t="shared" si="4"/>
        <v>0</v>
      </c>
      <c r="U126" s="41"/>
      <c r="V126" s="41"/>
      <c r="W126" s="3">
        <f t="shared" si="5"/>
        <v>0</v>
      </c>
      <c r="X126" s="3">
        <f t="shared" si="6"/>
        <v>0</v>
      </c>
      <c r="Y126" s="41"/>
      <c r="Z126" s="43"/>
      <c r="AA126" s="3">
        <f>TABL12345[[#This Row],[(RESV. STORGE) AJD]]/10</f>
        <v>0</v>
      </c>
      <c r="AB126" s="43">
        <f t="shared" si="7"/>
        <v>0</v>
      </c>
      <c r="AC126" s="5"/>
      <c r="AD126" s="39">
        <f>(TABL12345[[#This Row],[( S/S+T/B) AJD]]*1000)-((TABL12345[[#This Row],[(STORGE DIFF.) AJD]]*1000)+TABL12345[[#This Row],[البخر  AJD]]+(TABL12345[[#This Row],[(A/B + A/S) AJD]]*1000))</f>
        <v>0</v>
      </c>
      <c r="AE126" s="41"/>
      <c r="AF126" s="43"/>
      <c r="AG126" s="43"/>
      <c r="AH126" s="6">
        <f>TABL12345[[#This Row],[ (RESV. STORGE) BER]]/10</f>
        <v>0</v>
      </c>
      <c r="AI126" s="41"/>
      <c r="AJ126" s="41">
        <f>TABL12345[[#This Row],[(A/B TOT) AJD]]-TABL12345[[#This Row],[BER_ IN]]</f>
        <v>0</v>
      </c>
      <c r="AK126" s="43"/>
      <c r="AL126" s="43"/>
      <c r="AM126" s="32"/>
      <c r="AN126" s="32">
        <f>TABL12345[[#This Row],[ (RESV. STORGE) SER]]/10</f>
        <v>0</v>
      </c>
      <c r="AO126" s="68"/>
      <c r="AP126" s="68">
        <f>TABL12345[[#This Row],[(A/S TOT) AJD]]-TABL12345[[#This Row],[SER_ IN]]</f>
        <v>0</v>
      </c>
    </row>
    <row r="127" spans="1:42" ht="18.75" x14ac:dyDescent="0.25">
      <c r="A127" s="2">
        <v>47609</v>
      </c>
      <c r="B127" s="44"/>
      <c r="C127" s="44"/>
      <c r="D127" s="44"/>
      <c r="E127" s="44"/>
      <c r="F127" s="44"/>
      <c r="G127" s="40"/>
      <c r="H127" s="28"/>
      <c r="I127" s="40"/>
      <c r="J127" s="44"/>
      <c r="K127" s="28">
        <f>TABL12345[[#This Row],[خط (T/B  TOT) SAR]]+TABL12345[[#This Row],[خط (S/S  TOT) SAR2]]</f>
        <v>0</v>
      </c>
      <c r="L127" s="45"/>
      <c r="M127" s="46"/>
      <c r="N127" s="46"/>
      <c r="O127" s="40"/>
      <c r="P127" s="3">
        <f>TABL12345[[#This Row],[خط (S/S  TOT) SAR2]]-TABL12345[[#This Row],[(S/S TOT) AJD]]</f>
        <v>0</v>
      </c>
      <c r="Q127" s="40"/>
      <c r="R127" s="3">
        <f>TABL12345[[#This Row],[خط (T/B  TOT) SAR]]-TABL12345[[#This Row],[(T/B TOT) AJD]]</f>
        <v>0</v>
      </c>
      <c r="S127" s="3">
        <f>TABL12345[[#This Row],[الفرق بين بداية ونهاية خط  S/S]]+TABL12345[[#This Row],[الفرق بين بداية ونهاية خط  T/B]]</f>
        <v>0</v>
      </c>
      <c r="T127" s="3">
        <f t="shared" si="4"/>
        <v>0</v>
      </c>
      <c r="U127" s="44"/>
      <c r="V127" s="44"/>
      <c r="W127" s="3">
        <f t="shared" si="5"/>
        <v>0</v>
      </c>
      <c r="X127" s="3">
        <f t="shared" si="6"/>
        <v>0</v>
      </c>
      <c r="Y127" s="44"/>
      <c r="Z127" s="45"/>
      <c r="AA127" s="3">
        <f>TABL12345[[#This Row],[(RESV. STORGE) AJD]]/10</f>
        <v>0</v>
      </c>
      <c r="AB127" s="45">
        <f t="shared" si="7"/>
        <v>0</v>
      </c>
      <c r="AC127" s="5"/>
      <c r="AD127" s="40">
        <f>(TABL12345[[#This Row],[( S/S+T/B) AJD]]*1000)-((TABL12345[[#This Row],[(STORGE DIFF.) AJD]]*1000)+TABL12345[[#This Row],[البخر  AJD]]+(TABL12345[[#This Row],[(A/B + A/S) AJD]]*1000))</f>
        <v>0</v>
      </c>
      <c r="AE127" s="44"/>
      <c r="AF127" s="45"/>
      <c r="AG127" s="45"/>
      <c r="AH127" s="6">
        <f>TABL12345[[#This Row],[ (RESV. STORGE) BER]]/10</f>
        <v>0</v>
      </c>
      <c r="AI127" s="44"/>
      <c r="AJ127" s="44">
        <f>TABL12345[[#This Row],[(A/B TOT) AJD]]-TABL12345[[#This Row],[BER_ IN]]</f>
        <v>0</v>
      </c>
      <c r="AK127" s="45"/>
      <c r="AL127" s="45"/>
      <c r="AM127" s="32"/>
      <c r="AN127" s="32">
        <f>TABL12345[[#This Row],[ (RESV. STORGE) SER]]/10</f>
        <v>0</v>
      </c>
      <c r="AO127" s="68"/>
      <c r="AP127" s="68">
        <f>TABL12345[[#This Row],[(A/S TOT) AJD]]-TABL12345[[#This Row],[SER_ IN]]</f>
        <v>0</v>
      </c>
    </row>
    <row r="128" spans="1:42" ht="18.75" x14ac:dyDescent="0.25">
      <c r="A128" s="2">
        <v>47610</v>
      </c>
      <c r="B128" s="41"/>
      <c r="C128" s="41"/>
      <c r="D128" s="41"/>
      <c r="E128" s="41"/>
      <c r="F128" s="41"/>
      <c r="G128" s="39"/>
      <c r="H128" s="28"/>
      <c r="I128" s="39"/>
      <c r="J128" s="39"/>
      <c r="K128" s="28">
        <f>TABL12345[[#This Row],[خط (T/B  TOT) SAR]]+TABL12345[[#This Row],[خط (S/S  TOT) SAR2]]</f>
        <v>0</v>
      </c>
      <c r="L128" s="41"/>
      <c r="M128" s="42"/>
      <c r="N128" s="42"/>
      <c r="O128" s="39"/>
      <c r="P128" s="3">
        <f>TABL12345[[#This Row],[خط (S/S  TOT) SAR2]]-TABL12345[[#This Row],[(S/S TOT) AJD]]</f>
        <v>0</v>
      </c>
      <c r="Q128" s="39"/>
      <c r="R128" s="3">
        <f>TABL12345[[#This Row],[خط (T/B  TOT) SAR]]-TABL12345[[#This Row],[(T/B TOT) AJD]]</f>
        <v>0</v>
      </c>
      <c r="S128" s="3">
        <f>TABL12345[[#This Row],[الفرق بين بداية ونهاية خط  S/S]]+TABL12345[[#This Row],[الفرق بين بداية ونهاية خط  T/B]]</f>
        <v>0</v>
      </c>
      <c r="T128" s="3">
        <f t="shared" si="4"/>
        <v>0</v>
      </c>
      <c r="U128" s="41"/>
      <c r="V128" s="41"/>
      <c r="W128" s="3">
        <f t="shared" si="5"/>
        <v>0</v>
      </c>
      <c r="X128" s="3">
        <f t="shared" si="6"/>
        <v>0</v>
      </c>
      <c r="Y128" s="41"/>
      <c r="Z128" s="43"/>
      <c r="AA128" s="3">
        <f>TABL12345[[#This Row],[(RESV. STORGE) AJD]]/10</f>
        <v>0</v>
      </c>
      <c r="AB128" s="43">
        <f t="shared" si="7"/>
        <v>0</v>
      </c>
      <c r="AC128" s="5"/>
      <c r="AD128" s="39">
        <f>(TABL12345[[#This Row],[( S/S+T/B) AJD]]*1000)-((TABL12345[[#This Row],[(STORGE DIFF.) AJD]]*1000)+TABL12345[[#This Row],[البخر  AJD]]+(TABL12345[[#This Row],[(A/B + A/S) AJD]]*1000))</f>
        <v>0</v>
      </c>
      <c r="AE128" s="41"/>
      <c r="AF128" s="43"/>
      <c r="AG128" s="43"/>
      <c r="AH128" s="6">
        <f>TABL12345[[#This Row],[ (RESV. STORGE) BER]]/10</f>
        <v>0</v>
      </c>
      <c r="AI128" s="41"/>
      <c r="AJ128" s="41">
        <f>TABL12345[[#This Row],[(A/B TOT) AJD]]-TABL12345[[#This Row],[BER_ IN]]</f>
        <v>0</v>
      </c>
      <c r="AK128" s="43"/>
      <c r="AL128" s="43"/>
      <c r="AM128" s="32"/>
      <c r="AN128" s="32">
        <f>TABL12345[[#This Row],[ (RESV. STORGE) SER]]/10</f>
        <v>0</v>
      </c>
      <c r="AO128" s="68"/>
      <c r="AP128" s="68">
        <f>TABL12345[[#This Row],[(A/S TOT) AJD]]-TABL12345[[#This Row],[SER_ IN]]</f>
        <v>0</v>
      </c>
    </row>
    <row r="129" spans="1:42" ht="18.75" x14ac:dyDescent="0.25">
      <c r="A129" s="2">
        <v>47611</v>
      </c>
      <c r="B129" s="44"/>
      <c r="C129" s="44"/>
      <c r="D129" s="44"/>
      <c r="E129" s="44"/>
      <c r="F129" s="44"/>
      <c r="G129" s="40"/>
      <c r="H129" s="28"/>
      <c r="I129" s="40"/>
      <c r="J129" s="44"/>
      <c r="K129" s="28">
        <f>TABL12345[[#This Row],[خط (T/B  TOT) SAR]]+TABL12345[[#This Row],[خط (S/S  TOT) SAR2]]</f>
        <v>0</v>
      </c>
      <c r="L129" s="45"/>
      <c r="M129" s="46"/>
      <c r="N129" s="46"/>
      <c r="O129" s="40"/>
      <c r="P129" s="3">
        <f>TABL12345[[#This Row],[خط (S/S  TOT) SAR2]]-TABL12345[[#This Row],[(S/S TOT) AJD]]</f>
        <v>0</v>
      </c>
      <c r="Q129" s="40"/>
      <c r="R129" s="3">
        <f>TABL12345[[#This Row],[خط (T/B  TOT) SAR]]-TABL12345[[#This Row],[(T/B TOT) AJD]]</f>
        <v>0</v>
      </c>
      <c r="S129" s="3">
        <f>TABL12345[[#This Row],[الفرق بين بداية ونهاية خط  S/S]]+TABL12345[[#This Row],[الفرق بين بداية ونهاية خط  T/B]]</f>
        <v>0</v>
      </c>
      <c r="T129" s="3">
        <f t="shared" si="4"/>
        <v>0</v>
      </c>
      <c r="U129" s="44"/>
      <c r="V129" s="44"/>
      <c r="W129" s="3">
        <f t="shared" si="5"/>
        <v>0</v>
      </c>
      <c r="X129" s="3">
        <f t="shared" si="6"/>
        <v>0</v>
      </c>
      <c r="Y129" s="44"/>
      <c r="Z129" s="45"/>
      <c r="AA129" s="3">
        <f>TABL12345[[#This Row],[(RESV. STORGE) AJD]]/10</f>
        <v>0</v>
      </c>
      <c r="AB129" s="45">
        <f t="shared" si="7"/>
        <v>0</v>
      </c>
      <c r="AC129" s="5"/>
      <c r="AD129" s="40">
        <f>(TABL12345[[#This Row],[( S/S+T/B) AJD]]*1000)-((TABL12345[[#This Row],[(STORGE DIFF.) AJD]]*1000)+TABL12345[[#This Row],[البخر  AJD]]+(TABL12345[[#This Row],[(A/B + A/S) AJD]]*1000))</f>
        <v>0</v>
      </c>
      <c r="AE129" s="44"/>
      <c r="AF129" s="45"/>
      <c r="AG129" s="45"/>
      <c r="AH129" s="6">
        <f>TABL12345[[#This Row],[ (RESV. STORGE) BER]]/10</f>
        <v>0</v>
      </c>
      <c r="AI129" s="44"/>
      <c r="AJ129" s="44">
        <f>TABL12345[[#This Row],[(A/B TOT) AJD]]-TABL12345[[#This Row],[BER_ IN]]</f>
        <v>0</v>
      </c>
      <c r="AK129" s="45"/>
      <c r="AL129" s="45"/>
      <c r="AM129" s="32"/>
      <c r="AN129" s="32">
        <f>TABL12345[[#This Row],[ (RESV. STORGE) SER]]/10</f>
        <v>0</v>
      </c>
      <c r="AO129" s="68"/>
      <c r="AP129" s="68">
        <f>TABL12345[[#This Row],[(A/S TOT) AJD]]-TABL12345[[#This Row],[SER_ IN]]</f>
        <v>0</v>
      </c>
    </row>
    <row r="130" spans="1:42" ht="18.75" x14ac:dyDescent="0.25">
      <c r="A130" s="2">
        <v>47612</v>
      </c>
      <c r="B130" s="41"/>
      <c r="C130" s="41"/>
      <c r="D130" s="41"/>
      <c r="E130" s="41"/>
      <c r="F130" s="41"/>
      <c r="G130" s="39"/>
      <c r="H130" s="28"/>
      <c r="I130" s="39"/>
      <c r="J130" s="39"/>
      <c r="K130" s="28">
        <f>TABL12345[[#This Row],[خط (T/B  TOT) SAR]]+TABL12345[[#This Row],[خط (S/S  TOT) SAR2]]</f>
        <v>0</v>
      </c>
      <c r="L130" s="41"/>
      <c r="M130" s="42"/>
      <c r="N130" s="42"/>
      <c r="O130" s="39"/>
      <c r="P130" s="3">
        <f>TABL12345[[#This Row],[خط (S/S  TOT) SAR2]]-TABL12345[[#This Row],[(S/S TOT) AJD]]</f>
        <v>0</v>
      </c>
      <c r="Q130" s="39"/>
      <c r="R130" s="3">
        <f>TABL12345[[#This Row],[خط (T/B  TOT) SAR]]-TABL12345[[#This Row],[(T/B TOT) AJD]]</f>
        <v>0</v>
      </c>
      <c r="S130" s="3">
        <f>TABL12345[[#This Row],[الفرق بين بداية ونهاية خط  S/S]]+TABL12345[[#This Row],[الفرق بين بداية ونهاية خط  T/B]]</f>
        <v>0</v>
      </c>
      <c r="T130" s="3">
        <f t="shared" ref="T130:T193" si="8">O130+Q130</f>
        <v>0</v>
      </c>
      <c r="U130" s="41"/>
      <c r="V130" s="41"/>
      <c r="W130" s="3">
        <f t="shared" ref="W130:W193" si="9">U130+V130</f>
        <v>0</v>
      </c>
      <c r="X130" s="3">
        <f t="shared" ref="X130:X193" si="10">T130-W130</f>
        <v>0</v>
      </c>
      <c r="Y130" s="41"/>
      <c r="Z130" s="43"/>
      <c r="AA130" s="3">
        <f>TABL12345[[#This Row],[(RESV. STORGE) AJD]]/10</f>
        <v>0</v>
      </c>
      <c r="AB130" s="43">
        <f t="shared" si="7"/>
        <v>0</v>
      </c>
      <c r="AC130" s="5"/>
      <c r="AD130" s="39">
        <f>(TABL12345[[#This Row],[( S/S+T/B) AJD]]*1000)-((TABL12345[[#This Row],[(STORGE DIFF.) AJD]]*1000)+TABL12345[[#This Row],[البخر  AJD]]+(TABL12345[[#This Row],[(A/B + A/S) AJD]]*1000))</f>
        <v>0</v>
      </c>
      <c r="AE130" s="41"/>
      <c r="AF130" s="43"/>
      <c r="AG130" s="43"/>
      <c r="AH130" s="6">
        <f>TABL12345[[#This Row],[ (RESV. STORGE) BER]]/10</f>
        <v>0</v>
      </c>
      <c r="AI130" s="41"/>
      <c r="AJ130" s="41">
        <f>TABL12345[[#This Row],[(A/B TOT) AJD]]-TABL12345[[#This Row],[BER_ IN]]</f>
        <v>0</v>
      </c>
      <c r="AK130" s="43"/>
      <c r="AL130" s="43"/>
      <c r="AM130" s="32"/>
      <c r="AN130" s="32">
        <f>TABL12345[[#This Row],[ (RESV. STORGE) SER]]/10</f>
        <v>0</v>
      </c>
      <c r="AO130" s="68"/>
      <c r="AP130" s="68">
        <f>TABL12345[[#This Row],[(A/S TOT) AJD]]-TABL12345[[#This Row],[SER_ IN]]</f>
        <v>0</v>
      </c>
    </row>
    <row r="131" spans="1:42" ht="18.75" x14ac:dyDescent="0.25">
      <c r="A131" s="2">
        <v>47613</v>
      </c>
      <c r="B131" s="44"/>
      <c r="C131" s="44"/>
      <c r="D131" s="44"/>
      <c r="E131" s="44"/>
      <c r="F131" s="44"/>
      <c r="G131" s="40"/>
      <c r="H131" s="28"/>
      <c r="I131" s="40"/>
      <c r="J131" s="44"/>
      <c r="K131" s="28">
        <f>TABL12345[[#This Row],[خط (T/B  TOT) SAR]]+TABL12345[[#This Row],[خط (S/S  TOT) SAR2]]</f>
        <v>0</v>
      </c>
      <c r="L131" s="45"/>
      <c r="M131" s="46"/>
      <c r="N131" s="46"/>
      <c r="O131" s="40"/>
      <c r="P131" s="3">
        <f>TABL12345[[#This Row],[خط (S/S  TOT) SAR2]]-TABL12345[[#This Row],[(S/S TOT) AJD]]</f>
        <v>0</v>
      </c>
      <c r="Q131" s="40"/>
      <c r="R131" s="3">
        <f>TABL12345[[#This Row],[خط (T/B  TOT) SAR]]-TABL12345[[#This Row],[(T/B TOT) AJD]]</f>
        <v>0</v>
      </c>
      <c r="S131" s="3">
        <f>TABL12345[[#This Row],[الفرق بين بداية ونهاية خط  S/S]]+TABL12345[[#This Row],[الفرق بين بداية ونهاية خط  T/B]]</f>
        <v>0</v>
      </c>
      <c r="T131" s="3">
        <f t="shared" si="8"/>
        <v>0</v>
      </c>
      <c r="U131" s="44"/>
      <c r="V131" s="44"/>
      <c r="W131" s="3">
        <f t="shared" si="9"/>
        <v>0</v>
      </c>
      <c r="X131" s="3">
        <f t="shared" si="10"/>
        <v>0</v>
      </c>
      <c r="Y131" s="44"/>
      <c r="Z131" s="45"/>
      <c r="AA131" s="3">
        <f>TABL12345[[#This Row],[(RESV. STORGE) AJD]]/10</f>
        <v>0</v>
      </c>
      <c r="AB131" s="45">
        <f t="shared" si="7"/>
        <v>0</v>
      </c>
      <c r="AC131" s="5"/>
      <c r="AD131" s="40">
        <f>(TABL12345[[#This Row],[( S/S+T/B) AJD]]*1000)-((TABL12345[[#This Row],[(STORGE DIFF.) AJD]]*1000)+TABL12345[[#This Row],[البخر  AJD]]+(TABL12345[[#This Row],[(A/B + A/S) AJD]]*1000))</f>
        <v>0</v>
      </c>
      <c r="AE131" s="44"/>
      <c r="AF131" s="45"/>
      <c r="AG131" s="45"/>
      <c r="AH131" s="6">
        <f>TABL12345[[#This Row],[ (RESV. STORGE) BER]]/10</f>
        <v>0</v>
      </c>
      <c r="AI131" s="44"/>
      <c r="AJ131" s="44">
        <f>TABL12345[[#This Row],[(A/B TOT) AJD]]-TABL12345[[#This Row],[BER_ IN]]</f>
        <v>0</v>
      </c>
      <c r="AK131" s="45"/>
      <c r="AL131" s="45"/>
      <c r="AM131" s="32"/>
      <c r="AN131" s="32">
        <f>TABL12345[[#This Row],[ (RESV. STORGE) SER]]/10</f>
        <v>0</v>
      </c>
      <c r="AO131" s="68"/>
      <c r="AP131" s="68">
        <f>TABL12345[[#This Row],[(A/S TOT) AJD]]-TABL12345[[#This Row],[SER_ IN]]</f>
        <v>0</v>
      </c>
    </row>
    <row r="132" spans="1:42" ht="18.75" x14ac:dyDescent="0.25">
      <c r="A132" s="2">
        <v>47614</v>
      </c>
      <c r="B132" s="41"/>
      <c r="C132" s="41"/>
      <c r="D132" s="41"/>
      <c r="E132" s="41"/>
      <c r="F132" s="41"/>
      <c r="G132" s="39"/>
      <c r="H132" s="28"/>
      <c r="I132" s="39"/>
      <c r="J132" s="39"/>
      <c r="K132" s="28">
        <f>TABL12345[[#This Row],[خط (T/B  TOT) SAR]]+TABL12345[[#This Row],[خط (S/S  TOT) SAR2]]</f>
        <v>0</v>
      </c>
      <c r="L132" s="41"/>
      <c r="M132" s="42"/>
      <c r="N132" s="42"/>
      <c r="O132" s="39"/>
      <c r="P132" s="3">
        <f>TABL12345[[#This Row],[خط (S/S  TOT) SAR2]]-TABL12345[[#This Row],[(S/S TOT) AJD]]</f>
        <v>0</v>
      </c>
      <c r="Q132" s="39"/>
      <c r="R132" s="3">
        <f>TABL12345[[#This Row],[خط (T/B  TOT) SAR]]-TABL12345[[#This Row],[(T/B TOT) AJD]]</f>
        <v>0</v>
      </c>
      <c r="S132" s="3">
        <f>TABL12345[[#This Row],[الفرق بين بداية ونهاية خط  S/S]]+TABL12345[[#This Row],[الفرق بين بداية ونهاية خط  T/B]]</f>
        <v>0</v>
      </c>
      <c r="T132" s="3">
        <f t="shared" si="8"/>
        <v>0</v>
      </c>
      <c r="U132" s="41"/>
      <c r="V132" s="41"/>
      <c r="W132" s="3">
        <f t="shared" si="9"/>
        <v>0</v>
      </c>
      <c r="X132" s="3">
        <f t="shared" si="10"/>
        <v>0</v>
      </c>
      <c r="Y132" s="41"/>
      <c r="Z132" s="43"/>
      <c r="AA132" s="3">
        <f>TABL12345[[#This Row],[(RESV. STORGE) AJD]]/10</f>
        <v>0</v>
      </c>
      <c r="AB132" s="43">
        <f t="shared" ref="AB132:AB195" si="11">(Z132-Z131)/1000</f>
        <v>0</v>
      </c>
      <c r="AC132" s="5"/>
      <c r="AD132" s="39">
        <f>(TABL12345[[#This Row],[( S/S+T/B) AJD]]*1000)-((TABL12345[[#This Row],[(STORGE DIFF.) AJD]]*1000)+TABL12345[[#This Row],[البخر  AJD]]+(TABL12345[[#This Row],[(A/B + A/S) AJD]]*1000))</f>
        <v>0</v>
      </c>
      <c r="AE132" s="41"/>
      <c r="AF132" s="43"/>
      <c r="AG132" s="68"/>
      <c r="AH132" s="6">
        <f>TABL12345[[#This Row],[ (RESV. STORGE) BER]]/10</f>
        <v>0</v>
      </c>
      <c r="AI132" s="41"/>
      <c r="AJ132" s="69">
        <f>TABL12345[[#This Row],[(A/B TOT) AJD]]-TABL12345[[#This Row],[BER_ IN]]</f>
        <v>0</v>
      </c>
      <c r="AK132" s="43"/>
      <c r="AL132" s="43"/>
      <c r="AM132" s="32"/>
      <c r="AN132" s="32">
        <f>TABL12345[[#This Row],[ (RESV. STORGE) SER]]/10</f>
        <v>0</v>
      </c>
      <c r="AO132" s="68"/>
      <c r="AP132" s="68">
        <f>TABL12345[[#This Row],[(A/S TOT) AJD]]-TABL12345[[#This Row],[SER_ IN]]</f>
        <v>0</v>
      </c>
    </row>
    <row r="133" spans="1:42" ht="18.75" x14ac:dyDescent="0.25">
      <c r="A133" s="2">
        <v>47615</v>
      </c>
      <c r="B133" s="44"/>
      <c r="C133" s="44"/>
      <c r="D133" s="44"/>
      <c r="E133" s="44"/>
      <c r="F133" s="44"/>
      <c r="G133" s="40"/>
      <c r="H133" s="28"/>
      <c r="I133" s="40"/>
      <c r="J133" s="44"/>
      <c r="K133" s="28">
        <f>TABL12345[[#This Row],[خط (T/B  TOT) SAR]]+TABL12345[[#This Row],[خط (S/S  TOT) SAR2]]</f>
        <v>0</v>
      </c>
      <c r="L133" s="45"/>
      <c r="M133" s="46"/>
      <c r="N133" s="46"/>
      <c r="O133" s="40"/>
      <c r="P133" s="3">
        <f>TABL12345[[#This Row],[خط (S/S  TOT) SAR2]]-TABL12345[[#This Row],[(S/S TOT) AJD]]</f>
        <v>0</v>
      </c>
      <c r="Q133" s="40"/>
      <c r="R133" s="3">
        <f>TABL12345[[#This Row],[خط (T/B  TOT) SAR]]-TABL12345[[#This Row],[(T/B TOT) AJD]]</f>
        <v>0</v>
      </c>
      <c r="S133" s="3">
        <f>TABL12345[[#This Row],[الفرق بين بداية ونهاية خط  S/S]]+TABL12345[[#This Row],[الفرق بين بداية ونهاية خط  T/B]]</f>
        <v>0</v>
      </c>
      <c r="T133" s="3">
        <f t="shared" si="8"/>
        <v>0</v>
      </c>
      <c r="U133" s="44"/>
      <c r="V133" s="44"/>
      <c r="W133" s="3">
        <f t="shared" si="9"/>
        <v>0</v>
      </c>
      <c r="X133" s="3">
        <f t="shared" si="10"/>
        <v>0</v>
      </c>
      <c r="Y133" s="44"/>
      <c r="Z133" s="45"/>
      <c r="AA133" s="3">
        <f>TABL12345[[#This Row],[(RESV. STORGE) AJD]]/10</f>
        <v>0</v>
      </c>
      <c r="AB133" s="45">
        <f t="shared" si="11"/>
        <v>0</v>
      </c>
      <c r="AC133" s="5"/>
      <c r="AD133" s="40">
        <f>(TABL12345[[#This Row],[( S/S+T/B) AJD]]*1000)-((TABL12345[[#This Row],[(STORGE DIFF.) AJD]]*1000)+TABL12345[[#This Row],[البخر  AJD]]+(TABL12345[[#This Row],[(A/B + A/S) AJD]]*1000))</f>
        <v>0</v>
      </c>
      <c r="AE133" s="44"/>
      <c r="AF133" s="45"/>
      <c r="AG133" s="45"/>
      <c r="AH133" s="6">
        <f>TABL12345[[#This Row],[ (RESV. STORGE) BER]]/10</f>
        <v>0</v>
      </c>
      <c r="AI133" s="44"/>
      <c r="AJ133" s="44">
        <f>TABL12345[[#This Row],[(A/B TOT) AJD]]-TABL12345[[#This Row],[BER_ IN]]</f>
        <v>0</v>
      </c>
      <c r="AK133" s="45"/>
      <c r="AL133" s="45"/>
      <c r="AM133" s="32"/>
      <c r="AN133" s="32">
        <f>TABL12345[[#This Row],[ (RESV. STORGE) SER]]/10</f>
        <v>0</v>
      </c>
      <c r="AO133" s="68"/>
      <c r="AP133" s="68">
        <f>TABL12345[[#This Row],[(A/S TOT) AJD]]-TABL12345[[#This Row],[SER_ IN]]</f>
        <v>0</v>
      </c>
    </row>
    <row r="134" spans="1:42" ht="18.75" x14ac:dyDescent="0.25">
      <c r="A134" s="2">
        <v>47616</v>
      </c>
      <c r="B134" s="41"/>
      <c r="C134" s="41"/>
      <c r="D134" s="41"/>
      <c r="E134" s="41"/>
      <c r="F134" s="41"/>
      <c r="G134" s="39"/>
      <c r="H134" s="28"/>
      <c r="I134" s="39"/>
      <c r="J134" s="39"/>
      <c r="K134" s="28">
        <f>TABL12345[[#This Row],[خط (T/B  TOT) SAR]]+TABL12345[[#This Row],[خط (S/S  TOT) SAR2]]</f>
        <v>0</v>
      </c>
      <c r="L134" s="41"/>
      <c r="M134" s="42"/>
      <c r="N134" s="42"/>
      <c r="O134" s="39"/>
      <c r="P134" s="3">
        <f>TABL12345[[#This Row],[خط (S/S  TOT) SAR2]]-TABL12345[[#This Row],[(S/S TOT) AJD]]</f>
        <v>0</v>
      </c>
      <c r="Q134" s="39"/>
      <c r="R134" s="3">
        <f>TABL12345[[#This Row],[خط (T/B  TOT) SAR]]-TABL12345[[#This Row],[(T/B TOT) AJD]]</f>
        <v>0</v>
      </c>
      <c r="S134" s="3">
        <f>TABL12345[[#This Row],[الفرق بين بداية ونهاية خط  S/S]]+TABL12345[[#This Row],[الفرق بين بداية ونهاية خط  T/B]]</f>
        <v>0</v>
      </c>
      <c r="T134" s="3">
        <f t="shared" si="8"/>
        <v>0</v>
      </c>
      <c r="U134" s="41"/>
      <c r="V134" s="41"/>
      <c r="W134" s="3">
        <f t="shared" si="9"/>
        <v>0</v>
      </c>
      <c r="X134" s="3">
        <f t="shared" si="10"/>
        <v>0</v>
      </c>
      <c r="Y134" s="41"/>
      <c r="Z134" s="43"/>
      <c r="AA134" s="3">
        <f>TABL12345[[#This Row],[(RESV. STORGE) AJD]]/10</f>
        <v>0</v>
      </c>
      <c r="AB134" s="43">
        <f t="shared" si="11"/>
        <v>0</v>
      </c>
      <c r="AC134" s="5"/>
      <c r="AD134" s="39">
        <f>(TABL12345[[#This Row],[( S/S+T/B) AJD]]*1000)-((TABL12345[[#This Row],[(STORGE DIFF.) AJD]]*1000)+TABL12345[[#This Row],[البخر  AJD]]+(TABL12345[[#This Row],[(A/B + A/S) AJD]]*1000))</f>
        <v>0</v>
      </c>
      <c r="AE134" s="41"/>
      <c r="AF134" s="43"/>
      <c r="AG134" s="43"/>
      <c r="AH134" s="6">
        <f>TABL12345[[#This Row],[ (RESV. STORGE) BER]]/10</f>
        <v>0</v>
      </c>
      <c r="AI134" s="41"/>
      <c r="AJ134" s="41">
        <f>TABL12345[[#This Row],[(A/B TOT) AJD]]-TABL12345[[#This Row],[BER_ IN]]</f>
        <v>0</v>
      </c>
      <c r="AK134" s="43"/>
      <c r="AL134" s="43"/>
      <c r="AM134" s="32"/>
      <c r="AN134" s="32">
        <f>TABL12345[[#This Row],[ (RESV. STORGE) SER]]/10</f>
        <v>0</v>
      </c>
      <c r="AO134" s="68"/>
      <c r="AP134" s="68">
        <f>TABL12345[[#This Row],[(A/S TOT) AJD]]-TABL12345[[#This Row],[SER_ IN]]</f>
        <v>0</v>
      </c>
    </row>
    <row r="135" spans="1:42" ht="18.75" x14ac:dyDescent="0.25">
      <c r="A135" s="2">
        <v>47617</v>
      </c>
      <c r="B135" s="44"/>
      <c r="C135" s="44"/>
      <c r="D135" s="44"/>
      <c r="E135" s="44"/>
      <c r="F135" s="44"/>
      <c r="G135" s="40"/>
      <c r="H135" s="28"/>
      <c r="I135" s="40"/>
      <c r="J135" s="44"/>
      <c r="K135" s="28">
        <f>TABL12345[[#This Row],[خط (T/B  TOT) SAR]]+TABL12345[[#This Row],[خط (S/S  TOT) SAR2]]</f>
        <v>0</v>
      </c>
      <c r="L135" s="45"/>
      <c r="M135" s="46"/>
      <c r="N135" s="46"/>
      <c r="O135" s="40"/>
      <c r="P135" s="3">
        <f>TABL12345[[#This Row],[خط (S/S  TOT) SAR2]]-TABL12345[[#This Row],[(S/S TOT) AJD]]</f>
        <v>0</v>
      </c>
      <c r="Q135" s="40"/>
      <c r="R135" s="3">
        <f>TABL12345[[#This Row],[خط (T/B  TOT) SAR]]-TABL12345[[#This Row],[(T/B TOT) AJD]]</f>
        <v>0</v>
      </c>
      <c r="S135" s="3">
        <f>TABL12345[[#This Row],[الفرق بين بداية ونهاية خط  S/S]]+TABL12345[[#This Row],[الفرق بين بداية ونهاية خط  T/B]]</f>
        <v>0</v>
      </c>
      <c r="T135" s="3">
        <f t="shared" si="8"/>
        <v>0</v>
      </c>
      <c r="U135" s="44"/>
      <c r="V135" s="44"/>
      <c r="W135" s="3">
        <f t="shared" si="9"/>
        <v>0</v>
      </c>
      <c r="X135" s="3">
        <f t="shared" si="10"/>
        <v>0</v>
      </c>
      <c r="Y135" s="44"/>
      <c r="Z135" s="45"/>
      <c r="AA135" s="3">
        <f>TABL12345[[#This Row],[(RESV. STORGE) AJD]]/10</f>
        <v>0</v>
      </c>
      <c r="AB135" s="45">
        <f t="shared" si="11"/>
        <v>0</v>
      </c>
      <c r="AC135" s="5"/>
      <c r="AD135" s="40">
        <f>(TABL12345[[#This Row],[( S/S+T/B) AJD]]*1000)-((TABL12345[[#This Row],[(STORGE DIFF.) AJD]]*1000)+TABL12345[[#This Row],[البخر  AJD]]+(TABL12345[[#This Row],[(A/B + A/S) AJD]]*1000))</f>
        <v>0</v>
      </c>
      <c r="AE135" s="44"/>
      <c r="AF135" s="45"/>
      <c r="AG135" s="45"/>
      <c r="AH135" s="6">
        <f>TABL12345[[#This Row],[ (RESV. STORGE) BER]]/10</f>
        <v>0</v>
      </c>
      <c r="AI135" s="44"/>
      <c r="AJ135" s="44">
        <f>TABL12345[[#This Row],[(A/B TOT) AJD]]-TABL12345[[#This Row],[BER_ IN]]</f>
        <v>0</v>
      </c>
      <c r="AK135" s="45"/>
      <c r="AL135" s="45"/>
      <c r="AM135" s="32"/>
      <c r="AN135" s="32">
        <f>TABL12345[[#This Row],[ (RESV. STORGE) SER]]/10</f>
        <v>0</v>
      </c>
      <c r="AO135" s="68"/>
      <c r="AP135" s="68">
        <f>TABL12345[[#This Row],[(A/S TOT) AJD]]-TABL12345[[#This Row],[SER_ IN]]</f>
        <v>0</v>
      </c>
    </row>
    <row r="136" spans="1:42" ht="18.75" x14ac:dyDescent="0.25">
      <c r="A136" s="2">
        <v>47618</v>
      </c>
      <c r="B136" s="41"/>
      <c r="C136" s="41"/>
      <c r="D136" s="41"/>
      <c r="E136" s="41"/>
      <c r="F136" s="41"/>
      <c r="G136" s="39"/>
      <c r="H136" s="28"/>
      <c r="I136" s="39"/>
      <c r="J136" s="39"/>
      <c r="K136" s="28">
        <f>TABL12345[[#This Row],[خط (T/B  TOT) SAR]]+TABL12345[[#This Row],[خط (S/S  TOT) SAR2]]</f>
        <v>0</v>
      </c>
      <c r="L136" s="41"/>
      <c r="M136" s="42"/>
      <c r="N136" s="42"/>
      <c r="O136" s="39"/>
      <c r="P136" s="3">
        <f>TABL12345[[#This Row],[خط (S/S  TOT) SAR2]]-TABL12345[[#This Row],[(S/S TOT) AJD]]</f>
        <v>0</v>
      </c>
      <c r="Q136" s="39"/>
      <c r="R136" s="3">
        <f>TABL12345[[#This Row],[خط (T/B  TOT) SAR]]-TABL12345[[#This Row],[(T/B TOT) AJD]]</f>
        <v>0</v>
      </c>
      <c r="S136" s="3">
        <f>TABL12345[[#This Row],[الفرق بين بداية ونهاية خط  S/S]]+TABL12345[[#This Row],[الفرق بين بداية ونهاية خط  T/B]]</f>
        <v>0</v>
      </c>
      <c r="T136" s="3">
        <f t="shared" si="8"/>
        <v>0</v>
      </c>
      <c r="U136" s="41"/>
      <c r="V136" s="41"/>
      <c r="W136" s="3">
        <f t="shared" si="9"/>
        <v>0</v>
      </c>
      <c r="X136" s="3">
        <f t="shared" si="10"/>
        <v>0</v>
      </c>
      <c r="Y136" s="41"/>
      <c r="Z136" s="43"/>
      <c r="AA136" s="3">
        <f>TABL12345[[#This Row],[(RESV. STORGE) AJD]]/10</f>
        <v>0</v>
      </c>
      <c r="AB136" s="43">
        <f t="shared" si="11"/>
        <v>0</v>
      </c>
      <c r="AC136" s="5"/>
      <c r="AD136" s="39">
        <f>(TABL12345[[#This Row],[( S/S+T/B) AJD]]*1000)-((TABL12345[[#This Row],[(STORGE DIFF.) AJD]]*1000)+TABL12345[[#This Row],[البخر  AJD]]+(TABL12345[[#This Row],[(A/B + A/S) AJD]]*1000))</f>
        <v>0</v>
      </c>
      <c r="AE136" s="41"/>
      <c r="AF136" s="43"/>
      <c r="AG136" s="43"/>
      <c r="AH136" s="6">
        <f>TABL12345[[#This Row],[ (RESV. STORGE) BER]]/10</f>
        <v>0</v>
      </c>
      <c r="AI136" s="41"/>
      <c r="AJ136" s="41">
        <f>TABL12345[[#This Row],[(A/B TOT) AJD]]-TABL12345[[#This Row],[BER_ IN]]</f>
        <v>0</v>
      </c>
      <c r="AK136" s="43"/>
      <c r="AL136" s="43"/>
      <c r="AM136" s="32"/>
      <c r="AN136" s="32">
        <f>TABL12345[[#This Row],[ (RESV. STORGE) SER]]/10</f>
        <v>0</v>
      </c>
      <c r="AO136" s="68"/>
      <c r="AP136" s="68">
        <f>TABL12345[[#This Row],[(A/S TOT) AJD]]-TABL12345[[#This Row],[SER_ IN]]</f>
        <v>0</v>
      </c>
    </row>
    <row r="137" spans="1:42" ht="18.75" x14ac:dyDescent="0.25">
      <c r="A137" s="2">
        <v>47619</v>
      </c>
      <c r="B137" s="44"/>
      <c r="C137" s="44"/>
      <c r="D137" s="44"/>
      <c r="E137" s="44"/>
      <c r="F137" s="44"/>
      <c r="G137" s="40"/>
      <c r="H137" s="28"/>
      <c r="I137" s="40"/>
      <c r="J137" s="44"/>
      <c r="K137" s="28">
        <f>TABL12345[[#This Row],[خط (T/B  TOT) SAR]]+TABL12345[[#This Row],[خط (S/S  TOT) SAR2]]</f>
        <v>0</v>
      </c>
      <c r="L137" s="45"/>
      <c r="M137" s="46"/>
      <c r="N137" s="46"/>
      <c r="O137" s="40"/>
      <c r="P137" s="3">
        <f>TABL12345[[#This Row],[خط (S/S  TOT) SAR2]]-TABL12345[[#This Row],[(S/S TOT) AJD]]</f>
        <v>0</v>
      </c>
      <c r="Q137" s="40"/>
      <c r="R137" s="3">
        <f>TABL12345[[#This Row],[خط (T/B  TOT) SAR]]-TABL12345[[#This Row],[(T/B TOT) AJD]]</f>
        <v>0</v>
      </c>
      <c r="S137" s="3">
        <f>TABL12345[[#This Row],[الفرق بين بداية ونهاية خط  S/S]]+TABL12345[[#This Row],[الفرق بين بداية ونهاية خط  T/B]]</f>
        <v>0</v>
      </c>
      <c r="T137" s="3">
        <f t="shared" si="8"/>
        <v>0</v>
      </c>
      <c r="U137" s="44"/>
      <c r="V137" s="44"/>
      <c r="W137" s="3">
        <f t="shared" si="9"/>
        <v>0</v>
      </c>
      <c r="X137" s="3">
        <f t="shared" si="10"/>
        <v>0</v>
      </c>
      <c r="Y137" s="44"/>
      <c r="Z137" s="45"/>
      <c r="AA137" s="3">
        <f>TABL12345[[#This Row],[(RESV. STORGE) AJD]]/10</f>
        <v>0</v>
      </c>
      <c r="AB137" s="45">
        <f t="shared" si="11"/>
        <v>0</v>
      </c>
      <c r="AC137" s="5"/>
      <c r="AD137" s="40">
        <f>(TABL12345[[#This Row],[( S/S+T/B) AJD]]*1000)-((TABL12345[[#This Row],[(STORGE DIFF.) AJD]]*1000)+TABL12345[[#This Row],[البخر  AJD]]+(TABL12345[[#This Row],[(A/B + A/S) AJD]]*1000))</f>
        <v>0</v>
      </c>
      <c r="AE137" s="44"/>
      <c r="AF137" s="45"/>
      <c r="AG137" s="45"/>
      <c r="AH137" s="6">
        <f>TABL12345[[#This Row],[ (RESV. STORGE) BER]]/10</f>
        <v>0</v>
      </c>
      <c r="AI137" s="44"/>
      <c r="AJ137" s="44">
        <f>TABL12345[[#This Row],[(A/B TOT) AJD]]-TABL12345[[#This Row],[BER_ IN]]</f>
        <v>0</v>
      </c>
      <c r="AK137" s="45"/>
      <c r="AL137" s="45"/>
      <c r="AM137" s="32"/>
      <c r="AN137" s="32">
        <f>TABL12345[[#This Row],[ (RESV. STORGE) SER]]/10</f>
        <v>0</v>
      </c>
      <c r="AO137" s="68"/>
      <c r="AP137" s="68">
        <f>TABL12345[[#This Row],[(A/S TOT) AJD]]-TABL12345[[#This Row],[SER_ IN]]</f>
        <v>0</v>
      </c>
    </row>
    <row r="138" spans="1:42" ht="18.75" x14ac:dyDescent="0.25">
      <c r="A138" s="2">
        <v>47620</v>
      </c>
      <c r="B138" s="41"/>
      <c r="C138" s="41"/>
      <c r="D138" s="41"/>
      <c r="E138" s="41"/>
      <c r="F138" s="41"/>
      <c r="G138" s="39"/>
      <c r="H138" s="28"/>
      <c r="I138" s="39"/>
      <c r="J138" s="39"/>
      <c r="K138" s="28">
        <f>TABL12345[[#This Row],[خط (T/B  TOT) SAR]]+TABL12345[[#This Row],[خط (S/S  TOT) SAR2]]</f>
        <v>0</v>
      </c>
      <c r="L138" s="41"/>
      <c r="M138" s="42"/>
      <c r="N138" s="42"/>
      <c r="O138" s="39"/>
      <c r="P138" s="3">
        <f>TABL12345[[#This Row],[خط (S/S  TOT) SAR2]]-TABL12345[[#This Row],[(S/S TOT) AJD]]</f>
        <v>0</v>
      </c>
      <c r="Q138" s="39"/>
      <c r="R138" s="3">
        <f>TABL12345[[#This Row],[خط (T/B  TOT) SAR]]-TABL12345[[#This Row],[(T/B TOT) AJD]]</f>
        <v>0</v>
      </c>
      <c r="S138" s="3">
        <f>TABL12345[[#This Row],[الفرق بين بداية ونهاية خط  S/S]]+TABL12345[[#This Row],[الفرق بين بداية ونهاية خط  T/B]]</f>
        <v>0</v>
      </c>
      <c r="T138" s="3">
        <f t="shared" si="8"/>
        <v>0</v>
      </c>
      <c r="U138" s="41"/>
      <c r="V138" s="41"/>
      <c r="W138" s="3">
        <f t="shared" si="9"/>
        <v>0</v>
      </c>
      <c r="X138" s="3">
        <f t="shared" si="10"/>
        <v>0</v>
      </c>
      <c r="Y138" s="41"/>
      <c r="Z138" s="43"/>
      <c r="AA138" s="3">
        <f>TABL12345[[#This Row],[(RESV. STORGE) AJD]]/10</f>
        <v>0</v>
      </c>
      <c r="AB138" s="43">
        <f t="shared" si="11"/>
        <v>0</v>
      </c>
      <c r="AC138" s="5"/>
      <c r="AD138" s="39">
        <f>(TABL12345[[#This Row],[( S/S+T/B) AJD]]*1000)-((TABL12345[[#This Row],[(STORGE DIFF.) AJD]]*1000)+TABL12345[[#This Row],[البخر  AJD]]+(TABL12345[[#This Row],[(A/B + A/S) AJD]]*1000))</f>
        <v>0</v>
      </c>
      <c r="AE138" s="41"/>
      <c r="AF138" s="43"/>
      <c r="AG138" s="43"/>
      <c r="AH138" s="6">
        <f>TABL12345[[#This Row],[ (RESV. STORGE) BER]]/10</f>
        <v>0</v>
      </c>
      <c r="AI138" s="41"/>
      <c r="AJ138" s="41">
        <f>TABL12345[[#This Row],[(A/B TOT) AJD]]-TABL12345[[#This Row],[BER_ IN]]</f>
        <v>0</v>
      </c>
      <c r="AK138" s="43"/>
      <c r="AL138" s="43"/>
      <c r="AM138" s="32"/>
      <c r="AN138" s="32">
        <f>TABL12345[[#This Row],[ (RESV. STORGE) SER]]/10</f>
        <v>0</v>
      </c>
      <c r="AO138" s="68"/>
      <c r="AP138" s="68">
        <f>TABL12345[[#This Row],[(A/S TOT) AJD]]-TABL12345[[#This Row],[SER_ IN]]</f>
        <v>0</v>
      </c>
    </row>
    <row r="139" spans="1:42" ht="18.75" x14ac:dyDescent="0.25">
      <c r="A139" s="2">
        <v>47621</v>
      </c>
      <c r="B139" s="44"/>
      <c r="C139" s="44"/>
      <c r="D139" s="44"/>
      <c r="E139" s="44"/>
      <c r="F139" s="44"/>
      <c r="G139" s="40"/>
      <c r="H139" s="28"/>
      <c r="I139" s="40"/>
      <c r="J139" s="44"/>
      <c r="K139" s="28">
        <f>TABL12345[[#This Row],[خط (T/B  TOT) SAR]]+TABL12345[[#This Row],[خط (S/S  TOT) SAR2]]</f>
        <v>0</v>
      </c>
      <c r="L139" s="45"/>
      <c r="M139" s="46"/>
      <c r="N139" s="46"/>
      <c r="O139" s="40"/>
      <c r="P139" s="3">
        <f>TABL12345[[#This Row],[خط (S/S  TOT) SAR2]]-TABL12345[[#This Row],[(S/S TOT) AJD]]</f>
        <v>0</v>
      </c>
      <c r="Q139" s="40"/>
      <c r="R139" s="3">
        <f>TABL12345[[#This Row],[خط (T/B  TOT) SAR]]-TABL12345[[#This Row],[(T/B TOT) AJD]]</f>
        <v>0</v>
      </c>
      <c r="S139" s="3">
        <f>TABL12345[[#This Row],[الفرق بين بداية ونهاية خط  S/S]]+TABL12345[[#This Row],[الفرق بين بداية ونهاية خط  T/B]]</f>
        <v>0</v>
      </c>
      <c r="T139" s="3">
        <f t="shared" si="8"/>
        <v>0</v>
      </c>
      <c r="U139" s="44"/>
      <c r="V139" s="44"/>
      <c r="W139" s="3">
        <f t="shared" si="9"/>
        <v>0</v>
      </c>
      <c r="X139" s="3">
        <f t="shared" si="10"/>
        <v>0</v>
      </c>
      <c r="Y139" s="44"/>
      <c r="Z139" s="45"/>
      <c r="AA139" s="3">
        <f>TABL12345[[#This Row],[(RESV. STORGE) AJD]]/10</f>
        <v>0</v>
      </c>
      <c r="AB139" s="45">
        <f t="shared" si="11"/>
        <v>0</v>
      </c>
      <c r="AC139" s="5"/>
      <c r="AD139" s="40">
        <f>(TABL12345[[#This Row],[( S/S+T/B) AJD]]*1000)-((TABL12345[[#This Row],[(STORGE DIFF.) AJD]]*1000)+TABL12345[[#This Row],[البخر  AJD]]+(TABL12345[[#This Row],[(A/B + A/S) AJD]]*1000))</f>
        <v>0</v>
      </c>
      <c r="AE139" s="44"/>
      <c r="AF139" s="45"/>
      <c r="AG139" s="45"/>
      <c r="AH139" s="6">
        <f>TABL12345[[#This Row],[ (RESV. STORGE) BER]]/10</f>
        <v>0</v>
      </c>
      <c r="AI139" s="44"/>
      <c r="AJ139" s="44">
        <f>TABL12345[[#This Row],[(A/B TOT) AJD]]-TABL12345[[#This Row],[BER_ IN]]</f>
        <v>0</v>
      </c>
      <c r="AK139" s="45"/>
      <c r="AL139" s="45"/>
      <c r="AM139" s="32"/>
      <c r="AN139" s="32">
        <f>TABL12345[[#This Row],[ (RESV. STORGE) SER]]/10</f>
        <v>0</v>
      </c>
      <c r="AO139" s="68"/>
      <c r="AP139" s="68">
        <f>TABL12345[[#This Row],[(A/S TOT) AJD]]-TABL12345[[#This Row],[SER_ IN]]</f>
        <v>0</v>
      </c>
    </row>
    <row r="140" spans="1:42" ht="18.75" x14ac:dyDescent="0.25">
      <c r="A140" s="2">
        <v>47622</v>
      </c>
      <c r="B140" s="41"/>
      <c r="C140" s="41"/>
      <c r="D140" s="41"/>
      <c r="E140" s="41"/>
      <c r="F140" s="41"/>
      <c r="G140" s="39"/>
      <c r="H140" s="28"/>
      <c r="I140" s="39"/>
      <c r="J140" s="39"/>
      <c r="K140" s="28">
        <f>TABL12345[[#This Row],[خط (T/B  TOT) SAR]]+TABL12345[[#This Row],[خط (S/S  TOT) SAR2]]</f>
        <v>0</v>
      </c>
      <c r="L140" s="41"/>
      <c r="M140" s="42"/>
      <c r="N140" s="42"/>
      <c r="O140" s="39"/>
      <c r="P140" s="3">
        <f>TABL12345[[#This Row],[خط (S/S  TOT) SAR2]]-TABL12345[[#This Row],[(S/S TOT) AJD]]</f>
        <v>0</v>
      </c>
      <c r="Q140" s="39"/>
      <c r="R140" s="3">
        <f>TABL12345[[#This Row],[خط (T/B  TOT) SAR]]-TABL12345[[#This Row],[(T/B TOT) AJD]]</f>
        <v>0</v>
      </c>
      <c r="S140" s="3">
        <f>TABL12345[[#This Row],[الفرق بين بداية ونهاية خط  S/S]]+TABL12345[[#This Row],[الفرق بين بداية ونهاية خط  T/B]]</f>
        <v>0</v>
      </c>
      <c r="T140" s="3">
        <f t="shared" si="8"/>
        <v>0</v>
      </c>
      <c r="U140" s="41"/>
      <c r="V140" s="41"/>
      <c r="W140" s="3">
        <f t="shared" si="9"/>
        <v>0</v>
      </c>
      <c r="X140" s="3">
        <f t="shared" si="10"/>
        <v>0</v>
      </c>
      <c r="Y140" s="41"/>
      <c r="Z140" s="43"/>
      <c r="AA140" s="3">
        <f>TABL12345[[#This Row],[(RESV. STORGE) AJD]]/10</f>
        <v>0</v>
      </c>
      <c r="AB140" s="43">
        <f t="shared" si="11"/>
        <v>0</v>
      </c>
      <c r="AC140" s="5"/>
      <c r="AD140" s="39">
        <f>(TABL12345[[#This Row],[( S/S+T/B) AJD]]*1000)-((TABL12345[[#This Row],[(STORGE DIFF.) AJD]]*1000)+TABL12345[[#This Row],[البخر  AJD]]+(TABL12345[[#This Row],[(A/B + A/S) AJD]]*1000))</f>
        <v>0</v>
      </c>
      <c r="AE140" s="41"/>
      <c r="AF140" s="43"/>
      <c r="AG140" s="43"/>
      <c r="AH140" s="6">
        <f>TABL12345[[#This Row],[ (RESV. STORGE) BER]]/10</f>
        <v>0</v>
      </c>
      <c r="AI140" s="41"/>
      <c r="AJ140" s="41">
        <f>TABL12345[[#This Row],[(A/B TOT) AJD]]-TABL12345[[#This Row],[BER_ IN]]</f>
        <v>0</v>
      </c>
      <c r="AK140" s="43"/>
      <c r="AL140" s="43"/>
      <c r="AM140" s="32"/>
      <c r="AN140" s="32">
        <f>TABL12345[[#This Row],[ (RESV. STORGE) SER]]/10</f>
        <v>0</v>
      </c>
      <c r="AO140" s="68"/>
      <c r="AP140" s="68">
        <f>TABL12345[[#This Row],[(A/S TOT) AJD]]-TABL12345[[#This Row],[SER_ IN]]</f>
        <v>0</v>
      </c>
    </row>
    <row r="141" spans="1:42" ht="18.75" x14ac:dyDescent="0.25">
      <c r="A141" s="2">
        <v>47623</v>
      </c>
      <c r="B141" s="44"/>
      <c r="C141" s="44"/>
      <c r="D141" s="44"/>
      <c r="E141" s="44"/>
      <c r="F141" s="44"/>
      <c r="G141" s="40"/>
      <c r="H141" s="28"/>
      <c r="I141" s="40"/>
      <c r="J141" s="44"/>
      <c r="K141" s="28">
        <f>TABL12345[[#This Row],[خط (T/B  TOT) SAR]]+TABL12345[[#This Row],[خط (S/S  TOT) SAR2]]</f>
        <v>0</v>
      </c>
      <c r="L141" s="45"/>
      <c r="M141" s="46"/>
      <c r="N141" s="46"/>
      <c r="O141" s="40"/>
      <c r="P141" s="3">
        <f>TABL12345[[#This Row],[خط (S/S  TOT) SAR2]]-TABL12345[[#This Row],[(S/S TOT) AJD]]</f>
        <v>0</v>
      </c>
      <c r="Q141" s="40"/>
      <c r="R141" s="3">
        <f>TABL12345[[#This Row],[خط (T/B  TOT) SAR]]-TABL12345[[#This Row],[(T/B TOT) AJD]]</f>
        <v>0</v>
      </c>
      <c r="S141" s="3">
        <f>TABL12345[[#This Row],[الفرق بين بداية ونهاية خط  S/S]]+TABL12345[[#This Row],[الفرق بين بداية ونهاية خط  T/B]]</f>
        <v>0</v>
      </c>
      <c r="T141" s="3">
        <f t="shared" si="8"/>
        <v>0</v>
      </c>
      <c r="U141" s="44"/>
      <c r="V141" s="44"/>
      <c r="W141" s="3">
        <f t="shared" si="9"/>
        <v>0</v>
      </c>
      <c r="X141" s="3">
        <f t="shared" si="10"/>
        <v>0</v>
      </c>
      <c r="Y141" s="44"/>
      <c r="Z141" s="45"/>
      <c r="AA141" s="3">
        <f>TABL12345[[#This Row],[(RESV. STORGE) AJD]]/10</f>
        <v>0</v>
      </c>
      <c r="AB141" s="45">
        <f t="shared" si="11"/>
        <v>0</v>
      </c>
      <c r="AC141" s="5"/>
      <c r="AD141" s="40">
        <f>(TABL12345[[#This Row],[( S/S+T/B) AJD]]*1000)-((TABL12345[[#This Row],[(STORGE DIFF.) AJD]]*1000)+TABL12345[[#This Row],[البخر  AJD]]+(TABL12345[[#This Row],[(A/B + A/S) AJD]]*1000))</f>
        <v>0</v>
      </c>
      <c r="AE141" s="44"/>
      <c r="AF141" s="45"/>
      <c r="AG141" s="45"/>
      <c r="AH141" s="6">
        <f>TABL12345[[#This Row],[ (RESV. STORGE) BER]]/10</f>
        <v>0</v>
      </c>
      <c r="AI141" s="44"/>
      <c r="AJ141" s="44">
        <f>TABL12345[[#This Row],[(A/B TOT) AJD]]-TABL12345[[#This Row],[BER_ IN]]</f>
        <v>0</v>
      </c>
      <c r="AK141" s="45"/>
      <c r="AL141" s="45"/>
      <c r="AM141" s="32"/>
      <c r="AN141" s="32">
        <f>TABL12345[[#This Row],[ (RESV. STORGE) SER]]/10</f>
        <v>0</v>
      </c>
      <c r="AO141" s="68"/>
      <c r="AP141" s="68">
        <f>TABL12345[[#This Row],[(A/S TOT) AJD]]-TABL12345[[#This Row],[SER_ IN]]</f>
        <v>0</v>
      </c>
    </row>
    <row r="142" spans="1:42" ht="18.75" x14ac:dyDescent="0.25">
      <c r="A142" s="2">
        <v>47624</v>
      </c>
      <c r="B142" s="41"/>
      <c r="C142" s="41"/>
      <c r="D142" s="41"/>
      <c r="E142" s="41"/>
      <c r="F142" s="41"/>
      <c r="G142" s="39"/>
      <c r="H142" s="28"/>
      <c r="I142" s="39"/>
      <c r="J142" s="39"/>
      <c r="K142" s="28">
        <f>TABL12345[[#This Row],[خط (T/B  TOT) SAR]]+TABL12345[[#This Row],[خط (S/S  TOT) SAR2]]</f>
        <v>0</v>
      </c>
      <c r="L142" s="41"/>
      <c r="M142" s="42"/>
      <c r="N142" s="42"/>
      <c r="O142" s="39"/>
      <c r="P142" s="3">
        <f>TABL12345[[#This Row],[خط (S/S  TOT) SAR2]]-TABL12345[[#This Row],[(S/S TOT) AJD]]</f>
        <v>0</v>
      </c>
      <c r="Q142" s="39"/>
      <c r="R142" s="3">
        <f>TABL12345[[#This Row],[خط (T/B  TOT) SAR]]-TABL12345[[#This Row],[(T/B TOT) AJD]]</f>
        <v>0</v>
      </c>
      <c r="S142" s="3">
        <f>TABL12345[[#This Row],[الفرق بين بداية ونهاية خط  S/S]]+TABL12345[[#This Row],[الفرق بين بداية ونهاية خط  T/B]]</f>
        <v>0</v>
      </c>
      <c r="T142" s="3">
        <f t="shared" si="8"/>
        <v>0</v>
      </c>
      <c r="U142" s="41"/>
      <c r="V142" s="41"/>
      <c r="W142" s="3">
        <f t="shared" si="9"/>
        <v>0</v>
      </c>
      <c r="X142" s="3">
        <f t="shared" si="10"/>
        <v>0</v>
      </c>
      <c r="Y142" s="41"/>
      <c r="Z142" s="43"/>
      <c r="AA142" s="3">
        <f>TABL12345[[#This Row],[(RESV. STORGE) AJD]]/10</f>
        <v>0</v>
      </c>
      <c r="AB142" s="43">
        <f t="shared" si="11"/>
        <v>0</v>
      </c>
      <c r="AC142" s="5"/>
      <c r="AD142" s="39">
        <f>(TABL12345[[#This Row],[( S/S+T/B) AJD]]*1000)-((TABL12345[[#This Row],[(STORGE DIFF.) AJD]]*1000)+TABL12345[[#This Row],[البخر  AJD]]+(TABL12345[[#This Row],[(A/B + A/S) AJD]]*1000))</f>
        <v>0</v>
      </c>
      <c r="AE142" s="41"/>
      <c r="AF142" s="43"/>
      <c r="AG142" s="43"/>
      <c r="AH142" s="6">
        <f>TABL12345[[#This Row],[ (RESV. STORGE) BER]]/10</f>
        <v>0</v>
      </c>
      <c r="AI142" s="41"/>
      <c r="AJ142" s="41">
        <f>TABL12345[[#This Row],[(A/B TOT) AJD]]-TABL12345[[#This Row],[BER_ IN]]</f>
        <v>0</v>
      </c>
      <c r="AK142" s="43"/>
      <c r="AL142" s="43"/>
      <c r="AM142" s="32"/>
      <c r="AN142" s="32">
        <f>TABL12345[[#This Row],[ (RESV. STORGE) SER]]/10</f>
        <v>0</v>
      </c>
      <c r="AO142" s="68"/>
      <c r="AP142" s="68">
        <f>TABL12345[[#This Row],[(A/S TOT) AJD]]-TABL12345[[#This Row],[SER_ IN]]</f>
        <v>0</v>
      </c>
    </row>
    <row r="143" spans="1:42" ht="18.75" x14ac:dyDescent="0.25">
      <c r="A143" s="2">
        <v>47625</v>
      </c>
      <c r="B143" s="44"/>
      <c r="C143" s="44"/>
      <c r="D143" s="44"/>
      <c r="E143" s="44"/>
      <c r="F143" s="44"/>
      <c r="G143" s="40"/>
      <c r="H143" s="28"/>
      <c r="I143" s="40"/>
      <c r="J143" s="44"/>
      <c r="K143" s="28">
        <f>TABL12345[[#This Row],[خط (T/B  TOT) SAR]]+TABL12345[[#This Row],[خط (S/S  TOT) SAR2]]</f>
        <v>0</v>
      </c>
      <c r="L143" s="45"/>
      <c r="M143" s="46"/>
      <c r="N143" s="46"/>
      <c r="O143" s="40"/>
      <c r="P143" s="3">
        <f>TABL12345[[#This Row],[خط (S/S  TOT) SAR2]]-TABL12345[[#This Row],[(S/S TOT) AJD]]</f>
        <v>0</v>
      </c>
      <c r="Q143" s="40"/>
      <c r="R143" s="3">
        <f>TABL12345[[#This Row],[خط (T/B  TOT) SAR]]-TABL12345[[#This Row],[(T/B TOT) AJD]]</f>
        <v>0</v>
      </c>
      <c r="S143" s="3">
        <f>TABL12345[[#This Row],[الفرق بين بداية ونهاية خط  S/S]]+TABL12345[[#This Row],[الفرق بين بداية ونهاية خط  T/B]]</f>
        <v>0</v>
      </c>
      <c r="T143" s="3">
        <f t="shared" si="8"/>
        <v>0</v>
      </c>
      <c r="U143" s="44"/>
      <c r="V143" s="44"/>
      <c r="W143" s="3">
        <f t="shared" si="9"/>
        <v>0</v>
      </c>
      <c r="X143" s="3">
        <f t="shared" si="10"/>
        <v>0</v>
      </c>
      <c r="Y143" s="44"/>
      <c r="Z143" s="45"/>
      <c r="AA143" s="3">
        <f>TABL12345[[#This Row],[(RESV. STORGE) AJD]]/10</f>
        <v>0</v>
      </c>
      <c r="AB143" s="45">
        <f t="shared" si="11"/>
        <v>0</v>
      </c>
      <c r="AC143" s="5"/>
      <c r="AD143" s="40">
        <f>(TABL12345[[#This Row],[( S/S+T/B) AJD]]*1000)-((TABL12345[[#This Row],[(STORGE DIFF.) AJD]]*1000)+TABL12345[[#This Row],[البخر  AJD]]+(TABL12345[[#This Row],[(A/B + A/S) AJD]]*1000))</f>
        <v>0</v>
      </c>
      <c r="AE143" s="44"/>
      <c r="AF143" s="45"/>
      <c r="AG143" s="45"/>
      <c r="AH143" s="6">
        <f>TABL12345[[#This Row],[ (RESV. STORGE) BER]]/10</f>
        <v>0</v>
      </c>
      <c r="AI143" s="44"/>
      <c r="AJ143" s="44">
        <f>TABL12345[[#This Row],[(A/B TOT) AJD]]-TABL12345[[#This Row],[BER_ IN]]</f>
        <v>0</v>
      </c>
      <c r="AK143" s="45"/>
      <c r="AL143" s="45"/>
      <c r="AM143" s="32"/>
      <c r="AN143" s="32">
        <f>TABL12345[[#This Row],[ (RESV. STORGE) SER]]/10</f>
        <v>0</v>
      </c>
      <c r="AO143" s="68"/>
      <c r="AP143" s="68">
        <f>TABL12345[[#This Row],[(A/S TOT) AJD]]-TABL12345[[#This Row],[SER_ IN]]</f>
        <v>0</v>
      </c>
    </row>
    <row r="144" spans="1:42" ht="18.75" x14ac:dyDescent="0.25">
      <c r="A144" s="2">
        <v>47626</v>
      </c>
      <c r="B144" s="41"/>
      <c r="C144" s="41"/>
      <c r="D144" s="41"/>
      <c r="E144" s="41"/>
      <c r="F144" s="41"/>
      <c r="G144" s="39"/>
      <c r="H144" s="28"/>
      <c r="I144" s="39"/>
      <c r="J144" s="39"/>
      <c r="K144" s="28">
        <f>TABL12345[[#This Row],[خط (T/B  TOT) SAR]]+TABL12345[[#This Row],[خط (S/S  TOT) SAR2]]</f>
        <v>0</v>
      </c>
      <c r="L144" s="41"/>
      <c r="M144" s="42"/>
      <c r="N144" s="42"/>
      <c r="O144" s="39"/>
      <c r="P144" s="3">
        <f>TABL12345[[#This Row],[خط (S/S  TOT) SAR2]]-TABL12345[[#This Row],[(S/S TOT) AJD]]</f>
        <v>0</v>
      </c>
      <c r="Q144" s="39"/>
      <c r="R144" s="3">
        <f>TABL12345[[#This Row],[خط (T/B  TOT) SAR]]-TABL12345[[#This Row],[(T/B TOT) AJD]]</f>
        <v>0</v>
      </c>
      <c r="S144" s="3">
        <f>TABL12345[[#This Row],[الفرق بين بداية ونهاية خط  S/S]]+TABL12345[[#This Row],[الفرق بين بداية ونهاية خط  T/B]]</f>
        <v>0</v>
      </c>
      <c r="T144" s="3">
        <f t="shared" si="8"/>
        <v>0</v>
      </c>
      <c r="U144" s="41"/>
      <c r="V144" s="41"/>
      <c r="W144" s="3">
        <f t="shared" si="9"/>
        <v>0</v>
      </c>
      <c r="X144" s="3">
        <f t="shared" si="10"/>
        <v>0</v>
      </c>
      <c r="Y144" s="41"/>
      <c r="Z144" s="43"/>
      <c r="AA144" s="3">
        <f>TABL12345[[#This Row],[(RESV. STORGE) AJD]]/10</f>
        <v>0</v>
      </c>
      <c r="AB144" s="43">
        <f t="shared" si="11"/>
        <v>0</v>
      </c>
      <c r="AC144" s="5"/>
      <c r="AD144" s="39">
        <f>(TABL12345[[#This Row],[( S/S+T/B) AJD]]*1000)-((TABL12345[[#This Row],[(STORGE DIFF.) AJD]]*1000)+TABL12345[[#This Row],[البخر  AJD]]+(TABL12345[[#This Row],[(A/B + A/S) AJD]]*1000))</f>
        <v>0</v>
      </c>
      <c r="AE144" s="41"/>
      <c r="AF144" s="43"/>
      <c r="AG144" s="43"/>
      <c r="AH144" s="6">
        <f>TABL12345[[#This Row],[ (RESV. STORGE) BER]]/10</f>
        <v>0</v>
      </c>
      <c r="AI144" s="41"/>
      <c r="AJ144" s="41">
        <f>TABL12345[[#This Row],[(A/B TOT) AJD]]-TABL12345[[#This Row],[BER_ IN]]</f>
        <v>0</v>
      </c>
      <c r="AK144" s="43"/>
      <c r="AL144" s="43"/>
      <c r="AM144" s="32"/>
      <c r="AN144" s="32">
        <f>TABL12345[[#This Row],[ (RESV. STORGE) SER]]/10</f>
        <v>0</v>
      </c>
      <c r="AO144" s="68"/>
      <c r="AP144" s="68">
        <f>TABL12345[[#This Row],[(A/S TOT) AJD]]-TABL12345[[#This Row],[SER_ IN]]</f>
        <v>0</v>
      </c>
    </row>
    <row r="145" spans="1:42" ht="18.75" x14ac:dyDescent="0.25">
      <c r="A145" s="2">
        <v>47627</v>
      </c>
      <c r="B145" s="44"/>
      <c r="C145" s="44"/>
      <c r="D145" s="44"/>
      <c r="E145" s="44"/>
      <c r="F145" s="44"/>
      <c r="G145" s="40"/>
      <c r="H145" s="28"/>
      <c r="I145" s="40"/>
      <c r="J145" s="44"/>
      <c r="K145" s="28">
        <f>TABL12345[[#This Row],[خط (T/B  TOT) SAR]]+TABL12345[[#This Row],[خط (S/S  TOT) SAR2]]</f>
        <v>0</v>
      </c>
      <c r="L145" s="45"/>
      <c r="M145" s="46"/>
      <c r="N145" s="46"/>
      <c r="O145" s="40"/>
      <c r="P145" s="3">
        <f>TABL12345[[#This Row],[خط (S/S  TOT) SAR2]]-TABL12345[[#This Row],[(S/S TOT) AJD]]</f>
        <v>0</v>
      </c>
      <c r="Q145" s="40"/>
      <c r="R145" s="3">
        <f>TABL12345[[#This Row],[خط (T/B  TOT) SAR]]-TABL12345[[#This Row],[(T/B TOT) AJD]]</f>
        <v>0</v>
      </c>
      <c r="S145" s="3">
        <f>TABL12345[[#This Row],[الفرق بين بداية ونهاية خط  S/S]]+TABL12345[[#This Row],[الفرق بين بداية ونهاية خط  T/B]]</f>
        <v>0</v>
      </c>
      <c r="T145" s="3">
        <f t="shared" si="8"/>
        <v>0</v>
      </c>
      <c r="U145" s="44"/>
      <c r="V145" s="44"/>
      <c r="W145" s="3">
        <f t="shared" si="9"/>
        <v>0</v>
      </c>
      <c r="X145" s="3">
        <f t="shared" si="10"/>
        <v>0</v>
      </c>
      <c r="Y145" s="44"/>
      <c r="Z145" s="45"/>
      <c r="AA145" s="3">
        <f>TABL12345[[#This Row],[(RESV. STORGE) AJD]]/10</f>
        <v>0</v>
      </c>
      <c r="AB145" s="45">
        <f t="shared" si="11"/>
        <v>0</v>
      </c>
      <c r="AC145" s="5"/>
      <c r="AD145" s="40">
        <f>(TABL12345[[#This Row],[( S/S+T/B) AJD]]*1000)-((TABL12345[[#This Row],[(STORGE DIFF.) AJD]]*1000)+TABL12345[[#This Row],[البخر  AJD]]+(TABL12345[[#This Row],[(A/B + A/S) AJD]]*1000))</f>
        <v>0</v>
      </c>
      <c r="AE145" s="44"/>
      <c r="AF145" s="45"/>
      <c r="AG145" s="45"/>
      <c r="AH145" s="6">
        <f>TABL12345[[#This Row],[ (RESV. STORGE) BER]]/10</f>
        <v>0</v>
      </c>
      <c r="AI145" s="44"/>
      <c r="AJ145" s="44">
        <f>TABL12345[[#This Row],[(A/B TOT) AJD]]-TABL12345[[#This Row],[BER_ IN]]</f>
        <v>0</v>
      </c>
      <c r="AK145" s="45"/>
      <c r="AL145" s="45"/>
      <c r="AM145" s="32"/>
      <c r="AN145" s="32">
        <f>TABL12345[[#This Row],[ (RESV. STORGE) SER]]/10</f>
        <v>0</v>
      </c>
      <c r="AO145" s="68"/>
      <c r="AP145" s="68">
        <f>TABL12345[[#This Row],[(A/S TOT) AJD]]-TABL12345[[#This Row],[SER_ IN]]</f>
        <v>0</v>
      </c>
    </row>
    <row r="146" spans="1:42" ht="18.75" x14ac:dyDescent="0.25">
      <c r="A146" s="2">
        <v>47628</v>
      </c>
      <c r="B146" s="41"/>
      <c r="C146" s="41"/>
      <c r="D146" s="41"/>
      <c r="E146" s="41"/>
      <c r="F146" s="41"/>
      <c r="G146" s="39"/>
      <c r="H146" s="28"/>
      <c r="I146" s="39"/>
      <c r="J146" s="39"/>
      <c r="K146" s="28">
        <f>TABL12345[[#This Row],[خط (T/B  TOT) SAR]]+TABL12345[[#This Row],[خط (S/S  TOT) SAR2]]</f>
        <v>0</v>
      </c>
      <c r="L146" s="41"/>
      <c r="M146" s="42"/>
      <c r="N146" s="42"/>
      <c r="O146" s="39"/>
      <c r="P146" s="3">
        <f>TABL12345[[#This Row],[خط (S/S  TOT) SAR2]]-TABL12345[[#This Row],[(S/S TOT) AJD]]</f>
        <v>0</v>
      </c>
      <c r="Q146" s="39"/>
      <c r="R146" s="3">
        <f>TABL12345[[#This Row],[خط (T/B  TOT) SAR]]-TABL12345[[#This Row],[(T/B TOT) AJD]]</f>
        <v>0</v>
      </c>
      <c r="S146" s="3">
        <f>TABL12345[[#This Row],[الفرق بين بداية ونهاية خط  S/S]]+TABL12345[[#This Row],[الفرق بين بداية ونهاية خط  T/B]]</f>
        <v>0</v>
      </c>
      <c r="T146" s="3">
        <f t="shared" si="8"/>
        <v>0</v>
      </c>
      <c r="U146" s="41"/>
      <c r="V146" s="41"/>
      <c r="W146" s="3">
        <f t="shared" si="9"/>
        <v>0</v>
      </c>
      <c r="X146" s="3">
        <f t="shared" si="10"/>
        <v>0</v>
      </c>
      <c r="Y146" s="41"/>
      <c r="Z146" s="43"/>
      <c r="AA146" s="3">
        <f>TABL12345[[#This Row],[(RESV. STORGE) AJD]]/10</f>
        <v>0</v>
      </c>
      <c r="AB146" s="43">
        <f t="shared" si="11"/>
        <v>0</v>
      </c>
      <c r="AC146" s="5"/>
      <c r="AD146" s="39">
        <f>(TABL12345[[#This Row],[( S/S+T/B) AJD]]*1000)-((TABL12345[[#This Row],[(STORGE DIFF.) AJD]]*1000)+TABL12345[[#This Row],[البخر  AJD]]+(TABL12345[[#This Row],[(A/B + A/S) AJD]]*1000))</f>
        <v>0</v>
      </c>
      <c r="AE146" s="41"/>
      <c r="AF146" s="43"/>
      <c r="AG146" s="43"/>
      <c r="AH146" s="6">
        <f>TABL12345[[#This Row],[ (RESV. STORGE) BER]]/10</f>
        <v>0</v>
      </c>
      <c r="AI146" s="41"/>
      <c r="AJ146" s="41">
        <f>TABL12345[[#This Row],[(A/B TOT) AJD]]-TABL12345[[#This Row],[BER_ IN]]</f>
        <v>0</v>
      </c>
      <c r="AK146" s="43"/>
      <c r="AL146" s="43"/>
      <c r="AM146" s="32"/>
      <c r="AN146" s="32">
        <f>TABL12345[[#This Row],[ (RESV. STORGE) SER]]/10</f>
        <v>0</v>
      </c>
      <c r="AO146" s="68"/>
      <c r="AP146" s="68">
        <f>TABL12345[[#This Row],[(A/S TOT) AJD]]-TABL12345[[#This Row],[SER_ IN]]</f>
        <v>0</v>
      </c>
    </row>
    <row r="147" spans="1:42" ht="18.75" x14ac:dyDescent="0.25">
      <c r="A147" s="2">
        <v>47629</v>
      </c>
      <c r="B147" s="44"/>
      <c r="C147" s="44"/>
      <c r="D147" s="44"/>
      <c r="E147" s="44"/>
      <c r="F147" s="44"/>
      <c r="G147" s="40"/>
      <c r="H147" s="28"/>
      <c r="I147" s="40"/>
      <c r="J147" s="44"/>
      <c r="K147" s="28">
        <f>TABL12345[[#This Row],[خط (T/B  TOT) SAR]]+TABL12345[[#This Row],[خط (S/S  TOT) SAR2]]</f>
        <v>0</v>
      </c>
      <c r="L147" s="45"/>
      <c r="M147" s="46"/>
      <c r="N147" s="46"/>
      <c r="O147" s="40"/>
      <c r="P147" s="3">
        <f>TABL12345[[#This Row],[خط (S/S  TOT) SAR2]]-TABL12345[[#This Row],[(S/S TOT) AJD]]</f>
        <v>0</v>
      </c>
      <c r="Q147" s="40"/>
      <c r="R147" s="3">
        <f>TABL12345[[#This Row],[خط (T/B  TOT) SAR]]-TABL12345[[#This Row],[(T/B TOT) AJD]]</f>
        <v>0</v>
      </c>
      <c r="S147" s="3">
        <f>TABL12345[[#This Row],[الفرق بين بداية ونهاية خط  S/S]]+TABL12345[[#This Row],[الفرق بين بداية ونهاية خط  T/B]]</f>
        <v>0</v>
      </c>
      <c r="T147" s="3">
        <f t="shared" si="8"/>
        <v>0</v>
      </c>
      <c r="U147" s="44"/>
      <c r="V147" s="44"/>
      <c r="W147" s="3">
        <f t="shared" si="9"/>
        <v>0</v>
      </c>
      <c r="X147" s="3">
        <f t="shared" si="10"/>
        <v>0</v>
      </c>
      <c r="Y147" s="44"/>
      <c r="Z147" s="45"/>
      <c r="AA147" s="3">
        <f>TABL12345[[#This Row],[(RESV. STORGE) AJD]]/10</f>
        <v>0</v>
      </c>
      <c r="AB147" s="45">
        <f t="shared" si="11"/>
        <v>0</v>
      </c>
      <c r="AC147" s="5"/>
      <c r="AD147" s="40">
        <f>(TABL12345[[#This Row],[( S/S+T/B) AJD]]*1000)-((TABL12345[[#This Row],[(STORGE DIFF.) AJD]]*1000)+TABL12345[[#This Row],[البخر  AJD]]+(TABL12345[[#This Row],[(A/B + A/S) AJD]]*1000))</f>
        <v>0</v>
      </c>
      <c r="AE147" s="44"/>
      <c r="AF147" s="45"/>
      <c r="AG147" s="45"/>
      <c r="AH147" s="6">
        <f>TABL12345[[#This Row],[ (RESV. STORGE) BER]]/10</f>
        <v>0</v>
      </c>
      <c r="AI147" s="44"/>
      <c r="AJ147" s="44">
        <f>TABL12345[[#This Row],[(A/B TOT) AJD]]-TABL12345[[#This Row],[BER_ IN]]</f>
        <v>0</v>
      </c>
      <c r="AK147" s="45"/>
      <c r="AL147" s="45"/>
      <c r="AM147" s="32"/>
      <c r="AN147" s="32">
        <f>TABL12345[[#This Row],[ (RESV. STORGE) SER]]/10</f>
        <v>0</v>
      </c>
      <c r="AO147" s="68"/>
      <c r="AP147" s="68">
        <f>TABL12345[[#This Row],[(A/S TOT) AJD]]-TABL12345[[#This Row],[SER_ IN]]</f>
        <v>0</v>
      </c>
    </row>
    <row r="148" spans="1:42" ht="18.75" x14ac:dyDescent="0.25">
      <c r="A148" s="2">
        <v>47630</v>
      </c>
      <c r="B148" s="41"/>
      <c r="C148" s="41"/>
      <c r="D148" s="41"/>
      <c r="E148" s="41"/>
      <c r="F148" s="41"/>
      <c r="G148" s="39"/>
      <c r="H148" s="28"/>
      <c r="I148" s="39"/>
      <c r="J148" s="39"/>
      <c r="K148" s="28">
        <f>TABL12345[[#This Row],[خط (T/B  TOT) SAR]]+TABL12345[[#This Row],[خط (S/S  TOT) SAR2]]</f>
        <v>0</v>
      </c>
      <c r="L148" s="41"/>
      <c r="M148" s="42"/>
      <c r="N148" s="42"/>
      <c r="O148" s="39"/>
      <c r="P148" s="3">
        <f>TABL12345[[#This Row],[خط (S/S  TOT) SAR2]]-TABL12345[[#This Row],[(S/S TOT) AJD]]</f>
        <v>0</v>
      </c>
      <c r="Q148" s="39"/>
      <c r="R148" s="3">
        <f>TABL12345[[#This Row],[خط (T/B  TOT) SAR]]-TABL12345[[#This Row],[(T/B TOT) AJD]]</f>
        <v>0</v>
      </c>
      <c r="S148" s="3">
        <f>TABL12345[[#This Row],[الفرق بين بداية ونهاية خط  S/S]]+TABL12345[[#This Row],[الفرق بين بداية ونهاية خط  T/B]]</f>
        <v>0</v>
      </c>
      <c r="T148" s="3">
        <f t="shared" si="8"/>
        <v>0</v>
      </c>
      <c r="U148" s="41"/>
      <c r="V148" s="41"/>
      <c r="W148" s="3">
        <f t="shared" si="9"/>
        <v>0</v>
      </c>
      <c r="X148" s="3">
        <f t="shared" si="10"/>
        <v>0</v>
      </c>
      <c r="Y148" s="41"/>
      <c r="Z148" s="43"/>
      <c r="AA148" s="3">
        <f>TABL12345[[#This Row],[(RESV. STORGE) AJD]]/10</f>
        <v>0</v>
      </c>
      <c r="AB148" s="43">
        <f t="shared" si="11"/>
        <v>0</v>
      </c>
      <c r="AC148" s="5"/>
      <c r="AD148" s="39">
        <f>(TABL12345[[#This Row],[( S/S+T/B) AJD]]*1000)-((TABL12345[[#This Row],[(STORGE DIFF.) AJD]]*1000)+TABL12345[[#This Row],[البخر  AJD]]+(TABL12345[[#This Row],[(A/B + A/S) AJD]]*1000))</f>
        <v>0</v>
      </c>
      <c r="AE148" s="41"/>
      <c r="AF148" s="43"/>
      <c r="AG148" s="43"/>
      <c r="AH148" s="6">
        <f>TABL12345[[#This Row],[ (RESV. STORGE) BER]]/10</f>
        <v>0</v>
      </c>
      <c r="AI148" s="41"/>
      <c r="AJ148" s="41">
        <f>TABL12345[[#This Row],[(A/B TOT) AJD]]-TABL12345[[#This Row],[BER_ IN]]</f>
        <v>0</v>
      </c>
      <c r="AK148" s="43"/>
      <c r="AL148" s="43"/>
      <c r="AM148" s="32"/>
      <c r="AN148" s="32">
        <f>TABL12345[[#This Row],[ (RESV. STORGE) SER]]/10</f>
        <v>0</v>
      </c>
      <c r="AO148" s="68"/>
      <c r="AP148" s="68">
        <f>TABL12345[[#This Row],[(A/S TOT) AJD]]-TABL12345[[#This Row],[SER_ IN]]</f>
        <v>0</v>
      </c>
    </row>
    <row r="149" spans="1:42" ht="18.75" x14ac:dyDescent="0.25">
      <c r="A149" s="2">
        <v>47631</v>
      </c>
      <c r="B149" s="44"/>
      <c r="C149" s="44"/>
      <c r="D149" s="44"/>
      <c r="E149" s="44"/>
      <c r="F149" s="44"/>
      <c r="G149" s="40"/>
      <c r="H149" s="28"/>
      <c r="I149" s="40"/>
      <c r="J149" s="44"/>
      <c r="K149" s="28">
        <f>TABL12345[[#This Row],[خط (T/B  TOT) SAR]]+TABL12345[[#This Row],[خط (S/S  TOT) SAR2]]</f>
        <v>0</v>
      </c>
      <c r="L149" s="45"/>
      <c r="M149" s="46"/>
      <c r="N149" s="46"/>
      <c r="O149" s="40"/>
      <c r="P149" s="3">
        <f>TABL12345[[#This Row],[خط (S/S  TOT) SAR2]]-TABL12345[[#This Row],[(S/S TOT) AJD]]</f>
        <v>0</v>
      </c>
      <c r="Q149" s="40"/>
      <c r="R149" s="3">
        <f>TABL12345[[#This Row],[خط (T/B  TOT) SAR]]-TABL12345[[#This Row],[(T/B TOT) AJD]]</f>
        <v>0</v>
      </c>
      <c r="S149" s="3">
        <f>TABL12345[[#This Row],[الفرق بين بداية ونهاية خط  S/S]]+TABL12345[[#This Row],[الفرق بين بداية ونهاية خط  T/B]]</f>
        <v>0</v>
      </c>
      <c r="T149" s="3">
        <f t="shared" si="8"/>
        <v>0</v>
      </c>
      <c r="U149" s="44"/>
      <c r="V149" s="44"/>
      <c r="W149" s="3">
        <f t="shared" si="9"/>
        <v>0</v>
      </c>
      <c r="X149" s="3">
        <f t="shared" si="10"/>
        <v>0</v>
      </c>
      <c r="Y149" s="44"/>
      <c r="Z149" s="45"/>
      <c r="AA149" s="3">
        <f>TABL12345[[#This Row],[(RESV. STORGE) AJD]]/10</f>
        <v>0</v>
      </c>
      <c r="AB149" s="45">
        <f t="shared" si="11"/>
        <v>0</v>
      </c>
      <c r="AC149" s="5"/>
      <c r="AD149" s="40">
        <f>(TABL12345[[#This Row],[( S/S+T/B) AJD]]*1000)-((TABL12345[[#This Row],[(STORGE DIFF.) AJD]]*1000)+TABL12345[[#This Row],[البخر  AJD]]+(TABL12345[[#This Row],[(A/B + A/S) AJD]]*1000))</f>
        <v>0</v>
      </c>
      <c r="AE149" s="44"/>
      <c r="AF149" s="45"/>
      <c r="AG149" s="45"/>
      <c r="AH149" s="6">
        <f>TABL12345[[#This Row],[ (RESV. STORGE) BER]]/10</f>
        <v>0</v>
      </c>
      <c r="AI149" s="44"/>
      <c r="AJ149" s="44">
        <f>TABL12345[[#This Row],[(A/B TOT) AJD]]-TABL12345[[#This Row],[BER_ IN]]</f>
        <v>0</v>
      </c>
      <c r="AK149" s="45"/>
      <c r="AL149" s="45"/>
      <c r="AM149" s="32"/>
      <c r="AN149" s="32">
        <f>TABL12345[[#This Row],[ (RESV. STORGE) SER]]/10</f>
        <v>0</v>
      </c>
      <c r="AO149" s="68"/>
      <c r="AP149" s="68">
        <f>TABL12345[[#This Row],[(A/S TOT) AJD]]-TABL12345[[#This Row],[SER_ IN]]</f>
        <v>0</v>
      </c>
    </row>
    <row r="150" spans="1:42" ht="18.75" x14ac:dyDescent="0.25">
      <c r="A150" s="2">
        <v>47632</v>
      </c>
      <c r="B150" s="41"/>
      <c r="C150" s="41"/>
      <c r="D150" s="41"/>
      <c r="E150" s="41"/>
      <c r="F150" s="41"/>
      <c r="G150" s="39"/>
      <c r="H150" s="28"/>
      <c r="I150" s="39"/>
      <c r="J150" s="39"/>
      <c r="K150" s="28">
        <f>TABL12345[[#This Row],[خط (T/B  TOT) SAR]]+TABL12345[[#This Row],[خط (S/S  TOT) SAR2]]</f>
        <v>0</v>
      </c>
      <c r="L150" s="41"/>
      <c r="M150" s="42"/>
      <c r="N150" s="42"/>
      <c r="O150" s="39"/>
      <c r="P150" s="3">
        <f>TABL12345[[#This Row],[خط (S/S  TOT) SAR2]]-TABL12345[[#This Row],[(S/S TOT) AJD]]</f>
        <v>0</v>
      </c>
      <c r="Q150" s="39"/>
      <c r="R150" s="3">
        <f>TABL12345[[#This Row],[خط (T/B  TOT) SAR]]-TABL12345[[#This Row],[(T/B TOT) AJD]]</f>
        <v>0</v>
      </c>
      <c r="S150" s="3">
        <f>TABL12345[[#This Row],[الفرق بين بداية ونهاية خط  S/S]]+TABL12345[[#This Row],[الفرق بين بداية ونهاية خط  T/B]]</f>
        <v>0</v>
      </c>
      <c r="T150" s="3">
        <f t="shared" si="8"/>
        <v>0</v>
      </c>
      <c r="U150" s="41"/>
      <c r="V150" s="41"/>
      <c r="W150" s="3">
        <f t="shared" si="9"/>
        <v>0</v>
      </c>
      <c r="X150" s="3">
        <f t="shared" si="10"/>
        <v>0</v>
      </c>
      <c r="Y150" s="41"/>
      <c r="Z150" s="43"/>
      <c r="AA150" s="3">
        <f>TABL12345[[#This Row],[(RESV. STORGE) AJD]]/10</f>
        <v>0</v>
      </c>
      <c r="AB150" s="43">
        <f t="shared" si="11"/>
        <v>0</v>
      </c>
      <c r="AC150" s="5"/>
      <c r="AD150" s="39">
        <f>(TABL12345[[#This Row],[( S/S+T/B) AJD]]*1000)-((TABL12345[[#This Row],[(STORGE DIFF.) AJD]]*1000)+TABL12345[[#This Row],[البخر  AJD]]+(TABL12345[[#This Row],[(A/B + A/S) AJD]]*1000))</f>
        <v>0</v>
      </c>
      <c r="AE150" s="41"/>
      <c r="AF150" s="43"/>
      <c r="AG150" s="43"/>
      <c r="AH150" s="6">
        <f>TABL12345[[#This Row],[ (RESV. STORGE) BER]]/10</f>
        <v>0</v>
      </c>
      <c r="AI150" s="41"/>
      <c r="AJ150" s="41">
        <f>TABL12345[[#This Row],[(A/B TOT) AJD]]-TABL12345[[#This Row],[BER_ IN]]</f>
        <v>0</v>
      </c>
      <c r="AK150" s="43"/>
      <c r="AL150" s="43"/>
      <c r="AM150" s="32"/>
      <c r="AN150" s="32">
        <f>TABL12345[[#This Row],[ (RESV. STORGE) SER]]/10</f>
        <v>0</v>
      </c>
      <c r="AO150" s="68"/>
      <c r="AP150" s="68">
        <f>TABL12345[[#This Row],[(A/S TOT) AJD]]-TABL12345[[#This Row],[SER_ IN]]</f>
        <v>0</v>
      </c>
    </row>
    <row r="151" spans="1:42" ht="18.75" x14ac:dyDescent="0.25">
      <c r="A151" s="2">
        <v>47633</v>
      </c>
      <c r="B151" s="44"/>
      <c r="C151" s="44"/>
      <c r="D151" s="44"/>
      <c r="E151" s="44"/>
      <c r="F151" s="44"/>
      <c r="G151" s="40"/>
      <c r="H151" s="28"/>
      <c r="I151" s="40"/>
      <c r="J151" s="44"/>
      <c r="K151" s="28">
        <f>TABL12345[[#This Row],[خط (T/B  TOT) SAR]]+TABL12345[[#This Row],[خط (S/S  TOT) SAR2]]</f>
        <v>0</v>
      </c>
      <c r="L151" s="45"/>
      <c r="M151" s="46"/>
      <c r="N151" s="46"/>
      <c r="O151" s="40"/>
      <c r="P151" s="3">
        <f>TABL12345[[#This Row],[خط (S/S  TOT) SAR2]]-TABL12345[[#This Row],[(S/S TOT) AJD]]</f>
        <v>0</v>
      </c>
      <c r="Q151" s="40"/>
      <c r="R151" s="3">
        <f>TABL12345[[#This Row],[خط (T/B  TOT) SAR]]-TABL12345[[#This Row],[(T/B TOT) AJD]]</f>
        <v>0</v>
      </c>
      <c r="S151" s="3">
        <f>TABL12345[[#This Row],[الفرق بين بداية ونهاية خط  S/S]]+TABL12345[[#This Row],[الفرق بين بداية ونهاية خط  T/B]]</f>
        <v>0</v>
      </c>
      <c r="T151" s="3">
        <f t="shared" si="8"/>
        <v>0</v>
      </c>
      <c r="U151" s="44"/>
      <c r="V151" s="44"/>
      <c r="W151" s="3">
        <f t="shared" si="9"/>
        <v>0</v>
      </c>
      <c r="X151" s="3">
        <f t="shared" si="10"/>
        <v>0</v>
      </c>
      <c r="Y151" s="44"/>
      <c r="Z151" s="45"/>
      <c r="AA151" s="3">
        <f>TABL12345[[#This Row],[(RESV. STORGE) AJD]]/10</f>
        <v>0</v>
      </c>
      <c r="AB151" s="45">
        <f t="shared" si="11"/>
        <v>0</v>
      </c>
      <c r="AC151" s="5"/>
      <c r="AD151" s="70">
        <f>(TABL12345[[#This Row],[( S/S+T/B) AJD]]*1000)-((TABL12345[[#This Row],[(STORGE DIFF.) AJD]]*1000)+TABL12345[[#This Row],[البخر  AJD]]+(TABL12345[[#This Row],[(A/B + A/S) AJD]]*1000))</f>
        <v>0</v>
      </c>
      <c r="AE151" s="44"/>
      <c r="AF151" s="45"/>
      <c r="AG151" s="45"/>
      <c r="AH151" s="6">
        <f>TABL12345[[#This Row],[ (RESV. STORGE) BER]]/10</f>
        <v>0</v>
      </c>
      <c r="AI151" s="44"/>
      <c r="AJ151" s="67">
        <f>TABL12345[[#This Row],[(A/B TOT) AJD]]-TABL12345[[#This Row],[BER_ IN]]</f>
        <v>0</v>
      </c>
      <c r="AK151" s="45"/>
      <c r="AL151" s="45"/>
      <c r="AM151" s="32"/>
      <c r="AN151" s="32">
        <f>TABL12345[[#This Row],[ (RESV. STORGE) SER]]/10</f>
        <v>0</v>
      </c>
      <c r="AO151" s="68"/>
      <c r="AP151" s="68">
        <f>TABL12345[[#This Row],[(A/S TOT) AJD]]-TABL12345[[#This Row],[SER_ IN]]</f>
        <v>0</v>
      </c>
    </row>
    <row r="152" spans="1:42" ht="18.75" x14ac:dyDescent="0.25">
      <c r="A152" s="2">
        <v>47634</v>
      </c>
      <c r="B152" s="41"/>
      <c r="C152" s="41"/>
      <c r="D152" s="41"/>
      <c r="E152" s="28"/>
      <c r="F152" s="41"/>
      <c r="G152" s="39"/>
      <c r="H152" s="28"/>
      <c r="I152" s="39"/>
      <c r="J152" s="39"/>
      <c r="K152" s="28">
        <f>TABL12345[[#This Row],[خط (T/B  TOT) SAR]]+TABL12345[[#This Row],[خط (S/S  TOT) SAR2]]</f>
        <v>0</v>
      </c>
      <c r="L152" s="41"/>
      <c r="M152" s="42"/>
      <c r="N152" s="42"/>
      <c r="O152" s="39"/>
      <c r="P152" s="3">
        <f>TABL12345[[#This Row],[خط (S/S  TOT) SAR2]]-TABL12345[[#This Row],[(S/S TOT) AJD]]</f>
        <v>0</v>
      </c>
      <c r="Q152" s="39"/>
      <c r="R152" s="3">
        <f>TABL12345[[#This Row],[خط (T/B  TOT) SAR]]-TABL12345[[#This Row],[(T/B TOT) AJD]]</f>
        <v>0</v>
      </c>
      <c r="S152" s="3">
        <f>TABL12345[[#This Row],[الفرق بين بداية ونهاية خط  S/S]]+TABL12345[[#This Row],[الفرق بين بداية ونهاية خط  T/B]]</f>
        <v>0</v>
      </c>
      <c r="T152" s="3">
        <f t="shared" si="8"/>
        <v>0</v>
      </c>
      <c r="U152" s="41"/>
      <c r="V152" s="41"/>
      <c r="W152" s="3">
        <f t="shared" si="9"/>
        <v>0</v>
      </c>
      <c r="X152" s="3">
        <f t="shared" si="10"/>
        <v>0</v>
      </c>
      <c r="Y152" s="41"/>
      <c r="Z152" s="43"/>
      <c r="AA152" s="3">
        <f>TABL12345[[#This Row],[(RESV. STORGE) AJD]]/10</f>
        <v>0</v>
      </c>
      <c r="AB152" s="43">
        <f t="shared" si="11"/>
        <v>0</v>
      </c>
      <c r="AC152" s="5"/>
      <c r="AD152" s="39">
        <f>(TABL12345[[#This Row],[( S/S+T/B) AJD]]*1000)-((TABL12345[[#This Row],[(STORGE DIFF.) AJD]]*1000)+TABL12345[[#This Row],[البخر  AJD]]+(TABL12345[[#This Row],[(A/B + A/S) AJD]]*1000))</f>
        <v>0</v>
      </c>
      <c r="AE152" s="41"/>
      <c r="AF152" s="43"/>
      <c r="AG152" s="43"/>
      <c r="AH152" s="6">
        <f>TABL12345[[#This Row],[ (RESV. STORGE) BER]]/10</f>
        <v>0</v>
      </c>
      <c r="AI152" s="41"/>
      <c r="AJ152" s="41">
        <f>TABL12345[[#This Row],[(A/B TOT) AJD]]-TABL12345[[#This Row],[BER_ IN]]</f>
        <v>0</v>
      </c>
      <c r="AK152" s="43"/>
      <c r="AL152" s="43"/>
      <c r="AM152" s="32"/>
      <c r="AN152" s="32">
        <f>TABL12345[[#This Row],[ (RESV. STORGE) SER]]/10</f>
        <v>0</v>
      </c>
      <c r="AO152" s="68"/>
      <c r="AP152" s="68">
        <f>TABL12345[[#This Row],[(A/S TOT) AJD]]-TABL12345[[#This Row],[SER_ IN]]</f>
        <v>0</v>
      </c>
    </row>
    <row r="153" spans="1:42" ht="18.75" x14ac:dyDescent="0.25">
      <c r="A153" s="2">
        <v>47635</v>
      </c>
      <c r="B153" s="41"/>
      <c r="C153" s="41"/>
      <c r="D153" s="41"/>
      <c r="E153" s="28"/>
      <c r="F153" s="41"/>
      <c r="G153" s="39"/>
      <c r="H153" s="28"/>
      <c r="I153" s="39"/>
      <c r="J153" s="39"/>
      <c r="K153" s="28">
        <f>TABL12345[[#This Row],[خط (T/B  TOT) SAR]]+TABL12345[[#This Row],[خط (S/S  TOT) SAR2]]</f>
        <v>0</v>
      </c>
      <c r="L153" s="41"/>
      <c r="M153" s="42"/>
      <c r="N153" s="42"/>
      <c r="O153" s="39"/>
      <c r="P153" s="10">
        <f>TABL12345[[#This Row],[خط (S/S  TOT) SAR2]]-TABL12345[[#This Row],[(S/S TOT) AJD]]</f>
        <v>0</v>
      </c>
      <c r="Q153" s="39"/>
      <c r="R153" s="10">
        <f>TABL12345[[#This Row],[خط (T/B  TOT) SAR]]-TABL12345[[#This Row],[(T/B TOT) AJD]]</f>
        <v>0</v>
      </c>
      <c r="S153" s="10">
        <f>TABL12345[[#This Row],[الفرق بين بداية ونهاية خط  S/S]]+TABL12345[[#This Row],[الفرق بين بداية ونهاية خط  T/B]]</f>
        <v>0</v>
      </c>
      <c r="T153" s="10">
        <f t="shared" si="8"/>
        <v>0</v>
      </c>
      <c r="U153" s="41"/>
      <c r="V153" s="41"/>
      <c r="W153" s="10">
        <f t="shared" si="9"/>
        <v>0</v>
      </c>
      <c r="X153" s="10">
        <f t="shared" si="10"/>
        <v>0</v>
      </c>
      <c r="Y153" s="41"/>
      <c r="Z153" s="43"/>
      <c r="AA153" s="3">
        <f>TABL12345[[#This Row],[(RESV. STORGE) AJD]]/10</f>
        <v>0</v>
      </c>
      <c r="AB153" s="43">
        <f t="shared" si="11"/>
        <v>0</v>
      </c>
      <c r="AC153" s="5"/>
      <c r="AD153" s="39">
        <f>(TABL12345[[#This Row],[( S/S+T/B) AJD]]*1000)-((TABL12345[[#This Row],[(STORGE DIFF.) AJD]]*1000)+TABL12345[[#This Row],[البخر  AJD]]+(TABL12345[[#This Row],[(A/B + A/S) AJD]]*1000))</f>
        <v>0</v>
      </c>
      <c r="AE153" s="41"/>
      <c r="AF153" s="43"/>
      <c r="AG153" s="43"/>
      <c r="AH153" s="6">
        <f>TABL12345[[#This Row],[ (RESV. STORGE) BER]]/10</f>
        <v>0</v>
      </c>
      <c r="AI153" s="41"/>
      <c r="AJ153" s="41">
        <f>TABL12345[[#This Row],[(A/B TOT) AJD]]-TABL12345[[#This Row],[BER_ IN]]</f>
        <v>0</v>
      </c>
      <c r="AK153" s="43"/>
      <c r="AL153" s="43"/>
      <c r="AM153" s="32"/>
      <c r="AN153" s="32">
        <f>TABL12345[[#This Row],[ (RESV. STORGE) SER]]/10</f>
        <v>0</v>
      </c>
      <c r="AO153" s="68"/>
      <c r="AP153" s="68">
        <f>TABL12345[[#This Row],[(A/S TOT) AJD]]-TABL12345[[#This Row],[SER_ IN]]</f>
        <v>0</v>
      </c>
    </row>
    <row r="154" spans="1:42" ht="18.75" x14ac:dyDescent="0.25">
      <c r="A154" s="2">
        <v>47636</v>
      </c>
      <c r="B154" s="44"/>
      <c r="C154" s="44"/>
      <c r="D154" s="44"/>
      <c r="E154" s="28"/>
      <c r="F154" s="44"/>
      <c r="G154" s="40"/>
      <c r="H154" s="28"/>
      <c r="I154" s="40"/>
      <c r="J154" s="44"/>
      <c r="K154" s="28">
        <f>TABL12345[[#This Row],[خط (T/B  TOT) SAR]]+TABL12345[[#This Row],[خط (S/S  TOT) SAR2]]</f>
        <v>0</v>
      </c>
      <c r="L154" s="45"/>
      <c r="M154" s="46"/>
      <c r="N154" s="46"/>
      <c r="O154" s="40"/>
      <c r="P154" s="10">
        <f>TABL12345[[#This Row],[خط (S/S  TOT) SAR2]]-TABL12345[[#This Row],[(S/S TOT) AJD]]</f>
        <v>0</v>
      </c>
      <c r="Q154" s="40"/>
      <c r="R154" s="10">
        <f>TABL12345[[#This Row],[خط (T/B  TOT) SAR]]-TABL12345[[#This Row],[(T/B TOT) AJD]]</f>
        <v>0</v>
      </c>
      <c r="S154" s="10">
        <f>TABL12345[[#This Row],[الفرق بين بداية ونهاية خط  S/S]]+TABL12345[[#This Row],[الفرق بين بداية ونهاية خط  T/B]]</f>
        <v>0</v>
      </c>
      <c r="T154" s="10">
        <f t="shared" si="8"/>
        <v>0</v>
      </c>
      <c r="U154" s="44"/>
      <c r="V154" s="44"/>
      <c r="W154" s="10">
        <f t="shared" si="9"/>
        <v>0</v>
      </c>
      <c r="X154" s="10">
        <f t="shared" si="10"/>
        <v>0</v>
      </c>
      <c r="Y154" s="44"/>
      <c r="Z154" s="45"/>
      <c r="AA154" s="3">
        <f>TABL12345[[#This Row],[(RESV. STORGE) AJD]]/10</f>
        <v>0</v>
      </c>
      <c r="AB154" s="45">
        <f t="shared" si="11"/>
        <v>0</v>
      </c>
      <c r="AC154" s="5"/>
      <c r="AD154" s="40">
        <f>(TABL12345[[#This Row],[( S/S+T/B) AJD]]*1000)-((TABL12345[[#This Row],[(STORGE DIFF.) AJD]]*1000)+TABL12345[[#This Row],[البخر  AJD]]+(TABL12345[[#This Row],[(A/B + A/S) AJD]]*1000))</f>
        <v>0</v>
      </c>
      <c r="AE154" s="44"/>
      <c r="AF154" s="45"/>
      <c r="AG154" s="45"/>
      <c r="AH154" s="6">
        <f>TABL12345[[#This Row],[ (RESV. STORGE) BER]]/10</f>
        <v>0</v>
      </c>
      <c r="AI154" s="44"/>
      <c r="AJ154" s="44">
        <f>TABL12345[[#This Row],[(A/B TOT) AJD]]-TABL12345[[#This Row],[BER_ IN]]</f>
        <v>0</v>
      </c>
      <c r="AK154" s="45"/>
      <c r="AL154" s="45"/>
      <c r="AM154" s="32"/>
      <c r="AN154" s="32">
        <f>TABL12345[[#This Row],[ (RESV. STORGE) SER]]/10</f>
        <v>0</v>
      </c>
      <c r="AO154" s="68"/>
      <c r="AP154" s="68">
        <f>TABL12345[[#This Row],[(A/S TOT) AJD]]-TABL12345[[#This Row],[SER_ IN]]</f>
        <v>0</v>
      </c>
    </row>
    <row r="155" spans="1:42" ht="18.75" x14ac:dyDescent="0.25">
      <c r="A155" s="2">
        <v>47637</v>
      </c>
      <c r="B155" s="41"/>
      <c r="C155" s="41"/>
      <c r="D155" s="41"/>
      <c r="E155" s="28"/>
      <c r="F155" s="41"/>
      <c r="G155" s="39"/>
      <c r="H155" s="28"/>
      <c r="I155" s="39"/>
      <c r="J155" s="39"/>
      <c r="K155" s="28">
        <f>TABL12345[[#This Row],[خط (T/B  TOT) SAR]]+TABL12345[[#This Row],[خط (S/S  TOT) SAR2]]</f>
        <v>0</v>
      </c>
      <c r="L155" s="41"/>
      <c r="M155" s="42"/>
      <c r="N155" s="42"/>
      <c r="O155" s="39"/>
      <c r="P155" s="10">
        <f>TABL12345[[#This Row],[خط (S/S  TOT) SAR2]]-TABL12345[[#This Row],[(S/S TOT) AJD]]</f>
        <v>0</v>
      </c>
      <c r="Q155" s="39"/>
      <c r="R155" s="10">
        <f>TABL12345[[#This Row],[خط (T/B  TOT) SAR]]-TABL12345[[#This Row],[(T/B TOT) AJD]]</f>
        <v>0</v>
      </c>
      <c r="S155" s="10">
        <f>TABL12345[[#This Row],[الفرق بين بداية ونهاية خط  S/S]]+TABL12345[[#This Row],[الفرق بين بداية ونهاية خط  T/B]]</f>
        <v>0</v>
      </c>
      <c r="T155" s="10">
        <f t="shared" si="8"/>
        <v>0</v>
      </c>
      <c r="U155" s="41"/>
      <c r="V155" s="41"/>
      <c r="W155" s="10">
        <f t="shared" si="9"/>
        <v>0</v>
      </c>
      <c r="X155" s="10">
        <f t="shared" si="10"/>
        <v>0</v>
      </c>
      <c r="Y155" s="41"/>
      <c r="Z155" s="43"/>
      <c r="AA155" s="3">
        <f>TABL12345[[#This Row],[(RESV. STORGE) AJD]]/10</f>
        <v>0</v>
      </c>
      <c r="AB155" s="43">
        <f t="shared" si="11"/>
        <v>0</v>
      </c>
      <c r="AC155" s="5"/>
      <c r="AD155" s="39">
        <f>(TABL12345[[#This Row],[( S/S+T/B) AJD]]*1000)-((TABL12345[[#This Row],[(STORGE DIFF.) AJD]]*1000)+TABL12345[[#This Row],[البخر  AJD]]+(TABL12345[[#This Row],[(A/B + A/S) AJD]]*1000))</f>
        <v>0</v>
      </c>
      <c r="AE155" s="41"/>
      <c r="AF155" s="43"/>
      <c r="AG155" s="43"/>
      <c r="AH155" s="6">
        <f>TABL12345[[#This Row],[ (RESV. STORGE) BER]]/10</f>
        <v>0</v>
      </c>
      <c r="AI155" s="41"/>
      <c r="AJ155" s="41">
        <f>TABL12345[[#This Row],[(A/B TOT) AJD]]-TABL12345[[#This Row],[BER_ IN]]</f>
        <v>0</v>
      </c>
      <c r="AK155" s="43"/>
      <c r="AL155" s="43"/>
      <c r="AM155" s="32"/>
      <c r="AN155" s="32">
        <f>TABL12345[[#This Row],[ (RESV. STORGE) SER]]/10</f>
        <v>0</v>
      </c>
      <c r="AO155" s="68"/>
      <c r="AP155" s="68">
        <f>TABL12345[[#This Row],[(A/S TOT) AJD]]-TABL12345[[#This Row],[SER_ IN]]</f>
        <v>0</v>
      </c>
    </row>
    <row r="156" spans="1:42" ht="18.75" x14ac:dyDescent="0.25">
      <c r="A156" s="2">
        <v>47638</v>
      </c>
      <c r="B156" s="44"/>
      <c r="C156" s="44"/>
      <c r="D156" s="44"/>
      <c r="E156" s="28"/>
      <c r="F156" s="44"/>
      <c r="G156" s="40"/>
      <c r="H156" s="28"/>
      <c r="I156" s="40"/>
      <c r="J156" s="44"/>
      <c r="K156" s="28">
        <f>TABL12345[[#This Row],[خط (T/B  TOT) SAR]]+TABL12345[[#This Row],[خط (S/S  TOT) SAR2]]</f>
        <v>0</v>
      </c>
      <c r="L156" s="45"/>
      <c r="M156" s="46"/>
      <c r="N156" s="46"/>
      <c r="O156" s="40"/>
      <c r="P156" s="10">
        <f>TABL12345[[#This Row],[خط (S/S  TOT) SAR2]]-TABL12345[[#This Row],[(S/S TOT) AJD]]</f>
        <v>0</v>
      </c>
      <c r="Q156" s="40"/>
      <c r="R156" s="10">
        <f>TABL12345[[#This Row],[خط (T/B  TOT) SAR]]-TABL12345[[#This Row],[(T/B TOT) AJD]]</f>
        <v>0</v>
      </c>
      <c r="S156" s="10">
        <f>TABL12345[[#This Row],[الفرق بين بداية ونهاية خط  S/S]]+TABL12345[[#This Row],[الفرق بين بداية ونهاية خط  T/B]]</f>
        <v>0</v>
      </c>
      <c r="T156" s="10">
        <f t="shared" si="8"/>
        <v>0</v>
      </c>
      <c r="U156" s="44"/>
      <c r="V156" s="44"/>
      <c r="W156" s="10">
        <f t="shared" si="9"/>
        <v>0</v>
      </c>
      <c r="X156" s="10">
        <f t="shared" si="10"/>
        <v>0</v>
      </c>
      <c r="Y156" s="44"/>
      <c r="Z156" s="45"/>
      <c r="AA156" s="3">
        <f>TABL12345[[#This Row],[(RESV. STORGE) AJD]]/10</f>
        <v>0</v>
      </c>
      <c r="AB156" s="45">
        <f t="shared" si="11"/>
        <v>0</v>
      </c>
      <c r="AC156" s="5"/>
      <c r="AD156" s="40">
        <f>(TABL12345[[#This Row],[( S/S+T/B) AJD]]*1000)-((TABL12345[[#This Row],[(STORGE DIFF.) AJD]]*1000)+TABL12345[[#This Row],[البخر  AJD]]+(TABL12345[[#This Row],[(A/B + A/S) AJD]]*1000))</f>
        <v>0</v>
      </c>
      <c r="AE156" s="44"/>
      <c r="AF156" s="45"/>
      <c r="AG156" s="45"/>
      <c r="AH156" s="6">
        <f>TABL12345[[#This Row],[ (RESV. STORGE) BER]]/10</f>
        <v>0</v>
      </c>
      <c r="AI156" s="44"/>
      <c r="AJ156" s="44">
        <f>TABL12345[[#This Row],[(A/B TOT) AJD]]-TABL12345[[#This Row],[BER_ IN]]</f>
        <v>0</v>
      </c>
      <c r="AK156" s="45"/>
      <c r="AL156" s="45"/>
      <c r="AM156" s="32"/>
      <c r="AN156" s="32">
        <f>TABL12345[[#This Row],[ (RESV. STORGE) SER]]/10</f>
        <v>0</v>
      </c>
      <c r="AO156" s="68"/>
      <c r="AP156" s="68">
        <f>TABL12345[[#This Row],[(A/S TOT) AJD]]-TABL12345[[#This Row],[SER_ IN]]</f>
        <v>0</v>
      </c>
    </row>
    <row r="157" spans="1:42" ht="18.75" x14ac:dyDescent="0.25">
      <c r="A157" s="2">
        <v>47639</v>
      </c>
      <c r="B157" s="41"/>
      <c r="C157" s="41"/>
      <c r="D157" s="41"/>
      <c r="E157" s="28"/>
      <c r="F157" s="41"/>
      <c r="G157" s="39"/>
      <c r="H157" s="28"/>
      <c r="I157" s="39"/>
      <c r="J157" s="39"/>
      <c r="K157" s="28">
        <f>TABL12345[[#This Row],[خط (T/B  TOT) SAR]]+TABL12345[[#This Row],[خط (S/S  TOT) SAR2]]</f>
        <v>0</v>
      </c>
      <c r="L157" s="41"/>
      <c r="M157" s="42"/>
      <c r="N157" s="42"/>
      <c r="O157" s="39"/>
      <c r="P157" s="10">
        <f>TABL12345[[#This Row],[خط (S/S  TOT) SAR2]]-TABL12345[[#This Row],[(S/S TOT) AJD]]</f>
        <v>0</v>
      </c>
      <c r="Q157" s="39"/>
      <c r="R157" s="10">
        <f>TABL12345[[#This Row],[خط (T/B  TOT) SAR]]-TABL12345[[#This Row],[(T/B TOT) AJD]]</f>
        <v>0</v>
      </c>
      <c r="S157" s="10">
        <f>TABL12345[[#This Row],[الفرق بين بداية ونهاية خط  S/S]]+TABL12345[[#This Row],[الفرق بين بداية ونهاية خط  T/B]]</f>
        <v>0</v>
      </c>
      <c r="T157" s="10">
        <f t="shared" si="8"/>
        <v>0</v>
      </c>
      <c r="U157" s="41"/>
      <c r="V157" s="41"/>
      <c r="W157" s="10">
        <f t="shared" si="9"/>
        <v>0</v>
      </c>
      <c r="X157" s="10">
        <f t="shared" si="10"/>
        <v>0</v>
      </c>
      <c r="Y157" s="41"/>
      <c r="Z157" s="43"/>
      <c r="AA157" s="3">
        <f>TABL12345[[#This Row],[(RESV. STORGE) AJD]]/10</f>
        <v>0</v>
      </c>
      <c r="AB157" s="43">
        <f t="shared" si="11"/>
        <v>0</v>
      </c>
      <c r="AC157" s="5"/>
      <c r="AD157" s="39">
        <f>(TABL12345[[#This Row],[( S/S+T/B) AJD]]*1000)-((TABL12345[[#This Row],[(STORGE DIFF.) AJD]]*1000)+TABL12345[[#This Row],[البخر  AJD]]+(TABL12345[[#This Row],[(A/B + A/S) AJD]]*1000))</f>
        <v>0</v>
      </c>
      <c r="AE157" s="41"/>
      <c r="AF157" s="43"/>
      <c r="AG157" s="43"/>
      <c r="AH157" s="6">
        <f>TABL12345[[#This Row],[ (RESV. STORGE) BER]]/10</f>
        <v>0</v>
      </c>
      <c r="AI157" s="41"/>
      <c r="AJ157" s="41">
        <f>TABL12345[[#This Row],[(A/B TOT) AJD]]-TABL12345[[#This Row],[BER_ IN]]</f>
        <v>0</v>
      </c>
      <c r="AK157" s="43"/>
      <c r="AL157" s="43"/>
      <c r="AM157" s="32"/>
      <c r="AN157" s="32">
        <f>TABL12345[[#This Row],[ (RESV. STORGE) SER]]/10</f>
        <v>0</v>
      </c>
      <c r="AO157" s="68"/>
      <c r="AP157" s="68">
        <f>TABL12345[[#This Row],[(A/S TOT) AJD]]-TABL12345[[#This Row],[SER_ IN]]</f>
        <v>0</v>
      </c>
    </row>
    <row r="158" spans="1:42" ht="18.75" x14ac:dyDescent="0.25">
      <c r="A158" s="2">
        <v>47640</v>
      </c>
      <c r="B158" s="44"/>
      <c r="C158" s="44"/>
      <c r="D158" s="44"/>
      <c r="E158" s="28"/>
      <c r="F158" s="44"/>
      <c r="G158" s="40"/>
      <c r="H158" s="28"/>
      <c r="I158" s="40"/>
      <c r="J158" s="44"/>
      <c r="K158" s="28">
        <f>TABL12345[[#This Row],[خط (T/B  TOT) SAR]]+TABL12345[[#This Row],[خط (S/S  TOT) SAR2]]</f>
        <v>0</v>
      </c>
      <c r="L158" s="45"/>
      <c r="M158" s="46"/>
      <c r="N158" s="46"/>
      <c r="O158" s="40"/>
      <c r="P158" s="10">
        <f>TABL12345[[#This Row],[خط (S/S  TOT) SAR2]]-TABL12345[[#This Row],[(S/S TOT) AJD]]</f>
        <v>0</v>
      </c>
      <c r="Q158" s="40"/>
      <c r="R158" s="10">
        <f>TABL12345[[#This Row],[خط (T/B  TOT) SAR]]-TABL12345[[#This Row],[(T/B TOT) AJD]]</f>
        <v>0</v>
      </c>
      <c r="S158" s="10">
        <f>TABL12345[[#This Row],[الفرق بين بداية ونهاية خط  S/S]]+TABL12345[[#This Row],[الفرق بين بداية ونهاية خط  T/B]]</f>
        <v>0</v>
      </c>
      <c r="T158" s="10">
        <f t="shared" si="8"/>
        <v>0</v>
      </c>
      <c r="U158" s="44"/>
      <c r="V158" s="44"/>
      <c r="W158" s="10">
        <f t="shared" si="9"/>
        <v>0</v>
      </c>
      <c r="X158" s="10">
        <f t="shared" si="10"/>
        <v>0</v>
      </c>
      <c r="Y158" s="44"/>
      <c r="Z158" s="45"/>
      <c r="AA158" s="3">
        <f>TABL12345[[#This Row],[(RESV. STORGE) AJD]]/10</f>
        <v>0</v>
      </c>
      <c r="AB158" s="45">
        <f t="shared" si="11"/>
        <v>0</v>
      </c>
      <c r="AC158" s="5"/>
      <c r="AD158" s="40">
        <f>(TABL12345[[#This Row],[( S/S+T/B) AJD]]*1000)-((TABL12345[[#This Row],[(STORGE DIFF.) AJD]]*1000)+TABL12345[[#This Row],[البخر  AJD]]+(TABL12345[[#This Row],[(A/B + A/S) AJD]]*1000))</f>
        <v>0</v>
      </c>
      <c r="AE158" s="44"/>
      <c r="AF158" s="45"/>
      <c r="AG158" s="45"/>
      <c r="AH158" s="6">
        <f>TABL12345[[#This Row],[ (RESV. STORGE) BER]]/10</f>
        <v>0</v>
      </c>
      <c r="AI158" s="44"/>
      <c r="AJ158" s="44">
        <f>TABL12345[[#This Row],[(A/B TOT) AJD]]-TABL12345[[#This Row],[BER_ IN]]</f>
        <v>0</v>
      </c>
      <c r="AK158" s="45"/>
      <c r="AL158" s="45"/>
      <c r="AM158" s="32"/>
      <c r="AN158" s="32">
        <f>TABL12345[[#This Row],[ (RESV. STORGE) SER]]/10</f>
        <v>0</v>
      </c>
      <c r="AO158" s="68"/>
      <c r="AP158" s="68">
        <f>TABL12345[[#This Row],[(A/S TOT) AJD]]-TABL12345[[#This Row],[SER_ IN]]</f>
        <v>0</v>
      </c>
    </row>
    <row r="159" spans="1:42" ht="18.75" x14ac:dyDescent="0.25">
      <c r="A159" s="2">
        <v>47641</v>
      </c>
      <c r="B159" s="41"/>
      <c r="C159" s="41"/>
      <c r="D159" s="41"/>
      <c r="E159" s="28"/>
      <c r="F159" s="41"/>
      <c r="G159" s="39"/>
      <c r="H159" s="28"/>
      <c r="I159" s="39"/>
      <c r="J159" s="39"/>
      <c r="K159" s="28">
        <f>TABL12345[[#This Row],[خط (T/B  TOT) SAR]]+TABL12345[[#This Row],[خط (S/S  TOT) SAR2]]</f>
        <v>0</v>
      </c>
      <c r="L159" s="41"/>
      <c r="M159" s="42"/>
      <c r="N159" s="42"/>
      <c r="O159" s="39"/>
      <c r="P159" s="10">
        <f>TABL12345[[#This Row],[خط (S/S  TOT) SAR2]]-TABL12345[[#This Row],[(S/S TOT) AJD]]</f>
        <v>0</v>
      </c>
      <c r="Q159" s="39"/>
      <c r="R159" s="10">
        <f>TABL12345[[#This Row],[خط (T/B  TOT) SAR]]-TABL12345[[#This Row],[(T/B TOT) AJD]]</f>
        <v>0</v>
      </c>
      <c r="S159" s="10">
        <f>TABL12345[[#This Row],[الفرق بين بداية ونهاية خط  S/S]]+TABL12345[[#This Row],[الفرق بين بداية ونهاية خط  T/B]]</f>
        <v>0</v>
      </c>
      <c r="T159" s="10">
        <f t="shared" si="8"/>
        <v>0</v>
      </c>
      <c r="U159" s="41"/>
      <c r="V159" s="41"/>
      <c r="W159" s="10">
        <f t="shared" si="9"/>
        <v>0</v>
      </c>
      <c r="X159" s="10">
        <f t="shared" si="10"/>
        <v>0</v>
      </c>
      <c r="Y159" s="41"/>
      <c r="Z159" s="43"/>
      <c r="AA159" s="3">
        <f>TABL12345[[#This Row],[(RESV. STORGE) AJD]]/10</f>
        <v>0</v>
      </c>
      <c r="AB159" s="43">
        <f t="shared" si="11"/>
        <v>0</v>
      </c>
      <c r="AC159" s="5"/>
      <c r="AD159" s="39">
        <f>(TABL12345[[#This Row],[( S/S+T/B) AJD]]*1000)-((TABL12345[[#This Row],[(STORGE DIFF.) AJD]]*1000)+TABL12345[[#This Row],[البخر  AJD]]+(TABL12345[[#This Row],[(A/B + A/S) AJD]]*1000))</f>
        <v>0</v>
      </c>
      <c r="AE159" s="41"/>
      <c r="AF159" s="43"/>
      <c r="AG159" s="43"/>
      <c r="AH159" s="6">
        <f>TABL12345[[#This Row],[ (RESV. STORGE) BER]]/10</f>
        <v>0</v>
      </c>
      <c r="AI159" s="41"/>
      <c r="AJ159" s="41">
        <f>TABL12345[[#This Row],[(A/B TOT) AJD]]-TABL12345[[#This Row],[BER_ IN]]</f>
        <v>0</v>
      </c>
      <c r="AK159" s="43"/>
      <c r="AL159" s="43"/>
      <c r="AM159" s="32"/>
      <c r="AN159" s="32">
        <f>TABL12345[[#This Row],[ (RESV. STORGE) SER]]/10</f>
        <v>0</v>
      </c>
      <c r="AO159" s="68"/>
      <c r="AP159" s="68">
        <f>TABL12345[[#This Row],[(A/S TOT) AJD]]-TABL12345[[#This Row],[SER_ IN]]</f>
        <v>0</v>
      </c>
    </row>
    <row r="160" spans="1:42" ht="18.75" x14ac:dyDescent="0.25">
      <c r="A160" s="2">
        <v>47642</v>
      </c>
      <c r="B160" s="44"/>
      <c r="C160" s="44"/>
      <c r="D160" s="44"/>
      <c r="E160" s="28"/>
      <c r="F160" s="44"/>
      <c r="G160" s="40"/>
      <c r="H160" s="28"/>
      <c r="I160" s="40"/>
      <c r="J160" s="44"/>
      <c r="K160" s="28">
        <f>TABL12345[[#This Row],[خط (T/B  TOT) SAR]]+TABL12345[[#This Row],[خط (S/S  TOT) SAR2]]</f>
        <v>0</v>
      </c>
      <c r="L160" s="45"/>
      <c r="M160" s="46"/>
      <c r="N160" s="46"/>
      <c r="O160" s="40"/>
      <c r="P160" s="10">
        <f>TABL12345[[#This Row],[خط (S/S  TOT) SAR2]]-TABL12345[[#This Row],[(S/S TOT) AJD]]</f>
        <v>0</v>
      </c>
      <c r="Q160" s="40"/>
      <c r="R160" s="10">
        <f>TABL12345[[#This Row],[خط (T/B  TOT) SAR]]-TABL12345[[#This Row],[(T/B TOT) AJD]]</f>
        <v>0</v>
      </c>
      <c r="S160" s="10">
        <f>TABL12345[[#This Row],[الفرق بين بداية ونهاية خط  S/S]]+TABL12345[[#This Row],[الفرق بين بداية ونهاية خط  T/B]]</f>
        <v>0</v>
      </c>
      <c r="T160" s="10">
        <f t="shared" si="8"/>
        <v>0</v>
      </c>
      <c r="U160" s="44"/>
      <c r="V160" s="44"/>
      <c r="W160" s="10">
        <f t="shared" si="9"/>
        <v>0</v>
      </c>
      <c r="X160" s="10">
        <f t="shared" si="10"/>
        <v>0</v>
      </c>
      <c r="Y160" s="44"/>
      <c r="Z160" s="45"/>
      <c r="AA160" s="3">
        <f>TABL12345[[#This Row],[(RESV. STORGE) AJD]]/10</f>
        <v>0</v>
      </c>
      <c r="AB160" s="45">
        <f t="shared" si="11"/>
        <v>0</v>
      </c>
      <c r="AC160" s="5"/>
      <c r="AD160" s="40">
        <f>(TABL12345[[#This Row],[( S/S+T/B) AJD]]*1000)-((TABL12345[[#This Row],[(STORGE DIFF.) AJD]]*1000)+TABL12345[[#This Row],[البخر  AJD]]+(TABL12345[[#This Row],[(A/B + A/S) AJD]]*1000))</f>
        <v>0</v>
      </c>
      <c r="AE160" s="44"/>
      <c r="AF160" s="45"/>
      <c r="AG160" s="45"/>
      <c r="AH160" s="6">
        <f>TABL12345[[#This Row],[ (RESV. STORGE) BER]]/10</f>
        <v>0</v>
      </c>
      <c r="AI160" s="44"/>
      <c r="AJ160" s="44">
        <f>TABL12345[[#This Row],[(A/B TOT) AJD]]-TABL12345[[#This Row],[BER_ IN]]</f>
        <v>0</v>
      </c>
      <c r="AK160" s="45"/>
      <c r="AL160" s="45"/>
      <c r="AM160" s="32"/>
      <c r="AN160" s="32">
        <f>TABL12345[[#This Row],[ (RESV. STORGE) SER]]/10</f>
        <v>0</v>
      </c>
      <c r="AO160" s="68"/>
      <c r="AP160" s="68">
        <f>TABL12345[[#This Row],[(A/S TOT) AJD]]-TABL12345[[#This Row],[SER_ IN]]</f>
        <v>0</v>
      </c>
    </row>
    <row r="161" spans="1:42" ht="18.75" x14ac:dyDescent="0.25">
      <c r="A161" s="2">
        <v>47643</v>
      </c>
      <c r="B161" s="41"/>
      <c r="C161" s="41"/>
      <c r="D161" s="41"/>
      <c r="E161" s="28"/>
      <c r="F161" s="41"/>
      <c r="G161" s="39"/>
      <c r="H161" s="28"/>
      <c r="I161" s="39"/>
      <c r="J161" s="39"/>
      <c r="K161" s="28">
        <f>TABL12345[[#This Row],[خط (T/B  TOT) SAR]]+TABL12345[[#This Row],[خط (S/S  TOT) SAR2]]</f>
        <v>0</v>
      </c>
      <c r="L161" s="41"/>
      <c r="M161" s="42"/>
      <c r="N161" s="42"/>
      <c r="O161" s="39"/>
      <c r="P161" s="10">
        <f>TABL12345[[#This Row],[خط (S/S  TOT) SAR2]]-TABL12345[[#This Row],[(S/S TOT) AJD]]</f>
        <v>0</v>
      </c>
      <c r="Q161" s="39"/>
      <c r="R161" s="10">
        <f>TABL12345[[#This Row],[خط (T/B  TOT) SAR]]-TABL12345[[#This Row],[(T/B TOT) AJD]]</f>
        <v>0</v>
      </c>
      <c r="S161" s="10">
        <f>TABL12345[[#This Row],[الفرق بين بداية ونهاية خط  S/S]]+TABL12345[[#This Row],[الفرق بين بداية ونهاية خط  T/B]]</f>
        <v>0</v>
      </c>
      <c r="T161" s="10">
        <f t="shared" si="8"/>
        <v>0</v>
      </c>
      <c r="U161" s="41"/>
      <c r="V161" s="41"/>
      <c r="W161" s="10">
        <f t="shared" si="9"/>
        <v>0</v>
      </c>
      <c r="X161" s="10">
        <f t="shared" si="10"/>
        <v>0</v>
      </c>
      <c r="Y161" s="41"/>
      <c r="Z161" s="43"/>
      <c r="AA161" s="3">
        <f>TABL12345[[#This Row],[(RESV. STORGE) AJD]]/10</f>
        <v>0</v>
      </c>
      <c r="AB161" s="43">
        <f t="shared" si="11"/>
        <v>0</v>
      </c>
      <c r="AC161" s="5"/>
      <c r="AD161" s="39">
        <f>(TABL12345[[#This Row],[( S/S+T/B) AJD]]*1000)-((TABL12345[[#This Row],[(STORGE DIFF.) AJD]]*1000)+TABL12345[[#This Row],[البخر  AJD]]+(TABL12345[[#This Row],[(A/B + A/S) AJD]]*1000))</f>
        <v>0</v>
      </c>
      <c r="AE161" s="41"/>
      <c r="AF161" s="43"/>
      <c r="AG161" s="43"/>
      <c r="AH161" s="6">
        <f>TABL12345[[#This Row],[ (RESV. STORGE) BER]]/10</f>
        <v>0</v>
      </c>
      <c r="AI161" s="41"/>
      <c r="AJ161" s="41">
        <f>TABL12345[[#This Row],[(A/B TOT) AJD]]-TABL12345[[#This Row],[BER_ IN]]</f>
        <v>0</v>
      </c>
      <c r="AK161" s="43"/>
      <c r="AL161" s="43"/>
      <c r="AM161" s="32"/>
      <c r="AN161" s="32">
        <f>TABL12345[[#This Row],[ (RESV. STORGE) SER]]/10</f>
        <v>0</v>
      </c>
      <c r="AO161" s="68"/>
      <c r="AP161" s="68">
        <f>TABL12345[[#This Row],[(A/S TOT) AJD]]-TABL12345[[#This Row],[SER_ IN]]</f>
        <v>0</v>
      </c>
    </row>
    <row r="162" spans="1:42" ht="18.75" x14ac:dyDescent="0.25">
      <c r="A162" s="2">
        <v>47644</v>
      </c>
      <c r="B162" s="44"/>
      <c r="C162" s="44"/>
      <c r="D162" s="44"/>
      <c r="E162" s="28"/>
      <c r="F162" s="44"/>
      <c r="G162" s="40"/>
      <c r="H162" s="28"/>
      <c r="I162" s="40"/>
      <c r="J162" s="44"/>
      <c r="K162" s="28">
        <f>TABL12345[[#This Row],[خط (T/B  TOT) SAR]]+TABL12345[[#This Row],[خط (S/S  TOT) SAR2]]</f>
        <v>0</v>
      </c>
      <c r="L162" s="45"/>
      <c r="M162" s="46"/>
      <c r="N162" s="46"/>
      <c r="O162" s="40"/>
      <c r="P162" s="10">
        <f>TABL12345[[#This Row],[خط (S/S  TOT) SAR2]]-TABL12345[[#This Row],[(S/S TOT) AJD]]</f>
        <v>0</v>
      </c>
      <c r="Q162" s="40"/>
      <c r="R162" s="10">
        <f>TABL12345[[#This Row],[خط (T/B  TOT) SAR]]-TABL12345[[#This Row],[(T/B TOT) AJD]]</f>
        <v>0</v>
      </c>
      <c r="S162" s="10">
        <f>TABL12345[[#This Row],[الفرق بين بداية ونهاية خط  S/S]]+TABL12345[[#This Row],[الفرق بين بداية ونهاية خط  T/B]]</f>
        <v>0</v>
      </c>
      <c r="T162" s="10">
        <f t="shared" si="8"/>
        <v>0</v>
      </c>
      <c r="U162" s="44"/>
      <c r="V162" s="44"/>
      <c r="W162" s="10">
        <f t="shared" si="9"/>
        <v>0</v>
      </c>
      <c r="X162" s="10">
        <f t="shared" si="10"/>
        <v>0</v>
      </c>
      <c r="Y162" s="44"/>
      <c r="Z162" s="45"/>
      <c r="AA162" s="3">
        <f>TABL12345[[#This Row],[(RESV. STORGE) AJD]]/10</f>
        <v>0</v>
      </c>
      <c r="AB162" s="45">
        <f t="shared" si="11"/>
        <v>0</v>
      </c>
      <c r="AC162" s="5"/>
      <c r="AD162" s="40">
        <f>(TABL12345[[#This Row],[( S/S+T/B) AJD]]*1000)-((TABL12345[[#This Row],[(STORGE DIFF.) AJD]]*1000)+TABL12345[[#This Row],[البخر  AJD]]+(TABL12345[[#This Row],[(A/B + A/S) AJD]]*1000))</f>
        <v>0</v>
      </c>
      <c r="AE162" s="44"/>
      <c r="AF162" s="45"/>
      <c r="AG162" s="45"/>
      <c r="AH162" s="6">
        <f>TABL12345[[#This Row],[ (RESV. STORGE) BER]]/10</f>
        <v>0</v>
      </c>
      <c r="AI162" s="44"/>
      <c r="AJ162" s="44">
        <f>TABL12345[[#This Row],[(A/B TOT) AJD]]-TABL12345[[#This Row],[BER_ IN]]</f>
        <v>0</v>
      </c>
      <c r="AK162" s="45"/>
      <c r="AL162" s="45"/>
      <c r="AM162" s="32"/>
      <c r="AN162" s="32">
        <f>TABL12345[[#This Row],[ (RESV. STORGE) SER]]/10</f>
        <v>0</v>
      </c>
      <c r="AO162" s="68"/>
      <c r="AP162" s="68">
        <f>TABL12345[[#This Row],[(A/S TOT) AJD]]-TABL12345[[#This Row],[SER_ IN]]</f>
        <v>0</v>
      </c>
    </row>
    <row r="163" spans="1:42" ht="18.75" x14ac:dyDescent="0.25">
      <c r="A163" s="2">
        <v>47645</v>
      </c>
      <c r="B163" s="41"/>
      <c r="C163" s="41"/>
      <c r="D163" s="41"/>
      <c r="E163" s="28"/>
      <c r="F163" s="41"/>
      <c r="G163" s="39"/>
      <c r="H163" s="28"/>
      <c r="I163" s="39"/>
      <c r="J163" s="39"/>
      <c r="K163" s="28">
        <f>TABL12345[[#This Row],[خط (T/B  TOT) SAR]]+TABL12345[[#This Row],[خط (S/S  TOT) SAR2]]</f>
        <v>0</v>
      </c>
      <c r="L163" s="41"/>
      <c r="M163" s="42"/>
      <c r="N163" s="42"/>
      <c r="O163" s="39"/>
      <c r="P163" s="10">
        <f>TABL12345[[#This Row],[خط (S/S  TOT) SAR2]]-TABL12345[[#This Row],[(S/S TOT) AJD]]</f>
        <v>0</v>
      </c>
      <c r="Q163" s="39"/>
      <c r="R163" s="10">
        <f>TABL12345[[#This Row],[خط (T/B  TOT) SAR]]-TABL12345[[#This Row],[(T/B TOT) AJD]]</f>
        <v>0</v>
      </c>
      <c r="S163" s="10">
        <f>TABL12345[[#This Row],[الفرق بين بداية ونهاية خط  S/S]]+TABL12345[[#This Row],[الفرق بين بداية ونهاية خط  T/B]]</f>
        <v>0</v>
      </c>
      <c r="T163" s="10">
        <f t="shared" si="8"/>
        <v>0</v>
      </c>
      <c r="U163" s="41"/>
      <c r="V163" s="41"/>
      <c r="W163" s="10">
        <f t="shared" si="9"/>
        <v>0</v>
      </c>
      <c r="X163" s="10">
        <f t="shared" si="10"/>
        <v>0</v>
      </c>
      <c r="Y163" s="41"/>
      <c r="Z163" s="43"/>
      <c r="AA163" s="3">
        <f>TABL12345[[#This Row],[(RESV. STORGE) AJD]]/10</f>
        <v>0</v>
      </c>
      <c r="AB163" s="43">
        <f t="shared" si="11"/>
        <v>0</v>
      </c>
      <c r="AC163" s="5"/>
      <c r="AD163" s="39">
        <f>(TABL12345[[#This Row],[( S/S+T/B) AJD]]*1000)-((TABL12345[[#This Row],[(STORGE DIFF.) AJD]]*1000)+TABL12345[[#This Row],[البخر  AJD]]+(TABL12345[[#This Row],[(A/B + A/S) AJD]]*1000))</f>
        <v>0</v>
      </c>
      <c r="AE163" s="41"/>
      <c r="AF163" s="43"/>
      <c r="AG163" s="43"/>
      <c r="AH163" s="6">
        <f>TABL12345[[#This Row],[ (RESV. STORGE) BER]]/10</f>
        <v>0</v>
      </c>
      <c r="AI163" s="41"/>
      <c r="AJ163" s="41">
        <f>TABL12345[[#This Row],[(A/B TOT) AJD]]-TABL12345[[#This Row],[BER_ IN]]</f>
        <v>0</v>
      </c>
      <c r="AK163" s="43"/>
      <c r="AL163" s="43"/>
      <c r="AM163" s="32"/>
      <c r="AN163" s="32">
        <f>TABL12345[[#This Row],[ (RESV. STORGE) SER]]/10</f>
        <v>0</v>
      </c>
      <c r="AO163" s="68"/>
      <c r="AP163" s="68">
        <f>TABL12345[[#This Row],[(A/S TOT) AJD]]-TABL12345[[#This Row],[SER_ IN]]</f>
        <v>0</v>
      </c>
    </row>
    <row r="164" spans="1:42" ht="18.75" x14ac:dyDescent="0.25">
      <c r="A164" s="2">
        <v>47646</v>
      </c>
      <c r="B164" s="44"/>
      <c r="C164" s="44"/>
      <c r="D164" s="44"/>
      <c r="E164" s="28"/>
      <c r="F164" s="44"/>
      <c r="G164" s="40"/>
      <c r="H164" s="28"/>
      <c r="I164" s="40"/>
      <c r="J164" s="44"/>
      <c r="K164" s="28">
        <f>TABL12345[[#This Row],[خط (T/B  TOT) SAR]]+TABL12345[[#This Row],[خط (S/S  TOT) SAR2]]</f>
        <v>0</v>
      </c>
      <c r="L164" s="45"/>
      <c r="M164" s="46"/>
      <c r="N164" s="46"/>
      <c r="O164" s="40"/>
      <c r="P164" s="10">
        <f>TABL12345[[#This Row],[خط (S/S  TOT) SAR2]]-TABL12345[[#This Row],[(S/S TOT) AJD]]</f>
        <v>0</v>
      </c>
      <c r="Q164" s="40"/>
      <c r="R164" s="10">
        <f>TABL12345[[#This Row],[خط (T/B  TOT) SAR]]-TABL12345[[#This Row],[(T/B TOT) AJD]]</f>
        <v>0</v>
      </c>
      <c r="S164" s="10">
        <f>TABL12345[[#This Row],[الفرق بين بداية ونهاية خط  S/S]]+TABL12345[[#This Row],[الفرق بين بداية ونهاية خط  T/B]]</f>
        <v>0</v>
      </c>
      <c r="T164" s="10">
        <f t="shared" si="8"/>
        <v>0</v>
      </c>
      <c r="U164" s="44"/>
      <c r="V164" s="44"/>
      <c r="W164" s="10">
        <f t="shared" si="9"/>
        <v>0</v>
      </c>
      <c r="X164" s="10">
        <f t="shared" si="10"/>
        <v>0</v>
      </c>
      <c r="Y164" s="44"/>
      <c r="Z164" s="45"/>
      <c r="AA164" s="3">
        <f>TABL12345[[#This Row],[(RESV. STORGE) AJD]]/10</f>
        <v>0</v>
      </c>
      <c r="AB164" s="45">
        <f t="shared" si="11"/>
        <v>0</v>
      </c>
      <c r="AC164" s="5"/>
      <c r="AD164" s="40">
        <f>(TABL12345[[#This Row],[( S/S+T/B) AJD]]*1000)-((TABL12345[[#This Row],[(STORGE DIFF.) AJD]]*1000)+TABL12345[[#This Row],[البخر  AJD]]+(TABL12345[[#This Row],[(A/B + A/S) AJD]]*1000))</f>
        <v>0</v>
      </c>
      <c r="AE164" s="44"/>
      <c r="AF164" s="45"/>
      <c r="AG164" s="45"/>
      <c r="AH164" s="6">
        <f>TABL12345[[#This Row],[ (RESV. STORGE) BER]]/10</f>
        <v>0</v>
      </c>
      <c r="AI164" s="44"/>
      <c r="AJ164" s="44">
        <f>TABL12345[[#This Row],[(A/B TOT) AJD]]-TABL12345[[#This Row],[BER_ IN]]</f>
        <v>0</v>
      </c>
      <c r="AK164" s="45"/>
      <c r="AL164" s="45"/>
      <c r="AM164" s="32"/>
      <c r="AN164" s="32">
        <f>TABL12345[[#This Row],[ (RESV. STORGE) SER]]/10</f>
        <v>0</v>
      </c>
      <c r="AO164" s="68"/>
      <c r="AP164" s="68">
        <f>TABL12345[[#This Row],[(A/S TOT) AJD]]-TABL12345[[#This Row],[SER_ IN]]</f>
        <v>0</v>
      </c>
    </row>
    <row r="165" spans="1:42" ht="18.75" x14ac:dyDescent="0.25">
      <c r="A165" s="2">
        <v>47647</v>
      </c>
      <c r="B165" s="41"/>
      <c r="C165" s="41"/>
      <c r="D165" s="41"/>
      <c r="E165" s="28"/>
      <c r="F165" s="41"/>
      <c r="G165" s="39"/>
      <c r="H165" s="28"/>
      <c r="I165" s="39"/>
      <c r="J165" s="39"/>
      <c r="K165" s="28">
        <f>TABL12345[[#This Row],[خط (T/B  TOT) SAR]]+TABL12345[[#This Row],[خط (S/S  TOT) SAR2]]</f>
        <v>0</v>
      </c>
      <c r="L165" s="41"/>
      <c r="M165" s="42"/>
      <c r="N165" s="42"/>
      <c r="O165" s="39"/>
      <c r="P165" s="10">
        <f>TABL12345[[#This Row],[خط (S/S  TOT) SAR2]]-TABL12345[[#This Row],[(S/S TOT) AJD]]</f>
        <v>0</v>
      </c>
      <c r="Q165" s="39"/>
      <c r="R165" s="10">
        <f>TABL12345[[#This Row],[خط (T/B  TOT) SAR]]-TABL12345[[#This Row],[(T/B TOT) AJD]]</f>
        <v>0</v>
      </c>
      <c r="S165" s="10">
        <f>TABL12345[[#This Row],[الفرق بين بداية ونهاية خط  S/S]]+TABL12345[[#This Row],[الفرق بين بداية ونهاية خط  T/B]]</f>
        <v>0</v>
      </c>
      <c r="T165" s="10">
        <f t="shared" si="8"/>
        <v>0</v>
      </c>
      <c r="U165" s="41"/>
      <c r="V165" s="41"/>
      <c r="W165" s="10">
        <f t="shared" si="9"/>
        <v>0</v>
      </c>
      <c r="X165" s="10">
        <f t="shared" si="10"/>
        <v>0</v>
      </c>
      <c r="Y165" s="41"/>
      <c r="Z165" s="43"/>
      <c r="AA165" s="3">
        <f>TABL12345[[#This Row],[(RESV. STORGE) AJD]]/10</f>
        <v>0</v>
      </c>
      <c r="AB165" s="43">
        <f t="shared" si="11"/>
        <v>0</v>
      </c>
      <c r="AC165" s="5"/>
      <c r="AD165" s="39">
        <f>(TABL12345[[#This Row],[( S/S+T/B) AJD]]*1000)-((TABL12345[[#This Row],[(STORGE DIFF.) AJD]]*1000)+TABL12345[[#This Row],[البخر  AJD]]+(TABL12345[[#This Row],[(A/B + A/S) AJD]]*1000))</f>
        <v>0</v>
      </c>
      <c r="AE165" s="41"/>
      <c r="AF165" s="43"/>
      <c r="AG165" s="43"/>
      <c r="AH165" s="6">
        <f>TABL12345[[#This Row],[ (RESV. STORGE) BER]]/10</f>
        <v>0</v>
      </c>
      <c r="AI165" s="41"/>
      <c r="AJ165" s="41">
        <f>TABL12345[[#This Row],[(A/B TOT) AJD]]-TABL12345[[#This Row],[BER_ IN]]</f>
        <v>0</v>
      </c>
      <c r="AK165" s="43"/>
      <c r="AL165" s="43"/>
      <c r="AM165" s="32"/>
      <c r="AN165" s="32">
        <f>TABL12345[[#This Row],[ (RESV. STORGE) SER]]/10</f>
        <v>0</v>
      </c>
      <c r="AO165" s="68"/>
      <c r="AP165" s="68">
        <f>TABL12345[[#This Row],[(A/S TOT) AJD]]-TABL12345[[#This Row],[SER_ IN]]</f>
        <v>0</v>
      </c>
    </row>
    <row r="166" spans="1:42" ht="18.75" x14ac:dyDescent="0.25">
      <c r="A166" s="2">
        <v>47648</v>
      </c>
      <c r="B166" s="44"/>
      <c r="C166" s="44"/>
      <c r="D166" s="44"/>
      <c r="E166" s="28"/>
      <c r="F166" s="44"/>
      <c r="G166" s="40"/>
      <c r="H166" s="28"/>
      <c r="I166" s="40"/>
      <c r="J166" s="44"/>
      <c r="K166" s="28">
        <f>TABL12345[[#This Row],[خط (T/B  TOT) SAR]]+TABL12345[[#This Row],[خط (S/S  TOT) SAR2]]</f>
        <v>0</v>
      </c>
      <c r="L166" s="45"/>
      <c r="M166" s="46"/>
      <c r="N166" s="46"/>
      <c r="O166" s="40"/>
      <c r="P166" s="10">
        <f>TABL12345[[#This Row],[خط (S/S  TOT) SAR2]]-TABL12345[[#This Row],[(S/S TOT) AJD]]</f>
        <v>0</v>
      </c>
      <c r="Q166" s="40"/>
      <c r="R166" s="10">
        <f>TABL12345[[#This Row],[خط (T/B  TOT) SAR]]-TABL12345[[#This Row],[(T/B TOT) AJD]]</f>
        <v>0</v>
      </c>
      <c r="S166" s="10">
        <f>TABL12345[[#This Row],[الفرق بين بداية ونهاية خط  S/S]]+TABL12345[[#This Row],[الفرق بين بداية ونهاية خط  T/B]]</f>
        <v>0</v>
      </c>
      <c r="T166" s="10">
        <f t="shared" si="8"/>
        <v>0</v>
      </c>
      <c r="U166" s="44"/>
      <c r="V166" s="44"/>
      <c r="W166" s="10">
        <f t="shared" si="9"/>
        <v>0</v>
      </c>
      <c r="X166" s="10">
        <f t="shared" si="10"/>
        <v>0</v>
      </c>
      <c r="Y166" s="44"/>
      <c r="Z166" s="45"/>
      <c r="AA166" s="3">
        <f>TABL12345[[#This Row],[(RESV. STORGE) AJD]]/10</f>
        <v>0</v>
      </c>
      <c r="AB166" s="45">
        <f t="shared" si="11"/>
        <v>0</v>
      </c>
      <c r="AC166" s="5"/>
      <c r="AD166" s="40">
        <f>(TABL12345[[#This Row],[( S/S+T/B) AJD]]*1000)-((TABL12345[[#This Row],[(STORGE DIFF.) AJD]]*1000)+TABL12345[[#This Row],[البخر  AJD]]+(TABL12345[[#This Row],[(A/B + A/S) AJD]]*1000))</f>
        <v>0</v>
      </c>
      <c r="AE166" s="44"/>
      <c r="AF166" s="45"/>
      <c r="AG166" s="45"/>
      <c r="AH166" s="6">
        <f>TABL12345[[#This Row],[ (RESV. STORGE) BER]]/10</f>
        <v>0</v>
      </c>
      <c r="AI166" s="44"/>
      <c r="AJ166" s="44">
        <f>TABL12345[[#This Row],[(A/B TOT) AJD]]-TABL12345[[#This Row],[BER_ IN]]</f>
        <v>0</v>
      </c>
      <c r="AK166" s="45"/>
      <c r="AL166" s="45"/>
      <c r="AM166" s="32"/>
      <c r="AN166" s="32">
        <f>TABL12345[[#This Row],[ (RESV. STORGE) SER]]/10</f>
        <v>0</v>
      </c>
      <c r="AO166" s="68"/>
      <c r="AP166" s="68">
        <f>TABL12345[[#This Row],[(A/S TOT) AJD]]-TABL12345[[#This Row],[SER_ IN]]</f>
        <v>0</v>
      </c>
    </row>
    <row r="167" spans="1:42" ht="18.75" x14ac:dyDescent="0.25">
      <c r="A167" s="2">
        <v>47649</v>
      </c>
      <c r="B167" s="41"/>
      <c r="C167" s="41"/>
      <c r="D167" s="41"/>
      <c r="E167" s="28"/>
      <c r="F167" s="41"/>
      <c r="G167" s="39"/>
      <c r="H167" s="28"/>
      <c r="I167" s="39"/>
      <c r="J167" s="39"/>
      <c r="K167" s="28">
        <f>TABL12345[[#This Row],[خط (T/B  TOT) SAR]]+TABL12345[[#This Row],[خط (S/S  TOT) SAR2]]</f>
        <v>0</v>
      </c>
      <c r="L167" s="41"/>
      <c r="M167" s="42"/>
      <c r="N167" s="42"/>
      <c r="O167" s="39"/>
      <c r="P167" s="10">
        <f>TABL12345[[#This Row],[خط (S/S  TOT) SAR2]]-TABL12345[[#This Row],[(S/S TOT) AJD]]</f>
        <v>0</v>
      </c>
      <c r="Q167" s="39"/>
      <c r="R167" s="10">
        <f>TABL12345[[#This Row],[خط (T/B  TOT) SAR]]-TABL12345[[#This Row],[(T/B TOT) AJD]]</f>
        <v>0</v>
      </c>
      <c r="S167" s="10">
        <f>TABL12345[[#This Row],[الفرق بين بداية ونهاية خط  S/S]]+TABL12345[[#This Row],[الفرق بين بداية ونهاية خط  T/B]]</f>
        <v>0</v>
      </c>
      <c r="T167" s="10">
        <f t="shared" si="8"/>
        <v>0</v>
      </c>
      <c r="U167" s="41"/>
      <c r="V167" s="41"/>
      <c r="W167" s="10">
        <f t="shared" si="9"/>
        <v>0</v>
      </c>
      <c r="X167" s="10">
        <f t="shared" si="10"/>
        <v>0</v>
      </c>
      <c r="Y167" s="41"/>
      <c r="Z167" s="43"/>
      <c r="AA167" s="3">
        <f>TABL12345[[#This Row],[(RESV. STORGE) AJD]]/10</f>
        <v>0</v>
      </c>
      <c r="AB167" s="43">
        <f t="shared" si="11"/>
        <v>0</v>
      </c>
      <c r="AC167" s="5"/>
      <c r="AD167" s="39">
        <f>(TABL12345[[#This Row],[( S/S+T/B) AJD]]*1000)-((TABL12345[[#This Row],[(STORGE DIFF.) AJD]]*1000)+TABL12345[[#This Row],[البخر  AJD]]+(TABL12345[[#This Row],[(A/B + A/S) AJD]]*1000))</f>
        <v>0</v>
      </c>
      <c r="AE167" s="41"/>
      <c r="AF167" s="43"/>
      <c r="AG167" s="43"/>
      <c r="AH167" s="6">
        <f>TABL12345[[#This Row],[ (RESV. STORGE) BER]]/10</f>
        <v>0</v>
      </c>
      <c r="AI167" s="41"/>
      <c r="AJ167" s="41">
        <f>TABL12345[[#This Row],[(A/B TOT) AJD]]-TABL12345[[#This Row],[BER_ IN]]</f>
        <v>0</v>
      </c>
      <c r="AK167" s="43"/>
      <c r="AL167" s="43"/>
      <c r="AM167" s="32"/>
      <c r="AN167" s="32">
        <f>TABL12345[[#This Row],[ (RESV. STORGE) SER]]/10</f>
        <v>0</v>
      </c>
      <c r="AO167" s="68"/>
      <c r="AP167" s="68">
        <f>TABL12345[[#This Row],[(A/S TOT) AJD]]-TABL12345[[#This Row],[SER_ IN]]</f>
        <v>0</v>
      </c>
    </row>
    <row r="168" spans="1:42" ht="18.75" x14ac:dyDescent="0.25">
      <c r="A168" s="2">
        <v>47650</v>
      </c>
      <c r="B168" s="44"/>
      <c r="C168" s="44"/>
      <c r="D168" s="44"/>
      <c r="E168" s="28"/>
      <c r="F168" s="44"/>
      <c r="G168" s="40"/>
      <c r="H168" s="28"/>
      <c r="I168" s="40"/>
      <c r="J168" s="44"/>
      <c r="K168" s="28">
        <f>TABL12345[[#This Row],[خط (T/B  TOT) SAR]]+TABL12345[[#This Row],[خط (S/S  TOT) SAR2]]</f>
        <v>0</v>
      </c>
      <c r="L168" s="45"/>
      <c r="M168" s="46"/>
      <c r="N168" s="46"/>
      <c r="O168" s="40"/>
      <c r="P168" s="10">
        <f>TABL12345[[#This Row],[خط (S/S  TOT) SAR2]]-TABL12345[[#This Row],[(S/S TOT) AJD]]</f>
        <v>0</v>
      </c>
      <c r="Q168" s="40"/>
      <c r="R168" s="10">
        <f>TABL12345[[#This Row],[خط (T/B  TOT) SAR]]-TABL12345[[#This Row],[(T/B TOT) AJD]]</f>
        <v>0</v>
      </c>
      <c r="S168" s="10">
        <f>TABL12345[[#This Row],[الفرق بين بداية ونهاية خط  S/S]]+TABL12345[[#This Row],[الفرق بين بداية ونهاية خط  T/B]]</f>
        <v>0</v>
      </c>
      <c r="T168" s="10">
        <f t="shared" si="8"/>
        <v>0</v>
      </c>
      <c r="U168" s="44"/>
      <c r="V168" s="44"/>
      <c r="W168" s="10">
        <f t="shared" si="9"/>
        <v>0</v>
      </c>
      <c r="X168" s="10">
        <f t="shared" si="10"/>
        <v>0</v>
      </c>
      <c r="Y168" s="44"/>
      <c r="Z168" s="45"/>
      <c r="AA168" s="3">
        <f>TABL12345[[#This Row],[(RESV. STORGE) AJD]]/10</f>
        <v>0</v>
      </c>
      <c r="AB168" s="45">
        <f t="shared" si="11"/>
        <v>0</v>
      </c>
      <c r="AC168" s="5"/>
      <c r="AD168" s="40">
        <f>(TABL12345[[#This Row],[( S/S+T/B) AJD]]*1000)-((TABL12345[[#This Row],[(STORGE DIFF.) AJD]]*1000)+TABL12345[[#This Row],[البخر  AJD]]+(TABL12345[[#This Row],[(A/B + A/S) AJD]]*1000))</f>
        <v>0</v>
      </c>
      <c r="AE168" s="44"/>
      <c r="AF168" s="45"/>
      <c r="AG168" s="45"/>
      <c r="AH168" s="6">
        <f>TABL12345[[#This Row],[ (RESV. STORGE) BER]]/10</f>
        <v>0</v>
      </c>
      <c r="AI168" s="44"/>
      <c r="AJ168" s="44">
        <f>TABL12345[[#This Row],[(A/B TOT) AJD]]-TABL12345[[#This Row],[BER_ IN]]</f>
        <v>0</v>
      </c>
      <c r="AK168" s="45"/>
      <c r="AL168" s="45"/>
      <c r="AM168" s="32"/>
      <c r="AN168" s="32">
        <f>TABL12345[[#This Row],[ (RESV. STORGE) SER]]/10</f>
        <v>0</v>
      </c>
      <c r="AO168" s="68"/>
      <c r="AP168" s="68">
        <f>TABL12345[[#This Row],[(A/S TOT) AJD]]-TABL12345[[#This Row],[SER_ IN]]</f>
        <v>0</v>
      </c>
    </row>
    <row r="169" spans="1:42" ht="18.75" x14ac:dyDescent="0.25">
      <c r="A169" s="2">
        <v>47651</v>
      </c>
      <c r="B169" s="41"/>
      <c r="C169" s="41"/>
      <c r="D169" s="41"/>
      <c r="E169" s="28"/>
      <c r="F169" s="41"/>
      <c r="G169" s="39"/>
      <c r="H169" s="28"/>
      <c r="I169" s="39"/>
      <c r="J169" s="39"/>
      <c r="K169" s="28">
        <f>TABL12345[[#This Row],[خط (T/B  TOT) SAR]]+TABL12345[[#This Row],[خط (S/S  TOT) SAR2]]</f>
        <v>0</v>
      </c>
      <c r="L169" s="41"/>
      <c r="M169" s="42"/>
      <c r="N169" s="42"/>
      <c r="O169" s="39"/>
      <c r="P169" s="10">
        <f>TABL12345[[#This Row],[خط (S/S  TOT) SAR2]]-TABL12345[[#This Row],[(S/S TOT) AJD]]</f>
        <v>0</v>
      </c>
      <c r="Q169" s="39"/>
      <c r="R169" s="10">
        <f>TABL12345[[#This Row],[خط (T/B  TOT) SAR]]-TABL12345[[#This Row],[(T/B TOT) AJD]]</f>
        <v>0</v>
      </c>
      <c r="S169" s="10">
        <f>TABL12345[[#This Row],[الفرق بين بداية ونهاية خط  S/S]]+TABL12345[[#This Row],[الفرق بين بداية ونهاية خط  T/B]]</f>
        <v>0</v>
      </c>
      <c r="T169" s="10">
        <f t="shared" si="8"/>
        <v>0</v>
      </c>
      <c r="U169" s="41"/>
      <c r="V169" s="41"/>
      <c r="W169" s="10">
        <f t="shared" si="9"/>
        <v>0</v>
      </c>
      <c r="X169" s="10">
        <f t="shared" si="10"/>
        <v>0</v>
      </c>
      <c r="Y169" s="41"/>
      <c r="Z169" s="43"/>
      <c r="AA169" s="3">
        <f>TABL12345[[#This Row],[(RESV. STORGE) AJD]]/10</f>
        <v>0</v>
      </c>
      <c r="AB169" s="43">
        <f t="shared" si="11"/>
        <v>0</v>
      </c>
      <c r="AC169" s="5"/>
      <c r="AD169" s="39">
        <f>(TABL12345[[#This Row],[( S/S+T/B) AJD]]*1000)-((TABL12345[[#This Row],[(STORGE DIFF.) AJD]]*1000)+TABL12345[[#This Row],[البخر  AJD]]+(TABL12345[[#This Row],[(A/B + A/S) AJD]]*1000))</f>
        <v>0</v>
      </c>
      <c r="AE169" s="41"/>
      <c r="AF169" s="43"/>
      <c r="AG169" s="43"/>
      <c r="AH169" s="6">
        <f>TABL12345[[#This Row],[ (RESV. STORGE) BER]]/10</f>
        <v>0</v>
      </c>
      <c r="AI169" s="41"/>
      <c r="AJ169" s="41">
        <f>TABL12345[[#This Row],[(A/B TOT) AJD]]-TABL12345[[#This Row],[BER_ IN]]</f>
        <v>0</v>
      </c>
      <c r="AK169" s="43"/>
      <c r="AL169" s="43"/>
      <c r="AM169" s="32"/>
      <c r="AN169" s="32">
        <f>TABL12345[[#This Row],[ (RESV. STORGE) SER]]/10</f>
        <v>0</v>
      </c>
      <c r="AO169" s="68"/>
      <c r="AP169" s="68">
        <f>TABL12345[[#This Row],[(A/S TOT) AJD]]-TABL12345[[#This Row],[SER_ IN]]</f>
        <v>0</v>
      </c>
    </row>
    <row r="170" spans="1:42" ht="18.75" x14ac:dyDescent="0.25">
      <c r="A170" s="2">
        <v>47652</v>
      </c>
      <c r="B170" s="44"/>
      <c r="C170" s="44"/>
      <c r="D170" s="44"/>
      <c r="E170" s="28"/>
      <c r="F170" s="44"/>
      <c r="G170" s="40"/>
      <c r="H170" s="28"/>
      <c r="I170" s="40"/>
      <c r="J170" s="44"/>
      <c r="K170" s="28">
        <f>TABL12345[[#This Row],[خط (T/B  TOT) SAR]]+TABL12345[[#This Row],[خط (S/S  TOT) SAR2]]</f>
        <v>0</v>
      </c>
      <c r="L170" s="45"/>
      <c r="M170" s="46"/>
      <c r="N170" s="46"/>
      <c r="O170" s="40"/>
      <c r="P170" s="3">
        <f>TABL12345[[#This Row],[خط (S/S  TOT) SAR2]]-TABL12345[[#This Row],[(S/S TOT) AJD]]</f>
        <v>0</v>
      </c>
      <c r="Q170" s="40"/>
      <c r="R170" s="3">
        <f>TABL12345[[#This Row],[خط (T/B  TOT) SAR]]-TABL12345[[#This Row],[(T/B TOT) AJD]]</f>
        <v>0</v>
      </c>
      <c r="S170" s="3">
        <f>TABL12345[[#This Row],[الفرق بين بداية ونهاية خط  S/S]]+TABL12345[[#This Row],[الفرق بين بداية ونهاية خط  T/B]]</f>
        <v>0</v>
      </c>
      <c r="T170" s="3">
        <f t="shared" si="8"/>
        <v>0</v>
      </c>
      <c r="U170" s="44"/>
      <c r="V170" s="44"/>
      <c r="W170" s="3">
        <f t="shared" si="9"/>
        <v>0</v>
      </c>
      <c r="X170" s="3">
        <f t="shared" si="10"/>
        <v>0</v>
      </c>
      <c r="Y170" s="44"/>
      <c r="Z170" s="45"/>
      <c r="AA170" s="3">
        <f>TABL12345[[#This Row],[(RESV. STORGE) AJD]]/10</f>
        <v>0</v>
      </c>
      <c r="AB170" s="45">
        <f t="shared" si="11"/>
        <v>0</v>
      </c>
      <c r="AC170" s="5"/>
      <c r="AD170" s="40">
        <f>(TABL12345[[#This Row],[( S/S+T/B) AJD]]*1000)-((TABL12345[[#This Row],[(STORGE DIFF.) AJD]]*1000)+TABL12345[[#This Row],[البخر  AJD]]+(TABL12345[[#This Row],[(A/B + A/S) AJD]]*1000))</f>
        <v>0</v>
      </c>
      <c r="AE170" s="44"/>
      <c r="AF170" s="45"/>
      <c r="AG170" s="45"/>
      <c r="AH170" s="6">
        <f>TABL12345[[#This Row],[ (RESV. STORGE) BER]]/10</f>
        <v>0</v>
      </c>
      <c r="AI170" s="44"/>
      <c r="AJ170" s="44">
        <f>TABL12345[[#This Row],[(A/B TOT) AJD]]-TABL12345[[#This Row],[BER_ IN]]</f>
        <v>0</v>
      </c>
      <c r="AK170" s="45"/>
      <c r="AL170" s="45"/>
      <c r="AM170" s="32"/>
      <c r="AN170" s="32">
        <f>TABL12345[[#This Row],[ (RESV. STORGE) SER]]/10</f>
        <v>0</v>
      </c>
      <c r="AO170" s="68"/>
      <c r="AP170" s="68">
        <f>TABL12345[[#This Row],[(A/S TOT) AJD]]-TABL12345[[#This Row],[SER_ IN]]</f>
        <v>0</v>
      </c>
    </row>
    <row r="171" spans="1:42" ht="18.75" x14ac:dyDescent="0.25">
      <c r="A171" s="2">
        <v>47653</v>
      </c>
      <c r="B171" s="41"/>
      <c r="C171" s="41"/>
      <c r="D171" s="41"/>
      <c r="E171" s="28"/>
      <c r="F171" s="41"/>
      <c r="G171" s="39"/>
      <c r="H171" s="28"/>
      <c r="I171" s="39"/>
      <c r="J171" s="39"/>
      <c r="K171" s="28">
        <f>TABL12345[[#This Row],[خط (T/B  TOT) SAR]]+TABL12345[[#This Row],[خط (S/S  TOT) SAR2]]</f>
        <v>0</v>
      </c>
      <c r="L171" s="41"/>
      <c r="M171" s="42"/>
      <c r="N171" s="42"/>
      <c r="O171" s="39"/>
      <c r="P171" s="3">
        <f>TABL12345[[#This Row],[خط (S/S  TOT) SAR2]]-TABL12345[[#This Row],[(S/S TOT) AJD]]</f>
        <v>0</v>
      </c>
      <c r="Q171" s="39"/>
      <c r="R171" s="3">
        <f>TABL12345[[#This Row],[خط (T/B  TOT) SAR]]-TABL12345[[#This Row],[(T/B TOT) AJD]]</f>
        <v>0</v>
      </c>
      <c r="S171" s="3">
        <f>TABL12345[[#This Row],[الفرق بين بداية ونهاية خط  S/S]]+TABL12345[[#This Row],[الفرق بين بداية ونهاية خط  T/B]]</f>
        <v>0</v>
      </c>
      <c r="T171" s="3">
        <f t="shared" si="8"/>
        <v>0</v>
      </c>
      <c r="U171" s="41"/>
      <c r="V171" s="41"/>
      <c r="W171" s="3">
        <f t="shared" si="9"/>
        <v>0</v>
      </c>
      <c r="X171" s="3">
        <f t="shared" si="10"/>
        <v>0</v>
      </c>
      <c r="Y171" s="41"/>
      <c r="Z171" s="43"/>
      <c r="AA171" s="3">
        <f>TABL12345[[#This Row],[(RESV. STORGE) AJD]]/10</f>
        <v>0</v>
      </c>
      <c r="AB171" s="43">
        <f t="shared" si="11"/>
        <v>0</v>
      </c>
      <c r="AC171" s="5"/>
      <c r="AD171" s="39">
        <f>(TABL12345[[#This Row],[( S/S+T/B) AJD]]*1000)-((TABL12345[[#This Row],[(STORGE DIFF.) AJD]]*1000)+TABL12345[[#This Row],[البخر  AJD]]+(TABL12345[[#This Row],[(A/B + A/S) AJD]]*1000))</f>
        <v>0</v>
      </c>
      <c r="AE171" s="41"/>
      <c r="AF171" s="43"/>
      <c r="AG171" s="43"/>
      <c r="AH171" s="6">
        <f>TABL12345[[#This Row],[ (RESV. STORGE) BER]]/10</f>
        <v>0</v>
      </c>
      <c r="AI171" s="41"/>
      <c r="AJ171" s="41">
        <f>TABL12345[[#This Row],[(A/B TOT) AJD]]-TABL12345[[#This Row],[BER_ IN]]</f>
        <v>0</v>
      </c>
      <c r="AK171" s="43"/>
      <c r="AL171" s="43"/>
      <c r="AM171" s="32"/>
      <c r="AN171" s="32">
        <f>TABL12345[[#This Row],[ (RESV. STORGE) SER]]/10</f>
        <v>0</v>
      </c>
      <c r="AO171" s="68"/>
      <c r="AP171" s="68">
        <f>TABL12345[[#This Row],[(A/S TOT) AJD]]-TABL12345[[#This Row],[SER_ IN]]</f>
        <v>0</v>
      </c>
    </row>
    <row r="172" spans="1:42" ht="18.75" x14ac:dyDescent="0.25">
      <c r="A172" s="2">
        <v>47654</v>
      </c>
      <c r="B172" s="44"/>
      <c r="C172" s="44"/>
      <c r="D172" s="44"/>
      <c r="E172" s="28"/>
      <c r="F172" s="44"/>
      <c r="G172" s="40"/>
      <c r="H172" s="28"/>
      <c r="I172" s="40"/>
      <c r="J172" s="40"/>
      <c r="K172" s="28">
        <f>TABL12345[[#This Row],[خط (T/B  TOT) SAR]]+TABL12345[[#This Row],[خط (S/S  TOT) SAR2]]</f>
        <v>0</v>
      </c>
      <c r="L172" s="44"/>
      <c r="M172" s="46"/>
      <c r="N172" s="46"/>
      <c r="O172" s="40"/>
      <c r="P172" s="3">
        <f>TABL12345[[#This Row],[خط (S/S  TOT) SAR2]]-TABL12345[[#This Row],[(S/S TOT) AJD]]</f>
        <v>0</v>
      </c>
      <c r="Q172" s="40"/>
      <c r="R172" s="3">
        <f>TABL12345[[#This Row],[خط (T/B  TOT) SAR]]-TABL12345[[#This Row],[(T/B TOT) AJD]]</f>
        <v>0</v>
      </c>
      <c r="S172" s="3">
        <f>TABL12345[[#This Row],[الفرق بين بداية ونهاية خط  S/S]]+TABL12345[[#This Row],[الفرق بين بداية ونهاية خط  T/B]]</f>
        <v>0</v>
      </c>
      <c r="T172" s="3">
        <f t="shared" si="8"/>
        <v>0</v>
      </c>
      <c r="U172" s="44"/>
      <c r="V172" s="44"/>
      <c r="W172" s="3">
        <f t="shared" si="9"/>
        <v>0</v>
      </c>
      <c r="X172" s="3">
        <f t="shared" si="10"/>
        <v>0</v>
      </c>
      <c r="Y172" s="44"/>
      <c r="Z172" s="45"/>
      <c r="AA172" s="3">
        <f>TABL12345[[#This Row],[(RESV. STORGE) AJD]]/10</f>
        <v>0</v>
      </c>
      <c r="AB172" s="45">
        <f t="shared" si="11"/>
        <v>0</v>
      </c>
      <c r="AC172" s="5"/>
      <c r="AD172" s="40">
        <f>(TABL12345[[#This Row],[( S/S+T/B) AJD]]*1000)-((TABL12345[[#This Row],[(STORGE DIFF.) AJD]]*1000)+TABL12345[[#This Row],[البخر  AJD]]+(TABL12345[[#This Row],[(A/B + A/S) AJD]]*1000))</f>
        <v>0</v>
      </c>
      <c r="AE172" s="44"/>
      <c r="AF172" s="45"/>
      <c r="AG172" s="45"/>
      <c r="AH172" s="6">
        <f>TABL12345[[#This Row],[ (RESV. STORGE) BER]]/10</f>
        <v>0</v>
      </c>
      <c r="AI172" s="44"/>
      <c r="AJ172" s="44">
        <f>TABL12345[[#This Row],[(A/B TOT) AJD]]-TABL12345[[#This Row],[BER_ IN]]</f>
        <v>0</v>
      </c>
      <c r="AK172" s="45"/>
      <c r="AL172" s="45"/>
      <c r="AM172" s="32"/>
      <c r="AN172" s="32">
        <f>TABL12345[[#This Row],[ (RESV. STORGE) SER]]/10</f>
        <v>0</v>
      </c>
      <c r="AO172" s="68"/>
      <c r="AP172" s="68">
        <f>TABL12345[[#This Row],[(A/S TOT) AJD]]-TABL12345[[#This Row],[SER_ IN]]</f>
        <v>0</v>
      </c>
    </row>
    <row r="173" spans="1:42" ht="18.75" x14ac:dyDescent="0.25">
      <c r="A173" s="2">
        <v>47655</v>
      </c>
      <c r="B173" s="41"/>
      <c r="C173" s="41"/>
      <c r="D173" s="41"/>
      <c r="E173" s="28"/>
      <c r="F173" s="41"/>
      <c r="G173" s="39"/>
      <c r="H173" s="28"/>
      <c r="I173" s="39"/>
      <c r="J173" s="39"/>
      <c r="K173" s="28">
        <f>TABL12345[[#This Row],[خط (T/B  TOT) SAR]]+TABL12345[[#This Row],[خط (S/S  TOT) SAR2]]</f>
        <v>0</v>
      </c>
      <c r="L173" s="41"/>
      <c r="M173" s="42"/>
      <c r="N173" s="42"/>
      <c r="O173" s="39"/>
      <c r="P173" s="3">
        <f>TABL12345[[#This Row],[خط (S/S  TOT) SAR2]]-TABL12345[[#This Row],[(S/S TOT) AJD]]</f>
        <v>0</v>
      </c>
      <c r="Q173" s="39"/>
      <c r="R173" s="3">
        <f>TABL12345[[#This Row],[خط (T/B  TOT) SAR]]-TABL12345[[#This Row],[(T/B TOT) AJD]]</f>
        <v>0</v>
      </c>
      <c r="S173" s="3">
        <f>TABL12345[[#This Row],[الفرق بين بداية ونهاية خط  S/S]]+TABL12345[[#This Row],[الفرق بين بداية ونهاية خط  T/B]]</f>
        <v>0</v>
      </c>
      <c r="T173" s="3">
        <f t="shared" si="8"/>
        <v>0</v>
      </c>
      <c r="U173" s="41"/>
      <c r="V173" s="41"/>
      <c r="W173" s="3">
        <f t="shared" si="9"/>
        <v>0</v>
      </c>
      <c r="X173" s="3">
        <f t="shared" si="10"/>
        <v>0</v>
      </c>
      <c r="Y173" s="41"/>
      <c r="Z173" s="43"/>
      <c r="AA173" s="3">
        <f>TABL12345[[#This Row],[(RESV. STORGE) AJD]]/10</f>
        <v>0</v>
      </c>
      <c r="AB173" s="43">
        <f t="shared" si="11"/>
        <v>0</v>
      </c>
      <c r="AC173" s="5"/>
      <c r="AD173" s="39">
        <f>(TABL12345[[#This Row],[( S/S+T/B) AJD]]*1000)-((TABL12345[[#This Row],[(STORGE DIFF.) AJD]]*1000)+TABL12345[[#This Row],[البخر  AJD]]+(TABL12345[[#This Row],[(A/B + A/S) AJD]]*1000))</f>
        <v>0</v>
      </c>
      <c r="AE173" s="41"/>
      <c r="AF173" s="43"/>
      <c r="AG173" s="43"/>
      <c r="AH173" s="6">
        <f>TABL12345[[#This Row],[ (RESV. STORGE) BER]]/10</f>
        <v>0</v>
      </c>
      <c r="AI173" s="41"/>
      <c r="AJ173" s="41">
        <f>TABL12345[[#This Row],[(A/B TOT) AJD]]-TABL12345[[#This Row],[BER_ IN]]</f>
        <v>0</v>
      </c>
      <c r="AK173" s="43"/>
      <c r="AL173" s="43"/>
      <c r="AM173" s="32"/>
      <c r="AN173" s="32">
        <f>TABL12345[[#This Row],[ (RESV. STORGE) SER]]/10</f>
        <v>0</v>
      </c>
      <c r="AO173" s="68"/>
      <c r="AP173" s="68">
        <f>TABL12345[[#This Row],[(A/S TOT) AJD]]-TABL12345[[#This Row],[SER_ IN]]</f>
        <v>0</v>
      </c>
    </row>
    <row r="174" spans="1:42" ht="18.75" x14ac:dyDescent="0.25">
      <c r="A174" s="2">
        <v>47656</v>
      </c>
      <c r="B174" s="44"/>
      <c r="C174" s="44"/>
      <c r="D174" s="44"/>
      <c r="E174" s="28"/>
      <c r="F174" s="44"/>
      <c r="G174" s="40"/>
      <c r="H174" s="28"/>
      <c r="I174" s="40"/>
      <c r="J174" s="44"/>
      <c r="K174" s="28">
        <f>TABL12345[[#This Row],[خط (T/B  TOT) SAR]]+TABL12345[[#This Row],[خط (S/S  TOT) SAR2]]</f>
        <v>0</v>
      </c>
      <c r="L174" s="45"/>
      <c r="M174" s="46"/>
      <c r="N174" s="46"/>
      <c r="O174" s="40"/>
      <c r="P174" s="3">
        <f>TABL12345[[#This Row],[خط (S/S  TOT) SAR2]]-TABL12345[[#This Row],[(S/S TOT) AJD]]</f>
        <v>0</v>
      </c>
      <c r="Q174" s="40"/>
      <c r="R174" s="3">
        <f>TABL12345[[#This Row],[خط (T/B  TOT) SAR]]-TABL12345[[#This Row],[(T/B TOT) AJD]]</f>
        <v>0</v>
      </c>
      <c r="S174" s="3">
        <f>TABL12345[[#This Row],[الفرق بين بداية ونهاية خط  S/S]]+TABL12345[[#This Row],[الفرق بين بداية ونهاية خط  T/B]]</f>
        <v>0</v>
      </c>
      <c r="T174" s="3">
        <f t="shared" si="8"/>
        <v>0</v>
      </c>
      <c r="U174" s="44"/>
      <c r="V174" s="44"/>
      <c r="W174" s="3">
        <f t="shared" si="9"/>
        <v>0</v>
      </c>
      <c r="X174" s="3">
        <f t="shared" si="10"/>
        <v>0</v>
      </c>
      <c r="Y174" s="44"/>
      <c r="Z174" s="45"/>
      <c r="AA174" s="3">
        <f>TABL12345[[#This Row],[(RESV. STORGE) AJD]]/10</f>
        <v>0</v>
      </c>
      <c r="AB174" s="45">
        <f t="shared" si="11"/>
        <v>0</v>
      </c>
      <c r="AC174" s="5"/>
      <c r="AD174" s="40">
        <f>(TABL12345[[#This Row],[( S/S+T/B) AJD]]*1000)-((TABL12345[[#This Row],[(STORGE DIFF.) AJD]]*1000)+TABL12345[[#This Row],[البخر  AJD]]+(TABL12345[[#This Row],[(A/B + A/S) AJD]]*1000))</f>
        <v>0</v>
      </c>
      <c r="AE174" s="44"/>
      <c r="AF174" s="45"/>
      <c r="AG174" s="45"/>
      <c r="AH174" s="6">
        <f>TABL12345[[#This Row],[ (RESV. STORGE) BER]]/10</f>
        <v>0</v>
      </c>
      <c r="AI174" s="44"/>
      <c r="AJ174" s="44">
        <f>TABL12345[[#This Row],[(A/B TOT) AJD]]-TABL12345[[#This Row],[BER_ IN]]</f>
        <v>0</v>
      </c>
      <c r="AK174" s="45"/>
      <c r="AL174" s="45"/>
      <c r="AM174" s="32"/>
      <c r="AN174" s="32">
        <f>TABL12345[[#This Row],[ (RESV. STORGE) SER]]/10</f>
        <v>0</v>
      </c>
      <c r="AO174" s="68"/>
      <c r="AP174" s="68">
        <f>TABL12345[[#This Row],[(A/S TOT) AJD]]-TABL12345[[#This Row],[SER_ IN]]</f>
        <v>0</v>
      </c>
    </row>
    <row r="175" spans="1:42" ht="18.75" x14ac:dyDescent="0.25">
      <c r="A175" s="2">
        <v>47657</v>
      </c>
      <c r="B175" s="41"/>
      <c r="C175" s="41"/>
      <c r="D175" s="41"/>
      <c r="E175" s="28"/>
      <c r="F175" s="41"/>
      <c r="G175" s="39"/>
      <c r="H175" s="28"/>
      <c r="I175" s="39"/>
      <c r="J175" s="39"/>
      <c r="K175" s="28">
        <f>TABL12345[[#This Row],[خط (T/B  TOT) SAR]]+TABL12345[[#This Row],[خط (S/S  TOT) SAR2]]</f>
        <v>0</v>
      </c>
      <c r="L175" s="41"/>
      <c r="M175" s="42"/>
      <c r="N175" s="42"/>
      <c r="O175" s="39"/>
      <c r="P175" s="3">
        <f>TABL12345[[#This Row],[خط (S/S  TOT) SAR2]]-TABL12345[[#This Row],[(S/S TOT) AJD]]</f>
        <v>0</v>
      </c>
      <c r="Q175" s="39"/>
      <c r="R175" s="3">
        <f>TABL12345[[#This Row],[خط (T/B  TOT) SAR]]-TABL12345[[#This Row],[(T/B TOT) AJD]]</f>
        <v>0</v>
      </c>
      <c r="S175" s="3">
        <f>TABL12345[[#This Row],[الفرق بين بداية ونهاية خط  S/S]]+TABL12345[[#This Row],[الفرق بين بداية ونهاية خط  T/B]]</f>
        <v>0</v>
      </c>
      <c r="T175" s="3">
        <f t="shared" si="8"/>
        <v>0</v>
      </c>
      <c r="U175" s="41"/>
      <c r="V175" s="41"/>
      <c r="W175" s="3">
        <f t="shared" si="9"/>
        <v>0</v>
      </c>
      <c r="X175" s="3">
        <f t="shared" si="10"/>
        <v>0</v>
      </c>
      <c r="Y175" s="41"/>
      <c r="Z175" s="43"/>
      <c r="AA175" s="3">
        <f>TABL12345[[#This Row],[(RESV. STORGE) AJD]]/10</f>
        <v>0</v>
      </c>
      <c r="AB175" s="43">
        <f t="shared" si="11"/>
        <v>0</v>
      </c>
      <c r="AC175" s="5"/>
      <c r="AD175" s="39">
        <f>(TABL12345[[#This Row],[( S/S+T/B) AJD]]*1000)-((TABL12345[[#This Row],[(STORGE DIFF.) AJD]]*1000)+TABL12345[[#This Row],[البخر  AJD]]+(TABL12345[[#This Row],[(A/B + A/S) AJD]]*1000))</f>
        <v>0</v>
      </c>
      <c r="AE175" s="41"/>
      <c r="AF175" s="43"/>
      <c r="AG175" s="43"/>
      <c r="AH175" s="6">
        <f>TABL12345[[#This Row],[ (RESV. STORGE) BER]]/10</f>
        <v>0</v>
      </c>
      <c r="AI175" s="41"/>
      <c r="AJ175" s="41">
        <f>TABL12345[[#This Row],[(A/B TOT) AJD]]-TABL12345[[#This Row],[BER_ IN]]</f>
        <v>0</v>
      </c>
      <c r="AK175" s="43"/>
      <c r="AL175" s="43"/>
      <c r="AM175" s="32"/>
      <c r="AN175" s="32">
        <f>TABL12345[[#This Row],[ (RESV. STORGE) SER]]/10</f>
        <v>0</v>
      </c>
      <c r="AO175" s="68"/>
      <c r="AP175" s="68">
        <f>TABL12345[[#This Row],[(A/S TOT) AJD]]-TABL12345[[#This Row],[SER_ IN]]</f>
        <v>0</v>
      </c>
    </row>
    <row r="176" spans="1:42" ht="18.75" x14ac:dyDescent="0.25">
      <c r="A176" s="2">
        <v>47658</v>
      </c>
      <c r="B176" s="44"/>
      <c r="C176" s="44"/>
      <c r="D176" s="44"/>
      <c r="E176" s="28"/>
      <c r="F176" s="44"/>
      <c r="G176" s="40"/>
      <c r="H176" s="28"/>
      <c r="I176" s="40"/>
      <c r="J176" s="44"/>
      <c r="K176" s="28">
        <f>TABL12345[[#This Row],[خط (T/B  TOT) SAR]]+TABL12345[[#This Row],[خط (S/S  TOT) SAR2]]</f>
        <v>0</v>
      </c>
      <c r="L176" s="45"/>
      <c r="M176" s="46"/>
      <c r="N176" s="46"/>
      <c r="O176" s="40"/>
      <c r="P176" s="3">
        <f>TABL12345[[#This Row],[خط (S/S  TOT) SAR2]]-TABL12345[[#This Row],[(S/S TOT) AJD]]</f>
        <v>0</v>
      </c>
      <c r="Q176" s="40"/>
      <c r="R176" s="3">
        <f>TABL12345[[#This Row],[خط (T/B  TOT) SAR]]-TABL12345[[#This Row],[(T/B TOT) AJD]]</f>
        <v>0</v>
      </c>
      <c r="S176" s="3">
        <f>TABL12345[[#This Row],[الفرق بين بداية ونهاية خط  S/S]]+TABL12345[[#This Row],[الفرق بين بداية ونهاية خط  T/B]]</f>
        <v>0</v>
      </c>
      <c r="T176" s="3">
        <f t="shared" si="8"/>
        <v>0</v>
      </c>
      <c r="U176" s="44"/>
      <c r="V176" s="44"/>
      <c r="W176" s="3">
        <f t="shared" si="9"/>
        <v>0</v>
      </c>
      <c r="X176" s="3">
        <f t="shared" si="10"/>
        <v>0</v>
      </c>
      <c r="Y176" s="44"/>
      <c r="Z176" s="45"/>
      <c r="AA176" s="3">
        <f>TABL12345[[#This Row],[(RESV. STORGE) AJD]]/10</f>
        <v>0</v>
      </c>
      <c r="AB176" s="45">
        <f t="shared" si="11"/>
        <v>0</v>
      </c>
      <c r="AC176" s="5"/>
      <c r="AD176" s="40">
        <f>(TABL12345[[#This Row],[( S/S+T/B) AJD]]*1000)-((TABL12345[[#This Row],[(STORGE DIFF.) AJD]]*1000)+TABL12345[[#This Row],[البخر  AJD]]+(TABL12345[[#This Row],[(A/B + A/S) AJD]]*1000))</f>
        <v>0</v>
      </c>
      <c r="AE176" s="44"/>
      <c r="AF176" s="45"/>
      <c r="AG176" s="45"/>
      <c r="AH176" s="6">
        <f>TABL12345[[#This Row],[ (RESV. STORGE) BER]]/10</f>
        <v>0</v>
      </c>
      <c r="AI176" s="44"/>
      <c r="AJ176" s="44">
        <f>TABL12345[[#This Row],[(A/B TOT) AJD]]-TABL12345[[#This Row],[BER_ IN]]</f>
        <v>0</v>
      </c>
      <c r="AK176" s="45"/>
      <c r="AL176" s="45"/>
      <c r="AM176" s="32"/>
      <c r="AN176" s="32">
        <f>TABL12345[[#This Row],[ (RESV. STORGE) SER]]/10</f>
        <v>0</v>
      </c>
      <c r="AO176" s="68"/>
      <c r="AP176" s="68">
        <f>TABL12345[[#This Row],[(A/S TOT) AJD]]-TABL12345[[#This Row],[SER_ IN]]</f>
        <v>0</v>
      </c>
    </row>
    <row r="177" spans="1:42" ht="18.75" x14ac:dyDescent="0.25">
      <c r="A177" s="2">
        <v>47659</v>
      </c>
      <c r="B177" s="41"/>
      <c r="C177" s="41"/>
      <c r="D177" s="41"/>
      <c r="E177" s="28"/>
      <c r="F177" s="41"/>
      <c r="G177" s="39"/>
      <c r="H177" s="28"/>
      <c r="I177" s="39"/>
      <c r="J177" s="39"/>
      <c r="K177" s="28">
        <f>TABL12345[[#This Row],[خط (T/B  TOT) SAR]]+TABL12345[[#This Row],[خط (S/S  TOT) SAR2]]</f>
        <v>0</v>
      </c>
      <c r="L177" s="41"/>
      <c r="M177" s="42"/>
      <c r="N177" s="42"/>
      <c r="O177" s="39"/>
      <c r="P177" s="3">
        <f>TABL12345[[#This Row],[خط (S/S  TOT) SAR2]]-TABL12345[[#This Row],[(S/S TOT) AJD]]</f>
        <v>0</v>
      </c>
      <c r="Q177" s="39"/>
      <c r="R177" s="3">
        <f>TABL12345[[#This Row],[خط (T/B  TOT) SAR]]-TABL12345[[#This Row],[(T/B TOT) AJD]]</f>
        <v>0</v>
      </c>
      <c r="S177" s="3">
        <f>TABL12345[[#This Row],[الفرق بين بداية ونهاية خط  S/S]]+TABL12345[[#This Row],[الفرق بين بداية ونهاية خط  T/B]]</f>
        <v>0</v>
      </c>
      <c r="T177" s="3">
        <f t="shared" si="8"/>
        <v>0</v>
      </c>
      <c r="U177" s="41"/>
      <c r="V177" s="41"/>
      <c r="W177" s="3">
        <f t="shared" si="9"/>
        <v>0</v>
      </c>
      <c r="X177" s="3">
        <f t="shared" si="10"/>
        <v>0</v>
      </c>
      <c r="Y177" s="41"/>
      <c r="Z177" s="43"/>
      <c r="AA177" s="3">
        <f>TABL12345[[#This Row],[(RESV. STORGE) AJD]]/10</f>
        <v>0</v>
      </c>
      <c r="AB177" s="43">
        <f t="shared" si="11"/>
        <v>0</v>
      </c>
      <c r="AC177" s="5"/>
      <c r="AD177" s="39">
        <f>(TABL12345[[#This Row],[( S/S+T/B) AJD]]*1000)-((TABL12345[[#This Row],[(STORGE DIFF.) AJD]]*1000)+TABL12345[[#This Row],[البخر  AJD]]+(TABL12345[[#This Row],[(A/B + A/S) AJD]]*1000))</f>
        <v>0</v>
      </c>
      <c r="AE177" s="41"/>
      <c r="AF177" s="43"/>
      <c r="AG177" s="43"/>
      <c r="AH177" s="6">
        <f>TABL12345[[#This Row],[ (RESV. STORGE) BER]]/10</f>
        <v>0</v>
      </c>
      <c r="AI177" s="41"/>
      <c r="AJ177" s="41">
        <f>TABL12345[[#This Row],[(A/B TOT) AJD]]-TABL12345[[#This Row],[BER_ IN]]</f>
        <v>0</v>
      </c>
      <c r="AK177" s="43"/>
      <c r="AL177" s="43"/>
      <c r="AM177" s="32"/>
      <c r="AN177" s="32">
        <f>TABL12345[[#This Row],[ (RESV. STORGE) SER]]/10</f>
        <v>0</v>
      </c>
      <c r="AO177" s="68"/>
      <c r="AP177" s="68">
        <f>TABL12345[[#This Row],[(A/S TOT) AJD]]-TABL12345[[#This Row],[SER_ IN]]</f>
        <v>0</v>
      </c>
    </row>
    <row r="178" spans="1:42" ht="18.75" x14ac:dyDescent="0.25">
      <c r="A178" s="2">
        <v>47660</v>
      </c>
      <c r="B178" s="44"/>
      <c r="C178" s="44"/>
      <c r="D178" s="44"/>
      <c r="E178" s="28"/>
      <c r="F178" s="44"/>
      <c r="G178" s="40"/>
      <c r="H178" s="28"/>
      <c r="I178" s="40"/>
      <c r="J178" s="44"/>
      <c r="K178" s="28">
        <f>TABL12345[[#This Row],[خط (T/B  TOT) SAR]]+TABL12345[[#This Row],[خط (S/S  TOT) SAR2]]</f>
        <v>0</v>
      </c>
      <c r="L178" s="45"/>
      <c r="M178" s="46"/>
      <c r="N178" s="46"/>
      <c r="O178" s="40"/>
      <c r="P178" s="3">
        <f>TABL12345[[#This Row],[خط (S/S  TOT) SAR2]]-TABL12345[[#This Row],[(S/S TOT) AJD]]</f>
        <v>0</v>
      </c>
      <c r="Q178" s="40"/>
      <c r="R178" s="3">
        <f>TABL12345[[#This Row],[خط (T/B  TOT) SAR]]-TABL12345[[#This Row],[(T/B TOT) AJD]]</f>
        <v>0</v>
      </c>
      <c r="S178" s="3">
        <f>TABL12345[[#This Row],[الفرق بين بداية ونهاية خط  S/S]]+TABL12345[[#This Row],[الفرق بين بداية ونهاية خط  T/B]]</f>
        <v>0</v>
      </c>
      <c r="T178" s="3">
        <f t="shared" si="8"/>
        <v>0</v>
      </c>
      <c r="U178" s="44"/>
      <c r="V178" s="44"/>
      <c r="W178" s="3">
        <f t="shared" si="9"/>
        <v>0</v>
      </c>
      <c r="X178" s="3">
        <f t="shared" si="10"/>
        <v>0</v>
      </c>
      <c r="Y178" s="44"/>
      <c r="Z178" s="45"/>
      <c r="AA178" s="3">
        <f>TABL12345[[#This Row],[(RESV. STORGE) AJD]]/10</f>
        <v>0</v>
      </c>
      <c r="AB178" s="45">
        <f t="shared" si="11"/>
        <v>0</v>
      </c>
      <c r="AC178" s="5"/>
      <c r="AD178" s="40">
        <f>(TABL12345[[#This Row],[( S/S+T/B) AJD]]*1000)-((TABL12345[[#This Row],[(STORGE DIFF.) AJD]]*1000)+TABL12345[[#This Row],[البخر  AJD]]+(TABL12345[[#This Row],[(A/B + A/S) AJD]]*1000))</f>
        <v>0</v>
      </c>
      <c r="AE178" s="44"/>
      <c r="AF178" s="45"/>
      <c r="AG178" s="45"/>
      <c r="AH178" s="6">
        <f>TABL12345[[#This Row],[ (RESV. STORGE) BER]]/10</f>
        <v>0</v>
      </c>
      <c r="AI178" s="44"/>
      <c r="AJ178" s="44">
        <f>TABL12345[[#This Row],[(A/B TOT) AJD]]-TABL12345[[#This Row],[BER_ IN]]</f>
        <v>0</v>
      </c>
      <c r="AK178" s="45"/>
      <c r="AL178" s="45"/>
      <c r="AM178" s="32"/>
      <c r="AN178" s="32">
        <f>TABL12345[[#This Row],[ (RESV. STORGE) SER]]/10</f>
        <v>0</v>
      </c>
      <c r="AO178" s="68"/>
      <c r="AP178" s="68">
        <f>TABL12345[[#This Row],[(A/S TOT) AJD]]-TABL12345[[#This Row],[SER_ IN]]</f>
        <v>0</v>
      </c>
    </row>
    <row r="179" spans="1:42" ht="18.75" x14ac:dyDescent="0.25">
      <c r="A179" s="2">
        <v>47661</v>
      </c>
      <c r="B179" s="41"/>
      <c r="C179" s="41"/>
      <c r="D179" s="41"/>
      <c r="E179" s="28"/>
      <c r="F179" s="41"/>
      <c r="G179" s="39"/>
      <c r="H179" s="28"/>
      <c r="I179" s="39"/>
      <c r="J179" s="39"/>
      <c r="K179" s="28">
        <f>TABL12345[[#This Row],[خط (T/B  TOT) SAR]]+TABL12345[[#This Row],[خط (S/S  TOT) SAR2]]</f>
        <v>0</v>
      </c>
      <c r="L179" s="41"/>
      <c r="M179" s="42"/>
      <c r="N179" s="42"/>
      <c r="O179" s="39"/>
      <c r="P179" s="3">
        <f>TABL12345[[#This Row],[خط (S/S  TOT) SAR2]]-TABL12345[[#This Row],[(S/S TOT) AJD]]</f>
        <v>0</v>
      </c>
      <c r="Q179" s="39"/>
      <c r="R179" s="3">
        <f>TABL12345[[#This Row],[خط (T/B  TOT) SAR]]-TABL12345[[#This Row],[(T/B TOT) AJD]]</f>
        <v>0</v>
      </c>
      <c r="S179" s="3">
        <f>TABL12345[[#This Row],[الفرق بين بداية ونهاية خط  S/S]]+TABL12345[[#This Row],[الفرق بين بداية ونهاية خط  T/B]]</f>
        <v>0</v>
      </c>
      <c r="T179" s="3">
        <f t="shared" si="8"/>
        <v>0</v>
      </c>
      <c r="U179" s="41"/>
      <c r="V179" s="41"/>
      <c r="W179" s="3">
        <f t="shared" si="9"/>
        <v>0</v>
      </c>
      <c r="X179" s="3">
        <f t="shared" si="10"/>
        <v>0</v>
      </c>
      <c r="Y179" s="41"/>
      <c r="Z179" s="43"/>
      <c r="AA179" s="3">
        <f>TABL12345[[#This Row],[(RESV. STORGE) AJD]]/10</f>
        <v>0</v>
      </c>
      <c r="AB179" s="43">
        <f t="shared" si="11"/>
        <v>0</v>
      </c>
      <c r="AC179" s="5"/>
      <c r="AD179" s="39">
        <f>(TABL12345[[#This Row],[( S/S+T/B) AJD]]*1000)-((TABL12345[[#This Row],[(STORGE DIFF.) AJD]]*1000)+TABL12345[[#This Row],[البخر  AJD]]+(TABL12345[[#This Row],[(A/B + A/S) AJD]]*1000))</f>
        <v>0</v>
      </c>
      <c r="AE179" s="41"/>
      <c r="AF179" s="43"/>
      <c r="AG179" s="43"/>
      <c r="AH179" s="6">
        <f>TABL12345[[#This Row],[ (RESV. STORGE) BER]]/10</f>
        <v>0</v>
      </c>
      <c r="AI179" s="41"/>
      <c r="AJ179" s="41">
        <f>TABL12345[[#This Row],[(A/B TOT) AJD]]-TABL12345[[#This Row],[BER_ IN]]</f>
        <v>0</v>
      </c>
      <c r="AK179" s="43"/>
      <c r="AL179" s="43"/>
      <c r="AM179" s="32"/>
      <c r="AN179" s="32">
        <f>TABL12345[[#This Row],[ (RESV. STORGE) SER]]/10</f>
        <v>0</v>
      </c>
      <c r="AO179" s="68"/>
      <c r="AP179" s="68">
        <f>TABL12345[[#This Row],[(A/S TOT) AJD]]-TABL12345[[#This Row],[SER_ IN]]</f>
        <v>0</v>
      </c>
    </row>
    <row r="180" spans="1:42" ht="18.75" x14ac:dyDescent="0.25">
      <c r="A180" s="2">
        <v>47662</v>
      </c>
      <c r="B180" s="44"/>
      <c r="C180" s="44"/>
      <c r="D180" s="44"/>
      <c r="E180" s="28"/>
      <c r="F180" s="44"/>
      <c r="G180" s="40"/>
      <c r="H180" s="28"/>
      <c r="I180" s="40"/>
      <c r="J180" s="44"/>
      <c r="K180" s="28">
        <f>TABL12345[[#This Row],[خط (T/B  TOT) SAR]]+TABL12345[[#This Row],[خط (S/S  TOT) SAR2]]</f>
        <v>0</v>
      </c>
      <c r="L180" s="45"/>
      <c r="M180" s="46"/>
      <c r="N180" s="46"/>
      <c r="O180" s="40"/>
      <c r="P180" s="3">
        <f>TABL12345[[#This Row],[خط (S/S  TOT) SAR2]]-TABL12345[[#This Row],[(S/S TOT) AJD]]</f>
        <v>0</v>
      </c>
      <c r="Q180" s="40"/>
      <c r="R180" s="3">
        <f>TABL12345[[#This Row],[خط (T/B  TOT) SAR]]-TABL12345[[#This Row],[(T/B TOT) AJD]]</f>
        <v>0</v>
      </c>
      <c r="S180" s="3">
        <f>TABL12345[[#This Row],[الفرق بين بداية ونهاية خط  S/S]]+TABL12345[[#This Row],[الفرق بين بداية ونهاية خط  T/B]]</f>
        <v>0</v>
      </c>
      <c r="T180" s="3">
        <f t="shared" si="8"/>
        <v>0</v>
      </c>
      <c r="U180" s="44"/>
      <c r="V180" s="44"/>
      <c r="W180" s="3">
        <f t="shared" si="9"/>
        <v>0</v>
      </c>
      <c r="X180" s="3">
        <f t="shared" si="10"/>
        <v>0</v>
      </c>
      <c r="Y180" s="44"/>
      <c r="Z180" s="45"/>
      <c r="AA180" s="3">
        <f>TABL12345[[#This Row],[(RESV. STORGE) AJD]]/10</f>
        <v>0</v>
      </c>
      <c r="AB180" s="45">
        <f t="shared" si="11"/>
        <v>0</v>
      </c>
      <c r="AC180" s="5"/>
      <c r="AD180" s="40">
        <f>(TABL12345[[#This Row],[( S/S+T/B) AJD]]*1000)-((TABL12345[[#This Row],[(STORGE DIFF.) AJD]]*1000)+TABL12345[[#This Row],[البخر  AJD]]+(TABL12345[[#This Row],[(A/B + A/S) AJD]]*1000))</f>
        <v>0</v>
      </c>
      <c r="AE180" s="44"/>
      <c r="AF180" s="45"/>
      <c r="AG180" s="45"/>
      <c r="AH180" s="6">
        <f>TABL12345[[#This Row],[ (RESV. STORGE) BER]]/10</f>
        <v>0</v>
      </c>
      <c r="AI180" s="44"/>
      <c r="AJ180" s="44">
        <f>TABL12345[[#This Row],[(A/B TOT) AJD]]-TABL12345[[#This Row],[BER_ IN]]</f>
        <v>0</v>
      </c>
      <c r="AK180" s="45"/>
      <c r="AL180" s="45"/>
      <c r="AM180" s="32"/>
      <c r="AN180" s="32">
        <f>TABL12345[[#This Row],[ (RESV. STORGE) SER]]/10</f>
        <v>0</v>
      </c>
      <c r="AO180" s="68"/>
      <c r="AP180" s="68">
        <f>TABL12345[[#This Row],[(A/S TOT) AJD]]-TABL12345[[#This Row],[SER_ IN]]</f>
        <v>0</v>
      </c>
    </row>
    <row r="181" spans="1:42" ht="18.75" x14ac:dyDescent="0.25">
      <c r="A181" s="2">
        <v>47663</v>
      </c>
      <c r="B181" s="41"/>
      <c r="C181" s="41"/>
      <c r="D181" s="41"/>
      <c r="E181" s="28"/>
      <c r="F181" s="41"/>
      <c r="G181" s="39"/>
      <c r="H181" s="28"/>
      <c r="I181" s="39"/>
      <c r="J181" s="39"/>
      <c r="K181" s="28">
        <f>TABL12345[[#This Row],[خط (T/B  TOT) SAR]]+TABL12345[[#This Row],[خط (S/S  TOT) SAR2]]</f>
        <v>0</v>
      </c>
      <c r="L181" s="41"/>
      <c r="M181" s="42"/>
      <c r="N181" s="42"/>
      <c r="O181" s="39"/>
      <c r="P181" s="3">
        <f>TABL12345[[#This Row],[خط (S/S  TOT) SAR2]]-TABL12345[[#This Row],[(S/S TOT) AJD]]</f>
        <v>0</v>
      </c>
      <c r="Q181" s="39"/>
      <c r="R181" s="3">
        <f>TABL12345[[#This Row],[خط (T/B  TOT) SAR]]-TABL12345[[#This Row],[(T/B TOT) AJD]]</f>
        <v>0</v>
      </c>
      <c r="S181" s="3">
        <f>TABL12345[[#This Row],[الفرق بين بداية ونهاية خط  S/S]]+TABL12345[[#This Row],[الفرق بين بداية ونهاية خط  T/B]]</f>
        <v>0</v>
      </c>
      <c r="T181" s="3">
        <f t="shared" si="8"/>
        <v>0</v>
      </c>
      <c r="U181" s="41"/>
      <c r="V181" s="41"/>
      <c r="W181" s="3">
        <f t="shared" si="9"/>
        <v>0</v>
      </c>
      <c r="X181" s="3">
        <f t="shared" si="10"/>
        <v>0</v>
      </c>
      <c r="Y181" s="41"/>
      <c r="Z181" s="43"/>
      <c r="AA181" s="3">
        <f>TABL12345[[#This Row],[(RESV. STORGE) AJD]]/10</f>
        <v>0</v>
      </c>
      <c r="AB181" s="43">
        <f t="shared" si="11"/>
        <v>0</v>
      </c>
      <c r="AC181" s="5"/>
      <c r="AD181" s="39">
        <f>(TABL12345[[#This Row],[( S/S+T/B) AJD]]*1000)-((TABL12345[[#This Row],[(STORGE DIFF.) AJD]]*1000)+TABL12345[[#This Row],[البخر  AJD]]+(TABL12345[[#This Row],[(A/B + A/S) AJD]]*1000))</f>
        <v>0</v>
      </c>
      <c r="AE181" s="41"/>
      <c r="AF181" s="43"/>
      <c r="AG181" s="43"/>
      <c r="AH181" s="6">
        <f>TABL12345[[#This Row],[ (RESV. STORGE) BER]]/10</f>
        <v>0</v>
      </c>
      <c r="AI181" s="41"/>
      <c r="AJ181" s="41">
        <f>TABL12345[[#This Row],[(A/B TOT) AJD]]-TABL12345[[#This Row],[BER_ IN]]</f>
        <v>0</v>
      </c>
      <c r="AK181" s="43"/>
      <c r="AL181" s="43"/>
      <c r="AM181" s="32"/>
      <c r="AN181" s="32">
        <f>TABL12345[[#This Row],[ (RESV. STORGE) SER]]/10</f>
        <v>0</v>
      </c>
      <c r="AO181" s="68"/>
      <c r="AP181" s="68">
        <f>TABL12345[[#This Row],[(A/S TOT) AJD]]-TABL12345[[#This Row],[SER_ IN]]</f>
        <v>0</v>
      </c>
    </row>
    <row r="182" spans="1:42" ht="18.75" x14ac:dyDescent="0.25">
      <c r="A182" s="2">
        <v>47664</v>
      </c>
      <c r="B182" s="44"/>
      <c r="C182" s="44"/>
      <c r="D182" s="44"/>
      <c r="E182" s="28"/>
      <c r="F182" s="44"/>
      <c r="G182" s="40"/>
      <c r="H182" s="28"/>
      <c r="I182" s="40"/>
      <c r="J182" s="44"/>
      <c r="K182" s="28">
        <f>TABL12345[[#This Row],[خط (T/B  TOT) SAR]]+TABL12345[[#This Row],[خط (S/S  TOT) SAR2]]</f>
        <v>0</v>
      </c>
      <c r="L182" s="45"/>
      <c r="M182" s="46"/>
      <c r="N182" s="46"/>
      <c r="O182" s="40"/>
      <c r="P182" s="3">
        <f>TABL12345[[#This Row],[خط (S/S  TOT) SAR2]]-TABL12345[[#This Row],[(S/S TOT) AJD]]</f>
        <v>0</v>
      </c>
      <c r="Q182" s="40"/>
      <c r="R182" s="3">
        <f>TABL12345[[#This Row],[خط (T/B  TOT) SAR]]-TABL12345[[#This Row],[(T/B TOT) AJD]]</f>
        <v>0</v>
      </c>
      <c r="S182" s="3">
        <f>TABL12345[[#This Row],[الفرق بين بداية ونهاية خط  S/S]]+TABL12345[[#This Row],[الفرق بين بداية ونهاية خط  T/B]]</f>
        <v>0</v>
      </c>
      <c r="T182" s="3">
        <f t="shared" si="8"/>
        <v>0</v>
      </c>
      <c r="U182" s="44"/>
      <c r="V182" s="44"/>
      <c r="W182" s="3">
        <f t="shared" si="9"/>
        <v>0</v>
      </c>
      <c r="X182" s="3">
        <f t="shared" si="10"/>
        <v>0</v>
      </c>
      <c r="Y182" s="44"/>
      <c r="Z182" s="45"/>
      <c r="AA182" s="3">
        <f>TABL12345[[#This Row],[(RESV. STORGE) AJD]]/10</f>
        <v>0</v>
      </c>
      <c r="AB182" s="45">
        <f t="shared" si="11"/>
        <v>0</v>
      </c>
      <c r="AC182" s="5"/>
      <c r="AD182" s="40">
        <f>(TABL12345[[#This Row],[( S/S+T/B) AJD]]*1000)-((TABL12345[[#This Row],[(STORGE DIFF.) AJD]]*1000)+TABL12345[[#This Row],[البخر  AJD]]+(TABL12345[[#This Row],[(A/B + A/S) AJD]]*1000))</f>
        <v>0</v>
      </c>
      <c r="AE182" s="44"/>
      <c r="AF182" s="45"/>
      <c r="AG182" s="45"/>
      <c r="AH182" s="6">
        <f>TABL12345[[#This Row],[ (RESV. STORGE) BER]]/10</f>
        <v>0</v>
      </c>
      <c r="AI182" s="44"/>
      <c r="AJ182" s="44">
        <f>TABL12345[[#This Row],[(A/B TOT) AJD]]-TABL12345[[#This Row],[BER_ IN]]</f>
        <v>0</v>
      </c>
      <c r="AK182" s="45"/>
      <c r="AL182" s="45"/>
      <c r="AM182" s="32"/>
      <c r="AN182" s="32">
        <f>TABL12345[[#This Row],[ (RESV. STORGE) SER]]/10</f>
        <v>0</v>
      </c>
      <c r="AO182" s="68"/>
      <c r="AP182" s="68">
        <f>TABL12345[[#This Row],[(A/S TOT) AJD]]-TABL12345[[#This Row],[SER_ IN]]</f>
        <v>0</v>
      </c>
    </row>
    <row r="183" spans="1:42" ht="18.75" x14ac:dyDescent="0.25">
      <c r="A183" s="2">
        <v>47665</v>
      </c>
      <c r="B183" s="41"/>
      <c r="C183" s="41"/>
      <c r="D183" s="41"/>
      <c r="E183" s="41"/>
      <c r="F183" s="41"/>
      <c r="G183" s="39"/>
      <c r="H183" s="28"/>
      <c r="I183" s="39"/>
      <c r="J183" s="39"/>
      <c r="K183" s="28">
        <f>TABL12345[[#This Row],[خط (T/B  TOT) SAR]]+TABL12345[[#This Row],[خط (S/S  TOT) SAR2]]</f>
        <v>0</v>
      </c>
      <c r="L183" s="41"/>
      <c r="M183" s="42"/>
      <c r="N183" s="42"/>
      <c r="O183" s="39"/>
      <c r="P183" s="12">
        <f>TABL12345[[#This Row],[خط (S/S  TOT) SAR2]]-TABL12345[[#This Row],[(S/S TOT) AJD]]</f>
        <v>0</v>
      </c>
      <c r="Q183" s="39"/>
      <c r="R183" s="12">
        <f>TABL12345[[#This Row],[خط (T/B  TOT) SAR]]-TABL12345[[#This Row],[(T/B TOT) AJD]]</f>
        <v>0</v>
      </c>
      <c r="S183" s="12">
        <f>TABL12345[[#This Row],[الفرق بين بداية ونهاية خط  S/S]]+TABL12345[[#This Row],[الفرق بين بداية ونهاية خط  T/B]]</f>
        <v>0</v>
      </c>
      <c r="T183" s="12">
        <f t="shared" si="8"/>
        <v>0</v>
      </c>
      <c r="U183" s="41"/>
      <c r="V183" s="41"/>
      <c r="W183" s="12">
        <f t="shared" si="9"/>
        <v>0</v>
      </c>
      <c r="X183" s="12">
        <f t="shared" si="10"/>
        <v>0</v>
      </c>
      <c r="Y183" s="41"/>
      <c r="Z183" s="43"/>
      <c r="AA183" s="3">
        <f>TABL12345[[#This Row],[(RESV. STORGE) AJD]]/10</f>
        <v>0</v>
      </c>
      <c r="AB183" s="43">
        <f t="shared" si="11"/>
        <v>0</v>
      </c>
      <c r="AC183" s="5"/>
      <c r="AD183" s="39">
        <f>(TABL12345[[#This Row],[( S/S+T/B) AJD]]*1000)-((TABL12345[[#This Row],[(STORGE DIFF.) AJD]]*1000)+TABL12345[[#This Row],[البخر  AJD]]+(TABL12345[[#This Row],[(A/B + A/S) AJD]]*1000))</f>
        <v>0</v>
      </c>
      <c r="AE183" s="41"/>
      <c r="AF183" s="43"/>
      <c r="AG183" s="43"/>
      <c r="AH183" s="6">
        <f>TABL12345[[#This Row],[ (RESV. STORGE) BER]]/10</f>
        <v>0</v>
      </c>
      <c r="AI183" s="41"/>
      <c r="AJ183" s="41">
        <f>TABL12345[[#This Row],[(A/B TOT) AJD]]-TABL12345[[#This Row],[BER_ IN]]</f>
        <v>0</v>
      </c>
      <c r="AK183" s="43"/>
      <c r="AL183" s="43"/>
      <c r="AM183" s="32"/>
      <c r="AN183" s="32">
        <f>TABL12345[[#This Row],[ (RESV. STORGE) SER]]/10</f>
        <v>0</v>
      </c>
      <c r="AO183" s="68"/>
      <c r="AP183" s="68">
        <f>TABL12345[[#This Row],[(A/S TOT) AJD]]-TABL12345[[#This Row],[SER_ IN]]</f>
        <v>0</v>
      </c>
    </row>
    <row r="184" spans="1:42" ht="18.75" x14ac:dyDescent="0.25">
      <c r="A184" s="2">
        <v>47666</v>
      </c>
      <c r="B184" s="44"/>
      <c r="C184" s="44"/>
      <c r="D184" s="44"/>
      <c r="E184" s="44"/>
      <c r="F184" s="44"/>
      <c r="G184" s="40"/>
      <c r="H184" s="28"/>
      <c r="I184" s="40"/>
      <c r="J184" s="44"/>
      <c r="K184" s="28">
        <f>TABL12345[[#This Row],[خط (T/B  TOT) SAR]]+TABL12345[[#This Row],[خط (S/S  TOT) SAR2]]</f>
        <v>0</v>
      </c>
      <c r="L184" s="45"/>
      <c r="M184" s="46"/>
      <c r="N184" s="46"/>
      <c r="O184" s="40"/>
      <c r="P184" s="12">
        <f>TABL12345[[#This Row],[خط (S/S  TOT) SAR2]]-TABL12345[[#This Row],[(S/S TOT) AJD]]</f>
        <v>0</v>
      </c>
      <c r="Q184" s="40"/>
      <c r="R184" s="12">
        <f>TABL12345[[#This Row],[خط (T/B  TOT) SAR]]-TABL12345[[#This Row],[(T/B TOT) AJD]]</f>
        <v>0</v>
      </c>
      <c r="S184" s="12">
        <f>TABL12345[[#This Row],[الفرق بين بداية ونهاية خط  S/S]]+TABL12345[[#This Row],[الفرق بين بداية ونهاية خط  T/B]]</f>
        <v>0</v>
      </c>
      <c r="T184" s="12">
        <f t="shared" si="8"/>
        <v>0</v>
      </c>
      <c r="U184" s="44"/>
      <c r="V184" s="44"/>
      <c r="W184" s="12">
        <f t="shared" si="9"/>
        <v>0</v>
      </c>
      <c r="X184" s="12">
        <f t="shared" si="10"/>
        <v>0</v>
      </c>
      <c r="Y184" s="44"/>
      <c r="Z184" s="45"/>
      <c r="AA184" s="3">
        <f>TABL12345[[#This Row],[(RESV. STORGE) AJD]]/10</f>
        <v>0</v>
      </c>
      <c r="AB184" s="45">
        <f t="shared" si="11"/>
        <v>0</v>
      </c>
      <c r="AC184" s="5"/>
      <c r="AD184" s="40">
        <f>(TABL12345[[#This Row],[( S/S+T/B) AJD]]*1000)-((TABL12345[[#This Row],[(STORGE DIFF.) AJD]]*1000)+TABL12345[[#This Row],[البخر  AJD]]+(TABL12345[[#This Row],[(A/B + A/S) AJD]]*1000))</f>
        <v>0</v>
      </c>
      <c r="AE184" s="44"/>
      <c r="AF184" s="45"/>
      <c r="AG184" s="45"/>
      <c r="AH184" s="6">
        <f>TABL12345[[#This Row],[ (RESV. STORGE) BER]]/10</f>
        <v>0</v>
      </c>
      <c r="AI184" s="44"/>
      <c r="AJ184" s="44">
        <f>TABL12345[[#This Row],[(A/B TOT) AJD]]-TABL12345[[#This Row],[BER_ IN]]</f>
        <v>0</v>
      </c>
      <c r="AK184" s="45"/>
      <c r="AL184" s="45"/>
      <c r="AM184" s="32"/>
      <c r="AN184" s="32">
        <f>TABL12345[[#This Row],[ (RESV. STORGE) SER]]/10</f>
        <v>0</v>
      </c>
      <c r="AO184" s="68"/>
      <c r="AP184" s="68">
        <f>TABL12345[[#This Row],[(A/S TOT) AJD]]-TABL12345[[#This Row],[SER_ IN]]</f>
        <v>0</v>
      </c>
    </row>
    <row r="185" spans="1:42" ht="18.75" x14ac:dyDescent="0.25">
      <c r="A185" s="2">
        <v>47667</v>
      </c>
      <c r="B185" s="41"/>
      <c r="C185" s="41"/>
      <c r="D185" s="41"/>
      <c r="E185" s="41"/>
      <c r="F185" s="41"/>
      <c r="G185" s="39"/>
      <c r="H185" s="28"/>
      <c r="I185" s="39"/>
      <c r="J185" s="39"/>
      <c r="K185" s="28">
        <f>TABL12345[[#This Row],[خط (T/B  TOT) SAR]]+TABL12345[[#This Row],[خط (S/S  TOT) SAR2]]</f>
        <v>0</v>
      </c>
      <c r="L185" s="41"/>
      <c r="M185" s="42"/>
      <c r="N185" s="42"/>
      <c r="O185" s="39"/>
      <c r="P185" s="12">
        <f>TABL12345[[#This Row],[خط (S/S  TOT) SAR2]]-TABL12345[[#This Row],[(S/S TOT) AJD]]</f>
        <v>0</v>
      </c>
      <c r="Q185" s="39"/>
      <c r="R185" s="12">
        <f>TABL12345[[#This Row],[خط (T/B  TOT) SAR]]-TABL12345[[#This Row],[(T/B TOT) AJD]]</f>
        <v>0</v>
      </c>
      <c r="S185" s="12">
        <f>TABL12345[[#This Row],[الفرق بين بداية ونهاية خط  S/S]]+TABL12345[[#This Row],[الفرق بين بداية ونهاية خط  T/B]]</f>
        <v>0</v>
      </c>
      <c r="T185" s="12">
        <f t="shared" si="8"/>
        <v>0</v>
      </c>
      <c r="U185" s="41"/>
      <c r="V185" s="41"/>
      <c r="W185" s="12">
        <f t="shared" si="9"/>
        <v>0</v>
      </c>
      <c r="X185" s="12">
        <f t="shared" si="10"/>
        <v>0</v>
      </c>
      <c r="Y185" s="41"/>
      <c r="Z185" s="43"/>
      <c r="AA185" s="3">
        <f>TABL12345[[#This Row],[(RESV. STORGE) AJD]]/10</f>
        <v>0</v>
      </c>
      <c r="AB185" s="43">
        <f t="shared" si="11"/>
        <v>0</v>
      </c>
      <c r="AC185" s="5"/>
      <c r="AD185" s="39">
        <f>(TABL12345[[#This Row],[( S/S+T/B) AJD]]*1000)-((TABL12345[[#This Row],[(STORGE DIFF.) AJD]]*1000)+TABL12345[[#This Row],[البخر  AJD]]+(TABL12345[[#This Row],[(A/B + A/S) AJD]]*1000))</f>
        <v>0</v>
      </c>
      <c r="AE185" s="41"/>
      <c r="AF185" s="43"/>
      <c r="AG185" s="43"/>
      <c r="AH185" s="6">
        <f>TABL12345[[#This Row],[ (RESV. STORGE) BER]]/10</f>
        <v>0</v>
      </c>
      <c r="AI185" s="41"/>
      <c r="AJ185" s="41">
        <f>TABL12345[[#This Row],[(A/B TOT) AJD]]-TABL12345[[#This Row],[BER_ IN]]</f>
        <v>0</v>
      </c>
      <c r="AK185" s="43"/>
      <c r="AL185" s="43"/>
      <c r="AM185" s="32"/>
      <c r="AN185" s="32">
        <f>TABL12345[[#This Row],[ (RESV. STORGE) SER]]/10</f>
        <v>0</v>
      </c>
      <c r="AO185" s="68"/>
      <c r="AP185" s="68">
        <f>TABL12345[[#This Row],[(A/S TOT) AJD]]-TABL12345[[#This Row],[SER_ IN]]</f>
        <v>0</v>
      </c>
    </row>
    <row r="186" spans="1:42" ht="18.75" x14ac:dyDescent="0.25">
      <c r="A186" s="2">
        <v>47668</v>
      </c>
      <c r="B186" s="44"/>
      <c r="C186" s="44"/>
      <c r="D186" s="44"/>
      <c r="E186" s="44"/>
      <c r="F186" s="44"/>
      <c r="G186" s="40"/>
      <c r="H186" s="28"/>
      <c r="I186" s="40"/>
      <c r="J186" s="44"/>
      <c r="K186" s="28">
        <f>TABL12345[[#This Row],[خط (T/B  TOT) SAR]]+TABL12345[[#This Row],[خط (S/S  TOT) SAR2]]</f>
        <v>0</v>
      </c>
      <c r="L186" s="45"/>
      <c r="M186" s="46"/>
      <c r="N186" s="46"/>
      <c r="O186" s="40"/>
      <c r="P186" s="12">
        <f>TABL12345[[#This Row],[خط (S/S  TOT) SAR2]]-TABL12345[[#This Row],[(S/S TOT) AJD]]</f>
        <v>0</v>
      </c>
      <c r="Q186" s="40"/>
      <c r="R186" s="12">
        <f>TABL12345[[#This Row],[خط (T/B  TOT) SAR]]-TABL12345[[#This Row],[(T/B TOT) AJD]]</f>
        <v>0</v>
      </c>
      <c r="S186" s="12">
        <f>TABL12345[[#This Row],[الفرق بين بداية ونهاية خط  S/S]]+TABL12345[[#This Row],[الفرق بين بداية ونهاية خط  T/B]]</f>
        <v>0</v>
      </c>
      <c r="T186" s="12">
        <f t="shared" si="8"/>
        <v>0</v>
      </c>
      <c r="U186" s="44"/>
      <c r="V186" s="44"/>
      <c r="W186" s="12">
        <f t="shared" si="9"/>
        <v>0</v>
      </c>
      <c r="X186" s="12">
        <f t="shared" si="10"/>
        <v>0</v>
      </c>
      <c r="Y186" s="44"/>
      <c r="Z186" s="45"/>
      <c r="AA186" s="3">
        <f>TABL12345[[#This Row],[(RESV. STORGE) AJD]]/10</f>
        <v>0</v>
      </c>
      <c r="AB186" s="45">
        <f t="shared" si="11"/>
        <v>0</v>
      </c>
      <c r="AC186" s="5"/>
      <c r="AD186" s="40">
        <f>(TABL12345[[#This Row],[( S/S+T/B) AJD]]*1000)-((TABL12345[[#This Row],[(STORGE DIFF.) AJD]]*1000)+TABL12345[[#This Row],[البخر  AJD]]+(TABL12345[[#This Row],[(A/B + A/S) AJD]]*1000))</f>
        <v>0</v>
      </c>
      <c r="AE186" s="44"/>
      <c r="AF186" s="45"/>
      <c r="AG186" s="45"/>
      <c r="AH186" s="6">
        <f>TABL12345[[#This Row],[ (RESV. STORGE) BER]]/10</f>
        <v>0</v>
      </c>
      <c r="AI186" s="44"/>
      <c r="AJ186" s="44">
        <f>TABL12345[[#This Row],[(A/B TOT) AJD]]-TABL12345[[#This Row],[BER_ IN]]</f>
        <v>0</v>
      </c>
      <c r="AK186" s="45"/>
      <c r="AL186" s="45"/>
      <c r="AM186" s="32"/>
      <c r="AN186" s="32">
        <f>TABL12345[[#This Row],[ (RESV. STORGE) SER]]/10</f>
        <v>0</v>
      </c>
      <c r="AO186" s="68"/>
      <c r="AP186" s="68">
        <f>TABL12345[[#This Row],[(A/S TOT) AJD]]-TABL12345[[#This Row],[SER_ IN]]</f>
        <v>0</v>
      </c>
    </row>
    <row r="187" spans="1:42" ht="18.75" x14ac:dyDescent="0.25">
      <c r="A187" s="2">
        <v>47669</v>
      </c>
      <c r="B187" s="41"/>
      <c r="C187" s="41"/>
      <c r="D187" s="41"/>
      <c r="E187" s="41"/>
      <c r="F187" s="41"/>
      <c r="G187" s="39"/>
      <c r="H187" s="28"/>
      <c r="I187" s="39"/>
      <c r="J187" s="39"/>
      <c r="K187" s="28">
        <f>TABL12345[[#This Row],[خط (T/B  TOT) SAR]]+TABL12345[[#This Row],[خط (S/S  TOT) SAR2]]</f>
        <v>0</v>
      </c>
      <c r="L187" s="41"/>
      <c r="M187" s="42"/>
      <c r="N187" s="42"/>
      <c r="O187" s="39"/>
      <c r="P187" s="12">
        <f>TABL12345[[#This Row],[خط (S/S  TOT) SAR2]]-TABL12345[[#This Row],[(S/S TOT) AJD]]</f>
        <v>0</v>
      </c>
      <c r="Q187" s="39"/>
      <c r="R187" s="12">
        <f>TABL12345[[#This Row],[خط (T/B  TOT) SAR]]-TABL12345[[#This Row],[(T/B TOT) AJD]]</f>
        <v>0</v>
      </c>
      <c r="S187" s="12">
        <f>TABL12345[[#This Row],[الفرق بين بداية ونهاية خط  S/S]]+TABL12345[[#This Row],[الفرق بين بداية ونهاية خط  T/B]]</f>
        <v>0</v>
      </c>
      <c r="T187" s="12">
        <f t="shared" si="8"/>
        <v>0</v>
      </c>
      <c r="U187" s="41"/>
      <c r="V187" s="41"/>
      <c r="W187" s="10">
        <f t="shared" si="9"/>
        <v>0</v>
      </c>
      <c r="X187" s="10">
        <f t="shared" si="10"/>
        <v>0</v>
      </c>
      <c r="Y187" s="41"/>
      <c r="Z187" s="43"/>
      <c r="AA187" s="3">
        <f>TABL12345[[#This Row],[(RESV. STORGE) AJD]]/10</f>
        <v>0</v>
      </c>
      <c r="AB187" s="43">
        <f t="shared" si="11"/>
        <v>0</v>
      </c>
      <c r="AC187" s="5"/>
      <c r="AD187" s="39">
        <f>(TABL12345[[#This Row],[( S/S+T/B) AJD]]*1000)-((TABL12345[[#This Row],[(STORGE DIFF.) AJD]]*1000)+TABL12345[[#This Row],[البخر  AJD]]+(TABL12345[[#This Row],[(A/B + A/S) AJD]]*1000))</f>
        <v>0</v>
      </c>
      <c r="AE187" s="41"/>
      <c r="AF187" s="43"/>
      <c r="AG187" s="43"/>
      <c r="AH187" s="6">
        <f>TABL12345[[#This Row],[ (RESV. STORGE) BER]]/10</f>
        <v>0</v>
      </c>
      <c r="AI187" s="41"/>
      <c r="AJ187" s="41">
        <f>TABL12345[[#This Row],[(A/B TOT) AJD]]-TABL12345[[#This Row],[BER_ IN]]</f>
        <v>0</v>
      </c>
      <c r="AK187" s="43"/>
      <c r="AL187" s="43"/>
      <c r="AM187" s="32"/>
      <c r="AN187" s="32">
        <f>TABL12345[[#This Row],[ (RESV. STORGE) SER]]/10</f>
        <v>0</v>
      </c>
      <c r="AO187" s="68"/>
      <c r="AP187" s="68">
        <f>TABL12345[[#This Row],[(A/S TOT) AJD]]-TABL12345[[#This Row],[SER_ IN]]</f>
        <v>0</v>
      </c>
    </row>
    <row r="188" spans="1:42" ht="18.75" x14ac:dyDescent="0.25">
      <c r="A188" s="2">
        <v>47670</v>
      </c>
      <c r="B188" s="44"/>
      <c r="C188" s="44"/>
      <c r="D188" s="44"/>
      <c r="E188" s="44"/>
      <c r="F188" s="44"/>
      <c r="G188" s="40"/>
      <c r="H188" s="28"/>
      <c r="I188" s="40"/>
      <c r="J188" s="44"/>
      <c r="K188" s="28">
        <f>TABL12345[[#This Row],[خط (T/B  TOT) SAR]]+TABL12345[[#This Row],[خط (S/S  TOT) SAR2]]</f>
        <v>0</v>
      </c>
      <c r="L188" s="45"/>
      <c r="M188" s="46"/>
      <c r="N188" s="46"/>
      <c r="O188" s="40"/>
      <c r="P188" s="12">
        <f>TABL12345[[#This Row],[خط (S/S  TOT) SAR2]]-TABL12345[[#This Row],[(S/S TOT) AJD]]</f>
        <v>0</v>
      </c>
      <c r="Q188" s="40"/>
      <c r="R188" s="12">
        <f>TABL12345[[#This Row],[خط (T/B  TOT) SAR]]-TABL12345[[#This Row],[(T/B TOT) AJD]]</f>
        <v>0</v>
      </c>
      <c r="S188" s="12">
        <f>TABL12345[[#This Row],[الفرق بين بداية ونهاية خط  S/S]]+TABL12345[[#This Row],[الفرق بين بداية ونهاية خط  T/B]]</f>
        <v>0</v>
      </c>
      <c r="T188" s="12">
        <f t="shared" si="8"/>
        <v>0</v>
      </c>
      <c r="U188" s="44"/>
      <c r="V188" s="44"/>
      <c r="W188" s="12">
        <f t="shared" si="9"/>
        <v>0</v>
      </c>
      <c r="X188" s="12">
        <f t="shared" si="10"/>
        <v>0</v>
      </c>
      <c r="Y188" s="44"/>
      <c r="Z188" s="45"/>
      <c r="AA188" s="3">
        <f>TABL12345[[#This Row],[(RESV. STORGE) AJD]]/10</f>
        <v>0</v>
      </c>
      <c r="AB188" s="45">
        <f t="shared" si="11"/>
        <v>0</v>
      </c>
      <c r="AC188" s="5"/>
      <c r="AD188" s="40">
        <f>(TABL12345[[#This Row],[( S/S+T/B) AJD]]*1000)-((TABL12345[[#This Row],[(STORGE DIFF.) AJD]]*1000)+TABL12345[[#This Row],[البخر  AJD]]+(TABL12345[[#This Row],[(A/B + A/S) AJD]]*1000))</f>
        <v>0</v>
      </c>
      <c r="AE188" s="44"/>
      <c r="AF188" s="45"/>
      <c r="AG188" s="45"/>
      <c r="AH188" s="6">
        <f>TABL12345[[#This Row],[ (RESV. STORGE) BER]]/10</f>
        <v>0</v>
      </c>
      <c r="AI188" s="44"/>
      <c r="AJ188" s="44">
        <f>TABL12345[[#This Row],[(A/B TOT) AJD]]-TABL12345[[#This Row],[BER_ IN]]</f>
        <v>0</v>
      </c>
      <c r="AK188" s="45"/>
      <c r="AL188" s="45"/>
      <c r="AM188" s="32"/>
      <c r="AN188" s="32">
        <f>TABL12345[[#This Row],[ (RESV. STORGE) SER]]/10</f>
        <v>0</v>
      </c>
      <c r="AO188" s="68"/>
      <c r="AP188" s="68">
        <f>TABL12345[[#This Row],[(A/S TOT) AJD]]-TABL12345[[#This Row],[SER_ IN]]</f>
        <v>0</v>
      </c>
    </row>
    <row r="189" spans="1:42" ht="18.75" x14ac:dyDescent="0.25">
      <c r="A189" s="2">
        <v>47671</v>
      </c>
      <c r="B189" s="41"/>
      <c r="C189" s="41"/>
      <c r="D189" s="41"/>
      <c r="E189" s="41"/>
      <c r="F189" s="41"/>
      <c r="G189" s="39"/>
      <c r="H189" s="28"/>
      <c r="I189" s="39"/>
      <c r="J189" s="39"/>
      <c r="K189" s="28">
        <f>TABL12345[[#This Row],[خط (T/B  TOT) SAR]]+TABL12345[[#This Row],[خط (S/S  TOT) SAR2]]</f>
        <v>0</v>
      </c>
      <c r="L189" s="41"/>
      <c r="M189" s="42"/>
      <c r="N189" s="42"/>
      <c r="O189" s="39"/>
      <c r="P189" s="12">
        <f>TABL12345[[#This Row],[خط (S/S  TOT) SAR2]]-TABL12345[[#This Row],[(S/S TOT) AJD]]</f>
        <v>0</v>
      </c>
      <c r="Q189" s="39"/>
      <c r="R189" s="12">
        <f>TABL12345[[#This Row],[خط (T/B  TOT) SAR]]-TABL12345[[#This Row],[(T/B TOT) AJD]]</f>
        <v>0</v>
      </c>
      <c r="S189" s="12">
        <f>TABL12345[[#This Row],[الفرق بين بداية ونهاية خط  S/S]]+TABL12345[[#This Row],[الفرق بين بداية ونهاية خط  T/B]]</f>
        <v>0</v>
      </c>
      <c r="T189" s="12">
        <f t="shared" si="8"/>
        <v>0</v>
      </c>
      <c r="U189" s="41"/>
      <c r="V189" s="41"/>
      <c r="W189" s="12">
        <f t="shared" si="9"/>
        <v>0</v>
      </c>
      <c r="X189" s="12">
        <f t="shared" si="10"/>
        <v>0</v>
      </c>
      <c r="Y189" s="41"/>
      <c r="Z189" s="43"/>
      <c r="AA189" s="3">
        <f>TABL12345[[#This Row],[(RESV. STORGE) AJD]]/10</f>
        <v>0</v>
      </c>
      <c r="AB189" s="43">
        <f t="shared" si="11"/>
        <v>0</v>
      </c>
      <c r="AC189" s="5"/>
      <c r="AD189" s="39">
        <f>(TABL12345[[#This Row],[( S/S+T/B) AJD]]*1000)-((TABL12345[[#This Row],[(STORGE DIFF.) AJD]]*1000)+TABL12345[[#This Row],[البخر  AJD]]+(TABL12345[[#This Row],[(A/B + A/S) AJD]]*1000))</f>
        <v>0</v>
      </c>
      <c r="AE189" s="41"/>
      <c r="AF189" s="43"/>
      <c r="AG189" s="43"/>
      <c r="AH189" s="6">
        <f>TABL12345[[#This Row],[ (RESV. STORGE) BER]]/10</f>
        <v>0</v>
      </c>
      <c r="AI189" s="41"/>
      <c r="AJ189" s="41">
        <f>TABL12345[[#This Row],[(A/B TOT) AJD]]-TABL12345[[#This Row],[BER_ IN]]</f>
        <v>0</v>
      </c>
      <c r="AK189" s="43"/>
      <c r="AL189" s="43"/>
      <c r="AM189" s="32"/>
      <c r="AN189" s="32">
        <f>TABL12345[[#This Row],[ (RESV. STORGE) SER]]/10</f>
        <v>0</v>
      </c>
      <c r="AO189" s="68"/>
      <c r="AP189" s="68">
        <f>TABL12345[[#This Row],[(A/S TOT) AJD]]-TABL12345[[#This Row],[SER_ IN]]</f>
        <v>0</v>
      </c>
    </row>
    <row r="190" spans="1:42" ht="18.75" x14ac:dyDescent="0.25">
      <c r="A190" s="2">
        <v>47672</v>
      </c>
      <c r="B190" s="44"/>
      <c r="C190" s="44"/>
      <c r="D190" s="44"/>
      <c r="E190" s="44"/>
      <c r="F190" s="44"/>
      <c r="G190" s="40"/>
      <c r="H190" s="28"/>
      <c r="I190" s="40"/>
      <c r="J190" s="44"/>
      <c r="K190" s="28">
        <f>TABL12345[[#This Row],[خط (T/B  TOT) SAR]]+TABL12345[[#This Row],[خط (S/S  TOT) SAR2]]</f>
        <v>0</v>
      </c>
      <c r="L190" s="45"/>
      <c r="M190" s="46"/>
      <c r="N190" s="46"/>
      <c r="O190" s="40"/>
      <c r="P190" s="12">
        <f>TABL12345[[#This Row],[خط (S/S  TOT) SAR2]]-TABL12345[[#This Row],[(S/S TOT) AJD]]</f>
        <v>0</v>
      </c>
      <c r="Q190" s="40"/>
      <c r="R190" s="12">
        <f>TABL12345[[#This Row],[خط (T/B  TOT) SAR]]-TABL12345[[#This Row],[(T/B TOT) AJD]]</f>
        <v>0</v>
      </c>
      <c r="S190" s="12">
        <f>TABL12345[[#This Row],[الفرق بين بداية ونهاية خط  S/S]]+TABL12345[[#This Row],[الفرق بين بداية ونهاية خط  T/B]]</f>
        <v>0</v>
      </c>
      <c r="T190" s="12">
        <f t="shared" si="8"/>
        <v>0</v>
      </c>
      <c r="U190" s="44"/>
      <c r="V190" s="44"/>
      <c r="W190" s="12">
        <f t="shared" si="9"/>
        <v>0</v>
      </c>
      <c r="X190" s="12">
        <f t="shared" si="10"/>
        <v>0</v>
      </c>
      <c r="Y190" s="44"/>
      <c r="Z190" s="45"/>
      <c r="AA190" s="3">
        <f>TABL12345[[#This Row],[(RESV. STORGE) AJD]]/10</f>
        <v>0</v>
      </c>
      <c r="AB190" s="45">
        <f t="shared" si="11"/>
        <v>0</v>
      </c>
      <c r="AC190" s="5"/>
      <c r="AD190" s="40">
        <f>(TABL12345[[#This Row],[( S/S+T/B) AJD]]*1000)-((TABL12345[[#This Row],[(STORGE DIFF.) AJD]]*1000)+TABL12345[[#This Row],[البخر  AJD]]+(TABL12345[[#This Row],[(A/B + A/S) AJD]]*1000))</f>
        <v>0</v>
      </c>
      <c r="AE190" s="44"/>
      <c r="AF190" s="45"/>
      <c r="AG190" s="45"/>
      <c r="AH190" s="6">
        <f>TABL12345[[#This Row],[ (RESV. STORGE) BER]]/10</f>
        <v>0</v>
      </c>
      <c r="AI190" s="44"/>
      <c r="AJ190" s="44">
        <f>TABL12345[[#This Row],[(A/B TOT) AJD]]-TABL12345[[#This Row],[BER_ IN]]</f>
        <v>0</v>
      </c>
      <c r="AK190" s="45"/>
      <c r="AL190" s="45"/>
      <c r="AM190" s="32"/>
      <c r="AN190" s="32">
        <f>TABL12345[[#This Row],[ (RESV. STORGE) SER]]/10</f>
        <v>0</v>
      </c>
      <c r="AO190" s="68"/>
      <c r="AP190" s="68">
        <f>TABL12345[[#This Row],[(A/S TOT) AJD]]-TABL12345[[#This Row],[SER_ IN]]</f>
        <v>0</v>
      </c>
    </row>
    <row r="191" spans="1:42" ht="18.75" x14ac:dyDescent="0.25">
      <c r="A191" s="2">
        <v>47673</v>
      </c>
      <c r="B191" s="41"/>
      <c r="C191" s="41"/>
      <c r="D191" s="41"/>
      <c r="E191" s="41"/>
      <c r="F191" s="41"/>
      <c r="G191" s="39"/>
      <c r="H191" s="28"/>
      <c r="I191" s="39"/>
      <c r="J191" s="39"/>
      <c r="K191" s="28">
        <f>TABL12345[[#This Row],[خط (T/B  TOT) SAR]]+TABL12345[[#This Row],[خط (S/S  TOT) SAR2]]</f>
        <v>0</v>
      </c>
      <c r="L191" s="41"/>
      <c r="M191" s="42"/>
      <c r="N191" s="42"/>
      <c r="O191" s="39"/>
      <c r="P191" s="12">
        <f>TABL12345[[#This Row],[خط (S/S  TOT) SAR2]]-TABL12345[[#This Row],[(S/S TOT) AJD]]</f>
        <v>0</v>
      </c>
      <c r="Q191" s="39"/>
      <c r="R191" s="12">
        <f>TABL12345[[#This Row],[خط (T/B  TOT) SAR]]-TABL12345[[#This Row],[(T/B TOT) AJD]]</f>
        <v>0</v>
      </c>
      <c r="S191" s="12">
        <f>TABL12345[[#This Row],[الفرق بين بداية ونهاية خط  S/S]]+TABL12345[[#This Row],[الفرق بين بداية ونهاية خط  T/B]]</f>
        <v>0</v>
      </c>
      <c r="T191" s="12">
        <f t="shared" si="8"/>
        <v>0</v>
      </c>
      <c r="U191" s="41"/>
      <c r="V191" s="41"/>
      <c r="W191" s="12">
        <f t="shared" si="9"/>
        <v>0</v>
      </c>
      <c r="X191" s="12">
        <f t="shared" si="10"/>
        <v>0</v>
      </c>
      <c r="Y191" s="41"/>
      <c r="Z191" s="43"/>
      <c r="AA191" s="3">
        <f>TABL12345[[#This Row],[(RESV. STORGE) AJD]]/10</f>
        <v>0</v>
      </c>
      <c r="AB191" s="43">
        <f t="shared" si="11"/>
        <v>0</v>
      </c>
      <c r="AC191" s="5"/>
      <c r="AD191" s="39">
        <f>(TABL12345[[#This Row],[( S/S+T/B) AJD]]*1000)-((TABL12345[[#This Row],[(STORGE DIFF.) AJD]]*1000)+TABL12345[[#This Row],[البخر  AJD]]+(TABL12345[[#This Row],[(A/B + A/S) AJD]]*1000))</f>
        <v>0</v>
      </c>
      <c r="AE191" s="41"/>
      <c r="AF191" s="43"/>
      <c r="AG191" s="43"/>
      <c r="AH191" s="6">
        <f>TABL12345[[#This Row],[ (RESV. STORGE) BER]]/10</f>
        <v>0</v>
      </c>
      <c r="AI191" s="41"/>
      <c r="AJ191" s="41">
        <f>TABL12345[[#This Row],[(A/B TOT) AJD]]-TABL12345[[#This Row],[BER_ IN]]</f>
        <v>0</v>
      </c>
      <c r="AK191" s="43"/>
      <c r="AL191" s="43"/>
      <c r="AM191" s="32"/>
      <c r="AN191" s="32">
        <f>TABL12345[[#This Row],[ (RESV. STORGE) SER]]/10</f>
        <v>0</v>
      </c>
      <c r="AO191" s="68"/>
      <c r="AP191" s="68">
        <f>TABL12345[[#This Row],[(A/S TOT) AJD]]-TABL12345[[#This Row],[SER_ IN]]</f>
        <v>0</v>
      </c>
    </row>
    <row r="192" spans="1:42" ht="18.75" x14ac:dyDescent="0.25">
      <c r="A192" s="2">
        <v>47674</v>
      </c>
      <c r="B192" s="44"/>
      <c r="C192" s="44"/>
      <c r="D192" s="44"/>
      <c r="E192" s="44"/>
      <c r="F192" s="44"/>
      <c r="G192" s="40"/>
      <c r="H192" s="28"/>
      <c r="I192" s="40"/>
      <c r="J192" s="44"/>
      <c r="K192" s="28">
        <f>TABL12345[[#This Row],[خط (T/B  TOT) SAR]]+TABL12345[[#This Row],[خط (S/S  TOT) SAR2]]</f>
        <v>0</v>
      </c>
      <c r="L192" s="45"/>
      <c r="M192" s="46"/>
      <c r="N192" s="46"/>
      <c r="O192" s="40"/>
      <c r="P192" s="12">
        <f>TABL12345[[#This Row],[خط (S/S  TOT) SAR2]]-TABL12345[[#This Row],[(S/S TOT) AJD]]</f>
        <v>0</v>
      </c>
      <c r="Q192" s="40"/>
      <c r="R192" s="12">
        <f>TABL12345[[#This Row],[خط (T/B  TOT) SAR]]-TABL12345[[#This Row],[(T/B TOT) AJD]]</f>
        <v>0</v>
      </c>
      <c r="S192" s="12">
        <f>TABL12345[[#This Row],[الفرق بين بداية ونهاية خط  S/S]]+TABL12345[[#This Row],[الفرق بين بداية ونهاية خط  T/B]]</f>
        <v>0</v>
      </c>
      <c r="T192" s="12">
        <f t="shared" si="8"/>
        <v>0</v>
      </c>
      <c r="U192" s="44"/>
      <c r="V192" s="44"/>
      <c r="W192" s="12">
        <f t="shared" si="9"/>
        <v>0</v>
      </c>
      <c r="X192" s="12">
        <f t="shared" si="10"/>
        <v>0</v>
      </c>
      <c r="Y192" s="44"/>
      <c r="Z192" s="45"/>
      <c r="AA192" s="3">
        <f>TABL12345[[#This Row],[(RESV. STORGE) AJD]]/10</f>
        <v>0</v>
      </c>
      <c r="AB192" s="45">
        <f t="shared" si="11"/>
        <v>0</v>
      </c>
      <c r="AC192" s="5"/>
      <c r="AD192" s="40">
        <f>(TABL12345[[#This Row],[( S/S+T/B) AJD]]*1000)-((TABL12345[[#This Row],[(STORGE DIFF.) AJD]]*1000)+TABL12345[[#This Row],[البخر  AJD]]+(TABL12345[[#This Row],[(A/B + A/S) AJD]]*1000))</f>
        <v>0</v>
      </c>
      <c r="AE192" s="44"/>
      <c r="AF192" s="45"/>
      <c r="AG192" s="45"/>
      <c r="AH192" s="6">
        <f>TABL12345[[#This Row],[ (RESV. STORGE) BER]]/10</f>
        <v>0</v>
      </c>
      <c r="AI192" s="44"/>
      <c r="AJ192" s="44">
        <f>TABL12345[[#This Row],[(A/B TOT) AJD]]-TABL12345[[#This Row],[BER_ IN]]</f>
        <v>0</v>
      </c>
      <c r="AK192" s="45"/>
      <c r="AL192" s="45"/>
      <c r="AM192" s="32"/>
      <c r="AN192" s="32">
        <f>TABL12345[[#This Row],[ (RESV. STORGE) SER]]/10</f>
        <v>0</v>
      </c>
      <c r="AO192" s="68"/>
      <c r="AP192" s="68">
        <f>TABL12345[[#This Row],[(A/S TOT) AJD]]-TABL12345[[#This Row],[SER_ IN]]</f>
        <v>0</v>
      </c>
    </row>
    <row r="193" spans="1:42" ht="18.75" x14ac:dyDescent="0.25">
      <c r="A193" s="2">
        <v>47675</v>
      </c>
      <c r="B193" s="41"/>
      <c r="C193" s="41"/>
      <c r="D193" s="41"/>
      <c r="E193" s="41"/>
      <c r="F193" s="41"/>
      <c r="G193" s="39"/>
      <c r="H193" s="28"/>
      <c r="I193" s="39"/>
      <c r="J193" s="39"/>
      <c r="K193" s="28">
        <f>TABL12345[[#This Row],[خط (T/B  TOT) SAR]]+TABL12345[[#This Row],[خط (S/S  TOT) SAR2]]</f>
        <v>0</v>
      </c>
      <c r="L193" s="41"/>
      <c r="M193" s="42"/>
      <c r="N193" s="42"/>
      <c r="O193" s="39"/>
      <c r="P193" s="12">
        <f>TABL12345[[#This Row],[خط (S/S  TOT) SAR2]]-TABL12345[[#This Row],[(S/S TOT) AJD]]</f>
        <v>0</v>
      </c>
      <c r="Q193" s="39"/>
      <c r="R193" s="12">
        <f>TABL12345[[#This Row],[خط (T/B  TOT) SAR]]-TABL12345[[#This Row],[(T/B TOT) AJD]]</f>
        <v>0</v>
      </c>
      <c r="S193" s="12">
        <f>TABL12345[[#This Row],[الفرق بين بداية ونهاية خط  S/S]]+TABL12345[[#This Row],[الفرق بين بداية ونهاية خط  T/B]]</f>
        <v>0</v>
      </c>
      <c r="T193" s="12">
        <f t="shared" si="8"/>
        <v>0</v>
      </c>
      <c r="U193" s="41"/>
      <c r="V193" s="41"/>
      <c r="W193" s="12">
        <f t="shared" si="9"/>
        <v>0</v>
      </c>
      <c r="X193" s="12">
        <f t="shared" si="10"/>
        <v>0</v>
      </c>
      <c r="Y193" s="41"/>
      <c r="Z193" s="43"/>
      <c r="AA193" s="3">
        <f>TABL12345[[#This Row],[(RESV. STORGE) AJD]]/10</f>
        <v>0</v>
      </c>
      <c r="AB193" s="43">
        <f t="shared" si="11"/>
        <v>0</v>
      </c>
      <c r="AC193" s="5"/>
      <c r="AD193" s="39">
        <f>(TABL12345[[#This Row],[( S/S+T/B) AJD]]*1000)-((TABL12345[[#This Row],[(STORGE DIFF.) AJD]]*1000)+TABL12345[[#This Row],[البخر  AJD]]+(TABL12345[[#This Row],[(A/B + A/S) AJD]]*1000))</f>
        <v>0</v>
      </c>
      <c r="AE193" s="41"/>
      <c r="AF193" s="43"/>
      <c r="AG193" s="68"/>
      <c r="AH193" s="6">
        <f>TABL12345[[#This Row],[ (RESV. STORGE) BER]]/10</f>
        <v>0</v>
      </c>
      <c r="AI193" s="41"/>
      <c r="AJ193" s="69">
        <f>TABL12345[[#This Row],[(A/B TOT) AJD]]-TABL12345[[#This Row],[BER_ IN]]</f>
        <v>0</v>
      </c>
      <c r="AK193" s="43"/>
      <c r="AL193" s="43"/>
      <c r="AM193" s="32"/>
      <c r="AN193" s="32">
        <f>TABL12345[[#This Row],[ (RESV. STORGE) SER]]/10</f>
        <v>0</v>
      </c>
      <c r="AO193" s="68"/>
      <c r="AP193" s="68">
        <f>TABL12345[[#This Row],[(A/S TOT) AJD]]-TABL12345[[#This Row],[SER_ IN]]</f>
        <v>0</v>
      </c>
    </row>
    <row r="194" spans="1:42" ht="18.75" x14ac:dyDescent="0.25">
      <c r="A194" s="2">
        <v>47676</v>
      </c>
      <c r="B194" s="44"/>
      <c r="C194" s="44"/>
      <c r="D194" s="44"/>
      <c r="E194" s="44"/>
      <c r="F194" s="44"/>
      <c r="G194" s="40"/>
      <c r="H194" s="28"/>
      <c r="I194" s="40"/>
      <c r="J194" s="44"/>
      <c r="K194" s="28">
        <f>TABL12345[[#This Row],[خط (T/B  TOT) SAR]]+TABL12345[[#This Row],[خط (S/S  TOT) SAR2]]</f>
        <v>0</v>
      </c>
      <c r="L194" s="45"/>
      <c r="M194" s="46"/>
      <c r="N194" s="46"/>
      <c r="O194" s="40"/>
      <c r="P194" s="12">
        <f>TABL12345[[#This Row],[خط (S/S  TOT) SAR2]]-TABL12345[[#This Row],[(S/S TOT) AJD]]</f>
        <v>0</v>
      </c>
      <c r="Q194" s="40"/>
      <c r="R194" s="12">
        <f>TABL12345[[#This Row],[خط (T/B  TOT) SAR]]-TABL12345[[#This Row],[(T/B TOT) AJD]]</f>
        <v>0</v>
      </c>
      <c r="S194" s="12">
        <f>TABL12345[[#This Row],[الفرق بين بداية ونهاية خط  S/S]]+TABL12345[[#This Row],[الفرق بين بداية ونهاية خط  T/B]]</f>
        <v>0</v>
      </c>
      <c r="T194" s="12">
        <f t="shared" ref="T194:T257" si="12">O194+Q194</f>
        <v>0</v>
      </c>
      <c r="U194" s="44"/>
      <c r="V194" s="44"/>
      <c r="W194" s="12">
        <f t="shared" ref="W194:W257" si="13">U194+V194</f>
        <v>0</v>
      </c>
      <c r="X194" s="12">
        <f t="shared" ref="X194:X257" si="14">T194-W194</f>
        <v>0</v>
      </c>
      <c r="Y194" s="44"/>
      <c r="Z194" s="45"/>
      <c r="AA194" s="3">
        <f>TABL12345[[#This Row],[(RESV. STORGE) AJD]]/10</f>
        <v>0</v>
      </c>
      <c r="AB194" s="45">
        <f t="shared" si="11"/>
        <v>0</v>
      </c>
      <c r="AC194" s="5"/>
      <c r="AD194" s="40">
        <f>(TABL12345[[#This Row],[( S/S+T/B) AJD]]*1000)-((TABL12345[[#This Row],[(STORGE DIFF.) AJD]]*1000)+TABL12345[[#This Row],[البخر  AJD]]+(TABL12345[[#This Row],[(A/B + A/S) AJD]]*1000))</f>
        <v>0</v>
      </c>
      <c r="AE194" s="44"/>
      <c r="AF194" s="45"/>
      <c r="AG194" s="45"/>
      <c r="AH194" s="6">
        <f>TABL12345[[#This Row],[ (RESV. STORGE) BER]]/10</f>
        <v>0</v>
      </c>
      <c r="AI194" s="44"/>
      <c r="AJ194" s="44">
        <f>TABL12345[[#This Row],[(A/B TOT) AJD]]-TABL12345[[#This Row],[BER_ IN]]</f>
        <v>0</v>
      </c>
      <c r="AK194" s="45"/>
      <c r="AL194" s="45"/>
      <c r="AM194" s="32"/>
      <c r="AN194" s="32">
        <f>TABL12345[[#This Row],[ (RESV. STORGE) SER]]/10</f>
        <v>0</v>
      </c>
      <c r="AO194" s="68"/>
      <c r="AP194" s="68">
        <f>TABL12345[[#This Row],[(A/S TOT) AJD]]-TABL12345[[#This Row],[SER_ IN]]</f>
        <v>0</v>
      </c>
    </row>
    <row r="195" spans="1:42" ht="18.75" x14ac:dyDescent="0.25">
      <c r="A195" s="2">
        <v>47677</v>
      </c>
      <c r="B195" s="41"/>
      <c r="C195" s="41"/>
      <c r="D195" s="41"/>
      <c r="E195" s="41"/>
      <c r="F195" s="41"/>
      <c r="G195" s="39"/>
      <c r="H195" s="28"/>
      <c r="I195" s="39"/>
      <c r="J195" s="39"/>
      <c r="K195" s="28">
        <f>TABL12345[[#This Row],[خط (T/B  TOT) SAR]]+TABL12345[[#This Row],[خط (S/S  TOT) SAR2]]</f>
        <v>0</v>
      </c>
      <c r="L195" s="41"/>
      <c r="M195" s="42"/>
      <c r="N195" s="42"/>
      <c r="O195" s="39"/>
      <c r="P195" s="12">
        <f>TABL12345[[#This Row],[خط (S/S  TOT) SAR2]]-TABL12345[[#This Row],[(S/S TOT) AJD]]</f>
        <v>0</v>
      </c>
      <c r="Q195" s="39"/>
      <c r="R195" s="12">
        <f>TABL12345[[#This Row],[خط (T/B  TOT) SAR]]-TABL12345[[#This Row],[(T/B TOT) AJD]]</f>
        <v>0</v>
      </c>
      <c r="S195" s="12">
        <f>TABL12345[[#This Row],[الفرق بين بداية ونهاية خط  S/S]]+TABL12345[[#This Row],[الفرق بين بداية ونهاية خط  T/B]]</f>
        <v>0</v>
      </c>
      <c r="T195" s="12">
        <f t="shared" si="12"/>
        <v>0</v>
      </c>
      <c r="U195" s="41"/>
      <c r="V195" s="41"/>
      <c r="W195" s="12">
        <f t="shared" si="13"/>
        <v>0</v>
      </c>
      <c r="X195" s="12">
        <f t="shared" si="14"/>
        <v>0</v>
      </c>
      <c r="Y195" s="41"/>
      <c r="Z195" s="43"/>
      <c r="AA195" s="3">
        <f>TABL12345[[#This Row],[(RESV. STORGE) AJD]]/10</f>
        <v>0</v>
      </c>
      <c r="AB195" s="43">
        <f t="shared" si="11"/>
        <v>0</v>
      </c>
      <c r="AC195" s="5"/>
      <c r="AD195" s="39">
        <f>(TABL12345[[#This Row],[( S/S+T/B) AJD]]*1000)-((TABL12345[[#This Row],[(STORGE DIFF.) AJD]]*1000)+TABL12345[[#This Row],[البخر  AJD]]+(TABL12345[[#This Row],[(A/B + A/S) AJD]]*1000))</f>
        <v>0</v>
      </c>
      <c r="AE195" s="41"/>
      <c r="AF195" s="43"/>
      <c r="AG195" s="43"/>
      <c r="AH195" s="6">
        <f>TABL12345[[#This Row],[ (RESV. STORGE) BER]]/10</f>
        <v>0</v>
      </c>
      <c r="AI195" s="41"/>
      <c r="AJ195" s="41">
        <f>TABL12345[[#This Row],[(A/B TOT) AJD]]-TABL12345[[#This Row],[BER_ IN]]</f>
        <v>0</v>
      </c>
      <c r="AK195" s="43"/>
      <c r="AL195" s="43"/>
      <c r="AM195" s="32"/>
      <c r="AN195" s="32">
        <f>TABL12345[[#This Row],[ (RESV. STORGE) SER]]/10</f>
        <v>0</v>
      </c>
      <c r="AO195" s="68"/>
      <c r="AP195" s="68">
        <f>TABL12345[[#This Row],[(A/S TOT) AJD]]-TABL12345[[#This Row],[SER_ IN]]</f>
        <v>0</v>
      </c>
    </row>
    <row r="196" spans="1:42" ht="18.75" x14ac:dyDescent="0.25">
      <c r="A196" s="2">
        <v>47678</v>
      </c>
      <c r="B196" s="44"/>
      <c r="C196" s="44"/>
      <c r="D196" s="44"/>
      <c r="E196" s="44"/>
      <c r="F196" s="44"/>
      <c r="G196" s="40"/>
      <c r="H196" s="28"/>
      <c r="I196" s="40"/>
      <c r="J196" s="44"/>
      <c r="K196" s="28">
        <f>TABL12345[[#This Row],[خط (T/B  TOT) SAR]]+TABL12345[[#This Row],[خط (S/S  TOT) SAR2]]</f>
        <v>0</v>
      </c>
      <c r="L196" s="45"/>
      <c r="M196" s="46"/>
      <c r="N196" s="46"/>
      <c r="O196" s="40"/>
      <c r="P196" s="12">
        <f>TABL12345[[#This Row],[خط (S/S  TOT) SAR2]]-TABL12345[[#This Row],[(S/S TOT) AJD]]</f>
        <v>0</v>
      </c>
      <c r="Q196" s="40"/>
      <c r="R196" s="12">
        <f>TABL12345[[#This Row],[خط (T/B  TOT) SAR]]-TABL12345[[#This Row],[(T/B TOT) AJD]]</f>
        <v>0</v>
      </c>
      <c r="S196" s="12">
        <f>TABL12345[[#This Row],[الفرق بين بداية ونهاية خط  S/S]]+TABL12345[[#This Row],[الفرق بين بداية ونهاية خط  T/B]]</f>
        <v>0</v>
      </c>
      <c r="T196" s="12">
        <f t="shared" si="12"/>
        <v>0</v>
      </c>
      <c r="U196" s="44"/>
      <c r="V196" s="44"/>
      <c r="W196" s="12">
        <f t="shared" si="13"/>
        <v>0</v>
      </c>
      <c r="X196" s="12">
        <f t="shared" si="14"/>
        <v>0</v>
      </c>
      <c r="Y196" s="44"/>
      <c r="Z196" s="45"/>
      <c r="AA196" s="3">
        <f>TABL12345[[#This Row],[(RESV. STORGE) AJD]]/10</f>
        <v>0</v>
      </c>
      <c r="AB196" s="45">
        <f t="shared" ref="AB196:AB259" si="15">(Z196-Z195)/1000</f>
        <v>0</v>
      </c>
      <c r="AC196" s="5"/>
      <c r="AD196" s="40">
        <f>(TABL12345[[#This Row],[( S/S+T/B) AJD]]*1000)-((TABL12345[[#This Row],[(STORGE DIFF.) AJD]]*1000)+TABL12345[[#This Row],[البخر  AJD]]+(TABL12345[[#This Row],[(A/B + A/S) AJD]]*1000))</f>
        <v>0</v>
      </c>
      <c r="AE196" s="44"/>
      <c r="AF196" s="45"/>
      <c r="AG196" s="45"/>
      <c r="AH196" s="6">
        <f>TABL12345[[#This Row],[ (RESV. STORGE) BER]]/10</f>
        <v>0</v>
      </c>
      <c r="AI196" s="44"/>
      <c r="AJ196" s="44">
        <f>TABL12345[[#This Row],[(A/B TOT) AJD]]-TABL12345[[#This Row],[BER_ IN]]</f>
        <v>0</v>
      </c>
      <c r="AK196" s="45"/>
      <c r="AL196" s="45"/>
      <c r="AM196" s="32"/>
      <c r="AN196" s="32">
        <f>TABL12345[[#This Row],[ (RESV. STORGE) SER]]/10</f>
        <v>0</v>
      </c>
      <c r="AO196" s="68"/>
      <c r="AP196" s="68">
        <f>TABL12345[[#This Row],[(A/S TOT) AJD]]-TABL12345[[#This Row],[SER_ IN]]</f>
        <v>0</v>
      </c>
    </row>
    <row r="197" spans="1:42" ht="18.75" x14ac:dyDescent="0.25">
      <c r="A197" s="2">
        <v>47679</v>
      </c>
      <c r="B197" s="41"/>
      <c r="C197" s="41"/>
      <c r="D197" s="41"/>
      <c r="E197" s="41"/>
      <c r="F197" s="41"/>
      <c r="G197" s="39"/>
      <c r="H197" s="28"/>
      <c r="I197" s="39"/>
      <c r="J197" s="39"/>
      <c r="K197" s="28">
        <f>TABL12345[[#This Row],[خط (T/B  TOT) SAR]]+TABL12345[[#This Row],[خط (S/S  TOT) SAR2]]</f>
        <v>0</v>
      </c>
      <c r="L197" s="41"/>
      <c r="M197" s="42"/>
      <c r="N197" s="42"/>
      <c r="O197" s="39"/>
      <c r="P197" s="12">
        <f>TABL12345[[#This Row],[خط (S/S  TOT) SAR2]]-TABL12345[[#This Row],[(S/S TOT) AJD]]</f>
        <v>0</v>
      </c>
      <c r="Q197" s="39"/>
      <c r="R197" s="12">
        <f>TABL12345[[#This Row],[خط (T/B  TOT) SAR]]-TABL12345[[#This Row],[(T/B TOT) AJD]]</f>
        <v>0</v>
      </c>
      <c r="S197" s="12">
        <f>TABL12345[[#This Row],[الفرق بين بداية ونهاية خط  S/S]]+TABL12345[[#This Row],[الفرق بين بداية ونهاية خط  T/B]]</f>
        <v>0</v>
      </c>
      <c r="T197" s="12">
        <f t="shared" si="12"/>
        <v>0</v>
      </c>
      <c r="U197" s="41"/>
      <c r="V197" s="41"/>
      <c r="W197" s="12">
        <f t="shared" si="13"/>
        <v>0</v>
      </c>
      <c r="X197" s="12">
        <f t="shared" si="14"/>
        <v>0</v>
      </c>
      <c r="Y197" s="41"/>
      <c r="Z197" s="43"/>
      <c r="AA197" s="3">
        <f>TABL12345[[#This Row],[(RESV. STORGE) AJD]]/10</f>
        <v>0</v>
      </c>
      <c r="AB197" s="43">
        <f t="shared" si="15"/>
        <v>0</v>
      </c>
      <c r="AC197" s="5"/>
      <c r="AD197" s="39">
        <f>(TABL12345[[#This Row],[( S/S+T/B) AJD]]*1000)-((TABL12345[[#This Row],[(STORGE DIFF.) AJD]]*1000)+TABL12345[[#This Row],[البخر  AJD]]+(TABL12345[[#This Row],[(A/B + A/S) AJD]]*1000))</f>
        <v>0</v>
      </c>
      <c r="AE197" s="41"/>
      <c r="AF197" s="43"/>
      <c r="AG197" s="43"/>
      <c r="AH197" s="6">
        <f>TABL12345[[#This Row],[ (RESV. STORGE) BER]]/10</f>
        <v>0</v>
      </c>
      <c r="AI197" s="41"/>
      <c r="AJ197" s="41">
        <f>TABL12345[[#This Row],[(A/B TOT) AJD]]-TABL12345[[#This Row],[BER_ IN]]</f>
        <v>0</v>
      </c>
      <c r="AK197" s="43"/>
      <c r="AL197" s="43"/>
      <c r="AM197" s="32"/>
      <c r="AN197" s="32">
        <f>TABL12345[[#This Row],[ (RESV. STORGE) SER]]/10</f>
        <v>0</v>
      </c>
      <c r="AO197" s="68"/>
      <c r="AP197" s="68">
        <f>TABL12345[[#This Row],[(A/S TOT) AJD]]-TABL12345[[#This Row],[SER_ IN]]</f>
        <v>0</v>
      </c>
    </row>
    <row r="198" spans="1:42" ht="18.75" x14ac:dyDescent="0.25">
      <c r="A198" s="2">
        <v>47680</v>
      </c>
      <c r="B198" s="44"/>
      <c r="C198" s="44"/>
      <c r="D198" s="44"/>
      <c r="E198" s="44"/>
      <c r="F198" s="44"/>
      <c r="G198" s="40"/>
      <c r="H198" s="28"/>
      <c r="I198" s="40"/>
      <c r="J198" s="44"/>
      <c r="K198" s="28">
        <f>TABL12345[[#This Row],[خط (T/B  TOT) SAR]]+TABL12345[[#This Row],[خط (S/S  TOT) SAR2]]</f>
        <v>0</v>
      </c>
      <c r="L198" s="45"/>
      <c r="M198" s="46"/>
      <c r="N198" s="46"/>
      <c r="O198" s="40"/>
      <c r="P198" s="12">
        <f>TABL12345[[#This Row],[خط (S/S  TOT) SAR2]]-TABL12345[[#This Row],[(S/S TOT) AJD]]</f>
        <v>0</v>
      </c>
      <c r="Q198" s="40"/>
      <c r="R198" s="12">
        <f>TABL12345[[#This Row],[خط (T/B  TOT) SAR]]-TABL12345[[#This Row],[(T/B TOT) AJD]]</f>
        <v>0</v>
      </c>
      <c r="S198" s="12">
        <f>TABL12345[[#This Row],[الفرق بين بداية ونهاية خط  S/S]]+TABL12345[[#This Row],[الفرق بين بداية ونهاية خط  T/B]]</f>
        <v>0</v>
      </c>
      <c r="T198" s="12">
        <f t="shared" si="12"/>
        <v>0</v>
      </c>
      <c r="U198" s="44"/>
      <c r="V198" s="44"/>
      <c r="W198" s="12">
        <f t="shared" si="13"/>
        <v>0</v>
      </c>
      <c r="X198" s="12">
        <f t="shared" si="14"/>
        <v>0</v>
      </c>
      <c r="Y198" s="44"/>
      <c r="Z198" s="45"/>
      <c r="AA198" s="3">
        <f>TABL12345[[#This Row],[(RESV. STORGE) AJD]]/10</f>
        <v>0</v>
      </c>
      <c r="AB198" s="45">
        <f t="shared" si="15"/>
        <v>0</v>
      </c>
      <c r="AC198" s="5"/>
      <c r="AD198" s="40">
        <f>(TABL12345[[#This Row],[( S/S+T/B) AJD]]*1000)-((TABL12345[[#This Row],[(STORGE DIFF.) AJD]]*1000)+TABL12345[[#This Row],[البخر  AJD]]+(TABL12345[[#This Row],[(A/B + A/S) AJD]]*1000))</f>
        <v>0</v>
      </c>
      <c r="AE198" s="44"/>
      <c r="AF198" s="45"/>
      <c r="AG198" s="45"/>
      <c r="AH198" s="6">
        <f>TABL12345[[#This Row],[ (RESV. STORGE) BER]]/10</f>
        <v>0</v>
      </c>
      <c r="AI198" s="44"/>
      <c r="AJ198" s="44">
        <f>TABL12345[[#This Row],[(A/B TOT) AJD]]-TABL12345[[#This Row],[BER_ IN]]</f>
        <v>0</v>
      </c>
      <c r="AK198" s="45"/>
      <c r="AL198" s="45"/>
      <c r="AM198" s="32"/>
      <c r="AN198" s="32">
        <f>TABL12345[[#This Row],[ (RESV. STORGE) SER]]/10</f>
        <v>0</v>
      </c>
      <c r="AO198" s="68"/>
      <c r="AP198" s="68">
        <f>TABL12345[[#This Row],[(A/S TOT) AJD]]-TABL12345[[#This Row],[SER_ IN]]</f>
        <v>0</v>
      </c>
    </row>
    <row r="199" spans="1:42" ht="18.75" x14ac:dyDescent="0.25">
      <c r="A199" s="2">
        <v>47681</v>
      </c>
      <c r="B199" s="41"/>
      <c r="C199" s="41"/>
      <c r="D199" s="41"/>
      <c r="E199" s="41"/>
      <c r="F199" s="41"/>
      <c r="G199" s="39"/>
      <c r="H199" s="28"/>
      <c r="I199" s="39"/>
      <c r="J199" s="39"/>
      <c r="K199" s="28">
        <f>TABL12345[[#This Row],[خط (T/B  TOT) SAR]]+TABL12345[[#This Row],[خط (S/S  TOT) SAR2]]</f>
        <v>0</v>
      </c>
      <c r="L199" s="41"/>
      <c r="M199" s="42"/>
      <c r="N199" s="42"/>
      <c r="O199" s="39"/>
      <c r="P199" s="12">
        <f>TABL12345[[#This Row],[خط (S/S  TOT) SAR2]]-TABL12345[[#This Row],[(S/S TOT) AJD]]</f>
        <v>0</v>
      </c>
      <c r="Q199" s="39"/>
      <c r="R199" s="12">
        <f>TABL12345[[#This Row],[خط (T/B  TOT) SAR]]-TABL12345[[#This Row],[(T/B TOT) AJD]]</f>
        <v>0</v>
      </c>
      <c r="S199" s="12">
        <f>TABL12345[[#This Row],[الفرق بين بداية ونهاية خط  S/S]]+TABL12345[[#This Row],[الفرق بين بداية ونهاية خط  T/B]]</f>
        <v>0</v>
      </c>
      <c r="T199" s="12">
        <f t="shared" si="12"/>
        <v>0</v>
      </c>
      <c r="U199" s="41"/>
      <c r="V199" s="41"/>
      <c r="W199" s="12">
        <f t="shared" si="13"/>
        <v>0</v>
      </c>
      <c r="X199" s="12">
        <f t="shared" si="14"/>
        <v>0</v>
      </c>
      <c r="Y199" s="41"/>
      <c r="Z199" s="43"/>
      <c r="AA199" s="3">
        <f>TABL12345[[#This Row],[(RESV. STORGE) AJD]]/10</f>
        <v>0</v>
      </c>
      <c r="AB199" s="43">
        <f t="shared" si="15"/>
        <v>0</v>
      </c>
      <c r="AC199" s="5"/>
      <c r="AD199" s="39">
        <f>(TABL12345[[#This Row],[( S/S+T/B) AJD]]*1000)-((TABL12345[[#This Row],[(STORGE DIFF.) AJD]]*1000)+TABL12345[[#This Row],[البخر  AJD]]+(TABL12345[[#This Row],[(A/B + A/S) AJD]]*1000))</f>
        <v>0</v>
      </c>
      <c r="AE199" s="41"/>
      <c r="AF199" s="43"/>
      <c r="AG199" s="43"/>
      <c r="AH199" s="6">
        <f>TABL12345[[#This Row],[ (RESV. STORGE) BER]]/10</f>
        <v>0</v>
      </c>
      <c r="AI199" s="41"/>
      <c r="AJ199" s="41">
        <f>TABL12345[[#This Row],[(A/B TOT) AJD]]-TABL12345[[#This Row],[BER_ IN]]</f>
        <v>0</v>
      </c>
      <c r="AK199" s="43"/>
      <c r="AL199" s="43"/>
      <c r="AM199" s="32"/>
      <c r="AN199" s="32">
        <f>TABL12345[[#This Row],[ (RESV. STORGE) SER]]/10</f>
        <v>0</v>
      </c>
      <c r="AO199" s="68"/>
      <c r="AP199" s="68">
        <f>TABL12345[[#This Row],[(A/S TOT) AJD]]-TABL12345[[#This Row],[SER_ IN]]</f>
        <v>0</v>
      </c>
    </row>
    <row r="200" spans="1:42" ht="18.75" x14ac:dyDescent="0.25">
      <c r="A200" s="2">
        <v>47682</v>
      </c>
      <c r="B200" s="44"/>
      <c r="C200" s="44"/>
      <c r="D200" s="44"/>
      <c r="E200" s="44"/>
      <c r="F200" s="44"/>
      <c r="G200" s="40"/>
      <c r="H200" s="28"/>
      <c r="I200" s="40"/>
      <c r="J200" s="44"/>
      <c r="K200" s="28">
        <f>TABL12345[[#This Row],[خط (T/B  TOT) SAR]]+TABL12345[[#This Row],[خط (S/S  TOT) SAR2]]</f>
        <v>0</v>
      </c>
      <c r="L200" s="45"/>
      <c r="M200" s="46"/>
      <c r="N200" s="46"/>
      <c r="O200" s="40"/>
      <c r="P200" s="12">
        <f>TABL12345[[#This Row],[خط (S/S  TOT) SAR2]]-TABL12345[[#This Row],[(S/S TOT) AJD]]</f>
        <v>0</v>
      </c>
      <c r="Q200" s="40"/>
      <c r="R200" s="12">
        <f>TABL12345[[#This Row],[خط (T/B  TOT) SAR]]-TABL12345[[#This Row],[(T/B TOT) AJD]]</f>
        <v>0</v>
      </c>
      <c r="S200" s="12">
        <f>TABL12345[[#This Row],[الفرق بين بداية ونهاية خط  S/S]]+TABL12345[[#This Row],[الفرق بين بداية ونهاية خط  T/B]]</f>
        <v>0</v>
      </c>
      <c r="T200" s="12">
        <f t="shared" si="12"/>
        <v>0</v>
      </c>
      <c r="U200" s="44"/>
      <c r="V200" s="44"/>
      <c r="W200" s="12">
        <f t="shared" si="13"/>
        <v>0</v>
      </c>
      <c r="X200" s="12">
        <f t="shared" si="14"/>
        <v>0</v>
      </c>
      <c r="Y200" s="44"/>
      <c r="Z200" s="45"/>
      <c r="AA200" s="3">
        <f>TABL12345[[#This Row],[(RESV. STORGE) AJD]]/10</f>
        <v>0</v>
      </c>
      <c r="AB200" s="45">
        <f t="shared" si="15"/>
        <v>0</v>
      </c>
      <c r="AC200" s="5"/>
      <c r="AD200" s="40">
        <f>(TABL12345[[#This Row],[( S/S+T/B) AJD]]*1000)-((TABL12345[[#This Row],[(STORGE DIFF.) AJD]]*1000)+TABL12345[[#This Row],[البخر  AJD]]+(TABL12345[[#This Row],[(A/B + A/S) AJD]]*1000))</f>
        <v>0</v>
      </c>
      <c r="AE200" s="44"/>
      <c r="AF200" s="45"/>
      <c r="AG200" s="45"/>
      <c r="AH200" s="6">
        <f>TABL12345[[#This Row],[ (RESV. STORGE) BER]]/10</f>
        <v>0</v>
      </c>
      <c r="AI200" s="44"/>
      <c r="AJ200" s="44">
        <f>TABL12345[[#This Row],[(A/B TOT) AJD]]-TABL12345[[#This Row],[BER_ IN]]</f>
        <v>0</v>
      </c>
      <c r="AK200" s="45"/>
      <c r="AL200" s="45"/>
      <c r="AM200" s="32"/>
      <c r="AN200" s="32">
        <f>TABL12345[[#This Row],[ (RESV. STORGE) SER]]/10</f>
        <v>0</v>
      </c>
      <c r="AO200" s="68"/>
      <c r="AP200" s="68">
        <f>TABL12345[[#This Row],[(A/S TOT) AJD]]-TABL12345[[#This Row],[SER_ IN]]</f>
        <v>0</v>
      </c>
    </row>
    <row r="201" spans="1:42" ht="18.75" x14ac:dyDescent="0.25">
      <c r="A201" s="2">
        <v>47683</v>
      </c>
      <c r="B201" s="41"/>
      <c r="C201" s="41"/>
      <c r="D201" s="41"/>
      <c r="E201" s="41"/>
      <c r="F201" s="41"/>
      <c r="G201" s="39"/>
      <c r="H201" s="28"/>
      <c r="I201" s="39"/>
      <c r="J201" s="39"/>
      <c r="K201" s="28">
        <f>TABL12345[[#This Row],[خط (T/B  TOT) SAR]]+TABL12345[[#This Row],[خط (S/S  TOT) SAR2]]</f>
        <v>0</v>
      </c>
      <c r="L201" s="41"/>
      <c r="M201" s="42"/>
      <c r="N201" s="42"/>
      <c r="O201" s="39"/>
      <c r="P201" s="12">
        <f>TABL12345[[#This Row],[خط (S/S  TOT) SAR2]]-TABL12345[[#This Row],[(S/S TOT) AJD]]</f>
        <v>0</v>
      </c>
      <c r="Q201" s="39"/>
      <c r="R201" s="12">
        <f>TABL12345[[#This Row],[خط (T/B  TOT) SAR]]-TABL12345[[#This Row],[(T/B TOT) AJD]]</f>
        <v>0</v>
      </c>
      <c r="S201" s="12">
        <f>TABL12345[[#This Row],[الفرق بين بداية ونهاية خط  S/S]]+TABL12345[[#This Row],[الفرق بين بداية ونهاية خط  T/B]]</f>
        <v>0</v>
      </c>
      <c r="T201" s="12">
        <f t="shared" si="12"/>
        <v>0</v>
      </c>
      <c r="U201" s="41"/>
      <c r="V201" s="41"/>
      <c r="W201" s="12">
        <f t="shared" si="13"/>
        <v>0</v>
      </c>
      <c r="X201" s="12">
        <f t="shared" si="14"/>
        <v>0</v>
      </c>
      <c r="Y201" s="41"/>
      <c r="Z201" s="43"/>
      <c r="AA201" s="3">
        <f>TABL12345[[#This Row],[(RESV. STORGE) AJD]]/10</f>
        <v>0</v>
      </c>
      <c r="AB201" s="43">
        <f t="shared" si="15"/>
        <v>0</v>
      </c>
      <c r="AC201" s="5"/>
      <c r="AD201" s="39">
        <f>(TABL12345[[#This Row],[( S/S+T/B) AJD]]*1000)-((TABL12345[[#This Row],[(STORGE DIFF.) AJD]]*1000)+TABL12345[[#This Row],[البخر  AJD]]+(TABL12345[[#This Row],[(A/B + A/S) AJD]]*1000))</f>
        <v>0</v>
      </c>
      <c r="AE201" s="41"/>
      <c r="AF201" s="43"/>
      <c r="AG201" s="43"/>
      <c r="AH201" s="6">
        <f>TABL12345[[#This Row],[ (RESV. STORGE) BER]]/10</f>
        <v>0</v>
      </c>
      <c r="AI201" s="41"/>
      <c r="AJ201" s="41">
        <f>TABL12345[[#This Row],[(A/B TOT) AJD]]-TABL12345[[#This Row],[BER_ IN]]</f>
        <v>0</v>
      </c>
      <c r="AK201" s="43"/>
      <c r="AL201" s="43"/>
      <c r="AM201" s="32"/>
      <c r="AN201" s="32">
        <f>TABL12345[[#This Row],[ (RESV. STORGE) SER]]/10</f>
        <v>0</v>
      </c>
      <c r="AO201" s="68"/>
      <c r="AP201" s="68">
        <f>TABL12345[[#This Row],[(A/S TOT) AJD]]-TABL12345[[#This Row],[SER_ IN]]</f>
        <v>0</v>
      </c>
    </row>
    <row r="202" spans="1:42" ht="18.75" x14ac:dyDescent="0.25">
      <c r="A202" s="2">
        <v>47684</v>
      </c>
      <c r="B202" s="44"/>
      <c r="C202" s="44"/>
      <c r="D202" s="44"/>
      <c r="E202" s="44"/>
      <c r="F202" s="44"/>
      <c r="G202" s="40"/>
      <c r="H202" s="28"/>
      <c r="I202" s="40"/>
      <c r="J202" s="44"/>
      <c r="K202" s="28">
        <f>TABL12345[[#This Row],[خط (T/B  TOT) SAR]]+TABL12345[[#This Row],[خط (S/S  TOT) SAR2]]</f>
        <v>0</v>
      </c>
      <c r="L202" s="45"/>
      <c r="M202" s="46"/>
      <c r="N202" s="46"/>
      <c r="O202" s="40"/>
      <c r="P202" s="12">
        <f>TABL12345[[#This Row],[خط (S/S  TOT) SAR2]]-TABL12345[[#This Row],[(S/S TOT) AJD]]</f>
        <v>0</v>
      </c>
      <c r="Q202" s="40"/>
      <c r="R202" s="12">
        <f>TABL12345[[#This Row],[خط (T/B  TOT) SAR]]-TABL12345[[#This Row],[(T/B TOT) AJD]]</f>
        <v>0</v>
      </c>
      <c r="S202" s="12">
        <f>TABL12345[[#This Row],[الفرق بين بداية ونهاية خط  S/S]]+TABL12345[[#This Row],[الفرق بين بداية ونهاية خط  T/B]]</f>
        <v>0</v>
      </c>
      <c r="T202" s="12">
        <f t="shared" si="12"/>
        <v>0</v>
      </c>
      <c r="U202" s="44"/>
      <c r="V202" s="44"/>
      <c r="W202" s="12">
        <f t="shared" si="13"/>
        <v>0</v>
      </c>
      <c r="X202" s="12">
        <f t="shared" si="14"/>
        <v>0</v>
      </c>
      <c r="Y202" s="44"/>
      <c r="Z202" s="45"/>
      <c r="AA202" s="3">
        <f>TABL12345[[#This Row],[(RESV. STORGE) AJD]]/10</f>
        <v>0</v>
      </c>
      <c r="AB202" s="45">
        <f t="shared" si="15"/>
        <v>0</v>
      </c>
      <c r="AC202" s="5"/>
      <c r="AD202" s="40">
        <f>(TABL12345[[#This Row],[( S/S+T/B) AJD]]*1000)-((TABL12345[[#This Row],[(STORGE DIFF.) AJD]]*1000)+TABL12345[[#This Row],[البخر  AJD]]+(TABL12345[[#This Row],[(A/B + A/S) AJD]]*1000))</f>
        <v>0</v>
      </c>
      <c r="AE202" s="44"/>
      <c r="AF202" s="45"/>
      <c r="AG202" s="45"/>
      <c r="AH202" s="6">
        <f>TABL12345[[#This Row],[ (RESV. STORGE) BER]]/10</f>
        <v>0</v>
      </c>
      <c r="AI202" s="44"/>
      <c r="AJ202" s="44">
        <f>TABL12345[[#This Row],[(A/B TOT) AJD]]-TABL12345[[#This Row],[BER_ IN]]</f>
        <v>0</v>
      </c>
      <c r="AK202" s="45"/>
      <c r="AL202" s="45"/>
      <c r="AM202" s="32"/>
      <c r="AN202" s="32">
        <f>TABL12345[[#This Row],[ (RESV. STORGE) SER]]/10</f>
        <v>0</v>
      </c>
      <c r="AO202" s="68"/>
      <c r="AP202" s="68">
        <f>TABL12345[[#This Row],[(A/S TOT) AJD]]-TABL12345[[#This Row],[SER_ IN]]</f>
        <v>0</v>
      </c>
    </row>
    <row r="203" spans="1:42" ht="18.75" x14ac:dyDescent="0.25">
      <c r="A203" s="2">
        <v>47685</v>
      </c>
      <c r="B203" s="41"/>
      <c r="C203" s="41"/>
      <c r="D203" s="41"/>
      <c r="E203" s="41"/>
      <c r="F203" s="41"/>
      <c r="G203" s="39"/>
      <c r="H203" s="28"/>
      <c r="I203" s="39"/>
      <c r="J203" s="39"/>
      <c r="K203" s="28">
        <f>TABL12345[[#This Row],[خط (T/B  TOT) SAR]]+TABL12345[[#This Row],[خط (S/S  TOT) SAR2]]</f>
        <v>0</v>
      </c>
      <c r="L203" s="41"/>
      <c r="M203" s="42"/>
      <c r="N203" s="42"/>
      <c r="O203" s="39"/>
      <c r="P203" s="12">
        <f>TABL12345[[#This Row],[خط (S/S  TOT) SAR2]]-TABL12345[[#This Row],[(S/S TOT) AJD]]</f>
        <v>0</v>
      </c>
      <c r="Q203" s="39"/>
      <c r="R203" s="12">
        <f>TABL12345[[#This Row],[خط (T/B  TOT) SAR]]-TABL12345[[#This Row],[(T/B TOT) AJD]]</f>
        <v>0</v>
      </c>
      <c r="S203" s="12">
        <f>TABL12345[[#This Row],[الفرق بين بداية ونهاية خط  S/S]]+TABL12345[[#This Row],[الفرق بين بداية ونهاية خط  T/B]]</f>
        <v>0</v>
      </c>
      <c r="T203" s="12">
        <f t="shared" si="12"/>
        <v>0</v>
      </c>
      <c r="U203" s="41"/>
      <c r="V203" s="41"/>
      <c r="W203" s="12">
        <f t="shared" si="13"/>
        <v>0</v>
      </c>
      <c r="X203" s="12">
        <f t="shared" si="14"/>
        <v>0</v>
      </c>
      <c r="Y203" s="41"/>
      <c r="Z203" s="43"/>
      <c r="AA203" s="3">
        <f>TABL12345[[#This Row],[(RESV. STORGE) AJD]]/10</f>
        <v>0</v>
      </c>
      <c r="AB203" s="43">
        <f t="shared" si="15"/>
        <v>0</v>
      </c>
      <c r="AC203" s="5"/>
      <c r="AD203" s="39">
        <f>(TABL12345[[#This Row],[( S/S+T/B) AJD]]*1000)-((TABL12345[[#This Row],[(STORGE DIFF.) AJD]]*1000)+TABL12345[[#This Row],[البخر  AJD]]+(TABL12345[[#This Row],[(A/B + A/S) AJD]]*1000))</f>
        <v>0</v>
      </c>
      <c r="AE203" s="41"/>
      <c r="AF203" s="43"/>
      <c r="AG203" s="43"/>
      <c r="AH203" s="6">
        <f>TABL12345[[#This Row],[ (RESV. STORGE) BER]]/10</f>
        <v>0</v>
      </c>
      <c r="AI203" s="41"/>
      <c r="AJ203" s="41">
        <f>TABL12345[[#This Row],[(A/B TOT) AJD]]-TABL12345[[#This Row],[BER_ IN]]</f>
        <v>0</v>
      </c>
      <c r="AK203" s="43"/>
      <c r="AL203" s="43"/>
      <c r="AM203" s="32"/>
      <c r="AN203" s="32">
        <f>TABL12345[[#This Row],[ (RESV. STORGE) SER]]/10</f>
        <v>0</v>
      </c>
      <c r="AO203" s="68"/>
      <c r="AP203" s="68">
        <f>TABL12345[[#This Row],[(A/S TOT) AJD]]-TABL12345[[#This Row],[SER_ IN]]</f>
        <v>0</v>
      </c>
    </row>
    <row r="204" spans="1:42" ht="18.75" x14ac:dyDescent="0.25">
      <c r="A204" s="2">
        <v>47686</v>
      </c>
      <c r="B204" s="44"/>
      <c r="C204" s="44"/>
      <c r="D204" s="44"/>
      <c r="E204" s="44"/>
      <c r="F204" s="44"/>
      <c r="G204" s="40"/>
      <c r="H204" s="28"/>
      <c r="I204" s="40"/>
      <c r="J204" s="44"/>
      <c r="K204" s="28">
        <f>TABL12345[[#This Row],[خط (T/B  TOT) SAR]]+TABL12345[[#This Row],[خط (S/S  TOT) SAR2]]</f>
        <v>0</v>
      </c>
      <c r="L204" s="45"/>
      <c r="M204" s="46"/>
      <c r="N204" s="46"/>
      <c r="O204" s="40"/>
      <c r="P204" s="12">
        <f>TABL12345[[#This Row],[خط (S/S  TOT) SAR2]]-TABL12345[[#This Row],[(S/S TOT) AJD]]</f>
        <v>0</v>
      </c>
      <c r="Q204" s="40"/>
      <c r="R204" s="12">
        <f>TABL12345[[#This Row],[خط (T/B  TOT) SAR]]-TABL12345[[#This Row],[(T/B TOT) AJD]]</f>
        <v>0</v>
      </c>
      <c r="S204" s="12">
        <f>TABL12345[[#This Row],[الفرق بين بداية ونهاية خط  S/S]]+TABL12345[[#This Row],[الفرق بين بداية ونهاية خط  T/B]]</f>
        <v>0</v>
      </c>
      <c r="T204" s="12">
        <f t="shared" si="12"/>
        <v>0</v>
      </c>
      <c r="U204" s="44"/>
      <c r="V204" s="44"/>
      <c r="W204" s="12">
        <f t="shared" si="13"/>
        <v>0</v>
      </c>
      <c r="X204" s="12">
        <f t="shared" si="14"/>
        <v>0</v>
      </c>
      <c r="Y204" s="44"/>
      <c r="Z204" s="45"/>
      <c r="AA204" s="3">
        <f>TABL12345[[#This Row],[(RESV. STORGE) AJD]]/10</f>
        <v>0</v>
      </c>
      <c r="AB204" s="45">
        <f t="shared" si="15"/>
        <v>0</v>
      </c>
      <c r="AC204" s="5"/>
      <c r="AD204" s="40">
        <f>(TABL12345[[#This Row],[( S/S+T/B) AJD]]*1000)-((TABL12345[[#This Row],[(STORGE DIFF.) AJD]]*1000)+TABL12345[[#This Row],[البخر  AJD]]+(TABL12345[[#This Row],[(A/B + A/S) AJD]]*1000))</f>
        <v>0</v>
      </c>
      <c r="AE204" s="44"/>
      <c r="AF204" s="45"/>
      <c r="AG204" s="45"/>
      <c r="AH204" s="6">
        <f>TABL12345[[#This Row],[ (RESV. STORGE) BER]]/10</f>
        <v>0</v>
      </c>
      <c r="AI204" s="44"/>
      <c r="AJ204" s="44">
        <f>TABL12345[[#This Row],[(A/B TOT) AJD]]-TABL12345[[#This Row],[BER_ IN]]</f>
        <v>0</v>
      </c>
      <c r="AK204" s="45"/>
      <c r="AL204" s="45"/>
      <c r="AM204" s="32"/>
      <c r="AN204" s="32">
        <f>TABL12345[[#This Row],[ (RESV. STORGE) SER]]/10</f>
        <v>0</v>
      </c>
      <c r="AO204" s="68"/>
      <c r="AP204" s="68">
        <f>TABL12345[[#This Row],[(A/S TOT) AJD]]-TABL12345[[#This Row],[SER_ IN]]</f>
        <v>0</v>
      </c>
    </row>
    <row r="205" spans="1:42" ht="18.75" x14ac:dyDescent="0.25">
      <c r="A205" s="2">
        <v>47687</v>
      </c>
      <c r="B205" s="41"/>
      <c r="C205" s="41"/>
      <c r="D205" s="41"/>
      <c r="E205" s="41"/>
      <c r="F205" s="41"/>
      <c r="G205" s="39"/>
      <c r="H205" s="28"/>
      <c r="I205" s="39"/>
      <c r="J205" s="39"/>
      <c r="K205" s="28">
        <f>TABL12345[[#This Row],[خط (T/B  TOT) SAR]]+TABL12345[[#This Row],[خط (S/S  TOT) SAR2]]</f>
        <v>0</v>
      </c>
      <c r="L205" s="41"/>
      <c r="M205" s="42"/>
      <c r="N205" s="42"/>
      <c r="O205" s="39"/>
      <c r="P205" s="12">
        <f>TABL12345[[#This Row],[خط (S/S  TOT) SAR2]]-TABL12345[[#This Row],[(S/S TOT) AJD]]</f>
        <v>0</v>
      </c>
      <c r="Q205" s="39"/>
      <c r="R205" s="12">
        <f>TABL12345[[#This Row],[خط (T/B  TOT) SAR]]-TABL12345[[#This Row],[(T/B TOT) AJD]]</f>
        <v>0</v>
      </c>
      <c r="S205" s="12">
        <f>TABL12345[[#This Row],[الفرق بين بداية ونهاية خط  S/S]]+TABL12345[[#This Row],[الفرق بين بداية ونهاية خط  T/B]]</f>
        <v>0</v>
      </c>
      <c r="T205" s="12">
        <f t="shared" si="12"/>
        <v>0</v>
      </c>
      <c r="U205" s="41"/>
      <c r="V205" s="41"/>
      <c r="W205" s="12">
        <f t="shared" si="13"/>
        <v>0</v>
      </c>
      <c r="X205" s="12">
        <f t="shared" si="14"/>
        <v>0</v>
      </c>
      <c r="Y205" s="41"/>
      <c r="Z205" s="43"/>
      <c r="AA205" s="3">
        <f>TABL12345[[#This Row],[(RESV. STORGE) AJD]]/10</f>
        <v>0</v>
      </c>
      <c r="AB205" s="43">
        <f t="shared" si="15"/>
        <v>0</v>
      </c>
      <c r="AC205" s="5"/>
      <c r="AD205" s="39">
        <f>(TABL12345[[#This Row],[( S/S+T/B) AJD]]*1000)-((TABL12345[[#This Row],[(STORGE DIFF.) AJD]]*1000)+TABL12345[[#This Row],[البخر  AJD]]+(TABL12345[[#This Row],[(A/B + A/S) AJD]]*1000))</f>
        <v>0</v>
      </c>
      <c r="AE205" s="41"/>
      <c r="AF205" s="43"/>
      <c r="AG205" s="43"/>
      <c r="AH205" s="6">
        <f>TABL12345[[#This Row],[ (RESV. STORGE) BER]]/10</f>
        <v>0</v>
      </c>
      <c r="AI205" s="41"/>
      <c r="AJ205" s="41">
        <f>TABL12345[[#This Row],[(A/B TOT) AJD]]-TABL12345[[#This Row],[BER_ IN]]</f>
        <v>0</v>
      </c>
      <c r="AK205" s="43"/>
      <c r="AL205" s="43"/>
      <c r="AM205" s="32"/>
      <c r="AN205" s="32">
        <f>TABL12345[[#This Row],[ (RESV. STORGE) SER]]/10</f>
        <v>0</v>
      </c>
      <c r="AO205" s="68"/>
      <c r="AP205" s="68">
        <f>TABL12345[[#This Row],[(A/S TOT) AJD]]-TABL12345[[#This Row],[SER_ IN]]</f>
        <v>0</v>
      </c>
    </row>
    <row r="206" spans="1:42" ht="18.75" x14ac:dyDescent="0.25">
      <c r="A206" s="2">
        <v>47688</v>
      </c>
      <c r="B206" s="44"/>
      <c r="C206" s="44"/>
      <c r="D206" s="44"/>
      <c r="E206" s="44"/>
      <c r="F206" s="44"/>
      <c r="G206" s="40"/>
      <c r="H206" s="28"/>
      <c r="I206" s="40"/>
      <c r="J206" s="44"/>
      <c r="K206" s="28">
        <f>TABL12345[[#This Row],[خط (T/B  TOT) SAR]]+TABL12345[[#This Row],[خط (S/S  TOT) SAR2]]</f>
        <v>0</v>
      </c>
      <c r="L206" s="45"/>
      <c r="M206" s="46"/>
      <c r="N206" s="46"/>
      <c r="O206" s="40"/>
      <c r="P206" s="12">
        <f>TABL12345[[#This Row],[خط (S/S  TOT) SAR2]]-TABL12345[[#This Row],[(S/S TOT) AJD]]</f>
        <v>0</v>
      </c>
      <c r="Q206" s="45"/>
      <c r="R206" s="12">
        <f>TABL12345[[#This Row],[خط (T/B  TOT) SAR]]-TABL12345[[#This Row],[(T/B TOT) AJD]]</f>
        <v>0</v>
      </c>
      <c r="S206" s="12">
        <f>TABL12345[[#This Row],[الفرق بين بداية ونهاية خط  S/S]]+TABL12345[[#This Row],[الفرق بين بداية ونهاية خط  T/B]]</f>
        <v>0</v>
      </c>
      <c r="T206" s="12">
        <f t="shared" si="12"/>
        <v>0</v>
      </c>
      <c r="U206" s="44"/>
      <c r="V206" s="44"/>
      <c r="W206" s="12">
        <f t="shared" si="13"/>
        <v>0</v>
      </c>
      <c r="X206" s="12">
        <f t="shared" si="14"/>
        <v>0</v>
      </c>
      <c r="Y206" s="44"/>
      <c r="Z206" s="45"/>
      <c r="AA206" s="3">
        <f>TABL12345[[#This Row],[(RESV. STORGE) AJD]]/10</f>
        <v>0</v>
      </c>
      <c r="AB206" s="45">
        <f t="shared" si="15"/>
        <v>0</v>
      </c>
      <c r="AC206" s="5"/>
      <c r="AD206" s="40">
        <f>(TABL12345[[#This Row],[( S/S+T/B) AJD]]*1000)-((TABL12345[[#This Row],[(STORGE DIFF.) AJD]]*1000)+TABL12345[[#This Row],[البخر  AJD]]+(TABL12345[[#This Row],[(A/B + A/S) AJD]]*1000))</f>
        <v>0</v>
      </c>
      <c r="AE206" s="44"/>
      <c r="AF206" s="45"/>
      <c r="AG206" s="45"/>
      <c r="AH206" s="6">
        <f>TABL12345[[#This Row],[ (RESV. STORGE) BER]]/10</f>
        <v>0</v>
      </c>
      <c r="AI206" s="44"/>
      <c r="AJ206" s="44">
        <f>TABL12345[[#This Row],[(A/B TOT) AJD]]-TABL12345[[#This Row],[BER_ IN]]</f>
        <v>0</v>
      </c>
      <c r="AK206" s="45"/>
      <c r="AL206" s="45"/>
      <c r="AM206" s="32"/>
      <c r="AN206" s="32">
        <f>TABL12345[[#This Row],[ (RESV. STORGE) SER]]/10</f>
        <v>0</v>
      </c>
      <c r="AO206" s="68"/>
      <c r="AP206" s="68">
        <f>TABL12345[[#This Row],[(A/S TOT) AJD]]-TABL12345[[#This Row],[SER_ IN]]</f>
        <v>0</v>
      </c>
    </row>
    <row r="207" spans="1:42" ht="18.75" x14ac:dyDescent="0.25">
      <c r="A207" s="2">
        <v>47689</v>
      </c>
      <c r="B207" s="41"/>
      <c r="C207" s="41"/>
      <c r="D207" s="41"/>
      <c r="E207" s="41"/>
      <c r="F207" s="41"/>
      <c r="G207" s="39"/>
      <c r="H207" s="28"/>
      <c r="I207" s="39"/>
      <c r="J207" s="39"/>
      <c r="K207" s="28">
        <f>TABL12345[[#This Row],[خط (T/B  TOT) SAR]]+TABL12345[[#This Row],[خط (S/S  TOT) SAR2]]</f>
        <v>0</v>
      </c>
      <c r="L207" s="41"/>
      <c r="M207" s="42"/>
      <c r="N207" s="42"/>
      <c r="O207" s="39"/>
      <c r="P207" s="12">
        <f>TABL12345[[#This Row],[خط (S/S  TOT) SAR2]]-TABL12345[[#This Row],[(S/S TOT) AJD]]</f>
        <v>0</v>
      </c>
      <c r="Q207" s="43"/>
      <c r="R207" s="12">
        <f>TABL12345[[#This Row],[خط (T/B  TOT) SAR]]-TABL12345[[#This Row],[(T/B TOT) AJD]]</f>
        <v>0</v>
      </c>
      <c r="S207" s="12">
        <f>TABL12345[[#This Row],[الفرق بين بداية ونهاية خط  S/S]]+TABL12345[[#This Row],[الفرق بين بداية ونهاية خط  T/B]]</f>
        <v>0</v>
      </c>
      <c r="T207" s="12">
        <f t="shared" si="12"/>
        <v>0</v>
      </c>
      <c r="U207" s="41"/>
      <c r="V207" s="41"/>
      <c r="W207" s="12">
        <f t="shared" si="13"/>
        <v>0</v>
      </c>
      <c r="X207" s="12">
        <f t="shared" si="14"/>
        <v>0</v>
      </c>
      <c r="Y207" s="41"/>
      <c r="Z207" s="43"/>
      <c r="AA207" s="3">
        <f>TABL12345[[#This Row],[(RESV. STORGE) AJD]]/10</f>
        <v>0</v>
      </c>
      <c r="AB207" s="43">
        <f t="shared" si="15"/>
        <v>0</v>
      </c>
      <c r="AC207" s="5"/>
      <c r="AD207" s="39">
        <f>(TABL12345[[#This Row],[( S/S+T/B) AJD]]*1000)-((TABL12345[[#This Row],[(STORGE DIFF.) AJD]]*1000)+TABL12345[[#This Row],[البخر  AJD]]+(TABL12345[[#This Row],[(A/B + A/S) AJD]]*1000))</f>
        <v>0</v>
      </c>
      <c r="AE207" s="41"/>
      <c r="AF207" s="43"/>
      <c r="AG207" s="43"/>
      <c r="AH207" s="6">
        <f>TABL12345[[#This Row],[ (RESV. STORGE) BER]]/10</f>
        <v>0</v>
      </c>
      <c r="AI207" s="41"/>
      <c r="AJ207" s="41">
        <f>TABL12345[[#This Row],[(A/B TOT) AJD]]-TABL12345[[#This Row],[BER_ IN]]</f>
        <v>0</v>
      </c>
      <c r="AK207" s="43"/>
      <c r="AL207" s="43"/>
      <c r="AM207" s="32"/>
      <c r="AN207" s="32">
        <f>TABL12345[[#This Row],[ (RESV. STORGE) SER]]/10</f>
        <v>0</v>
      </c>
      <c r="AO207" s="68"/>
      <c r="AP207" s="68">
        <f>TABL12345[[#This Row],[(A/S TOT) AJD]]-TABL12345[[#This Row],[SER_ IN]]</f>
        <v>0</v>
      </c>
    </row>
    <row r="208" spans="1:42" ht="18.75" x14ac:dyDescent="0.25">
      <c r="A208" s="2">
        <v>47690</v>
      </c>
      <c r="B208" s="44"/>
      <c r="C208" s="44"/>
      <c r="D208" s="44"/>
      <c r="E208" s="44"/>
      <c r="F208" s="44"/>
      <c r="G208" s="40"/>
      <c r="H208" s="28"/>
      <c r="I208" s="40"/>
      <c r="J208" s="44"/>
      <c r="K208" s="28">
        <f>TABL12345[[#This Row],[خط (T/B  TOT) SAR]]+TABL12345[[#This Row],[خط (S/S  TOT) SAR2]]</f>
        <v>0</v>
      </c>
      <c r="L208" s="45"/>
      <c r="M208" s="46"/>
      <c r="N208" s="46"/>
      <c r="O208" s="40"/>
      <c r="P208" s="12">
        <f>TABL12345[[#This Row],[خط (S/S  TOT) SAR2]]-TABL12345[[#This Row],[(S/S TOT) AJD]]</f>
        <v>0</v>
      </c>
      <c r="Q208" s="45"/>
      <c r="R208" s="12">
        <f>TABL12345[[#This Row],[خط (T/B  TOT) SAR]]-TABL12345[[#This Row],[(T/B TOT) AJD]]</f>
        <v>0</v>
      </c>
      <c r="S208" s="12">
        <f>TABL12345[[#This Row],[الفرق بين بداية ونهاية خط  S/S]]+TABL12345[[#This Row],[الفرق بين بداية ونهاية خط  T/B]]</f>
        <v>0</v>
      </c>
      <c r="T208" s="12">
        <f t="shared" si="12"/>
        <v>0</v>
      </c>
      <c r="U208" s="44"/>
      <c r="V208" s="44"/>
      <c r="W208" s="12">
        <f t="shared" si="13"/>
        <v>0</v>
      </c>
      <c r="X208" s="12">
        <f t="shared" si="14"/>
        <v>0</v>
      </c>
      <c r="Y208" s="44"/>
      <c r="Z208" s="45"/>
      <c r="AA208" s="3">
        <f>TABL12345[[#This Row],[(RESV. STORGE) AJD]]/10</f>
        <v>0</v>
      </c>
      <c r="AB208" s="45">
        <f t="shared" si="15"/>
        <v>0</v>
      </c>
      <c r="AC208" s="5"/>
      <c r="AD208" s="40">
        <f>(TABL12345[[#This Row],[( S/S+T/B) AJD]]*1000)-((TABL12345[[#This Row],[(STORGE DIFF.) AJD]]*1000)+TABL12345[[#This Row],[البخر  AJD]]+(TABL12345[[#This Row],[(A/B + A/S) AJD]]*1000))</f>
        <v>0</v>
      </c>
      <c r="AE208" s="44"/>
      <c r="AF208" s="45"/>
      <c r="AG208" s="45"/>
      <c r="AH208" s="6">
        <f>TABL12345[[#This Row],[ (RESV. STORGE) BER]]/10</f>
        <v>0</v>
      </c>
      <c r="AI208" s="44"/>
      <c r="AJ208" s="44">
        <f>TABL12345[[#This Row],[(A/B TOT) AJD]]-TABL12345[[#This Row],[BER_ IN]]</f>
        <v>0</v>
      </c>
      <c r="AK208" s="45"/>
      <c r="AL208" s="45"/>
      <c r="AM208" s="32"/>
      <c r="AN208" s="32">
        <f>TABL12345[[#This Row],[ (RESV. STORGE) SER]]/10</f>
        <v>0</v>
      </c>
      <c r="AO208" s="68"/>
      <c r="AP208" s="68">
        <f>TABL12345[[#This Row],[(A/S TOT) AJD]]-TABL12345[[#This Row],[SER_ IN]]</f>
        <v>0</v>
      </c>
    </row>
    <row r="209" spans="1:42" ht="18.75" x14ac:dyDescent="0.25">
      <c r="A209" s="2">
        <v>47691</v>
      </c>
      <c r="B209" s="41"/>
      <c r="C209" s="41"/>
      <c r="D209" s="41"/>
      <c r="E209" s="41"/>
      <c r="F209" s="41"/>
      <c r="G209" s="39"/>
      <c r="H209" s="28"/>
      <c r="I209" s="39"/>
      <c r="J209" s="39"/>
      <c r="K209" s="28">
        <f>TABL12345[[#This Row],[خط (T/B  TOT) SAR]]+TABL12345[[#This Row],[خط (S/S  TOT) SAR2]]</f>
        <v>0</v>
      </c>
      <c r="L209" s="41"/>
      <c r="M209" s="42"/>
      <c r="N209" s="42"/>
      <c r="O209" s="39"/>
      <c r="P209" s="12">
        <f>TABL12345[[#This Row],[خط (S/S  TOT) SAR2]]-TABL12345[[#This Row],[(S/S TOT) AJD]]</f>
        <v>0</v>
      </c>
      <c r="Q209" s="39"/>
      <c r="R209" s="12">
        <f>TABL12345[[#This Row],[خط (T/B  TOT) SAR]]-TABL12345[[#This Row],[(T/B TOT) AJD]]</f>
        <v>0</v>
      </c>
      <c r="S209" s="12">
        <f>TABL12345[[#This Row],[الفرق بين بداية ونهاية خط  S/S]]+TABL12345[[#This Row],[الفرق بين بداية ونهاية خط  T/B]]</f>
        <v>0</v>
      </c>
      <c r="T209" s="12">
        <f t="shared" si="12"/>
        <v>0</v>
      </c>
      <c r="U209" s="41"/>
      <c r="V209" s="41"/>
      <c r="W209" s="12">
        <f t="shared" si="13"/>
        <v>0</v>
      </c>
      <c r="X209" s="12">
        <f t="shared" si="14"/>
        <v>0</v>
      </c>
      <c r="Y209" s="41"/>
      <c r="Z209" s="43"/>
      <c r="AA209" s="3">
        <f>TABL12345[[#This Row],[(RESV. STORGE) AJD]]/10</f>
        <v>0</v>
      </c>
      <c r="AB209" s="43">
        <f t="shared" si="15"/>
        <v>0</v>
      </c>
      <c r="AC209" s="5"/>
      <c r="AD209" s="39">
        <f>(TABL12345[[#This Row],[( S/S+T/B) AJD]]*1000)-((TABL12345[[#This Row],[(STORGE DIFF.) AJD]]*1000)+TABL12345[[#This Row],[البخر  AJD]]+(TABL12345[[#This Row],[(A/B + A/S) AJD]]*1000))</f>
        <v>0</v>
      </c>
      <c r="AE209" s="41"/>
      <c r="AF209" s="43"/>
      <c r="AG209" s="43"/>
      <c r="AH209" s="6">
        <f>TABL12345[[#This Row],[ (RESV. STORGE) BER]]/10</f>
        <v>0</v>
      </c>
      <c r="AI209" s="41"/>
      <c r="AJ209" s="41">
        <f>TABL12345[[#This Row],[(A/B TOT) AJD]]-TABL12345[[#This Row],[BER_ IN]]</f>
        <v>0</v>
      </c>
      <c r="AK209" s="43"/>
      <c r="AL209" s="43"/>
      <c r="AM209" s="32"/>
      <c r="AN209" s="32">
        <f>TABL12345[[#This Row],[ (RESV. STORGE) SER]]/10</f>
        <v>0</v>
      </c>
      <c r="AO209" s="68"/>
      <c r="AP209" s="68">
        <f>TABL12345[[#This Row],[(A/S TOT) AJD]]-TABL12345[[#This Row],[SER_ IN]]</f>
        <v>0</v>
      </c>
    </row>
    <row r="210" spans="1:42" ht="18.75" x14ac:dyDescent="0.25">
      <c r="A210" s="2">
        <v>47692</v>
      </c>
      <c r="B210" s="44"/>
      <c r="C210" s="44"/>
      <c r="D210" s="44"/>
      <c r="E210" s="44"/>
      <c r="F210" s="44"/>
      <c r="G210" s="40"/>
      <c r="H210" s="28"/>
      <c r="I210" s="40"/>
      <c r="J210" s="44"/>
      <c r="K210" s="28">
        <f>TABL12345[[#This Row],[خط (T/B  TOT) SAR]]+TABL12345[[#This Row],[خط (S/S  TOT) SAR2]]</f>
        <v>0</v>
      </c>
      <c r="L210" s="45"/>
      <c r="M210" s="46"/>
      <c r="N210" s="46"/>
      <c r="O210" s="40"/>
      <c r="P210" s="12">
        <f>TABL12345[[#This Row],[خط (S/S  TOT) SAR2]]-TABL12345[[#This Row],[(S/S TOT) AJD]]</f>
        <v>0</v>
      </c>
      <c r="Q210" s="40"/>
      <c r="R210" s="12">
        <f>TABL12345[[#This Row],[خط (T/B  TOT) SAR]]-TABL12345[[#This Row],[(T/B TOT) AJD]]</f>
        <v>0</v>
      </c>
      <c r="S210" s="12">
        <f>TABL12345[[#This Row],[الفرق بين بداية ونهاية خط  S/S]]+TABL12345[[#This Row],[الفرق بين بداية ونهاية خط  T/B]]</f>
        <v>0</v>
      </c>
      <c r="T210" s="12">
        <f t="shared" si="12"/>
        <v>0</v>
      </c>
      <c r="U210" s="44"/>
      <c r="V210" s="44"/>
      <c r="W210" s="12">
        <f t="shared" si="13"/>
        <v>0</v>
      </c>
      <c r="X210" s="12">
        <f t="shared" si="14"/>
        <v>0</v>
      </c>
      <c r="Y210" s="44"/>
      <c r="Z210" s="45"/>
      <c r="AA210" s="3">
        <f>TABL12345[[#This Row],[(RESV. STORGE) AJD]]/10</f>
        <v>0</v>
      </c>
      <c r="AB210" s="45">
        <f t="shared" si="15"/>
        <v>0</v>
      </c>
      <c r="AC210" s="5"/>
      <c r="AD210" s="40">
        <f>(TABL12345[[#This Row],[( S/S+T/B) AJD]]*1000)-((TABL12345[[#This Row],[(STORGE DIFF.) AJD]]*1000)+TABL12345[[#This Row],[البخر  AJD]]+(TABL12345[[#This Row],[(A/B + A/S) AJD]]*1000))</f>
        <v>0</v>
      </c>
      <c r="AE210" s="44"/>
      <c r="AF210" s="45"/>
      <c r="AG210" s="45"/>
      <c r="AH210" s="6">
        <f>TABL12345[[#This Row],[ (RESV. STORGE) BER]]/10</f>
        <v>0</v>
      </c>
      <c r="AI210" s="44"/>
      <c r="AJ210" s="44">
        <f>TABL12345[[#This Row],[(A/B TOT) AJD]]-TABL12345[[#This Row],[BER_ IN]]</f>
        <v>0</v>
      </c>
      <c r="AK210" s="45"/>
      <c r="AL210" s="45"/>
      <c r="AM210" s="32"/>
      <c r="AN210" s="32">
        <f>TABL12345[[#This Row],[ (RESV. STORGE) SER]]/10</f>
        <v>0</v>
      </c>
      <c r="AO210" s="68"/>
      <c r="AP210" s="68">
        <f>TABL12345[[#This Row],[(A/S TOT) AJD]]-TABL12345[[#This Row],[SER_ IN]]</f>
        <v>0</v>
      </c>
    </row>
    <row r="211" spans="1:42" ht="18.75" x14ac:dyDescent="0.25">
      <c r="A211" s="2">
        <v>47693</v>
      </c>
      <c r="B211" s="41"/>
      <c r="C211" s="41"/>
      <c r="D211" s="41"/>
      <c r="E211" s="41"/>
      <c r="F211" s="41"/>
      <c r="G211" s="39"/>
      <c r="H211" s="28"/>
      <c r="I211" s="39"/>
      <c r="J211" s="39"/>
      <c r="K211" s="28">
        <f>TABL12345[[#This Row],[خط (T/B  TOT) SAR]]+TABL12345[[#This Row],[خط (S/S  TOT) SAR2]]</f>
        <v>0</v>
      </c>
      <c r="L211" s="41"/>
      <c r="M211" s="42"/>
      <c r="N211" s="42"/>
      <c r="O211" s="39"/>
      <c r="P211" s="12">
        <f>TABL12345[[#This Row],[خط (S/S  TOT) SAR2]]-TABL12345[[#This Row],[(S/S TOT) AJD]]</f>
        <v>0</v>
      </c>
      <c r="Q211" s="39"/>
      <c r="R211" s="12">
        <f>TABL12345[[#This Row],[خط (T/B  TOT) SAR]]-TABL12345[[#This Row],[(T/B TOT) AJD]]</f>
        <v>0</v>
      </c>
      <c r="S211" s="12">
        <f>TABL12345[[#This Row],[الفرق بين بداية ونهاية خط  S/S]]+TABL12345[[#This Row],[الفرق بين بداية ونهاية خط  T/B]]</f>
        <v>0</v>
      </c>
      <c r="T211" s="12">
        <f t="shared" si="12"/>
        <v>0</v>
      </c>
      <c r="U211" s="41"/>
      <c r="V211" s="41"/>
      <c r="W211" s="12">
        <f t="shared" si="13"/>
        <v>0</v>
      </c>
      <c r="X211" s="12">
        <f t="shared" si="14"/>
        <v>0</v>
      </c>
      <c r="Y211" s="41"/>
      <c r="Z211" s="43"/>
      <c r="AA211" s="3">
        <f>TABL12345[[#This Row],[(RESV. STORGE) AJD]]/10</f>
        <v>0</v>
      </c>
      <c r="AB211" s="43">
        <f t="shared" si="15"/>
        <v>0</v>
      </c>
      <c r="AC211" s="5"/>
      <c r="AD211" s="39">
        <f>(TABL12345[[#This Row],[( S/S+T/B) AJD]]*1000)-((TABL12345[[#This Row],[(STORGE DIFF.) AJD]]*1000)+TABL12345[[#This Row],[البخر  AJD]]+(TABL12345[[#This Row],[(A/B + A/S) AJD]]*1000))</f>
        <v>0</v>
      </c>
      <c r="AE211" s="41"/>
      <c r="AF211" s="43"/>
      <c r="AG211" s="43"/>
      <c r="AH211" s="6">
        <f>TABL12345[[#This Row],[ (RESV. STORGE) BER]]/10</f>
        <v>0</v>
      </c>
      <c r="AI211" s="41"/>
      <c r="AJ211" s="41">
        <f>TABL12345[[#This Row],[(A/B TOT) AJD]]-TABL12345[[#This Row],[BER_ IN]]</f>
        <v>0</v>
      </c>
      <c r="AK211" s="43"/>
      <c r="AL211" s="43"/>
      <c r="AM211" s="32"/>
      <c r="AN211" s="32">
        <f>TABL12345[[#This Row],[ (RESV. STORGE) SER]]/10</f>
        <v>0</v>
      </c>
      <c r="AO211" s="68"/>
      <c r="AP211" s="68">
        <f>TABL12345[[#This Row],[(A/S TOT) AJD]]-TABL12345[[#This Row],[SER_ IN]]</f>
        <v>0</v>
      </c>
    </row>
    <row r="212" spans="1:42" ht="18.75" x14ac:dyDescent="0.25">
      <c r="A212" s="2">
        <v>47694</v>
      </c>
      <c r="B212" s="44"/>
      <c r="C212" s="44"/>
      <c r="D212" s="44"/>
      <c r="E212" s="44"/>
      <c r="F212" s="44"/>
      <c r="G212" s="40"/>
      <c r="H212" s="28"/>
      <c r="I212" s="40"/>
      <c r="J212" s="44"/>
      <c r="K212" s="28">
        <f>TABL12345[[#This Row],[خط (T/B  TOT) SAR]]+TABL12345[[#This Row],[خط (S/S  TOT) SAR2]]</f>
        <v>0</v>
      </c>
      <c r="L212" s="45"/>
      <c r="M212" s="46"/>
      <c r="N212" s="46"/>
      <c r="O212" s="40"/>
      <c r="P212" s="12">
        <f>TABL12345[[#This Row],[خط (S/S  TOT) SAR2]]-TABL12345[[#This Row],[(S/S TOT) AJD]]</f>
        <v>0</v>
      </c>
      <c r="Q212" s="40"/>
      <c r="R212" s="12">
        <f>TABL12345[[#This Row],[خط (T/B  TOT) SAR]]-TABL12345[[#This Row],[(T/B TOT) AJD]]</f>
        <v>0</v>
      </c>
      <c r="S212" s="12">
        <f>TABL12345[[#This Row],[الفرق بين بداية ونهاية خط  S/S]]+TABL12345[[#This Row],[الفرق بين بداية ونهاية خط  T/B]]</f>
        <v>0</v>
      </c>
      <c r="T212" s="12">
        <f t="shared" si="12"/>
        <v>0</v>
      </c>
      <c r="U212" s="44"/>
      <c r="V212" s="44"/>
      <c r="W212" s="12">
        <f t="shared" si="13"/>
        <v>0</v>
      </c>
      <c r="X212" s="12">
        <f t="shared" si="14"/>
        <v>0</v>
      </c>
      <c r="Y212" s="44"/>
      <c r="Z212" s="45"/>
      <c r="AA212" s="3">
        <f>TABL12345[[#This Row],[(RESV. STORGE) AJD]]/10</f>
        <v>0</v>
      </c>
      <c r="AB212" s="45">
        <f t="shared" si="15"/>
        <v>0</v>
      </c>
      <c r="AC212" s="5"/>
      <c r="AD212" s="70">
        <f>(TABL12345[[#This Row],[( S/S+T/B) AJD]]*1000)-((TABL12345[[#This Row],[(STORGE DIFF.) AJD]]*1000)+TABL12345[[#This Row],[البخر  AJD]]+(TABL12345[[#This Row],[(A/B + A/S) AJD]]*1000))</f>
        <v>0</v>
      </c>
      <c r="AE212" s="44"/>
      <c r="AF212" s="45"/>
      <c r="AG212" s="45"/>
      <c r="AH212" s="6">
        <f>TABL12345[[#This Row],[ (RESV. STORGE) BER]]/10</f>
        <v>0</v>
      </c>
      <c r="AI212" s="44"/>
      <c r="AJ212" s="67">
        <f>TABL12345[[#This Row],[(A/B TOT) AJD]]-TABL12345[[#This Row],[BER_ IN]]</f>
        <v>0</v>
      </c>
      <c r="AK212" s="45"/>
      <c r="AL212" s="45"/>
      <c r="AM212" s="32"/>
      <c r="AN212" s="32">
        <f>TABL12345[[#This Row],[ (RESV. STORGE) SER]]/10</f>
        <v>0</v>
      </c>
      <c r="AO212" s="68"/>
      <c r="AP212" s="68">
        <f>TABL12345[[#This Row],[(A/S TOT) AJD]]-TABL12345[[#This Row],[SER_ IN]]</f>
        <v>0</v>
      </c>
    </row>
    <row r="213" spans="1:42" ht="18.75" x14ac:dyDescent="0.25">
      <c r="A213" s="2">
        <v>47695</v>
      </c>
      <c r="B213" s="41"/>
      <c r="C213" s="41"/>
      <c r="D213" s="41"/>
      <c r="E213" s="41"/>
      <c r="F213" s="41"/>
      <c r="G213" s="39"/>
      <c r="H213" s="28"/>
      <c r="I213" s="39"/>
      <c r="J213" s="39"/>
      <c r="K213" s="28">
        <f>TABL12345[[#This Row],[خط (T/B  TOT) SAR]]+TABL12345[[#This Row],[خط (S/S  TOT) SAR2]]</f>
        <v>0</v>
      </c>
      <c r="L213" s="41"/>
      <c r="M213" s="42"/>
      <c r="N213" s="42"/>
      <c r="O213" s="39"/>
      <c r="P213" s="12">
        <f>TABL12345[[#This Row],[خط (S/S  TOT) SAR2]]-TABL12345[[#This Row],[(S/S TOT) AJD]]</f>
        <v>0</v>
      </c>
      <c r="Q213" s="39"/>
      <c r="R213" s="12">
        <f>TABL12345[[#This Row],[خط (T/B  TOT) SAR]]-TABL12345[[#This Row],[(T/B TOT) AJD]]</f>
        <v>0</v>
      </c>
      <c r="S213" s="12">
        <f>TABL12345[[#This Row],[الفرق بين بداية ونهاية خط  S/S]]+TABL12345[[#This Row],[الفرق بين بداية ونهاية خط  T/B]]</f>
        <v>0</v>
      </c>
      <c r="T213" s="12">
        <f t="shared" si="12"/>
        <v>0</v>
      </c>
      <c r="U213" s="41"/>
      <c r="V213" s="41"/>
      <c r="W213" s="12">
        <f t="shared" si="13"/>
        <v>0</v>
      </c>
      <c r="X213" s="12">
        <f t="shared" si="14"/>
        <v>0</v>
      </c>
      <c r="Y213" s="41"/>
      <c r="Z213" s="43"/>
      <c r="AA213" s="3">
        <f>TABL12345[[#This Row],[(RESV. STORGE) AJD]]/10</f>
        <v>0</v>
      </c>
      <c r="AB213" s="43">
        <f t="shared" si="15"/>
        <v>0</v>
      </c>
      <c r="AC213" s="5"/>
      <c r="AD213" s="39">
        <f>(TABL12345[[#This Row],[( S/S+T/B) AJD]]*1000)-((TABL12345[[#This Row],[(STORGE DIFF.) AJD]]*1000)+TABL12345[[#This Row],[البخر  AJD]]+(TABL12345[[#This Row],[(A/B + A/S) AJD]]*1000))</f>
        <v>0</v>
      </c>
      <c r="AE213" s="41"/>
      <c r="AF213" s="43"/>
      <c r="AG213" s="43"/>
      <c r="AH213" s="6">
        <f>TABL12345[[#This Row],[ (RESV. STORGE) BER]]/10</f>
        <v>0</v>
      </c>
      <c r="AI213" s="41"/>
      <c r="AJ213" s="41">
        <f>TABL12345[[#This Row],[(A/B TOT) AJD]]-TABL12345[[#This Row],[BER_ IN]]</f>
        <v>0</v>
      </c>
      <c r="AK213" s="43"/>
      <c r="AL213" s="43"/>
      <c r="AM213" s="32"/>
      <c r="AN213" s="32">
        <f>TABL12345[[#This Row],[ (RESV. STORGE) SER]]/10</f>
        <v>0</v>
      </c>
      <c r="AO213" s="68"/>
      <c r="AP213" s="68">
        <f>TABL12345[[#This Row],[(A/S TOT) AJD]]-TABL12345[[#This Row],[SER_ IN]]</f>
        <v>0</v>
      </c>
    </row>
    <row r="214" spans="1:42" ht="18.75" x14ac:dyDescent="0.25">
      <c r="A214" s="2">
        <v>47696</v>
      </c>
      <c r="B214" s="41"/>
      <c r="C214" s="41"/>
      <c r="D214" s="41"/>
      <c r="E214" s="28"/>
      <c r="F214" s="41"/>
      <c r="G214" s="39"/>
      <c r="H214" s="28"/>
      <c r="I214" s="39"/>
      <c r="J214" s="39"/>
      <c r="K214" s="28">
        <f>TABL12345[[#This Row],[خط (T/B  TOT) SAR]]+TABL12345[[#This Row],[خط (S/S  TOT) SAR2]]</f>
        <v>0</v>
      </c>
      <c r="L214" s="41"/>
      <c r="M214" s="42"/>
      <c r="N214" s="42"/>
      <c r="O214" s="39"/>
      <c r="P214" s="3">
        <f>TABL12345[[#This Row],[خط (S/S  TOT) SAR2]]-TABL12345[[#This Row],[(S/S TOT) AJD]]</f>
        <v>0</v>
      </c>
      <c r="Q214" s="39"/>
      <c r="R214" s="3">
        <f>TABL12345[[#This Row],[خط (T/B  TOT) SAR]]-TABL12345[[#This Row],[(T/B TOT) AJD]]</f>
        <v>0</v>
      </c>
      <c r="S214" s="3">
        <f>TABL12345[[#This Row],[الفرق بين بداية ونهاية خط  S/S]]+TABL12345[[#This Row],[الفرق بين بداية ونهاية خط  T/B]]</f>
        <v>0</v>
      </c>
      <c r="T214" s="3">
        <f t="shared" si="12"/>
        <v>0</v>
      </c>
      <c r="U214" s="41"/>
      <c r="V214" s="41"/>
      <c r="W214" s="3">
        <f t="shared" si="13"/>
        <v>0</v>
      </c>
      <c r="X214" s="3">
        <f t="shared" si="14"/>
        <v>0</v>
      </c>
      <c r="Y214" s="41"/>
      <c r="Z214" s="43"/>
      <c r="AA214" s="3">
        <f>TABL12345[[#This Row],[(RESV. STORGE) AJD]]/10</f>
        <v>0</v>
      </c>
      <c r="AB214" s="43">
        <f t="shared" si="15"/>
        <v>0</v>
      </c>
      <c r="AC214" s="5"/>
      <c r="AD214" s="39">
        <f>(TABL12345[[#This Row],[( S/S+T/B) AJD]]*1000)-((TABL12345[[#This Row],[(STORGE DIFF.) AJD]]*1000)+TABL12345[[#This Row],[البخر  AJD]]+(TABL12345[[#This Row],[(A/B + A/S) AJD]]*1000))</f>
        <v>0</v>
      </c>
      <c r="AE214" s="41"/>
      <c r="AF214" s="43"/>
      <c r="AG214" s="43"/>
      <c r="AH214" s="6">
        <f>TABL12345[[#This Row],[ (RESV. STORGE) BER]]/10</f>
        <v>0</v>
      </c>
      <c r="AI214" s="41"/>
      <c r="AJ214" s="41">
        <f>TABL12345[[#This Row],[(A/B TOT) AJD]]-TABL12345[[#This Row],[BER_ IN]]</f>
        <v>0</v>
      </c>
      <c r="AK214" s="43"/>
      <c r="AL214" s="43"/>
      <c r="AM214" s="32"/>
      <c r="AN214" s="32">
        <f>TABL12345[[#This Row],[ (RESV. STORGE) SER]]/10</f>
        <v>0</v>
      </c>
      <c r="AO214" s="68"/>
      <c r="AP214" s="68">
        <f>TABL12345[[#This Row],[(A/S TOT) AJD]]-TABL12345[[#This Row],[SER_ IN]]</f>
        <v>0</v>
      </c>
    </row>
    <row r="215" spans="1:42" ht="18.75" x14ac:dyDescent="0.25">
      <c r="A215" s="2">
        <v>47697</v>
      </c>
      <c r="B215" s="44"/>
      <c r="C215" s="44"/>
      <c r="D215" s="44"/>
      <c r="E215" s="28"/>
      <c r="F215" s="44"/>
      <c r="G215" s="40"/>
      <c r="H215" s="28"/>
      <c r="I215" s="40"/>
      <c r="J215" s="44"/>
      <c r="K215" s="28">
        <f>TABL12345[[#This Row],[خط (T/B  TOT) SAR]]+TABL12345[[#This Row],[خط (S/S  TOT) SAR2]]</f>
        <v>0</v>
      </c>
      <c r="L215" s="45"/>
      <c r="M215" s="46"/>
      <c r="N215" s="46"/>
      <c r="O215" s="40"/>
      <c r="P215" s="3">
        <f>TABL12345[[#This Row],[خط (S/S  TOT) SAR2]]-TABL12345[[#This Row],[(S/S TOT) AJD]]</f>
        <v>0</v>
      </c>
      <c r="Q215" s="40"/>
      <c r="R215" s="3">
        <f>TABL12345[[#This Row],[خط (T/B  TOT) SAR]]-TABL12345[[#This Row],[(T/B TOT) AJD]]</f>
        <v>0</v>
      </c>
      <c r="S215" s="3">
        <f>TABL12345[[#This Row],[الفرق بين بداية ونهاية خط  S/S]]+TABL12345[[#This Row],[الفرق بين بداية ونهاية خط  T/B]]</f>
        <v>0</v>
      </c>
      <c r="T215" s="3">
        <f t="shared" si="12"/>
        <v>0</v>
      </c>
      <c r="U215" s="44"/>
      <c r="V215" s="44"/>
      <c r="W215" s="3">
        <f t="shared" si="13"/>
        <v>0</v>
      </c>
      <c r="X215" s="3">
        <f t="shared" si="14"/>
        <v>0</v>
      </c>
      <c r="Y215" s="44"/>
      <c r="Z215" s="45"/>
      <c r="AA215" s="3">
        <f>TABL12345[[#This Row],[(RESV. STORGE) AJD]]/10</f>
        <v>0</v>
      </c>
      <c r="AB215" s="45">
        <f t="shared" si="15"/>
        <v>0</v>
      </c>
      <c r="AC215" s="5"/>
      <c r="AD215" s="40">
        <f>(TABL12345[[#This Row],[( S/S+T/B) AJD]]*1000)-((TABL12345[[#This Row],[(STORGE DIFF.) AJD]]*1000)+TABL12345[[#This Row],[البخر  AJD]]+(TABL12345[[#This Row],[(A/B + A/S) AJD]]*1000))</f>
        <v>0</v>
      </c>
      <c r="AE215" s="44"/>
      <c r="AF215" s="45"/>
      <c r="AG215" s="45"/>
      <c r="AH215" s="6">
        <f>TABL12345[[#This Row],[ (RESV. STORGE) BER]]/10</f>
        <v>0</v>
      </c>
      <c r="AI215" s="44"/>
      <c r="AJ215" s="44">
        <f>TABL12345[[#This Row],[(A/B TOT) AJD]]-TABL12345[[#This Row],[BER_ IN]]</f>
        <v>0</v>
      </c>
      <c r="AK215" s="45"/>
      <c r="AL215" s="45"/>
      <c r="AM215" s="32"/>
      <c r="AN215" s="32">
        <f>TABL12345[[#This Row],[ (RESV. STORGE) SER]]/10</f>
        <v>0</v>
      </c>
      <c r="AO215" s="68"/>
      <c r="AP215" s="68">
        <f>TABL12345[[#This Row],[(A/S TOT) AJD]]-TABL12345[[#This Row],[SER_ IN]]</f>
        <v>0</v>
      </c>
    </row>
    <row r="216" spans="1:42" ht="18.75" x14ac:dyDescent="0.25">
      <c r="A216" s="2">
        <v>47698</v>
      </c>
      <c r="B216" s="41"/>
      <c r="C216" s="41"/>
      <c r="D216" s="41"/>
      <c r="E216" s="28"/>
      <c r="F216" s="41"/>
      <c r="G216" s="39"/>
      <c r="H216" s="28"/>
      <c r="I216" s="39"/>
      <c r="J216" s="39"/>
      <c r="K216" s="28">
        <f>TABL12345[[#This Row],[خط (T/B  TOT) SAR]]+TABL12345[[#This Row],[خط (S/S  TOT) SAR2]]</f>
        <v>0</v>
      </c>
      <c r="L216" s="41"/>
      <c r="M216" s="42"/>
      <c r="N216" s="42"/>
      <c r="O216" s="39"/>
      <c r="P216" s="3">
        <f>TABL12345[[#This Row],[خط (S/S  TOT) SAR2]]-TABL12345[[#This Row],[(S/S TOT) AJD]]</f>
        <v>0</v>
      </c>
      <c r="Q216" s="39"/>
      <c r="R216" s="3">
        <f>TABL12345[[#This Row],[خط (T/B  TOT) SAR]]-TABL12345[[#This Row],[(T/B TOT) AJD]]</f>
        <v>0</v>
      </c>
      <c r="S216" s="3">
        <f>TABL12345[[#This Row],[الفرق بين بداية ونهاية خط  S/S]]+TABL12345[[#This Row],[الفرق بين بداية ونهاية خط  T/B]]</f>
        <v>0</v>
      </c>
      <c r="T216" s="3">
        <f t="shared" si="12"/>
        <v>0</v>
      </c>
      <c r="U216" s="41"/>
      <c r="V216" s="41"/>
      <c r="W216" s="3">
        <f t="shared" si="13"/>
        <v>0</v>
      </c>
      <c r="X216" s="3">
        <f t="shared" si="14"/>
        <v>0</v>
      </c>
      <c r="Y216" s="41"/>
      <c r="Z216" s="43"/>
      <c r="AA216" s="3">
        <f>TABL12345[[#This Row],[(RESV. STORGE) AJD]]/10</f>
        <v>0</v>
      </c>
      <c r="AB216" s="43">
        <f t="shared" si="15"/>
        <v>0</v>
      </c>
      <c r="AC216" s="5"/>
      <c r="AD216" s="39">
        <f>(TABL12345[[#This Row],[( S/S+T/B) AJD]]*1000)-((TABL12345[[#This Row],[(STORGE DIFF.) AJD]]*1000)+TABL12345[[#This Row],[البخر  AJD]]+(TABL12345[[#This Row],[(A/B + A/S) AJD]]*1000))</f>
        <v>0</v>
      </c>
      <c r="AE216" s="41"/>
      <c r="AF216" s="43"/>
      <c r="AG216" s="43"/>
      <c r="AH216" s="6">
        <f>TABL12345[[#This Row],[ (RESV. STORGE) BER]]/10</f>
        <v>0</v>
      </c>
      <c r="AI216" s="41"/>
      <c r="AJ216" s="41">
        <f>TABL12345[[#This Row],[(A/B TOT) AJD]]-TABL12345[[#This Row],[BER_ IN]]</f>
        <v>0</v>
      </c>
      <c r="AK216" s="43"/>
      <c r="AL216" s="43"/>
      <c r="AM216" s="32"/>
      <c r="AN216" s="32">
        <f>TABL12345[[#This Row],[ (RESV. STORGE) SER]]/10</f>
        <v>0</v>
      </c>
      <c r="AO216" s="68"/>
      <c r="AP216" s="68">
        <f>TABL12345[[#This Row],[(A/S TOT) AJD]]-TABL12345[[#This Row],[SER_ IN]]</f>
        <v>0</v>
      </c>
    </row>
    <row r="217" spans="1:42" ht="18.75" x14ac:dyDescent="0.25">
      <c r="A217" s="2">
        <v>47699</v>
      </c>
      <c r="B217" s="44"/>
      <c r="C217" s="44"/>
      <c r="D217" s="44"/>
      <c r="E217" s="28"/>
      <c r="F217" s="44"/>
      <c r="G217" s="40"/>
      <c r="H217" s="28"/>
      <c r="I217" s="40"/>
      <c r="J217" s="44"/>
      <c r="K217" s="28">
        <f>TABL12345[[#This Row],[خط (T/B  TOT) SAR]]+TABL12345[[#This Row],[خط (S/S  TOT) SAR2]]</f>
        <v>0</v>
      </c>
      <c r="L217" s="45"/>
      <c r="M217" s="46"/>
      <c r="N217" s="46"/>
      <c r="O217" s="40"/>
      <c r="P217" s="3">
        <f>TABL12345[[#This Row],[خط (S/S  TOT) SAR2]]-TABL12345[[#This Row],[(S/S TOT) AJD]]</f>
        <v>0</v>
      </c>
      <c r="Q217" s="40"/>
      <c r="R217" s="3">
        <f>TABL12345[[#This Row],[خط (T/B  TOT) SAR]]-TABL12345[[#This Row],[(T/B TOT) AJD]]</f>
        <v>0</v>
      </c>
      <c r="S217" s="3">
        <f>TABL12345[[#This Row],[الفرق بين بداية ونهاية خط  S/S]]+TABL12345[[#This Row],[الفرق بين بداية ونهاية خط  T/B]]</f>
        <v>0</v>
      </c>
      <c r="T217" s="3">
        <f t="shared" si="12"/>
        <v>0</v>
      </c>
      <c r="U217" s="44"/>
      <c r="V217" s="44"/>
      <c r="W217" s="3">
        <f t="shared" si="13"/>
        <v>0</v>
      </c>
      <c r="X217" s="3">
        <f t="shared" si="14"/>
        <v>0</v>
      </c>
      <c r="Y217" s="44"/>
      <c r="Z217" s="45"/>
      <c r="AA217" s="3">
        <f>TABL12345[[#This Row],[(RESV. STORGE) AJD]]/10</f>
        <v>0</v>
      </c>
      <c r="AB217" s="45">
        <f t="shared" si="15"/>
        <v>0</v>
      </c>
      <c r="AC217" s="5"/>
      <c r="AD217" s="40">
        <f>(TABL12345[[#This Row],[( S/S+T/B) AJD]]*1000)-((TABL12345[[#This Row],[(STORGE DIFF.) AJD]]*1000)+TABL12345[[#This Row],[البخر  AJD]]+(TABL12345[[#This Row],[(A/B + A/S) AJD]]*1000))</f>
        <v>0</v>
      </c>
      <c r="AE217" s="44"/>
      <c r="AF217" s="45"/>
      <c r="AG217" s="45"/>
      <c r="AH217" s="6">
        <f>TABL12345[[#This Row],[ (RESV. STORGE) BER]]/10</f>
        <v>0</v>
      </c>
      <c r="AI217" s="44"/>
      <c r="AJ217" s="44">
        <f>TABL12345[[#This Row],[(A/B TOT) AJD]]-TABL12345[[#This Row],[BER_ IN]]</f>
        <v>0</v>
      </c>
      <c r="AK217" s="45"/>
      <c r="AL217" s="45"/>
      <c r="AM217" s="32"/>
      <c r="AN217" s="32">
        <f>TABL12345[[#This Row],[ (RESV. STORGE) SER]]/10</f>
        <v>0</v>
      </c>
      <c r="AO217" s="68"/>
      <c r="AP217" s="68">
        <f>TABL12345[[#This Row],[(A/S TOT) AJD]]-TABL12345[[#This Row],[SER_ IN]]</f>
        <v>0</v>
      </c>
    </row>
    <row r="218" spans="1:42" ht="18.75" x14ac:dyDescent="0.25">
      <c r="A218" s="2">
        <v>47700</v>
      </c>
      <c r="B218" s="41"/>
      <c r="C218" s="41"/>
      <c r="D218" s="41"/>
      <c r="E218" s="28"/>
      <c r="F218" s="41"/>
      <c r="G218" s="39"/>
      <c r="H218" s="28"/>
      <c r="I218" s="39"/>
      <c r="J218" s="39"/>
      <c r="K218" s="28">
        <f>TABL12345[[#This Row],[خط (T/B  TOT) SAR]]+TABL12345[[#This Row],[خط (S/S  TOT) SAR2]]</f>
        <v>0</v>
      </c>
      <c r="L218" s="41"/>
      <c r="M218" s="42"/>
      <c r="N218" s="42"/>
      <c r="O218" s="39"/>
      <c r="P218" s="3">
        <f>TABL12345[[#This Row],[خط (S/S  TOT) SAR2]]-TABL12345[[#This Row],[(S/S TOT) AJD]]</f>
        <v>0</v>
      </c>
      <c r="Q218" s="39"/>
      <c r="R218" s="3">
        <f>TABL12345[[#This Row],[خط (T/B  TOT) SAR]]-TABL12345[[#This Row],[(T/B TOT) AJD]]</f>
        <v>0</v>
      </c>
      <c r="S218" s="3">
        <f>TABL12345[[#This Row],[الفرق بين بداية ونهاية خط  S/S]]+TABL12345[[#This Row],[الفرق بين بداية ونهاية خط  T/B]]</f>
        <v>0</v>
      </c>
      <c r="T218" s="3">
        <f t="shared" si="12"/>
        <v>0</v>
      </c>
      <c r="U218" s="41"/>
      <c r="V218" s="41"/>
      <c r="W218" s="3">
        <f t="shared" si="13"/>
        <v>0</v>
      </c>
      <c r="X218" s="3">
        <f t="shared" si="14"/>
        <v>0</v>
      </c>
      <c r="Y218" s="41"/>
      <c r="Z218" s="43"/>
      <c r="AA218" s="3">
        <f>TABL12345[[#This Row],[(RESV. STORGE) AJD]]/10</f>
        <v>0</v>
      </c>
      <c r="AB218" s="43">
        <f t="shared" si="15"/>
        <v>0</v>
      </c>
      <c r="AC218" s="5"/>
      <c r="AD218" s="39">
        <f>(TABL12345[[#This Row],[( S/S+T/B) AJD]]*1000)-((TABL12345[[#This Row],[(STORGE DIFF.) AJD]]*1000)+TABL12345[[#This Row],[البخر  AJD]]+(TABL12345[[#This Row],[(A/B + A/S) AJD]]*1000))</f>
        <v>0</v>
      </c>
      <c r="AE218" s="41"/>
      <c r="AF218" s="43"/>
      <c r="AG218" s="43"/>
      <c r="AH218" s="6">
        <f>TABL12345[[#This Row],[ (RESV. STORGE) BER]]/10</f>
        <v>0</v>
      </c>
      <c r="AI218" s="41"/>
      <c r="AJ218" s="41">
        <f>TABL12345[[#This Row],[(A/B TOT) AJD]]-TABL12345[[#This Row],[BER_ IN]]</f>
        <v>0</v>
      </c>
      <c r="AK218" s="43"/>
      <c r="AL218" s="43"/>
      <c r="AM218" s="32"/>
      <c r="AN218" s="32">
        <f>TABL12345[[#This Row],[ (RESV. STORGE) SER]]/10</f>
        <v>0</v>
      </c>
      <c r="AO218" s="68"/>
      <c r="AP218" s="68">
        <f>TABL12345[[#This Row],[(A/S TOT) AJD]]-TABL12345[[#This Row],[SER_ IN]]</f>
        <v>0</v>
      </c>
    </row>
    <row r="219" spans="1:42" ht="18.75" x14ac:dyDescent="0.25">
      <c r="A219" s="2">
        <v>47701</v>
      </c>
      <c r="B219" s="44"/>
      <c r="C219" s="44"/>
      <c r="D219" s="44"/>
      <c r="E219" s="28"/>
      <c r="F219" s="44"/>
      <c r="G219" s="40"/>
      <c r="H219" s="28"/>
      <c r="I219" s="40"/>
      <c r="J219" s="44"/>
      <c r="K219" s="28">
        <f>TABL12345[[#This Row],[خط (T/B  TOT) SAR]]+TABL12345[[#This Row],[خط (S/S  TOT) SAR2]]</f>
        <v>0</v>
      </c>
      <c r="L219" s="45"/>
      <c r="M219" s="46"/>
      <c r="N219" s="46"/>
      <c r="O219" s="40"/>
      <c r="P219" s="3">
        <f>TABL12345[[#This Row],[خط (S/S  TOT) SAR2]]-TABL12345[[#This Row],[(S/S TOT) AJD]]</f>
        <v>0</v>
      </c>
      <c r="Q219" s="40"/>
      <c r="R219" s="3">
        <f>TABL12345[[#This Row],[خط (T/B  TOT) SAR]]-TABL12345[[#This Row],[(T/B TOT) AJD]]</f>
        <v>0</v>
      </c>
      <c r="S219" s="3">
        <f>TABL12345[[#This Row],[الفرق بين بداية ونهاية خط  S/S]]+TABL12345[[#This Row],[الفرق بين بداية ونهاية خط  T/B]]</f>
        <v>0</v>
      </c>
      <c r="T219" s="3">
        <f t="shared" si="12"/>
        <v>0</v>
      </c>
      <c r="U219" s="44"/>
      <c r="V219" s="44"/>
      <c r="W219" s="3">
        <f t="shared" si="13"/>
        <v>0</v>
      </c>
      <c r="X219" s="3">
        <f t="shared" si="14"/>
        <v>0</v>
      </c>
      <c r="Y219" s="44"/>
      <c r="Z219" s="45"/>
      <c r="AA219" s="3">
        <f>TABL12345[[#This Row],[(RESV. STORGE) AJD]]/10</f>
        <v>0</v>
      </c>
      <c r="AB219" s="45">
        <f t="shared" si="15"/>
        <v>0</v>
      </c>
      <c r="AC219" s="5"/>
      <c r="AD219" s="40">
        <f>(TABL12345[[#This Row],[( S/S+T/B) AJD]]*1000)-((TABL12345[[#This Row],[(STORGE DIFF.) AJD]]*1000)+TABL12345[[#This Row],[البخر  AJD]]+(TABL12345[[#This Row],[(A/B + A/S) AJD]]*1000))</f>
        <v>0</v>
      </c>
      <c r="AE219" s="44"/>
      <c r="AF219" s="45"/>
      <c r="AG219" s="45"/>
      <c r="AH219" s="6">
        <f>TABL12345[[#This Row],[ (RESV. STORGE) BER]]/10</f>
        <v>0</v>
      </c>
      <c r="AI219" s="44"/>
      <c r="AJ219" s="44">
        <f>TABL12345[[#This Row],[(A/B TOT) AJD]]-TABL12345[[#This Row],[BER_ IN]]</f>
        <v>0</v>
      </c>
      <c r="AK219" s="45"/>
      <c r="AL219" s="45"/>
      <c r="AM219" s="32"/>
      <c r="AN219" s="32">
        <f>TABL12345[[#This Row],[ (RESV. STORGE) SER]]/10</f>
        <v>0</v>
      </c>
      <c r="AO219" s="68"/>
      <c r="AP219" s="68">
        <f>TABL12345[[#This Row],[(A/S TOT) AJD]]-TABL12345[[#This Row],[SER_ IN]]</f>
        <v>0</v>
      </c>
    </row>
    <row r="220" spans="1:42" ht="18.75" x14ac:dyDescent="0.25">
      <c r="A220" s="2">
        <v>47702</v>
      </c>
      <c r="B220" s="41"/>
      <c r="C220" s="41"/>
      <c r="D220" s="41"/>
      <c r="E220" s="28"/>
      <c r="F220" s="41"/>
      <c r="G220" s="39"/>
      <c r="H220" s="28"/>
      <c r="I220" s="39"/>
      <c r="J220" s="39"/>
      <c r="K220" s="28">
        <f>TABL12345[[#This Row],[خط (T/B  TOT) SAR]]+TABL12345[[#This Row],[خط (S/S  TOT) SAR2]]</f>
        <v>0</v>
      </c>
      <c r="L220" s="41"/>
      <c r="M220" s="42"/>
      <c r="N220" s="42"/>
      <c r="O220" s="39"/>
      <c r="P220" s="3">
        <f>TABL12345[[#This Row],[خط (S/S  TOT) SAR2]]-TABL12345[[#This Row],[(S/S TOT) AJD]]</f>
        <v>0</v>
      </c>
      <c r="Q220" s="39"/>
      <c r="R220" s="3">
        <f>TABL12345[[#This Row],[خط (T/B  TOT) SAR]]-TABL12345[[#This Row],[(T/B TOT) AJD]]</f>
        <v>0</v>
      </c>
      <c r="S220" s="3">
        <f>TABL12345[[#This Row],[الفرق بين بداية ونهاية خط  S/S]]+TABL12345[[#This Row],[الفرق بين بداية ونهاية خط  T/B]]</f>
        <v>0</v>
      </c>
      <c r="T220" s="3">
        <f t="shared" si="12"/>
        <v>0</v>
      </c>
      <c r="U220" s="41"/>
      <c r="V220" s="41"/>
      <c r="W220" s="3">
        <f t="shared" si="13"/>
        <v>0</v>
      </c>
      <c r="X220" s="3">
        <f t="shared" si="14"/>
        <v>0</v>
      </c>
      <c r="Y220" s="41"/>
      <c r="Z220" s="43"/>
      <c r="AA220" s="3">
        <f>TABL12345[[#This Row],[(RESV. STORGE) AJD]]/10</f>
        <v>0</v>
      </c>
      <c r="AB220" s="43">
        <f t="shared" si="15"/>
        <v>0</v>
      </c>
      <c r="AC220" s="5"/>
      <c r="AD220" s="39">
        <f>(TABL12345[[#This Row],[( S/S+T/B) AJD]]*1000)-((TABL12345[[#This Row],[(STORGE DIFF.) AJD]]*1000)+TABL12345[[#This Row],[البخر  AJD]]+(TABL12345[[#This Row],[(A/B + A/S) AJD]]*1000))</f>
        <v>0</v>
      </c>
      <c r="AE220" s="41"/>
      <c r="AF220" s="43"/>
      <c r="AG220" s="43"/>
      <c r="AH220" s="6">
        <f>TABL12345[[#This Row],[ (RESV. STORGE) BER]]/10</f>
        <v>0</v>
      </c>
      <c r="AI220" s="41"/>
      <c r="AJ220" s="41">
        <f>TABL12345[[#This Row],[(A/B TOT) AJD]]-TABL12345[[#This Row],[BER_ IN]]</f>
        <v>0</v>
      </c>
      <c r="AK220" s="43"/>
      <c r="AL220" s="43"/>
      <c r="AM220" s="32"/>
      <c r="AN220" s="32">
        <f>TABL12345[[#This Row],[ (RESV. STORGE) SER]]/10</f>
        <v>0</v>
      </c>
      <c r="AO220" s="68"/>
      <c r="AP220" s="68">
        <f>TABL12345[[#This Row],[(A/S TOT) AJD]]-TABL12345[[#This Row],[SER_ IN]]</f>
        <v>0</v>
      </c>
    </row>
    <row r="221" spans="1:42" ht="18.75" x14ac:dyDescent="0.25">
      <c r="A221" s="2">
        <v>47703</v>
      </c>
      <c r="B221" s="44"/>
      <c r="C221" s="44"/>
      <c r="D221" s="44"/>
      <c r="E221" s="28"/>
      <c r="F221" s="44"/>
      <c r="G221" s="40"/>
      <c r="H221" s="28"/>
      <c r="I221" s="40"/>
      <c r="J221" s="44"/>
      <c r="K221" s="28">
        <f>TABL12345[[#This Row],[خط (T/B  TOT) SAR]]+TABL12345[[#This Row],[خط (S/S  TOT) SAR2]]</f>
        <v>0</v>
      </c>
      <c r="L221" s="45"/>
      <c r="M221" s="46"/>
      <c r="N221" s="46"/>
      <c r="O221" s="40"/>
      <c r="P221" s="3">
        <f>TABL12345[[#This Row],[خط (S/S  TOT) SAR2]]-TABL12345[[#This Row],[(S/S TOT) AJD]]</f>
        <v>0</v>
      </c>
      <c r="Q221" s="40"/>
      <c r="R221" s="3">
        <f>TABL12345[[#This Row],[خط (T/B  TOT) SAR]]-TABL12345[[#This Row],[(T/B TOT) AJD]]</f>
        <v>0</v>
      </c>
      <c r="S221" s="3">
        <f>TABL12345[[#This Row],[الفرق بين بداية ونهاية خط  S/S]]+TABL12345[[#This Row],[الفرق بين بداية ونهاية خط  T/B]]</f>
        <v>0</v>
      </c>
      <c r="T221" s="3">
        <f t="shared" si="12"/>
        <v>0</v>
      </c>
      <c r="U221" s="44"/>
      <c r="V221" s="44"/>
      <c r="W221" s="3">
        <f t="shared" si="13"/>
        <v>0</v>
      </c>
      <c r="X221" s="3">
        <f t="shared" si="14"/>
        <v>0</v>
      </c>
      <c r="Y221" s="44"/>
      <c r="Z221" s="45"/>
      <c r="AA221" s="3">
        <f>TABL12345[[#This Row],[(RESV. STORGE) AJD]]/10</f>
        <v>0</v>
      </c>
      <c r="AB221" s="45">
        <f t="shared" si="15"/>
        <v>0</v>
      </c>
      <c r="AC221" s="5"/>
      <c r="AD221" s="40">
        <f>(TABL12345[[#This Row],[( S/S+T/B) AJD]]*1000)-((TABL12345[[#This Row],[(STORGE DIFF.) AJD]]*1000)+TABL12345[[#This Row],[البخر  AJD]]+(TABL12345[[#This Row],[(A/B + A/S) AJD]]*1000))</f>
        <v>0</v>
      </c>
      <c r="AE221" s="44"/>
      <c r="AF221" s="45"/>
      <c r="AG221" s="45"/>
      <c r="AH221" s="6">
        <f>TABL12345[[#This Row],[ (RESV. STORGE) BER]]/10</f>
        <v>0</v>
      </c>
      <c r="AI221" s="44"/>
      <c r="AJ221" s="44">
        <f>TABL12345[[#This Row],[(A/B TOT) AJD]]-TABL12345[[#This Row],[BER_ IN]]</f>
        <v>0</v>
      </c>
      <c r="AK221" s="45"/>
      <c r="AL221" s="45"/>
      <c r="AM221" s="32"/>
      <c r="AN221" s="32">
        <f>TABL12345[[#This Row],[ (RESV. STORGE) SER]]/10</f>
        <v>0</v>
      </c>
      <c r="AO221" s="68"/>
      <c r="AP221" s="68">
        <f>TABL12345[[#This Row],[(A/S TOT) AJD]]-TABL12345[[#This Row],[SER_ IN]]</f>
        <v>0</v>
      </c>
    </row>
    <row r="222" spans="1:42" ht="18.75" x14ac:dyDescent="0.25">
      <c r="A222" s="2">
        <v>47704</v>
      </c>
      <c r="B222" s="41"/>
      <c r="C222" s="41"/>
      <c r="D222" s="41"/>
      <c r="E222" s="28"/>
      <c r="F222" s="41"/>
      <c r="G222" s="39"/>
      <c r="H222" s="28"/>
      <c r="I222" s="39"/>
      <c r="J222" s="39"/>
      <c r="K222" s="28">
        <f>TABL12345[[#This Row],[خط (T/B  TOT) SAR]]+TABL12345[[#This Row],[خط (S/S  TOT) SAR2]]</f>
        <v>0</v>
      </c>
      <c r="L222" s="41"/>
      <c r="M222" s="42"/>
      <c r="N222" s="42"/>
      <c r="O222" s="39"/>
      <c r="P222" s="3">
        <f>TABL12345[[#This Row],[خط (S/S  TOT) SAR2]]-TABL12345[[#This Row],[(S/S TOT) AJD]]</f>
        <v>0</v>
      </c>
      <c r="Q222" s="39"/>
      <c r="R222" s="3">
        <f>TABL12345[[#This Row],[خط (T/B  TOT) SAR]]-TABL12345[[#This Row],[(T/B TOT) AJD]]</f>
        <v>0</v>
      </c>
      <c r="S222" s="3">
        <f>TABL12345[[#This Row],[الفرق بين بداية ونهاية خط  S/S]]+TABL12345[[#This Row],[الفرق بين بداية ونهاية خط  T/B]]</f>
        <v>0</v>
      </c>
      <c r="T222" s="3">
        <f t="shared" si="12"/>
        <v>0</v>
      </c>
      <c r="U222" s="41"/>
      <c r="V222" s="41"/>
      <c r="W222" s="3">
        <f t="shared" si="13"/>
        <v>0</v>
      </c>
      <c r="X222" s="3">
        <f t="shared" si="14"/>
        <v>0</v>
      </c>
      <c r="Y222" s="41"/>
      <c r="Z222" s="43"/>
      <c r="AA222" s="3">
        <f>TABL12345[[#This Row],[(RESV. STORGE) AJD]]/10</f>
        <v>0</v>
      </c>
      <c r="AB222" s="43">
        <f t="shared" si="15"/>
        <v>0</v>
      </c>
      <c r="AC222" s="5"/>
      <c r="AD222" s="39">
        <f>(TABL12345[[#This Row],[( S/S+T/B) AJD]]*1000)-((TABL12345[[#This Row],[(STORGE DIFF.) AJD]]*1000)+TABL12345[[#This Row],[البخر  AJD]]+(TABL12345[[#This Row],[(A/B + A/S) AJD]]*1000))</f>
        <v>0</v>
      </c>
      <c r="AE222" s="41"/>
      <c r="AF222" s="43"/>
      <c r="AG222" s="43"/>
      <c r="AH222" s="6">
        <f>TABL12345[[#This Row],[ (RESV. STORGE) BER]]/10</f>
        <v>0</v>
      </c>
      <c r="AI222" s="41"/>
      <c r="AJ222" s="41">
        <f>TABL12345[[#This Row],[(A/B TOT) AJD]]-TABL12345[[#This Row],[BER_ IN]]</f>
        <v>0</v>
      </c>
      <c r="AK222" s="43"/>
      <c r="AL222" s="43"/>
      <c r="AM222" s="32"/>
      <c r="AN222" s="32">
        <f>TABL12345[[#This Row],[ (RESV. STORGE) SER]]/10</f>
        <v>0</v>
      </c>
      <c r="AO222" s="68"/>
      <c r="AP222" s="68">
        <f>TABL12345[[#This Row],[(A/S TOT) AJD]]-TABL12345[[#This Row],[SER_ IN]]</f>
        <v>0</v>
      </c>
    </row>
    <row r="223" spans="1:42" ht="18.75" x14ac:dyDescent="0.25">
      <c r="A223" s="2">
        <v>47705</v>
      </c>
      <c r="B223" s="44"/>
      <c r="C223" s="44"/>
      <c r="D223" s="44"/>
      <c r="E223" s="28"/>
      <c r="F223" s="44"/>
      <c r="G223" s="40"/>
      <c r="H223" s="28"/>
      <c r="I223" s="40"/>
      <c r="J223" s="44"/>
      <c r="K223" s="28">
        <f>TABL12345[[#This Row],[خط (T/B  TOT) SAR]]+TABL12345[[#This Row],[خط (S/S  TOT) SAR2]]</f>
        <v>0</v>
      </c>
      <c r="L223" s="45"/>
      <c r="M223" s="46"/>
      <c r="N223" s="46"/>
      <c r="O223" s="40"/>
      <c r="P223" s="3">
        <f>TABL12345[[#This Row],[خط (S/S  TOT) SAR2]]-TABL12345[[#This Row],[(S/S TOT) AJD]]</f>
        <v>0</v>
      </c>
      <c r="Q223" s="40"/>
      <c r="R223" s="3">
        <f>TABL12345[[#This Row],[خط (T/B  TOT) SAR]]-TABL12345[[#This Row],[(T/B TOT) AJD]]</f>
        <v>0</v>
      </c>
      <c r="S223" s="3">
        <f>TABL12345[[#This Row],[الفرق بين بداية ونهاية خط  S/S]]+TABL12345[[#This Row],[الفرق بين بداية ونهاية خط  T/B]]</f>
        <v>0</v>
      </c>
      <c r="T223" s="3">
        <f t="shared" si="12"/>
        <v>0</v>
      </c>
      <c r="U223" s="44"/>
      <c r="V223" s="44"/>
      <c r="W223" s="3">
        <f t="shared" si="13"/>
        <v>0</v>
      </c>
      <c r="X223" s="3">
        <f t="shared" si="14"/>
        <v>0</v>
      </c>
      <c r="Y223" s="44"/>
      <c r="Z223" s="45"/>
      <c r="AA223" s="3">
        <f>TABL12345[[#This Row],[(RESV. STORGE) AJD]]/10</f>
        <v>0</v>
      </c>
      <c r="AB223" s="45">
        <f t="shared" si="15"/>
        <v>0</v>
      </c>
      <c r="AC223" s="5"/>
      <c r="AD223" s="40">
        <f>(TABL12345[[#This Row],[( S/S+T/B) AJD]]*1000)-((TABL12345[[#This Row],[(STORGE DIFF.) AJD]]*1000)+TABL12345[[#This Row],[البخر  AJD]]+(TABL12345[[#This Row],[(A/B + A/S) AJD]]*1000))</f>
        <v>0</v>
      </c>
      <c r="AE223" s="44"/>
      <c r="AF223" s="45"/>
      <c r="AG223" s="45"/>
      <c r="AH223" s="6">
        <f>TABL12345[[#This Row],[ (RESV. STORGE) BER]]/10</f>
        <v>0</v>
      </c>
      <c r="AI223" s="44"/>
      <c r="AJ223" s="44">
        <f>TABL12345[[#This Row],[(A/B TOT) AJD]]-TABL12345[[#This Row],[BER_ IN]]</f>
        <v>0</v>
      </c>
      <c r="AK223" s="45"/>
      <c r="AL223" s="45"/>
      <c r="AM223" s="32"/>
      <c r="AN223" s="32">
        <f>TABL12345[[#This Row],[ (RESV. STORGE) SER]]/10</f>
        <v>0</v>
      </c>
      <c r="AO223" s="68"/>
      <c r="AP223" s="68">
        <f>TABL12345[[#This Row],[(A/S TOT) AJD]]-TABL12345[[#This Row],[SER_ IN]]</f>
        <v>0</v>
      </c>
    </row>
    <row r="224" spans="1:42" ht="18.75" x14ac:dyDescent="0.25">
      <c r="A224" s="2">
        <v>47706</v>
      </c>
      <c r="B224" s="41"/>
      <c r="C224" s="41"/>
      <c r="D224" s="41"/>
      <c r="E224" s="28"/>
      <c r="F224" s="41"/>
      <c r="G224" s="39"/>
      <c r="H224" s="28"/>
      <c r="I224" s="39"/>
      <c r="J224" s="39"/>
      <c r="K224" s="28">
        <f>TABL12345[[#This Row],[خط (T/B  TOT) SAR]]+TABL12345[[#This Row],[خط (S/S  TOT) SAR2]]</f>
        <v>0</v>
      </c>
      <c r="L224" s="41"/>
      <c r="M224" s="42"/>
      <c r="N224" s="42"/>
      <c r="O224" s="39"/>
      <c r="P224" s="3">
        <f>TABL12345[[#This Row],[خط (S/S  TOT) SAR2]]-TABL12345[[#This Row],[(S/S TOT) AJD]]</f>
        <v>0</v>
      </c>
      <c r="Q224" s="39"/>
      <c r="R224" s="3">
        <f>TABL12345[[#This Row],[خط (T/B  TOT) SAR]]-TABL12345[[#This Row],[(T/B TOT) AJD]]</f>
        <v>0</v>
      </c>
      <c r="S224" s="3">
        <f>TABL12345[[#This Row],[الفرق بين بداية ونهاية خط  S/S]]+TABL12345[[#This Row],[الفرق بين بداية ونهاية خط  T/B]]</f>
        <v>0</v>
      </c>
      <c r="T224" s="3">
        <f t="shared" si="12"/>
        <v>0</v>
      </c>
      <c r="U224" s="41"/>
      <c r="V224" s="41"/>
      <c r="W224" s="3">
        <f t="shared" si="13"/>
        <v>0</v>
      </c>
      <c r="X224" s="3">
        <f t="shared" si="14"/>
        <v>0</v>
      </c>
      <c r="Y224" s="41"/>
      <c r="Z224" s="43"/>
      <c r="AA224" s="3">
        <f>TABL12345[[#This Row],[(RESV. STORGE) AJD]]/10</f>
        <v>0</v>
      </c>
      <c r="AB224" s="43">
        <f t="shared" si="15"/>
        <v>0</v>
      </c>
      <c r="AC224" s="5"/>
      <c r="AD224" s="39">
        <f>(TABL12345[[#This Row],[( S/S+T/B) AJD]]*1000)-((TABL12345[[#This Row],[(STORGE DIFF.) AJD]]*1000)+TABL12345[[#This Row],[البخر  AJD]]+(TABL12345[[#This Row],[(A/B + A/S) AJD]]*1000))</f>
        <v>0</v>
      </c>
      <c r="AE224" s="41"/>
      <c r="AF224" s="43"/>
      <c r="AG224" s="68"/>
      <c r="AH224" s="6">
        <f>TABL12345[[#This Row],[ (RESV. STORGE) BER]]/10</f>
        <v>0</v>
      </c>
      <c r="AI224" s="41"/>
      <c r="AJ224" s="69">
        <f>TABL12345[[#This Row],[(A/B TOT) AJD]]-TABL12345[[#This Row],[BER_ IN]]</f>
        <v>0</v>
      </c>
      <c r="AK224" s="43"/>
      <c r="AL224" s="43"/>
      <c r="AM224" s="32"/>
      <c r="AN224" s="32">
        <f>TABL12345[[#This Row],[ (RESV. STORGE) SER]]/10</f>
        <v>0</v>
      </c>
      <c r="AO224" s="68"/>
      <c r="AP224" s="68">
        <f>TABL12345[[#This Row],[(A/S TOT) AJD]]-TABL12345[[#This Row],[SER_ IN]]</f>
        <v>0</v>
      </c>
    </row>
    <row r="225" spans="1:42" ht="18.75" x14ac:dyDescent="0.25">
      <c r="A225" s="2">
        <v>47707</v>
      </c>
      <c r="B225" s="44"/>
      <c r="C225" s="44"/>
      <c r="D225" s="44"/>
      <c r="E225" s="28"/>
      <c r="F225" s="44"/>
      <c r="G225" s="40"/>
      <c r="H225" s="28"/>
      <c r="I225" s="40"/>
      <c r="J225" s="44"/>
      <c r="K225" s="28">
        <f>TABL12345[[#This Row],[خط (T/B  TOT) SAR]]+TABL12345[[#This Row],[خط (S/S  TOT) SAR2]]</f>
        <v>0</v>
      </c>
      <c r="L225" s="45"/>
      <c r="M225" s="46"/>
      <c r="N225" s="46"/>
      <c r="O225" s="40"/>
      <c r="P225" s="3">
        <f>TABL12345[[#This Row],[خط (S/S  TOT) SAR2]]-TABL12345[[#This Row],[(S/S TOT) AJD]]</f>
        <v>0</v>
      </c>
      <c r="Q225" s="40"/>
      <c r="R225" s="3">
        <f>TABL12345[[#This Row],[خط (T/B  TOT) SAR]]-TABL12345[[#This Row],[(T/B TOT) AJD]]</f>
        <v>0</v>
      </c>
      <c r="S225" s="3">
        <f>TABL12345[[#This Row],[الفرق بين بداية ونهاية خط  S/S]]+TABL12345[[#This Row],[الفرق بين بداية ونهاية خط  T/B]]</f>
        <v>0</v>
      </c>
      <c r="T225" s="3">
        <f t="shared" si="12"/>
        <v>0</v>
      </c>
      <c r="U225" s="44"/>
      <c r="V225" s="44"/>
      <c r="W225" s="3">
        <f t="shared" si="13"/>
        <v>0</v>
      </c>
      <c r="X225" s="3">
        <f t="shared" si="14"/>
        <v>0</v>
      </c>
      <c r="Y225" s="44"/>
      <c r="Z225" s="45"/>
      <c r="AA225" s="3">
        <f>TABL12345[[#This Row],[(RESV. STORGE) AJD]]/10</f>
        <v>0</v>
      </c>
      <c r="AB225" s="45">
        <f t="shared" si="15"/>
        <v>0</v>
      </c>
      <c r="AC225" s="5"/>
      <c r="AD225" s="40">
        <f>(TABL12345[[#This Row],[( S/S+T/B) AJD]]*1000)-((TABL12345[[#This Row],[(STORGE DIFF.) AJD]]*1000)+TABL12345[[#This Row],[البخر  AJD]]+(TABL12345[[#This Row],[(A/B + A/S) AJD]]*1000))</f>
        <v>0</v>
      </c>
      <c r="AE225" s="44"/>
      <c r="AF225" s="45"/>
      <c r="AG225" s="45"/>
      <c r="AH225" s="6">
        <f>TABL12345[[#This Row],[ (RESV. STORGE) BER]]/10</f>
        <v>0</v>
      </c>
      <c r="AI225" s="44"/>
      <c r="AJ225" s="44">
        <f>TABL12345[[#This Row],[(A/B TOT) AJD]]-TABL12345[[#This Row],[BER_ IN]]</f>
        <v>0</v>
      </c>
      <c r="AK225" s="45"/>
      <c r="AL225" s="45"/>
      <c r="AM225" s="32"/>
      <c r="AN225" s="32">
        <f>TABL12345[[#This Row],[ (RESV. STORGE) SER]]/10</f>
        <v>0</v>
      </c>
      <c r="AO225" s="68"/>
      <c r="AP225" s="68">
        <f>TABL12345[[#This Row],[(A/S TOT) AJD]]-TABL12345[[#This Row],[SER_ IN]]</f>
        <v>0</v>
      </c>
    </row>
    <row r="226" spans="1:42" ht="18.75" x14ac:dyDescent="0.25">
      <c r="A226" s="2">
        <v>47708</v>
      </c>
      <c r="B226" s="41"/>
      <c r="C226" s="41"/>
      <c r="D226" s="41"/>
      <c r="E226" s="28"/>
      <c r="F226" s="41"/>
      <c r="G226" s="39"/>
      <c r="H226" s="28"/>
      <c r="I226" s="39"/>
      <c r="J226" s="39"/>
      <c r="K226" s="28">
        <f>TABL12345[[#This Row],[خط (T/B  TOT) SAR]]+TABL12345[[#This Row],[خط (S/S  TOT) SAR2]]</f>
        <v>0</v>
      </c>
      <c r="L226" s="41"/>
      <c r="M226" s="42"/>
      <c r="N226" s="42"/>
      <c r="O226" s="39"/>
      <c r="P226" s="3">
        <f>TABL12345[[#This Row],[خط (S/S  TOT) SAR2]]-TABL12345[[#This Row],[(S/S TOT) AJD]]</f>
        <v>0</v>
      </c>
      <c r="Q226" s="39"/>
      <c r="R226" s="3">
        <f>TABL12345[[#This Row],[خط (T/B  TOT) SAR]]-TABL12345[[#This Row],[(T/B TOT) AJD]]</f>
        <v>0</v>
      </c>
      <c r="S226" s="3">
        <f>TABL12345[[#This Row],[الفرق بين بداية ونهاية خط  S/S]]+TABL12345[[#This Row],[الفرق بين بداية ونهاية خط  T/B]]</f>
        <v>0</v>
      </c>
      <c r="T226" s="3">
        <f t="shared" si="12"/>
        <v>0</v>
      </c>
      <c r="U226" s="41"/>
      <c r="V226" s="41"/>
      <c r="W226" s="3">
        <f t="shared" si="13"/>
        <v>0</v>
      </c>
      <c r="X226" s="3">
        <f t="shared" si="14"/>
        <v>0</v>
      </c>
      <c r="Y226" s="41"/>
      <c r="Z226" s="43"/>
      <c r="AA226" s="3">
        <f>TABL12345[[#This Row],[(RESV. STORGE) AJD]]/10</f>
        <v>0</v>
      </c>
      <c r="AB226" s="43">
        <f t="shared" si="15"/>
        <v>0</v>
      </c>
      <c r="AC226" s="5"/>
      <c r="AD226" s="39">
        <f>(TABL12345[[#This Row],[( S/S+T/B) AJD]]*1000)-((TABL12345[[#This Row],[(STORGE DIFF.) AJD]]*1000)+TABL12345[[#This Row],[البخر  AJD]]+(TABL12345[[#This Row],[(A/B + A/S) AJD]]*1000))</f>
        <v>0</v>
      </c>
      <c r="AE226" s="41"/>
      <c r="AF226" s="43"/>
      <c r="AG226" s="43"/>
      <c r="AH226" s="6">
        <f>TABL12345[[#This Row],[ (RESV. STORGE) BER]]/10</f>
        <v>0</v>
      </c>
      <c r="AI226" s="41"/>
      <c r="AJ226" s="41">
        <f>TABL12345[[#This Row],[(A/B TOT) AJD]]-TABL12345[[#This Row],[BER_ IN]]</f>
        <v>0</v>
      </c>
      <c r="AK226" s="43"/>
      <c r="AL226" s="43"/>
      <c r="AM226" s="32"/>
      <c r="AN226" s="32">
        <f>TABL12345[[#This Row],[ (RESV. STORGE) SER]]/10</f>
        <v>0</v>
      </c>
      <c r="AO226" s="68"/>
      <c r="AP226" s="68">
        <f>TABL12345[[#This Row],[(A/S TOT) AJD]]-TABL12345[[#This Row],[SER_ IN]]</f>
        <v>0</v>
      </c>
    </row>
    <row r="227" spans="1:42" ht="18.75" x14ac:dyDescent="0.25">
      <c r="A227" s="2">
        <v>47709</v>
      </c>
      <c r="B227" s="44"/>
      <c r="C227" s="44"/>
      <c r="D227" s="44"/>
      <c r="E227" s="28"/>
      <c r="F227" s="44"/>
      <c r="G227" s="40"/>
      <c r="H227" s="28"/>
      <c r="I227" s="40"/>
      <c r="J227" s="44"/>
      <c r="K227" s="28">
        <f>TABL12345[[#This Row],[خط (T/B  TOT) SAR]]+TABL12345[[#This Row],[خط (S/S  TOT) SAR2]]</f>
        <v>0</v>
      </c>
      <c r="L227" s="45"/>
      <c r="M227" s="46"/>
      <c r="N227" s="46"/>
      <c r="O227" s="40"/>
      <c r="P227" s="3">
        <f>TABL12345[[#This Row],[خط (S/S  TOT) SAR2]]-TABL12345[[#This Row],[(S/S TOT) AJD]]</f>
        <v>0</v>
      </c>
      <c r="Q227" s="40"/>
      <c r="R227" s="3">
        <f>TABL12345[[#This Row],[خط (T/B  TOT) SAR]]-TABL12345[[#This Row],[(T/B TOT) AJD]]</f>
        <v>0</v>
      </c>
      <c r="S227" s="3">
        <f>TABL12345[[#This Row],[الفرق بين بداية ونهاية خط  S/S]]+TABL12345[[#This Row],[الفرق بين بداية ونهاية خط  T/B]]</f>
        <v>0</v>
      </c>
      <c r="T227" s="3">
        <f t="shared" si="12"/>
        <v>0</v>
      </c>
      <c r="U227" s="44"/>
      <c r="V227" s="44"/>
      <c r="W227" s="3">
        <f t="shared" si="13"/>
        <v>0</v>
      </c>
      <c r="X227" s="3">
        <f t="shared" si="14"/>
        <v>0</v>
      </c>
      <c r="Y227" s="44"/>
      <c r="Z227" s="45"/>
      <c r="AA227" s="3">
        <f>TABL12345[[#This Row],[(RESV. STORGE) AJD]]/10</f>
        <v>0</v>
      </c>
      <c r="AB227" s="45">
        <f t="shared" si="15"/>
        <v>0</v>
      </c>
      <c r="AC227" s="5"/>
      <c r="AD227" s="40">
        <f>(TABL12345[[#This Row],[( S/S+T/B) AJD]]*1000)-((TABL12345[[#This Row],[(STORGE DIFF.) AJD]]*1000)+TABL12345[[#This Row],[البخر  AJD]]+(TABL12345[[#This Row],[(A/B + A/S) AJD]]*1000))</f>
        <v>0</v>
      </c>
      <c r="AE227" s="44"/>
      <c r="AF227" s="45"/>
      <c r="AG227" s="45"/>
      <c r="AH227" s="6">
        <f>TABL12345[[#This Row],[ (RESV. STORGE) BER]]/10</f>
        <v>0</v>
      </c>
      <c r="AI227" s="44"/>
      <c r="AJ227" s="44">
        <f>TABL12345[[#This Row],[(A/B TOT) AJD]]-TABL12345[[#This Row],[BER_ IN]]</f>
        <v>0</v>
      </c>
      <c r="AK227" s="45"/>
      <c r="AL227" s="45"/>
      <c r="AM227" s="32"/>
      <c r="AN227" s="32">
        <f>TABL12345[[#This Row],[ (RESV. STORGE) SER]]/10</f>
        <v>0</v>
      </c>
      <c r="AO227" s="68"/>
      <c r="AP227" s="68">
        <f>TABL12345[[#This Row],[(A/S TOT) AJD]]-TABL12345[[#This Row],[SER_ IN]]</f>
        <v>0</v>
      </c>
    </row>
    <row r="228" spans="1:42" ht="18.75" x14ac:dyDescent="0.25">
      <c r="A228" s="2">
        <v>47710</v>
      </c>
      <c r="B228" s="41"/>
      <c r="C228" s="41"/>
      <c r="D228" s="41"/>
      <c r="E228" s="28"/>
      <c r="F228" s="41"/>
      <c r="G228" s="39"/>
      <c r="H228" s="28"/>
      <c r="I228" s="39"/>
      <c r="J228" s="39"/>
      <c r="K228" s="28">
        <f>TABL12345[[#This Row],[خط (T/B  TOT) SAR]]+TABL12345[[#This Row],[خط (S/S  TOT) SAR2]]</f>
        <v>0</v>
      </c>
      <c r="L228" s="41"/>
      <c r="M228" s="42"/>
      <c r="N228" s="42"/>
      <c r="O228" s="39"/>
      <c r="P228" s="3">
        <f>TABL12345[[#This Row],[خط (S/S  TOT) SAR2]]-TABL12345[[#This Row],[(S/S TOT) AJD]]</f>
        <v>0</v>
      </c>
      <c r="Q228" s="39"/>
      <c r="R228" s="3">
        <f>TABL12345[[#This Row],[خط (T/B  TOT) SAR]]-TABL12345[[#This Row],[(T/B TOT) AJD]]</f>
        <v>0</v>
      </c>
      <c r="S228" s="3">
        <f>TABL12345[[#This Row],[الفرق بين بداية ونهاية خط  S/S]]+TABL12345[[#This Row],[الفرق بين بداية ونهاية خط  T/B]]</f>
        <v>0</v>
      </c>
      <c r="T228" s="3">
        <f t="shared" si="12"/>
        <v>0</v>
      </c>
      <c r="U228" s="41"/>
      <c r="V228" s="41"/>
      <c r="W228" s="3">
        <f t="shared" si="13"/>
        <v>0</v>
      </c>
      <c r="X228" s="3">
        <f t="shared" si="14"/>
        <v>0</v>
      </c>
      <c r="Y228" s="41"/>
      <c r="Z228" s="43"/>
      <c r="AA228" s="3">
        <f>TABL12345[[#This Row],[(RESV. STORGE) AJD]]/10</f>
        <v>0</v>
      </c>
      <c r="AB228" s="43">
        <f t="shared" si="15"/>
        <v>0</v>
      </c>
      <c r="AC228" s="5"/>
      <c r="AD228" s="39">
        <f>(TABL12345[[#This Row],[( S/S+T/B) AJD]]*1000)-((TABL12345[[#This Row],[(STORGE DIFF.) AJD]]*1000)+TABL12345[[#This Row],[البخر  AJD]]+(TABL12345[[#This Row],[(A/B + A/S) AJD]]*1000))</f>
        <v>0</v>
      </c>
      <c r="AE228" s="41"/>
      <c r="AF228" s="43"/>
      <c r="AG228" s="43"/>
      <c r="AH228" s="6">
        <f>TABL12345[[#This Row],[ (RESV. STORGE) BER]]/10</f>
        <v>0</v>
      </c>
      <c r="AI228" s="41"/>
      <c r="AJ228" s="41">
        <f>TABL12345[[#This Row],[(A/B TOT) AJD]]-TABL12345[[#This Row],[BER_ IN]]</f>
        <v>0</v>
      </c>
      <c r="AK228" s="43"/>
      <c r="AL228" s="43"/>
      <c r="AM228" s="32"/>
      <c r="AN228" s="32">
        <f>TABL12345[[#This Row],[ (RESV. STORGE) SER]]/10</f>
        <v>0</v>
      </c>
      <c r="AO228" s="68"/>
      <c r="AP228" s="68">
        <f>TABL12345[[#This Row],[(A/S TOT) AJD]]-TABL12345[[#This Row],[SER_ IN]]</f>
        <v>0</v>
      </c>
    </row>
    <row r="229" spans="1:42" ht="18.75" x14ac:dyDescent="0.25">
      <c r="A229" s="2">
        <v>47711</v>
      </c>
      <c r="B229" s="44"/>
      <c r="C229" s="44"/>
      <c r="D229" s="44"/>
      <c r="E229" s="28"/>
      <c r="F229" s="44"/>
      <c r="G229" s="40"/>
      <c r="H229" s="28"/>
      <c r="I229" s="40"/>
      <c r="J229" s="44"/>
      <c r="K229" s="28">
        <f>TABL12345[[#This Row],[خط (T/B  TOT) SAR]]+TABL12345[[#This Row],[خط (S/S  TOT) SAR2]]</f>
        <v>0</v>
      </c>
      <c r="L229" s="45"/>
      <c r="M229" s="46"/>
      <c r="N229" s="46"/>
      <c r="O229" s="40"/>
      <c r="P229" s="3">
        <f>TABL12345[[#This Row],[خط (S/S  TOT) SAR2]]-TABL12345[[#This Row],[(S/S TOT) AJD]]</f>
        <v>0</v>
      </c>
      <c r="Q229" s="40"/>
      <c r="R229" s="3">
        <f>TABL12345[[#This Row],[خط (T/B  TOT) SAR]]-TABL12345[[#This Row],[(T/B TOT) AJD]]</f>
        <v>0</v>
      </c>
      <c r="S229" s="3">
        <f>TABL12345[[#This Row],[الفرق بين بداية ونهاية خط  S/S]]+TABL12345[[#This Row],[الفرق بين بداية ونهاية خط  T/B]]</f>
        <v>0</v>
      </c>
      <c r="T229" s="3">
        <f t="shared" si="12"/>
        <v>0</v>
      </c>
      <c r="U229" s="44"/>
      <c r="V229" s="44"/>
      <c r="W229" s="3">
        <f t="shared" si="13"/>
        <v>0</v>
      </c>
      <c r="X229" s="3">
        <f t="shared" si="14"/>
        <v>0</v>
      </c>
      <c r="Y229" s="44"/>
      <c r="Z229" s="45"/>
      <c r="AA229" s="3">
        <f>TABL12345[[#This Row],[(RESV. STORGE) AJD]]/10</f>
        <v>0</v>
      </c>
      <c r="AB229" s="45">
        <f t="shared" si="15"/>
        <v>0</v>
      </c>
      <c r="AC229" s="5"/>
      <c r="AD229" s="40">
        <f>(TABL12345[[#This Row],[( S/S+T/B) AJD]]*1000)-((TABL12345[[#This Row],[(STORGE DIFF.) AJD]]*1000)+TABL12345[[#This Row],[البخر  AJD]]+(TABL12345[[#This Row],[(A/B + A/S) AJD]]*1000))</f>
        <v>0</v>
      </c>
      <c r="AE229" s="44"/>
      <c r="AF229" s="45"/>
      <c r="AG229" s="45"/>
      <c r="AH229" s="6">
        <f>TABL12345[[#This Row],[ (RESV. STORGE) BER]]/10</f>
        <v>0</v>
      </c>
      <c r="AI229" s="44"/>
      <c r="AJ229" s="44">
        <f>TABL12345[[#This Row],[(A/B TOT) AJD]]-TABL12345[[#This Row],[BER_ IN]]</f>
        <v>0</v>
      </c>
      <c r="AK229" s="45"/>
      <c r="AL229" s="45"/>
      <c r="AM229" s="32"/>
      <c r="AN229" s="32">
        <f>TABL12345[[#This Row],[ (RESV. STORGE) SER]]/10</f>
        <v>0</v>
      </c>
      <c r="AO229" s="68"/>
      <c r="AP229" s="68">
        <f>TABL12345[[#This Row],[(A/S TOT) AJD]]-TABL12345[[#This Row],[SER_ IN]]</f>
        <v>0</v>
      </c>
    </row>
    <row r="230" spans="1:42" ht="18.75" x14ac:dyDescent="0.25">
      <c r="A230" s="2">
        <v>47712</v>
      </c>
      <c r="B230" s="41"/>
      <c r="C230" s="41"/>
      <c r="D230" s="41"/>
      <c r="E230" s="28"/>
      <c r="F230" s="41"/>
      <c r="G230" s="39"/>
      <c r="H230" s="28"/>
      <c r="I230" s="39"/>
      <c r="J230" s="39"/>
      <c r="K230" s="28">
        <f>TABL12345[[#This Row],[خط (T/B  TOT) SAR]]+TABL12345[[#This Row],[خط (S/S  TOT) SAR2]]</f>
        <v>0</v>
      </c>
      <c r="L230" s="41"/>
      <c r="M230" s="42"/>
      <c r="N230" s="42"/>
      <c r="O230" s="39"/>
      <c r="P230" s="3">
        <f>TABL12345[[#This Row],[خط (S/S  TOT) SAR2]]-TABL12345[[#This Row],[(S/S TOT) AJD]]</f>
        <v>0</v>
      </c>
      <c r="Q230" s="39"/>
      <c r="R230" s="3">
        <f>TABL12345[[#This Row],[خط (T/B  TOT) SAR]]-TABL12345[[#This Row],[(T/B TOT) AJD]]</f>
        <v>0</v>
      </c>
      <c r="S230" s="3">
        <f>TABL12345[[#This Row],[الفرق بين بداية ونهاية خط  S/S]]+TABL12345[[#This Row],[الفرق بين بداية ونهاية خط  T/B]]</f>
        <v>0</v>
      </c>
      <c r="T230" s="3">
        <f t="shared" si="12"/>
        <v>0</v>
      </c>
      <c r="U230" s="41"/>
      <c r="V230" s="41"/>
      <c r="W230" s="3">
        <f t="shared" si="13"/>
        <v>0</v>
      </c>
      <c r="X230" s="3">
        <f t="shared" si="14"/>
        <v>0</v>
      </c>
      <c r="Y230" s="41"/>
      <c r="Z230" s="43"/>
      <c r="AA230" s="3">
        <f>TABL12345[[#This Row],[(RESV. STORGE) AJD]]/10</f>
        <v>0</v>
      </c>
      <c r="AB230" s="43">
        <f t="shared" si="15"/>
        <v>0</v>
      </c>
      <c r="AC230" s="5"/>
      <c r="AD230" s="39">
        <f>(TABL12345[[#This Row],[( S/S+T/B) AJD]]*1000)-((TABL12345[[#This Row],[(STORGE DIFF.) AJD]]*1000)+TABL12345[[#This Row],[البخر  AJD]]+(TABL12345[[#This Row],[(A/B + A/S) AJD]]*1000))</f>
        <v>0</v>
      </c>
      <c r="AE230" s="41"/>
      <c r="AF230" s="43"/>
      <c r="AG230" s="43"/>
      <c r="AH230" s="6">
        <f>TABL12345[[#This Row],[ (RESV. STORGE) BER]]/10</f>
        <v>0</v>
      </c>
      <c r="AI230" s="41"/>
      <c r="AJ230" s="41">
        <f>TABL12345[[#This Row],[(A/B TOT) AJD]]-TABL12345[[#This Row],[BER_ IN]]</f>
        <v>0</v>
      </c>
      <c r="AK230" s="43"/>
      <c r="AL230" s="43"/>
      <c r="AM230" s="32"/>
      <c r="AN230" s="32">
        <f>TABL12345[[#This Row],[ (RESV. STORGE) SER]]/10</f>
        <v>0</v>
      </c>
      <c r="AO230" s="68"/>
      <c r="AP230" s="68">
        <f>TABL12345[[#This Row],[(A/S TOT) AJD]]-TABL12345[[#This Row],[SER_ IN]]</f>
        <v>0</v>
      </c>
    </row>
    <row r="231" spans="1:42" ht="18.75" x14ac:dyDescent="0.25">
      <c r="A231" s="2">
        <v>47713</v>
      </c>
      <c r="B231" s="44"/>
      <c r="C231" s="44"/>
      <c r="D231" s="44"/>
      <c r="E231" s="28"/>
      <c r="F231" s="44"/>
      <c r="G231" s="40"/>
      <c r="H231" s="28"/>
      <c r="I231" s="40"/>
      <c r="J231" s="44"/>
      <c r="K231" s="28">
        <f>TABL12345[[#This Row],[خط (T/B  TOT) SAR]]+TABL12345[[#This Row],[خط (S/S  TOT) SAR2]]</f>
        <v>0</v>
      </c>
      <c r="L231" s="45"/>
      <c r="M231" s="46"/>
      <c r="N231" s="46"/>
      <c r="O231" s="40"/>
      <c r="P231" s="3">
        <f>TABL12345[[#This Row],[خط (S/S  TOT) SAR2]]-TABL12345[[#This Row],[(S/S TOT) AJD]]</f>
        <v>0</v>
      </c>
      <c r="Q231" s="40"/>
      <c r="R231" s="3">
        <f>TABL12345[[#This Row],[خط (T/B  TOT) SAR]]-TABL12345[[#This Row],[(T/B TOT) AJD]]</f>
        <v>0</v>
      </c>
      <c r="S231" s="3">
        <f>TABL12345[[#This Row],[الفرق بين بداية ونهاية خط  S/S]]+TABL12345[[#This Row],[الفرق بين بداية ونهاية خط  T/B]]</f>
        <v>0</v>
      </c>
      <c r="T231" s="3">
        <f t="shared" si="12"/>
        <v>0</v>
      </c>
      <c r="U231" s="44"/>
      <c r="V231" s="44"/>
      <c r="W231" s="3">
        <f t="shared" si="13"/>
        <v>0</v>
      </c>
      <c r="X231" s="3">
        <f t="shared" si="14"/>
        <v>0</v>
      </c>
      <c r="Y231" s="44"/>
      <c r="Z231" s="45"/>
      <c r="AA231" s="3">
        <f>TABL12345[[#This Row],[(RESV. STORGE) AJD]]/10</f>
        <v>0</v>
      </c>
      <c r="AB231" s="45">
        <f t="shared" si="15"/>
        <v>0</v>
      </c>
      <c r="AC231" s="5"/>
      <c r="AD231" s="40">
        <f>(TABL12345[[#This Row],[( S/S+T/B) AJD]]*1000)-((TABL12345[[#This Row],[(STORGE DIFF.) AJD]]*1000)+TABL12345[[#This Row],[البخر  AJD]]+(TABL12345[[#This Row],[(A/B + A/S) AJD]]*1000))</f>
        <v>0</v>
      </c>
      <c r="AE231" s="44"/>
      <c r="AF231" s="45"/>
      <c r="AG231" s="45"/>
      <c r="AH231" s="6">
        <f>TABL12345[[#This Row],[ (RESV. STORGE) BER]]/10</f>
        <v>0</v>
      </c>
      <c r="AI231" s="44"/>
      <c r="AJ231" s="44">
        <f>TABL12345[[#This Row],[(A/B TOT) AJD]]-TABL12345[[#This Row],[BER_ IN]]</f>
        <v>0</v>
      </c>
      <c r="AK231" s="45"/>
      <c r="AL231" s="45"/>
      <c r="AM231" s="32"/>
      <c r="AN231" s="32">
        <f>TABL12345[[#This Row],[ (RESV. STORGE) SER]]/10</f>
        <v>0</v>
      </c>
      <c r="AO231" s="68"/>
      <c r="AP231" s="68">
        <f>TABL12345[[#This Row],[(A/S TOT) AJD]]-TABL12345[[#This Row],[SER_ IN]]</f>
        <v>0</v>
      </c>
    </row>
    <row r="232" spans="1:42" ht="18.75" x14ac:dyDescent="0.25">
      <c r="A232" s="2">
        <v>47714</v>
      </c>
      <c r="B232" s="41"/>
      <c r="C232" s="41"/>
      <c r="D232" s="41"/>
      <c r="E232" s="28"/>
      <c r="F232" s="41"/>
      <c r="G232" s="39"/>
      <c r="H232" s="28"/>
      <c r="I232" s="72"/>
      <c r="J232" s="39"/>
      <c r="K232" s="28">
        <f>TABL12345[[#This Row],[خط (T/B  TOT) SAR]]+TABL12345[[#This Row],[خط (S/S  TOT) SAR2]]</f>
        <v>0</v>
      </c>
      <c r="L232" s="41"/>
      <c r="M232" s="42"/>
      <c r="N232" s="42"/>
      <c r="O232" s="39"/>
      <c r="P232" s="3">
        <f>TABL12345[[#This Row],[خط (S/S  TOT) SAR2]]-TABL12345[[#This Row],[(S/S TOT) AJD]]</f>
        <v>0</v>
      </c>
      <c r="Q232" s="39"/>
      <c r="R232" s="3">
        <f>TABL12345[[#This Row],[خط (T/B  TOT) SAR]]-TABL12345[[#This Row],[(T/B TOT) AJD]]</f>
        <v>0</v>
      </c>
      <c r="S232" s="3">
        <f>TABL12345[[#This Row],[الفرق بين بداية ونهاية خط  S/S]]+TABL12345[[#This Row],[الفرق بين بداية ونهاية خط  T/B]]</f>
        <v>0</v>
      </c>
      <c r="T232" s="3">
        <f t="shared" si="12"/>
        <v>0</v>
      </c>
      <c r="U232" s="41"/>
      <c r="V232" s="41"/>
      <c r="W232" s="3">
        <f t="shared" si="13"/>
        <v>0</v>
      </c>
      <c r="X232" s="3">
        <f t="shared" si="14"/>
        <v>0</v>
      </c>
      <c r="Y232" s="41"/>
      <c r="Z232" s="43"/>
      <c r="AA232" s="3">
        <f>TABL12345[[#This Row],[(RESV. STORGE) AJD]]/10</f>
        <v>0</v>
      </c>
      <c r="AB232" s="43">
        <f t="shared" si="15"/>
        <v>0</v>
      </c>
      <c r="AC232" s="5"/>
      <c r="AD232" s="39">
        <f>(TABL12345[[#This Row],[( S/S+T/B) AJD]]*1000)-((TABL12345[[#This Row],[(STORGE DIFF.) AJD]]*1000)+TABL12345[[#This Row],[البخر  AJD]]+(TABL12345[[#This Row],[(A/B + A/S) AJD]]*1000))</f>
        <v>0</v>
      </c>
      <c r="AE232" s="41"/>
      <c r="AF232" s="43"/>
      <c r="AG232" s="43"/>
      <c r="AH232" s="6">
        <f>TABL12345[[#This Row],[ (RESV. STORGE) BER]]/10</f>
        <v>0</v>
      </c>
      <c r="AI232" s="41"/>
      <c r="AJ232" s="41">
        <f>TABL12345[[#This Row],[(A/B TOT) AJD]]-TABL12345[[#This Row],[BER_ IN]]</f>
        <v>0</v>
      </c>
      <c r="AK232" s="43"/>
      <c r="AL232" s="43"/>
      <c r="AM232" s="32"/>
      <c r="AN232" s="32">
        <f>TABL12345[[#This Row],[ (RESV. STORGE) SER]]/10</f>
        <v>0</v>
      </c>
      <c r="AO232" s="68"/>
      <c r="AP232" s="68">
        <f>TABL12345[[#This Row],[(A/S TOT) AJD]]-TABL12345[[#This Row],[SER_ IN]]</f>
        <v>0</v>
      </c>
    </row>
    <row r="233" spans="1:42" ht="18.75" x14ac:dyDescent="0.25">
      <c r="A233" s="2">
        <v>47715</v>
      </c>
      <c r="B233" s="44"/>
      <c r="C233" s="44"/>
      <c r="D233" s="44"/>
      <c r="E233" s="28"/>
      <c r="F233" s="44"/>
      <c r="G233" s="40"/>
      <c r="H233" s="28"/>
      <c r="I233" s="40"/>
      <c r="J233" s="44"/>
      <c r="K233" s="28">
        <f>TABL12345[[#This Row],[خط (T/B  TOT) SAR]]+TABL12345[[#This Row],[خط (S/S  TOT) SAR2]]</f>
        <v>0</v>
      </c>
      <c r="L233" s="45"/>
      <c r="M233" s="46"/>
      <c r="N233" s="46"/>
      <c r="O233" s="40"/>
      <c r="P233" s="3">
        <f>TABL12345[[#This Row],[خط (S/S  TOT) SAR2]]-TABL12345[[#This Row],[(S/S TOT) AJD]]</f>
        <v>0</v>
      </c>
      <c r="Q233" s="40"/>
      <c r="R233" s="3">
        <f>TABL12345[[#This Row],[خط (T/B  TOT) SAR]]-TABL12345[[#This Row],[(T/B TOT) AJD]]</f>
        <v>0</v>
      </c>
      <c r="S233" s="3">
        <f>TABL12345[[#This Row],[الفرق بين بداية ونهاية خط  S/S]]+TABL12345[[#This Row],[الفرق بين بداية ونهاية خط  T/B]]</f>
        <v>0</v>
      </c>
      <c r="T233" s="3">
        <f t="shared" si="12"/>
        <v>0</v>
      </c>
      <c r="U233" s="44"/>
      <c r="V233" s="44"/>
      <c r="W233" s="3">
        <f t="shared" si="13"/>
        <v>0</v>
      </c>
      <c r="X233" s="3">
        <f t="shared" si="14"/>
        <v>0</v>
      </c>
      <c r="Y233" s="44"/>
      <c r="Z233" s="45"/>
      <c r="AA233" s="3">
        <f>TABL12345[[#This Row],[(RESV. STORGE) AJD]]/10</f>
        <v>0</v>
      </c>
      <c r="AB233" s="45">
        <f t="shared" si="15"/>
        <v>0</v>
      </c>
      <c r="AC233" s="5"/>
      <c r="AD233" s="40">
        <f>(TABL12345[[#This Row],[( S/S+T/B) AJD]]*1000)-((TABL12345[[#This Row],[(STORGE DIFF.) AJD]]*1000)+TABL12345[[#This Row],[البخر  AJD]]+(TABL12345[[#This Row],[(A/B + A/S) AJD]]*1000))</f>
        <v>0</v>
      </c>
      <c r="AE233" s="44"/>
      <c r="AF233" s="45"/>
      <c r="AG233" s="45"/>
      <c r="AH233" s="6">
        <f>TABL12345[[#This Row],[ (RESV. STORGE) BER]]/10</f>
        <v>0</v>
      </c>
      <c r="AI233" s="44"/>
      <c r="AJ233" s="44">
        <f>TABL12345[[#This Row],[(A/B TOT) AJD]]-TABL12345[[#This Row],[BER_ IN]]</f>
        <v>0</v>
      </c>
      <c r="AK233" s="45"/>
      <c r="AL233" s="45"/>
      <c r="AM233" s="32"/>
      <c r="AN233" s="32">
        <f>TABL12345[[#This Row],[ (RESV. STORGE) SER]]/10</f>
        <v>0</v>
      </c>
      <c r="AO233" s="68"/>
      <c r="AP233" s="68">
        <f>TABL12345[[#This Row],[(A/S TOT) AJD]]-TABL12345[[#This Row],[SER_ IN]]</f>
        <v>0</v>
      </c>
    </row>
    <row r="234" spans="1:42" ht="18.75" x14ac:dyDescent="0.25">
      <c r="A234" s="2">
        <v>47716</v>
      </c>
      <c r="B234" s="41"/>
      <c r="C234" s="41"/>
      <c r="D234" s="41"/>
      <c r="E234" s="28"/>
      <c r="F234" s="41"/>
      <c r="G234" s="39"/>
      <c r="H234" s="28"/>
      <c r="I234" s="39"/>
      <c r="J234" s="39"/>
      <c r="K234" s="28">
        <f>TABL12345[[#This Row],[خط (T/B  TOT) SAR]]+TABL12345[[#This Row],[خط (S/S  TOT) SAR2]]</f>
        <v>0</v>
      </c>
      <c r="L234" s="41"/>
      <c r="M234" s="42"/>
      <c r="N234" s="42"/>
      <c r="O234" s="39"/>
      <c r="P234" s="3">
        <f>TABL12345[[#This Row],[خط (S/S  TOT) SAR2]]-TABL12345[[#This Row],[(S/S TOT) AJD]]</f>
        <v>0</v>
      </c>
      <c r="Q234" s="39"/>
      <c r="R234" s="3">
        <f>TABL12345[[#This Row],[خط (T/B  TOT) SAR]]-TABL12345[[#This Row],[(T/B TOT) AJD]]</f>
        <v>0</v>
      </c>
      <c r="S234" s="3">
        <f>TABL12345[[#This Row],[الفرق بين بداية ونهاية خط  S/S]]+TABL12345[[#This Row],[الفرق بين بداية ونهاية خط  T/B]]</f>
        <v>0</v>
      </c>
      <c r="T234" s="3">
        <f t="shared" si="12"/>
        <v>0</v>
      </c>
      <c r="U234" s="41"/>
      <c r="V234" s="41"/>
      <c r="W234" s="3">
        <f t="shared" si="13"/>
        <v>0</v>
      </c>
      <c r="X234" s="3">
        <f t="shared" si="14"/>
        <v>0</v>
      </c>
      <c r="Y234" s="41"/>
      <c r="Z234" s="43"/>
      <c r="AA234" s="3">
        <f>TABL12345[[#This Row],[(RESV. STORGE) AJD]]/10</f>
        <v>0</v>
      </c>
      <c r="AB234" s="43">
        <f t="shared" si="15"/>
        <v>0</v>
      </c>
      <c r="AC234" s="5"/>
      <c r="AD234" s="39">
        <f>(TABL12345[[#This Row],[( S/S+T/B) AJD]]*1000)-((TABL12345[[#This Row],[(STORGE DIFF.) AJD]]*1000)+TABL12345[[#This Row],[البخر  AJD]]+(TABL12345[[#This Row],[(A/B + A/S) AJD]]*1000))</f>
        <v>0</v>
      </c>
      <c r="AE234" s="41"/>
      <c r="AF234" s="43"/>
      <c r="AG234" s="43"/>
      <c r="AH234" s="6">
        <f>TABL12345[[#This Row],[ (RESV. STORGE) BER]]/10</f>
        <v>0</v>
      </c>
      <c r="AI234" s="41"/>
      <c r="AJ234" s="41">
        <f>TABL12345[[#This Row],[(A/B TOT) AJD]]-TABL12345[[#This Row],[BER_ IN]]</f>
        <v>0</v>
      </c>
      <c r="AK234" s="43"/>
      <c r="AL234" s="43"/>
      <c r="AM234" s="32"/>
      <c r="AN234" s="32">
        <f>TABL12345[[#This Row],[ (RESV. STORGE) SER]]/10</f>
        <v>0</v>
      </c>
      <c r="AO234" s="68"/>
      <c r="AP234" s="68">
        <f>TABL12345[[#This Row],[(A/S TOT) AJD]]-TABL12345[[#This Row],[SER_ IN]]</f>
        <v>0</v>
      </c>
    </row>
    <row r="235" spans="1:42" ht="18.75" x14ac:dyDescent="0.25">
      <c r="A235" s="2">
        <v>47717</v>
      </c>
      <c r="B235" s="44"/>
      <c r="C235" s="44"/>
      <c r="D235" s="44"/>
      <c r="E235" s="28"/>
      <c r="F235" s="44"/>
      <c r="G235" s="40"/>
      <c r="H235" s="28"/>
      <c r="I235" s="40"/>
      <c r="J235" s="44"/>
      <c r="K235" s="28">
        <f>TABL12345[[#This Row],[خط (T/B  TOT) SAR]]+TABL12345[[#This Row],[خط (S/S  TOT) SAR2]]</f>
        <v>0</v>
      </c>
      <c r="L235" s="45"/>
      <c r="M235" s="46"/>
      <c r="N235" s="46"/>
      <c r="O235" s="40"/>
      <c r="P235" s="3">
        <f>TABL12345[[#This Row],[خط (S/S  TOT) SAR2]]-TABL12345[[#This Row],[(S/S TOT) AJD]]</f>
        <v>0</v>
      </c>
      <c r="Q235" s="40"/>
      <c r="R235" s="3">
        <f>TABL12345[[#This Row],[خط (T/B  TOT) SAR]]-TABL12345[[#This Row],[(T/B TOT) AJD]]</f>
        <v>0</v>
      </c>
      <c r="S235" s="3">
        <f>TABL12345[[#This Row],[الفرق بين بداية ونهاية خط  S/S]]+TABL12345[[#This Row],[الفرق بين بداية ونهاية خط  T/B]]</f>
        <v>0</v>
      </c>
      <c r="T235" s="3">
        <f t="shared" si="12"/>
        <v>0</v>
      </c>
      <c r="U235" s="44"/>
      <c r="V235" s="44"/>
      <c r="W235" s="3">
        <f t="shared" si="13"/>
        <v>0</v>
      </c>
      <c r="X235" s="3">
        <f t="shared" si="14"/>
        <v>0</v>
      </c>
      <c r="Y235" s="44"/>
      <c r="Z235" s="45"/>
      <c r="AA235" s="3">
        <f>TABL12345[[#This Row],[(RESV. STORGE) AJD]]/10</f>
        <v>0</v>
      </c>
      <c r="AB235" s="45">
        <f t="shared" si="15"/>
        <v>0</v>
      </c>
      <c r="AC235" s="5"/>
      <c r="AD235" s="40">
        <f>(TABL12345[[#This Row],[( S/S+T/B) AJD]]*1000)-((TABL12345[[#This Row],[(STORGE DIFF.) AJD]]*1000)+TABL12345[[#This Row],[البخر  AJD]]+(TABL12345[[#This Row],[(A/B + A/S) AJD]]*1000))</f>
        <v>0</v>
      </c>
      <c r="AE235" s="44"/>
      <c r="AF235" s="45"/>
      <c r="AG235" s="45"/>
      <c r="AH235" s="6">
        <f>TABL12345[[#This Row],[ (RESV. STORGE) BER]]/10</f>
        <v>0</v>
      </c>
      <c r="AI235" s="44"/>
      <c r="AJ235" s="44">
        <f>TABL12345[[#This Row],[(A/B TOT) AJD]]-TABL12345[[#This Row],[BER_ IN]]</f>
        <v>0</v>
      </c>
      <c r="AK235" s="45"/>
      <c r="AL235" s="45"/>
      <c r="AM235" s="32"/>
      <c r="AN235" s="32">
        <f>TABL12345[[#This Row],[ (RESV. STORGE) SER]]/10</f>
        <v>0</v>
      </c>
      <c r="AO235" s="68"/>
      <c r="AP235" s="68">
        <f>TABL12345[[#This Row],[(A/S TOT) AJD]]-TABL12345[[#This Row],[SER_ IN]]</f>
        <v>0</v>
      </c>
    </row>
    <row r="236" spans="1:42" ht="18.75" x14ac:dyDescent="0.25">
      <c r="A236" s="2">
        <v>47718</v>
      </c>
      <c r="B236" s="41"/>
      <c r="C236" s="41"/>
      <c r="D236" s="41"/>
      <c r="E236" s="28"/>
      <c r="F236" s="41"/>
      <c r="G236" s="39"/>
      <c r="H236" s="28"/>
      <c r="I236" s="39"/>
      <c r="J236" s="39"/>
      <c r="K236" s="28">
        <f>TABL12345[[#This Row],[خط (T/B  TOT) SAR]]+TABL12345[[#This Row],[خط (S/S  TOT) SAR2]]</f>
        <v>0</v>
      </c>
      <c r="L236" s="41"/>
      <c r="M236" s="42"/>
      <c r="N236" s="42"/>
      <c r="O236" s="39"/>
      <c r="P236" s="3">
        <f>TABL12345[[#This Row],[خط (S/S  TOT) SAR2]]-TABL12345[[#This Row],[(S/S TOT) AJD]]</f>
        <v>0</v>
      </c>
      <c r="Q236" s="39"/>
      <c r="R236" s="3">
        <f>TABL12345[[#This Row],[خط (T/B  TOT) SAR]]-TABL12345[[#This Row],[(T/B TOT) AJD]]</f>
        <v>0</v>
      </c>
      <c r="S236" s="3">
        <f>TABL12345[[#This Row],[الفرق بين بداية ونهاية خط  S/S]]+TABL12345[[#This Row],[الفرق بين بداية ونهاية خط  T/B]]</f>
        <v>0</v>
      </c>
      <c r="T236" s="3">
        <f t="shared" si="12"/>
        <v>0</v>
      </c>
      <c r="U236" s="41"/>
      <c r="V236" s="41"/>
      <c r="W236" s="3">
        <f t="shared" si="13"/>
        <v>0</v>
      </c>
      <c r="X236" s="3">
        <f t="shared" si="14"/>
        <v>0</v>
      </c>
      <c r="Y236" s="41"/>
      <c r="Z236" s="43"/>
      <c r="AA236" s="3">
        <f>TABL12345[[#This Row],[(RESV. STORGE) AJD]]/10</f>
        <v>0</v>
      </c>
      <c r="AB236" s="43">
        <f t="shared" si="15"/>
        <v>0</v>
      </c>
      <c r="AC236" s="5"/>
      <c r="AD236" s="39">
        <f>(TABL12345[[#This Row],[( S/S+T/B) AJD]]*1000)-((TABL12345[[#This Row],[(STORGE DIFF.) AJD]]*1000)+TABL12345[[#This Row],[البخر  AJD]]+(TABL12345[[#This Row],[(A/B + A/S) AJD]]*1000))</f>
        <v>0</v>
      </c>
      <c r="AE236" s="41"/>
      <c r="AF236" s="43"/>
      <c r="AG236" s="43"/>
      <c r="AH236" s="6">
        <f>TABL12345[[#This Row],[ (RESV. STORGE) BER]]/10</f>
        <v>0</v>
      </c>
      <c r="AI236" s="41"/>
      <c r="AJ236" s="41">
        <f>TABL12345[[#This Row],[(A/B TOT) AJD]]-TABL12345[[#This Row],[BER_ IN]]</f>
        <v>0</v>
      </c>
      <c r="AK236" s="43"/>
      <c r="AL236" s="43"/>
      <c r="AM236" s="32"/>
      <c r="AN236" s="32">
        <f>TABL12345[[#This Row],[ (RESV. STORGE) SER]]/10</f>
        <v>0</v>
      </c>
      <c r="AO236" s="68"/>
      <c r="AP236" s="68">
        <f>TABL12345[[#This Row],[(A/S TOT) AJD]]-TABL12345[[#This Row],[SER_ IN]]</f>
        <v>0</v>
      </c>
    </row>
    <row r="237" spans="1:42" ht="18.75" x14ac:dyDescent="0.25">
      <c r="A237" s="2">
        <v>47719</v>
      </c>
      <c r="B237" s="44"/>
      <c r="C237" s="44"/>
      <c r="D237" s="44"/>
      <c r="E237" s="28"/>
      <c r="F237" s="44"/>
      <c r="G237" s="40"/>
      <c r="H237" s="28"/>
      <c r="I237" s="40"/>
      <c r="J237" s="44"/>
      <c r="K237" s="28">
        <f>TABL12345[[#This Row],[خط (T/B  TOT) SAR]]+TABL12345[[#This Row],[خط (S/S  TOT) SAR2]]</f>
        <v>0</v>
      </c>
      <c r="L237" s="45"/>
      <c r="M237" s="46"/>
      <c r="N237" s="46"/>
      <c r="O237" s="40"/>
      <c r="P237" s="3">
        <f>TABL12345[[#This Row],[خط (S/S  TOT) SAR2]]-TABL12345[[#This Row],[(S/S TOT) AJD]]</f>
        <v>0</v>
      </c>
      <c r="Q237" s="40"/>
      <c r="R237" s="3">
        <f>TABL12345[[#This Row],[خط (T/B  TOT) SAR]]-TABL12345[[#This Row],[(T/B TOT) AJD]]</f>
        <v>0</v>
      </c>
      <c r="S237" s="3">
        <f>TABL12345[[#This Row],[الفرق بين بداية ونهاية خط  S/S]]+TABL12345[[#This Row],[الفرق بين بداية ونهاية خط  T/B]]</f>
        <v>0</v>
      </c>
      <c r="T237" s="3">
        <f t="shared" si="12"/>
        <v>0</v>
      </c>
      <c r="U237" s="44"/>
      <c r="V237" s="44"/>
      <c r="W237" s="3">
        <f t="shared" si="13"/>
        <v>0</v>
      </c>
      <c r="X237" s="3">
        <f t="shared" si="14"/>
        <v>0</v>
      </c>
      <c r="Y237" s="44"/>
      <c r="Z237" s="45"/>
      <c r="AA237" s="3">
        <f>TABL12345[[#This Row],[(RESV. STORGE) AJD]]/10</f>
        <v>0</v>
      </c>
      <c r="AB237" s="45">
        <f t="shared" si="15"/>
        <v>0</v>
      </c>
      <c r="AC237" s="5"/>
      <c r="AD237" s="40">
        <f>(TABL12345[[#This Row],[( S/S+T/B) AJD]]*1000)-((TABL12345[[#This Row],[(STORGE DIFF.) AJD]]*1000)+TABL12345[[#This Row],[البخر  AJD]]+(TABL12345[[#This Row],[(A/B + A/S) AJD]]*1000))</f>
        <v>0</v>
      </c>
      <c r="AE237" s="44"/>
      <c r="AF237" s="45"/>
      <c r="AG237" s="45"/>
      <c r="AH237" s="6">
        <f>TABL12345[[#This Row],[ (RESV. STORGE) BER]]/10</f>
        <v>0</v>
      </c>
      <c r="AI237" s="44"/>
      <c r="AJ237" s="44">
        <f>TABL12345[[#This Row],[(A/B TOT) AJD]]-TABL12345[[#This Row],[BER_ IN]]</f>
        <v>0</v>
      </c>
      <c r="AK237" s="45"/>
      <c r="AL237" s="45"/>
      <c r="AM237" s="32"/>
      <c r="AN237" s="32">
        <f>TABL12345[[#This Row],[ (RESV. STORGE) SER]]/10</f>
        <v>0</v>
      </c>
      <c r="AO237" s="68"/>
      <c r="AP237" s="68">
        <f>TABL12345[[#This Row],[(A/S TOT) AJD]]-TABL12345[[#This Row],[SER_ IN]]</f>
        <v>0</v>
      </c>
    </row>
    <row r="238" spans="1:42" ht="18.75" x14ac:dyDescent="0.25">
      <c r="A238" s="2">
        <v>47720</v>
      </c>
      <c r="B238" s="41"/>
      <c r="C238" s="41"/>
      <c r="D238" s="41"/>
      <c r="E238" s="28"/>
      <c r="F238" s="41"/>
      <c r="G238" s="39"/>
      <c r="H238" s="28"/>
      <c r="I238" s="39"/>
      <c r="J238" s="39"/>
      <c r="K238" s="28">
        <f>TABL12345[[#This Row],[خط (T/B  TOT) SAR]]+TABL12345[[#This Row],[خط (S/S  TOT) SAR2]]</f>
        <v>0</v>
      </c>
      <c r="L238" s="41"/>
      <c r="M238" s="42"/>
      <c r="N238" s="42"/>
      <c r="O238" s="39"/>
      <c r="P238" s="3">
        <f>TABL12345[[#This Row],[خط (S/S  TOT) SAR2]]-TABL12345[[#This Row],[(S/S TOT) AJD]]</f>
        <v>0</v>
      </c>
      <c r="Q238" s="39"/>
      <c r="R238" s="3">
        <f>TABL12345[[#This Row],[خط (T/B  TOT) SAR]]-TABL12345[[#This Row],[(T/B TOT) AJD]]</f>
        <v>0</v>
      </c>
      <c r="S238" s="3">
        <f>TABL12345[[#This Row],[الفرق بين بداية ونهاية خط  S/S]]+TABL12345[[#This Row],[الفرق بين بداية ونهاية خط  T/B]]</f>
        <v>0</v>
      </c>
      <c r="T238" s="3">
        <f t="shared" si="12"/>
        <v>0</v>
      </c>
      <c r="U238" s="41"/>
      <c r="V238" s="41"/>
      <c r="W238" s="3">
        <f t="shared" si="13"/>
        <v>0</v>
      </c>
      <c r="X238" s="3">
        <f t="shared" si="14"/>
        <v>0</v>
      </c>
      <c r="Y238" s="41"/>
      <c r="Z238" s="43"/>
      <c r="AA238" s="3">
        <f>TABL12345[[#This Row],[(RESV. STORGE) AJD]]/10</f>
        <v>0</v>
      </c>
      <c r="AB238" s="43">
        <f t="shared" si="15"/>
        <v>0</v>
      </c>
      <c r="AC238" s="5"/>
      <c r="AD238" s="39">
        <f>(TABL12345[[#This Row],[( S/S+T/B) AJD]]*1000)-((TABL12345[[#This Row],[(STORGE DIFF.) AJD]]*1000)+TABL12345[[#This Row],[البخر  AJD]]+(TABL12345[[#This Row],[(A/B + A/S) AJD]]*1000))</f>
        <v>0</v>
      </c>
      <c r="AE238" s="41"/>
      <c r="AF238" s="43"/>
      <c r="AG238" s="43"/>
      <c r="AH238" s="6">
        <f>TABL12345[[#This Row],[ (RESV. STORGE) BER]]/10</f>
        <v>0</v>
      </c>
      <c r="AI238" s="41"/>
      <c r="AJ238" s="41">
        <f>TABL12345[[#This Row],[(A/B TOT) AJD]]-TABL12345[[#This Row],[BER_ IN]]</f>
        <v>0</v>
      </c>
      <c r="AK238" s="43"/>
      <c r="AL238" s="43"/>
      <c r="AM238" s="32"/>
      <c r="AN238" s="32">
        <f>TABL12345[[#This Row],[ (RESV. STORGE) SER]]/10</f>
        <v>0</v>
      </c>
      <c r="AO238" s="68"/>
      <c r="AP238" s="68">
        <f>TABL12345[[#This Row],[(A/S TOT) AJD]]-TABL12345[[#This Row],[SER_ IN]]</f>
        <v>0</v>
      </c>
    </row>
    <row r="239" spans="1:42" ht="18.75" x14ac:dyDescent="0.25">
      <c r="A239" s="2">
        <v>47721</v>
      </c>
      <c r="B239" s="44"/>
      <c r="C239" s="44"/>
      <c r="D239" s="44"/>
      <c r="E239" s="28"/>
      <c r="F239" s="44"/>
      <c r="G239" s="40"/>
      <c r="H239" s="28"/>
      <c r="I239" s="40"/>
      <c r="J239" s="44"/>
      <c r="K239" s="28">
        <f>TABL12345[[#This Row],[خط (T/B  TOT) SAR]]+TABL12345[[#This Row],[خط (S/S  TOT) SAR2]]</f>
        <v>0</v>
      </c>
      <c r="L239" s="45"/>
      <c r="M239" s="46"/>
      <c r="N239" s="46"/>
      <c r="O239" s="40"/>
      <c r="P239" s="3">
        <f>TABL12345[[#This Row],[خط (S/S  TOT) SAR2]]-TABL12345[[#This Row],[(S/S TOT) AJD]]</f>
        <v>0</v>
      </c>
      <c r="Q239" s="40"/>
      <c r="R239" s="3">
        <f>TABL12345[[#This Row],[خط (T/B  TOT) SAR]]-TABL12345[[#This Row],[(T/B TOT) AJD]]</f>
        <v>0</v>
      </c>
      <c r="S239" s="3">
        <f>TABL12345[[#This Row],[الفرق بين بداية ونهاية خط  S/S]]+TABL12345[[#This Row],[الفرق بين بداية ونهاية خط  T/B]]</f>
        <v>0</v>
      </c>
      <c r="T239" s="3">
        <f t="shared" si="12"/>
        <v>0</v>
      </c>
      <c r="U239" s="44"/>
      <c r="V239" s="44"/>
      <c r="W239" s="3">
        <f t="shared" si="13"/>
        <v>0</v>
      </c>
      <c r="X239" s="3">
        <f t="shared" si="14"/>
        <v>0</v>
      </c>
      <c r="Y239" s="44"/>
      <c r="Z239" s="45"/>
      <c r="AA239" s="3">
        <f>TABL12345[[#This Row],[(RESV. STORGE) AJD]]/10</f>
        <v>0</v>
      </c>
      <c r="AB239" s="45">
        <f t="shared" si="15"/>
        <v>0</v>
      </c>
      <c r="AC239" s="5"/>
      <c r="AD239" s="40">
        <f>(TABL12345[[#This Row],[( S/S+T/B) AJD]]*1000)-((TABL12345[[#This Row],[(STORGE DIFF.) AJD]]*1000)+TABL12345[[#This Row],[البخر  AJD]]+(TABL12345[[#This Row],[(A/B + A/S) AJD]]*1000))</f>
        <v>0</v>
      </c>
      <c r="AE239" s="44"/>
      <c r="AF239" s="45"/>
      <c r="AG239" s="45"/>
      <c r="AH239" s="6">
        <f>TABL12345[[#This Row],[ (RESV. STORGE) BER]]/10</f>
        <v>0</v>
      </c>
      <c r="AI239" s="44"/>
      <c r="AJ239" s="44">
        <f>TABL12345[[#This Row],[(A/B TOT) AJD]]-TABL12345[[#This Row],[BER_ IN]]</f>
        <v>0</v>
      </c>
      <c r="AK239" s="45"/>
      <c r="AL239" s="45"/>
      <c r="AM239" s="32"/>
      <c r="AN239" s="32">
        <f>TABL12345[[#This Row],[ (RESV. STORGE) SER]]/10</f>
        <v>0</v>
      </c>
      <c r="AO239" s="68"/>
      <c r="AP239" s="68">
        <f>TABL12345[[#This Row],[(A/S TOT) AJD]]-TABL12345[[#This Row],[SER_ IN]]</f>
        <v>0</v>
      </c>
    </row>
    <row r="240" spans="1:42" ht="18.75" x14ac:dyDescent="0.25">
      <c r="A240" s="2">
        <v>47722</v>
      </c>
      <c r="B240" s="41"/>
      <c r="C240" s="41"/>
      <c r="D240" s="41"/>
      <c r="E240" s="28"/>
      <c r="F240" s="41"/>
      <c r="G240" s="39"/>
      <c r="H240" s="28"/>
      <c r="I240" s="39"/>
      <c r="J240" s="39"/>
      <c r="K240" s="28">
        <f>TABL12345[[#This Row],[خط (T/B  TOT) SAR]]+TABL12345[[#This Row],[خط (S/S  TOT) SAR2]]</f>
        <v>0</v>
      </c>
      <c r="L240" s="41"/>
      <c r="M240" s="42"/>
      <c r="N240" s="42"/>
      <c r="O240" s="39"/>
      <c r="P240" s="3">
        <f>TABL12345[[#This Row],[خط (S/S  TOT) SAR2]]-TABL12345[[#This Row],[(S/S TOT) AJD]]</f>
        <v>0</v>
      </c>
      <c r="Q240" s="39"/>
      <c r="R240" s="3">
        <f>TABL12345[[#This Row],[خط (T/B  TOT) SAR]]-TABL12345[[#This Row],[(T/B TOT) AJD]]</f>
        <v>0</v>
      </c>
      <c r="S240" s="3">
        <f>TABL12345[[#This Row],[الفرق بين بداية ونهاية خط  S/S]]+TABL12345[[#This Row],[الفرق بين بداية ونهاية خط  T/B]]</f>
        <v>0</v>
      </c>
      <c r="T240" s="3">
        <f t="shared" si="12"/>
        <v>0</v>
      </c>
      <c r="U240" s="41"/>
      <c r="V240" s="41"/>
      <c r="W240" s="3">
        <f t="shared" si="13"/>
        <v>0</v>
      </c>
      <c r="X240" s="3">
        <f t="shared" si="14"/>
        <v>0</v>
      </c>
      <c r="Y240" s="41"/>
      <c r="Z240" s="43"/>
      <c r="AA240" s="3">
        <f>TABL12345[[#This Row],[(RESV. STORGE) AJD]]/10</f>
        <v>0</v>
      </c>
      <c r="AB240" s="43">
        <f t="shared" si="15"/>
        <v>0</v>
      </c>
      <c r="AC240" s="5"/>
      <c r="AD240" s="39">
        <f>(TABL12345[[#This Row],[( S/S+T/B) AJD]]*1000)-((TABL12345[[#This Row],[(STORGE DIFF.) AJD]]*1000)+TABL12345[[#This Row],[البخر  AJD]]+(TABL12345[[#This Row],[(A/B + A/S) AJD]]*1000))</f>
        <v>0</v>
      </c>
      <c r="AE240" s="41"/>
      <c r="AF240" s="43"/>
      <c r="AG240" s="43"/>
      <c r="AH240" s="6">
        <f>TABL12345[[#This Row],[ (RESV. STORGE) BER]]/10</f>
        <v>0</v>
      </c>
      <c r="AI240" s="41"/>
      <c r="AJ240" s="41">
        <f>TABL12345[[#This Row],[(A/B TOT) AJD]]-TABL12345[[#This Row],[BER_ IN]]</f>
        <v>0</v>
      </c>
      <c r="AK240" s="43"/>
      <c r="AL240" s="43"/>
      <c r="AM240" s="32"/>
      <c r="AN240" s="32">
        <f>TABL12345[[#This Row],[ (RESV. STORGE) SER]]/10</f>
        <v>0</v>
      </c>
      <c r="AO240" s="68"/>
      <c r="AP240" s="68">
        <f>TABL12345[[#This Row],[(A/S TOT) AJD]]-TABL12345[[#This Row],[SER_ IN]]</f>
        <v>0</v>
      </c>
    </row>
    <row r="241" spans="1:42" ht="18.75" x14ac:dyDescent="0.25">
      <c r="A241" s="2">
        <v>47723</v>
      </c>
      <c r="B241" s="44"/>
      <c r="C241" s="44"/>
      <c r="D241" s="44"/>
      <c r="E241" s="28"/>
      <c r="F241" s="44"/>
      <c r="G241" s="40"/>
      <c r="H241" s="28"/>
      <c r="I241" s="40"/>
      <c r="J241" s="44"/>
      <c r="K241" s="28">
        <f>TABL12345[[#This Row],[خط (T/B  TOT) SAR]]+TABL12345[[#This Row],[خط (S/S  TOT) SAR2]]</f>
        <v>0</v>
      </c>
      <c r="L241" s="45"/>
      <c r="M241" s="46"/>
      <c r="N241" s="46"/>
      <c r="O241" s="40"/>
      <c r="P241" s="3">
        <f>TABL12345[[#This Row],[خط (S/S  TOT) SAR2]]-TABL12345[[#This Row],[(S/S TOT) AJD]]</f>
        <v>0</v>
      </c>
      <c r="Q241" s="40"/>
      <c r="R241" s="3">
        <f>TABL12345[[#This Row],[خط (T/B  TOT) SAR]]-TABL12345[[#This Row],[(T/B TOT) AJD]]</f>
        <v>0</v>
      </c>
      <c r="S241" s="3">
        <f>TABL12345[[#This Row],[الفرق بين بداية ونهاية خط  S/S]]+TABL12345[[#This Row],[الفرق بين بداية ونهاية خط  T/B]]</f>
        <v>0</v>
      </c>
      <c r="T241" s="3">
        <f t="shared" si="12"/>
        <v>0</v>
      </c>
      <c r="U241" s="44"/>
      <c r="V241" s="44"/>
      <c r="W241" s="3">
        <f t="shared" si="13"/>
        <v>0</v>
      </c>
      <c r="X241" s="3">
        <f t="shared" si="14"/>
        <v>0</v>
      </c>
      <c r="Y241" s="44"/>
      <c r="Z241" s="45"/>
      <c r="AA241" s="3">
        <f>TABL12345[[#This Row],[(RESV. STORGE) AJD]]/10</f>
        <v>0</v>
      </c>
      <c r="AB241" s="45">
        <f t="shared" si="15"/>
        <v>0</v>
      </c>
      <c r="AC241" s="5"/>
      <c r="AD241" s="40">
        <f>(TABL12345[[#This Row],[( S/S+T/B) AJD]]*1000)-((TABL12345[[#This Row],[(STORGE DIFF.) AJD]]*1000)+TABL12345[[#This Row],[البخر  AJD]]+(TABL12345[[#This Row],[(A/B + A/S) AJD]]*1000))</f>
        <v>0</v>
      </c>
      <c r="AE241" s="44"/>
      <c r="AF241" s="45"/>
      <c r="AG241" s="45"/>
      <c r="AH241" s="6">
        <f>TABL12345[[#This Row],[ (RESV. STORGE) BER]]/10</f>
        <v>0</v>
      </c>
      <c r="AI241" s="44"/>
      <c r="AJ241" s="44">
        <f>TABL12345[[#This Row],[(A/B TOT) AJD]]-TABL12345[[#This Row],[BER_ IN]]</f>
        <v>0</v>
      </c>
      <c r="AK241" s="45"/>
      <c r="AL241" s="45"/>
      <c r="AM241" s="32"/>
      <c r="AN241" s="32">
        <f>TABL12345[[#This Row],[ (RESV. STORGE) SER]]/10</f>
        <v>0</v>
      </c>
      <c r="AO241" s="68"/>
      <c r="AP241" s="68">
        <f>TABL12345[[#This Row],[(A/S TOT) AJD]]-TABL12345[[#This Row],[SER_ IN]]</f>
        <v>0</v>
      </c>
    </row>
    <row r="242" spans="1:42" ht="18.75" x14ac:dyDescent="0.25">
      <c r="A242" s="2">
        <v>47724</v>
      </c>
      <c r="B242" s="41"/>
      <c r="C242" s="41"/>
      <c r="D242" s="41"/>
      <c r="E242" s="28"/>
      <c r="F242" s="41"/>
      <c r="G242" s="39"/>
      <c r="H242" s="28"/>
      <c r="I242" s="39"/>
      <c r="J242" s="39"/>
      <c r="K242" s="28">
        <f>TABL12345[[#This Row],[خط (T/B  TOT) SAR]]+TABL12345[[#This Row],[خط (S/S  TOT) SAR2]]</f>
        <v>0</v>
      </c>
      <c r="L242" s="41"/>
      <c r="M242" s="42"/>
      <c r="N242" s="42"/>
      <c r="O242" s="39"/>
      <c r="P242" s="3">
        <f>TABL12345[[#This Row],[خط (S/S  TOT) SAR2]]-TABL12345[[#This Row],[(S/S TOT) AJD]]</f>
        <v>0</v>
      </c>
      <c r="Q242" s="39"/>
      <c r="R242" s="3">
        <f>TABL12345[[#This Row],[خط (T/B  TOT) SAR]]-TABL12345[[#This Row],[(T/B TOT) AJD]]</f>
        <v>0</v>
      </c>
      <c r="S242" s="3">
        <f>TABL12345[[#This Row],[الفرق بين بداية ونهاية خط  S/S]]+TABL12345[[#This Row],[الفرق بين بداية ونهاية خط  T/B]]</f>
        <v>0</v>
      </c>
      <c r="T242" s="3">
        <f t="shared" si="12"/>
        <v>0</v>
      </c>
      <c r="U242" s="41"/>
      <c r="V242" s="41"/>
      <c r="W242" s="3">
        <f t="shared" si="13"/>
        <v>0</v>
      </c>
      <c r="X242" s="3">
        <f t="shared" si="14"/>
        <v>0</v>
      </c>
      <c r="Y242" s="41"/>
      <c r="Z242" s="43"/>
      <c r="AA242" s="3">
        <f>TABL12345[[#This Row],[(RESV. STORGE) AJD]]/10</f>
        <v>0</v>
      </c>
      <c r="AB242" s="43">
        <f t="shared" si="15"/>
        <v>0</v>
      </c>
      <c r="AC242" s="5"/>
      <c r="AD242" s="39">
        <f>(TABL12345[[#This Row],[( S/S+T/B) AJD]]*1000)-((TABL12345[[#This Row],[(STORGE DIFF.) AJD]]*1000)+TABL12345[[#This Row],[البخر  AJD]]+(TABL12345[[#This Row],[(A/B + A/S) AJD]]*1000))</f>
        <v>0</v>
      </c>
      <c r="AE242" s="41"/>
      <c r="AF242" s="43"/>
      <c r="AG242" s="43"/>
      <c r="AH242" s="6">
        <f>TABL12345[[#This Row],[ (RESV. STORGE) BER]]/10</f>
        <v>0</v>
      </c>
      <c r="AI242" s="41"/>
      <c r="AJ242" s="41">
        <f>TABL12345[[#This Row],[(A/B TOT) AJD]]-TABL12345[[#This Row],[BER_ IN]]</f>
        <v>0</v>
      </c>
      <c r="AK242" s="43"/>
      <c r="AL242" s="43"/>
      <c r="AM242" s="32"/>
      <c r="AN242" s="32">
        <f>TABL12345[[#This Row],[ (RESV. STORGE) SER]]/10</f>
        <v>0</v>
      </c>
      <c r="AO242" s="68"/>
      <c r="AP242" s="68">
        <f>TABL12345[[#This Row],[(A/S TOT) AJD]]-TABL12345[[#This Row],[SER_ IN]]</f>
        <v>0</v>
      </c>
    </row>
    <row r="243" spans="1:42" ht="18.75" x14ac:dyDescent="0.25">
      <c r="A243" s="2">
        <v>47725</v>
      </c>
      <c r="B243" s="44"/>
      <c r="C243" s="44"/>
      <c r="D243" s="44"/>
      <c r="E243" s="28"/>
      <c r="F243" s="44"/>
      <c r="G243" s="40"/>
      <c r="H243" s="28"/>
      <c r="I243" s="40"/>
      <c r="J243" s="44"/>
      <c r="K243" s="28">
        <f>TABL12345[[#This Row],[خط (T/B  TOT) SAR]]+TABL12345[[#This Row],[خط (S/S  TOT) SAR2]]</f>
        <v>0</v>
      </c>
      <c r="L243" s="45"/>
      <c r="M243" s="46"/>
      <c r="N243" s="46"/>
      <c r="O243" s="40"/>
      <c r="P243" s="3">
        <f>TABL12345[[#This Row],[خط (S/S  TOT) SAR2]]-TABL12345[[#This Row],[(S/S TOT) AJD]]</f>
        <v>0</v>
      </c>
      <c r="Q243" s="40"/>
      <c r="R243" s="3">
        <f>TABL12345[[#This Row],[خط (T/B  TOT) SAR]]-TABL12345[[#This Row],[(T/B TOT) AJD]]</f>
        <v>0</v>
      </c>
      <c r="S243" s="3">
        <f>TABL12345[[#This Row],[الفرق بين بداية ونهاية خط  S/S]]+TABL12345[[#This Row],[الفرق بين بداية ونهاية خط  T/B]]</f>
        <v>0</v>
      </c>
      <c r="T243" s="3">
        <f t="shared" si="12"/>
        <v>0</v>
      </c>
      <c r="U243" s="44"/>
      <c r="V243" s="44"/>
      <c r="W243" s="3">
        <f t="shared" si="13"/>
        <v>0</v>
      </c>
      <c r="X243" s="3">
        <f t="shared" si="14"/>
        <v>0</v>
      </c>
      <c r="Y243" s="44"/>
      <c r="Z243" s="45"/>
      <c r="AA243" s="3">
        <f>TABL12345[[#This Row],[(RESV. STORGE) AJD]]/10</f>
        <v>0</v>
      </c>
      <c r="AB243" s="45">
        <f t="shared" si="15"/>
        <v>0</v>
      </c>
      <c r="AC243" s="5"/>
      <c r="AD243" s="70">
        <f>(TABL12345[[#This Row],[( S/S+T/B) AJD]]*1000)-((TABL12345[[#This Row],[(STORGE DIFF.) AJD]]*1000)+TABL12345[[#This Row],[البخر  AJD]]+(TABL12345[[#This Row],[(A/B + A/S) AJD]]*1000))</f>
        <v>0</v>
      </c>
      <c r="AE243" s="44"/>
      <c r="AF243" s="45"/>
      <c r="AG243" s="45"/>
      <c r="AH243" s="6">
        <f>TABL12345[[#This Row],[ (RESV. STORGE) BER]]/10</f>
        <v>0</v>
      </c>
      <c r="AI243" s="44"/>
      <c r="AJ243" s="67">
        <f>TABL12345[[#This Row],[(A/B TOT) AJD]]-TABL12345[[#This Row],[BER_ IN]]</f>
        <v>0</v>
      </c>
      <c r="AK243" s="45"/>
      <c r="AL243" s="45"/>
      <c r="AM243" s="32"/>
      <c r="AN243" s="32">
        <f>TABL12345[[#This Row],[ (RESV. STORGE) SER]]/10</f>
        <v>0</v>
      </c>
      <c r="AO243" s="68"/>
      <c r="AP243" s="68">
        <f>TABL12345[[#This Row],[(A/S TOT) AJD]]-TABL12345[[#This Row],[SER_ IN]]</f>
        <v>0</v>
      </c>
    </row>
    <row r="244" spans="1:42" ht="18.75" x14ac:dyDescent="0.25">
      <c r="A244" s="2">
        <v>47726</v>
      </c>
      <c r="B244" s="41"/>
      <c r="C244" s="41"/>
      <c r="D244" s="41"/>
      <c r="E244" s="28"/>
      <c r="F244" s="41"/>
      <c r="G244" s="39"/>
      <c r="H244" s="28"/>
      <c r="I244" s="39"/>
      <c r="J244" s="39"/>
      <c r="K244" s="28">
        <f>TABL12345[[#This Row],[خط (T/B  TOT) SAR]]+TABL12345[[#This Row],[خط (S/S  TOT) SAR2]]</f>
        <v>0</v>
      </c>
      <c r="L244" s="41"/>
      <c r="M244" s="42"/>
      <c r="N244" s="42"/>
      <c r="O244" s="39"/>
      <c r="P244" s="3">
        <f>TABL12345[[#This Row],[خط (S/S  TOT) SAR2]]-TABL12345[[#This Row],[(S/S TOT) AJD]]</f>
        <v>0</v>
      </c>
      <c r="Q244" s="39"/>
      <c r="R244" s="3">
        <f>TABL12345[[#This Row],[خط (T/B  TOT) SAR]]-TABL12345[[#This Row],[(T/B TOT) AJD]]</f>
        <v>0</v>
      </c>
      <c r="S244" s="3">
        <f>TABL12345[[#This Row],[الفرق بين بداية ونهاية خط  S/S]]+TABL12345[[#This Row],[الفرق بين بداية ونهاية خط  T/B]]</f>
        <v>0</v>
      </c>
      <c r="T244" s="3">
        <f t="shared" si="12"/>
        <v>0</v>
      </c>
      <c r="U244" s="41"/>
      <c r="V244" s="41"/>
      <c r="W244" s="3">
        <f t="shared" si="13"/>
        <v>0</v>
      </c>
      <c r="X244" s="3">
        <f t="shared" si="14"/>
        <v>0</v>
      </c>
      <c r="Y244" s="41"/>
      <c r="Z244" s="43"/>
      <c r="AA244" s="3">
        <f>TABL12345[[#This Row],[(RESV. STORGE) AJD]]/10</f>
        <v>0</v>
      </c>
      <c r="AB244" s="43">
        <f t="shared" si="15"/>
        <v>0</v>
      </c>
      <c r="AC244" s="5"/>
      <c r="AD244" s="39">
        <f>(TABL12345[[#This Row],[( S/S+T/B) AJD]]*1000)-((TABL12345[[#This Row],[(STORGE DIFF.) AJD]]*1000)+TABL12345[[#This Row],[البخر  AJD]]+(TABL12345[[#This Row],[(A/B + A/S) AJD]]*1000))</f>
        <v>0</v>
      </c>
      <c r="AE244" s="41"/>
      <c r="AF244" s="43"/>
      <c r="AG244" s="43"/>
      <c r="AH244" s="6">
        <f>TABL12345[[#This Row],[ (RESV. STORGE) BER]]/10</f>
        <v>0</v>
      </c>
      <c r="AI244" s="41"/>
      <c r="AJ244" s="41">
        <f>TABL12345[[#This Row],[(A/B TOT) AJD]]-TABL12345[[#This Row],[BER_ IN]]</f>
        <v>0</v>
      </c>
      <c r="AK244" s="43"/>
      <c r="AL244" s="43"/>
      <c r="AM244" s="32"/>
      <c r="AN244" s="32">
        <f>TABL12345[[#This Row],[ (RESV. STORGE) SER]]/10</f>
        <v>0</v>
      </c>
      <c r="AO244" s="68"/>
      <c r="AP244" s="68">
        <f>TABL12345[[#This Row],[(A/S TOT) AJD]]-TABL12345[[#This Row],[SER_ IN]]</f>
        <v>0</v>
      </c>
    </row>
    <row r="245" spans="1:42" ht="18.75" x14ac:dyDescent="0.25">
      <c r="A245" s="2">
        <v>47727</v>
      </c>
      <c r="B245" s="41"/>
      <c r="C245" s="41"/>
      <c r="D245" s="41"/>
      <c r="E245" s="35"/>
      <c r="F245" s="41"/>
      <c r="G245" s="39"/>
      <c r="H245" s="34"/>
      <c r="I245" s="39"/>
      <c r="J245" s="39"/>
      <c r="K245" s="34">
        <f>TABL12345[[#This Row],[خط (T/B  TOT) SAR]]+TABL12345[[#This Row],[خط (S/S  TOT) SAR2]]</f>
        <v>0</v>
      </c>
      <c r="L245" s="41"/>
      <c r="M245" s="42"/>
      <c r="N245" s="42"/>
      <c r="O245" s="39"/>
      <c r="P245" s="14">
        <f>TABL12345[[#This Row],[خط (S/S  TOT) SAR2]]-TABL12345[[#This Row],[(S/S TOT) AJD]]</f>
        <v>0</v>
      </c>
      <c r="Q245" s="39"/>
      <c r="R245" s="14">
        <f>TABL12345[[#This Row],[خط (T/B  TOT) SAR]]-TABL12345[[#This Row],[(T/B TOT) AJD]]</f>
        <v>0</v>
      </c>
      <c r="S245" s="14">
        <f>TABL12345[[#This Row],[الفرق بين بداية ونهاية خط  S/S]]+TABL12345[[#This Row],[الفرق بين بداية ونهاية خط  T/B]]</f>
        <v>0</v>
      </c>
      <c r="T245" s="9">
        <f t="shared" si="12"/>
        <v>0</v>
      </c>
      <c r="U245" s="41"/>
      <c r="V245" s="41"/>
      <c r="W245" s="9">
        <f t="shared" si="13"/>
        <v>0</v>
      </c>
      <c r="X245" s="9">
        <f t="shared" si="14"/>
        <v>0</v>
      </c>
      <c r="Y245" s="41"/>
      <c r="Z245" s="43"/>
      <c r="AA245" s="3">
        <f>TABL12345[[#This Row],[(RESV. STORGE) AJD]]/10</f>
        <v>0</v>
      </c>
      <c r="AB245" s="43">
        <f t="shared" si="15"/>
        <v>0</v>
      </c>
      <c r="AC245" s="5"/>
      <c r="AD245" s="39">
        <f>(TABL12345[[#This Row],[( S/S+T/B) AJD]]*1000)-((TABL12345[[#This Row],[(STORGE DIFF.) AJD]]*1000)+TABL12345[[#This Row],[البخر  AJD]]+(TABL12345[[#This Row],[(A/B + A/S) AJD]]*1000))</f>
        <v>0</v>
      </c>
      <c r="AE245" s="41"/>
      <c r="AF245" s="43"/>
      <c r="AG245" s="43"/>
      <c r="AH245" s="6">
        <f>TABL12345[[#This Row],[ (RESV. STORGE) BER]]/10</f>
        <v>0</v>
      </c>
      <c r="AI245" s="41"/>
      <c r="AJ245" s="41">
        <f>TABL12345[[#This Row],[(A/B TOT) AJD]]-TABL12345[[#This Row],[BER_ IN]]</f>
        <v>0</v>
      </c>
      <c r="AK245" s="43"/>
      <c r="AL245" s="43"/>
      <c r="AM245" s="32"/>
      <c r="AN245" s="32">
        <f>TABL12345[[#This Row],[ (RESV. STORGE) SER]]/10</f>
        <v>0</v>
      </c>
      <c r="AO245" s="68"/>
      <c r="AP245" s="68">
        <f>TABL12345[[#This Row],[(A/S TOT) AJD]]-TABL12345[[#This Row],[SER_ IN]]</f>
        <v>0</v>
      </c>
    </row>
    <row r="246" spans="1:42" ht="18.75" x14ac:dyDescent="0.25">
      <c r="A246" s="2">
        <v>47728</v>
      </c>
      <c r="B246" s="44"/>
      <c r="C246" s="44"/>
      <c r="D246" s="44"/>
      <c r="E246" s="35"/>
      <c r="F246" s="44"/>
      <c r="G246" s="40"/>
      <c r="H246" s="34"/>
      <c r="I246" s="40"/>
      <c r="J246" s="44"/>
      <c r="K246" s="34">
        <f>TABL12345[[#This Row],[خط (T/B  TOT) SAR]]+TABL12345[[#This Row],[خط (S/S  TOT) SAR2]]</f>
        <v>0</v>
      </c>
      <c r="L246" s="45"/>
      <c r="M246" s="46"/>
      <c r="N246" s="46"/>
      <c r="O246" s="40"/>
      <c r="P246" s="14">
        <f>TABL12345[[#This Row],[خط (S/S  TOT) SAR2]]-TABL12345[[#This Row],[(S/S TOT) AJD]]</f>
        <v>0</v>
      </c>
      <c r="Q246" s="40"/>
      <c r="R246" s="14">
        <f>TABL12345[[#This Row],[خط (T/B  TOT) SAR]]-TABL12345[[#This Row],[(T/B TOT) AJD]]</f>
        <v>0</v>
      </c>
      <c r="S246" s="14">
        <f>TABL12345[[#This Row],[الفرق بين بداية ونهاية خط  S/S]]+TABL12345[[#This Row],[الفرق بين بداية ونهاية خط  T/B]]</f>
        <v>0</v>
      </c>
      <c r="T246" s="9">
        <f t="shared" si="12"/>
        <v>0</v>
      </c>
      <c r="U246" s="44"/>
      <c r="V246" s="44"/>
      <c r="W246" s="9">
        <f t="shared" si="13"/>
        <v>0</v>
      </c>
      <c r="X246" s="9">
        <f t="shared" si="14"/>
        <v>0</v>
      </c>
      <c r="Y246" s="44"/>
      <c r="Z246" s="45"/>
      <c r="AA246" s="3">
        <f>TABL12345[[#This Row],[(RESV. STORGE) AJD]]/10</f>
        <v>0</v>
      </c>
      <c r="AB246" s="45">
        <f t="shared" si="15"/>
        <v>0</v>
      </c>
      <c r="AC246" s="5"/>
      <c r="AD246" s="40">
        <f>(TABL12345[[#This Row],[( S/S+T/B) AJD]]*1000)-((TABL12345[[#This Row],[(STORGE DIFF.) AJD]]*1000)+TABL12345[[#This Row],[البخر  AJD]]+(TABL12345[[#This Row],[(A/B + A/S) AJD]]*1000))</f>
        <v>0</v>
      </c>
      <c r="AE246" s="44"/>
      <c r="AF246" s="45"/>
      <c r="AG246" s="45"/>
      <c r="AH246" s="6">
        <f>TABL12345[[#This Row],[ (RESV. STORGE) BER]]/10</f>
        <v>0</v>
      </c>
      <c r="AI246" s="44"/>
      <c r="AJ246" s="44">
        <f>TABL12345[[#This Row],[(A/B TOT) AJD]]-TABL12345[[#This Row],[BER_ IN]]</f>
        <v>0</v>
      </c>
      <c r="AK246" s="45"/>
      <c r="AL246" s="45"/>
      <c r="AM246" s="32"/>
      <c r="AN246" s="32">
        <f>TABL12345[[#This Row],[ (RESV. STORGE) SER]]/10</f>
        <v>0</v>
      </c>
      <c r="AO246" s="68"/>
      <c r="AP246" s="68">
        <f>TABL12345[[#This Row],[(A/S TOT) AJD]]-TABL12345[[#This Row],[SER_ IN]]</f>
        <v>0</v>
      </c>
    </row>
    <row r="247" spans="1:42" ht="18.75" x14ac:dyDescent="0.25">
      <c r="A247" s="2">
        <v>47729</v>
      </c>
      <c r="B247" s="41"/>
      <c r="C247" s="41"/>
      <c r="D247" s="41"/>
      <c r="E247" s="35"/>
      <c r="F247" s="41"/>
      <c r="G247" s="39"/>
      <c r="H247" s="34"/>
      <c r="I247" s="39"/>
      <c r="J247" s="39"/>
      <c r="K247" s="34">
        <f>TABL12345[[#This Row],[خط (T/B  TOT) SAR]]+TABL12345[[#This Row],[خط (S/S  TOT) SAR2]]</f>
        <v>0</v>
      </c>
      <c r="L247" s="41"/>
      <c r="M247" s="42"/>
      <c r="N247" s="42"/>
      <c r="O247" s="39"/>
      <c r="P247" s="14">
        <f>TABL12345[[#This Row],[خط (S/S  TOT) SAR2]]-TABL12345[[#This Row],[(S/S TOT) AJD]]</f>
        <v>0</v>
      </c>
      <c r="Q247" s="39"/>
      <c r="R247" s="14">
        <f>TABL12345[[#This Row],[خط (T/B  TOT) SAR]]-TABL12345[[#This Row],[(T/B TOT) AJD]]</f>
        <v>0</v>
      </c>
      <c r="S247" s="14">
        <f>TABL12345[[#This Row],[الفرق بين بداية ونهاية خط  S/S]]+TABL12345[[#This Row],[الفرق بين بداية ونهاية خط  T/B]]</f>
        <v>0</v>
      </c>
      <c r="T247" s="9">
        <f t="shared" si="12"/>
        <v>0</v>
      </c>
      <c r="U247" s="41"/>
      <c r="V247" s="41"/>
      <c r="W247" s="9">
        <f t="shared" si="13"/>
        <v>0</v>
      </c>
      <c r="X247" s="9">
        <f t="shared" si="14"/>
        <v>0</v>
      </c>
      <c r="Y247" s="41"/>
      <c r="Z247" s="43"/>
      <c r="AA247" s="3">
        <f>TABL12345[[#This Row],[(RESV. STORGE) AJD]]/10</f>
        <v>0</v>
      </c>
      <c r="AB247" s="43">
        <f t="shared" si="15"/>
        <v>0</v>
      </c>
      <c r="AC247" s="5"/>
      <c r="AD247" s="39">
        <f>(TABL12345[[#This Row],[( S/S+T/B) AJD]]*1000)-((TABL12345[[#This Row],[(STORGE DIFF.) AJD]]*1000)+TABL12345[[#This Row],[البخر  AJD]]+(TABL12345[[#This Row],[(A/B + A/S) AJD]]*1000))</f>
        <v>0</v>
      </c>
      <c r="AE247" s="41"/>
      <c r="AF247" s="43"/>
      <c r="AG247" s="43"/>
      <c r="AH247" s="6">
        <f>TABL12345[[#This Row],[ (RESV. STORGE) BER]]/10</f>
        <v>0</v>
      </c>
      <c r="AI247" s="41"/>
      <c r="AJ247" s="41">
        <f>TABL12345[[#This Row],[(A/B TOT) AJD]]-TABL12345[[#This Row],[BER_ IN]]</f>
        <v>0</v>
      </c>
      <c r="AK247" s="43"/>
      <c r="AL247" s="43"/>
      <c r="AM247" s="32"/>
      <c r="AN247" s="32">
        <f>TABL12345[[#This Row],[ (RESV. STORGE) SER]]/10</f>
        <v>0</v>
      </c>
      <c r="AO247" s="68"/>
      <c r="AP247" s="68">
        <f>TABL12345[[#This Row],[(A/S TOT) AJD]]-TABL12345[[#This Row],[SER_ IN]]</f>
        <v>0</v>
      </c>
    </row>
    <row r="248" spans="1:42" ht="18.75" x14ac:dyDescent="0.25">
      <c r="A248" s="2">
        <v>47730</v>
      </c>
      <c r="B248" s="44"/>
      <c r="C248" s="44"/>
      <c r="D248" s="44"/>
      <c r="E248" s="35"/>
      <c r="F248" s="44"/>
      <c r="G248" s="40"/>
      <c r="H248" s="34"/>
      <c r="I248" s="40"/>
      <c r="J248" s="44"/>
      <c r="K248" s="34">
        <f>TABL12345[[#This Row],[خط (T/B  TOT) SAR]]+TABL12345[[#This Row],[خط (S/S  TOT) SAR2]]</f>
        <v>0</v>
      </c>
      <c r="L248" s="45"/>
      <c r="M248" s="46"/>
      <c r="N248" s="46"/>
      <c r="O248" s="40"/>
      <c r="P248" s="14">
        <f>TABL12345[[#This Row],[خط (S/S  TOT) SAR2]]-TABL12345[[#This Row],[(S/S TOT) AJD]]</f>
        <v>0</v>
      </c>
      <c r="Q248" s="40"/>
      <c r="R248" s="14">
        <f>TABL12345[[#This Row],[خط (T/B  TOT) SAR]]-TABL12345[[#This Row],[(T/B TOT) AJD]]</f>
        <v>0</v>
      </c>
      <c r="S248" s="14">
        <f>TABL12345[[#This Row],[الفرق بين بداية ونهاية خط  S/S]]+TABL12345[[#This Row],[الفرق بين بداية ونهاية خط  T/B]]</f>
        <v>0</v>
      </c>
      <c r="T248" s="9">
        <f t="shared" si="12"/>
        <v>0</v>
      </c>
      <c r="U248" s="44"/>
      <c r="V248" s="44"/>
      <c r="W248" s="9">
        <f t="shared" si="13"/>
        <v>0</v>
      </c>
      <c r="X248" s="9">
        <f t="shared" si="14"/>
        <v>0</v>
      </c>
      <c r="Y248" s="44"/>
      <c r="Z248" s="45"/>
      <c r="AA248" s="3">
        <f>TABL12345[[#This Row],[(RESV. STORGE) AJD]]/10</f>
        <v>0</v>
      </c>
      <c r="AB248" s="45">
        <f t="shared" si="15"/>
        <v>0</v>
      </c>
      <c r="AC248" s="5"/>
      <c r="AD248" s="40">
        <f>(TABL12345[[#This Row],[( S/S+T/B) AJD]]*1000)-((TABL12345[[#This Row],[(STORGE DIFF.) AJD]]*1000)+TABL12345[[#This Row],[البخر  AJD]]+(TABL12345[[#This Row],[(A/B + A/S) AJD]]*1000))</f>
        <v>0</v>
      </c>
      <c r="AE248" s="44"/>
      <c r="AF248" s="45"/>
      <c r="AG248" s="45"/>
      <c r="AH248" s="6">
        <f>TABL12345[[#This Row],[ (RESV. STORGE) BER]]/10</f>
        <v>0</v>
      </c>
      <c r="AI248" s="44"/>
      <c r="AJ248" s="44">
        <f>TABL12345[[#This Row],[(A/B TOT) AJD]]-TABL12345[[#This Row],[BER_ IN]]</f>
        <v>0</v>
      </c>
      <c r="AK248" s="45"/>
      <c r="AL248" s="45"/>
      <c r="AM248" s="32"/>
      <c r="AN248" s="32">
        <f>TABL12345[[#This Row],[ (RESV. STORGE) SER]]/10</f>
        <v>0</v>
      </c>
      <c r="AO248" s="68"/>
      <c r="AP248" s="68">
        <f>TABL12345[[#This Row],[(A/S TOT) AJD]]-TABL12345[[#This Row],[SER_ IN]]</f>
        <v>0</v>
      </c>
    </row>
    <row r="249" spans="1:42" ht="18.75" x14ac:dyDescent="0.25">
      <c r="A249" s="2">
        <v>47731</v>
      </c>
      <c r="B249" s="41"/>
      <c r="C249" s="41"/>
      <c r="D249" s="41"/>
      <c r="E249" s="35"/>
      <c r="F249" s="41"/>
      <c r="G249" s="39"/>
      <c r="H249" s="34"/>
      <c r="I249" s="39"/>
      <c r="J249" s="39"/>
      <c r="K249" s="34">
        <f>TABL12345[[#This Row],[خط (T/B  TOT) SAR]]+TABL12345[[#This Row],[خط (S/S  TOT) SAR2]]</f>
        <v>0</v>
      </c>
      <c r="L249" s="41"/>
      <c r="M249" s="42"/>
      <c r="N249" s="42"/>
      <c r="O249" s="39"/>
      <c r="P249" s="14">
        <f>TABL12345[[#This Row],[خط (S/S  TOT) SAR2]]-TABL12345[[#This Row],[(S/S TOT) AJD]]</f>
        <v>0</v>
      </c>
      <c r="Q249" s="39"/>
      <c r="R249" s="14">
        <f>TABL12345[[#This Row],[خط (T/B  TOT) SAR]]-TABL12345[[#This Row],[(T/B TOT) AJD]]</f>
        <v>0</v>
      </c>
      <c r="S249" s="14">
        <f>TABL12345[[#This Row],[الفرق بين بداية ونهاية خط  S/S]]+TABL12345[[#This Row],[الفرق بين بداية ونهاية خط  T/B]]</f>
        <v>0</v>
      </c>
      <c r="T249" s="9">
        <f t="shared" si="12"/>
        <v>0</v>
      </c>
      <c r="U249" s="41"/>
      <c r="V249" s="41"/>
      <c r="W249" s="9">
        <f t="shared" si="13"/>
        <v>0</v>
      </c>
      <c r="X249" s="9">
        <f t="shared" si="14"/>
        <v>0</v>
      </c>
      <c r="Y249" s="41"/>
      <c r="Z249" s="43"/>
      <c r="AA249" s="3">
        <f>TABL12345[[#This Row],[(RESV. STORGE) AJD]]/10</f>
        <v>0</v>
      </c>
      <c r="AB249" s="43">
        <f t="shared" si="15"/>
        <v>0</v>
      </c>
      <c r="AC249" s="5"/>
      <c r="AD249" s="39">
        <f>(TABL12345[[#This Row],[( S/S+T/B) AJD]]*1000)-((TABL12345[[#This Row],[(STORGE DIFF.) AJD]]*1000)+TABL12345[[#This Row],[البخر  AJD]]+(TABL12345[[#This Row],[(A/B + A/S) AJD]]*1000))</f>
        <v>0</v>
      </c>
      <c r="AE249" s="41"/>
      <c r="AF249" s="43"/>
      <c r="AG249" s="43"/>
      <c r="AH249" s="6">
        <f>TABL12345[[#This Row],[ (RESV. STORGE) BER]]/10</f>
        <v>0</v>
      </c>
      <c r="AI249" s="41"/>
      <c r="AJ249" s="41">
        <f>TABL12345[[#This Row],[(A/B TOT) AJD]]-TABL12345[[#This Row],[BER_ IN]]</f>
        <v>0</v>
      </c>
      <c r="AK249" s="43"/>
      <c r="AL249" s="43"/>
      <c r="AM249" s="32"/>
      <c r="AN249" s="32">
        <f>TABL12345[[#This Row],[ (RESV. STORGE) SER]]/10</f>
        <v>0</v>
      </c>
      <c r="AO249" s="68"/>
      <c r="AP249" s="68">
        <f>TABL12345[[#This Row],[(A/S TOT) AJD]]-TABL12345[[#This Row],[SER_ IN]]</f>
        <v>0</v>
      </c>
    </row>
    <row r="250" spans="1:42" ht="18.75" x14ac:dyDescent="0.25">
      <c r="A250" s="2">
        <v>47732</v>
      </c>
      <c r="B250" s="44"/>
      <c r="C250" s="44"/>
      <c r="D250" s="44"/>
      <c r="E250" s="35"/>
      <c r="F250" s="44"/>
      <c r="G250" s="40"/>
      <c r="H250" s="28"/>
      <c r="I250" s="40"/>
      <c r="J250" s="44"/>
      <c r="K250" s="28">
        <f>TABL12345[[#This Row],[خط (T/B  TOT) SAR]]+TABL12345[[#This Row],[خط (S/S  TOT) SAR2]]</f>
        <v>0</v>
      </c>
      <c r="L250" s="45"/>
      <c r="M250" s="46"/>
      <c r="N250" s="46"/>
      <c r="O250" s="40"/>
      <c r="P250" s="9">
        <f>TABL12345[[#This Row],[خط (S/S  TOT) SAR2]]-TABL12345[[#This Row],[(S/S TOT) AJD]]</f>
        <v>0</v>
      </c>
      <c r="Q250" s="40"/>
      <c r="R250" s="9">
        <f>TABL12345[[#This Row],[خط (T/B  TOT) SAR]]-TABL12345[[#This Row],[(T/B TOT) AJD]]</f>
        <v>0</v>
      </c>
      <c r="S250" s="9">
        <f>TABL12345[[#This Row],[الفرق بين بداية ونهاية خط  S/S]]+TABL12345[[#This Row],[الفرق بين بداية ونهاية خط  T/B]]</f>
        <v>0</v>
      </c>
      <c r="T250" s="9">
        <f t="shared" si="12"/>
        <v>0</v>
      </c>
      <c r="U250" s="44"/>
      <c r="V250" s="44"/>
      <c r="W250" s="9">
        <f t="shared" si="13"/>
        <v>0</v>
      </c>
      <c r="X250" s="9">
        <f t="shared" si="14"/>
        <v>0</v>
      </c>
      <c r="Y250" s="44"/>
      <c r="Z250" s="45"/>
      <c r="AA250" s="3">
        <f>TABL12345[[#This Row],[(RESV. STORGE) AJD]]/10</f>
        <v>0</v>
      </c>
      <c r="AB250" s="45">
        <f t="shared" si="15"/>
        <v>0</v>
      </c>
      <c r="AC250" s="5"/>
      <c r="AD250" s="40">
        <f>(TABL12345[[#This Row],[( S/S+T/B) AJD]]*1000)-((TABL12345[[#This Row],[(STORGE DIFF.) AJD]]*1000)+TABL12345[[#This Row],[البخر  AJD]]+(TABL12345[[#This Row],[(A/B + A/S) AJD]]*1000))</f>
        <v>0</v>
      </c>
      <c r="AE250" s="44"/>
      <c r="AF250" s="45"/>
      <c r="AG250" s="45"/>
      <c r="AH250" s="6">
        <f>TABL12345[[#This Row],[ (RESV. STORGE) BER]]/10</f>
        <v>0</v>
      </c>
      <c r="AI250" s="44"/>
      <c r="AJ250" s="44">
        <f>TABL12345[[#This Row],[(A/B TOT) AJD]]-TABL12345[[#This Row],[BER_ IN]]</f>
        <v>0</v>
      </c>
      <c r="AK250" s="45"/>
      <c r="AL250" s="45"/>
      <c r="AM250" s="32"/>
      <c r="AN250" s="32">
        <f>TABL12345[[#This Row],[ (RESV. STORGE) SER]]/10</f>
        <v>0</v>
      </c>
      <c r="AO250" s="68"/>
      <c r="AP250" s="68">
        <f>TABL12345[[#This Row],[(A/S TOT) AJD]]-TABL12345[[#This Row],[SER_ IN]]</f>
        <v>0</v>
      </c>
    </row>
    <row r="251" spans="1:42" ht="18.75" x14ac:dyDescent="0.25">
      <c r="A251" s="2">
        <v>47733</v>
      </c>
      <c r="B251" s="41"/>
      <c r="C251" s="41"/>
      <c r="D251" s="41"/>
      <c r="E251" s="35"/>
      <c r="F251" s="41"/>
      <c r="G251" s="39"/>
      <c r="H251" s="28"/>
      <c r="I251" s="39"/>
      <c r="J251" s="39"/>
      <c r="K251" s="28">
        <f>TABL12345[[#This Row],[خط (T/B  TOT) SAR]]+TABL12345[[#This Row],[خط (S/S  TOT) SAR2]]</f>
        <v>0</v>
      </c>
      <c r="L251" s="41"/>
      <c r="M251" s="42"/>
      <c r="N251" s="42"/>
      <c r="O251" s="39"/>
      <c r="P251" s="9">
        <f>TABL12345[[#This Row],[خط (S/S  TOT) SAR2]]-TABL12345[[#This Row],[(S/S TOT) AJD]]</f>
        <v>0</v>
      </c>
      <c r="Q251" s="39"/>
      <c r="R251" s="9">
        <f>TABL12345[[#This Row],[خط (T/B  TOT) SAR]]-TABL12345[[#This Row],[(T/B TOT) AJD]]</f>
        <v>0</v>
      </c>
      <c r="S251" s="9">
        <f>TABL12345[[#This Row],[الفرق بين بداية ونهاية خط  S/S]]+TABL12345[[#This Row],[الفرق بين بداية ونهاية خط  T/B]]</f>
        <v>0</v>
      </c>
      <c r="T251" s="9">
        <f t="shared" si="12"/>
        <v>0</v>
      </c>
      <c r="U251" s="41"/>
      <c r="V251" s="41"/>
      <c r="W251" s="9">
        <f t="shared" si="13"/>
        <v>0</v>
      </c>
      <c r="X251" s="9">
        <f t="shared" si="14"/>
        <v>0</v>
      </c>
      <c r="Y251" s="41"/>
      <c r="Z251" s="43"/>
      <c r="AA251" s="3">
        <f>TABL12345[[#This Row],[(RESV. STORGE) AJD]]/10</f>
        <v>0</v>
      </c>
      <c r="AB251" s="43">
        <f t="shared" si="15"/>
        <v>0</v>
      </c>
      <c r="AC251" s="5"/>
      <c r="AD251" s="39">
        <f>(TABL12345[[#This Row],[( S/S+T/B) AJD]]*1000)-((TABL12345[[#This Row],[(STORGE DIFF.) AJD]]*1000)+TABL12345[[#This Row],[البخر  AJD]]+(TABL12345[[#This Row],[(A/B + A/S) AJD]]*1000))</f>
        <v>0</v>
      </c>
      <c r="AE251" s="41"/>
      <c r="AF251" s="43"/>
      <c r="AG251" s="43"/>
      <c r="AH251" s="6">
        <f>TABL12345[[#This Row],[ (RESV. STORGE) BER]]/10</f>
        <v>0</v>
      </c>
      <c r="AI251" s="41"/>
      <c r="AJ251" s="41">
        <f>TABL12345[[#This Row],[(A/B TOT) AJD]]-TABL12345[[#This Row],[BER_ IN]]</f>
        <v>0</v>
      </c>
      <c r="AK251" s="43"/>
      <c r="AL251" s="43"/>
      <c r="AM251" s="32"/>
      <c r="AN251" s="32">
        <f>TABL12345[[#This Row],[ (RESV. STORGE) SER]]/10</f>
        <v>0</v>
      </c>
      <c r="AO251" s="68"/>
      <c r="AP251" s="68">
        <f>TABL12345[[#This Row],[(A/S TOT) AJD]]-TABL12345[[#This Row],[SER_ IN]]</f>
        <v>0</v>
      </c>
    </row>
    <row r="252" spans="1:42" ht="18.75" x14ac:dyDescent="0.25">
      <c r="A252" s="2">
        <v>47734</v>
      </c>
      <c r="B252" s="44"/>
      <c r="C252" s="44"/>
      <c r="D252" s="44"/>
      <c r="E252" s="35"/>
      <c r="F252" s="44"/>
      <c r="G252" s="40"/>
      <c r="H252" s="28"/>
      <c r="I252" s="40"/>
      <c r="J252" s="44"/>
      <c r="K252" s="28">
        <f>TABL12345[[#This Row],[خط (T/B  TOT) SAR]]+TABL12345[[#This Row],[خط (S/S  TOT) SAR2]]</f>
        <v>0</v>
      </c>
      <c r="L252" s="45"/>
      <c r="M252" s="46"/>
      <c r="N252" s="46"/>
      <c r="O252" s="40"/>
      <c r="P252" s="9">
        <f>TABL12345[[#This Row],[خط (S/S  TOT) SAR2]]-TABL12345[[#This Row],[(S/S TOT) AJD]]</f>
        <v>0</v>
      </c>
      <c r="Q252" s="40"/>
      <c r="R252" s="9">
        <f>TABL12345[[#This Row],[خط (T/B  TOT) SAR]]-TABL12345[[#This Row],[(T/B TOT) AJD]]</f>
        <v>0</v>
      </c>
      <c r="S252" s="9">
        <f>TABL12345[[#This Row],[الفرق بين بداية ونهاية خط  S/S]]+TABL12345[[#This Row],[الفرق بين بداية ونهاية خط  T/B]]</f>
        <v>0</v>
      </c>
      <c r="T252" s="9">
        <f t="shared" si="12"/>
        <v>0</v>
      </c>
      <c r="U252" s="44"/>
      <c r="V252" s="44"/>
      <c r="W252" s="9">
        <f t="shared" si="13"/>
        <v>0</v>
      </c>
      <c r="X252" s="9">
        <f t="shared" si="14"/>
        <v>0</v>
      </c>
      <c r="Y252" s="44"/>
      <c r="Z252" s="45"/>
      <c r="AA252" s="3">
        <f>TABL12345[[#This Row],[(RESV. STORGE) AJD]]/10</f>
        <v>0</v>
      </c>
      <c r="AB252" s="45">
        <f t="shared" si="15"/>
        <v>0</v>
      </c>
      <c r="AC252" s="5"/>
      <c r="AD252" s="40">
        <f>(TABL12345[[#This Row],[( S/S+T/B) AJD]]*1000)-((TABL12345[[#This Row],[(STORGE DIFF.) AJD]]*1000)+TABL12345[[#This Row],[البخر  AJD]]+(TABL12345[[#This Row],[(A/B + A/S) AJD]]*1000))</f>
        <v>0</v>
      </c>
      <c r="AE252" s="44"/>
      <c r="AF252" s="45"/>
      <c r="AG252" s="45"/>
      <c r="AH252" s="6">
        <f>TABL12345[[#This Row],[ (RESV. STORGE) BER]]/10</f>
        <v>0</v>
      </c>
      <c r="AI252" s="44"/>
      <c r="AJ252" s="44">
        <f>TABL12345[[#This Row],[(A/B TOT) AJD]]-TABL12345[[#This Row],[BER_ IN]]</f>
        <v>0</v>
      </c>
      <c r="AK252" s="45"/>
      <c r="AL252" s="45"/>
      <c r="AM252" s="32"/>
      <c r="AN252" s="32">
        <f>TABL12345[[#This Row],[ (RESV. STORGE) SER]]/10</f>
        <v>0</v>
      </c>
      <c r="AO252" s="68"/>
      <c r="AP252" s="68">
        <f>TABL12345[[#This Row],[(A/S TOT) AJD]]-TABL12345[[#This Row],[SER_ IN]]</f>
        <v>0</v>
      </c>
    </row>
    <row r="253" spans="1:42" ht="18.75" x14ac:dyDescent="0.25">
      <c r="A253" s="2">
        <v>47735</v>
      </c>
      <c r="B253" s="41"/>
      <c r="C253" s="41"/>
      <c r="D253" s="41"/>
      <c r="E253" s="35"/>
      <c r="F253" s="41"/>
      <c r="G253" s="39"/>
      <c r="H253" s="28"/>
      <c r="I253" s="39"/>
      <c r="J253" s="39"/>
      <c r="K253" s="28">
        <f>TABL12345[[#This Row],[خط (T/B  TOT) SAR]]+TABL12345[[#This Row],[خط (S/S  TOT) SAR2]]</f>
        <v>0</v>
      </c>
      <c r="L253" s="41"/>
      <c r="M253" s="42"/>
      <c r="N253" s="42"/>
      <c r="O253" s="39"/>
      <c r="P253" s="9">
        <f>TABL12345[[#This Row],[خط (S/S  TOT) SAR2]]-TABL12345[[#This Row],[(S/S TOT) AJD]]</f>
        <v>0</v>
      </c>
      <c r="Q253" s="39"/>
      <c r="R253" s="9">
        <f>TABL12345[[#This Row],[خط (T/B  TOT) SAR]]-TABL12345[[#This Row],[(T/B TOT) AJD]]</f>
        <v>0</v>
      </c>
      <c r="S253" s="9">
        <f>TABL12345[[#This Row],[الفرق بين بداية ونهاية خط  S/S]]+TABL12345[[#This Row],[الفرق بين بداية ونهاية خط  T/B]]</f>
        <v>0</v>
      </c>
      <c r="T253" s="9">
        <f t="shared" si="12"/>
        <v>0</v>
      </c>
      <c r="U253" s="41"/>
      <c r="V253" s="41"/>
      <c r="W253" s="9">
        <f t="shared" si="13"/>
        <v>0</v>
      </c>
      <c r="X253" s="9">
        <f t="shared" si="14"/>
        <v>0</v>
      </c>
      <c r="Y253" s="41"/>
      <c r="Z253" s="43"/>
      <c r="AA253" s="3">
        <f>TABL12345[[#This Row],[(RESV. STORGE) AJD]]/10</f>
        <v>0</v>
      </c>
      <c r="AB253" s="43">
        <f t="shared" si="15"/>
        <v>0</v>
      </c>
      <c r="AC253" s="5"/>
      <c r="AD253" s="39">
        <f>(TABL12345[[#This Row],[( S/S+T/B) AJD]]*1000)-((TABL12345[[#This Row],[(STORGE DIFF.) AJD]]*1000)+TABL12345[[#This Row],[البخر  AJD]]+(TABL12345[[#This Row],[(A/B + A/S) AJD]]*1000))</f>
        <v>0</v>
      </c>
      <c r="AE253" s="41"/>
      <c r="AF253" s="43"/>
      <c r="AG253" s="43"/>
      <c r="AH253" s="6">
        <f>TABL12345[[#This Row],[ (RESV. STORGE) BER]]/10</f>
        <v>0</v>
      </c>
      <c r="AI253" s="41"/>
      <c r="AJ253" s="41">
        <f>TABL12345[[#This Row],[(A/B TOT) AJD]]-TABL12345[[#This Row],[BER_ IN]]</f>
        <v>0</v>
      </c>
      <c r="AK253" s="43"/>
      <c r="AL253" s="43"/>
      <c r="AM253" s="32"/>
      <c r="AN253" s="32">
        <f>TABL12345[[#This Row],[ (RESV. STORGE) SER]]/10</f>
        <v>0</v>
      </c>
      <c r="AO253" s="68"/>
      <c r="AP253" s="68">
        <f>TABL12345[[#This Row],[(A/S TOT) AJD]]-TABL12345[[#This Row],[SER_ IN]]</f>
        <v>0</v>
      </c>
    </row>
    <row r="254" spans="1:42" ht="18.75" x14ac:dyDescent="0.25">
      <c r="A254" s="2">
        <v>47736</v>
      </c>
      <c r="B254" s="44"/>
      <c r="C254" s="44"/>
      <c r="D254" s="44"/>
      <c r="E254" s="35"/>
      <c r="F254" s="44"/>
      <c r="G254" s="40"/>
      <c r="H254" s="28"/>
      <c r="I254" s="40"/>
      <c r="J254" s="44"/>
      <c r="K254" s="28">
        <f>TABL12345[[#This Row],[خط (T/B  TOT) SAR]]+TABL12345[[#This Row],[خط (S/S  TOT) SAR2]]</f>
        <v>0</v>
      </c>
      <c r="L254" s="45"/>
      <c r="M254" s="46"/>
      <c r="N254" s="46"/>
      <c r="O254" s="40"/>
      <c r="P254" s="9">
        <f>TABL12345[[#This Row],[خط (S/S  TOT) SAR2]]-TABL12345[[#This Row],[(S/S TOT) AJD]]</f>
        <v>0</v>
      </c>
      <c r="Q254" s="40"/>
      <c r="R254" s="9">
        <f>TABL12345[[#This Row],[خط (T/B  TOT) SAR]]-TABL12345[[#This Row],[(T/B TOT) AJD]]</f>
        <v>0</v>
      </c>
      <c r="S254" s="9">
        <f>TABL12345[[#This Row],[الفرق بين بداية ونهاية خط  S/S]]+TABL12345[[#This Row],[الفرق بين بداية ونهاية خط  T/B]]</f>
        <v>0</v>
      </c>
      <c r="T254" s="9">
        <f t="shared" si="12"/>
        <v>0</v>
      </c>
      <c r="U254" s="44"/>
      <c r="V254" s="44"/>
      <c r="W254" s="9">
        <f t="shared" si="13"/>
        <v>0</v>
      </c>
      <c r="X254" s="9">
        <f t="shared" si="14"/>
        <v>0</v>
      </c>
      <c r="Y254" s="44"/>
      <c r="Z254" s="45"/>
      <c r="AA254" s="3">
        <f>TABL12345[[#This Row],[(RESV. STORGE) AJD]]/10</f>
        <v>0</v>
      </c>
      <c r="AB254" s="45">
        <f t="shared" si="15"/>
        <v>0</v>
      </c>
      <c r="AC254" s="5"/>
      <c r="AD254" s="40">
        <f>(TABL12345[[#This Row],[( S/S+T/B) AJD]]*1000)-((TABL12345[[#This Row],[(STORGE DIFF.) AJD]]*1000)+TABL12345[[#This Row],[البخر  AJD]]+(TABL12345[[#This Row],[(A/B + A/S) AJD]]*1000))</f>
        <v>0</v>
      </c>
      <c r="AE254" s="44"/>
      <c r="AF254" s="45"/>
      <c r="AG254" s="45"/>
      <c r="AH254" s="6">
        <f>TABL12345[[#This Row],[ (RESV. STORGE) BER]]/10</f>
        <v>0</v>
      </c>
      <c r="AI254" s="44"/>
      <c r="AJ254" s="44">
        <f>TABL12345[[#This Row],[(A/B TOT) AJD]]-TABL12345[[#This Row],[BER_ IN]]</f>
        <v>0</v>
      </c>
      <c r="AK254" s="45"/>
      <c r="AL254" s="45"/>
      <c r="AM254" s="32"/>
      <c r="AN254" s="32">
        <f>TABL12345[[#This Row],[ (RESV. STORGE) SER]]/10</f>
        <v>0</v>
      </c>
      <c r="AO254" s="68"/>
      <c r="AP254" s="68">
        <f>TABL12345[[#This Row],[(A/S TOT) AJD]]-TABL12345[[#This Row],[SER_ IN]]</f>
        <v>0</v>
      </c>
    </row>
    <row r="255" spans="1:42" ht="18.75" x14ac:dyDescent="0.25">
      <c r="A255" s="2">
        <v>47737</v>
      </c>
      <c r="B255" s="41"/>
      <c r="C255" s="41"/>
      <c r="D255" s="41"/>
      <c r="E255" s="35"/>
      <c r="F255" s="41"/>
      <c r="G255" s="39"/>
      <c r="H255" s="28"/>
      <c r="I255" s="39"/>
      <c r="J255" s="39"/>
      <c r="K255" s="28">
        <f>TABL12345[[#This Row],[خط (T/B  TOT) SAR]]+TABL12345[[#This Row],[خط (S/S  TOT) SAR2]]</f>
        <v>0</v>
      </c>
      <c r="L255" s="41"/>
      <c r="M255" s="42"/>
      <c r="N255" s="42"/>
      <c r="O255" s="39"/>
      <c r="P255" s="9">
        <f>TABL12345[[#This Row],[خط (S/S  TOT) SAR2]]-TABL12345[[#This Row],[(S/S TOT) AJD]]</f>
        <v>0</v>
      </c>
      <c r="Q255" s="39"/>
      <c r="R255" s="9">
        <f>TABL12345[[#This Row],[خط (T/B  TOT) SAR]]-TABL12345[[#This Row],[(T/B TOT) AJD]]</f>
        <v>0</v>
      </c>
      <c r="S255" s="9">
        <f>TABL12345[[#This Row],[الفرق بين بداية ونهاية خط  S/S]]+TABL12345[[#This Row],[الفرق بين بداية ونهاية خط  T/B]]</f>
        <v>0</v>
      </c>
      <c r="T255" s="9">
        <f t="shared" si="12"/>
        <v>0</v>
      </c>
      <c r="U255" s="41"/>
      <c r="V255" s="41"/>
      <c r="W255" s="9">
        <f t="shared" si="13"/>
        <v>0</v>
      </c>
      <c r="X255" s="9">
        <f t="shared" si="14"/>
        <v>0</v>
      </c>
      <c r="Y255" s="41"/>
      <c r="Z255" s="43"/>
      <c r="AA255" s="3">
        <f>TABL12345[[#This Row],[(RESV. STORGE) AJD]]/10</f>
        <v>0</v>
      </c>
      <c r="AB255" s="43">
        <f t="shared" si="15"/>
        <v>0</v>
      </c>
      <c r="AC255" s="5"/>
      <c r="AD255" s="39">
        <f>(TABL12345[[#This Row],[( S/S+T/B) AJD]]*1000)-((TABL12345[[#This Row],[(STORGE DIFF.) AJD]]*1000)+TABL12345[[#This Row],[البخر  AJD]]+(TABL12345[[#This Row],[(A/B + A/S) AJD]]*1000))</f>
        <v>0</v>
      </c>
      <c r="AE255" s="41"/>
      <c r="AF255" s="43"/>
      <c r="AG255" s="43"/>
      <c r="AH255" s="6">
        <f>TABL12345[[#This Row],[ (RESV. STORGE) BER]]/10</f>
        <v>0</v>
      </c>
      <c r="AI255" s="41"/>
      <c r="AJ255" s="41">
        <f>TABL12345[[#This Row],[(A/B TOT) AJD]]-TABL12345[[#This Row],[BER_ IN]]</f>
        <v>0</v>
      </c>
      <c r="AK255" s="43"/>
      <c r="AL255" s="43"/>
      <c r="AM255" s="32"/>
      <c r="AN255" s="32">
        <f>TABL12345[[#This Row],[ (RESV. STORGE) SER]]/10</f>
        <v>0</v>
      </c>
      <c r="AO255" s="68"/>
      <c r="AP255" s="68">
        <f>TABL12345[[#This Row],[(A/S TOT) AJD]]-TABL12345[[#This Row],[SER_ IN]]</f>
        <v>0</v>
      </c>
    </row>
    <row r="256" spans="1:42" ht="18.75" x14ac:dyDescent="0.25">
      <c r="A256" s="2">
        <v>47738</v>
      </c>
      <c r="B256" s="44"/>
      <c r="C256" s="44"/>
      <c r="D256" s="44"/>
      <c r="E256" s="35"/>
      <c r="F256" s="44"/>
      <c r="G256" s="40"/>
      <c r="H256" s="28"/>
      <c r="I256" s="40"/>
      <c r="J256" s="44"/>
      <c r="K256" s="28">
        <f>TABL12345[[#This Row],[خط (T/B  TOT) SAR]]+TABL12345[[#This Row],[خط (S/S  TOT) SAR2]]</f>
        <v>0</v>
      </c>
      <c r="L256" s="45"/>
      <c r="M256" s="46"/>
      <c r="N256" s="46"/>
      <c r="O256" s="40"/>
      <c r="P256" s="9">
        <f>TABL12345[[#This Row],[خط (S/S  TOT) SAR2]]-TABL12345[[#This Row],[(S/S TOT) AJD]]</f>
        <v>0</v>
      </c>
      <c r="Q256" s="40"/>
      <c r="R256" s="9">
        <f>TABL12345[[#This Row],[خط (T/B  TOT) SAR]]-TABL12345[[#This Row],[(T/B TOT) AJD]]</f>
        <v>0</v>
      </c>
      <c r="S256" s="9">
        <f>TABL12345[[#This Row],[الفرق بين بداية ونهاية خط  S/S]]+TABL12345[[#This Row],[الفرق بين بداية ونهاية خط  T/B]]</f>
        <v>0</v>
      </c>
      <c r="T256" s="9">
        <f t="shared" si="12"/>
        <v>0</v>
      </c>
      <c r="U256" s="44"/>
      <c r="V256" s="44"/>
      <c r="W256" s="9">
        <f t="shared" si="13"/>
        <v>0</v>
      </c>
      <c r="X256" s="9">
        <f t="shared" si="14"/>
        <v>0</v>
      </c>
      <c r="Y256" s="44"/>
      <c r="Z256" s="45"/>
      <c r="AA256" s="3">
        <f>TABL12345[[#This Row],[(RESV. STORGE) AJD]]/10</f>
        <v>0</v>
      </c>
      <c r="AB256" s="45">
        <f t="shared" si="15"/>
        <v>0</v>
      </c>
      <c r="AC256" s="5"/>
      <c r="AD256" s="40">
        <f>(TABL12345[[#This Row],[( S/S+T/B) AJD]]*1000)-((TABL12345[[#This Row],[(STORGE DIFF.) AJD]]*1000)+TABL12345[[#This Row],[البخر  AJD]]+(TABL12345[[#This Row],[(A/B + A/S) AJD]]*1000))</f>
        <v>0</v>
      </c>
      <c r="AE256" s="44"/>
      <c r="AF256" s="45"/>
      <c r="AG256" s="45"/>
      <c r="AH256" s="6">
        <f>TABL12345[[#This Row],[ (RESV. STORGE) BER]]/10</f>
        <v>0</v>
      </c>
      <c r="AI256" s="44"/>
      <c r="AJ256" s="44">
        <f>TABL12345[[#This Row],[(A/B TOT) AJD]]-TABL12345[[#This Row],[BER_ IN]]</f>
        <v>0</v>
      </c>
      <c r="AK256" s="45"/>
      <c r="AL256" s="45"/>
      <c r="AM256" s="32"/>
      <c r="AN256" s="32">
        <f>TABL12345[[#This Row],[ (RESV. STORGE) SER]]/10</f>
        <v>0</v>
      </c>
      <c r="AO256" s="68"/>
      <c r="AP256" s="68">
        <f>TABL12345[[#This Row],[(A/S TOT) AJD]]-TABL12345[[#This Row],[SER_ IN]]</f>
        <v>0</v>
      </c>
    </row>
    <row r="257" spans="1:42" ht="18.75" x14ac:dyDescent="0.25">
      <c r="A257" s="2">
        <v>47739</v>
      </c>
      <c r="B257" s="41"/>
      <c r="C257" s="41"/>
      <c r="D257" s="41"/>
      <c r="E257" s="35"/>
      <c r="F257" s="41"/>
      <c r="G257" s="39"/>
      <c r="H257" s="28"/>
      <c r="I257" s="39"/>
      <c r="J257" s="39"/>
      <c r="K257" s="28">
        <f>TABL12345[[#This Row],[خط (T/B  TOT) SAR]]+TABL12345[[#This Row],[خط (S/S  TOT) SAR2]]</f>
        <v>0</v>
      </c>
      <c r="L257" s="41"/>
      <c r="M257" s="42"/>
      <c r="N257" s="42"/>
      <c r="O257" s="39"/>
      <c r="P257" s="9">
        <f>TABL12345[[#This Row],[خط (S/S  TOT) SAR2]]-TABL12345[[#This Row],[(S/S TOT) AJD]]</f>
        <v>0</v>
      </c>
      <c r="Q257" s="39"/>
      <c r="R257" s="9">
        <f>TABL12345[[#This Row],[خط (T/B  TOT) SAR]]-TABL12345[[#This Row],[(T/B TOT) AJD]]</f>
        <v>0</v>
      </c>
      <c r="S257" s="9">
        <f>TABL12345[[#This Row],[الفرق بين بداية ونهاية خط  S/S]]+TABL12345[[#This Row],[الفرق بين بداية ونهاية خط  T/B]]</f>
        <v>0</v>
      </c>
      <c r="T257" s="9">
        <f t="shared" si="12"/>
        <v>0</v>
      </c>
      <c r="U257" s="41"/>
      <c r="V257" s="41"/>
      <c r="W257" s="9">
        <f t="shared" si="13"/>
        <v>0</v>
      </c>
      <c r="X257" s="9">
        <f t="shared" si="14"/>
        <v>0</v>
      </c>
      <c r="Y257" s="41"/>
      <c r="Z257" s="43"/>
      <c r="AA257" s="3">
        <f>TABL12345[[#This Row],[(RESV. STORGE) AJD]]/10</f>
        <v>0</v>
      </c>
      <c r="AB257" s="43">
        <f t="shared" si="15"/>
        <v>0</v>
      </c>
      <c r="AC257" s="5"/>
      <c r="AD257" s="39">
        <f>(TABL12345[[#This Row],[( S/S+T/B) AJD]]*1000)-((TABL12345[[#This Row],[(STORGE DIFF.) AJD]]*1000)+TABL12345[[#This Row],[البخر  AJD]]+(TABL12345[[#This Row],[(A/B + A/S) AJD]]*1000))</f>
        <v>0</v>
      </c>
      <c r="AE257" s="41"/>
      <c r="AF257" s="43"/>
      <c r="AG257" s="43"/>
      <c r="AH257" s="6">
        <f>TABL12345[[#This Row],[ (RESV. STORGE) BER]]/10</f>
        <v>0</v>
      </c>
      <c r="AI257" s="41"/>
      <c r="AJ257" s="41">
        <f>TABL12345[[#This Row],[(A/B TOT) AJD]]-TABL12345[[#This Row],[BER_ IN]]</f>
        <v>0</v>
      </c>
      <c r="AK257" s="43"/>
      <c r="AL257" s="43"/>
      <c r="AM257" s="32"/>
      <c r="AN257" s="32">
        <f>TABL12345[[#This Row],[ (RESV. STORGE) SER]]/10</f>
        <v>0</v>
      </c>
      <c r="AO257" s="68"/>
      <c r="AP257" s="68">
        <f>TABL12345[[#This Row],[(A/S TOT) AJD]]-TABL12345[[#This Row],[SER_ IN]]</f>
        <v>0</v>
      </c>
    </row>
    <row r="258" spans="1:42" ht="18.75" x14ac:dyDescent="0.25">
      <c r="A258" s="2">
        <v>47740</v>
      </c>
      <c r="B258" s="44"/>
      <c r="C258" s="44"/>
      <c r="D258" s="44"/>
      <c r="E258" s="35"/>
      <c r="F258" s="44"/>
      <c r="G258" s="40"/>
      <c r="H258" s="28"/>
      <c r="I258" s="40"/>
      <c r="J258" s="44"/>
      <c r="K258" s="28">
        <f>TABL12345[[#This Row],[خط (T/B  TOT) SAR]]+TABL12345[[#This Row],[خط (S/S  TOT) SAR2]]</f>
        <v>0</v>
      </c>
      <c r="L258" s="45"/>
      <c r="M258" s="46"/>
      <c r="N258" s="46"/>
      <c r="O258" s="40"/>
      <c r="P258" s="9">
        <f>TABL12345[[#This Row],[خط (S/S  TOT) SAR2]]-TABL12345[[#This Row],[(S/S TOT) AJD]]</f>
        <v>0</v>
      </c>
      <c r="Q258" s="40"/>
      <c r="R258" s="9">
        <f>TABL12345[[#This Row],[خط (T/B  TOT) SAR]]-TABL12345[[#This Row],[(T/B TOT) AJD]]</f>
        <v>0</v>
      </c>
      <c r="S258" s="9">
        <f>TABL12345[[#This Row],[الفرق بين بداية ونهاية خط  S/S]]+TABL12345[[#This Row],[الفرق بين بداية ونهاية خط  T/B]]</f>
        <v>0</v>
      </c>
      <c r="T258" s="9">
        <f t="shared" ref="T258:T321" si="16">O258+Q258</f>
        <v>0</v>
      </c>
      <c r="U258" s="44"/>
      <c r="V258" s="44"/>
      <c r="W258" s="9">
        <f t="shared" ref="W258:W321" si="17">U258+V258</f>
        <v>0</v>
      </c>
      <c r="X258" s="9">
        <f t="shared" ref="X258:X321" si="18">T258-W258</f>
        <v>0</v>
      </c>
      <c r="Y258" s="44"/>
      <c r="Z258" s="45"/>
      <c r="AA258" s="3">
        <f>TABL12345[[#This Row],[(RESV. STORGE) AJD]]/10</f>
        <v>0</v>
      </c>
      <c r="AB258" s="45">
        <f t="shared" si="15"/>
        <v>0</v>
      </c>
      <c r="AC258" s="5"/>
      <c r="AD258" s="40">
        <f>(TABL12345[[#This Row],[( S/S+T/B) AJD]]*1000)-((TABL12345[[#This Row],[(STORGE DIFF.) AJD]]*1000)+TABL12345[[#This Row],[البخر  AJD]]+(TABL12345[[#This Row],[(A/B + A/S) AJD]]*1000))</f>
        <v>0</v>
      </c>
      <c r="AE258" s="44"/>
      <c r="AF258" s="45"/>
      <c r="AG258" s="45"/>
      <c r="AH258" s="6">
        <f>TABL12345[[#This Row],[ (RESV. STORGE) BER]]/10</f>
        <v>0</v>
      </c>
      <c r="AI258" s="44"/>
      <c r="AJ258" s="44">
        <f>TABL12345[[#This Row],[(A/B TOT) AJD]]-TABL12345[[#This Row],[BER_ IN]]</f>
        <v>0</v>
      </c>
      <c r="AK258" s="45"/>
      <c r="AL258" s="45"/>
      <c r="AM258" s="32"/>
      <c r="AN258" s="32">
        <f>TABL12345[[#This Row],[ (RESV. STORGE) SER]]/10</f>
        <v>0</v>
      </c>
      <c r="AO258" s="68"/>
      <c r="AP258" s="68">
        <f>TABL12345[[#This Row],[(A/S TOT) AJD]]-TABL12345[[#This Row],[SER_ IN]]</f>
        <v>0</v>
      </c>
    </row>
    <row r="259" spans="1:42" ht="18.75" x14ac:dyDescent="0.25">
      <c r="A259" s="2">
        <v>47741</v>
      </c>
      <c r="B259" s="41"/>
      <c r="C259" s="41"/>
      <c r="D259" s="41"/>
      <c r="E259" s="35"/>
      <c r="F259" s="41"/>
      <c r="G259" s="39"/>
      <c r="H259" s="28"/>
      <c r="I259" s="39"/>
      <c r="J259" s="39"/>
      <c r="K259" s="28">
        <f>TABL12345[[#This Row],[خط (T/B  TOT) SAR]]+TABL12345[[#This Row],[خط (S/S  TOT) SAR2]]</f>
        <v>0</v>
      </c>
      <c r="L259" s="41"/>
      <c r="M259" s="42"/>
      <c r="N259" s="42"/>
      <c r="O259" s="39"/>
      <c r="P259" s="9">
        <f>TABL12345[[#This Row],[خط (S/S  TOT) SAR2]]-TABL12345[[#This Row],[(S/S TOT) AJD]]</f>
        <v>0</v>
      </c>
      <c r="Q259" s="39"/>
      <c r="R259" s="9">
        <f>TABL12345[[#This Row],[خط (T/B  TOT) SAR]]-TABL12345[[#This Row],[(T/B TOT) AJD]]</f>
        <v>0</v>
      </c>
      <c r="S259" s="9">
        <f>TABL12345[[#This Row],[الفرق بين بداية ونهاية خط  S/S]]+TABL12345[[#This Row],[الفرق بين بداية ونهاية خط  T/B]]</f>
        <v>0</v>
      </c>
      <c r="T259" s="9">
        <f t="shared" si="16"/>
        <v>0</v>
      </c>
      <c r="U259" s="41"/>
      <c r="V259" s="41"/>
      <c r="W259" s="9">
        <f t="shared" si="17"/>
        <v>0</v>
      </c>
      <c r="X259" s="9">
        <f t="shared" si="18"/>
        <v>0</v>
      </c>
      <c r="Y259" s="41"/>
      <c r="Z259" s="43"/>
      <c r="AA259" s="3">
        <f>TABL12345[[#This Row],[(RESV. STORGE) AJD]]/10</f>
        <v>0</v>
      </c>
      <c r="AB259" s="43">
        <f t="shared" si="15"/>
        <v>0</v>
      </c>
      <c r="AC259" s="5"/>
      <c r="AD259" s="39">
        <f>(TABL12345[[#This Row],[( S/S+T/B) AJD]]*1000)-((TABL12345[[#This Row],[(STORGE DIFF.) AJD]]*1000)+TABL12345[[#This Row],[البخر  AJD]]+(TABL12345[[#This Row],[(A/B + A/S) AJD]]*1000))</f>
        <v>0</v>
      </c>
      <c r="AE259" s="41"/>
      <c r="AF259" s="43"/>
      <c r="AG259" s="43"/>
      <c r="AH259" s="6">
        <f>TABL12345[[#This Row],[ (RESV. STORGE) BER]]/10</f>
        <v>0</v>
      </c>
      <c r="AI259" s="41"/>
      <c r="AJ259" s="41">
        <f>TABL12345[[#This Row],[(A/B TOT) AJD]]-TABL12345[[#This Row],[BER_ IN]]</f>
        <v>0</v>
      </c>
      <c r="AK259" s="43"/>
      <c r="AL259" s="43"/>
      <c r="AM259" s="32"/>
      <c r="AN259" s="32">
        <f>TABL12345[[#This Row],[ (RESV. STORGE) SER]]/10</f>
        <v>0</v>
      </c>
      <c r="AO259" s="68"/>
      <c r="AP259" s="68">
        <f>TABL12345[[#This Row],[(A/S TOT) AJD]]-TABL12345[[#This Row],[SER_ IN]]</f>
        <v>0</v>
      </c>
    </row>
    <row r="260" spans="1:42" ht="18.75" x14ac:dyDescent="0.25">
      <c r="A260" s="2">
        <v>47742</v>
      </c>
      <c r="B260" s="44"/>
      <c r="C260" s="44"/>
      <c r="D260" s="44"/>
      <c r="E260" s="35"/>
      <c r="F260" s="44"/>
      <c r="G260" s="40"/>
      <c r="H260" s="28"/>
      <c r="I260" s="40"/>
      <c r="J260" s="44"/>
      <c r="K260" s="28">
        <f>TABL12345[[#This Row],[خط (T/B  TOT) SAR]]+TABL12345[[#This Row],[خط (S/S  TOT) SAR2]]</f>
        <v>0</v>
      </c>
      <c r="L260" s="45"/>
      <c r="M260" s="46"/>
      <c r="N260" s="46"/>
      <c r="O260" s="40"/>
      <c r="P260" s="9">
        <f>TABL12345[[#This Row],[خط (S/S  TOT) SAR2]]-TABL12345[[#This Row],[(S/S TOT) AJD]]</f>
        <v>0</v>
      </c>
      <c r="Q260" s="40"/>
      <c r="R260" s="9">
        <f>TABL12345[[#This Row],[خط (T/B  TOT) SAR]]-TABL12345[[#This Row],[(T/B TOT) AJD]]</f>
        <v>0</v>
      </c>
      <c r="S260" s="9">
        <f>TABL12345[[#This Row],[الفرق بين بداية ونهاية خط  S/S]]+TABL12345[[#This Row],[الفرق بين بداية ونهاية خط  T/B]]</f>
        <v>0</v>
      </c>
      <c r="T260" s="9">
        <f t="shared" si="16"/>
        <v>0</v>
      </c>
      <c r="U260" s="44"/>
      <c r="V260" s="44"/>
      <c r="W260" s="9">
        <f t="shared" si="17"/>
        <v>0</v>
      </c>
      <c r="X260" s="9">
        <f t="shared" si="18"/>
        <v>0</v>
      </c>
      <c r="Y260" s="44"/>
      <c r="Z260" s="45"/>
      <c r="AA260" s="3">
        <f>TABL12345[[#This Row],[(RESV. STORGE) AJD]]/10</f>
        <v>0</v>
      </c>
      <c r="AB260" s="45">
        <f t="shared" ref="AB260:AB323" si="19">(Z260-Z259)/1000</f>
        <v>0</v>
      </c>
      <c r="AC260" s="5"/>
      <c r="AD260" s="40">
        <f>(TABL12345[[#This Row],[( S/S+T/B) AJD]]*1000)-((TABL12345[[#This Row],[(STORGE DIFF.) AJD]]*1000)+TABL12345[[#This Row],[البخر  AJD]]+(TABL12345[[#This Row],[(A/B + A/S) AJD]]*1000))</f>
        <v>0</v>
      </c>
      <c r="AE260" s="44"/>
      <c r="AF260" s="45"/>
      <c r="AG260" s="45"/>
      <c r="AH260" s="6">
        <f>TABL12345[[#This Row],[ (RESV. STORGE) BER]]/10</f>
        <v>0</v>
      </c>
      <c r="AI260" s="44"/>
      <c r="AJ260" s="44">
        <f>TABL12345[[#This Row],[(A/B TOT) AJD]]-TABL12345[[#This Row],[BER_ IN]]</f>
        <v>0</v>
      </c>
      <c r="AK260" s="45"/>
      <c r="AL260" s="45"/>
      <c r="AM260" s="32"/>
      <c r="AN260" s="32">
        <f>TABL12345[[#This Row],[ (RESV. STORGE) SER]]/10</f>
        <v>0</v>
      </c>
      <c r="AO260" s="68"/>
      <c r="AP260" s="68">
        <f>TABL12345[[#This Row],[(A/S TOT) AJD]]-TABL12345[[#This Row],[SER_ IN]]</f>
        <v>0</v>
      </c>
    </row>
    <row r="261" spans="1:42" ht="18.75" x14ac:dyDescent="0.25">
      <c r="A261" s="2">
        <v>47743</v>
      </c>
      <c r="B261" s="41"/>
      <c r="C261" s="41"/>
      <c r="D261" s="41"/>
      <c r="E261" s="35"/>
      <c r="F261" s="41"/>
      <c r="G261" s="39"/>
      <c r="H261" s="28"/>
      <c r="I261" s="39"/>
      <c r="J261" s="39"/>
      <c r="K261" s="28">
        <f>TABL12345[[#This Row],[خط (T/B  TOT) SAR]]+TABL12345[[#This Row],[خط (S/S  TOT) SAR2]]</f>
        <v>0</v>
      </c>
      <c r="L261" s="41"/>
      <c r="M261" s="42"/>
      <c r="N261" s="42"/>
      <c r="O261" s="39"/>
      <c r="P261" s="9">
        <f>TABL12345[[#This Row],[خط (S/S  TOT) SAR2]]-TABL12345[[#This Row],[(S/S TOT) AJD]]</f>
        <v>0</v>
      </c>
      <c r="Q261" s="39"/>
      <c r="R261" s="9">
        <f>TABL12345[[#This Row],[خط (T/B  TOT) SAR]]-TABL12345[[#This Row],[(T/B TOT) AJD]]</f>
        <v>0</v>
      </c>
      <c r="S261" s="9">
        <f>TABL12345[[#This Row],[الفرق بين بداية ونهاية خط  S/S]]+TABL12345[[#This Row],[الفرق بين بداية ونهاية خط  T/B]]</f>
        <v>0</v>
      </c>
      <c r="T261" s="9">
        <f t="shared" si="16"/>
        <v>0</v>
      </c>
      <c r="U261" s="41"/>
      <c r="V261" s="41"/>
      <c r="W261" s="9">
        <f t="shared" si="17"/>
        <v>0</v>
      </c>
      <c r="X261" s="9">
        <f t="shared" si="18"/>
        <v>0</v>
      </c>
      <c r="Y261" s="41"/>
      <c r="Z261" s="43"/>
      <c r="AA261" s="3">
        <f>TABL12345[[#This Row],[(RESV. STORGE) AJD]]/10</f>
        <v>0</v>
      </c>
      <c r="AB261" s="43">
        <f t="shared" si="19"/>
        <v>0</v>
      </c>
      <c r="AC261" s="5"/>
      <c r="AD261" s="39">
        <f>(TABL12345[[#This Row],[( S/S+T/B) AJD]]*1000)-((TABL12345[[#This Row],[(STORGE DIFF.) AJD]]*1000)+TABL12345[[#This Row],[البخر  AJD]]+(TABL12345[[#This Row],[(A/B + A/S) AJD]]*1000))</f>
        <v>0</v>
      </c>
      <c r="AE261" s="41"/>
      <c r="AF261" s="43"/>
      <c r="AG261" s="43"/>
      <c r="AH261" s="6">
        <f>TABL12345[[#This Row],[ (RESV. STORGE) BER]]/10</f>
        <v>0</v>
      </c>
      <c r="AI261" s="41"/>
      <c r="AJ261" s="41">
        <f>TABL12345[[#This Row],[(A/B TOT) AJD]]-TABL12345[[#This Row],[BER_ IN]]</f>
        <v>0</v>
      </c>
      <c r="AK261" s="43"/>
      <c r="AL261" s="43"/>
      <c r="AM261" s="32"/>
      <c r="AN261" s="32">
        <f>TABL12345[[#This Row],[ (RESV. STORGE) SER]]/10</f>
        <v>0</v>
      </c>
      <c r="AO261" s="68"/>
      <c r="AP261" s="68">
        <f>TABL12345[[#This Row],[(A/S TOT) AJD]]-TABL12345[[#This Row],[SER_ IN]]</f>
        <v>0</v>
      </c>
    </row>
    <row r="262" spans="1:42" ht="18.75" x14ac:dyDescent="0.25">
      <c r="A262" s="2">
        <v>47744</v>
      </c>
      <c r="B262" s="44"/>
      <c r="C262" s="44"/>
      <c r="D262" s="44"/>
      <c r="E262" s="35"/>
      <c r="F262" s="44"/>
      <c r="G262" s="40"/>
      <c r="H262" s="28"/>
      <c r="I262" s="40"/>
      <c r="J262" s="44"/>
      <c r="K262" s="28">
        <f>TABL12345[[#This Row],[خط (T/B  TOT) SAR]]+TABL12345[[#This Row],[خط (S/S  TOT) SAR2]]</f>
        <v>0</v>
      </c>
      <c r="L262" s="45"/>
      <c r="M262" s="46"/>
      <c r="N262" s="46"/>
      <c r="O262" s="40"/>
      <c r="P262" s="9">
        <f>TABL12345[[#This Row],[خط (S/S  TOT) SAR2]]-TABL12345[[#This Row],[(S/S TOT) AJD]]</f>
        <v>0</v>
      </c>
      <c r="Q262" s="40"/>
      <c r="R262" s="9">
        <f>TABL12345[[#This Row],[خط (T/B  TOT) SAR]]-TABL12345[[#This Row],[(T/B TOT) AJD]]</f>
        <v>0</v>
      </c>
      <c r="S262" s="9">
        <f>TABL12345[[#This Row],[الفرق بين بداية ونهاية خط  S/S]]+TABL12345[[#This Row],[الفرق بين بداية ونهاية خط  T/B]]</f>
        <v>0</v>
      </c>
      <c r="T262" s="9">
        <f t="shared" si="16"/>
        <v>0</v>
      </c>
      <c r="U262" s="44"/>
      <c r="V262" s="44"/>
      <c r="W262" s="9">
        <f t="shared" si="17"/>
        <v>0</v>
      </c>
      <c r="X262" s="9">
        <f t="shared" si="18"/>
        <v>0</v>
      </c>
      <c r="Y262" s="44"/>
      <c r="Z262" s="45"/>
      <c r="AA262" s="3">
        <f>TABL12345[[#This Row],[(RESV. STORGE) AJD]]/10</f>
        <v>0</v>
      </c>
      <c r="AB262" s="45">
        <f t="shared" si="19"/>
        <v>0</v>
      </c>
      <c r="AC262" s="5"/>
      <c r="AD262" s="40">
        <f>(TABL12345[[#This Row],[( S/S+T/B) AJD]]*1000)-((TABL12345[[#This Row],[(STORGE DIFF.) AJD]]*1000)+TABL12345[[#This Row],[البخر  AJD]]+(TABL12345[[#This Row],[(A/B + A/S) AJD]]*1000))</f>
        <v>0</v>
      </c>
      <c r="AE262" s="44"/>
      <c r="AF262" s="45"/>
      <c r="AG262" s="45"/>
      <c r="AH262" s="6">
        <f>TABL12345[[#This Row],[ (RESV. STORGE) BER]]/10</f>
        <v>0</v>
      </c>
      <c r="AI262" s="44"/>
      <c r="AJ262" s="44">
        <f>TABL12345[[#This Row],[(A/B TOT) AJD]]-TABL12345[[#This Row],[BER_ IN]]</f>
        <v>0</v>
      </c>
      <c r="AK262" s="45"/>
      <c r="AL262" s="45"/>
      <c r="AM262" s="32"/>
      <c r="AN262" s="32">
        <f>TABL12345[[#This Row],[ (RESV. STORGE) SER]]/10</f>
        <v>0</v>
      </c>
      <c r="AO262" s="68"/>
      <c r="AP262" s="68">
        <f>TABL12345[[#This Row],[(A/S TOT) AJD]]-TABL12345[[#This Row],[SER_ IN]]</f>
        <v>0</v>
      </c>
    </row>
    <row r="263" spans="1:42" ht="18.75" x14ac:dyDescent="0.25">
      <c r="A263" s="2">
        <v>47745</v>
      </c>
      <c r="B263" s="41"/>
      <c r="C263" s="41"/>
      <c r="D263" s="41"/>
      <c r="E263" s="35"/>
      <c r="F263" s="41"/>
      <c r="G263" s="39"/>
      <c r="H263" s="28"/>
      <c r="I263" s="39"/>
      <c r="J263" s="39"/>
      <c r="K263" s="28">
        <f>TABL12345[[#This Row],[خط (T/B  TOT) SAR]]+TABL12345[[#This Row],[خط (S/S  TOT) SAR2]]</f>
        <v>0</v>
      </c>
      <c r="L263" s="41"/>
      <c r="M263" s="42"/>
      <c r="N263" s="42"/>
      <c r="O263" s="39"/>
      <c r="P263" s="9">
        <f>TABL12345[[#This Row],[خط (S/S  TOT) SAR2]]-TABL12345[[#This Row],[(S/S TOT) AJD]]</f>
        <v>0</v>
      </c>
      <c r="Q263" s="39"/>
      <c r="R263" s="9">
        <f>TABL12345[[#This Row],[خط (T/B  TOT) SAR]]-TABL12345[[#This Row],[(T/B TOT) AJD]]</f>
        <v>0</v>
      </c>
      <c r="S263" s="9">
        <f>TABL12345[[#This Row],[الفرق بين بداية ونهاية خط  S/S]]+TABL12345[[#This Row],[الفرق بين بداية ونهاية خط  T/B]]</f>
        <v>0</v>
      </c>
      <c r="T263" s="9">
        <f t="shared" si="16"/>
        <v>0</v>
      </c>
      <c r="U263" s="41"/>
      <c r="V263" s="41"/>
      <c r="W263" s="9">
        <f t="shared" si="17"/>
        <v>0</v>
      </c>
      <c r="X263" s="9">
        <f t="shared" si="18"/>
        <v>0</v>
      </c>
      <c r="Y263" s="41"/>
      <c r="Z263" s="43"/>
      <c r="AA263" s="3">
        <f>TABL12345[[#This Row],[(RESV. STORGE) AJD]]/10</f>
        <v>0</v>
      </c>
      <c r="AB263" s="43">
        <f t="shared" si="19"/>
        <v>0</v>
      </c>
      <c r="AC263" s="5"/>
      <c r="AD263" s="39">
        <f>(TABL12345[[#This Row],[( S/S+T/B) AJD]]*1000)-((TABL12345[[#This Row],[(STORGE DIFF.) AJD]]*1000)+TABL12345[[#This Row],[البخر  AJD]]+(TABL12345[[#This Row],[(A/B + A/S) AJD]]*1000))</f>
        <v>0</v>
      </c>
      <c r="AE263" s="41"/>
      <c r="AF263" s="43"/>
      <c r="AG263" s="43"/>
      <c r="AH263" s="6">
        <f>TABL12345[[#This Row],[ (RESV. STORGE) BER]]/10</f>
        <v>0</v>
      </c>
      <c r="AI263" s="41"/>
      <c r="AJ263" s="41">
        <f>TABL12345[[#This Row],[(A/B TOT) AJD]]-TABL12345[[#This Row],[BER_ IN]]</f>
        <v>0</v>
      </c>
      <c r="AK263" s="43"/>
      <c r="AL263" s="43"/>
      <c r="AM263" s="32"/>
      <c r="AN263" s="32">
        <f>TABL12345[[#This Row],[ (RESV. STORGE) SER]]/10</f>
        <v>0</v>
      </c>
      <c r="AO263" s="68"/>
      <c r="AP263" s="68">
        <f>TABL12345[[#This Row],[(A/S TOT) AJD]]-TABL12345[[#This Row],[SER_ IN]]</f>
        <v>0</v>
      </c>
    </row>
    <row r="264" spans="1:42" ht="18.75" x14ac:dyDescent="0.25">
      <c r="A264" s="2">
        <v>47746</v>
      </c>
      <c r="B264" s="44"/>
      <c r="C264" s="44"/>
      <c r="D264" s="44"/>
      <c r="E264" s="35"/>
      <c r="F264" s="44"/>
      <c r="G264" s="40"/>
      <c r="H264" s="28"/>
      <c r="I264" s="40"/>
      <c r="J264" s="44"/>
      <c r="K264" s="28">
        <f>TABL12345[[#This Row],[خط (T/B  TOT) SAR]]+TABL12345[[#This Row],[خط (S/S  TOT) SAR2]]</f>
        <v>0</v>
      </c>
      <c r="L264" s="45"/>
      <c r="M264" s="46"/>
      <c r="N264" s="46"/>
      <c r="O264" s="40"/>
      <c r="P264" s="9">
        <f>TABL12345[[#This Row],[خط (S/S  TOT) SAR2]]-TABL12345[[#This Row],[(S/S TOT) AJD]]</f>
        <v>0</v>
      </c>
      <c r="Q264" s="40"/>
      <c r="R264" s="9">
        <f>TABL12345[[#This Row],[خط (T/B  TOT) SAR]]-TABL12345[[#This Row],[(T/B TOT) AJD]]</f>
        <v>0</v>
      </c>
      <c r="S264" s="9">
        <f>TABL12345[[#This Row],[الفرق بين بداية ونهاية خط  S/S]]+TABL12345[[#This Row],[الفرق بين بداية ونهاية خط  T/B]]</f>
        <v>0</v>
      </c>
      <c r="T264" s="9">
        <f t="shared" si="16"/>
        <v>0</v>
      </c>
      <c r="U264" s="44"/>
      <c r="V264" s="44"/>
      <c r="W264" s="9">
        <f t="shared" si="17"/>
        <v>0</v>
      </c>
      <c r="X264" s="9">
        <f t="shared" si="18"/>
        <v>0</v>
      </c>
      <c r="Y264" s="44"/>
      <c r="Z264" s="45"/>
      <c r="AA264" s="3">
        <f>TABL12345[[#This Row],[(RESV. STORGE) AJD]]/10</f>
        <v>0</v>
      </c>
      <c r="AB264" s="45">
        <f t="shared" si="19"/>
        <v>0</v>
      </c>
      <c r="AC264" s="5"/>
      <c r="AD264" s="40">
        <f>(TABL12345[[#This Row],[( S/S+T/B) AJD]]*1000)-((TABL12345[[#This Row],[(STORGE DIFF.) AJD]]*1000)+TABL12345[[#This Row],[البخر  AJD]]+(TABL12345[[#This Row],[(A/B + A/S) AJD]]*1000))</f>
        <v>0</v>
      </c>
      <c r="AE264" s="44"/>
      <c r="AF264" s="45"/>
      <c r="AG264" s="45"/>
      <c r="AH264" s="6">
        <f>TABL12345[[#This Row],[ (RESV. STORGE) BER]]/10</f>
        <v>0</v>
      </c>
      <c r="AI264" s="44"/>
      <c r="AJ264" s="44">
        <f>TABL12345[[#This Row],[(A/B TOT) AJD]]-TABL12345[[#This Row],[BER_ IN]]</f>
        <v>0</v>
      </c>
      <c r="AK264" s="45"/>
      <c r="AL264" s="45"/>
      <c r="AM264" s="32"/>
      <c r="AN264" s="32">
        <f>TABL12345[[#This Row],[ (RESV. STORGE) SER]]/10</f>
        <v>0</v>
      </c>
      <c r="AO264" s="68"/>
      <c r="AP264" s="68">
        <f>TABL12345[[#This Row],[(A/S TOT) AJD]]-TABL12345[[#This Row],[SER_ IN]]</f>
        <v>0</v>
      </c>
    </row>
    <row r="265" spans="1:42" ht="18.75" x14ac:dyDescent="0.25">
      <c r="A265" s="2">
        <v>47747</v>
      </c>
      <c r="B265" s="41"/>
      <c r="C265" s="41"/>
      <c r="D265" s="41"/>
      <c r="E265" s="35"/>
      <c r="F265" s="41"/>
      <c r="G265" s="39"/>
      <c r="H265" s="28"/>
      <c r="I265" s="39"/>
      <c r="J265" s="39"/>
      <c r="K265" s="28">
        <f>TABL12345[[#This Row],[خط (T/B  TOT) SAR]]+TABL12345[[#This Row],[خط (S/S  TOT) SAR2]]</f>
        <v>0</v>
      </c>
      <c r="L265" s="41"/>
      <c r="M265" s="42"/>
      <c r="N265" s="42"/>
      <c r="O265" s="39"/>
      <c r="P265" s="9">
        <f>TABL12345[[#This Row],[خط (S/S  TOT) SAR2]]-TABL12345[[#This Row],[(S/S TOT) AJD]]</f>
        <v>0</v>
      </c>
      <c r="Q265" s="39"/>
      <c r="R265" s="9">
        <f>TABL12345[[#This Row],[خط (T/B  TOT) SAR]]-TABL12345[[#This Row],[(T/B TOT) AJD]]</f>
        <v>0</v>
      </c>
      <c r="S265" s="9">
        <f>TABL12345[[#This Row],[الفرق بين بداية ونهاية خط  S/S]]+TABL12345[[#This Row],[الفرق بين بداية ونهاية خط  T/B]]</f>
        <v>0</v>
      </c>
      <c r="T265" s="9">
        <f t="shared" si="16"/>
        <v>0</v>
      </c>
      <c r="U265" s="41"/>
      <c r="V265" s="41"/>
      <c r="W265" s="9">
        <f t="shared" si="17"/>
        <v>0</v>
      </c>
      <c r="X265" s="9">
        <f t="shared" si="18"/>
        <v>0</v>
      </c>
      <c r="Y265" s="41"/>
      <c r="Z265" s="43"/>
      <c r="AA265" s="3">
        <f>TABL12345[[#This Row],[(RESV. STORGE) AJD]]/10</f>
        <v>0</v>
      </c>
      <c r="AB265" s="43">
        <f t="shared" si="19"/>
        <v>0</v>
      </c>
      <c r="AC265" s="5"/>
      <c r="AD265" s="39">
        <f>(TABL12345[[#This Row],[( S/S+T/B) AJD]]*1000)-((TABL12345[[#This Row],[(STORGE DIFF.) AJD]]*1000)+TABL12345[[#This Row],[البخر  AJD]]+(TABL12345[[#This Row],[(A/B + A/S) AJD]]*1000))</f>
        <v>0</v>
      </c>
      <c r="AE265" s="41"/>
      <c r="AF265" s="43"/>
      <c r="AG265" s="43"/>
      <c r="AH265" s="6">
        <f>TABL12345[[#This Row],[ (RESV. STORGE) BER]]/10</f>
        <v>0</v>
      </c>
      <c r="AI265" s="41"/>
      <c r="AJ265" s="41">
        <f>TABL12345[[#This Row],[(A/B TOT) AJD]]-TABL12345[[#This Row],[BER_ IN]]</f>
        <v>0</v>
      </c>
      <c r="AK265" s="43"/>
      <c r="AL265" s="43"/>
      <c r="AM265" s="32"/>
      <c r="AN265" s="32">
        <f>TABL12345[[#This Row],[ (RESV. STORGE) SER]]/10</f>
        <v>0</v>
      </c>
      <c r="AO265" s="68"/>
      <c r="AP265" s="68">
        <f>TABL12345[[#This Row],[(A/S TOT) AJD]]-TABL12345[[#This Row],[SER_ IN]]</f>
        <v>0</v>
      </c>
    </row>
    <row r="266" spans="1:42" ht="18.75" x14ac:dyDescent="0.25">
      <c r="A266" s="2">
        <v>47748</v>
      </c>
      <c r="B266" s="44"/>
      <c r="C266" s="44"/>
      <c r="D266" s="44"/>
      <c r="E266" s="35"/>
      <c r="F266" s="44"/>
      <c r="G266" s="40"/>
      <c r="H266" s="28"/>
      <c r="I266" s="40"/>
      <c r="J266" s="44"/>
      <c r="K266" s="28">
        <f>TABL12345[[#This Row],[خط (T/B  TOT) SAR]]+TABL12345[[#This Row],[خط (S/S  TOT) SAR2]]</f>
        <v>0</v>
      </c>
      <c r="L266" s="45"/>
      <c r="M266" s="46"/>
      <c r="N266" s="46"/>
      <c r="O266" s="40"/>
      <c r="P266" s="9">
        <f>TABL12345[[#This Row],[خط (S/S  TOT) SAR2]]-TABL12345[[#This Row],[(S/S TOT) AJD]]</f>
        <v>0</v>
      </c>
      <c r="Q266" s="40"/>
      <c r="R266" s="9">
        <f>TABL12345[[#This Row],[خط (T/B  TOT) SAR]]-TABL12345[[#This Row],[(T/B TOT) AJD]]</f>
        <v>0</v>
      </c>
      <c r="S266" s="9">
        <f>TABL12345[[#This Row],[الفرق بين بداية ونهاية خط  S/S]]+TABL12345[[#This Row],[الفرق بين بداية ونهاية خط  T/B]]</f>
        <v>0</v>
      </c>
      <c r="T266" s="9">
        <f t="shared" si="16"/>
        <v>0</v>
      </c>
      <c r="U266" s="44"/>
      <c r="V266" s="44"/>
      <c r="W266" s="9">
        <f t="shared" si="17"/>
        <v>0</v>
      </c>
      <c r="X266" s="9">
        <f t="shared" si="18"/>
        <v>0</v>
      </c>
      <c r="Y266" s="44"/>
      <c r="Z266" s="45"/>
      <c r="AA266" s="3">
        <f>TABL12345[[#This Row],[(RESV. STORGE) AJD]]/10</f>
        <v>0</v>
      </c>
      <c r="AB266" s="45">
        <f t="shared" si="19"/>
        <v>0</v>
      </c>
      <c r="AC266" s="5"/>
      <c r="AD266" s="40">
        <f>(TABL12345[[#This Row],[( S/S+T/B) AJD]]*1000)-((TABL12345[[#This Row],[(STORGE DIFF.) AJD]]*1000)+TABL12345[[#This Row],[البخر  AJD]]+(TABL12345[[#This Row],[(A/B + A/S) AJD]]*1000))</f>
        <v>0</v>
      </c>
      <c r="AE266" s="44"/>
      <c r="AF266" s="45"/>
      <c r="AG266" s="45"/>
      <c r="AH266" s="6">
        <f>TABL12345[[#This Row],[ (RESV. STORGE) BER]]/10</f>
        <v>0</v>
      </c>
      <c r="AI266" s="44"/>
      <c r="AJ266" s="44">
        <f>TABL12345[[#This Row],[(A/B TOT) AJD]]-TABL12345[[#This Row],[BER_ IN]]</f>
        <v>0</v>
      </c>
      <c r="AK266" s="45"/>
      <c r="AL266" s="45"/>
      <c r="AM266" s="32"/>
      <c r="AN266" s="32">
        <f>TABL12345[[#This Row],[ (RESV. STORGE) SER]]/10</f>
        <v>0</v>
      </c>
      <c r="AO266" s="68"/>
      <c r="AP266" s="68">
        <f>TABL12345[[#This Row],[(A/S TOT) AJD]]-TABL12345[[#This Row],[SER_ IN]]</f>
        <v>0</v>
      </c>
    </row>
    <row r="267" spans="1:42" ht="18.75" x14ac:dyDescent="0.25">
      <c r="A267" s="2">
        <v>47749</v>
      </c>
      <c r="B267" s="41"/>
      <c r="C267" s="41"/>
      <c r="D267" s="41"/>
      <c r="E267" s="35"/>
      <c r="F267" s="41"/>
      <c r="G267" s="39"/>
      <c r="H267" s="28"/>
      <c r="I267" s="39"/>
      <c r="J267" s="39"/>
      <c r="K267" s="28">
        <f>TABL12345[[#This Row],[خط (T/B  TOT) SAR]]+TABL12345[[#This Row],[خط (S/S  TOT) SAR2]]</f>
        <v>0</v>
      </c>
      <c r="L267" s="41"/>
      <c r="M267" s="42"/>
      <c r="N267" s="42"/>
      <c r="O267" s="39"/>
      <c r="P267" s="9">
        <f>TABL12345[[#This Row],[خط (S/S  TOT) SAR2]]-TABL12345[[#This Row],[(S/S TOT) AJD]]</f>
        <v>0</v>
      </c>
      <c r="Q267" s="39"/>
      <c r="R267" s="9">
        <f>TABL12345[[#This Row],[خط (T/B  TOT) SAR]]-TABL12345[[#This Row],[(T/B TOT) AJD]]</f>
        <v>0</v>
      </c>
      <c r="S267" s="9">
        <f>TABL12345[[#This Row],[الفرق بين بداية ونهاية خط  S/S]]+TABL12345[[#This Row],[الفرق بين بداية ونهاية خط  T/B]]</f>
        <v>0</v>
      </c>
      <c r="T267" s="9">
        <f t="shared" si="16"/>
        <v>0</v>
      </c>
      <c r="U267" s="41"/>
      <c r="V267" s="41"/>
      <c r="W267" s="9">
        <f t="shared" si="17"/>
        <v>0</v>
      </c>
      <c r="X267" s="9">
        <f t="shared" si="18"/>
        <v>0</v>
      </c>
      <c r="Y267" s="41"/>
      <c r="Z267" s="43"/>
      <c r="AA267" s="3">
        <f>TABL12345[[#This Row],[(RESV. STORGE) AJD]]/10</f>
        <v>0</v>
      </c>
      <c r="AB267" s="43">
        <f t="shared" si="19"/>
        <v>0</v>
      </c>
      <c r="AC267" s="5"/>
      <c r="AD267" s="39">
        <f>(TABL12345[[#This Row],[( S/S+T/B) AJD]]*1000)-((TABL12345[[#This Row],[(STORGE DIFF.) AJD]]*1000)+TABL12345[[#This Row],[البخر  AJD]]+(TABL12345[[#This Row],[(A/B + A/S) AJD]]*1000))</f>
        <v>0</v>
      </c>
      <c r="AE267" s="41"/>
      <c r="AF267" s="43"/>
      <c r="AG267" s="43"/>
      <c r="AH267" s="6">
        <f>TABL12345[[#This Row],[ (RESV. STORGE) BER]]/10</f>
        <v>0</v>
      </c>
      <c r="AI267" s="41"/>
      <c r="AJ267" s="41">
        <f>TABL12345[[#This Row],[(A/B TOT) AJD]]-TABL12345[[#This Row],[BER_ IN]]</f>
        <v>0</v>
      </c>
      <c r="AK267" s="43"/>
      <c r="AL267" s="43"/>
      <c r="AM267" s="32"/>
      <c r="AN267" s="32">
        <f>TABL12345[[#This Row],[ (RESV. STORGE) SER]]/10</f>
        <v>0</v>
      </c>
      <c r="AO267" s="68"/>
      <c r="AP267" s="68">
        <f>TABL12345[[#This Row],[(A/S TOT) AJD]]-TABL12345[[#This Row],[SER_ IN]]</f>
        <v>0</v>
      </c>
    </row>
    <row r="268" spans="1:42" ht="18.75" x14ac:dyDescent="0.25">
      <c r="A268" s="2">
        <v>47750</v>
      </c>
      <c r="B268" s="44"/>
      <c r="C268" s="44"/>
      <c r="D268" s="44"/>
      <c r="E268" s="35"/>
      <c r="F268" s="44"/>
      <c r="G268" s="40"/>
      <c r="H268" s="28"/>
      <c r="I268" s="40"/>
      <c r="J268" s="44"/>
      <c r="K268" s="28">
        <f>TABL12345[[#This Row],[خط (T/B  TOT) SAR]]+TABL12345[[#This Row],[خط (S/S  TOT) SAR2]]</f>
        <v>0</v>
      </c>
      <c r="L268" s="45"/>
      <c r="M268" s="46"/>
      <c r="N268" s="46"/>
      <c r="O268" s="40"/>
      <c r="P268" s="9">
        <f>TABL12345[[#This Row],[خط (S/S  TOT) SAR2]]-TABL12345[[#This Row],[(S/S TOT) AJD]]</f>
        <v>0</v>
      </c>
      <c r="Q268" s="40"/>
      <c r="R268" s="9">
        <f>TABL12345[[#This Row],[خط (T/B  TOT) SAR]]-TABL12345[[#This Row],[(T/B TOT) AJD]]</f>
        <v>0</v>
      </c>
      <c r="S268" s="9">
        <f>TABL12345[[#This Row],[الفرق بين بداية ونهاية خط  S/S]]+TABL12345[[#This Row],[الفرق بين بداية ونهاية خط  T/B]]</f>
        <v>0</v>
      </c>
      <c r="T268" s="9">
        <f t="shared" si="16"/>
        <v>0</v>
      </c>
      <c r="U268" s="44"/>
      <c r="V268" s="44"/>
      <c r="W268" s="9">
        <f t="shared" si="17"/>
        <v>0</v>
      </c>
      <c r="X268" s="9">
        <f t="shared" si="18"/>
        <v>0</v>
      </c>
      <c r="Y268" s="44"/>
      <c r="Z268" s="45"/>
      <c r="AA268" s="3">
        <f>TABL12345[[#This Row],[(RESV. STORGE) AJD]]/10</f>
        <v>0</v>
      </c>
      <c r="AB268" s="45">
        <f t="shared" si="19"/>
        <v>0</v>
      </c>
      <c r="AC268" s="5"/>
      <c r="AD268" s="40">
        <f>(TABL12345[[#This Row],[( S/S+T/B) AJD]]*1000)-((TABL12345[[#This Row],[(STORGE DIFF.) AJD]]*1000)+TABL12345[[#This Row],[البخر  AJD]]+(TABL12345[[#This Row],[(A/B + A/S) AJD]]*1000))</f>
        <v>0</v>
      </c>
      <c r="AE268" s="44"/>
      <c r="AF268" s="45"/>
      <c r="AG268" s="45"/>
      <c r="AH268" s="6">
        <f>TABL12345[[#This Row],[ (RESV. STORGE) BER]]/10</f>
        <v>0</v>
      </c>
      <c r="AI268" s="44"/>
      <c r="AJ268" s="44">
        <f>TABL12345[[#This Row],[(A/B TOT) AJD]]-TABL12345[[#This Row],[BER_ IN]]</f>
        <v>0</v>
      </c>
      <c r="AK268" s="45"/>
      <c r="AL268" s="45"/>
      <c r="AM268" s="32"/>
      <c r="AN268" s="32">
        <f>TABL12345[[#This Row],[ (RESV. STORGE) SER]]/10</f>
        <v>0</v>
      </c>
      <c r="AO268" s="68"/>
      <c r="AP268" s="68">
        <f>TABL12345[[#This Row],[(A/S TOT) AJD]]-TABL12345[[#This Row],[SER_ IN]]</f>
        <v>0</v>
      </c>
    </row>
    <row r="269" spans="1:42" ht="18.75" x14ac:dyDescent="0.25">
      <c r="A269" s="2">
        <v>47751</v>
      </c>
      <c r="B269" s="41"/>
      <c r="C269" s="41"/>
      <c r="D269" s="41"/>
      <c r="E269" s="35"/>
      <c r="F269" s="41"/>
      <c r="G269" s="39"/>
      <c r="H269" s="28"/>
      <c r="I269" s="39"/>
      <c r="J269" s="39"/>
      <c r="K269" s="28">
        <f>TABL12345[[#This Row],[خط (T/B  TOT) SAR]]+TABL12345[[#This Row],[خط (S/S  TOT) SAR2]]</f>
        <v>0</v>
      </c>
      <c r="L269" s="41"/>
      <c r="M269" s="42"/>
      <c r="N269" s="42"/>
      <c r="O269" s="39"/>
      <c r="P269" s="9">
        <f>TABL12345[[#This Row],[خط (S/S  TOT) SAR2]]-TABL12345[[#This Row],[(S/S TOT) AJD]]</f>
        <v>0</v>
      </c>
      <c r="Q269" s="39"/>
      <c r="R269" s="9">
        <f>TABL12345[[#This Row],[خط (T/B  TOT) SAR]]-TABL12345[[#This Row],[(T/B TOT) AJD]]</f>
        <v>0</v>
      </c>
      <c r="S269" s="9">
        <f>TABL12345[[#This Row],[الفرق بين بداية ونهاية خط  S/S]]+TABL12345[[#This Row],[الفرق بين بداية ونهاية خط  T/B]]</f>
        <v>0</v>
      </c>
      <c r="T269" s="9">
        <f t="shared" si="16"/>
        <v>0</v>
      </c>
      <c r="U269" s="41"/>
      <c r="V269" s="41"/>
      <c r="W269" s="9">
        <f t="shared" si="17"/>
        <v>0</v>
      </c>
      <c r="X269" s="9">
        <f t="shared" si="18"/>
        <v>0</v>
      </c>
      <c r="Y269" s="41"/>
      <c r="Z269" s="43"/>
      <c r="AA269" s="3">
        <f>TABL12345[[#This Row],[(RESV. STORGE) AJD]]/10</f>
        <v>0</v>
      </c>
      <c r="AB269" s="43">
        <f t="shared" si="19"/>
        <v>0</v>
      </c>
      <c r="AC269" s="5"/>
      <c r="AD269" s="39">
        <f>(TABL12345[[#This Row],[( S/S+T/B) AJD]]*1000)-((TABL12345[[#This Row],[(STORGE DIFF.) AJD]]*1000)+TABL12345[[#This Row],[البخر  AJD]]+(TABL12345[[#This Row],[(A/B + A/S) AJD]]*1000))</f>
        <v>0</v>
      </c>
      <c r="AE269" s="41"/>
      <c r="AF269" s="43"/>
      <c r="AG269" s="43"/>
      <c r="AH269" s="6">
        <f>TABL12345[[#This Row],[ (RESV. STORGE) BER]]/10</f>
        <v>0</v>
      </c>
      <c r="AI269" s="41"/>
      <c r="AJ269" s="41">
        <f>TABL12345[[#This Row],[(A/B TOT) AJD]]-TABL12345[[#This Row],[BER_ IN]]</f>
        <v>0</v>
      </c>
      <c r="AK269" s="43"/>
      <c r="AL269" s="43"/>
      <c r="AM269" s="32"/>
      <c r="AN269" s="32">
        <f>TABL12345[[#This Row],[ (RESV. STORGE) SER]]/10</f>
        <v>0</v>
      </c>
      <c r="AO269" s="68"/>
      <c r="AP269" s="68">
        <f>TABL12345[[#This Row],[(A/S TOT) AJD]]-TABL12345[[#This Row],[SER_ IN]]</f>
        <v>0</v>
      </c>
    </row>
    <row r="270" spans="1:42" ht="18.75" x14ac:dyDescent="0.25">
      <c r="A270" s="2">
        <v>47752</v>
      </c>
      <c r="B270" s="44"/>
      <c r="C270" s="44"/>
      <c r="D270" s="44"/>
      <c r="E270" s="35"/>
      <c r="F270" s="44"/>
      <c r="G270" s="40"/>
      <c r="H270" s="28"/>
      <c r="I270" s="40"/>
      <c r="J270" s="44"/>
      <c r="K270" s="28">
        <f>TABL12345[[#This Row],[خط (T/B  TOT) SAR]]+TABL12345[[#This Row],[خط (S/S  TOT) SAR2]]</f>
        <v>0</v>
      </c>
      <c r="L270" s="45"/>
      <c r="M270" s="46"/>
      <c r="N270" s="46"/>
      <c r="O270" s="40"/>
      <c r="P270" s="9">
        <f>TABL12345[[#This Row],[خط (S/S  TOT) SAR2]]-TABL12345[[#This Row],[(S/S TOT) AJD]]</f>
        <v>0</v>
      </c>
      <c r="Q270" s="40"/>
      <c r="R270" s="9">
        <f>TABL12345[[#This Row],[خط (T/B  TOT) SAR]]-TABL12345[[#This Row],[(T/B TOT) AJD]]</f>
        <v>0</v>
      </c>
      <c r="S270" s="9">
        <f>TABL12345[[#This Row],[الفرق بين بداية ونهاية خط  S/S]]+TABL12345[[#This Row],[الفرق بين بداية ونهاية خط  T/B]]</f>
        <v>0</v>
      </c>
      <c r="T270" s="9">
        <f t="shared" si="16"/>
        <v>0</v>
      </c>
      <c r="U270" s="44"/>
      <c r="V270" s="44"/>
      <c r="W270" s="9">
        <f t="shared" si="17"/>
        <v>0</v>
      </c>
      <c r="X270" s="9">
        <f t="shared" si="18"/>
        <v>0</v>
      </c>
      <c r="Y270" s="44"/>
      <c r="Z270" s="45"/>
      <c r="AA270" s="3">
        <f>TABL12345[[#This Row],[(RESV. STORGE) AJD]]/10</f>
        <v>0</v>
      </c>
      <c r="AB270" s="45">
        <f t="shared" si="19"/>
        <v>0</v>
      </c>
      <c r="AC270" s="5"/>
      <c r="AD270" s="40">
        <f>(TABL12345[[#This Row],[( S/S+T/B) AJD]]*1000)-((TABL12345[[#This Row],[(STORGE DIFF.) AJD]]*1000)+TABL12345[[#This Row],[البخر  AJD]]+(TABL12345[[#This Row],[(A/B + A/S) AJD]]*1000))</f>
        <v>0</v>
      </c>
      <c r="AE270" s="44"/>
      <c r="AF270" s="45"/>
      <c r="AG270" s="45"/>
      <c r="AH270" s="6">
        <f>TABL12345[[#This Row],[ (RESV. STORGE) BER]]/10</f>
        <v>0</v>
      </c>
      <c r="AI270" s="44"/>
      <c r="AJ270" s="44">
        <f>TABL12345[[#This Row],[(A/B TOT) AJD]]-TABL12345[[#This Row],[BER_ IN]]</f>
        <v>0</v>
      </c>
      <c r="AK270" s="45"/>
      <c r="AL270" s="45"/>
      <c r="AM270" s="32"/>
      <c r="AN270" s="32">
        <f>TABL12345[[#This Row],[ (RESV. STORGE) SER]]/10</f>
        <v>0</v>
      </c>
      <c r="AO270" s="68"/>
      <c r="AP270" s="68">
        <f>TABL12345[[#This Row],[(A/S TOT) AJD]]-TABL12345[[#This Row],[SER_ IN]]</f>
        <v>0</v>
      </c>
    </row>
    <row r="271" spans="1:42" ht="18.75" x14ac:dyDescent="0.25">
      <c r="A271" s="2">
        <v>47753</v>
      </c>
      <c r="B271" s="28"/>
      <c r="C271" s="28"/>
      <c r="D271" s="28"/>
      <c r="E271" s="35"/>
      <c r="F271" s="41"/>
      <c r="G271" s="39"/>
      <c r="H271" s="28"/>
      <c r="I271" s="28"/>
      <c r="J271" s="28"/>
      <c r="K271" s="28">
        <f>TABL12345[[#This Row],[خط (T/B  TOT) SAR]]+TABL12345[[#This Row],[خط (S/S  TOT) SAR2]]</f>
        <v>0</v>
      </c>
      <c r="L271" s="41"/>
      <c r="M271" s="42"/>
      <c r="N271" s="42"/>
      <c r="O271" s="39"/>
      <c r="P271" s="9">
        <f>TABL12345[[#This Row],[خط (S/S  TOT) SAR2]]-TABL12345[[#This Row],[(S/S TOT) AJD]]</f>
        <v>0</v>
      </c>
      <c r="Q271" s="9"/>
      <c r="R271" s="9">
        <f>TABL12345[[#This Row],[خط (T/B  TOT) SAR]]-TABL12345[[#This Row],[(T/B TOT) AJD]]</f>
        <v>0</v>
      </c>
      <c r="S271" s="9">
        <f>TABL12345[[#This Row],[الفرق بين بداية ونهاية خط  S/S]]+TABL12345[[#This Row],[الفرق بين بداية ونهاية خط  T/B]]</f>
        <v>0</v>
      </c>
      <c r="T271" s="9">
        <f t="shared" si="16"/>
        <v>0</v>
      </c>
      <c r="U271" s="41"/>
      <c r="V271" s="41"/>
      <c r="W271" s="9">
        <f t="shared" si="17"/>
        <v>0</v>
      </c>
      <c r="X271" s="9">
        <f t="shared" si="18"/>
        <v>0</v>
      </c>
      <c r="Y271" s="41"/>
      <c r="Z271" s="43"/>
      <c r="AA271" s="3">
        <f>TABL12345[[#This Row],[(RESV. STORGE) AJD]]/10</f>
        <v>0</v>
      </c>
      <c r="AB271" s="43">
        <f t="shared" si="19"/>
        <v>0</v>
      </c>
      <c r="AC271" s="5"/>
      <c r="AD271" s="39">
        <f>(TABL12345[[#This Row],[( S/S+T/B) AJD]]*1000)-((TABL12345[[#This Row],[(STORGE DIFF.) AJD]]*1000)+TABL12345[[#This Row],[البخر  AJD]]+(TABL12345[[#This Row],[(A/B + A/S) AJD]]*1000))</f>
        <v>0</v>
      </c>
      <c r="AE271" s="41"/>
      <c r="AF271" s="43"/>
      <c r="AG271" s="43"/>
      <c r="AH271" s="6">
        <f>TABL12345[[#This Row],[ (RESV. STORGE) BER]]/10</f>
        <v>0</v>
      </c>
      <c r="AI271" s="41"/>
      <c r="AJ271" s="41">
        <f>TABL12345[[#This Row],[(A/B TOT) AJD]]-TABL12345[[#This Row],[BER_ IN]]</f>
        <v>0</v>
      </c>
      <c r="AK271" s="43"/>
      <c r="AL271" s="43"/>
      <c r="AM271" s="32"/>
      <c r="AN271" s="32">
        <f>TABL12345[[#This Row],[ (RESV. STORGE) SER]]/10</f>
        <v>0</v>
      </c>
      <c r="AO271" s="68"/>
      <c r="AP271" s="68">
        <f>TABL12345[[#This Row],[(A/S TOT) AJD]]-TABL12345[[#This Row],[SER_ IN]]</f>
        <v>0</v>
      </c>
    </row>
    <row r="272" spans="1:42" ht="18.75" x14ac:dyDescent="0.25">
      <c r="A272" s="2">
        <v>47754</v>
      </c>
      <c r="B272" s="28"/>
      <c r="C272" s="28"/>
      <c r="D272" s="28"/>
      <c r="E272" s="35"/>
      <c r="F272" s="44"/>
      <c r="G272" s="40"/>
      <c r="H272" s="28"/>
      <c r="I272" s="28"/>
      <c r="J272" s="28"/>
      <c r="K272" s="28">
        <f>TABL12345[[#This Row],[خط (T/B  TOT) SAR]]+TABL12345[[#This Row],[خط (S/S  TOT) SAR2]]</f>
        <v>0</v>
      </c>
      <c r="L272" s="45"/>
      <c r="M272" s="46"/>
      <c r="N272" s="46"/>
      <c r="O272" s="9"/>
      <c r="P272" s="9">
        <f>TABL12345[[#This Row],[خط (S/S  TOT) SAR2]]-TABL12345[[#This Row],[(S/S TOT) AJD]]</f>
        <v>0</v>
      </c>
      <c r="Q272" s="9"/>
      <c r="R272" s="9">
        <f>TABL12345[[#This Row],[خط (T/B  TOT) SAR]]-TABL12345[[#This Row],[(T/B TOT) AJD]]</f>
        <v>0</v>
      </c>
      <c r="S272" s="9">
        <f>TABL12345[[#This Row],[الفرق بين بداية ونهاية خط  S/S]]+TABL12345[[#This Row],[الفرق بين بداية ونهاية خط  T/B]]</f>
        <v>0</v>
      </c>
      <c r="T272" s="9">
        <f t="shared" si="16"/>
        <v>0</v>
      </c>
      <c r="U272" s="9"/>
      <c r="V272" s="9"/>
      <c r="W272" s="9">
        <f t="shared" si="17"/>
        <v>0</v>
      </c>
      <c r="X272" s="9">
        <f t="shared" si="18"/>
        <v>0</v>
      </c>
      <c r="Y272" s="18"/>
      <c r="Z272" s="9"/>
      <c r="AA272" s="3">
        <f>TABL12345[[#This Row],[(RESV. STORGE) AJD]]/10</f>
        <v>0</v>
      </c>
      <c r="AB272" s="45">
        <f t="shared" si="19"/>
        <v>0</v>
      </c>
      <c r="AC272" s="5"/>
      <c r="AD272" s="40">
        <f>(TABL12345[[#This Row],[( S/S+T/B) AJD]]*1000)-((TABL12345[[#This Row],[(STORGE DIFF.) AJD]]*1000)+TABL12345[[#This Row],[البخر  AJD]]+(TABL12345[[#This Row],[(A/B + A/S) AJD]]*1000))</f>
        <v>0</v>
      </c>
      <c r="AE272" s="44"/>
      <c r="AF272" s="45"/>
      <c r="AG272" s="45"/>
      <c r="AH272" s="6">
        <f>TABL12345[[#This Row],[ (RESV. STORGE) BER]]/10</f>
        <v>0</v>
      </c>
      <c r="AI272" s="6"/>
      <c r="AJ272" s="33">
        <f>TABL12345[[#This Row],[(A/B TOT) AJD]]-TABL12345[[#This Row],[BER_ IN]]</f>
        <v>0</v>
      </c>
      <c r="AK272" s="6"/>
      <c r="AL272" s="6"/>
      <c r="AM272" s="32"/>
      <c r="AN272" s="32">
        <f>TABL12345[[#This Row],[ (RESV. STORGE) SER]]/10</f>
        <v>0</v>
      </c>
      <c r="AO272" s="68"/>
      <c r="AP272" s="68">
        <f>TABL12345[[#This Row],[(A/S TOT) AJD]]-TABL12345[[#This Row],[SER_ IN]]</f>
        <v>0</v>
      </c>
    </row>
    <row r="273" spans="1:42" ht="18.75" x14ac:dyDescent="0.25">
      <c r="A273" s="2">
        <v>47755</v>
      </c>
      <c r="B273" s="28"/>
      <c r="C273" s="28"/>
      <c r="D273" s="28"/>
      <c r="E273" s="35"/>
      <c r="F273" s="28"/>
      <c r="G273" s="28"/>
      <c r="H273" s="28"/>
      <c r="I273" s="28"/>
      <c r="J273" s="28"/>
      <c r="K273" s="28">
        <f>TABL12345[[#This Row],[خط (T/B  TOT) SAR]]+TABL12345[[#This Row],[خط (S/S  TOT) SAR2]]</f>
        <v>0</v>
      </c>
      <c r="L273" s="28"/>
      <c r="M273" s="29"/>
      <c r="N273" s="30"/>
      <c r="O273" s="9"/>
      <c r="P273" s="9">
        <f>TABL12345[[#This Row],[خط (S/S  TOT) SAR2]]-TABL12345[[#This Row],[(S/S TOT) AJD]]</f>
        <v>0</v>
      </c>
      <c r="Q273" s="9"/>
      <c r="R273" s="9">
        <f>TABL12345[[#This Row],[خط (T/B  TOT) SAR]]-TABL12345[[#This Row],[(T/B TOT) AJD]]</f>
        <v>0</v>
      </c>
      <c r="S273" s="9">
        <f>TABL12345[[#This Row],[الفرق بين بداية ونهاية خط  S/S]]+TABL12345[[#This Row],[الفرق بين بداية ونهاية خط  T/B]]</f>
        <v>0</v>
      </c>
      <c r="T273" s="9">
        <f t="shared" si="16"/>
        <v>0</v>
      </c>
      <c r="U273" s="9"/>
      <c r="V273" s="9"/>
      <c r="W273" s="9">
        <f t="shared" si="17"/>
        <v>0</v>
      </c>
      <c r="X273" s="9">
        <f t="shared" si="18"/>
        <v>0</v>
      </c>
      <c r="Y273" s="18"/>
      <c r="Z273" s="9"/>
      <c r="AA273" s="3">
        <f>TABL12345[[#This Row],[(RESV. STORGE) AJD]]/10</f>
        <v>0</v>
      </c>
      <c r="AB273" s="6">
        <f t="shared" si="19"/>
        <v>0</v>
      </c>
      <c r="AC273" s="5"/>
      <c r="AD273" s="39">
        <f>(TABL12345[[#This Row],[( S/S+T/B) AJD]]*1000)-((TABL12345[[#This Row],[(STORGE DIFF.) AJD]]*1000)+TABL12345[[#This Row],[البخر  AJD]]+(TABL12345[[#This Row],[(A/B + A/S) AJD]]*1000))</f>
        <v>0</v>
      </c>
      <c r="AE273" s="41"/>
      <c r="AF273" s="43"/>
      <c r="AG273" s="43"/>
      <c r="AH273" s="6">
        <f>TABL12345[[#This Row],[ (RESV. STORGE) BER]]/10</f>
        <v>0</v>
      </c>
      <c r="AI273" s="6"/>
      <c r="AJ273" s="33">
        <f>TABL12345[[#This Row],[(A/B TOT) AJD]]-TABL12345[[#This Row],[BER_ IN]]</f>
        <v>0</v>
      </c>
      <c r="AK273" s="6"/>
      <c r="AL273" s="6"/>
      <c r="AM273" s="32"/>
      <c r="AN273" s="32">
        <f>TABL12345[[#This Row],[ (RESV. STORGE) SER]]/10</f>
        <v>0</v>
      </c>
      <c r="AO273" s="68"/>
      <c r="AP273" s="68">
        <f>TABL12345[[#This Row],[(A/S TOT) AJD]]-TABL12345[[#This Row],[SER_ IN]]</f>
        <v>0</v>
      </c>
    </row>
    <row r="274" spans="1:42" ht="18.75" x14ac:dyDescent="0.25">
      <c r="A274" s="2">
        <v>47756</v>
      </c>
      <c r="B274" s="28"/>
      <c r="C274" s="28"/>
      <c r="D274" s="28"/>
      <c r="E274" s="35"/>
      <c r="F274" s="28"/>
      <c r="G274" s="28"/>
      <c r="H274" s="28"/>
      <c r="I274" s="28"/>
      <c r="J274" s="28"/>
      <c r="K274" s="28">
        <f>TABL12345[[#This Row],[خط (T/B  TOT) SAR]]+TABL12345[[#This Row],[خط (S/S  TOT) SAR2]]</f>
        <v>0</v>
      </c>
      <c r="L274" s="28"/>
      <c r="M274" s="29"/>
      <c r="N274" s="30"/>
      <c r="O274" s="9"/>
      <c r="P274" s="9">
        <f>TABL12345[[#This Row],[خط (S/S  TOT) SAR2]]-TABL12345[[#This Row],[(S/S TOT) AJD]]</f>
        <v>0</v>
      </c>
      <c r="Q274" s="9"/>
      <c r="R274" s="9">
        <f>TABL12345[[#This Row],[خط (T/B  TOT) SAR]]-TABL12345[[#This Row],[(T/B TOT) AJD]]</f>
        <v>0</v>
      </c>
      <c r="S274" s="9">
        <f>TABL12345[[#This Row],[الفرق بين بداية ونهاية خط  S/S]]+TABL12345[[#This Row],[الفرق بين بداية ونهاية خط  T/B]]</f>
        <v>0</v>
      </c>
      <c r="T274" s="9">
        <f t="shared" si="16"/>
        <v>0</v>
      </c>
      <c r="U274" s="9"/>
      <c r="V274" s="9"/>
      <c r="W274" s="9">
        <f t="shared" si="17"/>
        <v>0</v>
      </c>
      <c r="X274" s="9">
        <f t="shared" si="18"/>
        <v>0</v>
      </c>
      <c r="Y274" s="18"/>
      <c r="Z274" s="9"/>
      <c r="AA274" s="3">
        <f>TABL12345[[#This Row],[(RESV. STORGE) AJD]]/10</f>
        <v>0</v>
      </c>
      <c r="AB274" s="6">
        <f t="shared" si="19"/>
        <v>0</v>
      </c>
      <c r="AC274" s="5"/>
      <c r="AD274" s="6">
        <f>(TABL12345[[#This Row],[( S/S+T/B) AJD]]*1000)-((TABL12345[[#This Row],[(STORGE DIFF.) AJD]]*1000)+TABL12345[[#This Row],[البخر  AJD]]+(TABL12345[[#This Row],[(A/B + A/S) AJD]]*1000))</f>
        <v>0</v>
      </c>
      <c r="AE274" s="33"/>
      <c r="AF274" s="6"/>
      <c r="AG274" s="6"/>
      <c r="AH274" s="6">
        <f>TABL12345[[#This Row],[ (RESV. STORGE) BER]]/10</f>
        <v>0</v>
      </c>
      <c r="AI274" s="6"/>
      <c r="AJ274" s="33">
        <f>TABL12345[[#This Row],[(A/B TOT) AJD]]-TABL12345[[#This Row],[BER_ IN]]</f>
        <v>0</v>
      </c>
      <c r="AK274" s="6"/>
      <c r="AL274" s="6"/>
      <c r="AM274" s="32"/>
      <c r="AN274" s="32">
        <f>TABL12345[[#This Row],[ (RESV. STORGE) SER]]/10</f>
        <v>0</v>
      </c>
      <c r="AO274" s="68"/>
      <c r="AP274" s="68">
        <f>TABL12345[[#This Row],[(A/S TOT) AJD]]-TABL12345[[#This Row],[SER_ IN]]</f>
        <v>0</v>
      </c>
    </row>
    <row r="275" spans="1:42" ht="18.75" x14ac:dyDescent="0.25">
      <c r="A275" s="2">
        <v>47757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>
        <f>TABL12345[[#This Row],[خط (T/B  TOT) SAR]]+TABL12345[[#This Row],[خط (S/S  TOT) SAR2]]</f>
        <v>0</v>
      </c>
      <c r="L275" s="28"/>
      <c r="M275" s="29"/>
      <c r="N275" s="30"/>
      <c r="O275" s="14"/>
      <c r="P275" s="9">
        <f>TABL12345[[#This Row],[خط (S/S  TOT) SAR2]]-TABL12345[[#This Row],[(S/S TOT) AJD]]</f>
        <v>0</v>
      </c>
      <c r="Q275" s="14"/>
      <c r="R275" s="9">
        <f>TABL12345[[#This Row],[خط (T/B  TOT) SAR]]-TABL12345[[#This Row],[(T/B TOT) AJD]]</f>
        <v>0</v>
      </c>
      <c r="S275" s="9">
        <f>TABL12345[[#This Row],[الفرق بين بداية ونهاية خط  S/S]]+TABL12345[[#This Row],[الفرق بين بداية ونهاية خط  T/B]]</f>
        <v>0</v>
      </c>
      <c r="T275" s="9">
        <f t="shared" si="16"/>
        <v>0</v>
      </c>
      <c r="U275" s="14"/>
      <c r="V275" s="14"/>
      <c r="W275" s="9">
        <f t="shared" si="17"/>
        <v>0</v>
      </c>
      <c r="X275" s="9">
        <f t="shared" si="18"/>
        <v>0</v>
      </c>
      <c r="Y275" s="18"/>
      <c r="Z275" s="9"/>
      <c r="AA275" s="3">
        <f>TABL12345[[#This Row],[(RESV. STORGE) AJD]]/10</f>
        <v>0</v>
      </c>
      <c r="AB275" s="6">
        <f t="shared" si="19"/>
        <v>0</v>
      </c>
      <c r="AC275" s="5"/>
      <c r="AD275" s="6">
        <f>(TABL12345[[#This Row],[( S/S+T/B) AJD]]*1000)-((TABL12345[[#This Row],[(STORGE DIFF.) AJD]]*1000)+TABL12345[[#This Row],[البخر  AJD]]+(TABL12345[[#This Row],[(A/B + A/S) AJD]]*1000))</f>
        <v>0</v>
      </c>
      <c r="AE275" s="33"/>
      <c r="AF275" s="6"/>
      <c r="AG275" s="6"/>
      <c r="AH275" s="6">
        <f>TABL12345[[#This Row],[ (RESV. STORGE) BER]]/10</f>
        <v>0</v>
      </c>
      <c r="AI275" s="6"/>
      <c r="AJ275" s="33">
        <f>TABL12345[[#This Row],[(A/B TOT) AJD]]-TABL12345[[#This Row],[BER_ IN]]</f>
        <v>0</v>
      </c>
      <c r="AK275" s="6"/>
      <c r="AL275" s="6"/>
      <c r="AM275" s="32"/>
      <c r="AN275" s="32">
        <f>TABL12345[[#This Row],[ (RESV. STORGE) SER]]/10</f>
        <v>0</v>
      </c>
      <c r="AO275" s="68"/>
      <c r="AP275" s="68">
        <f>TABL12345[[#This Row],[(A/S TOT) AJD]]-TABL12345[[#This Row],[SER_ IN]]</f>
        <v>0</v>
      </c>
    </row>
    <row r="276" spans="1:42" ht="18.75" x14ac:dyDescent="0.25">
      <c r="A276" s="2">
        <v>47758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>
        <f>TABL12345[[#This Row],[خط (T/B  TOT) SAR]]+TABL12345[[#This Row],[خط (S/S  TOT) SAR2]]</f>
        <v>0</v>
      </c>
      <c r="L276" s="28"/>
      <c r="M276" s="29"/>
      <c r="N276" s="30"/>
      <c r="O276" s="14"/>
      <c r="P276" s="9">
        <f>TABL12345[[#This Row],[خط (S/S  TOT) SAR2]]-TABL12345[[#This Row],[(S/S TOT) AJD]]</f>
        <v>0</v>
      </c>
      <c r="Q276" s="14"/>
      <c r="R276" s="9">
        <f>TABL12345[[#This Row],[خط (T/B  TOT) SAR]]-TABL12345[[#This Row],[(T/B TOT) AJD]]</f>
        <v>0</v>
      </c>
      <c r="S276" s="9">
        <f>TABL12345[[#This Row],[الفرق بين بداية ونهاية خط  S/S]]+TABL12345[[#This Row],[الفرق بين بداية ونهاية خط  T/B]]</f>
        <v>0</v>
      </c>
      <c r="T276" s="9">
        <f t="shared" si="16"/>
        <v>0</v>
      </c>
      <c r="U276" s="14"/>
      <c r="V276" s="14"/>
      <c r="W276" s="9">
        <f t="shared" si="17"/>
        <v>0</v>
      </c>
      <c r="X276" s="9">
        <f t="shared" si="18"/>
        <v>0</v>
      </c>
      <c r="Y276" s="18"/>
      <c r="Z276" s="9"/>
      <c r="AA276" s="3">
        <f>TABL12345[[#This Row],[(RESV. STORGE) AJD]]/10</f>
        <v>0</v>
      </c>
      <c r="AB276" s="6">
        <f t="shared" si="19"/>
        <v>0</v>
      </c>
      <c r="AC276" s="5"/>
      <c r="AD276" s="6">
        <f>(TABL12345[[#This Row],[( S/S+T/B) AJD]]*1000)-((TABL12345[[#This Row],[(STORGE DIFF.) AJD]]*1000)+TABL12345[[#This Row],[البخر  AJD]]+(TABL12345[[#This Row],[(A/B + A/S) AJD]]*1000))</f>
        <v>0</v>
      </c>
      <c r="AE276" s="33"/>
      <c r="AF276" s="6"/>
      <c r="AG276" s="6"/>
      <c r="AH276" s="6">
        <f>TABL12345[[#This Row],[ (RESV. STORGE) BER]]/10</f>
        <v>0</v>
      </c>
      <c r="AI276" s="6"/>
      <c r="AJ276" s="33">
        <f>TABL12345[[#This Row],[(A/B TOT) AJD]]-TABL12345[[#This Row],[BER_ IN]]</f>
        <v>0</v>
      </c>
      <c r="AK276" s="6"/>
      <c r="AL276" s="6"/>
      <c r="AM276" s="32"/>
      <c r="AN276" s="32">
        <f>TABL12345[[#This Row],[ (RESV. STORGE) SER]]/10</f>
        <v>0</v>
      </c>
      <c r="AO276" s="68"/>
      <c r="AP276" s="68">
        <f>TABL12345[[#This Row],[(A/S TOT) AJD]]-TABL12345[[#This Row],[SER_ IN]]</f>
        <v>0</v>
      </c>
    </row>
    <row r="277" spans="1:42" ht="18.75" x14ac:dyDescent="0.25">
      <c r="A277" s="2">
        <v>47759</v>
      </c>
      <c r="B277" s="28"/>
      <c r="C277" s="28"/>
      <c r="D277" s="35"/>
      <c r="E277" s="28"/>
      <c r="F277" s="28"/>
      <c r="G277" s="28"/>
      <c r="H277" s="28"/>
      <c r="I277" s="28"/>
      <c r="J277" s="28"/>
      <c r="K277" s="28">
        <f>TABL12345[[#This Row],[خط (T/B  TOT) SAR]]+TABL12345[[#This Row],[خط (S/S  TOT) SAR2]]</f>
        <v>0</v>
      </c>
      <c r="L277" s="28"/>
      <c r="M277" s="29"/>
      <c r="N277" s="30"/>
      <c r="O277" s="14"/>
      <c r="P277" s="9">
        <f>TABL12345[[#This Row],[خط (S/S  TOT) SAR2]]-TABL12345[[#This Row],[(S/S TOT) AJD]]</f>
        <v>0</v>
      </c>
      <c r="Q277" s="14"/>
      <c r="R277" s="9">
        <f>TABL12345[[#This Row],[خط (T/B  TOT) SAR]]-TABL12345[[#This Row],[(T/B TOT) AJD]]</f>
        <v>0</v>
      </c>
      <c r="S277" s="9">
        <f>TABL12345[[#This Row],[الفرق بين بداية ونهاية خط  S/S]]+TABL12345[[#This Row],[الفرق بين بداية ونهاية خط  T/B]]</f>
        <v>0</v>
      </c>
      <c r="T277" s="9">
        <f t="shared" si="16"/>
        <v>0</v>
      </c>
      <c r="U277" s="14"/>
      <c r="V277" s="14"/>
      <c r="W277" s="9">
        <f t="shared" si="17"/>
        <v>0</v>
      </c>
      <c r="X277" s="9">
        <f t="shared" si="18"/>
        <v>0</v>
      </c>
      <c r="Y277" s="18"/>
      <c r="Z277" s="9"/>
      <c r="AA277" s="3">
        <f>TABL12345[[#This Row],[(RESV. STORGE) AJD]]/10</f>
        <v>0</v>
      </c>
      <c r="AB277" s="6">
        <f t="shared" si="19"/>
        <v>0</v>
      </c>
      <c r="AC277" s="5"/>
      <c r="AD277" s="6">
        <f>(TABL12345[[#This Row],[( S/S+T/B) AJD]]*1000)-((TABL12345[[#This Row],[(STORGE DIFF.) AJD]]*1000)+TABL12345[[#This Row],[البخر  AJD]]+(TABL12345[[#This Row],[(A/B + A/S) AJD]]*1000))</f>
        <v>0</v>
      </c>
      <c r="AE277" s="33"/>
      <c r="AF277" s="6"/>
      <c r="AG277" s="6"/>
      <c r="AH277" s="6">
        <f>TABL12345[[#This Row],[ (RESV. STORGE) BER]]/10</f>
        <v>0</v>
      </c>
      <c r="AI277" s="6"/>
      <c r="AJ277" s="33">
        <f>TABL12345[[#This Row],[(A/B TOT) AJD]]-TABL12345[[#This Row],[BER_ IN]]</f>
        <v>0</v>
      </c>
      <c r="AK277" s="6"/>
      <c r="AL277" s="6"/>
      <c r="AM277" s="32"/>
      <c r="AN277" s="32">
        <f>TABL12345[[#This Row],[ (RESV. STORGE) SER]]/10</f>
        <v>0</v>
      </c>
      <c r="AO277" s="68"/>
      <c r="AP277" s="68">
        <f>TABL12345[[#This Row],[(A/S TOT) AJD]]-TABL12345[[#This Row],[SER_ IN]]</f>
        <v>0</v>
      </c>
    </row>
    <row r="278" spans="1:42" ht="18.75" x14ac:dyDescent="0.25">
      <c r="A278" s="2">
        <v>47760</v>
      </c>
      <c r="B278" s="28"/>
      <c r="C278" s="28"/>
      <c r="D278" s="35"/>
      <c r="E278" s="28"/>
      <c r="F278" s="28"/>
      <c r="G278" s="28"/>
      <c r="H278" s="28"/>
      <c r="I278" s="28"/>
      <c r="J278" s="28"/>
      <c r="K278" s="28">
        <f>TABL12345[[#This Row],[خط (T/B  TOT) SAR]]+TABL12345[[#This Row],[خط (S/S  TOT) SAR2]]</f>
        <v>0</v>
      </c>
      <c r="L278" s="28"/>
      <c r="M278" s="29"/>
      <c r="N278" s="30"/>
      <c r="O278" s="14"/>
      <c r="P278" s="9">
        <f>TABL12345[[#This Row],[خط (S/S  TOT) SAR2]]-TABL12345[[#This Row],[(S/S TOT) AJD]]</f>
        <v>0</v>
      </c>
      <c r="Q278" s="14"/>
      <c r="R278" s="9">
        <f>TABL12345[[#This Row],[خط (T/B  TOT) SAR]]-TABL12345[[#This Row],[(T/B TOT) AJD]]</f>
        <v>0</v>
      </c>
      <c r="S278" s="9">
        <f>TABL12345[[#This Row],[الفرق بين بداية ونهاية خط  S/S]]+TABL12345[[#This Row],[الفرق بين بداية ونهاية خط  T/B]]</f>
        <v>0</v>
      </c>
      <c r="T278" s="9">
        <f t="shared" si="16"/>
        <v>0</v>
      </c>
      <c r="U278" s="14"/>
      <c r="V278" s="14"/>
      <c r="W278" s="9">
        <f t="shared" si="17"/>
        <v>0</v>
      </c>
      <c r="X278" s="9">
        <f t="shared" si="18"/>
        <v>0</v>
      </c>
      <c r="Y278" s="18"/>
      <c r="Z278" s="9"/>
      <c r="AA278" s="3">
        <f>TABL12345[[#This Row],[(RESV. STORGE) AJD]]/10</f>
        <v>0</v>
      </c>
      <c r="AB278" s="6">
        <f t="shared" si="19"/>
        <v>0</v>
      </c>
      <c r="AC278" s="5"/>
      <c r="AD278" s="6">
        <f>(TABL12345[[#This Row],[( S/S+T/B) AJD]]*1000)-((TABL12345[[#This Row],[(STORGE DIFF.) AJD]]*1000)+TABL12345[[#This Row],[البخر  AJD]]+(TABL12345[[#This Row],[(A/B + A/S) AJD]]*1000))</f>
        <v>0</v>
      </c>
      <c r="AE278" s="33"/>
      <c r="AF278" s="6"/>
      <c r="AG278" s="6"/>
      <c r="AH278" s="6">
        <f>TABL12345[[#This Row],[ (RESV. STORGE) BER]]/10</f>
        <v>0</v>
      </c>
      <c r="AI278" s="6"/>
      <c r="AJ278" s="33">
        <f>TABL12345[[#This Row],[(A/B TOT) AJD]]-TABL12345[[#This Row],[BER_ IN]]</f>
        <v>0</v>
      </c>
      <c r="AK278" s="6"/>
      <c r="AL278" s="6"/>
      <c r="AM278" s="32"/>
      <c r="AN278" s="32">
        <f>TABL12345[[#This Row],[ (RESV. STORGE) SER]]/10</f>
        <v>0</v>
      </c>
      <c r="AO278" s="68"/>
      <c r="AP278" s="68">
        <f>TABL12345[[#This Row],[(A/S TOT) AJD]]-TABL12345[[#This Row],[SER_ IN]]</f>
        <v>0</v>
      </c>
    </row>
    <row r="279" spans="1:42" ht="18.75" x14ac:dyDescent="0.25">
      <c r="A279" s="2">
        <v>47761</v>
      </c>
      <c r="B279" s="28"/>
      <c r="C279" s="28"/>
      <c r="D279" s="35"/>
      <c r="E279" s="28"/>
      <c r="F279" s="28"/>
      <c r="G279" s="28"/>
      <c r="H279" s="28"/>
      <c r="I279" s="28"/>
      <c r="J279" s="28"/>
      <c r="K279" s="28">
        <f>TABL12345[[#This Row],[خط (T/B  TOT) SAR]]+TABL12345[[#This Row],[خط (S/S  TOT) SAR2]]</f>
        <v>0</v>
      </c>
      <c r="L279" s="28"/>
      <c r="M279" s="29"/>
      <c r="N279" s="30"/>
      <c r="O279" s="14"/>
      <c r="P279" s="9">
        <f>TABL12345[[#This Row],[خط (S/S  TOT) SAR2]]-TABL12345[[#This Row],[(S/S TOT) AJD]]</f>
        <v>0</v>
      </c>
      <c r="Q279" s="14"/>
      <c r="R279" s="9">
        <f>TABL12345[[#This Row],[خط (T/B  TOT) SAR]]-TABL12345[[#This Row],[(T/B TOT) AJD]]</f>
        <v>0</v>
      </c>
      <c r="S279" s="9">
        <f>TABL12345[[#This Row],[الفرق بين بداية ونهاية خط  S/S]]+TABL12345[[#This Row],[الفرق بين بداية ونهاية خط  T/B]]</f>
        <v>0</v>
      </c>
      <c r="T279" s="9">
        <f t="shared" si="16"/>
        <v>0</v>
      </c>
      <c r="U279" s="14"/>
      <c r="V279" s="14"/>
      <c r="W279" s="9">
        <f t="shared" si="17"/>
        <v>0</v>
      </c>
      <c r="X279" s="9">
        <f t="shared" si="18"/>
        <v>0</v>
      </c>
      <c r="Y279" s="18"/>
      <c r="Z279" s="9"/>
      <c r="AA279" s="3">
        <f>TABL12345[[#This Row],[(RESV. STORGE) AJD]]/10</f>
        <v>0</v>
      </c>
      <c r="AB279" s="6">
        <f t="shared" si="19"/>
        <v>0</v>
      </c>
      <c r="AC279" s="5"/>
      <c r="AD279" s="6">
        <f>(TABL12345[[#This Row],[( S/S+T/B) AJD]]*1000)-((TABL12345[[#This Row],[(STORGE DIFF.) AJD]]*1000)+TABL12345[[#This Row],[البخر  AJD]]+(TABL12345[[#This Row],[(A/B + A/S) AJD]]*1000))</f>
        <v>0</v>
      </c>
      <c r="AE279" s="33"/>
      <c r="AF279" s="6"/>
      <c r="AG279" s="6"/>
      <c r="AH279" s="6">
        <f>TABL12345[[#This Row],[ (RESV. STORGE) BER]]/10</f>
        <v>0</v>
      </c>
      <c r="AI279" s="6"/>
      <c r="AJ279" s="33">
        <f>TABL12345[[#This Row],[(A/B TOT) AJD]]-TABL12345[[#This Row],[BER_ IN]]</f>
        <v>0</v>
      </c>
      <c r="AK279" s="6"/>
      <c r="AL279" s="6"/>
      <c r="AM279" s="32"/>
      <c r="AN279" s="32">
        <f>TABL12345[[#This Row],[ (RESV. STORGE) SER]]/10</f>
        <v>0</v>
      </c>
      <c r="AO279" s="68"/>
      <c r="AP279" s="68">
        <f>TABL12345[[#This Row],[(A/S TOT) AJD]]-TABL12345[[#This Row],[SER_ IN]]</f>
        <v>0</v>
      </c>
    </row>
    <row r="280" spans="1:42" ht="18.75" x14ac:dyDescent="0.25">
      <c r="A280" s="2">
        <v>47762</v>
      </c>
      <c r="B280" s="28"/>
      <c r="C280" s="28"/>
      <c r="D280" s="35"/>
      <c r="E280" s="28"/>
      <c r="F280" s="28"/>
      <c r="G280" s="28"/>
      <c r="H280" s="28"/>
      <c r="I280" s="28"/>
      <c r="J280" s="28"/>
      <c r="K280" s="28">
        <f>TABL12345[[#This Row],[خط (T/B  TOT) SAR]]+TABL12345[[#This Row],[خط (S/S  TOT) SAR2]]</f>
        <v>0</v>
      </c>
      <c r="L280" s="28"/>
      <c r="M280" s="29"/>
      <c r="N280" s="30"/>
      <c r="O280" s="14"/>
      <c r="P280" s="9">
        <f>TABL12345[[#This Row],[خط (S/S  TOT) SAR2]]-TABL12345[[#This Row],[(S/S TOT) AJD]]</f>
        <v>0</v>
      </c>
      <c r="Q280" s="14"/>
      <c r="R280" s="9">
        <f>TABL12345[[#This Row],[خط (T/B  TOT) SAR]]-TABL12345[[#This Row],[(T/B TOT) AJD]]</f>
        <v>0</v>
      </c>
      <c r="S280" s="9">
        <f>TABL12345[[#This Row],[الفرق بين بداية ونهاية خط  S/S]]+TABL12345[[#This Row],[الفرق بين بداية ونهاية خط  T/B]]</f>
        <v>0</v>
      </c>
      <c r="T280" s="9">
        <f t="shared" si="16"/>
        <v>0</v>
      </c>
      <c r="U280" s="14"/>
      <c r="V280" s="14"/>
      <c r="W280" s="9">
        <f t="shared" si="17"/>
        <v>0</v>
      </c>
      <c r="X280" s="9">
        <f t="shared" si="18"/>
        <v>0</v>
      </c>
      <c r="Y280" s="18"/>
      <c r="Z280" s="9"/>
      <c r="AA280" s="3">
        <f>TABL12345[[#This Row],[(RESV. STORGE) AJD]]/10</f>
        <v>0</v>
      </c>
      <c r="AB280" s="6">
        <f t="shared" si="19"/>
        <v>0</v>
      </c>
      <c r="AC280" s="5"/>
      <c r="AD280" s="6">
        <f>(TABL12345[[#This Row],[( S/S+T/B) AJD]]*1000)-((TABL12345[[#This Row],[(STORGE DIFF.) AJD]]*1000)+TABL12345[[#This Row],[البخر  AJD]]+(TABL12345[[#This Row],[(A/B + A/S) AJD]]*1000))</f>
        <v>0</v>
      </c>
      <c r="AE280" s="33"/>
      <c r="AF280" s="6"/>
      <c r="AG280" s="6"/>
      <c r="AH280" s="6">
        <f>TABL12345[[#This Row],[ (RESV. STORGE) BER]]/10</f>
        <v>0</v>
      </c>
      <c r="AI280" s="6"/>
      <c r="AJ280" s="33">
        <f>TABL12345[[#This Row],[(A/B TOT) AJD]]-TABL12345[[#This Row],[BER_ IN]]</f>
        <v>0</v>
      </c>
      <c r="AK280" s="6"/>
      <c r="AL280" s="6"/>
      <c r="AM280" s="32"/>
      <c r="AN280" s="32">
        <f>TABL12345[[#This Row],[ (RESV. STORGE) SER]]/10</f>
        <v>0</v>
      </c>
      <c r="AO280" s="68"/>
      <c r="AP280" s="68">
        <f>TABL12345[[#This Row],[(A/S TOT) AJD]]-TABL12345[[#This Row],[SER_ IN]]</f>
        <v>0</v>
      </c>
    </row>
    <row r="281" spans="1:42" ht="18.75" x14ac:dyDescent="0.25">
      <c r="A281" s="2">
        <v>47763</v>
      </c>
      <c r="B281" s="28"/>
      <c r="C281" s="28"/>
      <c r="D281" s="35"/>
      <c r="E281" s="28"/>
      <c r="F281" s="28"/>
      <c r="G281" s="28"/>
      <c r="H281" s="28"/>
      <c r="I281" s="28"/>
      <c r="J281" s="28"/>
      <c r="K281" s="28">
        <f>TABL12345[[#This Row],[خط (T/B  TOT) SAR]]+TABL12345[[#This Row],[خط (S/S  TOT) SAR2]]</f>
        <v>0</v>
      </c>
      <c r="L281" s="28"/>
      <c r="M281" s="29"/>
      <c r="N281" s="30"/>
      <c r="O281" s="14"/>
      <c r="P281" s="9">
        <f>TABL12345[[#This Row],[خط (S/S  TOT) SAR2]]-TABL12345[[#This Row],[(S/S TOT) AJD]]</f>
        <v>0</v>
      </c>
      <c r="Q281" s="14"/>
      <c r="R281" s="9">
        <f>TABL12345[[#This Row],[خط (T/B  TOT) SAR]]-TABL12345[[#This Row],[(T/B TOT) AJD]]</f>
        <v>0</v>
      </c>
      <c r="S281" s="9">
        <f>TABL12345[[#This Row],[الفرق بين بداية ونهاية خط  S/S]]+TABL12345[[#This Row],[الفرق بين بداية ونهاية خط  T/B]]</f>
        <v>0</v>
      </c>
      <c r="T281" s="9">
        <f t="shared" si="16"/>
        <v>0</v>
      </c>
      <c r="U281" s="14"/>
      <c r="V281" s="14"/>
      <c r="W281" s="9">
        <f t="shared" si="17"/>
        <v>0</v>
      </c>
      <c r="X281" s="9">
        <f t="shared" si="18"/>
        <v>0</v>
      </c>
      <c r="Y281" s="18"/>
      <c r="Z281" s="9"/>
      <c r="AA281" s="3">
        <f>TABL12345[[#This Row],[(RESV. STORGE) AJD]]/10</f>
        <v>0</v>
      </c>
      <c r="AB281" s="6">
        <f t="shared" si="19"/>
        <v>0</v>
      </c>
      <c r="AC281" s="5"/>
      <c r="AD281" s="6">
        <f>(TABL12345[[#This Row],[( S/S+T/B) AJD]]*1000)-((TABL12345[[#This Row],[(STORGE DIFF.) AJD]]*1000)+TABL12345[[#This Row],[البخر  AJD]]+(TABL12345[[#This Row],[(A/B + A/S) AJD]]*1000))</f>
        <v>0</v>
      </c>
      <c r="AE281" s="33"/>
      <c r="AF281" s="6"/>
      <c r="AG281" s="6"/>
      <c r="AH281" s="6">
        <f>TABL12345[[#This Row],[ (RESV. STORGE) BER]]/10</f>
        <v>0</v>
      </c>
      <c r="AI281" s="6"/>
      <c r="AJ281" s="33">
        <f>TABL12345[[#This Row],[(A/B TOT) AJD]]-TABL12345[[#This Row],[BER_ IN]]</f>
        <v>0</v>
      </c>
      <c r="AK281" s="6"/>
      <c r="AL281" s="6"/>
      <c r="AM281" s="32"/>
      <c r="AN281" s="32">
        <f>TABL12345[[#This Row],[ (RESV. STORGE) SER]]/10</f>
        <v>0</v>
      </c>
      <c r="AO281" s="68"/>
      <c r="AP281" s="68">
        <f>TABL12345[[#This Row],[(A/S TOT) AJD]]-TABL12345[[#This Row],[SER_ IN]]</f>
        <v>0</v>
      </c>
    </row>
    <row r="282" spans="1:42" ht="18.75" x14ac:dyDescent="0.25">
      <c r="A282" s="2">
        <v>47764</v>
      </c>
      <c r="B282" s="28"/>
      <c r="C282" s="28"/>
      <c r="D282" s="35"/>
      <c r="E282" s="28"/>
      <c r="F282" s="28"/>
      <c r="G282" s="28"/>
      <c r="H282" s="28"/>
      <c r="I282" s="28"/>
      <c r="J282" s="28"/>
      <c r="K282" s="28">
        <f>TABL12345[[#This Row],[خط (T/B  TOT) SAR]]+TABL12345[[#This Row],[خط (S/S  TOT) SAR2]]</f>
        <v>0</v>
      </c>
      <c r="L282" s="28"/>
      <c r="M282" s="29"/>
      <c r="N282" s="30"/>
      <c r="O282" s="14"/>
      <c r="P282" s="9">
        <f>TABL12345[[#This Row],[خط (S/S  TOT) SAR2]]-TABL12345[[#This Row],[(S/S TOT) AJD]]</f>
        <v>0</v>
      </c>
      <c r="Q282" s="14"/>
      <c r="R282" s="9">
        <f>TABL12345[[#This Row],[خط (T/B  TOT) SAR]]-TABL12345[[#This Row],[(T/B TOT) AJD]]</f>
        <v>0</v>
      </c>
      <c r="S282" s="9">
        <f>TABL12345[[#This Row],[الفرق بين بداية ونهاية خط  S/S]]+TABL12345[[#This Row],[الفرق بين بداية ونهاية خط  T/B]]</f>
        <v>0</v>
      </c>
      <c r="T282" s="9">
        <f t="shared" si="16"/>
        <v>0</v>
      </c>
      <c r="U282" s="14"/>
      <c r="V282" s="14"/>
      <c r="W282" s="9">
        <f t="shared" si="17"/>
        <v>0</v>
      </c>
      <c r="X282" s="9">
        <f t="shared" si="18"/>
        <v>0</v>
      </c>
      <c r="Y282" s="18"/>
      <c r="Z282" s="9"/>
      <c r="AA282" s="3">
        <f>TABL12345[[#This Row],[(RESV. STORGE) AJD]]/10</f>
        <v>0</v>
      </c>
      <c r="AB282" s="6">
        <f t="shared" si="19"/>
        <v>0</v>
      </c>
      <c r="AC282" s="5"/>
      <c r="AD282" s="6">
        <f>(TABL12345[[#This Row],[( S/S+T/B) AJD]]*1000)-((TABL12345[[#This Row],[(STORGE DIFF.) AJD]]*1000)+TABL12345[[#This Row],[البخر  AJD]]+(TABL12345[[#This Row],[(A/B + A/S) AJD]]*1000))</f>
        <v>0</v>
      </c>
      <c r="AE282" s="33"/>
      <c r="AF282" s="6"/>
      <c r="AG282" s="6"/>
      <c r="AH282" s="6">
        <f>TABL12345[[#This Row],[ (RESV. STORGE) BER]]/10</f>
        <v>0</v>
      </c>
      <c r="AI282" s="6"/>
      <c r="AJ282" s="33">
        <f>TABL12345[[#This Row],[(A/B TOT) AJD]]-TABL12345[[#This Row],[BER_ IN]]</f>
        <v>0</v>
      </c>
      <c r="AK282" s="6"/>
      <c r="AL282" s="6"/>
      <c r="AM282" s="32"/>
      <c r="AN282" s="32">
        <f>TABL12345[[#This Row],[ (RESV. STORGE) SER]]/10</f>
        <v>0</v>
      </c>
      <c r="AO282" s="68"/>
      <c r="AP282" s="68">
        <f>TABL12345[[#This Row],[(A/S TOT) AJD]]-TABL12345[[#This Row],[SER_ IN]]</f>
        <v>0</v>
      </c>
    </row>
    <row r="283" spans="1:42" ht="18.75" x14ac:dyDescent="0.25">
      <c r="A283" s="2">
        <v>47765</v>
      </c>
      <c r="B283" s="28"/>
      <c r="C283" s="28"/>
      <c r="D283" s="35"/>
      <c r="E283" s="28"/>
      <c r="F283" s="28"/>
      <c r="G283" s="28"/>
      <c r="H283" s="28"/>
      <c r="I283" s="28"/>
      <c r="J283" s="28"/>
      <c r="K283" s="28">
        <f>TABL12345[[#This Row],[خط (T/B  TOT) SAR]]+TABL12345[[#This Row],[خط (S/S  TOT) SAR2]]</f>
        <v>0</v>
      </c>
      <c r="L283" s="28"/>
      <c r="M283" s="29"/>
      <c r="N283" s="30"/>
      <c r="O283" s="14"/>
      <c r="P283" s="9">
        <f>TABL12345[[#This Row],[خط (S/S  TOT) SAR2]]-TABL12345[[#This Row],[(S/S TOT) AJD]]</f>
        <v>0</v>
      </c>
      <c r="Q283" s="14"/>
      <c r="R283" s="9">
        <f>TABL12345[[#This Row],[خط (T/B  TOT) SAR]]-TABL12345[[#This Row],[(T/B TOT) AJD]]</f>
        <v>0</v>
      </c>
      <c r="S283" s="9">
        <f>TABL12345[[#This Row],[الفرق بين بداية ونهاية خط  S/S]]+TABL12345[[#This Row],[الفرق بين بداية ونهاية خط  T/B]]</f>
        <v>0</v>
      </c>
      <c r="T283" s="9">
        <f t="shared" si="16"/>
        <v>0</v>
      </c>
      <c r="U283" s="14"/>
      <c r="V283" s="14"/>
      <c r="W283" s="9">
        <f t="shared" si="17"/>
        <v>0</v>
      </c>
      <c r="X283" s="9">
        <f t="shared" si="18"/>
        <v>0</v>
      </c>
      <c r="Y283" s="18"/>
      <c r="Z283" s="9"/>
      <c r="AA283" s="3">
        <f>TABL12345[[#This Row],[(RESV. STORGE) AJD]]/10</f>
        <v>0</v>
      </c>
      <c r="AB283" s="6">
        <f t="shared" si="19"/>
        <v>0</v>
      </c>
      <c r="AC283" s="5"/>
      <c r="AD283" s="6">
        <f>(TABL12345[[#This Row],[( S/S+T/B) AJD]]*1000)-((TABL12345[[#This Row],[(STORGE DIFF.) AJD]]*1000)+TABL12345[[#This Row],[البخر  AJD]]+(TABL12345[[#This Row],[(A/B + A/S) AJD]]*1000))</f>
        <v>0</v>
      </c>
      <c r="AE283" s="33"/>
      <c r="AF283" s="6"/>
      <c r="AG283" s="6"/>
      <c r="AH283" s="6">
        <f>TABL12345[[#This Row],[ (RESV. STORGE) BER]]/10</f>
        <v>0</v>
      </c>
      <c r="AI283" s="6"/>
      <c r="AJ283" s="33">
        <f>TABL12345[[#This Row],[(A/B TOT) AJD]]-TABL12345[[#This Row],[BER_ IN]]</f>
        <v>0</v>
      </c>
      <c r="AK283" s="6"/>
      <c r="AL283" s="6"/>
      <c r="AM283" s="32"/>
      <c r="AN283" s="32">
        <f>TABL12345[[#This Row],[ (RESV. STORGE) SER]]/10</f>
        <v>0</v>
      </c>
      <c r="AO283" s="68"/>
      <c r="AP283" s="68">
        <f>TABL12345[[#This Row],[(A/S TOT) AJD]]-TABL12345[[#This Row],[SER_ IN]]</f>
        <v>0</v>
      </c>
    </row>
    <row r="284" spans="1:42" ht="18.75" x14ac:dyDescent="0.25">
      <c r="A284" s="2">
        <v>47766</v>
      </c>
      <c r="B284" s="28"/>
      <c r="C284" s="28"/>
      <c r="D284" s="35"/>
      <c r="E284" s="28"/>
      <c r="F284" s="28"/>
      <c r="G284" s="28"/>
      <c r="H284" s="28"/>
      <c r="I284" s="28"/>
      <c r="J284" s="28"/>
      <c r="K284" s="28">
        <f>TABL12345[[#This Row],[خط (T/B  TOT) SAR]]+TABL12345[[#This Row],[خط (S/S  TOT) SAR2]]</f>
        <v>0</v>
      </c>
      <c r="L284" s="28"/>
      <c r="M284" s="29"/>
      <c r="N284" s="30"/>
      <c r="O284" s="14"/>
      <c r="P284" s="9">
        <f>TABL12345[[#This Row],[خط (S/S  TOT) SAR2]]-TABL12345[[#This Row],[(S/S TOT) AJD]]</f>
        <v>0</v>
      </c>
      <c r="Q284" s="14"/>
      <c r="R284" s="9">
        <f>TABL12345[[#This Row],[خط (T/B  TOT) SAR]]-TABL12345[[#This Row],[(T/B TOT) AJD]]</f>
        <v>0</v>
      </c>
      <c r="S284" s="9">
        <f>TABL12345[[#This Row],[الفرق بين بداية ونهاية خط  S/S]]+TABL12345[[#This Row],[الفرق بين بداية ونهاية خط  T/B]]</f>
        <v>0</v>
      </c>
      <c r="T284" s="9">
        <f t="shared" si="16"/>
        <v>0</v>
      </c>
      <c r="U284" s="14"/>
      <c r="V284" s="14"/>
      <c r="W284" s="9">
        <f t="shared" si="17"/>
        <v>0</v>
      </c>
      <c r="X284" s="9">
        <f t="shared" si="18"/>
        <v>0</v>
      </c>
      <c r="Y284" s="18"/>
      <c r="Z284" s="9"/>
      <c r="AA284" s="3">
        <f>TABL12345[[#This Row],[(RESV. STORGE) AJD]]/10</f>
        <v>0</v>
      </c>
      <c r="AB284" s="6">
        <f t="shared" si="19"/>
        <v>0</v>
      </c>
      <c r="AC284" s="5"/>
      <c r="AD284" s="6">
        <f>(TABL12345[[#This Row],[( S/S+T/B) AJD]]*1000)-((TABL12345[[#This Row],[(STORGE DIFF.) AJD]]*1000)+TABL12345[[#This Row],[البخر  AJD]]+(TABL12345[[#This Row],[(A/B + A/S) AJD]]*1000))</f>
        <v>0</v>
      </c>
      <c r="AE284" s="33"/>
      <c r="AF284" s="6"/>
      <c r="AG284" s="6"/>
      <c r="AH284" s="6">
        <f>TABL12345[[#This Row],[ (RESV. STORGE) BER]]/10</f>
        <v>0</v>
      </c>
      <c r="AI284" s="6"/>
      <c r="AJ284" s="33">
        <f>TABL12345[[#This Row],[(A/B TOT) AJD]]-TABL12345[[#This Row],[BER_ IN]]</f>
        <v>0</v>
      </c>
      <c r="AK284" s="6"/>
      <c r="AL284" s="6"/>
      <c r="AM284" s="32"/>
      <c r="AN284" s="32">
        <f>TABL12345[[#This Row],[ (RESV. STORGE) SER]]/10</f>
        <v>0</v>
      </c>
      <c r="AO284" s="68"/>
      <c r="AP284" s="68">
        <f>TABL12345[[#This Row],[(A/S TOT) AJD]]-TABL12345[[#This Row],[SER_ IN]]</f>
        <v>0</v>
      </c>
    </row>
    <row r="285" spans="1:42" ht="18.75" x14ac:dyDescent="0.25">
      <c r="A285" s="2">
        <v>47767</v>
      </c>
      <c r="B285" s="28"/>
      <c r="C285" s="28"/>
      <c r="D285" s="35"/>
      <c r="E285" s="28"/>
      <c r="F285" s="28"/>
      <c r="G285" s="28"/>
      <c r="H285" s="28"/>
      <c r="I285" s="28"/>
      <c r="J285" s="28"/>
      <c r="K285" s="28">
        <f>TABL12345[[#This Row],[خط (T/B  TOT) SAR]]+TABL12345[[#This Row],[خط (S/S  TOT) SAR2]]</f>
        <v>0</v>
      </c>
      <c r="L285" s="28"/>
      <c r="M285" s="29"/>
      <c r="N285" s="30"/>
      <c r="O285" s="14"/>
      <c r="P285" s="9">
        <f>TABL12345[[#This Row],[خط (S/S  TOT) SAR2]]-TABL12345[[#This Row],[(S/S TOT) AJD]]</f>
        <v>0</v>
      </c>
      <c r="Q285" s="14"/>
      <c r="R285" s="9">
        <f>TABL12345[[#This Row],[خط (T/B  TOT) SAR]]-TABL12345[[#This Row],[(T/B TOT) AJD]]</f>
        <v>0</v>
      </c>
      <c r="S285" s="9">
        <f>TABL12345[[#This Row],[الفرق بين بداية ونهاية خط  S/S]]+TABL12345[[#This Row],[الفرق بين بداية ونهاية خط  T/B]]</f>
        <v>0</v>
      </c>
      <c r="T285" s="9">
        <f t="shared" si="16"/>
        <v>0</v>
      </c>
      <c r="U285" s="14"/>
      <c r="V285" s="14"/>
      <c r="W285" s="9">
        <f t="shared" si="17"/>
        <v>0</v>
      </c>
      <c r="X285" s="9">
        <f t="shared" si="18"/>
        <v>0</v>
      </c>
      <c r="Y285" s="18"/>
      <c r="Z285" s="9"/>
      <c r="AA285" s="3">
        <f>TABL12345[[#This Row],[(RESV. STORGE) AJD]]/10</f>
        <v>0</v>
      </c>
      <c r="AB285" s="6">
        <f t="shared" si="19"/>
        <v>0</v>
      </c>
      <c r="AC285" s="5"/>
      <c r="AD285" s="6">
        <f>(TABL12345[[#This Row],[( S/S+T/B) AJD]]*1000)-((TABL12345[[#This Row],[(STORGE DIFF.) AJD]]*1000)+TABL12345[[#This Row],[البخر  AJD]]+(TABL12345[[#This Row],[(A/B + A/S) AJD]]*1000))</f>
        <v>0</v>
      </c>
      <c r="AE285" s="33"/>
      <c r="AF285" s="6"/>
      <c r="AG285" s="6"/>
      <c r="AH285" s="6">
        <f>TABL12345[[#This Row],[ (RESV. STORGE) BER]]/10</f>
        <v>0</v>
      </c>
      <c r="AI285" s="6"/>
      <c r="AJ285" s="33">
        <f>TABL12345[[#This Row],[(A/B TOT) AJD]]-TABL12345[[#This Row],[BER_ IN]]</f>
        <v>0</v>
      </c>
      <c r="AK285" s="6"/>
      <c r="AL285" s="6"/>
      <c r="AM285" s="32"/>
      <c r="AN285" s="32">
        <f>TABL12345[[#This Row],[ (RESV. STORGE) SER]]/10</f>
        <v>0</v>
      </c>
      <c r="AO285" s="68"/>
      <c r="AP285" s="68">
        <f>TABL12345[[#This Row],[(A/S TOT) AJD]]-TABL12345[[#This Row],[SER_ IN]]</f>
        <v>0</v>
      </c>
    </row>
    <row r="286" spans="1:42" ht="18.75" x14ac:dyDescent="0.25">
      <c r="A286" s="2">
        <v>47768</v>
      </c>
      <c r="B286" s="28"/>
      <c r="C286" s="28"/>
      <c r="D286" s="35"/>
      <c r="E286" s="28"/>
      <c r="F286" s="28"/>
      <c r="G286" s="28"/>
      <c r="H286" s="28"/>
      <c r="I286" s="28"/>
      <c r="J286" s="28"/>
      <c r="K286" s="28">
        <f>TABL12345[[#This Row],[خط (T/B  TOT) SAR]]+TABL12345[[#This Row],[خط (S/S  TOT) SAR2]]</f>
        <v>0</v>
      </c>
      <c r="L286" s="28"/>
      <c r="M286" s="29"/>
      <c r="N286" s="30"/>
      <c r="O286" s="14"/>
      <c r="P286" s="9">
        <f>TABL12345[[#This Row],[خط (S/S  TOT) SAR2]]-TABL12345[[#This Row],[(S/S TOT) AJD]]</f>
        <v>0</v>
      </c>
      <c r="Q286" s="14"/>
      <c r="R286" s="9">
        <f>TABL12345[[#This Row],[خط (T/B  TOT) SAR]]-TABL12345[[#This Row],[(T/B TOT) AJD]]</f>
        <v>0</v>
      </c>
      <c r="S286" s="9">
        <f>TABL12345[[#This Row],[الفرق بين بداية ونهاية خط  S/S]]+TABL12345[[#This Row],[الفرق بين بداية ونهاية خط  T/B]]</f>
        <v>0</v>
      </c>
      <c r="T286" s="9">
        <f t="shared" si="16"/>
        <v>0</v>
      </c>
      <c r="U286" s="14"/>
      <c r="V286" s="14"/>
      <c r="W286" s="9">
        <f t="shared" si="17"/>
        <v>0</v>
      </c>
      <c r="X286" s="9">
        <f t="shared" si="18"/>
        <v>0</v>
      </c>
      <c r="Y286" s="18"/>
      <c r="Z286" s="9"/>
      <c r="AA286" s="3">
        <f>TABL12345[[#This Row],[(RESV. STORGE) AJD]]/10</f>
        <v>0</v>
      </c>
      <c r="AB286" s="6">
        <f t="shared" si="19"/>
        <v>0</v>
      </c>
      <c r="AC286" s="5"/>
      <c r="AD286" s="6">
        <f>(TABL12345[[#This Row],[( S/S+T/B) AJD]]*1000)-((TABL12345[[#This Row],[(STORGE DIFF.) AJD]]*1000)+TABL12345[[#This Row],[البخر  AJD]]+(TABL12345[[#This Row],[(A/B + A/S) AJD]]*1000))</f>
        <v>0</v>
      </c>
      <c r="AE286" s="33"/>
      <c r="AF286" s="6"/>
      <c r="AG286" s="6"/>
      <c r="AH286" s="6">
        <f>TABL12345[[#This Row],[ (RESV. STORGE) BER]]/10</f>
        <v>0</v>
      </c>
      <c r="AI286" s="6"/>
      <c r="AJ286" s="33">
        <f>TABL12345[[#This Row],[(A/B TOT) AJD]]-TABL12345[[#This Row],[BER_ IN]]</f>
        <v>0</v>
      </c>
      <c r="AK286" s="6"/>
      <c r="AL286" s="6"/>
      <c r="AM286" s="32"/>
      <c r="AN286" s="32">
        <f>TABL12345[[#This Row],[ (RESV. STORGE) SER]]/10</f>
        <v>0</v>
      </c>
      <c r="AO286" s="68"/>
      <c r="AP286" s="68">
        <f>TABL12345[[#This Row],[(A/S TOT) AJD]]-TABL12345[[#This Row],[SER_ IN]]</f>
        <v>0</v>
      </c>
    </row>
    <row r="287" spans="1:42" ht="18.75" x14ac:dyDescent="0.25">
      <c r="A287" s="2">
        <v>47769</v>
      </c>
      <c r="B287" s="28"/>
      <c r="C287" s="28"/>
      <c r="D287" s="35"/>
      <c r="E287" s="28"/>
      <c r="F287" s="28"/>
      <c r="G287" s="28"/>
      <c r="H287" s="28"/>
      <c r="I287" s="28"/>
      <c r="J287" s="28"/>
      <c r="K287" s="28">
        <f>TABL12345[[#This Row],[خط (T/B  TOT) SAR]]+TABL12345[[#This Row],[خط (S/S  TOT) SAR2]]</f>
        <v>0</v>
      </c>
      <c r="L287" s="28"/>
      <c r="M287" s="29"/>
      <c r="N287" s="30"/>
      <c r="O287" s="14"/>
      <c r="P287" s="9">
        <f>TABL12345[[#This Row],[خط (S/S  TOT) SAR2]]-TABL12345[[#This Row],[(S/S TOT) AJD]]</f>
        <v>0</v>
      </c>
      <c r="Q287" s="14"/>
      <c r="R287" s="9">
        <f>TABL12345[[#This Row],[خط (T/B  TOT) SAR]]-TABL12345[[#This Row],[(T/B TOT) AJD]]</f>
        <v>0</v>
      </c>
      <c r="S287" s="9">
        <f>TABL12345[[#This Row],[الفرق بين بداية ونهاية خط  S/S]]+TABL12345[[#This Row],[الفرق بين بداية ونهاية خط  T/B]]</f>
        <v>0</v>
      </c>
      <c r="T287" s="9">
        <f t="shared" si="16"/>
        <v>0</v>
      </c>
      <c r="U287" s="14"/>
      <c r="V287" s="14"/>
      <c r="W287" s="9">
        <f t="shared" si="17"/>
        <v>0</v>
      </c>
      <c r="X287" s="9">
        <f t="shared" si="18"/>
        <v>0</v>
      </c>
      <c r="Y287" s="18"/>
      <c r="Z287" s="9"/>
      <c r="AA287" s="3">
        <f>TABL12345[[#This Row],[(RESV. STORGE) AJD]]/10</f>
        <v>0</v>
      </c>
      <c r="AB287" s="6">
        <f t="shared" si="19"/>
        <v>0</v>
      </c>
      <c r="AC287" s="5"/>
      <c r="AD287" s="6">
        <f>(TABL12345[[#This Row],[( S/S+T/B) AJD]]*1000)-((TABL12345[[#This Row],[(STORGE DIFF.) AJD]]*1000)+TABL12345[[#This Row],[البخر  AJD]]+(TABL12345[[#This Row],[(A/B + A/S) AJD]]*1000))</f>
        <v>0</v>
      </c>
      <c r="AE287" s="33"/>
      <c r="AF287" s="6"/>
      <c r="AG287" s="6"/>
      <c r="AH287" s="6">
        <f>TABL12345[[#This Row],[ (RESV. STORGE) BER]]/10</f>
        <v>0</v>
      </c>
      <c r="AI287" s="6"/>
      <c r="AJ287" s="33">
        <f>TABL12345[[#This Row],[(A/B TOT) AJD]]-TABL12345[[#This Row],[BER_ IN]]</f>
        <v>0</v>
      </c>
      <c r="AK287" s="6"/>
      <c r="AL287" s="6"/>
      <c r="AM287" s="32"/>
      <c r="AN287" s="32">
        <f>TABL12345[[#This Row],[ (RESV. STORGE) SER]]/10</f>
        <v>0</v>
      </c>
      <c r="AO287" s="68"/>
      <c r="AP287" s="68">
        <f>TABL12345[[#This Row],[(A/S TOT) AJD]]-TABL12345[[#This Row],[SER_ IN]]</f>
        <v>0</v>
      </c>
    </row>
    <row r="288" spans="1:42" ht="18.75" x14ac:dyDescent="0.25">
      <c r="A288" s="2">
        <v>47770</v>
      </c>
      <c r="B288" s="28"/>
      <c r="C288" s="28"/>
      <c r="D288" s="35"/>
      <c r="E288" s="28"/>
      <c r="F288" s="28"/>
      <c r="G288" s="28"/>
      <c r="H288" s="28"/>
      <c r="I288" s="28"/>
      <c r="J288" s="28"/>
      <c r="K288" s="28">
        <f>TABL12345[[#This Row],[خط (T/B  TOT) SAR]]+TABL12345[[#This Row],[خط (S/S  TOT) SAR2]]</f>
        <v>0</v>
      </c>
      <c r="L288" s="28"/>
      <c r="M288" s="29"/>
      <c r="N288" s="30"/>
      <c r="O288" s="14"/>
      <c r="P288" s="9">
        <f>TABL12345[[#This Row],[خط (S/S  TOT) SAR2]]-TABL12345[[#This Row],[(S/S TOT) AJD]]</f>
        <v>0</v>
      </c>
      <c r="Q288" s="14"/>
      <c r="R288" s="9">
        <f>TABL12345[[#This Row],[خط (T/B  TOT) SAR]]-TABL12345[[#This Row],[(T/B TOT) AJD]]</f>
        <v>0</v>
      </c>
      <c r="S288" s="9">
        <f>TABL12345[[#This Row],[الفرق بين بداية ونهاية خط  S/S]]+TABL12345[[#This Row],[الفرق بين بداية ونهاية خط  T/B]]</f>
        <v>0</v>
      </c>
      <c r="T288" s="9">
        <f t="shared" si="16"/>
        <v>0</v>
      </c>
      <c r="U288" s="14"/>
      <c r="V288" s="14"/>
      <c r="W288" s="9">
        <f t="shared" si="17"/>
        <v>0</v>
      </c>
      <c r="X288" s="9">
        <f t="shared" si="18"/>
        <v>0</v>
      </c>
      <c r="Y288" s="18"/>
      <c r="Z288" s="9"/>
      <c r="AA288" s="3">
        <f>TABL12345[[#This Row],[(RESV. STORGE) AJD]]/10</f>
        <v>0</v>
      </c>
      <c r="AB288" s="6">
        <f t="shared" si="19"/>
        <v>0</v>
      </c>
      <c r="AC288" s="5"/>
      <c r="AD288" s="6">
        <f>(TABL12345[[#This Row],[( S/S+T/B) AJD]]*1000)-((TABL12345[[#This Row],[(STORGE DIFF.) AJD]]*1000)+TABL12345[[#This Row],[البخر  AJD]]+(TABL12345[[#This Row],[(A/B + A/S) AJD]]*1000))</f>
        <v>0</v>
      </c>
      <c r="AE288" s="33"/>
      <c r="AF288" s="6"/>
      <c r="AG288" s="6"/>
      <c r="AH288" s="6">
        <f>TABL12345[[#This Row],[ (RESV. STORGE) BER]]/10</f>
        <v>0</v>
      </c>
      <c r="AI288" s="6"/>
      <c r="AJ288" s="33">
        <f>TABL12345[[#This Row],[(A/B TOT) AJD]]-TABL12345[[#This Row],[BER_ IN]]</f>
        <v>0</v>
      </c>
      <c r="AK288" s="6"/>
      <c r="AL288" s="6"/>
      <c r="AM288" s="32"/>
      <c r="AN288" s="32">
        <f>TABL12345[[#This Row],[ (RESV. STORGE) SER]]/10</f>
        <v>0</v>
      </c>
      <c r="AO288" s="68"/>
      <c r="AP288" s="68">
        <f>TABL12345[[#This Row],[(A/S TOT) AJD]]-TABL12345[[#This Row],[SER_ IN]]</f>
        <v>0</v>
      </c>
    </row>
    <row r="289" spans="1:42" ht="18.75" x14ac:dyDescent="0.25">
      <c r="A289" s="2">
        <v>47771</v>
      </c>
      <c r="B289" s="28"/>
      <c r="C289" s="28"/>
      <c r="D289" s="35"/>
      <c r="E289" s="28"/>
      <c r="F289" s="28"/>
      <c r="G289" s="28"/>
      <c r="H289" s="28"/>
      <c r="I289" s="28"/>
      <c r="J289" s="28"/>
      <c r="K289" s="28">
        <f>TABL12345[[#This Row],[خط (T/B  TOT) SAR]]+TABL12345[[#This Row],[خط (S/S  TOT) SAR2]]</f>
        <v>0</v>
      </c>
      <c r="L289" s="28"/>
      <c r="M289" s="29"/>
      <c r="N289" s="30"/>
      <c r="O289" s="14"/>
      <c r="P289" s="9">
        <f>TABL12345[[#This Row],[خط (S/S  TOT) SAR2]]-TABL12345[[#This Row],[(S/S TOT) AJD]]</f>
        <v>0</v>
      </c>
      <c r="Q289" s="14"/>
      <c r="R289" s="9">
        <f>TABL12345[[#This Row],[خط (T/B  TOT) SAR]]-TABL12345[[#This Row],[(T/B TOT) AJD]]</f>
        <v>0</v>
      </c>
      <c r="S289" s="9">
        <f>TABL12345[[#This Row],[الفرق بين بداية ونهاية خط  S/S]]+TABL12345[[#This Row],[الفرق بين بداية ونهاية خط  T/B]]</f>
        <v>0</v>
      </c>
      <c r="T289" s="9">
        <f t="shared" si="16"/>
        <v>0</v>
      </c>
      <c r="U289" s="14"/>
      <c r="V289" s="14"/>
      <c r="W289" s="9">
        <f t="shared" si="17"/>
        <v>0</v>
      </c>
      <c r="X289" s="9">
        <f t="shared" si="18"/>
        <v>0</v>
      </c>
      <c r="Y289" s="18"/>
      <c r="Z289" s="9"/>
      <c r="AA289" s="3">
        <f>TABL12345[[#This Row],[(RESV. STORGE) AJD]]/10</f>
        <v>0</v>
      </c>
      <c r="AB289" s="6">
        <f t="shared" si="19"/>
        <v>0</v>
      </c>
      <c r="AC289" s="5"/>
      <c r="AD289" s="6">
        <f>(TABL12345[[#This Row],[( S/S+T/B) AJD]]*1000)-((TABL12345[[#This Row],[(STORGE DIFF.) AJD]]*1000)+TABL12345[[#This Row],[البخر  AJD]]+(TABL12345[[#This Row],[(A/B + A/S) AJD]]*1000))</f>
        <v>0</v>
      </c>
      <c r="AE289" s="33"/>
      <c r="AF289" s="6"/>
      <c r="AG289" s="6"/>
      <c r="AH289" s="6">
        <f>TABL12345[[#This Row],[ (RESV. STORGE) BER]]/10</f>
        <v>0</v>
      </c>
      <c r="AI289" s="6"/>
      <c r="AJ289" s="33">
        <f>TABL12345[[#This Row],[(A/B TOT) AJD]]-TABL12345[[#This Row],[BER_ IN]]</f>
        <v>0</v>
      </c>
      <c r="AK289" s="6"/>
      <c r="AL289" s="6"/>
      <c r="AM289" s="32"/>
      <c r="AN289" s="32">
        <f>TABL12345[[#This Row],[ (RESV. STORGE) SER]]/10</f>
        <v>0</v>
      </c>
      <c r="AO289" s="68"/>
      <c r="AP289" s="68">
        <f>TABL12345[[#This Row],[(A/S TOT) AJD]]-TABL12345[[#This Row],[SER_ IN]]</f>
        <v>0</v>
      </c>
    </row>
    <row r="290" spans="1:42" ht="18.75" x14ac:dyDescent="0.25">
      <c r="A290" s="2">
        <v>47772</v>
      </c>
      <c r="B290" s="28"/>
      <c r="C290" s="28"/>
      <c r="D290" s="35"/>
      <c r="E290" s="28"/>
      <c r="F290" s="28"/>
      <c r="G290" s="28"/>
      <c r="H290" s="28"/>
      <c r="I290" s="28"/>
      <c r="J290" s="28"/>
      <c r="K290" s="28">
        <f>TABL12345[[#This Row],[خط (T/B  TOT) SAR]]+TABL12345[[#This Row],[خط (S/S  TOT) SAR2]]</f>
        <v>0</v>
      </c>
      <c r="L290" s="28"/>
      <c r="M290" s="29"/>
      <c r="N290" s="30"/>
      <c r="O290" s="14"/>
      <c r="P290" s="9">
        <f>TABL12345[[#This Row],[خط (S/S  TOT) SAR2]]-TABL12345[[#This Row],[(S/S TOT) AJD]]</f>
        <v>0</v>
      </c>
      <c r="Q290" s="14"/>
      <c r="R290" s="9">
        <f>TABL12345[[#This Row],[خط (T/B  TOT) SAR]]-TABL12345[[#This Row],[(T/B TOT) AJD]]</f>
        <v>0</v>
      </c>
      <c r="S290" s="9">
        <f>TABL12345[[#This Row],[الفرق بين بداية ونهاية خط  S/S]]+TABL12345[[#This Row],[الفرق بين بداية ونهاية خط  T/B]]</f>
        <v>0</v>
      </c>
      <c r="T290" s="9">
        <f t="shared" si="16"/>
        <v>0</v>
      </c>
      <c r="U290" s="14"/>
      <c r="V290" s="14"/>
      <c r="W290" s="9">
        <f t="shared" si="17"/>
        <v>0</v>
      </c>
      <c r="X290" s="9">
        <f t="shared" si="18"/>
        <v>0</v>
      </c>
      <c r="Y290" s="18"/>
      <c r="Z290" s="9"/>
      <c r="AA290" s="3">
        <f>TABL12345[[#This Row],[(RESV. STORGE) AJD]]/10</f>
        <v>0</v>
      </c>
      <c r="AB290" s="6">
        <f t="shared" si="19"/>
        <v>0</v>
      </c>
      <c r="AC290" s="5"/>
      <c r="AD290" s="6">
        <f>(TABL12345[[#This Row],[( S/S+T/B) AJD]]*1000)-((TABL12345[[#This Row],[(STORGE DIFF.) AJD]]*1000)+TABL12345[[#This Row],[البخر  AJD]]+(TABL12345[[#This Row],[(A/B + A/S) AJD]]*1000))</f>
        <v>0</v>
      </c>
      <c r="AE290" s="33"/>
      <c r="AF290" s="6"/>
      <c r="AG290" s="6"/>
      <c r="AH290" s="6">
        <f>TABL12345[[#This Row],[ (RESV. STORGE) BER]]/10</f>
        <v>0</v>
      </c>
      <c r="AI290" s="6"/>
      <c r="AJ290" s="33">
        <f>TABL12345[[#This Row],[(A/B TOT) AJD]]-TABL12345[[#This Row],[BER_ IN]]</f>
        <v>0</v>
      </c>
      <c r="AK290" s="6"/>
      <c r="AL290" s="6"/>
      <c r="AM290" s="32"/>
      <c r="AN290" s="32">
        <f>TABL12345[[#This Row],[ (RESV. STORGE) SER]]/10</f>
        <v>0</v>
      </c>
      <c r="AO290" s="68"/>
      <c r="AP290" s="68">
        <f>TABL12345[[#This Row],[(A/S TOT) AJD]]-TABL12345[[#This Row],[SER_ IN]]</f>
        <v>0</v>
      </c>
    </row>
    <row r="291" spans="1:42" ht="18.75" x14ac:dyDescent="0.25">
      <c r="A291" s="2">
        <v>47773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>
        <f>TABL12345[[#This Row],[خط (T/B  TOT) SAR]]+TABL12345[[#This Row],[خط (S/S  TOT) SAR2]]</f>
        <v>0</v>
      </c>
      <c r="L291" s="28"/>
      <c r="M291" s="29"/>
      <c r="N291" s="30"/>
      <c r="O291" s="14"/>
      <c r="P291" s="9">
        <f>TABL12345[[#This Row],[خط (S/S  TOT) SAR2]]-TABL12345[[#This Row],[(S/S TOT) AJD]]</f>
        <v>0</v>
      </c>
      <c r="Q291" s="14"/>
      <c r="R291" s="9">
        <f>TABL12345[[#This Row],[خط (T/B  TOT) SAR]]-TABL12345[[#This Row],[(T/B TOT) AJD]]</f>
        <v>0</v>
      </c>
      <c r="S291" s="9">
        <f>TABL12345[[#This Row],[الفرق بين بداية ونهاية خط  S/S]]+TABL12345[[#This Row],[الفرق بين بداية ونهاية خط  T/B]]</f>
        <v>0</v>
      </c>
      <c r="T291" s="9">
        <f t="shared" si="16"/>
        <v>0</v>
      </c>
      <c r="U291" s="14"/>
      <c r="V291" s="14"/>
      <c r="W291" s="9">
        <f t="shared" si="17"/>
        <v>0</v>
      </c>
      <c r="X291" s="9">
        <f t="shared" si="18"/>
        <v>0</v>
      </c>
      <c r="Y291" s="18"/>
      <c r="Z291" s="9"/>
      <c r="AA291" s="3">
        <f>TABL12345[[#This Row],[(RESV. STORGE) AJD]]/10</f>
        <v>0</v>
      </c>
      <c r="AB291" s="6">
        <f t="shared" si="19"/>
        <v>0</v>
      </c>
      <c r="AC291" s="5"/>
      <c r="AD291" s="6">
        <f>(TABL12345[[#This Row],[( S/S+T/B) AJD]]*1000)-((TABL12345[[#This Row],[(STORGE DIFF.) AJD]]*1000)+TABL12345[[#This Row],[البخر  AJD]]+(TABL12345[[#This Row],[(A/B + A/S) AJD]]*1000))</f>
        <v>0</v>
      </c>
      <c r="AE291" s="33"/>
      <c r="AF291" s="6"/>
      <c r="AG291" s="6"/>
      <c r="AH291" s="6">
        <f>TABL12345[[#This Row],[ (RESV. STORGE) BER]]/10</f>
        <v>0</v>
      </c>
      <c r="AI291" s="6"/>
      <c r="AJ291" s="33">
        <f>TABL12345[[#This Row],[(A/B TOT) AJD]]-TABL12345[[#This Row],[BER_ IN]]</f>
        <v>0</v>
      </c>
      <c r="AK291" s="6"/>
      <c r="AL291" s="6"/>
      <c r="AM291" s="32"/>
      <c r="AN291" s="32">
        <f>TABL12345[[#This Row],[ (RESV. STORGE) SER]]/10</f>
        <v>0</v>
      </c>
      <c r="AO291" s="68"/>
      <c r="AP291" s="68">
        <f>TABL12345[[#This Row],[(A/S TOT) AJD]]-TABL12345[[#This Row],[SER_ IN]]</f>
        <v>0</v>
      </c>
    </row>
    <row r="292" spans="1:42" ht="18.75" x14ac:dyDescent="0.25">
      <c r="A292" s="2">
        <v>47774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>
        <f>TABL12345[[#This Row],[خط (T/B  TOT) SAR]]+TABL12345[[#This Row],[خط (S/S  TOT) SAR2]]</f>
        <v>0</v>
      </c>
      <c r="L292" s="28"/>
      <c r="M292" s="29"/>
      <c r="N292" s="30"/>
      <c r="O292" s="9"/>
      <c r="P292" s="9">
        <f>TABL12345[[#This Row],[خط (S/S  TOT) SAR2]]-TABL12345[[#This Row],[(S/S TOT) AJD]]</f>
        <v>0</v>
      </c>
      <c r="Q292" s="9"/>
      <c r="R292" s="9">
        <f>TABL12345[[#This Row],[خط (T/B  TOT) SAR]]-TABL12345[[#This Row],[(T/B TOT) AJD]]</f>
        <v>0</v>
      </c>
      <c r="S292" s="9">
        <f>TABL12345[[#This Row],[الفرق بين بداية ونهاية خط  S/S]]+TABL12345[[#This Row],[الفرق بين بداية ونهاية خط  T/B]]</f>
        <v>0</v>
      </c>
      <c r="T292" s="9">
        <f t="shared" si="16"/>
        <v>0</v>
      </c>
      <c r="U292" s="9"/>
      <c r="V292" s="9"/>
      <c r="W292" s="9">
        <f t="shared" si="17"/>
        <v>0</v>
      </c>
      <c r="X292" s="9">
        <f t="shared" si="18"/>
        <v>0</v>
      </c>
      <c r="Y292" s="18"/>
      <c r="Z292" s="9"/>
      <c r="AA292" s="3">
        <f>TABL12345[[#This Row],[(RESV. STORGE) AJD]]/10</f>
        <v>0</v>
      </c>
      <c r="AB292" s="6">
        <f t="shared" si="19"/>
        <v>0</v>
      </c>
      <c r="AC292" s="5"/>
      <c r="AD292" s="6">
        <f>(TABL12345[[#This Row],[( S/S+T/B) AJD]]*1000)-((TABL12345[[#This Row],[(STORGE DIFF.) AJD]]*1000)+TABL12345[[#This Row],[البخر  AJD]]+(TABL12345[[#This Row],[(A/B + A/S) AJD]]*1000))</f>
        <v>0</v>
      </c>
      <c r="AE292" s="33"/>
      <c r="AF292" s="6"/>
      <c r="AG292" s="6"/>
      <c r="AH292" s="6">
        <f>TABL12345[[#This Row],[ (RESV. STORGE) BER]]/10</f>
        <v>0</v>
      </c>
      <c r="AI292" s="6"/>
      <c r="AJ292" s="33">
        <f>TABL12345[[#This Row],[(A/B TOT) AJD]]-TABL12345[[#This Row],[BER_ IN]]</f>
        <v>0</v>
      </c>
      <c r="AK292" s="6"/>
      <c r="AL292" s="6"/>
      <c r="AM292" s="32"/>
      <c r="AN292" s="32">
        <f>TABL12345[[#This Row],[ (RESV. STORGE) SER]]/10</f>
        <v>0</v>
      </c>
      <c r="AO292" s="68"/>
      <c r="AP292" s="68">
        <f>TABL12345[[#This Row],[(A/S TOT) AJD]]-TABL12345[[#This Row],[SER_ IN]]</f>
        <v>0</v>
      </c>
    </row>
    <row r="293" spans="1:42" ht="18.75" x14ac:dyDescent="0.25">
      <c r="A293" s="2">
        <v>47775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>
        <f>TABL12345[[#This Row],[خط (T/B  TOT) SAR]]+TABL12345[[#This Row],[خط (S/S  TOT) SAR2]]</f>
        <v>0</v>
      </c>
      <c r="L293" s="28"/>
      <c r="M293" s="29"/>
      <c r="N293" s="30"/>
      <c r="O293" s="9"/>
      <c r="P293" s="9">
        <f>TABL12345[[#This Row],[خط (S/S  TOT) SAR2]]-TABL12345[[#This Row],[(S/S TOT) AJD]]</f>
        <v>0</v>
      </c>
      <c r="Q293" s="9"/>
      <c r="R293" s="9">
        <f>TABL12345[[#This Row],[خط (T/B  TOT) SAR]]-TABL12345[[#This Row],[(T/B TOT) AJD]]</f>
        <v>0</v>
      </c>
      <c r="S293" s="9">
        <f>TABL12345[[#This Row],[الفرق بين بداية ونهاية خط  S/S]]+TABL12345[[#This Row],[الفرق بين بداية ونهاية خط  T/B]]</f>
        <v>0</v>
      </c>
      <c r="T293" s="9">
        <f t="shared" si="16"/>
        <v>0</v>
      </c>
      <c r="U293" s="9"/>
      <c r="V293" s="9"/>
      <c r="W293" s="9">
        <f t="shared" si="17"/>
        <v>0</v>
      </c>
      <c r="X293" s="9">
        <f t="shared" si="18"/>
        <v>0</v>
      </c>
      <c r="Y293" s="18"/>
      <c r="Z293" s="9"/>
      <c r="AA293" s="3">
        <f>TABL12345[[#This Row],[(RESV. STORGE) AJD]]/10</f>
        <v>0</v>
      </c>
      <c r="AB293" s="6">
        <f t="shared" si="19"/>
        <v>0</v>
      </c>
      <c r="AC293" s="5"/>
      <c r="AD293" s="6">
        <f>(TABL12345[[#This Row],[( S/S+T/B) AJD]]*1000)-((TABL12345[[#This Row],[(STORGE DIFF.) AJD]]*1000)+TABL12345[[#This Row],[البخر  AJD]]+(TABL12345[[#This Row],[(A/B + A/S) AJD]]*1000))</f>
        <v>0</v>
      </c>
      <c r="AE293" s="33"/>
      <c r="AF293" s="6"/>
      <c r="AG293" s="6"/>
      <c r="AH293" s="6">
        <f>TABL12345[[#This Row],[ (RESV. STORGE) BER]]/10</f>
        <v>0</v>
      </c>
      <c r="AI293" s="6"/>
      <c r="AJ293" s="33">
        <f>TABL12345[[#This Row],[(A/B TOT) AJD]]-TABL12345[[#This Row],[BER_ IN]]</f>
        <v>0</v>
      </c>
      <c r="AK293" s="6"/>
      <c r="AL293" s="6"/>
      <c r="AM293" s="32"/>
      <c r="AN293" s="32">
        <f>TABL12345[[#This Row],[ (RESV. STORGE) SER]]/10</f>
        <v>0</v>
      </c>
      <c r="AO293" s="68"/>
      <c r="AP293" s="68">
        <f>TABL12345[[#This Row],[(A/S TOT) AJD]]-TABL12345[[#This Row],[SER_ IN]]</f>
        <v>0</v>
      </c>
    </row>
    <row r="294" spans="1:42" ht="18.75" x14ac:dyDescent="0.25">
      <c r="A294" s="2">
        <v>47776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>
        <f>TABL12345[[#This Row],[خط (T/B  TOT) SAR]]+TABL12345[[#This Row],[خط (S/S  TOT) SAR2]]</f>
        <v>0</v>
      </c>
      <c r="L294" s="28"/>
      <c r="M294" s="29"/>
      <c r="N294" s="30"/>
      <c r="O294" s="9"/>
      <c r="P294" s="9">
        <f>TABL12345[[#This Row],[خط (S/S  TOT) SAR2]]-TABL12345[[#This Row],[(S/S TOT) AJD]]</f>
        <v>0</v>
      </c>
      <c r="Q294" s="9"/>
      <c r="R294" s="9">
        <f>TABL12345[[#This Row],[خط (T/B  TOT) SAR]]-TABL12345[[#This Row],[(T/B TOT) AJD]]</f>
        <v>0</v>
      </c>
      <c r="S294" s="9">
        <f>TABL12345[[#This Row],[الفرق بين بداية ونهاية خط  S/S]]+TABL12345[[#This Row],[الفرق بين بداية ونهاية خط  T/B]]</f>
        <v>0</v>
      </c>
      <c r="T294" s="9">
        <f t="shared" si="16"/>
        <v>0</v>
      </c>
      <c r="U294" s="9"/>
      <c r="V294" s="9"/>
      <c r="W294" s="9">
        <f t="shared" si="17"/>
        <v>0</v>
      </c>
      <c r="X294" s="9">
        <f t="shared" si="18"/>
        <v>0</v>
      </c>
      <c r="Y294" s="18"/>
      <c r="Z294" s="9"/>
      <c r="AA294" s="3">
        <f>TABL12345[[#This Row],[(RESV. STORGE) AJD]]/10</f>
        <v>0</v>
      </c>
      <c r="AB294" s="6">
        <f t="shared" si="19"/>
        <v>0</v>
      </c>
      <c r="AC294" s="5"/>
      <c r="AD294" s="6">
        <f>(TABL12345[[#This Row],[( S/S+T/B) AJD]]*1000)-((TABL12345[[#This Row],[(STORGE DIFF.) AJD]]*1000)+TABL12345[[#This Row],[البخر  AJD]]+(TABL12345[[#This Row],[(A/B + A/S) AJD]]*1000))</f>
        <v>0</v>
      </c>
      <c r="AE294" s="33"/>
      <c r="AF294" s="6"/>
      <c r="AG294" s="6"/>
      <c r="AH294" s="6">
        <f>TABL12345[[#This Row],[ (RESV. STORGE) BER]]/10</f>
        <v>0</v>
      </c>
      <c r="AI294" s="6"/>
      <c r="AJ294" s="33">
        <f>TABL12345[[#This Row],[(A/B TOT) AJD]]-TABL12345[[#This Row],[BER_ IN]]</f>
        <v>0</v>
      </c>
      <c r="AK294" s="6"/>
      <c r="AL294" s="6"/>
      <c r="AM294" s="32"/>
      <c r="AN294" s="32">
        <f>TABL12345[[#This Row],[ (RESV. STORGE) SER]]/10</f>
        <v>0</v>
      </c>
      <c r="AO294" s="68"/>
      <c r="AP294" s="68">
        <f>TABL12345[[#This Row],[(A/S TOT) AJD]]-TABL12345[[#This Row],[SER_ IN]]</f>
        <v>0</v>
      </c>
    </row>
    <row r="295" spans="1:42" ht="18.75" x14ac:dyDescent="0.25">
      <c r="A295" s="2">
        <v>47777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>
        <f>TABL12345[[#This Row],[خط (T/B  TOT) SAR]]+TABL12345[[#This Row],[خط (S/S  TOT) SAR2]]</f>
        <v>0</v>
      </c>
      <c r="L295" s="28"/>
      <c r="M295" s="29"/>
      <c r="N295" s="30"/>
      <c r="O295" s="9"/>
      <c r="P295" s="9">
        <f>TABL12345[[#This Row],[خط (S/S  TOT) SAR2]]-TABL12345[[#This Row],[(S/S TOT) AJD]]</f>
        <v>0</v>
      </c>
      <c r="Q295" s="9"/>
      <c r="R295" s="9">
        <f>TABL12345[[#This Row],[خط (T/B  TOT) SAR]]-TABL12345[[#This Row],[(T/B TOT) AJD]]</f>
        <v>0</v>
      </c>
      <c r="S295" s="9">
        <f>TABL12345[[#This Row],[الفرق بين بداية ونهاية خط  S/S]]+TABL12345[[#This Row],[الفرق بين بداية ونهاية خط  T/B]]</f>
        <v>0</v>
      </c>
      <c r="T295" s="9">
        <f t="shared" si="16"/>
        <v>0</v>
      </c>
      <c r="U295" s="9"/>
      <c r="V295" s="9"/>
      <c r="W295" s="9">
        <f t="shared" si="17"/>
        <v>0</v>
      </c>
      <c r="X295" s="9">
        <f t="shared" si="18"/>
        <v>0</v>
      </c>
      <c r="Y295" s="18"/>
      <c r="Z295" s="9"/>
      <c r="AA295" s="3">
        <f>TABL12345[[#This Row],[(RESV. STORGE) AJD]]/10</f>
        <v>0</v>
      </c>
      <c r="AB295" s="6">
        <f t="shared" si="19"/>
        <v>0</v>
      </c>
      <c r="AC295" s="5"/>
      <c r="AD295" s="6">
        <f>(TABL12345[[#This Row],[( S/S+T/B) AJD]]*1000)-((TABL12345[[#This Row],[(STORGE DIFF.) AJD]]*1000)+TABL12345[[#This Row],[البخر  AJD]]+(TABL12345[[#This Row],[(A/B + A/S) AJD]]*1000))</f>
        <v>0</v>
      </c>
      <c r="AE295" s="33"/>
      <c r="AF295" s="6"/>
      <c r="AG295" s="6"/>
      <c r="AH295" s="6">
        <f>TABL12345[[#This Row],[ (RESV. STORGE) BER]]/10</f>
        <v>0</v>
      </c>
      <c r="AI295" s="6"/>
      <c r="AJ295" s="33">
        <f>TABL12345[[#This Row],[(A/B TOT) AJD]]-TABL12345[[#This Row],[BER_ IN]]</f>
        <v>0</v>
      </c>
      <c r="AK295" s="6"/>
      <c r="AL295" s="6"/>
      <c r="AM295" s="32"/>
      <c r="AN295" s="32">
        <f>TABL12345[[#This Row],[ (RESV. STORGE) SER]]/10</f>
        <v>0</v>
      </c>
      <c r="AO295" s="68"/>
      <c r="AP295" s="68">
        <f>TABL12345[[#This Row],[(A/S TOT) AJD]]-TABL12345[[#This Row],[SER_ IN]]</f>
        <v>0</v>
      </c>
    </row>
    <row r="296" spans="1:42" ht="18.75" x14ac:dyDescent="0.25">
      <c r="A296" s="2">
        <v>47778</v>
      </c>
      <c r="B296" s="28"/>
      <c r="C296" s="28"/>
      <c r="D296" s="28"/>
      <c r="E296" s="28"/>
      <c r="F296" s="28"/>
      <c r="G296" s="28"/>
      <c r="H296" s="28"/>
      <c r="I296" s="28"/>
      <c r="J296" s="28"/>
      <c r="K296" s="28">
        <f>TABL12345[[#This Row],[خط (T/B  TOT) SAR]]+TABL12345[[#This Row],[خط (S/S  TOT) SAR2]]</f>
        <v>0</v>
      </c>
      <c r="L296" s="28"/>
      <c r="M296" s="29"/>
      <c r="N296" s="30"/>
      <c r="O296" s="9"/>
      <c r="P296" s="9">
        <f>TABL12345[[#This Row],[خط (S/S  TOT) SAR2]]-TABL12345[[#This Row],[(S/S TOT) AJD]]</f>
        <v>0</v>
      </c>
      <c r="Q296" s="9"/>
      <c r="R296" s="9">
        <f>TABL12345[[#This Row],[خط (T/B  TOT) SAR]]-TABL12345[[#This Row],[(T/B TOT) AJD]]</f>
        <v>0</v>
      </c>
      <c r="S296" s="9">
        <f>TABL12345[[#This Row],[الفرق بين بداية ونهاية خط  S/S]]+TABL12345[[#This Row],[الفرق بين بداية ونهاية خط  T/B]]</f>
        <v>0</v>
      </c>
      <c r="T296" s="9">
        <f t="shared" si="16"/>
        <v>0</v>
      </c>
      <c r="U296" s="9"/>
      <c r="V296" s="9"/>
      <c r="W296" s="9">
        <f t="shared" si="17"/>
        <v>0</v>
      </c>
      <c r="X296" s="9">
        <f t="shared" si="18"/>
        <v>0</v>
      </c>
      <c r="Y296" s="18"/>
      <c r="Z296" s="9"/>
      <c r="AA296" s="3">
        <f>TABL12345[[#This Row],[(RESV. STORGE) AJD]]/10</f>
        <v>0</v>
      </c>
      <c r="AB296" s="6">
        <f t="shared" si="19"/>
        <v>0</v>
      </c>
      <c r="AC296" s="5"/>
      <c r="AD296" s="6">
        <f>(TABL12345[[#This Row],[( S/S+T/B) AJD]]*1000)-((TABL12345[[#This Row],[(STORGE DIFF.) AJD]]*1000)+TABL12345[[#This Row],[البخر  AJD]]+(TABL12345[[#This Row],[(A/B + A/S) AJD]]*1000))</f>
        <v>0</v>
      </c>
      <c r="AE296" s="33"/>
      <c r="AF296" s="6"/>
      <c r="AG296" s="6"/>
      <c r="AH296" s="6">
        <f>TABL12345[[#This Row],[ (RESV. STORGE) BER]]/10</f>
        <v>0</v>
      </c>
      <c r="AI296" s="6"/>
      <c r="AJ296" s="33">
        <f>TABL12345[[#This Row],[(A/B TOT) AJD]]-TABL12345[[#This Row],[BER_ IN]]</f>
        <v>0</v>
      </c>
      <c r="AK296" s="6"/>
      <c r="AL296" s="6"/>
      <c r="AM296" s="32"/>
      <c r="AN296" s="32">
        <f>TABL12345[[#This Row],[ (RESV. STORGE) SER]]/10</f>
        <v>0</v>
      </c>
      <c r="AO296" s="68"/>
      <c r="AP296" s="68">
        <f>TABL12345[[#This Row],[(A/S TOT) AJD]]-TABL12345[[#This Row],[SER_ IN]]</f>
        <v>0</v>
      </c>
    </row>
    <row r="297" spans="1:42" ht="18.75" x14ac:dyDescent="0.25">
      <c r="A297" s="2">
        <v>47779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>
        <f>TABL12345[[#This Row],[خط (T/B  TOT) SAR]]+TABL12345[[#This Row],[خط (S/S  TOT) SAR2]]</f>
        <v>0</v>
      </c>
      <c r="L297" s="28"/>
      <c r="M297" s="29"/>
      <c r="N297" s="30"/>
      <c r="O297" s="9"/>
      <c r="P297" s="9">
        <f>TABL12345[[#This Row],[خط (S/S  TOT) SAR2]]-TABL12345[[#This Row],[(S/S TOT) AJD]]</f>
        <v>0</v>
      </c>
      <c r="Q297" s="9"/>
      <c r="R297" s="9">
        <f>TABL12345[[#This Row],[خط (T/B  TOT) SAR]]-TABL12345[[#This Row],[(T/B TOT) AJD]]</f>
        <v>0</v>
      </c>
      <c r="S297" s="9">
        <f>TABL12345[[#This Row],[الفرق بين بداية ونهاية خط  S/S]]+TABL12345[[#This Row],[الفرق بين بداية ونهاية خط  T/B]]</f>
        <v>0</v>
      </c>
      <c r="T297" s="9">
        <f t="shared" si="16"/>
        <v>0</v>
      </c>
      <c r="U297" s="9"/>
      <c r="V297" s="9"/>
      <c r="W297" s="9">
        <f t="shared" si="17"/>
        <v>0</v>
      </c>
      <c r="X297" s="9">
        <f t="shared" si="18"/>
        <v>0</v>
      </c>
      <c r="Y297" s="18"/>
      <c r="Z297" s="9"/>
      <c r="AA297" s="3">
        <f>TABL12345[[#This Row],[(RESV. STORGE) AJD]]/10</f>
        <v>0</v>
      </c>
      <c r="AB297" s="6">
        <f t="shared" si="19"/>
        <v>0</v>
      </c>
      <c r="AC297" s="5"/>
      <c r="AD297" s="6">
        <f>(TABL12345[[#This Row],[( S/S+T/B) AJD]]*1000)-((TABL12345[[#This Row],[(STORGE DIFF.) AJD]]*1000)+TABL12345[[#This Row],[البخر  AJD]]+(TABL12345[[#This Row],[(A/B + A/S) AJD]]*1000))</f>
        <v>0</v>
      </c>
      <c r="AE297" s="33"/>
      <c r="AF297" s="6"/>
      <c r="AG297" s="6"/>
      <c r="AH297" s="6">
        <f>TABL12345[[#This Row],[ (RESV. STORGE) BER]]/10</f>
        <v>0</v>
      </c>
      <c r="AI297" s="6"/>
      <c r="AJ297" s="33">
        <f>TABL12345[[#This Row],[(A/B TOT) AJD]]-TABL12345[[#This Row],[BER_ IN]]</f>
        <v>0</v>
      </c>
      <c r="AK297" s="6"/>
      <c r="AL297" s="6"/>
      <c r="AM297" s="32"/>
      <c r="AN297" s="32">
        <f>TABL12345[[#This Row],[ (RESV. STORGE) SER]]/10</f>
        <v>0</v>
      </c>
      <c r="AO297" s="68"/>
      <c r="AP297" s="68">
        <f>TABL12345[[#This Row],[(A/S TOT) AJD]]-TABL12345[[#This Row],[SER_ IN]]</f>
        <v>0</v>
      </c>
    </row>
    <row r="298" spans="1:42" ht="18.75" x14ac:dyDescent="0.25">
      <c r="A298" s="2">
        <v>47780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>
        <f>TABL12345[[#This Row],[خط (T/B  TOT) SAR]]+TABL12345[[#This Row],[خط (S/S  TOT) SAR2]]</f>
        <v>0</v>
      </c>
      <c r="L298" s="28"/>
      <c r="M298" s="29"/>
      <c r="N298" s="30"/>
      <c r="O298" s="9"/>
      <c r="P298" s="9">
        <f>TABL12345[[#This Row],[خط (S/S  TOT) SAR2]]-TABL12345[[#This Row],[(S/S TOT) AJD]]</f>
        <v>0</v>
      </c>
      <c r="Q298" s="9"/>
      <c r="R298" s="9">
        <f>TABL12345[[#This Row],[خط (T/B  TOT) SAR]]-TABL12345[[#This Row],[(T/B TOT) AJD]]</f>
        <v>0</v>
      </c>
      <c r="S298" s="9">
        <f>TABL12345[[#This Row],[الفرق بين بداية ونهاية خط  S/S]]+TABL12345[[#This Row],[الفرق بين بداية ونهاية خط  T/B]]</f>
        <v>0</v>
      </c>
      <c r="T298" s="9">
        <f t="shared" si="16"/>
        <v>0</v>
      </c>
      <c r="U298" s="9"/>
      <c r="V298" s="9"/>
      <c r="W298" s="9">
        <f t="shared" si="17"/>
        <v>0</v>
      </c>
      <c r="X298" s="9">
        <f t="shared" si="18"/>
        <v>0</v>
      </c>
      <c r="Y298" s="18"/>
      <c r="Z298" s="9"/>
      <c r="AA298" s="3">
        <f>TABL12345[[#This Row],[(RESV. STORGE) AJD]]/10</f>
        <v>0</v>
      </c>
      <c r="AB298" s="6">
        <f t="shared" si="19"/>
        <v>0</v>
      </c>
      <c r="AC298" s="5"/>
      <c r="AD298" s="6">
        <f>(TABL12345[[#This Row],[( S/S+T/B) AJD]]*1000)-((TABL12345[[#This Row],[(STORGE DIFF.) AJD]]*1000)+TABL12345[[#This Row],[البخر  AJD]]+(TABL12345[[#This Row],[(A/B + A/S) AJD]]*1000))</f>
        <v>0</v>
      </c>
      <c r="AE298" s="33"/>
      <c r="AF298" s="6"/>
      <c r="AG298" s="6"/>
      <c r="AH298" s="6">
        <f>TABL12345[[#This Row],[ (RESV. STORGE) BER]]/10</f>
        <v>0</v>
      </c>
      <c r="AI298" s="6"/>
      <c r="AJ298" s="33">
        <f>TABL12345[[#This Row],[(A/B TOT) AJD]]-TABL12345[[#This Row],[BER_ IN]]</f>
        <v>0</v>
      </c>
      <c r="AK298" s="6"/>
      <c r="AL298" s="6"/>
      <c r="AM298" s="32"/>
      <c r="AN298" s="32">
        <f>TABL12345[[#This Row],[ (RESV. STORGE) SER]]/10</f>
        <v>0</v>
      </c>
      <c r="AO298" s="68"/>
      <c r="AP298" s="68">
        <f>TABL12345[[#This Row],[(A/S TOT) AJD]]-TABL12345[[#This Row],[SER_ IN]]</f>
        <v>0</v>
      </c>
    </row>
    <row r="299" spans="1:42" ht="18.75" x14ac:dyDescent="0.25">
      <c r="A299" s="2">
        <v>47781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>
        <f>TABL12345[[#This Row],[خط (T/B  TOT) SAR]]+TABL12345[[#This Row],[خط (S/S  TOT) SAR2]]</f>
        <v>0</v>
      </c>
      <c r="L299" s="28"/>
      <c r="M299" s="29"/>
      <c r="N299" s="30"/>
      <c r="O299" s="9"/>
      <c r="P299" s="9">
        <f>TABL12345[[#This Row],[خط (S/S  TOT) SAR2]]-TABL12345[[#This Row],[(S/S TOT) AJD]]</f>
        <v>0</v>
      </c>
      <c r="Q299" s="9"/>
      <c r="R299" s="9">
        <f>TABL12345[[#This Row],[خط (T/B  TOT) SAR]]-TABL12345[[#This Row],[(T/B TOT) AJD]]</f>
        <v>0</v>
      </c>
      <c r="S299" s="9">
        <f>TABL12345[[#This Row],[الفرق بين بداية ونهاية خط  S/S]]+TABL12345[[#This Row],[الفرق بين بداية ونهاية خط  T/B]]</f>
        <v>0</v>
      </c>
      <c r="T299" s="9">
        <f t="shared" si="16"/>
        <v>0</v>
      </c>
      <c r="U299" s="9"/>
      <c r="V299" s="9"/>
      <c r="W299" s="9">
        <f t="shared" si="17"/>
        <v>0</v>
      </c>
      <c r="X299" s="9">
        <f t="shared" si="18"/>
        <v>0</v>
      </c>
      <c r="Y299" s="18"/>
      <c r="Z299" s="9"/>
      <c r="AA299" s="3">
        <f>TABL12345[[#This Row],[(RESV. STORGE) AJD]]/10</f>
        <v>0</v>
      </c>
      <c r="AB299" s="6">
        <f t="shared" si="19"/>
        <v>0</v>
      </c>
      <c r="AC299" s="5"/>
      <c r="AD299" s="6">
        <f>(TABL12345[[#This Row],[( S/S+T/B) AJD]]*1000)-((TABL12345[[#This Row],[(STORGE DIFF.) AJD]]*1000)+TABL12345[[#This Row],[البخر  AJD]]+(TABL12345[[#This Row],[(A/B + A/S) AJD]]*1000))</f>
        <v>0</v>
      </c>
      <c r="AE299" s="33"/>
      <c r="AF299" s="6"/>
      <c r="AG299" s="6"/>
      <c r="AH299" s="6">
        <f>TABL12345[[#This Row],[ (RESV. STORGE) BER]]/10</f>
        <v>0</v>
      </c>
      <c r="AI299" s="6"/>
      <c r="AJ299" s="33">
        <f>TABL12345[[#This Row],[(A/B TOT) AJD]]-TABL12345[[#This Row],[BER_ IN]]</f>
        <v>0</v>
      </c>
      <c r="AK299" s="6"/>
      <c r="AL299" s="6"/>
      <c r="AM299" s="32"/>
      <c r="AN299" s="32">
        <f>TABL12345[[#This Row],[ (RESV. STORGE) SER]]/10</f>
        <v>0</v>
      </c>
      <c r="AO299" s="68"/>
      <c r="AP299" s="68">
        <f>TABL12345[[#This Row],[(A/S TOT) AJD]]-TABL12345[[#This Row],[SER_ IN]]</f>
        <v>0</v>
      </c>
    </row>
    <row r="300" spans="1:42" ht="18.75" x14ac:dyDescent="0.25">
      <c r="A300" s="2">
        <v>47782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>
        <f>TABL12345[[#This Row],[خط (T/B  TOT) SAR]]+TABL12345[[#This Row],[خط (S/S  TOT) SAR2]]</f>
        <v>0</v>
      </c>
      <c r="L300" s="28"/>
      <c r="M300" s="29"/>
      <c r="N300" s="30"/>
      <c r="O300" s="9"/>
      <c r="P300" s="9">
        <f>TABL12345[[#This Row],[خط (S/S  TOT) SAR2]]-TABL12345[[#This Row],[(S/S TOT) AJD]]</f>
        <v>0</v>
      </c>
      <c r="Q300" s="9"/>
      <c r="R300" s="9">
        <f>TABL12345[[#This Row],[خط (T/B  TOT) SAR]]-TABL12345[[#This Row],[(T/B TOT) AJD]]</f>
        <v>0</v>
      </c>
      <c r="S300" s="9">
        <f>TABL12345[[#This Row],[الفرق بين بداية ونهاية خط  S/S]]+TABL12345[[#This Row],[الفرق بين بداية ونهاية خط  T/B]]</f>
        <v>0</v>
      </c>
      <c r="T300" s="9">
        <f t="shared" si="16"/>
        <v>0</v>
      </c>
      <c r="U300" s="9"/>
      <c r="V300" s="9"/>
      <c r="W300" s="9">
        <f t="shared" si="17"/>
        <v>0</v>
      </c>
      <c r="X300" s="9">
        <f t="shared" si="18"/>
        <v>0</v>
      </c>
      <c r="Y300" s="18"/>
      <c r="Z300" s="9"/>
      <c r="AA300" s="3">
        <f>TABL12345[[#This Row],[(RESV. STORGE) AJD]]/10</f>
        <v>0</v>
      </c>
      <c r="AB300" s="6">
        <f t="shared" si="19"/>
        <v>0</v>
      </c>
      <c r="AC300" s="5"/>
      <c r="AD300" s="6">
        <f>(TABL12345[[#This Row],[( S/S+T/B) AJD]]*1000)-((TABL12345[[#This Row],[(STORGE DIFF.) AJD]]*1000)+TABL12345[[#This Row],[البخر  AJD]]+(TABL12345[[#This Row],[(A/B + A/S) AJD]]*1000))</f>
        <v>0</v>
      </c>
      <c r="AE300" s="33"/>
      <c r="AF300" s="6"/>
      <c r="AG300" s="6"/>
      <c r="AH300" s="6">
        <f>TABL12345[[#This Row],[ (RESV. STORGE) BER]]/10</f>
        <v>0</v>
      </c>
      <c r="AI300" s="6"/>
      <c r="AJ300" s="33">
        <f>TABL12345[[#This Row],[(A/B TOT) AJD]]-TABL12345[[#This Row],[BER_ IN]]</f>
        <v>0</v>
      </c>
      <c r="AK300" s="6"/>
      <c r="AL300" s="6"/>
      <c r="AM300" s="32"/>
      <c r="AN300" s="32">
        <f>TABL12345[[#This Row],[ (RESV. STORGE) SER]]/10</f>
        <v>0</v>
      </c>
      <c r="AO300" s="68"/>
      <c r="AP300" s="68">
        <f>TABL12345[[#This Row],[(A/S TOT) AJD]]-TABL12345[[#This Row],[SER_ IN]]</f>
        <v>0</v>
      </c>
    </row>
    <row r="301" spans="1:42" ht="18.75" x14ac:dyDescent="0.25">
      <c r="A301" s="2">
        <v>47783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>
        <f>TABL12345[[#This Row],[خط (T/B  TOT) SAR]]+TABL12345[[#This Row],[خط (S/S  TOT) SAR2]]</f>
        <v>0</v>
      </c>
      <c r="L301" s="28"/>
      <c r="M301" s="29"/>
      <c r="N301" s="30"/>
      <c r="O301" s="9"/>
      <c r="P301" s="9">
        <f>TABL12345[[#This Row],[خط (S/S  TOT) SAR2]]-TABL12345[[#This Row],[(S/S TOT) AJD]]</f>
        <v>0</v>
      </c>
      <c r="Q301" s="9"/>
      <c r="R301" s="9">
        <f>TABL12345[[#This Row],[خط (T/B  TOT) SAR]]-TABL12345[[#This Row],[(T/B TOT) AJD]]</f>
        <v>0</v>
      </c>
      <c r="S301" s="9">
        <f>TABL12345[[#This Row],[الفرق بين بداية ونهاية خط  S/S]]+TABL12345[[#This Row],[الفرق بين بداية ونهاية خط  T/B]]</f>
        <v>0</v>
      </c>
      <c r="T301" s="9">
        <f t="shared" si="16"/>
        <v>0</v>
      </c>
      <c r="U301" s="9"/>
      <c r="V301" s="9"/>
      <c r="W301" s="9">
        <f t="shared" si="17"/>
        <v>0</v>
      </c>
      <c r="X301" s="9">
        <f t="shared" si="18"/>
        <v>0</v>
      </c>
      <c r="Y301" s="18"/>
      <c r="Z301" s="9"/>
      <c r="AA301" s="3">
        <f>TABL12345[[#This Row],[(RESV. STORGE) AJD]]/10</f>
        <v>0</v>
      </c>
      <c r="AB301" s="6">
        <f t="shared" si="19"/>
        <v>0</v>
      </c>
      <c r="AC301" s="5"/>
      <c r="AD301" s="6">
        <f>(TABL12345[[#This Row],[( S/S+T/B) AJD]]*1000)-((TABL12345[[#This Row],[(STORGE DIFF.) AJD]]*1000)+TABL12345[[#This Row],[البخر  AJD]]+(TABL12345[[#This Row],[(A/B + A/S) AJD]]*1000))</f>
        <v>0</v>
      </c>
      <c r="AE301" s="33"/>
      <c r="AF301" s="6"/>
      <c r="AG301" s="6"/>
      <c r="AH301" s="6">
        <f>TABL12345[[#This Row],[ (RESV. STORGE) BER]]/10</f>
        <v>0</v>
      </c>
      <c r="AI301" s="6"/>
      <c r="AJ301" s="33">
        <f>TABL12345[[#This Row],[(A/B TOT) AJD]]-TABL12345[[#This Row],[BER_ IN]]</f>
        <v>0</v>
      </c>
      <c r="AK301" s="6"/>
      <c r="AL301" s="6"/>
      <c r="AM301" s="32"/>
      <c r="AN301" s="32">
        <f>TABL12345[[#This Row],[ (RESV. STORGE) SER]]/10</f>
        <v>0</v>
      </c>
      <c r="AO301" s="68"/>
      <c r="AP301" s="68">
        <f>TABL12345[[#This Row],[(A/S TOT) AJD]]-TABL12345[[#This Row],[SER_ IN]]</f>
        <v>0</v>
      </c>
    </row>
    <row r="302" spans="1:42" ht="18.75" x14ac:dyDescent="0.25">
      <c r="A302" s="2">
        <v>47784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>
        <f>TABL12345[[#This Row],[خط (T/B  TOT) SAR]]+TABL12345[[#This Row],[خط (S/S  TOT) SAR2]]</f>
        <v>0</v>
      </c>
      <c r="L302" s="28"/>
      <c r="M302" s="29"/>
      <c r="N302" s="30"/>
      <c r="O302" s="9"/>
      <c r="P302" s="9">
        <f>TABL12345[[#This Row],[خط (S/S  TOT) SAR2]]-TABL12345[[#This Row],[(S/S TOT) AJD]]</f>
        <v>0</v>
      </c>
      <c r="Q302" s="9"/>
      <c r="R302" s="9">
        <f>TABL12345[[#This Row],[خط (T/B  TOT) SAR]]-TABL12345[[#This Row],[(T/B TOT) AJD]]</f>
        <v>0</v>
      </c>
      <c r="S302" s="9">
        <f>TABL12345[[#This Row],[الفرق بين بداية ونهاية خط  S/S]]+TABL12345[[#This Row],[الفرق بين بداية ونهاية خط  T/B]]</f>
        <v>0</v>
      </c>
      <c r="T302" s="9">
        <f t="shared" si="16"/>
        <v>0</v>
      </c>
      <c r="U302" s="9"/>
      <c r="V302" s="9"/>
      <c r="W302" s="9">
        <f t="shared" si="17"/>
        <v>0</v>
      </c>
      <c r="X302" s="9">
        <f t="shared" si="18"/>
        <v>0</v>
      </c>
      <c r="Y302" s="18"/>
      <c r="Z302" s="9"/>
      <c r="AA302" s="3">
        <f>TABL12345[[#This Row],[(RESV. STORGE) AJD]]/10</f>
        <v>0</v>
      </c>
      <c r="AB302" s="6">
        <f t="shared" si="19"/>
        <v>0</v>
      </c>
      <c r="AC302" s="5"/>
      <c r="AD302" s="6">
        <f>(TABL12345[[#This Row],[( S/S+T/B) AJD]]*1000)-((TABL12345[[#This Row],[(STORGE DIFF.) AJD]]*1000)+TABL12345[[#This Row],[البخر  AJD]]+(TABL12345[[#This Row],[(A/B + A/S) AJD]]*1000))</f>
        <v>0</v>
      </c>
      <c r="AE302" s="33"/>
      <c r="AF302" s="6"/>
      <c r="AG302" s="6"/>
      <c r="AH302" s="6">
        <f>TABL12345[[#This Row],[ (RESV. STORGE) BER]]/10</f>
        <v>0</v>
      </c>
      <c r="AI302" s="6"/>
      <c r="AJ302" s="33">
        <f>TABL12345[[#This Row],[(A/B TOT) AJD]]-TABL12345[[#This Row],[BER_ IN]]</f>
        <v>0</v>
      </c>
      <c r="AK302" s="6"/>
      <c r="AL302" s="6"/>
      <c r="AM302" s="32"/>
      <c r="AN302" s="32">
        <f>TABL12345[[#This Row],[ (RESV. STORGE) SER]]/10</f>
        <v>0</v>
      </c>
      <c r="AO302" s="68"/>
      <c r="AP302" s="68">
        <f>TABL12345[[#This Row],[(A/S TOT) AJD]]-TABL12345[[#This Row],[SER_ IN]]</f>
        <v>0</v>
      </c>
    </row>
    <row r="303" spans="1:42" ht="18.75" x14ac:dyDescent="0.25">
      <c r="A303" s="2">
        <v>47785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>
        <f>TABL12345[[#This Row],[خط (T/B  TOT) SAR]]+TABL12345[[#This Row],[خط (S/S  TOT) SAR2]]</f>
        <v>0</v>
      </c>
      <c r="L303" s="28"/>
      <c r="M303" s="29"/>
      <c r="N303" s="30"/>
      <c r="O303" s="9"/>
      <c r="P303" s="9">
        <f>TABL12345[[#This Row],[خط (S/S  TOT) SAR2]]-TABL12345[[#This Row],[(S/S TOT) AJD]]</f>
        <v>0</v>
      </c>
      <c r="Q303" s="9"/>
      <c r="R303" s="9">
        <f>TABL12345[[#This Row],[خط (T/B  TOT) SAR]]-TABL12345[[#This Row],[(T/B TOT) AJD]]</f>
        <v>0</v>
      </c>
      <c r="S303" s="9">
        <f>TABL12345[[#This Row],[الفرق بين بداية ونهاية خط  S/S]]+TABL12345[[#This Row],[الفرق بين بداية ونهاية خط  T/B]]</f>
        <v>0</v>
      </c>
      <c r="T303" s="9">
        <f t="shared" si="16"/>
        <v>0</v>
      </c>
      <c r="U303" s="9"/>
      <c r="V303" s="9"/>
      <c r="W303" s="9">
        <f t="shared" si="17"/>
        <v>0</v>
      </c>
      <c r="X303" s="9">
        <f t="shared" si="18"/>
        <v>0</v>
      </c>
      <c r="Y303" s="18"/>
      <c r="Z303" s="9"/>
      <c r="AA303" s="3">
        <f>TABL12345[[#This Row],[(RESV. STORGE) AJD]]/10</f>
        <v>0</v>
      </c>
      <c r="AB303" s="6">
        <f t="shared" si="19"/>
        <v>0</v>
      </c>
      <c r="AC303" s="5"/>
      <c r="AD303" s="6">
        <f>(TABL12345[[#This Row],[( S/S+T/B) AJD]]*1000)-((TABL12345[[#This Row],[(STORGE DIFF.) AJD]]*1000)+TABL12345[[#This Row],[البخر  AJD]]+(TABL12345[[#This Row],[(A/B + A/S) AJD]]*1000))</f>
        <v>0</v>
      </c>
      <c r="AE303" s="33"/>
      <c r="AF303" s="6"/>
      <c r="AG303" s="6"/>
      <c r="AH303" s="6">
        <f>TABL12345[[#This Row],[ (RESV. STORGE) BER]]/10</f>
        <v>0</v>
      </c>
      <c r="AI303" s="6"/>
      <c r="AJ303" s="33">
        <f>TABL12345[[#This Row],[(A/B TOT) AJD]]-TABL12345[[#This Row],[BER_ IN]]</f>
        <v>0</v>
      </c>
      <c r="AK303" s="6"/>
      <c r="AL303" s="6"/>
      <c r="AM303" s="32"/>
      <c r="AN303" s="32">
        <f>TABL12345[[#This Row],[ (RESV. STORGE) SER]]/10</f>
        <v>0</v>
      </c>
      <c r="AO303" s="68"/>
      <c r="AP303" s="68">
        <f>TABL12345[[#This Row],[(A/S TOT) AJD]]-TABL12345[[#This Row],[SER_ IN]]</f>
        <v>0</v>
      </c>
    </row>
    <row r="304" spans="1:42" ht="18.75" x14ac:dyDescent="0.25">
      <c r="A304" s="2">
        <v>47786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>
        <f>TABL12345[[#This Row],[خط (T/B  TOT) SAR]]+TABL12345[[#This Row],[خط (S/S  TOT) SAR2]]</f>
        <v>0</v>
      </c>
      <c r="L304" s="28"/>
      <c r="M304" s="29"/>
      <c r="N304" s="30"/>
      <c r="O304" s="9"/>
      <c r="P304" s="9">
        <f>TABL12345[[#This Row],[خط (S/S  TOT) SAR2]]-TABL12345[[#This Row],[(S/S TOT) AJD]]</f>
        <v>0</v>
      </c>
      <c r="Q304" s="9"/>
      <c r="R304" s="9">
        <f>TABL12345[[#This Row],[خط (T/B  TOT) SAR]]-TABL12345[[#This Row],[(T/B TOT) AJD]]</f>
        <v>0</v>
      </c>
      <c r="S304" s="9">
        <f>TABL12345[[#This Row],[الفرق بين بداية ونهاية خط  S/S]]+TABL12345[[#This Row],[الفرق بين بداية ونهاية خط  T/B]]</f>
        <v>0</v>
      </c>
      <c r="T304" s="9">
        <f t="shared" si="16"/>
        <v>0</v>
      </c>
      <c r="U304" s="9"/>
      <c r="V304" s="9"/>
      <c r="W304" s="9">
        <f t="shared" si="17"/>
        <v>0</v>
      </c>
      <c r="X304" s="9">
        <f t="shared" si="18"/>
        <v>0</v>
      </c>
      <c r="Y304" s="18"/>
      <c r="Z304" s="9"/>
      <c r="AA304" s="3">
        <f>TABL12345[[#This Row],[(RESV. STORGE) AJD]]/10</f>
        <v>0</v>
      </c>
      <c r="AB304" s="6">
        <f t="shared" si="19"/>
        <v>0</v>
      </c>
      <c r="AC304" s="5"/>
      <c r="AD304" s="6">
        <f>(TABL12345[[#This Row],[( S/S+T/B) AJD]]*1000)-((TABL12345[[#This Row],[(STORGE DIFF.) AJD]]*1000)+TABL12345[[#This Row],[البخر  AJD]]+(TABL12345[[#This Row],[(A/B + A/S) AJD]]*1000))</f>
        <v>0</v>
      </c>
      <c r="AE304" s="33"/>
      <c r="AF304" s="6"/>
      <c r="AG304" s="6"/>
      <c r="AH304" s="6">
        <f>TABL12345[[#This Row],[ (RESV. STORGE) BER]]/10</f>
        <v>0</v>
      </c>
      <c r="AI304" s="6"/>
      <c r="AJ304" s="33">
        <f>TABL12345[[#This Row],[(A/B TOT) AJD]]-TABL12345[[#This Row],[BER_ IN]]</f>
        <v>0</v>
      </c>
      <c r="AK304" s="6"/>
      <c r="AL304" s="6"/>
      <c r="AM304" s="32"/>
      <c r="AN304" s="32">
        <f>TABL12345[[#This Row],[ (RESV. STORGE) SER]]/10</f>
        <v>0</v>
      </c>
      <c r="AO304" s="68"/>
      <c r="AP304" s="68">
        <f>TABL12345[[#This Row],[(A/S TOT) AJD]]-TABL12345[[#This Row],[SER_ IN]]</f>
        <v>0</v>
      </c>
    </row>
    <row r="305" spans="1:42" ht="18.75" x14ac:dyDescent="0.25">
      <c r="A305" s="2">
        <v>47787</v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>
        <f>TABL12345[[#This Row],[خط (T/B  TOT) SAR]]+TABL12345[[#This Row],[خط (S/S  TOT) SAR2]]</f>
        <v>0</v>
      </c>
      <c r="L305" s="28"/>
      <c r="M305" s="29"/>
      <c r="N305" s="30"/>
      <c r="O305" s="9"/>
      <c r="P305" s="9">
        <f>TABL12345[[#This Row],[خط (S/S  TOT) SAR2]]-TABL12345[[#This Row],[(S/S TOT) AJD]]</f>
        <v>0</v>
      </c>
      <c r="Q305" s="9"/>
      <c r="R305" s="9">
        <f>TABL12345[[#This Row],[خط (T/B  TOT) SAR]]-TABL12345[[#This Row],[(T/B TOT) AJD]]</f>
        <v>0</v>
      </c>
      <c r="S305" s="9">
        <f>TABL12345[[#This Row],[الفرق بين بداية ونهاية خط  S/S]]+TABL12345[[#This Row],[الفرق بين بداية ونهاية خط  T/B]]</f>
        <v>0</v>
      </c>
      <c r="T305" s="9">
        <f t="shared" si="16"/>
        <v>0</v>
      </c>
      <c r="U305" s="9"/>
      <c r="V305" s="9"/>
      <c r="W305" s="9">
        <f t="shared" si="17"/>
        <v>0</v>
      </c>
      <c r="X305" s="9">
        <f t="shared" si="18"/>
        <v>0</v>
      </c>
      <c r="Y305" s="18"/>
      <c r="Z305" s="9"/>
      <c r="AA305" s="3">
        <f>TABL12345[[#This Row],[(RESV. STORGE) AJD]]/10</f>
        <v>0</v>
      </c>
      <c r="AB305" s="6">
        <f t="shared" si="19"/>
        <v>0</v>
      </c>
      <c r="AC305" s="5"/>
      <c r="AD305" s="6">
        <f>(TABL12345[[#This Row],[( S/S+T/B) AJD]]*1000)-((TABL12345[[#This Row],[(STORGE DIFF.) AJD]]*1000)+TABL12345[[#This Row],[البخر  AJD]]+(TABL12345[[#This Row],[(A/B + A/S) AJD]]*1000))</f>
        <v>0</v>
      </c>
      <c r="AE305" s="33"/>
      <c r="AF305" s="6"/>
      <c r="AG305" s="6"/>
      <c r="AH305" s="6">
        <f>TABL12345[[#This Row],[ (RESV. STORGE) BER]]/10</f>
        <v>0</v>
      </c>
      <c r="AI305" s="6"/>
      <c r="AJ305" s="33">
        <f>TABL12345[[#This Row],[(A/B TOT) AJD]]-TABL12345[[#This Row],[BER_ IN]]</f>
        <v>0</v>
      </c>
      <c r="AK305" s="6"/>
      <c r="AL305" s="6"/>
      <c r="AM305" s="32"/>
      <c r="AN305" s="32">
        <f>TABL12345[[#This Row],[ (RESV. STORGE) SER]]/10</f>
        <v>0</v>
      </c>
      <c r="AO305" s="68"/>
      <c r="AP305" s="68">
        <f>TABL12345[[#This Row],[(A/S TOT) AJD]]-TABL12345[[#This Row],[SER_ IN]]</f>
        <v>0</v>
      </c>
    </row>
    <row r="306" spans="1:42" ht="18.75" x14ac:dyDescent="0.25">
      <c r="A306" s="2">
        <v>47788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>
        <f>TABL12345[[#This Row],[خط (T/B  TOT) SAR]]+TABL12345[[#This Row],[خط (S/S  TOT) SAR2]]</f>
        <v>0</v>
      </c>
      <c r="L306" s="28"/>
      <c r="M306" s="29"/>
      <c r="N306" s="30"/>
      <c r="O306" s="39"/>
      <c r="P306" s="9">
        <f>TABL12345[[#This Row],[خط (S/S  TOT) SAR2]]-TABL12345[[#This Row],[(S/S TOT) AJD]]</f>
        <v>0</v>
      </c>
      <c r="Q306" s="9"/>
      <c r="R306" s="9">
        <f>TABL12345[[#This Row],[خط (T/B  TOT) SAR]]-TABL12345[[#This Row],[(T/B TOT) AJD]]</f>
        <v>0</v>
      </c>
      <c r="S306" s="9">
        <f>TABL12345[[#This Row],[الفرق بين بداية ونهاية خط  S/S]]+TABL12345[[#This Row],[الفرق بين بداية ونهاية خط  T/B]]</f>
        <v>0</v>
      </c>
      <c r="T306" s="9">
        <f t="shared" si="16"/>
        <v>0</v>
      </c>
      <c r="U306" s="9"/>
      <c r="V306" s="9"/>
      <c r="W306" s="9">
        <f t="shared" si="17"/>
        <v>0</v>
      </c>
      <c r="X306" s="9">
        <f t="shared" si="18"/>
        <v>0</v>
      </c>
      <c r="Y306" s="18"/>
      <c r="Z306" s="9"/>
      <c r="AA306" s="3">
        <f>TABL12345[[#This Row],[(RESV. STORGE) AJD]]/10</f>
        <v>0</v>
      </c>
      <c r="AB306" s="6">
        <f t="shared" si="19"/>
        <v>0</v>
      </c>
      <c r="AC306" s="5"/>
      <c r="AD306" s="6">
        <f>(TABL12345[[#This Row],[( S/S+T/B) AJD]]*1000)-((TABL12345[[#This Row],[(STORGE DIFF.) AJD]]*1000)+TABL12345[[#This Row],[البخر  AJD]]+(TABL12345[[#This Row],[(A/B + A/S) AJD]]*1000))</f>
        <v>0</v>
      </c>
      <c r="AE306" s="33"/>
      <c r="AF306" s="6"/>
      <c r="AG306" s="6"/>
      <c r="AH306" s="6">
        <f>TABL12345[[#This Row],[ (RESV. STORGE) BER]]/10</f>
        <v>0</v>
      </c>
      <c r="AI306" s="6"/>
      <c r="AJ306" s="33">
        <f>TABL12345[[#This Row],[(A/B TOT) AJD]]-TABL12345[[#This Row],[BER_ IN]]</f>
        <v>0</v>
      </c>
      <c r="AK306" s="6"/>
      <c r="AL306" s="6"/>
      <c r="AM306" s="32"/>
      <c r="AN306" s="32">
        <f>TABL12345[[#This Row],[ (RESV. STORGE) SER]]/10</f>
        <v>0</v>
      </c>
      <c r="AO306" s="68"/>
      <c r="AP306" s="68">
        <f>TABL12345[[#This Row],[(A/S TOT) AJD]]-TABL12345[[#This Row],[SER_ IN]]</f>
        <v>0</v>
      </c>
    </row>
    <row r="307" spans="1:42" ht="18.75" x14ac:dyDescent="0.25">
      <c r="A307" s="2">
        <v>47789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>
        <f>TABL12345[[#This Row],[خط (T/B  TOT) SAR]]+TABL12345[[#This Row],[خط (S/S  TOT) SAR2]]</f>
        <v>0</v>
      </c>
      <c r="L307" s="28"/>
      <c r="M307" s="29"/>
      <c r="N307" s="30"/>
      <c r="O307" s="40"/>
      <c r="P307" s="9">
        <f>TABL12345[[#This Row],[خط (S/S  TOT) SAR2]]-TABL12345[[#This Row],[(S/S TOT) AJD]]</f>
        <v>0</v>
      </c>
      <c r="Q307" s="9"/>
      <c r="R307" s="9">
        <f>TABL12345[[#This Row],[خط (T/B  TOT) SAR]]-TABL12345[[#This Row],[(T/B TOT) AJD]]</f>
        <v>0</v>
      </c>
      <c r="S307" s="9">
        <f>TABL12345[[#This Row],[الفرق بين بداية ونهاية خط  S/S]]+TABL12345[[#This Row],[الفرق بين بداية ونهاية خط  T/B]]</f>
        <v>0</v>
      </c>
      <c r="T307" s="9">
        <f t="shared" si="16"/>
        <v>0</v>
      </c>
      <c r="U307" s="9"/>
      <c r="V307" s="9"/>
      <c r="W307" s="9">
        <f t="shared" si="17"/>
        <v>0</v>
      </c>
      <c r="X307" s="9">
        <f t="shared" si="18"/>
        <v>0</v>
      </c>
      <c r="Y307" s="18"/>
      <c r="Z307" s="9"/>
      <c r="AA307" s="3">
        <f>TABL12345[[#This Row],[(RESV. STORGE) AJD]]/10</f>
        <v>0</v>
      </c>
      <c r="AB307" s="6">
        <f t="shared" si="19"/>
        <v>0</v>
      </c>
      <c r="AC307" s="5"/>
      <c r="AD307" s="6">
        <f>(TABL12345[[#This Row],[( S/S+T/B) AJD]]*1000)-((TABL12345[[#This Row],[(STORGE DIFF.) AJD]]*1000)+TABL12345[[#This Row],[البخر  AJD]]+(TABL12345[[#This Row],[(A/B + A/S) AJD]]*1000))</f>
        <v>0</v>
      </c>
      <c r="AE307" s="33"/>
      <c r="AF307" s="6"/>
      <c r="AG307" s="6"/>
      <c r="AH307" s="6">
        <f>TABL12345[[#This Row],[ (RESV. STORGE) BER]]/10</f>
        <v>0</v>
      </c>
      <c r="AI307" s="6"/>
      <c r="AJ307" s="33">
        <f>TABL12345[[#This Row],[(A/B TOT) AJD]]-TABL12345[[#This Row],[BER_ IN]]</f>
        <v>0</v>
      </c>
      <c r="AK307" s="6"/>
      <c r="AL307" s="6"/>
      <c r="AM307" s="32"/>
      <c r="AN307" s="32">
        <f>TABL12345[[#This Row],[ (RESV. STORGE) SER]]/10</f>
        <v>0</v>
      </c>
      <c r="AO307" s="68"/>
      <c r="AP307" s="68">
        <f>TABL12345[[#This Row],[(A/S TOT) AJD]]-TABL12345[[#This Row],[SER_ IN]]</f>
        <v>0</v>
      </c>
    </row>
    <row r="308" spans="1:42" ht="18.75" x14ac:dyDescent="0.25">
      <c r="A308" s="2">
        <v>47790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>
        <f>TABL12345[[#This Row],[خط (T/B  TOT) SAR]]+TABL12345[[#This Row],[خط (S/S  TOT) SAR2]]</f>
        <v>0</v>
      </c>
      <c r="L308" s="28"/>
      <c r="M308" s="29"/>
      <c r="N308" s="30"/>
      <c r="O308" s="39"/>
      <c r="P308" s="9">
        <f>TABL12345[[#This Row],[خط (S/S  TOT) SAR2]]-TABL12345[[#This Row],[(S/S TOT) AJD]]</f>
        <v>0</v>
      </c>
      <c r="Q308" s="9"/>
      <c r="R308" s="9">
        <f>TABL12345[[#This Row],[خط (T/B  TOT) SAR]]-TABL12345[[#This Row],[(T/B TOT) AJD]]</f>
        <v>0</v>
      </c>
      <c r="S308" s="9">
        <f>TABL12345[[#This Row],[الفرق بين بداية ونهاية خط  S/S]]+TABL12345[[#This Row],[الفرق بين بداية ونهاية خط  T/B]]</f>
        <v>0</v>
      </c>
      <c r="T308" s="9">
        <f t="shared" si="16"/>
        <v>0</v>
      </c>
      <c r="U308" s="9"/>
      <c r="V308" s="9"/>
      <c r="W308" s="9">
        <f t="shared" si="17"/>
        <v>0</v>
      </c>
      <c r="X308" s="9">
        <f t="shared" si="18"/>
        <v>0</v>
      </c>
      <c r="Y308" s="18"/>
      <c r="Z308" s="9"/>
      <c r="AA308" s="3">
        <f>TABL12345[[#This Row],[(RESV. STORGE) AJD]]/10</f>
        <v>0</v>
      </c>
      <c r="AB308" s="6">
        <f t="shared" si="19"/>
        <v>0</v>
      </c>
      <c r="AC308" s="5"/>
      <c r="AD308" s="6">
        <f>(TABL12345[[#This Row],[( S/S+T/B) AJD]]*1000)-((TABL12345[[#This Row],[(STORGE DIFF.) AJD]]*1000)+TABL12345[[#This Row],[البخر  AJD]]+(TABL12345[[#This Row],[(A/B + A/S) AJD]]*1000))</f>
        <v>0</v>
      </c>
      <c r="AE308" s="33"/>
      <c r="AF308" s="6"/>
      <c r="AG308" s="6"/>
      <c r="AH308" s="6">
        <f>TABL12345[[#This Row],[ (RESV. STORGE) BER]]/10</f>
        <v>0</v>
      </c>
      <c r="AI308" s="6"/>
      <c r="AJ308" s="33">
        <f>TABL12345[[#This Row],[(A/B TOT) AJD]]-TABL12345[[#This Row],[BER_ IN]]</f>
        <v>0</v>
      </c>
      <c r="AK308" s="6"/>
      <c r="AL308" s="6"/>
      <c r="AM308" s="32"/>
      <c r="AN308" s="32">
        <f>TABL12345[[#This Row],[ (RESV. STORGE) SER]]/10</f>
        <v>0</v>
      </c>
      <c r="AO308" s="68"/>
      <c r="AP308" s="68">
        <f>TABL12345[[#This Row],[(A/S TOT) AJD]]-TABL12345[[#This Row],[SER_ IN]]</f>
        <v>0</v>
      </c>
    </row>
    <row r="309" spans="1:42" ht="18.75" x14ac:dyDescent="0.25">
      <c r="A309" s="2">
        <v>47791</v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>
        <f>TABL12345[[#This Row],[خط (T/B  TOT) SAR]]+TABL12345[[#This Row],[خط (S/S  TOT) SAR2]]</f>
        <v>0</v>
      </c>
      <c r="L309" s="28"/>
      <c r="M309" s="29"/>
      <c r="N309" s="30"/>
      <c r="O309" s="40"/>
      <c r="P309" s="9">
        <f>TABL12345[[#This Row],[خط (S/S  TOT) SAR2]]-TABL12345[[#This Row],[(S/S TOT) AJD]]</f>
        <v>0</v>
      </c>
      <c r="Q309" s="9"/>
      <c r="R309" s="9">
        <f>TABL12345[[#This Row],[خط (T/B  TOT) SAR]]-TABL12345[[#This Row],[(T/B TOT) AJD]]</f>
        <v>0</v>
      </c>
      <c r="S309" s="9">
        <f>TABL12345[[#This Row],[الفرق بين بداية ونهاية خط  S/S]]+TABL12345[[#This Row],[الفرق بين بداية ونهاية خط  T/B]]</f>
        <v>0</v>
      </c>
      <c r="T309" s="9">
        <f t="shared" si="16"/>
        <v>0</v>
      </c>
      <c r="U309" s="9"/>
      <c r="V309" s="9"/>
      <c r="W309" s="9">
        <f t="shared" si="17"/>
        <v>0</v>
      </c>
      <c r="X309" s="9">
        <f t="shared" si="18"/>
        <v>0</v>
      </c>
      <c r="Y309" s="18"/>
      <c r="Z309" s="9"/>
      <c r="AA309" s="3">
        <f>TABL12345[[#This Row],[(RESV. STORGE) AJD]]/10</f>
        <v>0</v>
      </c>
      <c r="AB309" s="6">
        <f t="shared" si="19"/>
        <v>0</v>
      </c>
      <c r="AC309" s="5"/>
      <c r="AD309" s="6">
        <f>(TABL12345[[#This Row],[( S/S+T/B) AJD]]*1000)-((TABL12345[[#This Row],[(STORGE DIFF.) AJD]]*1000)+TABL12345[[#This Row],[البخر  AJD]]+(TABL12345[[#This Row],[(A/B + A/S) AJD]]*1000))</f>
        <v>0</v>
      </c>
      <c r="AE309" s="33"/>
      <c r="AF309" s="6"/>
      <c r="AG309" s="6"/>
      <c r="AH309" s="6">
        <f>TABL12345[[#This Row],[ (RESV. STORGE) BER]]/10</f>
        <v>0</v>
      </c>
      <c r="AI309" s="6"/>
      <c r="AJ309" s="33">
        <f>TABL12345[[#This Row],[(A/B TOT) AJD]]-TABL12345[[#This Row],[BER_ IN]]</f>
        <v>0</v>
      </c>
      <c r="AK309" s="6"/>
      <c r="AL309" s="6"/>
      <c r="AM309" s="32"/>
      <c r="AN309" s="32">
        <f>TABL12345[[#This Row],[ (RESV. STORGE) SER]]/10</f>
        <v>0</v>
      </c>
      <c r="AO309" s="68"/>
      <c r="AP309" s="68">
        <f>TABL12345[[#This Row],[(A/S TOT) AJD]]-TABL12345[[#This Row],[SER_ IN]]</f>
        <v>0</v>
      </c>
    </row>
    <row r="310" spans="1:42" ht="18.75" x14ac:dyDescent="0.25">
      <c r="A310" s="2">
        <v>47792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>
        <f>TABL12345[[#This Row],[خط (T/B  TOT) SAR]]+TABL12345[[#This Row],[خط (S/S  TOT) SAR2]]</f>
        <v>0</v>
      </c>
      <c r="L310" s="28"/>
      <c r="M310" s="29"/>
      <c r="N310" s="30"/>
      <c r="O310" s="39"/>
      <c r="P310" s="9">
        <f>TABL12345[[#This Row],[خط (S/S  TOT) SAR2]]-TABL12345[[#This Row],[(S/S TOT) AJD]]</f>
        <v>0</v>
      </c>
      <c r="Q310" s="9"/>
      <c r="R310" s="9">
        <f>TABL12345[[#This Row],[خط (T/B  TOT) SAR]]-TABL12345[[#This Row],[(T/B TOT) AJD]]</f>
        <v>0</v>
      </c>
      <c r="S310" s="9">
        <f>TABL12345[[#This Row],[الفرق بين بداية ونهاية خط  S/S]]+TABL12345[[#This Row],[الفرق بين بداية ونهاية خط  T/B]]</f>
        <v>0</v>
      </c>
      <c r="T310" s="9">
        <f t="shared" si="16"/>
        <v>0</v>
      </c>
      <c r="U310" s="9"/>
      <c r="V310" s="9"/>
      <c r="W310" s="9">
        <f t="shared" si="17"/>
        <v>0</v>
      </c>
      <c r="X310" s="9">
        <f t="shared" si="18"/>
        <v>0</v>
      </c>
      <c r="Y310" s="18"/>
      <c r="Z310" s="9"/>
      <c r="AA310" s="3">
        <f>TABL12345[[#This Row],[(RESV. STORGE) AJD]]/10</f>
        <v>0</v>
      </c>
      <c r="AB310" s="6">
        <f t="shared" si="19"/>
        <v>0</v>
      </c>
      <c r="AC310" s="5"/>
      <c r="AD310" s="6">
        <f>(TABL12345[[#This Row],[( S/S+T/B) AJD]]*1000)-((TABL12345[[#This Row],[(STORGE DIFF.) AJD]]*1000)+TABL12345[[#This Row],[البخر  AJD]]+(TABL12345[[#This Row],[(A/B + A/S) AJD]]*1000))</f>
        <v>0</v>
      </c>
      <c r="AE310" s="33"/>
      <c r="AF310" s="6"/>
      <c r="AG310" s="6"/>
      <c r="AH310" s="6">
        <f>TABL12345[[#This Row],[ (RESV. STORGE) BER]]/10</f>
        <v>0</v>
      </c>
      <c r="AI310" s="6"/>
      <c r="AJ310" s="33">
        <f>TABL12345[[#This Row],[(A/B TOT) AJD]]-TABL12345[[#This Row],[BER_ IN]]</f>
        <v>0</v>
      </c>
      <c r="AK310" s="6"/>
      <c r="AL310" s="6"/>
      <c r="AM310" s="32"/>
      <c r="AN310" s="32">
        <f>TABL12345[[#This Row],[ (RESV. STORGE) SER]]/10</f>
        <v>0</v>
      </c>
      <c r="AO310" s="68"/>
      <c r="AP310" s="68">
        <f>TABL12345[[#This Row],[(A/S TOT) AJD]]-TABL12345[[#This Row],[SER_ IN]]</f>
        <v>0</v>
      </c>
    </row>
    <row r="311" spans="1:42" ht="18.75" x14ac:dyDescent="0.25">
      <c r="A311" s="2">
        <v>47793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>
        <f>TABL12345[[#This Row],[خط (T/B  TOT) SAR]]+TABL12345[[#This Row],[خط (S/S  TOT) SAR2]]</f>
        <v>0</v>
      </c>
      <c r="L311" s="28"/>
      <c r="M311" s="29"/>
      <c r="N311" s="30"/>
      <c r="O311" s="40"/>
      <c r="P311" s="9">
        <f>TABL12345[[#This Row],[خط (S/S  TOT) SAR2]]-TABL12345[[#This Row],[(S/S TOT) AJD]]</f>
        <v>0</v>
      </c>
      <c r="Q311" s="9"/>
      <c r="R311" s="9">
        <f>TABL12345[[#This Row],[خط (T/B  TOT) SAR]]-TABL12345[[#This Row],[(T/B TOT) AJD]]</f>
        <v>0</v>
      </c>
      <c r="S311" s="9">
        <f>TABL12345[[#This Row],[الفرق بين بداية ونهاية خط  S/S]]+TABL12345[[#This Row],[الفرق بين بداية ونهاية خط  T/B]]</f>
        <v>0</v>
      </c>
      <c r="T311" s="9">
        <f t="shared" si="16"/>
        <v>0</v>
      </c>
      <c r="U311" s="9"/>
      <c r="V311" s="9"/>
      <c r="W311" s="9">
        <f t="shared" si="17"/>
        <v>0</v>
      </c>
      <c r="X311" s="9">
        <f t="shared" si="18"/>
        <v>0</v>
      </c>
      <c r="Y311" s="18"/>
      <c r="Z311" s="9"/>
      <c r="AA311" s="3">
        <f>TABL12345[[#This Row],[(RESV. STORGE) AJD]]/10</f>
        <v>0</v>
      </c>
      <c r="AB311" s="6">
        <f t="shared" si="19"/>
        <v>0</v>
      </c>
      <c r="AC311" s="5"/>
      <c r="AD311" s="6">
        <f>(TABL12345[[#This Row],[( S/S+T/B) AJD]]*1000)-((TABL12345[[#This Row],[(STORGE DIFF.) AJD]]*1000)+TABL12345[[#This Row],[البخر  AJD]]+(TABL12345[[#This Row],[(A/B + A/S) AJD]]*1000))</f>
        <v>0</v>
      </c>
      <c r="AE311" s="33"/>
      <c r="AF311" s="6"/>
      <c r="AG311" s="6"/>
      <c r="AH311" s="6">
        <f>TABL12345[[#This Row],[ (RESV. STORGE) BER]]/10</f>
        <v>0</v>
      </c>
      <c r="AI311" s="6"/>
      <c r="AJ311" s="33">
        <f>TABL12345[[#This Row],[(A/B TOT) AJD]]-TABL12345[[#This Row],[BER_ IN]]</f>
        <v>0</v>
      </c>
      <c r="AK311" s="6"/>
      <c r="AL311" s="6"/>
      <c r="AM311" s="32"/>
      <c r="AN311" s="32">
        <f>TABL12345[[#This Row],[ (RESV. STORGE) SER]]/10</f>
        <v>0</v>
      </c>
      <c r="AO311" s="68"/>
      <c r="AP311" s="68">
        <f>TABL12345[[#This Row],[(A/S TOT) AJD]]-TABL12345[[#This Row],[SER_ IN]]</f>
        <v>0</v>
      </c>
    </row>
    <row r="312" spans="1:42" ht="18.75" x14ac:dyDescent="0.25">
      <c r="A312" s="2">
        <v>47794</v>
      </c>
      <c r="B312" s="28"/>
      <c r="C312" s="28"/>
      <c r="D312" s="28"/>
      <c r="E312" s="28"/>
      <c r="F312" s="28"/>
      <c r="G312" s="28"/>
      <c r="H312" s="28"/>
      <c r="I312" s="28"/>
      <c r="J312" s="28"/>
      <c r="K312" s="28">
        <f>TABL12345[[#This Row],[خط (T/B  TOT) SAR]]+TABL12345[[#This Row],[خط (S/S  TOT) SAR2]]</f>
        <v>0</v>
      </c>
      <c r="L312" s="28"/>
      <c r="M312" s="29"/>
      <c r="N312" s="30"/>
      <c r="O312" s="39"/>
      <c r="P312" s="9">
        <f>TABL12345[[#This Row],[خط (S/S  TOT) SAR2]]-TABL12345[[#This Row],[(S/S TOT) AJD]]</f>
        <v>0</v>
      </c>
      <c r="Q312" s="9"/>
      <c r="R312" s="9">
        <f>TABL12345[[#This Row],[خط (T/B  TOT) SAR]]-TABL12345[[#This Row],[(T/B TOT) AJD]]</f>
        <v>0</v>
      </c>
      <c r="S312" s="9">
        <f>TABL12345[[#This Row],[الفرق بين بداية ونهاية خط  S/S]]+TABL12345[[#This Row],[الفرق بين بداية ونهاية خط  T/B]]</f>
        <v>0</v>
      </c>
      <c r="T312" s="9">
        <f t="shared" si="16"/>
        <v>0</v>
      </c>
      <c r="U312" s="9"/>
      <c r="V312" s="9"/>
      <c r="W312" s="9">
        <f t="shared" si="17"/>
        <v>0</v>
      </c>
      <c r="X312" s="9">
        <f t="shared" si="18"/>
        <v>0</v>
      </c>
      <c r="Y312" s="18"/>
      <c r="Z312" s="9"/>
      <c r="AA312" s="3">
        <f>TABL12345[[#This Row],[(RESV. STORGE) AJD]]/10</f>
        <v>0</v>
      </c>
      <c r="AB312" s="6">
        <f t="shared" si="19"/>
        <v>0</v>
      </c>
      <c r="AC312" s="5"/>
      <c r="AD312" s="6">
        <f>(TABL12345[[#This Row],[( S/S+T/B) AJD]]*1000)-((TABL12345[[#This Row],[(STORGE DIFF.) AJD]]*1000)+TABL12345[[#This Row],[البخر  AJD]]+(TABL12345[[#This Row],[(A/B + A/S) AJD]]*1000))</f>
        <v>0</v>
      </c>
      <c r="AE312" s="33"/>
      <c r="AF312" s="6"/>
      <c r="AG312" s="6"/>
      <c r="AH312" s="6">
        <f>TABL12345[[#This Row],[ (RESV. STORGE) BER]]/10</f>
        <v>0</v>
      </c>
      <c r="AI312" s="6"/>
      <c r="AJ312" s="33">
        <f>TABL12345[[#This Row],[(A/B TOT) AJD]]-TABL12345[[#This Row],[BER_ IN]]</f>
        <v>0</v>
      </c>
      <c r="AK312" s="6"/>
      <c r="AL312" s="6"/>
      <c r="AM312" s="32"/>
      <c r="AN312" s="32">
        <f>TABL12345[[#This Row],[ (RESV. STORGE) SER]]/10</f>
        <v>0</v>
      </c>
      <c r="AO312" s="68"/>
      <c r="AP312" s="68">
        <f>TABL12345[[#This Row],[(A/S TOT) AJD]]-TABL12345[[#This Row],[SER_ IN]]</f>
        <v>0</v>
      </c>
    </row>
    <row r="313" spans="1:42" ht="18.75" x14ac:dyDescent="0.25">
      <c r="A313" s="2">
        <v>47795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>
        <f>TABL12345[[#This Row],[خط (T/B  TOT) SAR]]+TABL12345[[#This Row],[خط (S/S  TOT) SAR2]]</f>
        <v>0</v>
      </c>
      <c r="L313" s="28"/>
      <c r="M313" s="29"/>
      <c r="N313" s="30"/>
      <c r="O313" s="40"/>
      <c r="P313" s="9">
        <f>TABL12345[[#This Row],[خط (S/S  TOT) SAR2]]-TABL12345[[#This Row],[(S/S TOT) AJD]]</f>
        <v>0</v>
      </c>
      <c r="Q313" s="9"/>
      <c r="R313" s="9">
        <f>TABL12345[[#This Row],[خط (T/B  TOT) SAR]]-TABL12345[[#This Row],[(T/B TOT) AJD]]</f>
        <v>0</v>
      </c>
      <c r="S313" s="9">
        <f>TABL12345[[#This Row],[الفرق بين بداية ونهاية خط  S/S]]+TABL12345[[#This Row],[الفرق بين بداية ونهاية خط  T/B]]</f>
        <v>0</v>
      </c>
      <c r="T313" s="9">
        <f t="shared" si="16"/>
        <v>0</v>
      </c>
      <c r="U313" s="9"/>
      <c r="V313" s="9"/>
      <c r="W313" s="9">
        <f t="shared" si="17"/>
        <v>0</v>
      </c>
      <c r="X313" s="9">
        <f t="shared" si="18"/>
        <v>0</v>
      </c>
      <c r="Y313" s="18"/>
      <c r="Z313" s="9"/>
      <c r="AA313" s="3">
        <f>TABL12345[[#This Row],[(RESV. STORGE) AJD]]/10</f>
        <v>0</v>
      </c>
      <c r="AB313" s="6">
        <f t="shared" si="19"/>
        <v>0</v>
      </c>
      <c r="AC313" s="5"/>
      <c r="AD313" s="6">
        <f>(TABL12345[[#This Row],[( S/S+T/B) AJD]]*1000)-((TABL12345[[#This Row],[(STORGE DIFF.) AJD]]*1000)+TABL12345[[#This Row],[البخر  AJD]]+(TABL12345[[#This Row],[(A/B + A/S) AJD]]*1000))</f>
        <v>0</v>
      </c>
      <c r="AE313" s="33"/>
      <c r="AF313" s="6"/>
      <c r="AG313" s="6"/>
      <c r="AH313" s="6">
        <f>TABL12345[[#This Row],[ (RESV. STORGE) BER]]/10</f>
        <v>0</v>
      </c>
      <c r="AI313" s="6"/>
      <c r="AJ313" s="33">
        <f>TABL12345[[#This Row],[(A/B TOT) AJD]]-TABL12345[[#This Row],[BER_ IN]]</f>
        <v>0</v>
      </c>
      <c r="AK313" s="6"/>
      <c r="AL313" s="6"/>
      <c r="AM313" s="32"/>
      <c r="AN313" s="32">
        <f>TABL12345[[#This Row],[ (RESV. STORGE) SER]]/10</f>
        <v>0</v>
      </c>
      <c r="AO313" s="68"/>
      <c r="AP313" s="68">
        <f>TABL12345[[#This Row],[(A/S TOT) AJD]]-TABL12345[[#This Row],[SER_ IN]]</f>
        <v>0</v>
      </c>
    </row>
    <row r="314" spans="1:42" ht="18.75" x14ac:dyDescent="0.25">
      <c r="A314" s="2">
        <v>47796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>
        <f>TABL12345[[#This Row],[خط (T/B  TOT) SAR]]+TABL12345[[#This Row],[خط (S/S  TOT) SAR2]]</f>
        <v>0</v>
      </c>
      <c r="L314" s="28"/>
      <c r="M314" s="29"/>
      <c r="N314" s="30"/>
      <c r="O314" s="39"/>
      <c r="P314" s="9">
        <f>TABL12345[[#This Row],[خط (S/S  TOT) SAR2]]-TABL12345[[#This Row],[(S/S TOT) AJD]]</f>
        <v>0</v>
      </c>
      <c r="Q314" s="9"/>
      <c r="R314" s="9">
        <f>TABL12345[[#This Row],[خط (T/B  TOT) SAR]]-TABL12345[[#This Row],[(T/B TOT) AJD]]</f>
        <v>0</v>
      </c>
      <c r="S314" s="9">
        <f>TABL12345[[#This Row],[الفرق بين بداية ونهاية خط  S/S]]+TABL12345[[#This Row],[الفرق بين بداية ونهاية خط  T/B]]</f>
        <v>0</v>
      </c>
      <c r="T314" s="9">
        <f t="shared" si="16"/>
        <v>0</v>
      </c>
      <c r="U314" s="9"/>
      <c r="V314" s="9"/>
      <c r="W314" s="9">
        <f t="shared" si="17"/>
        <v>0</v>
      </c>
      <c r="X314" s="9">
        <f t="shared" si="18"/>
        <v>0</v>
      </c>
      <c r="Y314" s="18"/>
      <c r="Z314" s="9"/>
      <c r="AA314" s="3">
        <f>TABL12345[[#This Row],[(RESV. STORGE) AJD]]/10</f>
        <v>0</v>
      </c>
      <c r="AB314" s="6">
        <f t="shared" si="19"/>
        <v>0</v>
      </c>
      <c r="AC314" s="5"/>
      <c r="AD314" s="6">
        <f>(TABL12345[[#This Row],[( S/S+T/B) AJD]]*1000)-((TABL12345[[#This Row],[(STORGE DIFF.) AJD]]*1000)+TABL12345[[#This Row],[البخر  AJD]]+(TABL12345[[#This Row],[(A/B + A/S) AJD]]*1000))</f>
        <v>0</v>
      </c>
      <c r="AE314" s="33"/>
      <c r="AF314" s="6"/>
      <c r="AG314" s="6"/>
      <c r="AH314" s="6">
        <f>TABL12345[[#This Row],[ (RESV. STORGE) BER]]/10</f>
        <v>0</v>
      </c>
      <c r="AI314" s="6"/>
      <c r="AJ314" s="33">
        <f>TABL12345[[#This Row],[(A/B TOT) AJD]]-TABL12345[[#This Row],[BER_ IN]]</f>
        <v>0</v>
      </c>
      <c r="AK314" s="6"/>
      <c r="AL314" s="6"/>
      <c r="AM314" s="32"/>
      <c r="AN314" s="32">
        <f>TABL12345[[#This Row],[ (RESV. STORGE) SER]]/10</f>
        <v>0</v>
      </c>
      <c r="AO314" s="68"/>
      <c r="AP314" s="68">
        <f>TABL12345[[#This Row],[(A/S TOT) AJD]]-TABL12345[[#This Row],[SER_ IN]]</f>
        <v>0</v>
      </c>
    </row>
    <row r="315" spans="1:42" ht="18.75" x14ac:dyDescent="0.25">
      <c r="A315" s="2">
        <v>47797</v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>
        <f>TABL12345[[#This Row],[خط (T/B  TOT) SAR]]+TABL12345[[#This Row],[خط (S/S  TOT) SAR2]]</f>
        <v>0</v>
      </c>
      <c r="L315" s="28"/>
      <c r="M315" s="29"/>
      <c r="N315" s="30"/>
      <c r="O315" s="40"/>
      <c r="P315" s="9">
        <f>TABL12345[[#This Row],[خط (S/S  TOT) SAR2]]-TABL12345[[#This Row],[(S/S TOT) AJD]]</f>
        <v>0</v>
      </c>
      <c r="Q315" s="9"/>
      <c r="R315" s="9">
        <f>TABL12345[[#This Row],[خط (T/B  TOT) SAR]]-TABL12345[[#This Row],[(T/B TOT) AJD]]</f>
        <v>0</v>
      </c>
      <c r="S315" s="9">
        <f>TABL12345[[#This Row],[الفرق بين بداية ونهاية خط  S/S]]+TABL12345[[#This Row],[الفرق بين بداية ونهاية خط  T/B]]</f>
        <v>0</v>
      </c>
      <c r="T315" s="9">
        <f t="shared" si="16"/>
        <v>0</v>
      </c>
      <c r="U315" s="9"/>
      <c r="V315" s="9"/>
      <c r="W315" s="9">
        <f t="shared" si="17"/>
        <v>0</v>
      </c>
      <c r="X315" s="9">
        <f t="shared" si="18"/>
        <v>0</v>
      </c>
      <c r="Y315" s="18"/>
      <c r="Z315" s="9"/>
      <c r="AA315" s="3">
        <f>TABL12345[[#This Row],[(RESV. STORGE) AJD]]/10</f>
        <v>0</v>
      </c>
      <c r="AB315" s="6">
        <f t="shared" si="19"/>
        <v>0</v>
      </c>
      <c r="AC315" s="5"/>
      <c r="AD315" s="6">
        <f>(TABL12345[[#This Row],[( S/S+T/B) AJD]]*1000)-((TABL12345[[#This Row],[(STORGE DIFF.) AJD]]*1000)+TABL12345[[#This Row],[البخر  AJD]]+(TABL12345[[#This Row],[(A/B + A/S) AJD]]*1000))</f>
        <v>0</v>
      </c>
      <c r="AE315" s="33"/>
      <c r="AF315" s="6"/>
      <c r="AG315" s="6"/>
      <c r="AH315" s="6">
        <f>TABL12345[[#This Row],[ (RESV. STORGE) BER]]/10</f>
        <v>0</v>
      </c>
      <c r="AI315" s="6"/>
      <c r="AJ315" s="33">
        <f>TABL12345[[#This Row],[(A/B TOT) AJD]]-TABL12345[[#This Row],[BER_ IN]]</f>
        <v>0</v>
      </c>
      <c r="AK315" s="6"/>
      <c r="AL315" s="6"/>
      <c r="AM315" s="32"/>
      <c r="AN315" s="32">
        <f>TABL12345[[#This Row],[ (RESV. STORGE) SER]]/10</f>
        <v>0</v>
      </c>
      <c r="AO315" s="68"/>
      <c r="AP315" s="68">
        <f>TABL12345[[#This Row],[(A/S TOT) AJD]]-TABL12345[[#This Row],[SER_ IN]]</f>
        <v>0</v>
      </c>
    </row>
    <row r="316" spans="1:42" ht="18.75" x14ac:dyDescent="0.25">
      <c r="A316" s="2">
        <v>47798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>
        <f>TABL12345[[#This Row],[خط (T/B  TOT) SAR]]+TABL12345[[#This Row],[خط (S/S  TOT) SAR2]]</f>
        <v>0</v>
      </c>
      <c r="L316" s="28"/>
      <c r="M316" s="29"/>
      <c r="N316" s="30"/>
      <c r="O316" s="39"/>
      <c r="P316" s="9">
        <f>TABL12345[[#This Row],[خط (S/S  TOT) SAR2]]-TABL12345[[#This Row],[(S/S TOT) AJD]]</f>
        <v>0</v>
      </c>
      <c r="Q316" s="9"/>
      <c r="R316" s="9">
        <f>TABL12345[[#This Row],[خط (T/B  TOT) SAR]]-TABL12345[[#This Row],[(T/B TOT) AJD]]</f>
        <v>0</v>
      </c>
      <c r="S316" s="9">
        <f>TABL12345[[#This Row],[الفرق بين بداية ونهاية خط  S/S]]+TABL12345[[#This Row],[الفرق بين بداية ونهاية خط  T/B]]</f>
        <v>0</v>
      </c>
      <c r="T316" s="9">
        <f t="shared" si="16"/>
        <v>0</v>
      </c>
      <c r="U316" s="9"/>
      <c r="V316" s="9"/>
      <c r="W316" s="9">
        <f t="shared" si="17"/>
        <v>0</v>
      </c>
      <c r="X316" s="9">
        <f t="shared" si="18"/>
        <v>0</v>
      </c>
      <c r="Y316" s="18"/>
      <c r="Z316" s="9"/>
      <c r="AA316" s="3">
        <f>TABL12345[[#This Row],[(RESV. STORGE) AJD]]/10</f>
        <v>0</v>
      </c>
      <c r="AB316" s="6">
        <f t="shared" si="19"/>
        <v>0</v>
      </c>
      <c r="AC316" s="5"/>
      <c r="AD316" s="6">
        <f>(TABL12345[[#This Row],[( S/S+T/B) AJD]]*1000)-((TABL12345[[#This Row],[(STORGE DIFF.) AJD]]*1000)+TABL12345[[#This Row],[البخر  AJD]]+(TABL12345[[#This Row],[(A/B + A/S) AJD]]*1000))</f>
        <v>0</v>
      </c>
      <c r="AE316" s="33"/>
      <c r="AF316" s="6"/>
      <c r="AG316" s="6"/>
      <c r="AH316" s="6">
        <f>TABL12345[[#This Row],[ (RESV. STORGE) BER]]/10</f>
        <v>0</v>
      </c>
      <c r="AI316" s="6"/>
      <c r="AJ316" s="33">
        <f>TABL12345[[#This Row],[(A/B TOT) AJD]]-TABL12345[[#This Row],[BER_ IN]]</f>
        <v>0</v>
      </c>
      <c r="AK316" s="6"/>
      <c r="AL316" s="6"/>
      <c r="AM316" s="32"/>
      <c r="AN316" s="32">
        <f>TABL12345[[#This Row],[ (RESV. STORGE) SER]]/10</f>
        <v>0</v>
      </c>
      <c r="AO316" s="68"/>
      <c r="AP316" s="68">
        <f>TABL12345[[#This Row],[(A/S TOT) AJD]]-TABL12345[[#This Row],[SER_ IN]]</f>
        <v>0</v>
      </c>
    </row>
    <row r="317" spans="1:42" ht="18.75" x14ac:dyDescent="0.25">
      <c r="A317" s="2">
        <v>47799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>
        <f>TABL12345[[#This Row],[خط (T/B  TOT) SAR]]+TABL12345[[#This Row],[خط (S/S  TOT) SAR2]]</f>
        <v>0</v>
      </c>
      <c r="L317" s="28"/>
      <c r="M317" s="29"/>
      <c r="N317" s="30"/>
      <c r="O317" s="40"/>
      <c r="P317" s="9">
        <f>TABL12345[[#This Row],[خط (S/S  TOT) SAR2]]-TABL12345[[#This Row],[(S/S TOT) AJD]]</f>
        <v>0</v>
      </c>
      <c r="Q317" s="9"/>
      <c r="R317" s="9">
        <f>TABL12345[[#This Row],[خط (T/B  TOT) SAR]]-TABL12345[[#This Row],[(T/B TOT) AJD]]</f>
        <v>0</v>
      </c>
      <c r="S317" s="9">
        <f>TABL12345[[#This Row],[الفرق بين بداية ونهاية خط  S/S]]+TABL12345[[#This Row],[الفرق بين بداية ونهاية خط  T/B]]</f>
        <v>0</v>
      </c>
      <c r="T317" s="9">
        <f t="shared" si="16"/>
        <v>0</v>
      </c>
      <c r="U317" s="9"/>
      <c r="V317" s="9"/>
      <c r="W317" s="9">
        <f t="shared" si="17"/>
        <v>0</v>
      </c>
      <c r="X317" s="9">
        <f t="shared" si="18"/>
        <v>0</v>
      </c>
      <c r="Y317" s="18"/>
      <c r="Z317" s="9"/>
      <c r="AA317" s="3">
        <f>TABL12345[[#This Row],[(RESV. STORGE) AJD]]/10</f>
        <v>0</v>
      </c>
      <c r="AB317" s="6">
        <f t="shared" si="19"/>
        <v>0</v>
      </c>
      <c r="AC317" s="5"/>
      <c r="AD317" s="6">
        <f>(TABL12345[[#This Row],[( S/S+T/B) AJD]]*1000)-((TABL12345[[#This Row],[(STORGE DIFF.) AJD]]*1000)+TABL12345[[#This Row],[البخر  AJD]]+(TABL12345[[#This Row],[(A/B + A/S) AJD]]*1000))</f>
        <v>0</v>
      </c>
      <c r="AE317" s="33"/>
      <c r="AF317" s="6"/>
      <c r="AG317" s="6"/>
      <c r="AH317" s="6">
        <f>TABL12345[[#This Row],[ (RESV. STORGE) BER]]/10</f>
        <v>0</v>
      </c>
      <c r="AI317" s="6"/>
      <c r="AJ317" s="33">
        <f>TABL12345[[#This Row],[(A/B TOT) AJD]]-TABL12345[[#This Row],[BER_ IN]]</f>
        <v>0</v>
      </c>
      <c r="AK317" s="6"/>
      <c r="AL317" s="6"/>
      <c r="AM317" s="32"/>
      <c r="AN317" s="32">
        <f>TABL12345[[#This Row],[ (RESV. STORGE) SER]]/10</f>
        <v>0</v>
      </c>
      <c r="AO317" s="68"/>
      <c r="AP317" s="68">
        <f>TABL12345[[#This Row],[(A/S TOT) AJD]]-TABL12345[[#This Row],[SER_ IN]]</f>
        <v>0</v>
      </c>
    </row>
    <row r="318" spans="1:42" ht="18.75" x14ac:dyDescent="0.25">
      <c r="A318" s="2">
        <v>47800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>
        <f>TABL12345[[#This Row],[خط (T/B  TOT) SAR]]+TABL12345[[#This Row],[خط (S/S  TOT) SAR2]]</f>
        <v>0</v>
      </c>
      <c r="L318" s="28"/>
      <c r="M318" s="29"/>
      <c r="N318" s="30"/>
      <c r="O318" s="39"/>
      <c r="P318" s="9">
        <f>TABL12345[[#This Row],[خط (S/S  TOT) SAR2]]-TABL12345[[#This Row],[(S/S TOT) AJD]]</f>
        <v>0</v>
      </c>
      <c r="Q318" s="9"/>
      <c r="R318" s="9">
        <f>TABL12345[[#This Row],[خط (T/B  TOT) SAR]]-TABL12345[[#This Row],[(T/B TOT) AJD]]</f>
        <v>0</v>
      </c>
      <c r="S318" s="9">
        <f>TABL12345[[#This Row],[الفرق بين بداية ونهاية خط  S/S]]+TABL12345[[#This Row],[الفرق بين بداية ونهاية خط  T/B]]</f>
        <v>0</v>
      </c>
      <c r="T318" s="9">
        <f t="shared" si="16"/>
        <v>0</v>
      </c>
      <c r="U318" s="9"/>
      <c r="V318" s="9"/>
      <c r="W318" s="9">
        <f t="shared" si="17"/>
        <v>0</v>
      </c>
      <c r="X318" s="9">
        <f t="shared" si="18"/>
        <v>0</v>
      </c>
      <c r="Y318" s="18"/>
      <c r="Z318" s="9"/>
      <c r="AA318" s="3">
        <f>TABL12345[[#This Row],[(RESV. STORGE) AJD]]/10</f>
        <v>0</v>
      </c>
      <c r="AB318" s="6">
        <f t="shared" si="19"/>
        <v>0</v>
      </c>
      <c r="AC318" s="5"/>
      <c r="AD318" s="6">
        <f>(TABL12345[[#This Row],[( S/S+T/B) AJD]]*1000)-((TABL12345[[#This Row],[(STORGE DIFF.) AJD]]*1000)+TABL12345[[#This Row],[البخر  AJD]]+(TABL12345[[#This Row],[(A/B + A/S) AJD]]*1000))</f>
        <v>0</v>
      </c>
      <c r="AE318" s="33"/>
      <c r="AF318" s="6"/>
      <c r="AG318" s="6"/>
      <c r="AH318" s="6">
        <f>TABL12345[[#This Row],[ (RESV. STORGE) BER]]/10</f>
        <v>0</v>
      </c>
      <c r="AI318" s="6"/>
      <c r="AJ318" s="33">
        <f>TABL12345[[#This Row],[(A/B TOT) AJD]]-TABL12345[[#This Row],[BER_ IN]]</f>
        <v>0</v>
      </c>
      <c r="AK318" s="6"/>
      <c r="AL318" s="6"/>
      <c r="AM318" s="32"/>
      <c r="AN318" s="32">
        <f>TABL12345[[#This Row],[ (RESV. STORGE) SER]]/10</f>
        <v>0</v>
      </c>
      <c r="AO318" s="68"/>
      <c r="AP318" s="68">
        <f>TABL12345[[#This Row],[(A/S TOT) AJD]]-TABL12345[[#This Row],[SER_ IN]]</f>
        <v>0</v>
      </c>
    </row>
    <row r="319" spans="1:42" ht="18.75" x14ac:dyDescent="0.25">
      <c r="A319" s="2">
        <v>47801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>
        <f>TABL12345[[#This Row],[خط (T/B  TOT) SAR]]+TABL12345[[#This Row],[خط (S/S  TOT) SAR2]]</f>
        <v>0</v>
      </c>
      <c r="L319" s="28"/>
      <c r="M319" s="29"/>
      <c r="N319" s="30"/>
      <c r="O319" s="40"/>
      <c r="P319" s="9">
        <f>TABL12345[[#This Row],[خط (S/S  TOT) SAR2]]-TABL12345[[#This Row],[(S/S TOT) AJD]]</f>
        <v>0</v>
      </c>
      <c r="Q319" s="9"/>
      <c r="R319" s="9">
        <f>TABL12345[[#This Row],[خط (T/B  TOT) SAR]]-TABL12345[[#This Row],[(T/B TOT) AJD]]</f>
        <v>0</v>
      </c>
      <c r="S319" s="9">
        <f>TABL12345[[#This Row],[الفرق بين بداية ونهاية خط  S/S]]+TABL12345[[#This Row],[الفرق بين بداية ونهاية خط  T/B]]</f>
        <v>0</v>
      </c>
      <c r="T319" s="9">
        <f t="shared" si="16"/>
        <v>0</v>
      </c>
      <c r="U319" s="9"/>
      <c r="V319" s="9"/>
      <c r="W319" s="9">
        <f t="shared" si="17"/>
        <v>0</v>
      </c>
      <c r="X319" s="9">
        <f t="shared" si="18"/>
        <v>0</v>
      </c>
      <c r="Y319" s="18"/>
      <c r="Z319" s="9"/>
      <c r="AA319" s="3">
        <f>TABL12345[[#This Row],[(RESV. STORGE) AJD]]/10</f>
        <v>0</v>
      </c>
      <c r="AB319" s="6">
        <f t="shared" si="19"/>
        <v>0</v>
      </c>
      <c r="AC319" s="5"/>
      <c r="AD319" s="6">
        <f>(TABL12345[[#This Row],[( S/S+T/B) AJD]]*1000)-((TABL12345[[#This Row],[(STORGE DIFF.) AJD]]*1000)+TABL12345[[#This Row],[البخر  AJD]]+(TABL12345[[#This Row],[(A/B + A/S) AJD]]*1000))</f>
        <v>0</v>
      </c>
      <c r="AE319" s="33"/>
      <c r="AF319" s="6"/>
      <c r="AG319" s="6"/>
      <c r="AH319" s="6">
        <f>TABL12345[[#This Row],[ (RESV. STORGE) BER]]/10</f>
        <v>0</v>
      </c>
      <c r="AI319" s="6"/>
      <c r="AJ319" s="33">
        <f>TABL12345[[#This Row],[(A/B TOT) AJD]]-TABL12345[[#This Row],[BER_ IN]]</f>
        <v>0</v>
      </c>
      <c r="AK319" s="6"/>
      <c r="AL319" s="6"/>
      <c r="AM319" s="32"/>
      <c r="AN319" s="32">
        <f>TABL12345[[#This Row],[ (RESV. STORGE) SER]]/10</f>
        <v>0</v>
      </c>
      <c r="AO319" s="68"/>
      <c r="AP319" s="68">
        <f>TABL12345[[#This Row],[(A/S TOT) AJD]]-TABL12345[[#This Row],[SER_ IN]]</f>
        <v>0</v>
      </c>
    </row>
    <row r="320" spans="1:42" ht="18.75" x14ac:dyDescent="0.25">
      <c r="A320" s="2">
        <v>47802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>
        <f>TABL12345[[#This Row],[خط (T/B  TOT) SAR]]+TABL12345[[#This Row],[خط (S/S  TOT) SAR2]]</f>
        <v>0</v>
      </c>
      <c r="L320" s="28"/>
      <c r="M320" s="29"/>
      <c r="N320" s="30"/>
      <c r="O320" s="39"/>
      <c r="P320" s="9">
        <f>TABL12345[[#This Row],[خط (S/S  TOT) SAR2]]-TABL12345[[#This Row],[(S/S TOT) AJD]]</f>
        <v>0</v>
      </c>
      <c r="Q320" s="9"/>
      <c r="R320" s="9">
        <f>TABL12345[[#This Row],[خط (T/B  TOT) SAR]]-TABL12345[[#This Row],[(T/B TOT) AJD]]</f>
        <v>0</v>
      </c>
      <c r="S320" s="9">
        <f>TABL12345[[#This Row],[الفرق بين بداية ونهاية خط  S/S]]+TABL12345[[#This Row],[الفرق بين بداية ونهاية خط  T/B]]</f>
        <v>0</v>
      </c>
      <c r="T320" s="9">
        <f t="shared" si="16"/>
        <v>0</v>
      </c>
      <c r="U320" s="9"/>
      <c r="V320" s="9"/>
      <c r="W320" s="9">
        <f t="shared" si="17"/>
        <v>0</v>
      </c>
      <c r="X320" s="9">
        <f t="shared" si="18"/>
        <v>0</v>
      </c>
      <c r="Y320" s="18"/>
      <c r="Z320" s="9"/>
      <c r="AA320" s="3">
        <f>TABL12345[[#This Row],[(RESV. STORGE) AJD]]/10</f>
        <v>0</v>
      </c>
      <c r="AB320" s="6">
        <f t="shared" si="19"/>
        <v>0</v>
      </c>
      <c r="AC320" s="5"/>
      <c r="AD320" s="6">
        <f>(TABL12345[[#This Row],[( S/S+T/B) AJD]]*1000)-((TABL12345[[#This Row],[(STORGE DIFF.) AJD]]*1000)+TABL12345[[#This Row],[البخر  AJD]]+(TABL12345[[#This Row],[(A/B + A/S) AJD]]*1000))</f>
        <v>0</v>
      </c>
      <c r="AE320" s="33"/>
      <c r="AF320" s="6"/>
      <c r="AG320" s="6"/>
      <c r="AH320" s="6">
        <f>TABL12345[[#This Row],[ (RESV. STORGE) BER]]/10</f>
        <v>0</v>
      </c>
      <c r="AI320" s="6"/>
      <c r="AJ320" s="33">
        <f>TABL12345[[#This Row],[(A/B TOT) AJD]]-TABL12345[[#This Row],[BER_ IN]]</f>
        <v>0</v>
      </c>
      <c r="AK320" s="6"/>
      <c r="AL320" s="6"/>
      <c r="AM320" s="32"/>
      <c r="AN320" s="32">
        <f>TABL12345[[#This Row],[ (RESV. STORGE) SER]]/10</f>
        <v>0</v>
      </c>
      <c r="AO320" s="68"/>
      <c r="AP320" s="68">
        <f>TABL12345[[#This Row],[(A/S TOT) AJD]]-TABL12345[[#This Row],[SER_ IN]]</f>
        <v>0</v>
      </c>
    </row>
    <row r="321" spans="1:42" ht="18.75" x14ac:dyDescent="0.25">
      <c r="A321" s="2">
        <v>47803</v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>
        <f>TABL12345[[#This Row],[خط (T/B  TOT) SAR]]+TABL12345[[#This Row],[خط (S/S  TOT) SAR2]]</f>
        <v>0</v>
      </c>
      <c r="L321" s="28"/>
      <c r="M321" s="29"/>
      <c r="N321" s="30"/>
      <c r="O321" s="40"/>
      <c r="P321" s="9">
        <f>TABL12345[[#This Row],[خط (S/S  TOT) SAR2]]-TABL12345[[#This Row],[(S/S TOT) AJD]]</f>
        <v>0</v>
      </c>
      <c r="Q321" s="9"/>
      <c r="R321" s="9">
        <f>TABL12345[[#This Row],[خط (T/B  TOT) SAR]]-TABL12345[[#This Row],[(T/B TOT) AJD]]</f>
        <v>0</v>
      </c>
      <c r="S321" s="9">
        <f>TABL12345[[#This Row],[الفرق بين بداية ونهاية خط  S/S]]+TABL12345[[#This Row],[الفرق بين بداية ونهاية خط  T/B]]</f>
        <v>0</v>
      </c>
      <c r="T321" s="9">
        <f t="shared" si="16"/>
        <v>0</v>
      </c>
      <c r="U321" s="9"/>
      <c r="V321" s="9"/>
      <c r="W321" s="9">
        <f t="shared" si="17"/>
        <v>0</v>
      </c>
      <c r="X321" s="9">
        <f t="shared" si="18"/>
        <v>0</v>
      </c>
      <c r="Y321" s="18"/>
      <c r="Z321" s="9"/>
      <c r="AA321" s="3">
        <f>TABL12345[[#This Row],[(RESV. STORGE) AJD]]/10</f>
        <v>0</v>
      </c>
      <c r="AB321" s="6">
        <f t="shared" si="19"/>
        <v>0</v>
      </c>
      <c r="AC321" s="5"/>
      <c r="AD321" s="6">
        <f>(TABL12345[[#This Row],[( S/S+T/B) AJD]]*1000)-((TABL12345[[#This Row],[(STORGE DIFF.) AJD]]*1000)+TABL12345[[#This Row],[البخر  AJD]]+(TABL12345[[#This Row],[(A/B + A/S) AJD]]*1000))</f>
        <v>0</v>
      </c>
      <c r="AE321" s="33"/>
      <c r="AF321" s="6"/>
      <c r="AG321" s="6"/>
      <c r="AH321" s="6">
        <f>TABL12345[[#This Row],[ (RESV. STORGE) BER]]/10</f>
        <v>0</v>
      </c>
      <c r="AI321" s="6"/>
      <c r="AJ321" s="33">
        <f>TABL12345[[#This Row],[(A/B TOT) AJD]]-TABL12345[[#This Row],[BER_ IN]]</f>
        <v>0</v>
      </c>
      <c r="AK321" s="6"/>
      <c r="AL321" s="6"/>
      <c r="AM321" s="32"/>
      <c r="AN321" s="32">
        <f>TABL12345[[#This Row],[ (RESV. STORGE) SER]]/10</f>
        <v>0</v>
      </c>
      <c r="AO321" s="68"/>
      <c r="AP321" s="68">
        <f>TABL12345[[#This Row],[(A/S TOT) AJD]]-TABL12345[[#This Row],[SER_ IN]]</f>
        <v>0</v>
      </c>
    </row>
    <row r="322" spans="1:42" ht="18.75" x14ac:dyDescent="0.25">
      <c r="A322" s="2">
        <v>47804</v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>
        <f>TABL12345[[#This Row],[خط (T/B  TOT) SAR]]+TABL12345[[#This Row],[خط (S/S  TOT) SAR2]]</f>
        <v>0</v>
      </c>
      <c r="L322" s="28"/>
      <c r="M322" s="29"/>
      <c r="N322" s="30"/>
      <c r="O322" s="39"/>
      <c r="P322" s="9">
        <f>TABL12345[[#This Row],[خط (S/S  TOT) SAR2]]-TABL12345[[#This Row],[(S/S TOT) AJD]]</f>
        <v>0</v>
      </c>
      <c r="Q322" s="9"/>
      <c r="R322" s="9">
        <f>TABL12345[[#This Row],[خط (T/B  TOT) SAR]]-TABL12345[[#This Row],[(T/B TOT) AJD]]</f>
        <v>0</v>
      </c>
      <c r="S322" s="9">
        <f>TABL12345[[#This Row],[الفرق بين بداية ونهاية خط  S/S]]+TABL12345[[#This Row],[الفرق بين بداية ونهاية خط  T/B]]</f>
        <v>0</v>
      </c>
      <c r="T322" s="9">
        <f t="shared" ref="T322:T366" si="20">O322+Q322</f>
        <v>0</v>
      </c>
      <c r="U322" s="9"/>
      <c r="V322" s="9"/>
      <c r="W322" s="9">
        <f t="shared" ref="W322:W366" si="21">U322+V322</f>
        <v>0</v>
      </c>
      <c r="X322" s="9">
        <f t="shared" ref="X322:X366" si="22">T322-W322</f>
        <v>0</v>
      </c>
      <c r="Y322" s="18"/>
      <c r="Z322" s="9"/>
      <c r="AA322" s="3">
        <f>TABL12345[[#This Row],[(RESV. STORGE) AJD]]/10</f>
        <v>0</v>
      </c>
      <c r="AB322" s="6">
        <f t="shared" si="19"/>
        <v>0</v>
      </c>
      <c r="AC322" s="5"/>
      <c r="AD322" s="6">
        <f>(TABL12345[[#This Row],[( S/S+T/B) AJD]]*1000)-((TABL12345[[#This Row],[(STORGE DIFF.) AJD]]*1000)+TABL12345[[#This Row],[البخر  AJD]]+(TABL12345[[#This Row],[(A/B + A/S) AJD]]*1000))</f>
        <v>0</v>
      </c>
      <c r="AE322" s="33"/>
      <c r="AF322" s="6"/>
      <c r="AG322" s="6"/>
      <c r="AH322" s="6">
        <f>TABL12345[[#This Row],[ (RESV. STORGE) BER]]/10</f>
        <v>0</v>
      </c>
      <c r="AI322" s="6"/>
      <c r="AJ322" s="33">
        <f>TABL12345[[#This Row],[(A/B TOT) AJD]]-TABL12345[[#This Row],[BER_ IN]]</f>
        <v>0</v>
      </c>
      <c r="AK322" s="6"/>
      <c r="AL322" s="6"/>
      <c r="AM322" s="32"/>
      <c r="AN322" s="32">
        <f>TABL12345[[#This Row],[ (RESV. STORGE) SER]]/10</f>
        <v>0</v>
      </c>
      <c r="AO322" s="68"/>
      <c r="AP322" s="68">
        <f>TABL12345[[#This Row],[(A/S TOT) AJD]]-TABL12345[[#This Row],[SER_ IN]]</f>
        <v>0</v>
      </c>
    </row>
    <row r="323" spans="1:42" ht="18.75" x14ac:dyDescent="0.25">
      <c r="A323" s="2">
        <v>47805</v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>
        <f>TABL12345[[#This Row],[خط (T/B  TOT) SAR]]+TABL12345[[#This Row],[خط (S/S  TOT) SAR2]]</f>
        <v>0</v>
      </c>
      <c r="L323" s="28"/>
      <c r="M323" s="29"/>
      <c r="N323" s="30"/>
      <c r="O323" s="40"/>
      <c r="P323" s="9">
        <f>TABL12345[[#This Row],[خط (S/S  TOT) SAR2]]-TABL12345[[#This Row],[(S/S TOT) AJD]]</f>
        <v>0</v>
      </c>
      <c r="Q323" s="9"/>
      <c r="R323" s="9">
        <f>TABL12345[[#This Row],[خط (T/B  TOT) SAR]]-TABL12345[[#This Row],[(T/B TOT) AJD]]</f>
        <v>0</v>
      </c>
      <c r="S323" s="9">
        <f>TABL12345[[#This Row],[الفرق بين بداية ونهاية خط  S/S]]+TABL12345[[#This Row],[الفرق بين بداية ونهاية خط  T/B]]</f>
        <v>0</v>
      </c>
      <c r="T323" s="9">
        <f t="shared" si="20"/>
        <v>0</v>
      </c>
      <c r="U323" s="9"/>
      <c r="V323" s="9"/>
      <c r="W323" s="9">
        <f t="shared" si="21"/>
        <v>0</v>
      </c>
      <c r="X323" s="9">
        <f t="shared" si="22"/>
        <v>0</v>
      </c>
      <c r="Y323" s="18"/>
      <c r="Z323" s="9"/>
      <c r="AA323" s="3">
        <f>TABL12345[[#This Row],[(RESV. STORGE) AJD]]/10</f>
        <v>0</v>
      </c>
      <c r="AB323" s="6">
        <f t="shared" si="19"/>
        <v>0</v>
      </c>
      <c r="AC323" s="5"/>
      <c r="AD323" s="6">
        <f>(TABL12345[[#This Row],[( S/S+T/B) AJD]]*1000)-((TABL12345[[#This Row],[(STORGE DIFF.) AJD]]*1000)+TABL12345[[#This Row],[البخر  AJD]]+(TABL12345[[#This Row],[(A/B + A/S) AJD]]*1000))</f>
        <v>0</v>
      </c>
      <c r="AE323" s="33"/>
      <c r="AF323" s="6"/>
      <c r="AG323" s="6"/>
      <c r="AH323" s="6">
        <f>TABL12345[[#This Row],[ (RESV. STORGE) BER]]/10</f>
        <v>0</v>
      </c>
      <c r="AI323" s="6"/>
      <c r="AJ323" s="33">
        <f>TABL12345[[#This Row],[(A/B TOT) AJD]]-TABL12345[[#This Row],[BER_ IN]]</f>
        <v>0</v>
      </c>
      <c r="AK323" s="6"/>
      <c r="AL323" s="6"/>
      <c r="AM323" s="32"/>
      <c r="AN323" s="32">
        <f>TABL12345[[#This Row],[ (RESV. STORGE) SER]]/10</f>
        <v>0</v>
      </c>
      <c r="AO323" s="68"/>
      <c r="AP323" s="68">
        <f>TABL12345[[#This Row],[(A/S TOT) AJD]]-TABL12345[[#This Row],[SER_ IN]]</f>
        <v>0</v>
      </c>
    </row>
    <row r="324" spans="1:42" ht="18.75" x14ac:dyDescent="0.25">
      <c r="A324" s="2">
        <v>47806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>
        <f>TABL12345[[#This Row],[خط (T/B  TOT) SAR]]+TABL12345[[#This Row],[خط (S/S  TOT) SAR2]]</f>
        <v>0</v>
      </c>
      <c r="L324" s="28"/>
      <c r="M324" s="29"/>
      <c r="N324" s="30"/>
      <c r="O324" s="39"/>
      <c r="P324" s="9">
        <f>TABL12345[[#This Row],[خط (S/S  TOT) SAR2]]-TABL12345[[#This Row],[(S/S TOT) AJD]]</f>
        <v>0</v>
      </c>
      <c r="Q324" s="9"/>
      <c r="R324" s="9">
        <f>TABL12345[[#This Row],[خط (T/B  TOT) SAR]]-TABL12345[[#This Row],[(T/B TOT) AJD]]</f>
        <v>0</v>
      </c>
      <c r="S324" s="9">
        <f>TABL12345[[#This Row],[الفرق بين بداية ونهاية خط  S/S]]+TABL12345[[#This Row],[الفرق بين بداية ونهاية خط  T/B]]</f>
        <v>0</v>
      </c>
      <c r="T324" s="9">
        <f t="shared" si="20"/>
        <v>0</v>
      </c>
      <c r="U324" s="9"/>
      <c r="V324" s="9"/>
      <c r="W324" s="9">
        <f t="shared" si="21"/>
        <v>0</v>
      </c>
      <c r="X324" s="9">
        <f t="shared" si="22"/>
        <v>0</v>
      </c>
      <c r="Y324" s="18"/>
      <c r="Z324" s="9"/>
      <c r="AA324" s="3">
        <f>TABL12345[[#This Row],[(RESV. STORGE) AJD]]/10</f>
        <v>0</v>
      </c>
      <c r="AB324" s="6">
        <f t="shared" ref="AB324:AB366" si="23">(Z324-Z323)/1000</f>
        <v>0</v>
      </c>
      <c r="AC324" s="5"/>
      <c r="AD324" s="6">
        <f>(TABL12345[[#This Row],[( S/S+T/B) AJD]]*1000)-((TABL12345[[#This Row],[(STORGE DIFF.) AJD]]*1000)+TABL12345[[#This Row],[البخر  AJD]]+(TABL12345[[#This Row],[(A/B + A/S) AJD]]*1000))</f>
        <v>0</v>
      </c>
      <c r="AE324" s="33"/>
      <c r="AF324" s="6"/>
      <c r="AG324" s="6"/>
      <c r="AH324" s="6">
        <f>TABL12345[[#This Row],[ (RESV. STORGE) BER]]/10</f>
        <v>0</v>
      </c>
      <c r="AI324" s="6"/>
      <c r="AJ324" s="33">
        <f>TABL12345[[#This Row],[(A/B TOT) AJD]]-TABL12345[[#This Row],[BER_ IN]]</f>
        <v>0</v>
      </c>
      <c r="AK324" s="6"/>
      <c r="AL324" s="6"/>
      <c r="AM324" s="32"/>
      <c r="AN324" s="32">
        <f>TABL12345[[#This Row],[ (RESV. STORGE) SER]]/10</f>
        <v>0</v>
      </c>
      <c r="AO324" s="68"/>
      <c r="AP324" s="68">
        <f>TABL12345[[#This Row],[(A/S TOT) AJD]]-TABL12345[[#This Row],[SER_ IN]]</f>
        <v>0</v>
      </c>
    </row>
    <row r="325" spans="1:42" ht="18.75" x14ac:dyDescent="0.25">
      <c r="A325" s="2">
        <v>47807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>
        <f>TABL12345[[#This Row],[خط (T/B  TOT) SAR]]+TABL12345[[#This Row],[خط (S/S  TOT) SAR2]]</f>
        <v>0</v>
      </c>
      <c r="L325" s="28"/>
      <c r="M325" s="29"/>
      <c r="N325" s="30"/>
      <c r="O325" s="40"/>
      <c r="P325" s="9">
        <f>TABL12345[[#This Row],[خط (S/S  TOT) SAR2]]-TABL12345[[#This Row],[(S/S TOT) AJD]]</f>
        <v>0</v>
      </c>
      <c r="Q325" s="9"/>
      <c r="R325" s="9">
        <f>TABL12345[[#This Row],[خط (T/B  TOT) SAR]]-TABL12345[[#This Row],[(T/B TOT) AJD]]</f>
        <v>0</v>
      </c>
      <c r="S325" s="9">
        <f>TABL12345[[#This Row],[الفرق بين بداية ونهاية خط  S/S]]+TABL12345[[#This Row],[الفرق بين بداية ونهاية خط  T/B]]</f>
        <v>0</v>
      </c>
      <c r="T325" s="9">
        <f t="shared" si="20"/>
        <v>0</v>
      </c>
      <c r="U325" s="9"/>
      <c r="V325" s="9"/>
      <c r="W325" s="9">
        <f t="shared" si="21"/>
        <v>0</v>
      </c>
      <c r="X325" s="9">
        <f t="shared" si="22"/>
        <v>0</v>
      </c>
      <c r="Y325" s="18"/>
      <c r="Z325" s="9"/>
      <c r="AA325" s="3">
        <f>TABL12345[[#This Row],[(RESV. STORGE) AJD]]/10</f>
        <v>0</v>
      </c>
      <c r="AB325" s="6">
        <f t="shared" si="23"/>
        <v>0</v>
      </c>
      <c r="AC325" s="5"/>
      <c r="AD325" s="6">
        <f>(TABL12345[[#This Row],[( S/S+T/B) AJD]]*1000)-((TABL12345[[#This Row],[(STORGE DIFF.) AJD]]*1000)+TABL12345[[#This Row],[البخر  AJD]]+(TABL12345[[#This Row],[(A/B + A/S) AJD]]*1000))</f>
        <v>0</v>
      </c>
      <c r="AE325" s="33"/>
      <c r="AF325" s="6"/>
      <c r="AG325" s="6"/>
      <c r="AH325" s="6">
        <f>TABL12345[[#This Row],[ (RESV. STORGE) BER]]/10</f>
        <v>0</v>
      </c>
      <c r="AI325" s="6"/>
      <c r="AJ325" s="33">
        <f>TABL12345[[#This Row],[(A/B TOT) AJD]]-TABL12345[[#This Row],[BER_ IN]]</f>
        <v>0</v>
      </c>
      <c r="AK325" s="6"/>
      <c r="AL325" s="6"/>
      <c r="AM325" s="32"/>
      <c r="AN325" s="32">
        <f>TABL12345[[#This Row],[ (RESV. STORGE) SER]]/10</f>
        <v>0</v>
      </c>
      <c r="AO325" s="68"/>
      <c r="AP325" s="68">
        <f>TABL12345[[#This Row],[(A/S TOT) AJD]]-TABL12345[[#This Row],[SER_ IN]]</f>
        <v>0</v>
      </c>
    </row>
    <row r="326" spans="1:42" ht="18.75" x14ac:dyDescent="0.25">
      <c r="A326" s="2">
        <v>47808</v>
      </c>
      <c r="B326" s="28"/>
      <c r="C326" s="28"/>
      <c r="D326" s="28"/>
      <c r="E326" s="28"/>
      <c r="F326" s="28"/>
      <c r="G326" s="28"/>
      <c r="H326" s="28"/>
      <c r="I326" s="28"/>
      <c r="J326" s="28"/>
      <c r="K326" s="28">
        <f>TABL12345[[#This Row],[خط (T/B  TOT) SAR]]+TABL12345[[#This Row],[خط (S/S  TOT) SAR2]]</f>
        <v>0</v>
      </c>
      <c r="L326" s="28"/>
      <c r="M326" s="29"/>
      <c r="N326" s="30"/>
      <c r="O326" s="39"/>
      <c r="P326" s="9">
        <f>TABL12345[[#This Row],[خط (S/S  TOT) SAR2]]-TABL12345[[#This Row],[(S/S TOT) AJD]]</f>
        <v>0</v>
      </c>
      <c r="Q326" s="9"/>
      <c r="R326" s="9">
        <f>TABL12345[[#This Row],[خط (T/B  TOT) SAR]]-TABL12345[[#This Row],[(T/B TOT) AJD]]</f>
        <v>0</v>
      </c>
      <c r="S326" s="9">
        <f>TABL12345[[#This Row],[الفرق بين بداية ونهاية خط  S/S]]+TABL12345[[#This Row],[الفرق بين بداية ونهاية خط  T/B]]</f>
        <v>0</v>
      </c>
      <c r="T326" s="9">
        <f t="shared" si="20"/>
        <v>0</v>
      </c>
      <c r="U326" s="9"/>
      <c r="V326" s="9"/>
      <c r="W326" s="9">
        <f t="shared" si="21"/>
        <v>0</v>
      </c>
      <c r="X326" s="9">
        <f t="shared" si="22"/>
        <v>0</v>
      </c>
      <c r="Y326" s="18"/>
      <c r="Z326" s="9"/>
      <c r="AA326" s="3">
        <f>TABL12345[[#This Row],[(RESV. STORGE) AJD]]/10</f>
        <v>0</v>
      </c>
      <c r="AB326" s="6">
        <f t="shared" si="23"/>
        <v>0</v>
      </c>
      <c r="AC326" s="5"/>
      <c r="AD326" s="6">
        <f>(TABL12345[[#This Row],[( S/S+T/B) AJD]]*1000)-((TABL12345[[#This Row],[(STORGE DIFF.) AJD]]*1000)+TABL12345[[#This Row],[البخر  AJD]]+(TABL12345[[#This Row],[(A/B + A/S) AJD]]*1000))</f>
        <v>0</v>
      </c>
      <c r="AE326" s="33"/>
      <c r="AF326" s="6"/>
      <c r="AG326" s="6"/>
      <c r="AH326" s="6">
        <f>TABL12345[[#This Row],[ (RESV. STORGE) BER]]/10</f>
        <v>0</v>
      </c>
      <c r="AI326" s="6"/>
      <c r="AJ326" s="33">
        <f>TABL12345[[#This Row],[(A/B TOT) AJD]]-TABL12345[[#This Row],[BER_ IN]]</f>
        <v>0</v>
      </c>
      <c r="AK326" s="6"/>
      <c r="AL326" s="6"/>
      <c r="AM326" s="32"/>
      <c r="AN326" s="32">
        <f>TABL12345[[#This Row],[ (RESV. STORGE) SER]]/10</f>
        <v>0</v>
      </c>
      <c r="AO326" s="68"/>
      <c r="AP326" s="68">
        <f>TABL12345[[#This Row],[(A/S TOT) AJD]]-TABL12345[[#This Row],[SER_ IN]]</f>
        <v>0</v>
      </c>
    </row>
    <row r="327" spans="1:42" ht="18.75" x14ac:dyDescent="0.25">
      <c r="A327" s="2">
        <v>47809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>
        <f>TABL12345[[#This Row],[خط (T/B  TOT) SAR]]+TABL12345[[#This Row],[خط (S/S  TOT) SAR2]]</f>
        <v>0</v>
      </c>
      <c r="L327" s="28"/>
      <c r="M327" s="29"/>
      <c r="N327" s="30"/>
      <c r="O327" s="40"/>
      <c r="P327" s="9">
        <f>TABL12345[[#This Row],[خط (S/S  TOT) SAR2]]-TABL12345[[#This Row],[(S/S TOT) AJD]]</f>
        <v>0</v>
      </c>
      <c r="Q327" s="9"/>
      <c r="R327" s="9">
        <f>TABL12345[[#This Row],[خط (T/B  TOT) SAR]]-TABL12345[[#This Row],[(T/B TOT) AJD]]</f>
        <v>0</v>
      </c>
      <c r="S327" s="9">
        <f>TABL12345[[#This Row],[الفرق بين بداية ونهاية خط  S/S]]+TABL12345[[#This Row],[الفرق بين بداية ونهاية خط  T/B]]</f>
        <v>0</v>
      </c>
      <c r="T327" s="9">
        <f t="shared" si="20"/>
        <v>0</v>
      </c>
      <c r="U327" s="9"/>
      <c r="V327" s="9"/>
      <c r="W327" s="9">
        <f t="shared" si="21"/>
        <v>0</v>
      </c>
      <c r="X327" s="9">
        <f t="shared" si="22"/>
        <v>0</v>
      </c>
      <c r="Y327" s="18"/>
      <c r="Z327" s="9"/>
      <c r="AA327" s="3">
        <f>TABL12345[[#This Row],[(RESV. STORGE) AJD]]/10</f>
        <v>0</v>
      </c>
      <c r="AB327" s="6">
        <f t="shared" si="23"/>
        <v>0</v>
      </c>
      <c r="AC327" s="5"/>
      <c r="AD327" s="6">
        <f>(TABL12345[[#This Row],[( S/S+T/B) AJD]]*1000)-((TABL12345[[#This Row],[(STORGE DIFF.) AJD]]*1000)+TABL12345[[#This Row],[البخر  AJD]]+(TABL12345[[#This Row],[(A/B + A/S) AJD]]*1000))</f>
        <v>0</v>
      </c>
      <c r="AE327" s="33"/>
      <c r="AF327" s="6"/>
      <c r="AG327" s="6"/>
      <c r="AH327" s="6">
        <f>TABL12345[[#This Row],[ (RESV. STORGE) BER]]/10</f>
        <v>0</v>
      </c>
      <c r="AI327" s="6"/>
      <c r="AJ327" s="33">
        <f>TABL12345[[#This Row],[(A/B TOT) AJD]]-TABL12345[[#This Row],[BER_ IN]]</f>
        <v>0</v>
      </c>
      <c r="AK327" s="6"/>
      <c r="AL327" s="6"/>
      <c r="AM327" s="32"/>
      <c r="AN327" s="32">
        <f>TABL12345[[#This Row],[ (RESV. STORGE) SER]]/10</f>
        <v>0</v>
      </c>
      <c r="AO327" s="68"/>
      <c r="AP327" s="68">
        <f>TABL12345[[#This Row],[(A/S TOT) AJD]]-TABL12345[[#This Row],[SER_ IN]]</f>
        <v>0</v>
      </c>
    </row>
    <row r="328" spans="1:42" ht="18.75" x14ac:dyDescent="0.25">
      <c r="A328" s="2">
        <v>47810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>
        <f>TABL12345[[#This Row],[خط (T/B  TOT) SAR]]+TABL12345[[#This Row],[خط (S/S  TOT) SAR2]]</f>
        <v>0</v>
      </c>
      <c r="L328" s="28"/>
      <c r="M328" s="29"/>
      <c r="N328" s="30"/>
      <c r="O328" s="39"/>
      <c r="P328" s="9">
        <f>TABL12345[[#This Row],[خط (S/S  TOT) SAR2]]-TABL12345[[#This Row],[(S/S TOT) AJD]]</f>
        <v>0</v>
      </c>
      <c r="Q328" s="9"/>
      <c r="R328" s="9">
        <f>TABL12345[[#This Row],[خط (T/B  TOT) SAR]]-TABL12345[[#This Row],[(T/B TOT) AJD]]</f>
        <v>0</v>
      </c>
      <c r="S328" s="9">
        <f>TABL12345[[#This Row],[الفرق بين بداية ونهاية خط  S/S]]+TABL12345[[#This Row],[الفرق بين بداية ونهاية خط  T/B]]</f>
        <v>0</v>
      </c>
      <c r="T328" s="9">
        <f t="shared" si="20"/>
        <v>0</v>
      </c>
      <c r="U328" s="9"/>
      <c r="V328" s="9"/>
      <c r="W328" s="9">
        <f t="shared" si="21"/>
        <v>0</v>
      </c>
      <c r="X328" s="9">
        <f t="shared" si="22"/>
        <v>0</v>
      </c>
      <c r="Y328" s="18"/>
      <c r="Z328" s="9"/>
      <c r="AA328" s="3">
        <f>TABL12345[[#This Row],[(RESV. STORGE) AJD]]/10</f>
        <v>0</v>
      </c>
      <c r="AB328" s="6">
        <f t="shared" si="23"/>
        <v>0</v>
      </c>
      <c r="AC328" s="5"/>
      <c r="AD328" s="6">
        <f>(TABL12345[[#This Row],[( S/S+T/B) AJD]]*1000)-((TABL12345[[#This Row],[(STORGE DIFF.) AJD]]*1000)+TABL12345[[#This Row],[البخر  AJD]]+(TABL12345[[#This Row],[(A/B + A/S) AJD]]*1000))</f>
        <v>0</v>
      </c>
      <c r="AE328" s="33"/>
      <c r="AF328" s="6"/>
      <c r="AG328" s="6"/>
      <c r="AH328" s="6">
        <f>TABL12345[[#This Row],[ (RESV. STORGE) BER]]/10</f>
        <v>0</v>
      </c>
      <c r="AI328" s="6"/>
      <c r="AJ328" s="33">
        <f>TABL12345[[#This Row],[(A/B TOT) AJD]]-TABL12345[[#This Row],[BER_ IN]]</f>
        <v>0</v>
      </c>
      <c r="AK328" s="6"/>
      <c r="AL328" s="6"/>
      <c r="AM328" s="32"/>
      <c r="AN328" s="32">
        <f>TABL12345[[#This Row],[ (RESV. STORGE) SER]]/10</f>
        <v>0</v>
      </c>
      <c r="AO328" s="68"/>
      <c r="AP328" s="68">
        <f>TABL12345[[#This Row],[(A/S TOT) AJD]]-TABL12345[[#This Row],[SER_ IN]]</f>
        <v>0</v>
      </c>
    </row>
    <row r="329" spans="1:42" ht="18.75" x14ac:dyDescent="0.25">
      <c r="A329" s="2">
        <v>47811</v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>
        <f>TABL12345[[#This Row],[خط (T/B  TOT) SAR]]+TABL12345[[#This Row],[خط (S/S  TOT) SAR2]]</f>
        <v>0</v>
      </c>
      <c r="L329" s="28"/>
      <c r="M329" s="29"/>
      <c r="N329" s="30"/>
      <c r="O329" s="40"/>
      <c r="P329" s="9">
        <f>TABL12345[[#This Row],[خط (S/S  TOT) SAR2]]-TABL12345[[#This Row],[(S/S TOT) AJD]]</f>
        <v>0</v>
      </c>
      <c r="Q329" s="9"/>
      <c r="R329" s="9">
        <f>TABL12345[[#This Row],[خط (T/B  TOT) SAR]]-TABL12345[[#This Row],[(T/B TOT) AJD]]</f>
        <v>0</v>
      </c>
      <c r="S329" s="9">
        <f>TABL12345[[#This Row],[الفرق بين بداية ونهاية خط  S/S]]+TABL12345[[#This Row],[الفرق بين بداية ونهاية خط  T/B]]</f>
        <v>0</v>
      </c>
      <c r="T329" s="9">
        <f t="shared" si="20"/>
        <v>0</v>
      </c>
      <c r="U329" s="9"/>
      <c r="V329" s="9"/>
      <c r="W329" s="9">
        <f t="shared" si="21"/>
        <v>0</v>
      </c>
      <c r="X329" s="9">
        <f t="shared" si="22"/>
        <v>0</v>
      </c>
      <c r="Y329" s="18"/>
      <c r="Z329" s="9"/>
      <c r="AA329" s="3">
        <f>TABL12345[[#This Row],[(RESV. STORGE) AJD]]/10</f>
        <v>0</v>
      </c>
      <c r="AB329" s="6">
        <f t="shared" si="23"/>
        <v>0</v>
      </c>
      <c r="AC329" s="5"/>
      <c r="AD329" s="6">
        <f>(TABL12345[[#This Row],[( S/S+T/B) AJD]]*1000)-((TABL12345[[#This Row],[(STORGE DIFF.) AJD]]*1000)+TABL12345[[#This Row],[البخر  AJD]]+(TABL12345[[#This Row],[(A/B + A/S) AJD]]*1000))</f>
        <v>0</v>
      </c>
      <c r="AE329" s="33"/>
      <c r="AF329" s="6"/>
      <c r="AG329" s="6"/>
      <c r="AH329" s="6">
        <f>TABL12345[[#This Row],[ (RESV. STORGE) BER]]/10</f>
        <v>0</v>
      </c>
      <c r="AI329" s="6"/>
      <c r="AJ329" s="33">
        <f>TABL12345[[#This Row],[(A/B TOT) AJD]]-TABL12345[[#This Row],[BER_ IN]]</f>
        <v>0</v>
      </c>
      <c r="AK329" s="6"/>
      <c r="AL329" s="6"/>
      <c r="AM329" s="32"/>
      <c r="AN329" s="32">
        <f>TABL12345[[#This Row],[ (RESV. STORGE) SER]]/10</f>
        <v>0</v>
      </c>
      <c r="AO329" s="68"/>
      <c r="AP329" s="68">
        <f>TABL12345[[#This Row],[(A/S TOT) AJD]]-TABL12345[[#This Row],[SER_ IN]]</f>
        <v>0</v>
      </c>
    </row>
    <row r="330" spans="1:42" ht="18.75" x14ac:dyDescent="0.25">
      <c r="A330" s="2">
        <v>47812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>
        <f>TABL12345[[#This Row],[خط (T/B  TOT) SAR]]+TABL12345[[#This Row],[خط (S/S  TOT) SAR2]]</f>
        <v>0</v>
      </c>
      <c r="L330" s="28"/>
      <c r="M330" s="29"/>
      <c r="N330" s="30"/>
      <c r="O330" s="39"/>
      <c r="P330" s="9">
        <f>TABL12345[[#This Row],[خط (S/S  TOT) SAR2]]-TABL12345[[#This Row],[(S/S TOT) AJD]]</f>
        <v>0</v>
      </c>
      <c r="Q330" s="9"/>
      <c r="R330" s="9">
        <f>TABL12345[[#This Row],[خط (T/B  TOT) SAR]]-TABL12345[[#This Row],[(T/B TOT) AJD]]</f>
        <v>0</v>
      </c>
      <c r="S330" s="9">
        <f>TABL12345[[#This Row],[الفرق بين بداية ونهاية خط  S/S]]+TABL12345[[#This Row],[الفرق بين بداية ونهاية خط  T/B]]</f>
        <v>0</v>
      </c>
      <c r="T330" s="9">
        <f t="shared" si="20"/>
        <v>0</v>
      </c>
      <c r="U330" s="9"/>
      <c r="V330" s="9"/>
      <c r="W330" s="9">
        <f t="shared" si="21"/>
        <v>0</v>
      </c>
      <c r="X330" s="9">
        <f t="shared" si="22"/>
        <v>0</v>
      </c>
      <c r="Y330" s="18"/>
      <c r="Z330" s="9"/>
      <c r="AA330" s="3">
        <f>TABL12345[[#This Row],[(RESV. STORGE) AJD]]/10</f>
        <v>0</v>
      </c>
      <c r="AB330" s="6">
        <f t="shared" si="23"/>
        <v>0</v>
      </c>
      <c r="AC330" s="5"/>
      <c r="AD330" s="6">
        <f>(TABL12345[[#This Row],[( S/S+T/B) AJD]]*1000)-((TABL12345[[#This Row],[(STORGE DIFF.) AJD]]*1000)+TABL12345[[#This Row],[البخر  AJD]]+(TABL12345[[#This Row],[(A/B + A/S) AJD]]*1000))</f>
        <v>0</v>
      </c>
      <c r="AE330" s="33"/>
      <c r="AF330" s="6"/>
      <c r="AG330" s="6"/>
      <c r="AH330" s="6">
        <f>TABL12345[[#This Row],[ (RESV. STORGE) BER]]/10</f>
        <v>0</v>
      </c>
      <c r="AI330" s="6"/>
      <c r="AJ330" s="33">
        <f>TABL12345[[#This Row],[(A/B TOT) AJD]]-TABL12345[[#This Row],[BER_ IN]]</f>
        <v>0</v>
      </c>
      <c r="AK330" s="6"/>
      <c r="AL330" s="6"/>
      <c r="AM330" s="32"/>
      <c r="AN330" s="32">
        <f>TABL12345[[#This Row],[ (RESV. STORGE) SER]]/10</f>
        <v>0</v>
      </c>
      <c r="AO330" s="68"/>
      <c r="AP330" s="68">
        <f>TABL12345[[#This Row],[(A/S TOT) AJD]]-TABL12345[[#This Row],[SER_ IN]]</f>
        <v>0</v>
      </c>
    </row>
    <row r="331" spans="1:42" ht="18.75" x14ac:dyDescent="0.25">
      <c r="A331" s="2">
        <v>47813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>
        <f>TABL12345[[#This Row],[خط (T/B  TOT) SAR]]+TABL12345[[#This Row],[خط (S/S  TOT) SAR2]]</f>
        <v>0</v>
      </c>
      <c r="L331" s="28"/>
      <c r="M331" s="29"/>
      <c r="N331" s="30"/>
      <c r="O331" s="40"/>
      <c r="P331" s="9">
        <f>TABL12345[[#This Row],[خط (S/S  TOT) SAR2]]-TABL12345[[#This Row],[(S/S TOT) AJD]]</f>
        <v>0</v>
      </c>
      <c r="Q331" s="9"/>
      <c r="R331" s="9">
        <f>TABL12345[[#This Row],[خط (T/B  TOT) SAR]]-TABL12345[[#This Row],[(T/B TOT) AJD]]</f>
        <v>0</v>
      </c>
      <c r="S331" s="9">
        <f>TABL12345[[#This Row],[الفرق بين بداية ونهاية خط  S/S]]+TABL12345[[#This Row],[الفرق بين بداية ونهاية خط  T/B]]</f>
        <v>0</v>
      </c>
      <c r="T331" s="9">
        <f t="shared" si="20"/>
        <v>0</v>
      </c>
      <c r="U331" s="9"/>
      <c r="V331" s="9"/>
      <c r="W331" s="9">
        <f t="shared" si="21"/>
        <v>0</v>
      </c>
      <c r="X331" s="9">
        <f t="shared" si="22"/>
        <v>0</v>
      </c>
      <c r="Y331" s="18"/>
      <c r="Z331" s="9"/>
      <c r="AA331" s="3">
        <f>TABL12345[[#This Row],[(RESV. STORGE) AJD]]/10</f>
        <v>0</v>
      </c>
      <c r="AB331" s="6">
        <f t="shared" si="23"/>
        <v>0</v>
      </c>
      <c r="AC331" s="5"/>
      <c r="AD331" s="6">
        <f>(TABL12345[[#This Row],[( S/S+T/B) AJD]]*1000)-((TABL12345[[#This Row],[(STORGE DIFF.) AJD]]*1000)+TABL12345[[#This Row],[البخر  AJD]]+(TABL12345[[#This Row],[(A/B + A/S) AJD]]*1000))</f>
        <v>0</v>
      </c>
      <c r="AE331" s="33"/>
      <c r="AF331" s="6"/>
      <c r="AG331" s="6"/>
      <c r="AH331" s="6">
        <f>TABL12345[[#This Row],[ (RESV. STORGE) BER]]/10</f>
        <v>0</v>
      </c>
      <c r="AI331" s="6"/>
      <c r="AJ331" s="33">
        <f>TABL12345[[#This Row],[(A/B TOT) AJD]]-TABL12345[[#This Row],[BER_ IN]]</f>
        <v>0</v>
      </c>
      <c r="AK331" s="6"/>
      <c r="AL331" s="6"/>
      <c r="AM331" s="32"/>
      <c r="AN331" s="32">
        <f>TABL12345[[#This Row],[ (RESV. STORGE) SER]]/10</f>
        <v>0</v>
      </c>
      <c r="AO331" s="68"/>
      <c r="AP331" s="68">
        <f>TABL12345[[#This Row],[(A/S TOT) AJD]]-TABL12345[[#This Row],[SER_ IN]]</f>
        <v>0</v>
      </c>
    </row>
    <row r="332" spans="1:42" ht="18.75" x14ac:dyDescent="0.25">
      <c r="A332" s="2">
        <v>47814</v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>
        <f>TABL12345[[#This Row],[خط (T/B  TOT) SAR]]+TABL12345[[#This Row],[خط (S/S  TOT) SAR2]]</f>
        <v>0</v>
      </c>
      <c r="L332" s="28"/>
      <c r="M332" s="29"/>
      <c r="N332" s="30"/>
      <c r="O332" s="39"/>
      <c r="P332" s="9">
        <f>TABL12345[[#This Row],[خط (S/S  TOT) SAR2]]-TABL12345[[#This Row],[(S/S TOT) AJD]]</f>
        <v>0</v>
      </c>
      <c r="Q332" s="9"/>
      <c r="R332" s="9">
        <f>TABL12345[[#This Row],[خط (T/B  TOT) SAR]]-TABL12345[[#This Row],[(T/B TOT) AJD]]</f>
        <v>0</v>
      </c>
      <c r="S332" s="9">
        <f>TABL12345[[#This Row],[الفرق بين بداية ونهاية خط  S/S]]+TABL12345[[#This Row],[الفرق بين بداية ونهاية خط  T/B]]</f>
        <v>0</v>
      </c>
      <c r="T332" s="9">
        <f t="shared" si="20"/>
        <v>0</v>
      </c>
      <c r="U332" s="9"/>
      <c r="V332" s="9"/>
      <c r="W332" s="9">
        <f t="shared" si="21"/>
        <v>0</v>
      </c>
      <c r="X332" s="9">
        <f t="shared" si="22"/>
        <v>0</v>
      </c>
      <c r="Y332" s="18"/>
      <c r="Z332" s="9"/>
      <c r="AA332" s="3">
        <f>TABL12345[[#This Row],[(RESV. STORGE) AJD]]/10</f>
        <v>0</v>
      </c>
      <c r="AB332" s="6">
        <f t="shared" si="23"/>
        <v>0</v>
      </c>
      <c r="AC332" s="5"/>
      <c r="AD332" s="6">
        <f>(TABL12345[[#This Row],[( S/S+T/B) AJD]]*1000)-((TABL12345[[#This Row],[(STORGE DIFF.) AJD]]*1000)+TABL12345[[#This Row],[البخر  AJD]]+(TABL12345[[#This Row],[(A/B + A/S) AJD]]*1000))</f>
        <v>0</v>
      </c>
      <c r="AE332" s="33"/>
      <c r="AF332" s="6"/>
      <c r="AG332" s="6"/>
      <c r="AH332" s="6">
        <f>TABL12345[[#This Row],[ (RESV. STORGE) BER]]/10</f>
        <v>0</v>
      </c>
      <c r="AI332" s="6"/>
      <c r="AJ332" s="33">
        <f>TABL12345[[#This Row],[(A/B TOT) AJD]]-TABL12345[[#This Row],[BER_ IN]]</f>
        <v>0</v>
      </c>
      <c r="AK332" s="6"/>
      <c r="AL332" s="6"/>
      <c r="AM332" s="32"/>
      <c r="AN332" s="32">
        <f>TABL12345[[#This Row],[ (RESV. STORGE) SER]]/10</f>
        <v>0</v>
      </c>
      <c r="AO332" s="68"/>
      <c r="AP332" s="68">
        <f>TABL12345[[#This Row],[(A/S TOT) AJD]]-TABL12345[[#This Row],[SER_ IN]]</f>
        <v>0</v>
      </c>
    </row>
    <row r="333" spans="1:42" ht="18.75" x14ac:dyDescent="0.25">
      <c r="A333" s="2">
        <v>47815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>
        <f>TABL12345[[#This Row],[خط (T/B  TOT) SAR]]+TABL12345[[#This Row],[خط (S/S  TOT) SAR2]]</f>
        <v>0</v>
      </c>
      <c r="L333" s="28"/>
      <c r="M333" s="29"/>
      <c r="N333" s="30"/>
      <c r="O333" s="40"/>
      <c r="P333" s="9">
        <f>TABL12345[[#This Row],[خط (S/S  TOT) SAR2]]-TABL12345[[#This Row],[(S/S TOT) AJD]]</f>
        <v>0</v>
      </c>
      <c r="Q333" s="9"/>
      <c r="R333" s="9">
        <f>TABL12345[[#This Row],[خط (T/B  TOT) SAR]]-TABL12345[[#This Row],[(T/B TOT) AJD]]</f>
        <v>0</v>
      </c>
      <c r="S333" s="9">
        <f>TABL12345[[#This Row],[الفرق بين بداية ونهاية خط  S/S]]+TABL12345[[#This Row],[الفرق بين بداية ونهاية خط  T/B]]</f>
        <v>0</v>
      </c>
      <c r="T333" s="9">
        <f t="shared" si="20"/>
        <v>0</v>
      </c>
      <c r="U333" s="9"/>
      <c r="V333" s="9"/>
      <c r="W333" s="9">
        <f t="shared" si="21"/>
        <v>0</v>
      </c>
      <c r="X333" s="9">
        <f t="shared" si="22"/>
        <v>0</v>
      </c>
      <c r="Y333" s="18"/>
      <c r="Z333" s="9"/>
      <c r="AA333" s="3">
        <f>TABL12345[[#This Row],[(RESV. STORGE) AJD]]/10</f>
        <v>0</v>
      </c>
      <c r="AB333" s="6">
        <f t="shared" si="23"/>
        <v>0</v>
      </c>
      <c r="AC333" s="5"/>
      <c r="AD333" s="6">
        <f>(TABL12345[[#This Row],[( S/S+T/B) AJD]]*1000)-((TABL12345[[#This Row],[(STORGE DIFF.) AJD]]*1000)+TABL12345[[#This Row],[البخر  AJD]]+(TABL12345[[#This Row],[(A/B + A/S) AJD]]*1000))</f>
        <v>0</v>
      </c>
      <c r="AE333" s="33"/>
      <c r="AF333" s="6"/>
      <c r="AG333" s="6"/>
      <c r="AH333" s="6">
        <f>TABL12345[[#This Row],[ (RESV. STORGE) BER]]/10</f>
        <v>0</v>
      </c>
      <c r="AI333" s="6"/>
      <c r="AJ333" s="33">
        <f>TABL12345[[#This Row],[(A/B TOT) AJD]]-TABL12345[[#This Row],[BER_ IN]]</f>
        <v>0</v>
      </c>
      <c r="AK333" s="6"/>
      <c r="AL333" s="6"/>
      <c r="AM333" s="32"/>
      <c r="AN333" s="32">
        <f>TABL12345[[#This Row],[ (RESV. STORGE) SER]]/10</f>
        <v>0</v>
      </c>
      <c r="AO333" s="68"/>
      <c r="AP333" s="68">
        <f>TABL12345[[#This Row],[(A/S TOT) AJD]]-TABL12345[[#This Row],[SER_ IN]]</f>
        <v>0</v>
      </c>
    </row>
    <row r="334" spans="1:42" ht="18.75" x14ac:dyDescent="0.25">
      <c r="A334" s="2">
        <v>47816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>
        <f>TABL12345[[#This Row],[خط (T/B  TOT) SAR]]+TABL12345[[#This Row],[خط (S/S  TOT) SAR2]]</f>
        <v>0</v>
      </c>
      <c r="L334" s="28"/>
      <c r="M334" s="29"/>
      <c r="N334" s="30"/>
      <c r="O334" s="39"/>
      <c r="P334" s="9">
        <f>TABL12345[[#This Row],[خط (S/S  TOT) SAR2]]-TABL12345[[#This Row],[(S/S TOT) AJD]]</f>
        <v>0</v>
      </c>
      <c r="Q334" s="9"/>
      <c r="R334" s="9">
        <f>TABL12345[[#This Row],[خط (T/B  TOT) SAR]]-TABL12345[[#This Row],[(T/B TOT) AJD]]</f>
        <v>0</v>
      </c>
      <c r="S334" s="9">
        <f>TABL12345[[#This Row],[الفرق بين بداية ونهاية خط  S/S]]+TABL12345[[#This Row],[الفرق بين بداية ونهاية خط  T/B]]</f>
        <v>0</v>
      </c>
      <c r="T334" s="9">
        <f t="shared" si="20"/>
        <v>0</v>
      </c>
      <c r="U334" s="9"/>
      <c r="V334" s="9"/>
      <c r="W334" s="9">
        <f t="shared" si="21"/>
        <v>0</v>
      </c>
      <c r="X334" s="9">
        <f t="shared" si="22"/>
        <v>0</v>
      </c>
      <c r="Y334" s="18"/>
      <c r="Z334" s="9"/>
      <c r="AA334" s="3">
        <f>TABL12345[[#This Row],[(RESV. STORGE) AJD]]/10</f>
        <v>0</v>
      </c>
      <c r="AB334" s="6">
        <f t="shared" si="23"/>
        <v>0</v>
      </c>
      <c r="AC334" s="5"/>
      <c r="AD334" s="6">
        <f>(TABL12345[[#This Row],[( S/S+T/B) AJD]]*1000)-((TABL12345[[#This Row],[(STORGE DIFF.) AJD]]*1000)+TABL12345[[#This Row],[البخر  AJD]]+(TABL12345[[#This Row],[(A/B + A/S) AJD]]*1000))</f>
        <v>0</v>
      </c>
      <c r="AE334" s="33"/>
      <c r="AF334" s="6"/>
      <c r="AG334" s="6"/>
      <c r="AH334" s="6">
        <f>TABL12345[[#This Row],[ (RESV. STORGE) BER]]/10</f>
        <v>0</v>
      </c>
      <c r="AI334" s="6"/>
      <c r="AJ334" s="33">
        <f>TABL12345[[#This Row],[(A/B TOT) AJD]]-TABL12345[[#This Row],[BER_ IN]]</f>
        <v>0</v>
      </c>
      <c r="AK334" s="6"/>
      <c r="AL334" s="6"/>
      <c r="AM334" s="32"/>
      <c r="AN334" s="32">
        <f>TABL12345[[#This Row],[ (RESV. STORGE) SER]]/10</f>
        <v>0</v>
      </c>
      <c r="AO334" s="68"/>
      <c r="AP334" s="68">
        <f>TABL12345[[#This Row],[(A/S TOT) AJD]]-TABL12345[[#This Row],[SER_ IN]]</f>
        <v>0</v>
      </c>
    </row>
    <row r="335" spans="1:42" ht="18.75" x14ac:dyDescent="0.25">
      <c r="A335" s="2">
        <v>47817</v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>
        <f>TABL12345[[#This Row],[خط (T/B  TOT) SAR]]+TABL12345[[#This Row],[خط (S/S  TOT) SAR2]]</f>
        <v>0</v>
      </c>
      <c r="L335" s="28"/>
      <c r="M335" s="29"/>
      <c r="N335" s="30"/>
      <c r="O335" s="40"/>
      <c r="P335" s="9">
        <f>TABL12345[[#This Row],[خط (S/S  TOT) SAR2]]-TABL12345[[#This Row],[(S/S TOT) AJD]]</f>
        <v>0</v>
      </c>
      <c r="Q335" s="9"/>
      <c r="R335" s="9">
        <f>TABL12345[[#This Row],[خط (T/B  TOT) SAR]]-TABL12345[[#This Row],[(T/B TOT) AJD]]</f>
        <v>0</v>
      </c>
      <c r="S335" s="9">
        <f>TABL12345[[#This Row],[الفرق بين بداية ونهاية خط  S/S]]+TABL12345[[#This Row],[الفرق بين بداية ونهاية خط  T/B]]</f>
        <v>0</v>
      </c>
      <c r="T335" s="9">
        <f t="shared" si="20"/>
        <v>0</v>
      </c>
      <c r="U335" s="9"/>
      <c r="V335" s="9"/>
      <c r="W335" s="9">
        <f t="shared" si="21"/>
        <v>0</v>
      </c>
      <c r="X335" s="9">
        <f t="shared" si="22"/>
        <v>0</v>
      </c>
      <c r="Y335" s="18"/>
      <c r="Z335" s="9"/>
      <c r="AA335" s="3">
        <f>TABL12345[[#This Row],[(RESV. STORGE) AJD]]/10</f>
        <v>0</v>
      </c>
      <c r="AB335" s="6">
        <f t="shared" si="23"/>
        <v>0</v>
      </c>
      <c r="AC335" s="5"/>
      <c r="AD335" s="6">
        <f>(TABL12345[[#This Row],[( S/S+T/B) AJD]]*1000)-((TABL12345[[#This Row],[(STORGE DIFF.) AJD]]*1000)+TABL12345[[#This Row],[البخر  AJD]]+(TABL12345[[#This Row],[(A/B + A/S) AJD]]*1000))</f>
        <v>0</v>
      </c>
      <c r="AE335" s="33"/>
      <c r="AF335" s="6"/>
      <c r="AG335" s="6"/>
      <c r="AH335" s="6">
        <f>TABL12345[[#This Row],[ (RESV. STORGE) BER]]/10</f>
        <v>0</v>
      </c>
      <c r="AI335" s="6"/>
      <c r="AJ335" s="33">
        <f>TABL12345[[#This Row],[(A/B TOT) AJD]]-TABL12345[[#This Row],[BER_ IN]]</f>
        <v>0</v>
      </c>
      <c r="AK335" s="6"/>
      <c r="AL335" s="6"/>
      <c r="AM335" s="32"/>
      <c r="AN335" s="32">
        <f>TABL12345[[#This Row],[ (RESV. STORGE) SER]]/10</f>
        <v>0</v>
      </c>
      <c r="AO335" s="68"/>
      <c r="AP335" s="68">
        <f>TABL12345[[#This Row],[(A/S TOT) AJD]]-TABL12345[[#This Row],[SER_ IN]]</f>
        <v>0</v>
      </c>
    </row>
    <row r="336" spans="1:42" ht="18.75" x14ac:dyDescent="0.25">
      <c r="A336" s="2">
        <v>47818</v>
      </c>
      <c r="B336" s="41"/>
      <c r="C336" s="41"/>
      <c r="D336" s="41"/>
      <c r="E336" s="41"/>
      <c r="F336" s="41"/>
      <c r="G336" s="39"/>
      <c r="H336" s="41"/>
      <c r="I336" s="39"/>
      <c r="J336" s="39"/>
      <c r="K336" s="28">
        <f>TABL12345[[#This Row],[خط (T/B  TOT) SAR]]+TABL12345[[#This Row],[خط (S/S  TOT) SAR2]]</f>
        <v>0</v>
      </c>
      <c r="L336" s="41"/>
      <c r="M336" s="42"/>
      <c r="N336" s="42"/>
      <c r="O336" s="39"/>
      <c r="P336" s="9">
        <f>TABL12345[[#This Row],[خط (S/S  TOT) SAR2]]-TABL12345[[#This Row],[(S/S TOT) AJD]]</f>
        <v>0</v>
      </c>
      <c r="Q336" s="39"/>
      <c r="R336" s="9">
        <f>TABL12345[[#This Row],[خط (T/B  TOT) SAR]]-TABL12345[[#This Row],[(T/B TOT) AJD]]</f>
        <v>0</v>
      </c>
      <c r="S336" s="9">
        <f>TABL12345[[#This Row],[الفرق بين بداية ونهاية خط  S/S]]+TABL12345[[#This Row],[الفرق بين بداية ونهاية خط  T/B]]</f>
        <v>0</v>
      </c>
      <c r="T336" s="9">
        <f t="shared" si="20"/>
        <v>0</v>
      </c>
      <c r="U336" s="41"/>
      <c r="V336" s="41"/>
      <c r="W336" s="9">
        <f t="shared" si="21"/>
        <v>0</v>
      </c>
      <c r="X336" s="9">
        <f t="shared" si="22"/>
        <v>0</v>
      </c>
      <c r="Y336" s="41"/>
      <c r="Z336" s="43"/>
      <c r="AA336" s="3">
        <f>TABL12345[[#This Row],[(RESV. STORGE) AJD]]/10</f>
        <v>0</v>
      </c>
      <c r="AB336" s="43">
        <f t="shared" si="23"/>
        <v>0</v>
      </c>
      <c r="AC336" s="5"/>
      <c r="AD336" s="39">
        <f>(TABL12345[[#This Row],[( S/S+T/B) AJD]]*1000)-((TABL12345[[#This Row],[(STORGE DIFF.) AJD]]*1000)+TABL12345[[#This Row],[البخر  AJD]]+(TABL12345[[#This Row],[(A/B + A/S) AJD]]*1000))</f>
        <v>0</v>
      </c>
      <c r="AE336" s="41"/>
      <c r="AF336" s="43"/>
      <c r="AG336" s="43"/>
      <c r="AH336" s="6">
        <f>TABL12345[[#This Row],[ (RESV. STORGE) BER]]/10</f>
        <v>0</v>
      </c>
      <c r="AI336" s="41"/>
      <c r="AJ336" s="41">
        <f>TABL12345[[#This Row],[(A/B TOT) AJD]]-TABL12345[[#This Row],[BER_ IN]]</f>
        <v>0</v>
      </c>
      <c r="AK336" s="43"/>
      <c r="AL336" s="43"/>
      <c r="AM336" s="32"/>
      <c r="AN336" s="32">
        <f>TABL12345[[#This Row],[ (RESV. STORGE) SER]]/10</f>
        <v>0</v>
      </c>
      <c r="AO336" s="68"/>
      <c r="AP336" s="68">
        <f>TABL12345[[#This Row],[(A/S TOT) AJD]]-TABL12345[[#This Row],[SER_ IN]]</f>
        <v>0</v>
      </c>
    </row>
    <row r="337" spans="1:42" ht="18.75" x14ac:dyDescent="0.25">
      <c r="A337" s="2">
        <v>47819</v>
      </c>
      <c r="B337" s="44"/>
      <c r="C337" s="44"/>
      <c r="D337" s="44"/>
      <c r="E337" s="44"/>
      <c r="F337" s="44"/>
      <c r="G337" s="40"/>
      <c r="H337" s="44"/>
      <c r="I337" s="40"/>
      <c r="J337" s="44"/>
      <c r="K337" s="28">
        <f>TABL12345[[#This Row],[خط (T/B  TOT) SAR]]+TABL12345[[#This Row],[خط (S/S  TOT) SAR2]]</f>
        <v>0</v>
      </c>
      <c r="L337" s="45"/>
      <c r="M337" s="46"/>
      <c r="N337" s="46"/>
      <c r="O337" s="40"/>
      <c r="P337" s="9">
        <f>TABL12345[[#This Row],[خط (S/S  TOT) SAR2]]-TABL12345[[#This Row],[(S/S TOT) AJD]]</f>
        <v>0</v>
      </c>
      <c r="Q337" s="40"/>
      <c r="R337" s="9">
        <f>TABL12345[[#This Row],[خط (T/B  TOT) SAR]]-TABL12345[[#This Row],[(T/B TOT) AJD]]</f>
        <v>0</v>
      </c>
      <c r="S337" s="9">
        <f>TABL12345[[#This Row],[الفرق بين بداية ونهاية خط  S/S]]+TABL12345[[#This Row],[الفرق بين بداية ونهاية خط  T/B]]</f>
        <v>0</v>
      </c>
      <c r="T337" s="9">
        <f t="shared" si="20"/>
        <v>0</v>
      </c>
      <c r="U337" s="44"/>
      <c r="V337" s="44"/>
      <c r="W337" s="9">
        <f t="shared" si="21"/>
        <v>0</v>
      </c>
      <c r="X337" s="9">
        <f t="shared" si="22"/>
        <v>0</v>
      </c>
      <c r="Y337" s="44"/>
      <c r="Z337" s="45"/>
      <c r="AA337" s="3">
        <f>TABL12345[[#This Row],[(RESV. STORGE) AJD]]/10</f>
        <v>0</v>
      </c>
      <c r="AB337" s="45">
        <f t="shared" si="23"/>
        <v>0</v>
      </c>
      <c r="AC337" s="5"/>
      <c r="AD337" s="40">
        <f>(TABL12345[[#This Row],[( S/S+T/B) AJD]]*1000)-((TABL12345[[#This Row],[(STORGE DIFF.) AJD]]*1000)+TABL12345[[#This Row],[البخر  AJD]]+(TABL12345[[#This Row],[(A/B + A/S) AJD]]*1000))</f>
        <v>0</v>
      </c>
      <c r="AE337" s="44"/>
      <c r="AF337" s="45"/>
      <c r="AG337" s="45"/>
      <c r="AH337" s="6">
        <f>TABL12345[[#This Row],[ (RESV. STORGE) BER]]/10</f>
        <v>0</v>
      </c>
      <c r="AI337" s="44"/>
      <c r="AJ337" s="44">
        <f>TABL12345[[#This Row],[(A/B TOT) AJD]]-TABL12345[[#This Row],[BER_ IN]]</f>
        <v>0</v>
      </c>
      <c r="AK337" s="45"/>
      <c r="AL337" s="45"/>
      <c r="AM337" s="32"/>
      <c r="AN337" s="32">
        <f>TABL12345[[#This Row],[ (RESV. STORGE) SER]]/10</f>
        <v>0</v>
      </c>
      <c r="AO337" s="68"/>
      <c r="AP337" s="68">
        <f>TABL12345[[#This Row],[(A/S TOT) AJD]]-TABL12345[[#This Row],[SER_ IN]]</f>
        <v>0</v>
      </c>
    </row>
    <row r="338" spans="1:42" ht="18.75" x14ac:dyDescent="0.25">
      <c r="A338" s="2">
        <v>47820</v>
      </c>
      <c r="B338" s="41"/>
      <c r="C338" s="41"/>
      <c r="D338" s="41"/>
      <c r="E338" s="41"/>
      <c r="F338" s="41"/>
      <c r="G338" s="39"/>
      <c r="H338" s="41"/>
      <c r="I338" s="39"/>
      <c r="J338" s="39"/>
      <c r="K338" s="28">
        <f>TABL12345[[#This Row],[خط (T/B  TOT) SAR]]+TABL12345[[#This Row],[خط (S/S  TOT) SAR2]]</f>
        <v>0</v>
      </c>
      <c r="L338" s="41"/>
      <c r="M338" s="42"/>
      <c r="N338" s="42"/>
      <c r="O338" s="39"/>
      <c r="P338" s="9">
        <f>TABL12345[[#This Row],[خط (S/S  TOT) SAR2]]-TABL12345[[#This Row],[(S/S TOT) AJD]]</f>
        <v>0</v>
      </c>
      <c r="Q338" s="39"/>
      <c r="R338" s="9">
        <f>TABL12345[[#This Row],[خط (T/B  TOT) SAR]]-TABL12345[[#This Row],[(T/B TOT) AJD]]</f>
        <v>0</v>
      </c>
      <c r="S338" s="9">
        <f>TABL12345[[#This Row],[الفرق بين بداية ونهاية خط  S/S]]+TABL12345[[#This Row],[الفرق بين بداية ونهاية خط  T/B]]</f>
        <v>0</v>
      </c>
      <c r="T338" s="9">
        <f t="shared" si="20"/>
        <v>0</v>
      </c>
      <c r="U338" s="41"/>
      <c r="V338" s="41"/>
      <c r="W338" s="9">
        <f t="shared" si="21"/>
        <v>0</v>
      </c>
      <c r="X338" s="9">
        <f t="shared" si="22"/>
        <v>0</v>
      </c>
      <c r="Y338" s="41"/>
      <c r="Z338" s="43"/>
      <c r="AA338" s="3">
        <f>TABL12345[[#This Row],[(RESV. STORGE) AJD]]/10</f>
        <v>0</v>
      </c>
      <c r="AB338" s="43">
        <f t="shared" si="23"/>
        <v>0</v>
      </c>
      <c r="AC338" s="5"/>
      <c r="AD338" s="39">
        <f>(TABL12345[[#This Row],[( S/S+T/B) AJD]]*1000)-((TABL12345[[#This Row],[(STORGE DIFF.) AJD]]*1000)+TABL12345[[#This Row],[البخر  AJD]]+(TABL12345[[#This Row],[(A/B + A/S) AJD]]*1000))</f>
        <v>0</v>
      </c>
      <c r="AE338" s="41"/>
      <c r="AF338" s="43"/>
      <c r="AG338" s="43"/>
      <c r="AH338" s="6">
        <f>TABL12345[[#This Row],[ (RESV. STORGE) BER]]/10</f>
        <v>0</v>
      </c>
      <c r="AI338" s="41"/>
      <c r="AJ338" s="41">
        <f>TABL12345[[#This Row],[(A/B TOT) AJD]]-TABL12345[[#This Row],[BER_ IN]]</f>
        <v>0</v>
      </c>
      <c r="AK338" s="43"/>
      <c r="AL338" s="43"/>
      <c r="AM338" s="32"/>
      <c r="AN338" s="32">
        <f>TABL12345[[#This Row],[ (RESV. STORGE) SER]]/10</f>
        <v>0</v>
      </c>
      <c r="AO338" s="68"/>
      <c r="AP338" s="68">
        <f>TABL12345[[#This Row],[(A/S TOT) AJD]]-TABL12345[[#This Row],[SER_ IN]]</f>
        <v>0</v>
      </c>
    </row>
    <row r="339" spans="1:42" ht="18.75" x14ac:dyDescent="0.25">
      <c r="A339" s="2">
        <v>47821</v>
      </c>
      <c r="B339" s="44"/>
      <c r="C339" s="44"/>
      <c r="D339" s="44"/>
      <c r="E339" s="44"/>
      <c r="F339" s="44"/>
      <c r="G339" s="40"/>
      <c r="H339" s="44"/>
      <c r="I339" s="40"/>
      <c r="J339" s="44"/>
      <c r="K339" s="28">
        <f>TABL12345[[#This Row],[خط (T/B  TOT) SAR]]+TABL12345[[#This Row],[خط (S/S  TOT) SAR2]]</f>
        <v>0</v>
      </c>
      <c r="L339" s="45"/>
      <c r="M339" s="46"/>
      <c r="N339" s="46"/>
      <c r="O339" s="40"/>
      <c r="P339" s="9">
        <f>TABL12345[[#This Row],[خط (S/S  TOT) SAR2]]-TABL12345[[#This Row],[(S/S TOT) AJD]]</f>
        <v>0</v>
      </c>
      <c r="Q339" s="40"/>
      <c r="R339" s="9">
        <f>TABL12345[[#This Row],[خط (T/B  TOT) SAR]]-TABL12345[[#This Row],[(T/B TOT) AJD]]</f>
        <v>0</v>
      </c>
      <c r="S339" s="9">
        <f>TABL12345[[#This Row],[الفرق بين بداية ونهاية خط  S/S]]+TABL12345[[#This Row],[الفرق بين بداية ونهاية خط  T/B]]</f>
        <v>0</v>
      </c>
      <c r="T339" s="9">
        <f t="shared" si="20"/>
        <v>0</v>
      </c>
      <c r="U339" s="44"/>
      <c r="V339" s="47"/>
      <c r="W339" s="9">
        <f t="shared" si="21"/>
        <v>0</v>
      </c>
      <c r="X339" s="9">
        <f t="shared" si="22"/>
        <v>0</v>
      </c>
      <c r="Y339" s="44"/>
      <c r="Z339" s="45"/>
      <c r="AA339" s="3">
        <f>TABL12345[[#This Row],[(RESV. STORGE) AJD]]/10</f>
        <v>0</v>
      </c>
      <c r="AB339" s="45">
        <f t="shared" si="23"/>
        <v>0</v>
      </c>
      <c r="AC339" s="5"/>
      <c r="AD339" s="40">
        <f>(TABL12345[[#This Row],[( S/S+T/B) AJD]]*1000)-((TABL12345[[#This Row],[(STORGE DIFF.) AJD]]*1000)+TABL12345[[#This Row],[البخر  AJD]]+(TABL12345[[#This Row],[(A/B + A/S) AJD]]*1000))</f>
        <v>0</v>
      </c>
      <c r="AE339" s="44"/>
      <c r="AF339" s="45"/>
      <c r="AG339" s="45"/>
      <c r="AH339" s="6">
        <f>TABL12345[[#This Row],[ (RESV. STORGE) BER]]/10</f>
        <v>0</v>
      </c>
      <c r="AI339" s="44"/>
      <c r="AJ339" s="44">
        <f>TABL12345[[#This Row],[(A/B TOT) AJD]]-TABL12345[[#This Row],[BER_ IN]]</f>
        <v>0</v>
      </c>
      <c r="AK339" s="45"/>
      <c r="AL339" s="45"/>
      <c r="AM339" s="32"/>
      <c r="AN339" s="32">
        <f>TABL12345[[#This Row],[ (RESV. STORGE) SER]]/10</f>
        <v>0</v>
      </c>
      <c r="AO339" s="68"/>
      <c r="AP339" s="68">
        <f>TABL12345[[#This Row],[(A/S TOT) AJD]]-TABL12345[[#This Row],[SER_ IN]]</f>
        <v>0</v>
      </c>
    </row>
    <row r="340" spans="1:42" ht="18.75" x14ac:dyDescent="0.25">
      <c r="A340" s="2">
        <v>47822</v>
      </c>
      <c r="B340" s="41"/>
      <c r="C340" s="41"/>
      <c r="D340" s="41"/>
      <c r="E340" s="41"/>
      <c r="F340" s="41"/>
      <c r="G340" s="39"/>
      <c r="H340" s="41"/>
      <c r="I340" s="39"/>
      <c r="J340" s="39"/>
      <c r="K340" s="28">
        <f>TABL12345[[#This Row],[خط (T/B  TOT) SAR]]+TABL12345[[#This Row],[خط (S/S  TOT) SAR2]]</f>
        <v>0</v>
      </c>
      <c r="L340" s="41"/>
      <c r="M340" s="42"/>
      <c r="N340" s="42"/>
      <c r="O340" s="39"/>
      <c r="P340" s="9">
        <f>TABL12345[[#This Row],[خط (S/S  TOT) SAR2]]-TABL12345[[#This Row],[(S/S TOT) AJD]]</f>
        <v>0</v>
      </c>
      <c r="Q340" s="39"/>
      <c r="R340" s="9">
        <f>TABL12345[[#This Row],[خط (T/B  TOT) SAR]]-TABL12345[[#This Row],[(T/B TOT) AJD]]</f>
        <v>0</v>
      </c>
      <c r="S340" s="9">
        <f>TABL12345[[#This Row],[الفرق بين بداية ونهاية خط  S/S]]+TABL12345[[#This Row],[الفرق بين بداية ونهاية خط  T/B]]</f>
        <v>0</v>
      </c>
      <c r="T340" s="9">
        <f t="shared" si="20"/>
        <v>0</v>
      </c>
      <c r="U340" s="41"/>
      <c r="V340" s="41"/>
      <c r="W340" s="9">
        <f t="shared" si="21"/>
        <v>0</v>
      </c>
      <c r="X340" s="9">
        <f t="shared" si="22"/>
        <v>0</v>
      </c>
      <c r="Y340" s="41"/>
      <c r="Z340" s="43"/>
      <c r="AA340" s="3">
        <f>TABL12345[[#This Row],[(RESV. STORGE) AJD]]/10</f>
        <v>0</v>
      </c>
      <c r="AB340" s="43">
        <f t="shared" si="23"/>
        <v>0</v>
      </c>
      <c r="AC340" s="5"/>
      <c r="AD340" s="39">
        <f>(TABL12345[[#This Row],[( S/S+T/B) AJD]]*1000)-((TABL12345[[#This Row],[(STORGE DIFF.) AJD]]*1000)+TABL12345[[#This Row],[البخر  AJD]]+(TABL12345[[#This Row],[(A/B + A/S) AJD]]*1000))</f>
        <v>0</v>
      </c>
      <c r="AE340" s="41"/>
      <c r="AF340" s="43"/>
      <c r="AG340" s="43"/>
      <c r="AH340" s="6">
        <f>TABL12345[[#This Row],[ (RESV. STORGE) BER]]/10</f>
        <v>0</v>
      </c>
      <c r="AI340" s="41"/>
      <c r="AJ340" s="41">
        <f>TABL12345[[#This Row],[(A/B TOT) AJD]]-TABL12345[[#This Row],[BER_ IN]]</f>
        <v>0</v>
      </c>
      <c r="AK340" s="43"/>
      <c r="AL340" s="43"/>
      <c r="AM340" s="32"/>
      <c r="AN340" s="32">
        <f>TABL12345[[#This Row],[ (RESV. STORGE) SER]]/10</f>
        <v>0</v>
      </c>
      <c r="AO340" s="68"/>
      <c r="AP340" s="68">
        <f>TABL12345[[#This Row],[(A/S TOT) AJD]]-TABL12345[[#This Row],[SER_ IN]]</f>
        <v>0</v>
      </c>
    </row>
    <row r="341" spans="1:42" ht="18.75" x14ac:dyDescent="0.25">
      <c r="A341" s="2">
        <v>47823</v>
      </c>
      <c r="B341" s="44"/>
      <c r="C341" s="44"/>
      <c r="D341" s="44"/>
      <c r="E341" s="44"/>
      <c r="F341" s="44"/>
      <c r="G341" s="40"/>
      <c r="H341" s="44"/>
      <c r="I341" s="40"/>
      <c r="J341" s="44"/>
      <c r="K341" s="28">
        <f>TABL12345[[#This Row],[خط (T/B  TOT) SAR]]+TABL12345[[#This Row],[خط (S/S  TOT) SAR2]]</f>
        <v>0</v>
      </c>
      <c r="L341" s="45"/>
      <c r="M341" s="46"/>
      <c r="N341" s="46"/>
      <c r="O341" s="40"/>
      <c r="P341" s="9">
        <f>TABL12345[[#This Row],[خط (S/S  TOT) SAR2]]-TABL12345[[#This Row],[(S/S TOT) AJD]]</f>
        <v>0</v>
      </c>
      <c r="Q341" s="40"/>
      <c r="R341" s="9">
        <f>TABL12345[[#This Row],[خط (T/B  TOT) SAR]]-TABL12345[[#This Row],[(T/B TOT) AJD]]</f>
        <v>0</v>
      </c>
      <c r="S341" s="9">
        <f>TABL12345[[#This Row],[الفرق بين بداية ونهاية خط  S/S]]+TABL12345[[#This Row],[الفرق بين بداية ونهاية خط  T/B]]</f>
        <v>0</v>
      </c>
      <c r="T341" s="9">
        <f t="shared" si="20"/>
        <v>0</v>
      </c>
      <c r="U341" s="44"/>
      <c r="V341" s="44"/>
      <c r="W341" s="9">
        <f t="shared" si="21"/>
        <v>0</v>
      </c>
      <c r="X341" s="9">
        <f t="shared" si="22"/>
        <v>0</v>
      </c>
      <c r="Y341" s="44"/>
      <c r="Z341" s="45"/>
      <c r="AA341" s="3">
        <f>TABL12345[[#This Row],[(RESV. STORGE) AJD]]/10</f>
        <v>0</v>
      </c>
      <c r="AB341" s="45">
        <f t="shared" si="23"/>
        <v>0</v>
      </c>
      <c r="AC341" s="5"/>
      <c r="AD341" s="40">
        <f>(TABL12345[[#This Row],[( S/S+T/B) AJD]]*1000)-((TABL12345[[#This Row],[(STORGE DIFF.) AJD]]*1000)+TABL12345[[#This Row],[البخر  AJD]]+(TABL12345[[#This Row],[(A/B + A/S) AJD]]*1000))</f>
        <v>0</v>
      </c>
      <c r="AE341" s="44"/>
      <c r="AF341" s="45"/>
      <c r="AG341" s="45"/>
      <c r="AH341" s="6">
        <f>TABL12345[[#This Row],[ (RESV. STORGE) BER]]/10</f>
        <v>0</v>
      </c>
      <c r="AI341" s="44"/>
      <c r="AJ341" s="44">
        <f>TABL12345[[#This Row],[(A/B TOT) AJD]]-TABL12345[[#This Row],[BER_ IN]]</f>
        <v>0</v>
      </c>
      <c r="AK341" s="45"/>
      <c r="AL341" s="45"/>
      <c r="AM341" s="32"/>
      <c r="AN341" s="32">
        <f>TABL12345[[#This Row],[ (RESV. STORGE) SER]]/10</f>
        <v>0</v>
      </c>
      <c r="AO341" s="68"/>
      <c r="AP341" s="68">
        <f>TABL12345[[#This Row],[(A/S TOT) AJD]]-TABL12345[[#This Row],[SER_ IN]]</f>
        <v>0</v>
      </c>
    </row>
    <row r="342" spans="1:42" ht="18.75" x14ac:dyDescent="0.25">
      <c r="A342" s="2">
        <v>47824</v>
      </c>
      <c r="B342" s="41"/>
      <c r="C342" s="41"/>
      <c r="D342" s="41"/>
      <c r="E342" s="41"/>
      <c r="F342" s="41"/>
      <c r="G342" s="39"/>
      <c r="H342" s="41"/>
      <c r="I342" s="39"/>
      <c r="J342" s="39"/>
      <c r="K342" s="28">
        <f>TABL12345[[#This Row],[خط (T/B  TOT) SAR]]+TABL12345[[#This Row],[خط (S/S  TOT) SAR2]]</f>
        <v>0</v>
      </c>
      <c r="L342" s="41"/>
      <c r="M342" s="42"/>
      <c r="N342" s="42"/>
      <c r="O342" s="39"/>
      <c r="P342" s="9">
        <f>TABL12345[[#This Row],[خط (S/S  TOT) SAR2]]-TABL12345[[#This Row],[(S/S TOT) AJD]]</f>
        <v>0</v>
      </c>
      <c r="Q342" s="39"/>
      <c r="R342" s="9">
        <f>TABL12345[[#This Row],[خط (T/B  TOT) SAR]]-TABL12345[[#This Row],[(T/B TOT) AJD]]</f>
        <v>0</v>
      </c>
      <c r="S342" s="9">
        <f>TABL12345[[#This Row],[الفرق بين بداية ونهاية خط  S/S]]+TABL12345[[#This Row],[الفرق بين بداية ونهاية خط  T/B]]</f>
        <v>0</v>
      </c>
      <c r="T342" s="9">
        <f t="shared" si="20"/>
        <v>0</v>
      </c>
      <c r="U342" s="41"/>
      <c r="V342" s="41"/>
      <c r="W342" s="9">
        <f t="shared" si="21"/>
        <v>0</v>
      </c>
      <c r="X342" s="9">
        <f t="shared" si="22"/>
        <v>0</v>
      </c>
      <c r="Y342" s="41"/>
      <c r="Z342" s="43"/>
      <c r="AA342" s="3">
        <f>TABL12345[[#This Row],[(RESV. STORGE) AJD]]/10</f>
        <v>0</v>
      </c>
      <c r="AB342" s="43">
        <f t="shared" si="23"/>
        <v>0</v>
      </c>
      <c r="AC342" s="5"/>
      <c r="AD342" s="39">
        <f>(TABL12345[[#This Row],[( S/S+T/B) AJD]]*1000)-((TABL12345[[#This Row],[(STORGE DIFF.) AJD]]*1000)+TABL12345[[#This Row],[البخر  AJD]]+(TABL12345[[#This Row],[(A/B + A/S) AJD]]*1000))</f>
        <v>0</v>
      </c>
      <c r="AE342" s="41"/>
      <c r="AF342" s="43"/>
      <c r="AG342" s="43"/>
      <c r="AH342" s="6">
        <f>TABL12345[[#This Row],[ (RESV. STORGE) BER]]/10</f>
        <v>0</v>
      </c>
      <c r="AI342" s="41"/>
      <c r="AJ342" s="41">
        <f>TABL12345[[#This Row],[(A/B TOT) AJD]]-TABL12345[[#This Row],[BER_ IN]]</f>
        <v>0</v>
      </c>
      <c r="AK342" s="43"/>
      <c r="AL342" s="43"/>
      <c r="AM342" s="32"/>
      <c r="AN342" s="32">
        <f>TABL12345[[#This Row],[ (RESV. STORGE) SER]]/10</f>
        <v>0</v>
      </c>
      <c r="AO342" s="68"/>
      <c r="AP342" s="68">
        <f>TABL12345[[#This Row],[(A/S TOT) AJD]]-TABL12345[[#This Row],[SER_ IN]]</f>
        <v>0</v>
      </c>
    </row>
    <row r="343" spans="1:42" ht="18.75" x14ac:dyDescent="0.25">
      <c r="A343" s="2">
        <v>47825</v>
      </c>
      <c r="B343" s="44"/>
      <c r="C343" s="44"/>
      <c r="D343" s="44"/>
      <c r="E343" s="44"/>
      <c r="F343" s="44"/>
      <c r="G343" s="40"/>
      <c r="H343" s="44"/>
      <c r="I343" s="40"/>
      <c r="J343" s="44"/>
      <c r="K343" s="28">
        <f>TABL12345[[#This Row],[خط (T/B  TOT) SAR]]+TABL12345[[#This Row],[خط (S/S  TOT) SAR2]]</f>
        <v>0</v>
      </c>
      <c r="L343" s="45"/>
      <c r="M343" s="46"/>
      <c r="N343" s="46"/>
      <c r="O343" s="40"/>
      <c r="P343" s="9">
        <f>TABL12345[[#This Row],[خط (S/S  TOT) SAR2]]-TABL12345[[#This Row],[(S/S TOT) AJD]]</f>
        <v>0</v>
      </c>
      <c r="Q343" s="40"/>
      <c r="R343" s="9">
        <f>TABL12345[[#This Row],[خط (T/B  TOT) SAR]]-TABL12345[[#This Row],[(T/B TOT) AJD]]</f>
        <v>0</v>
      </c>
      <c r="S343" s="9">
        <f>TABL12345[[#This Row],[الفرق بين بداية ونهاية خط  S/S]]+TABL12345[[#This Row],[الفرق بين بداية ونهاية خط  T/B]]</f>
        <v>0</v>
      </c>
      <c r="T343" s="9">
        <f t="shared" si="20"/>
        <v>0</v>
      </c>
      <c r="U343" s="44"/>
      <c r="V343" s="44"/>
      <c r="W343" s="9">
        <f t="shared" si="21"/>
        <v>0</v>
      </c>
      <c r="X343" s="9">
        <f t="shared" si="22"/>
        <v>0</v>
      </c>
      <c r="Y343" s="44"/>
      <c r="Z343" s="45"/>
      <c r="AA343" s="3">
        <f>TABL12345[[#This Row],[(RESV. STORGE) AJD]]/10</f>
        <v>0</v>
      </c>
      <c r="AB343" s="45">
        <f t="shared" si="23"/>
        <v>0</v>
      </c>
      <c r="AC343" s="5"/>
      <c r="AD343" s="40">
        <f>(TABL12345[[#This Row],[( S/S+T/B) AJD]]*1000)-((TABL12345[[#This Row],[(STORGE DIFF.) AJD]]*1000)+TABL12345[[#This Row],[البخر  AJD]]+(TABL12345[[#This Row],[(A/B + A/S) AJD]]*1000))</f>
        <v>0</v>
      </c>
      <c r="AE343" s="44"/>
      <c r="AF343" s="45"/>
      <c r="AG343" s="45"/>
      <c r="AH343" s="6">
        <f>TABL12345[[#This Row],[ (RESV. STORGE) BER]]/10</f>
        <v>0</v>
      </c>
      <c r="AI343" s="44"/>
      <c r="AJ343" s="44">
        <f>TABL12345[[#This Row],[(A/B TOT) AJD]]-TABL12345[[#This Row],[BER_ IN]]</f>
        <v>0</v>
      </c>
      <c r="AK343" s="45"/>
      <c r="AL343" s="45"/>
      <c r="AM343" s="32"/>
      <c r="AN343" s="32">
        <f>TABL12345[[#This Row],[ (RESV. STORGE) SER]]/10</f>
        <v>0</v>
      </c>
      <c r="AO343" s="68"/>
      <c r="AP343" s="68">
        <f>TABL12345[[#This Row],[(A/S TOT) AJD]]-TABL12345[[#This Row],[SER_ IN]]</f>
        <v>0</v>
      </c>
    </row>
    <row r="344" spans="1:42" ht="18.75" x14ac:dyDescent="0.25">
      <c r="A344" s="2">
        <v>47826</v>
      </c>
      <c r="B344" s="41"/>
      <c r="C344" s="41"/>
      <c r="D344" s="41"/>
      <c r="E344" s="41"/>
      <c r="F344" s="41"/>
      <c r="G344" s="39"/>
      <c r="H344" s="41"/>
      <c r="I344" s="39"/>
      <c r="J344" s="39"/>
      <c r="K344" s="28">
        <f>TABL12345[[#This Row],[خط (T/B  TOT) SAR]]+TABL12345[[#This Row],[خط (S/S  TOT) SAR2]]</f>
        <v>0</v>
      </c>
      <c r="L344" s="41"/>
      <c r="M344" s="42"/>
      <c r="N344" s="42"/>
      <c r="O344" s="39"/>
      <c r="P344" s="9">
        <f>TABL12345[[#This Row],[خط (S/S  TOT) SAR2]]-TABL12345[[#This Row],[(S/S TOT) AJD]]</f>
        <v>0</v>
      </c>
      <c r="Q344" s="39"/>
      <c r="R344" s="9">
        <f>TABL12345[[#This Row],[خط (T/B  TOT) SAR]]-TABL12345[[#This Row],[(T/B TOT) AJD]]</f>
        <v>0</v>
      </c>
      <c r="S344" s="9">
        <f>TABL12345[[#This Row],[الفرق بين بداية ونهاية خط  S/S]]+TABL12345[[#This Row],[الفرق بين بداية ونهاية خط  T/B]]</f>
        <v>0</v>
      </c>
      <c r="T344" s="9">
        <f t="shared" si="20"/>
        <v>0</v>
      </c>
      <c r="U344" s="41"/>
      <c r="V344" s="41"/>
      <c r="W344" s="9">
        <f t="shared" si="21"/>
        <v>0</v>
      </c>
      <c r="X344" s="9">
        <f t="shared" si="22"/>
        <v>0</v>
      </c>
      <c r="Y344" s="41"/>
      <c r="Z344" s="43"/>
      <c r="AA344" s="3">
        <f>TABL12345[[#This Row],[(RESV. STORGE) AJD]]/10</f>
        <v>0</v>
      </c>
      <c r="AB344" s="43">
        <f t="shared" si="23"/>
        <v>0</v>
      </c>
      <c r="AC344" s="5"/>
      <c r="AD344" s="39">
        <f>(TABL12345[[#This Row],[( S/S+T/B) AJD]]*1000)-((TABL12345[[#This Row],[(STORGE DIFF.) AJD]]*1000)+TABL12345[[#This Row],[البخر  AJD]]+(TABL12345[[#This Row],[(A/B + A/S) AJD]]*1000))</f>
        <v>0</v>
      </c>
      <c r="AE344" s="41"/>
      <c r="AF344" s="43"/>
      <c r="AG344" s="43"/>
      <c r="AH344" s="6">
        <f>TABL12345[[#This Row],[ (RESV. STORGE) BER]]/10</f>
        <v>0</v>
      </c>
      <c r="AI344" s="41"/>
      <c r="AJ344" s="41">
        <f>TABL12345[[#This Row],[(A/B TOT) AJD]]-TABL12345[[#This Row],[BER_ IN]]</f>
        <v>0</v>
      </c>
      <c r="AK344" s="43"/>
      <c r="AL344" s="43"/>
      <c r="AM344" s="32"/>
      <c r="AN344" s="32">
        <f>TABL12345[[#This Row],[ (RESV. STORGE) SER]]/10</f>
        <v>0</v>
      </c>
      <c r="AO344" s="68"/>
      <c r="AP344" s="68">
        <f>TABL12345[[#This Row],[(A/S TOT) AJD]]-TABL12345[[#This Row],[SER_ IN]]</f>
        <v>0</v>
      </c>
    </row>
    <row r="345" spans="1:42" ht="18.75" x14ac:dyDescent="0.25">
      <c r="A345" s="2">
        <v>47827</v>
      </c>
      <c r="B345" s="44"/>
      <c r="C345" s="44"/>
      <c r="D345" s="44"/>
      <c r="E345" s="44"/>
      <c r="F345" s="44"/>
      <c r="G345" s="40"/>
      <c r="H345" s="44"/>
      <c r="I345" s="40"/>
      <c r="J345" s="44"/>
      <c r="K345" s="28">
        <f>TABL12345[[#This Row],[خط (T/B  TOT) SAR]]+TABL12345[[#This Row],[خط (S/S  TOT) SAR2]]</f>
        <v>0</v>
      </c>
      <c r="L345" s="45"/>
      <c r="M345" s="46"/>
      <c r="N345" s="46"/>
      <c r="O345" s="40"/>
      <c r="P345" s="9">
        <f>TABL12345[[#This Row],[خط (S/S  TOT) SAR2]]-TABL12345[[#This Row],[(S/S TOT) AJD]]</f>
        <v>0</v>
      </c>
      <c r="Q345" s="40"/>
      <c r="R345" s="9">
        <f>TABL12345[[#This Row],[خط (T/B  TOT) SAR]]-TABL12345[[#This Row],[(T/B TOT) AJD]]</f>
        <v>0</v>
      </c>
      <c r="S345" s="9">
        <f>TABL12345[[#This Row],[الفرق بين بداية ونهاية خط  S/S]]+TABL12345[[#This Row],[الفرق بين بداية ونهاية خط  T/B]]</f>
        <v>0</v>
      </c>
      <c r="T345" s="9">
        <f t="shared" si="20"/>
        <v>0</v>
      </c>
      <c r="U345" s="44"/>
      <c r="V345" s="44"/>
      <c r="W345" s="9">
        <f t="shared" si="21"/>
        <v>0</v>
      </c>
      <c r="X345" s="9">
        <f t="shared" si="22"/>
        <v>0</v>
      </c>
      <c r="Y345" s="44"/>
      <c r="Z345" s="45"/>
      <c r="AA345" s="3">
        <f>TABL12345[[#This Row],[(RESV. STORGE) AJD]]/10</f>
        <v>0</v>
      </c>
      <c r="AB345" s="45">
        <f t="shared" si="23"/>
        <v>0</v>
      </c>
      <c r="AC345" s="5"/>
      <c r="AD345" s="40">
        <f>(TABL12345[[#This Row],[( S/S+T/B) AJD]]*1000)-((TABL12345[[#This Row],[(STORGE DIFF.) AJD]]*1000)+TABL12345[[#This Row],[البخر  AJD]]+(TABL12345[[#This Row],[(A/B + A/S) AJD]]*1000))</f>
        <v>0</v>
      </c>
      <c r="AE345" s="44"/>
      <c r="AF345" s="45"/>
      <c r="AG345" s="45"/>
      <c r="AH345" s="6">
        <f>TABL12345[[#This Row],[ (RESV. STORGE) BER]]/10</f>
        <v>0</v>
      </c>
      <c r="AI345" s="44"/>
      <c r="AJ345" s="44">
        <f>TABL12345[[#This Row],[(A/B TOT) AJD]]-TABL12345[[#This Row],[BER_ IN]]</f>
        <v>0</v>
      </c>
      <c r="AK345" s="45"/>
      <c r="AL345" s="45"/>
      <c r="AM345" s="32"/>
      <c r="AN345" s="32">
        <f>TABL12345[[#This Row],[ (RESV. STORGE) SER]]/10</f>
        <v>0</v>
      </c>
      <c r="AO345" s="68"/>
      <c r="AP345" s="68">
        <f>TABL12345[[#This Row],[(A/S TOT) AJD]]-TABL12345[[#This Row],[SER_ IN]]</f>
        <v>0</v>
      </c>
    </row>
    <row r="346" spans="1:42" ht="18.75" x14ac:dyDescent="0.25">
      <c r="A346" s="2">
        <v>47828</v>
      </c>
      <c r="B346" s="41"/>
      <c r="C346" s="41"/>
      <c r="D346" s="41"/>
      <c r="E346" s="41"/>
      <c r="F346" s="41"/>
      <c r="G346" s="39"/>
      <c r="H346" s="41"/>
      <c r="I346" s="39"/>
      <c r="J346" s="39"/>
      <c r="K346" s="28">
        <f>TABL12345[[#This Row],[خط (T/B  TOT) SAR]]+TABL12345[[#This Row],[خط (S/S  TOT) SAR2]]</f>
        <v>0</v>
      </c>
      <c r="L346" s="41"/>
      <c r="M346" s="42"/>
      <c r="N346" s="42"/>
      <c r="O346" s="39"/>
      <c r="P346" s="9">
        <f>TABL12345[[#This Row],[خط (S/S  TOT) SAR2]]-TABL12345[[#This Row],[(S/S TOT) AJD]]</f>
        <v>0</v>
      </c>
      <c r="Q346" s="39"/>
      <c r="R346" s="9">
        <f>TABL12345[[#This Row],[خط (T/B  TOT) SAR]]-TABL12345[[#This Row],[(T/B TOT) AJD]]</f>
        <v>0</v>
      </c>
      <c r="S346" s="9">
        <f>TABL12345[[#This Row],[الفرق بين بداية ونهاية خط  S/S]]+TABL12345[[#This Row],[الفرق بين بداية ونهاية خط  T/B]]</f>
        <v>0</v>
      </c>
      <c r="T346" s="9">
        <f t="shared" si="20"/>
        <v>0</v>
      </c>
      <c r="U346" s="41"/>
      <c r="V346" s="41"/>
      <c r="W346" s="9">
        <f t="shared" si="21"/>
        <v>0</v>
      </c>
      <c r="X346" s="9">
        <f t="shared" si="22"/>
        <v>0</v>
      </c>
      <c r="Y346" s="41"/>
      <c r="Z346" s="43"/>
      <c r="AA346" s="3">
        <f>TABL12345[[#This Row],[(RESV. STORGE) AJD]]/10</f>
        <v>0</v>
      </c>
      <c r="AB346" s="43">
        <f t="shared" si="23"/>
        <v>0</v>
      </c>
      <c r="AC346" s="5"/>
      <c r="AD346" s="39">
        <f>(TABL12345[[#This Row],[( S/S+T/B) AJD]]*1000)-((TABL12345[[#This Row],[(STORGE DIFF.) AJD]]*1000)+TABL12345[[#This Row],[البخر  AJD]]+(TABL12345[[#This Row],[(A/B + A/S) AJD]]*1000))</f>
        <v>0</v>
      </c>
      <c r="AE346" s="41"/>
      <c r="AF346" s="43"/>
      <c r="AG346" s="48"/>
      <c r="AH346" s="6">
        <f>TABL12345[[#This Row],[ (RESV. STORGE) BER]]/10</f>
        <v>0</v>
      </c>
      <c r="AI346" s="41"/>
      <c r="AJ346" s="49">
        <f>TABL12345[[#This Row],[(A/B TOT) AJD]]-TABL12345[[#This Row],[BER_ IN]]</f>
        <v>0</v>
      </c>
      <c r="AK346" s="43"/>
      <c r="AL346" s="43"/>
      <c r="AM346" s="32"/>
      <c r="AN346" s="32">
        <f>TABL12345[[#This Row],[ (RESV. STORGE) SER]]/10</f>
        <v>0</v>
      </c>
      <c r="AO346" s="68"/>
      <c r="AP346" s="68">
        <f>TABL12345[[#This Row],[(A/S TOT) AJD]]-TABL12345[[#This Row],[SER_ IN]]</f>
        <v>0</v>
      </c>
    </row>
    <row r="347" spans="1:42" ht="18.75" x14ac:dyDescent="0.25">
      <c r="A347" s="2">
        <v>47829</v>
      </c>
      <c r="B347" s="44"/>
      <c r="C347" s="44"/>
      <c r="D347" s="44"/>
      <c r="E347" s="44"/>
      <c r="F347" s="44"/>
      <c r="G347" s="40"/>
      <c r="H347" s="44"/>
      <c r="I347" s="40"/>
      <c r="J347" s="44"/>
      <c r="K347" s="28">
        <f>TABL12345[[#This Row],[خط (T/B  TOT) SAR]]+TABL12345[[#This Row],[خط (S/S  TOT) SAR2]]</f>
        <v>0</v>
      </c>
      <c r="L347" s="45"/>
      <c r="M347" s="46"/>
      <c r="N347" s="46"/>
      <c r="O347" s="40"/>
      <c r="P347" s="9">
        <f>TABL12345[[#This Row],[خط (S/S  TOT) SAR2]]-TABL12345[[#This Row],[(S/S TOT) AJD]]</f>
        <v>0</v>
      </c>
      <c r="Q347" s="40"/>
      <c r="R347" s="9">
        <f>TABL12345[[#This Row],[خط (T/B  TOT) SAR]]-TABL12345[[#This Row],[(T/B TOT) AJD]]</f>
        <v>0</v>
      </c>
      <c r="S347" s="9">
        <f>TABL12345[[#This Row],[الفرق بين بداية ونهاية خط  S/S]]+TABL12345[[#This Row],[الفرق بين بداية ونهاية خط  T/B]]</f>
        <v>0</v>
      </c>
      <c r="T347" s="9">
        <f t="shared" si="20"/>
        <v>0</v>
      </c>
      <c r="U347" s="44"/>
      <c r="V347" s="44"/>
      <c r="W347" s="9">
        <f t="shared" si="21"/>
        <v>0</v>
      </c>
      <c r="X347" s="9">
        <f t="shared" si="22"/>
        <v>0</v>
      </c>
      <c r="Y347" s="44"/>
      <c r="Z347" s="45"/>
      <c r="AA347" s="3">
        <f>TABL12345[[#This Row],[(RESV. STORGE) AJD]]/10</f>
        <v>0</v>
      </c>
      <c r="AB347" s="45">
        <f t="shared" si="23"/>
        <v>0</v>
      </c>
      <c r="AC347" s="5"/>
      <c r="AD347" s="40">
        <f>(TABL12345[[#This Row],[( S/S+T/B) AJD]]*1000)-((TABL12345[[#This Row],[(STORGE DIFF.) AJD]]*1000)+TABL12345[[#This Row],[البخر  AJD]]+(TABL12345[[#This Row],[(A/B + A/S) AJD]]*1000))</f>
        <v>0</v>
      </c>
      <c r="AE347" s="44"/>
      <c r="AF347" s="45"/>
      <c r="AG347" s="45"/>
      <c r="AH347" s="6">
        <f>TABL12345[[#This Row],[ (RESV. STORGE) BER]]/10</f>
        <v>0</v>
      </c>
      <c r="AI347" s="44"/>
      <c r="AJ347" s="44">
        <f>TABL12345[[#This Row],[(A/B TOT) AJD]]-TABL12345[[#This Row],[BER_ IN]]</f>
        <v>0</v>
      </c>
      <c r="AK347" s="45"/>
      <c r="AL347" s="45"/>
      <c r="AM347" s="32"/>
      <c r="AN347" s="32">
        <f>TABL12345[[#This Row],[ (RESV. STORGE) SER]]/10</f>
        <v>0</v>
      </c>
      <c r="AO347" s="68"/>
      <c r="AP347" s="68">
        <f>TABL12345[[#This Row],[(A/S TOT) AJD]]-TABL12345[[#This Row],[SER_ IN]]</f>
        <v>0</v>
      </c>
    </row>
    <row r="348" spans="1:42" ht="18.75" x14ac:dyDescent="0.25">
      <c r="A348" s="2">
        <v>47830</v>
      </c>
      <c r="B348" s="41"/>
      <c r="C348" s="41"/>
      <c r="D348" s="41"/>
      <c r="E348" s="41"/>
      <c r="F348" s="41"/>
      <c r="G348" s="39"/>
      <c r="H348" s="41"/>
      <c r="I348" s="39"/>
      <c r="J348" s="39"/>
      <c r="K348" s="28">
        <f>TABL12345[[#This Row],[خط (T/B  TOT) SAR]]+TABL12345[[#This Row],[خط (S/S  TOT) SAR2]]</f>
        <v>0</v>
      </c>
      <c r="L348" s="41"/>
      <c r="M348" s="42"/>
      <c r="N348" s="42"/>
      <c r="O348" s="39"/>
      <c r="P348" s="9">
        <f>TABL12345[[#This Row],[خط (S/S  TOT) SAR2]]-TABL12345[[#This Row],[(S/S TOT) AJD]]</f>
        <v>0</v>
      </c>
      <c r="Q348" s="39"/>
      <c r="R348" s="9">
        <f>TABL12345[[#This Row],[خط (T/B  TOT) SAR]]-TABL12345[[#This Row],[(T/B TOT) AJD]]</f>
        <v>0</v>
      </c>
      <c r="S348" s="9">
        <f>TABL12345[[#This Row],[الفرق بين بداية ونهاية خط  S/S]]+TABL12345[[#This Row],[الفرق بين بداية ونهاية خط  T/B]]</f>
        <v>0</v>
      </c>
      <c r="T348" s="9">
        <f t="shared" si="20"/>
        <v>0</v>
      </c>
      <c r="U348" s="41"/>
      <c r="V348" s="41"/>
      <c r="W348" s="9">
        <f t="shared" si="21"/>
        <v>0</v>
      </c>
      <c r="X348" s="9">
        <f t="shared" si="22"/>
        <v>0</v>
      </c>
      <c r="Y348" s="41"/>
      <c r="Z348" s="43"/>
      <c r="AA348" s="3">
        <f>TABL12345[[#This Row],[(RESV. STORGE) AJD]]/10</f>
        <v>0</v>
      </c>
      <c r="AB348" s="43">
        <f t="shared" si="23"/>
        <v>0</v>
      </c>
      <c r="AC348" s="5"/>
      <c r="AD348" s="39">
        <f>(TABL12345[[#This Row],[( S/S+T/B) AJD]]*1000)-((TABL12345[[#This Row],[(STORGE DIFF.) AJD]]*1000)+TABL12345[[#This Row],[البخر  AJD]]+(TABL12345[[#This Row],[(A/B + A/S) AJD]]*1000))</f>
        <v>0</v>
      </c>
      <c r="AE348" s="41"/>
      <c r="AF348" s="43"/>
      <c r="AG348" s="43"/>
      <c r="AH348" s="6">
        <f>TABL12345[[#This Row],[ (RESV. STORGE) BER]]/10</f>
        <v>0</v>
      </c>
      <c r="AI348" s="41"/>
      <c r="AJ348" s="41">
        <f>TABL12345[[#This Row],[(A/B TOT) AJD]]-TABL12345[[#This Row],[BER_ IN]]</f>
        <v>0</v>
      </c>
      <c r="AK348" s="43"/>
      <c r="AL348" s="43"/>
      <c r="AM348" s="32"/>
      <c r="AN348" s="32">
        <f>TABL12345[[#This Row],[ (RESV. STORGE) SER]]/10</f>
        <v>0</v>
      </c>
      <c r="AO348" s="68"/>
      <c r="AP348" s="68">
        <f>TABL12345[[#This Row],[(A/S TOT) AJD]]-TABL12345[[#This Row],[SER_ IN]]</f>
        <v>0</v>
      </c>
    </row>
    <row r="349" spans="1:42" ht="18.75" x14ac:dyDescent="0.25">
      <c r="A349" s="2">
        <v>47831</v>
      </c>
      <c r="B349" s="44"/>
      <c r="C349" s="44"/>
      <c r="D349" s="44"/>
      <c r="E349" s="44"/>
      <c r="F349" s="44"/>
      <c r="G349" s="40"/>
      <c r="H349" s="44"/>
      <c r="I349" s="40"/>
      <c r="J349" s="44"/>
      <c r="K349" s="28">
        <f>TABL12345[[#This Row],[خط (T/B  TOT) SAR]]+TABL12345[[#This Row],[خط (S/S  TOT) SAR2]]</f>
        <v>0</v>
      </c>
      <c r="L349" s="45"/>
      <c r="M349" s="46"/>
      <c r="N349" s="46"/>
      <c r="O349" s="40"/>
      <c r="P349" s="9">
        <f>TABL12345[[#This Row],[خط (S/S  TOT) SAR2]]-TABL12345[[#This Row],[(S/S TOT) AJD]]</f>
        <v>0</v>
      </c>
      <c r="Q349" s="40"/>
      <c r="R349" s="9">
        <f>TABL12345[[#This Row],[خط (T/B  TOT) SAR]]-TABL12345[[#This Row],[(T/B TOT) AJD]]</f>
        <v>0</v>
      </c>
      <c r="S349" s="9">
        <f>TABL12345[[#This Row],[الفرق بين بداية ونهاية خط  S/S]]+TABL12345[[#This Row],[الفرق بين بداية ونهاية خط  T/B]]</f>
        <v>0</v>
      </c>
      <c r="T349" s="9">
        <f t="shared" si="20"/>
        <v>0</v>
      </c>
      <c r="U349" s="44"/>
      <c r="V349" s="44"/>
      <c r="W349" s="9">
        <f t="shared" si="21"/>
        <v>0</v>
      </c>
      <c r="X349" s="9">
        <f t="shared" si="22"/>
        <v>0</v>
      </c>
      <c r="Y349" s="44"/>
      <c r="Z349" s="45"/>
      <c r="AA349" s="3">
        <f>TABL12345[[#This Row],[(RESV. STORGE) AJD]]/10</f>
        <v>0</v>
      </c>
      <c r="AB349" s="45">
        <f t="shared" si="23"/>
        <v>0</v>
      </c>
      <c r="AC349" s="5"/>
      <c r="AD349" s="40">
        <f>(TABL12345[[#This Row],[( S/S+T/B) AJD]]*1000)-((TABL12345[[#This Row],[(STORGE DIFF.) AJD]]*1000)+TABL12345[[#This Row],[البخر  AJD]]+(TABL12345[[#This Row],[(A/B + A/S) AJD]]*1000))</f>
        <v>0</v>
      </c>
      <c r="AE349" s="44"/>
      <c r="AF349" s="45"/>
      <c r="AG349" s="45"/>
      <c r="AH349" s="6">
        <f>TABL12345[[#This Row],[ (RESV. STORGE) BER]]/10</f>
        <v>0</v>
      </c>
      <c r="AI349" s="44"/>
      <c r="AJ349" s="44">
        <f>TABL12345[[#This Row],[(A/B TOT) AJD]]-TABL12345[[#This Row],[BER_ IN]]</f>
        <v>0</v>
      </c>
      <c r="AK349" s="45"/>
      <c r="AL349" s="45"/>
      <c r="AM349" s="32"/>
      <c r="AN349" s="32">
        <f>TABL12345[[#This Row],[ (RESV. STORGE) SER]]/10</f>
        <v>0</v>
      </c>
      <c r="AO349" s="68"/>
      <c r="AP349" s="68">
        <f>TABL12345[[#This Row],[(A/S TOT) AJD]]-TABL12345[[#This Row],[SER_ IN]]</f>
        <v>0</v>
      </c>
    </row>
    <row r="350" spans="1:42" ht="18.75" x14ac:dyDescent="0.25">
      <c r="A350" s="2">
        <v>47832</v>
      </c>
      <c r="B350" s="41"/>
      <c r="C350" s="41"/>
      <c r="D350" s="41"/>
      <c r="E350" s="41"/>
      <c r="F350" s="41"/>
      <c r="G350" s="39"/>
      <c r="H350" s="41"/>
      <c r="I350" s="39"/>
      <c r="J350" s="39"/>
      <c r="K350" s="28">
        <f>TABL12345[[#This Row],[خط (T/B  TOT) SAR]]+TABL12345[[#This Row],[خط (S/S  TOT) SAR2]]</f>
        <v>0</v>
      </c>
      <c r="L350" s="41"/>
      <c r="M350" s="42"/>
      <c r="N350" s="42"/>
      <c r="O350" s="39"/>
      <c r="P350" s="9">
        <f>TABL12345[[#This Row],[خط (S/S  TOT) SAR2]]-TABL12345[[#This Row],[(S/S TOT) AJD]]</f>
        <v>0</v>
      </c>
      <c r="Q350" s="39"/>
      <c r="R350" s="9">
        <f>TABL12345[[#This Row],[خط (T/B  TOT) SAR]]-TABL12345[[#This Row],[(T/B TOT) AJD]]</f>
        <v>0</v>
      </c>
      <c r="S350" s="9">
        <f>TABL12345[[#This Row],[الفرق بين بداية ونهاية خط  S/S]]+TABL12345[[#This Row],[الفرق بين بداية ونهاية خط  T/B]]</f>
        <v>0</v>
      </c>
      <c r="T350" s="9">
        <f t="shared" si="20"/>
        <v>0</v>
      </c>
      <c r="U350" s="41"/>
      <c r="V350" s="41"/>
      <c r="W350" s="9">
        <f t="shared" si="21"/>
        <v>0</v>
      </c>
      <c r="X350" s="9">
        <f t="shared" si="22"/>
        <v>0</v>
      </c>
      <c r="Y350" s="41"/>
      <c r="Z350" s="43"/>
      <c r="AA350" s="3">
        <f>TABL12345[[#This Row],[(RESV. STORGE) AJD]]/10</f>
        <v>0</v>
      </c>
      <c r="AB350" s="43">
        <f t="shared" si="23"/>
        <v>0</v>
      </c>
      <c r="AC350" s="5"/>
      <c r="AD350" s="39">
        <f>(TABL12345[[#This Row],[( S/S+T/B) AJD]]*1000)-((TABL12345[[#This Row],[(STORGE DIFF.) AJD]]*1000)+TABL12345[[#This Row],[البخر  AJD]]+(TABL12345[[#This Row],[(A/B + A/S) AJD]]*1000))</f>
        <v>0</v>
      </c>
      <c r="AE350" s="41"/>
      <c r="AF350" s="43"/>
      <c r="AG350" s="43"/>
      <c r="AH350" s="6">
        <f>TABL12345[[#This Row],[ (RESV. STORGE) BER]]/10</f>
        <v>0</v>
      </c>
      <c r="AI350" s="41"/>
      <c r="AJ350" s="41">
        <f>TABL12345[[#This Row],[(A/B TOT) AJD]]-TABL12345[[#This Row],[BER_ IN]]</f>
        <v>0</v>
      </c>
      <c r="AK350" s="43"/>
      <c r="AL350" s="43"/>
      <c r="AM350" s="32"/>
      <c r="AN350" s="32">
        <f>TABL12345[[#This Row],[ (RESV. STORGE) SER]]/10</f>
        <v>0</v>
      </c>
      <c r="AO350" s="68"/>
      <c r="AP350" s="68">
        <f>TABL12345[[#This Row],[(A/S TOT) AJD]]-TABL12345[[#This Row],[SER_ IN]]</f>
        <v>0</v>
      </c>
    </row>
    <row r="351" spans="1:42" ht="18.75" x14ac:dyDescent="0.25">
      <c r="A351" s="2">
        <v>47833</v>
      </c>
      <c r="B351" s="44"/>
      <c r="C351" s="44"/>
      <c r="D351" s="44"/>
      <c r="E351" s="44"/>
      <c r="F351" s="44"/>
      <c r="G351" s="40"/>
      <c r="H351" s="44"/>
      <c r="I351" s="40"/>
      <c r="J351" s="44"/>
      <c r="K351" s="28">
        <f>TABL12345[[#This Row],[خط (T/B  TOT) SAR]]+TABL12345[[#This Row],[خط (S/S  TOT) SAR2]]</f>
        <v>0</v>
      </c>
      <c r="L351" s="45"/>
      <c r="M351" s="46"/>
      <c r="N351" s="46"/>
      <c r="O351" s="40"/>
      <c r="P351" s="9">
        <f>TABL12345[[#This Row],[خط (S/S  TOT) SAR2]]-TABL12345[[#This Row],[(S/S TOT) AJD]]</f>
        <v>0</v>
      </c>
      <c r="Q351" s="40"/>
      <c r="R351" s="9">
        <f>TABL12345[[#This Row],[خط (T/B  TOT) SAR]]-TABL12345[[#This Row],[(T/B TOT) AJD]]</f>
        <v>0</v>
      </c>
      <c r="S351" s="9">
        <f>TABL12345[[#This Row],[الفرق بين بداية ونهاية خط  S/S]]+TABL12345[[#This Row],[الفرق بين بداية ونهاية خط  T/B]]</f>
        <v>0</v>
      </c>
      <c r="T351" s="9">
        <f t="shared" si="20"/>
        <v>0</v>
      </c>
      <c r="U351" s="44"/>
      <c r="V351" s="44"/>
      <c r="W351" s="9">
        <f t="shared" si="21"/>
        <v>0</v>
      </c>
      <c r="X351" s="9">
        <f t="shared" si="22"/>
        <v>0</v>
      </c>
      <c r="Y351" s="44"/>
      <c r="Z351" s="45"/>
      <c r="AA351" s="3">
        <f>TABL12345[[#This Row],[(RESV. STORGE) AJD]]/10</f>
        <v>0</v>
      </c>
      <c r="AB351" s="45">
        <f t="shared" si="23"/>
        <v>0</v>
      </c>
      <c r="AC351" s="5"/>
      <c r="AD351" s="40">
        <f>(TABL12345[[#This Row],[( S/S+T/B) AJD]]*1000)-((TABL12345[[#This Row],[(STORGE DIFF.) AJD]]*1000)+TABL12345[[#This Row],[البخر  AJD]]+(TABL12345[[#This Row],[(A/B + A/S) AJD]]*1000))</f>
        <v>0</v>
      </c>
      <c r="AE351" s="44"/>
      <c r="AF351" s="45"/>
      <c r="AG351" s="45"/>
      <c r="AH351" s="6">
        <f>TABL12345[[#This Row],[ (RESV. STORGE) BER]]/10</f>
        <v>0</v>
      </c>
      <c r="AI351" s="44"/>
      <c r="AJ351" s="44">
        <f>TABL12345[[#This Row],[(A/B TOT) AJD]]-TABL12345[[#This Row],[BER_ IN]]</f>
        <v>0</v>
      </c>
      <c r="AK351" s="45"/>
      <c r="AL351" s="45"/>
      <c r="AM351" s="32"/>
      <c r="AN351" s="32">
        <f>TABL12345[[#This Row],[ (RESV. STORGE) SER]]/10</f>
        <v>0</v>
      </c>
      <c r="AO351" s="68"/>
      <c r="AP351" s="68">
        <f>TABL12345[[#This Row],[(A/S TOT) AJD]]-TABL12345[[#This Row],[SER_ IN]]</f>
        <v>0</v>
      </c>
    </row>
    <row r="352" spans="1:42" ht="18.75" x14ac:dyDescent="0.25">
      <c r="A352" s="2">
        <v>47834</v>
      </c>
      <c r="B352" s="41"/>
      <c r="C352" s="41"/>
      <c r="D352" s="41"/>
      <c r="E352" s="41"/>
      <c r="F352" s="41"/>
      <c r="G352" s="39"/>
      <c r="H352" s="41"/>
      <c r="I352" s="39"/>
      <c r="J352" s="39"/>
      <c r="K352" s="28">
        <f>TABL12345[[#This Row],[خط (T/B  TOT) SAR]]+TABL12345[[#This Row],[خط (S/S  TOT) SAR2]]</f>
        <v>0</v>
      </c>
      <c r="L352" s="41"/>
      <c r="M352" s="42"/>
      <c r="N352" s="42"/>
      <c r="O352" s="39"/>
      <c r="P352" s="9">
        <f>TABL12345[[#This Row],[خط (S/S  TOT) SAR2]]-TABL12345[[#This Row],[(S/S TOT) AJD]]</f>
        <v>0</v>
      </c>
      <c r="Q352" s="39"/>
      <c r="R352" s="9">
        <f>TABL12345[[#This Row],[خط (T/B  TOT) SAR]]-TABL12345[[#This Row],[(T/B TOT) AJD]]</f>
        <v>0</v>
      </c>
      <c r="S352" s="9">
        <f>TABL12345[[#This Row],[الفرق بين بداية ونهاية خط  S/S]]+TABL12345[[#This Row],[الفرق بين بداية ونهاية خط  T/B]]</f>
        <v>0</v>
      </c>
      <c r="T352" s="9">
        <f t="shared" si="20"/>
        <v>0</v>
      </c>
      <c r="U352" s="41"/>
      <c r="V352" s="41"/>
      <c r="W352" s="9">
        <f t="shared" si="21"/>
        <v>0</v>
      </c>
      <c r="X352" s="9">
        <f t="shared" si="22"/>
        <v>0</v>
      </c>
      <c r="Y352" s="41"/>
      <c r="Z352" s="43"/>
      <c r="AA352" s="3">
        <f>TABL12345[[#This Row],[(RESV. STORGE) AJD]]/10</f>
        <v>0</v>
      </c>
      <c r="AB352" s="43">
        <f t="shared" si="23"/>
        <v>0</v>
      </c>
      <c r="AC352" s="5"/>
      <c r="AD352" s="39">
        <f>(TABL12345[[#This Row],[( S/S+T/B) AJD]]*1000)-((TABL12345[[#This Row],[(STORGE DIFF.) AJD]]*1000)+TABL12345[[#This Row],[البخر  AJD]]+(TABL12345[[#This Row],[(A/B + A/S) AJD]]*1000))</f>
        <v>0</v>
      </c>
      <c r="AE352" s="41"/>
      <c r="AF352" s="43"/>
      <c r="AG352" s="43"/>
      <c r="AH352" s="6">
        <f>TABL12345[[#This Row],[ (RESV. STORGE) BER]]/10</f>
        <v>0</v>
      </c>
      <c r="AI352" s="41"/>
      <c r="AJ352" s="41">
        <f>TABL12345[[#This Row],[(A/B TOT) AJD]]-TABL12345[[#This Row],[BER_ IN]]</f>
        <v>0</v>
      </c>
      <c r="AK352" s="43"/>
      <c r="AL352" s="43"/>
      <c r="AM352" s="32"/>
      <c r="AN352" s="32">
        <f>TABL12345[[#This Row],[ (RESV. STORGE) SER]]/10</f>
        <v>0</v>
      </c>
      <c r="AO352" s="68"/>
      <c r="AP352" s="68">
        <f>TABL12345[[#This Row],[(A/S TOT) AJD]]-TABL12345[[#This Row],[SER_ IN]]</f>
        <v>0</v>
      </c>
    </row>
    <row r="353" spans="1:42" ht="18.75" x14ac:dyDescent="0.25">
      <c r="A353" s="2">
        <v>47835</v>
      </c>
      <c r="B353" s="44"/>
      <c r="C353" s="44"/>
      <c r="D353" s="44"/>
      <c r="E353" s="44"/>
      <c r="F353" s="44"/>
      <c r="G353" s="40"/>
      <c r="H353" s="44"/>
      <c r="I353" s="40"/>
      <c r="J353" s="44"/>
      <c r="K353" s="28">
        <f>TABL12345[[#This Row],[خط (T/B  TOT) SAR]]+TABL12345[[#This Row],[خط (S/S  TOT) SAR2]]</f>
        <v>0</v>
      </c>
      <c r="L353" s="45"/>
      <c r="M353" s="46"/>
      <c r="N353" s="46"/>
      <c r="O353" s="40"/>
      <c r="P353" s="9">
        <f>TABL12345[[#This Row],[خط (S/S  TOT) SAR2]]-TABL12345[[#This Row],[(S/S TOT) AJD]]</f>
        <v>0</v>
      </c>
      <c r="Q353" s="40"/>
      <c r="R353" s="9">
        <f>TABL12345[[#This Row],[خط (T/B  TOT) SAR]]-TABL12345[[#This Row],[(T/B TOT) AJD]]</f>
        <v>0</v>
      </c>
      <c r="S353" s="9">
        <f>TABL12345[[#This Row],[الفرق بين بداية ونهاية خط  S/S]]+TABL12345[[#This Row],[الفرق بين بداية ونهاية خط  T/B]]</f>
        <v>0</v>
      </c>
      <c r="T353" s="9">
        <f t="shared" si="20"/>
        <v>0</v>
      </c>
      <c r="U353" s="44"/>
      <c r="V353" s="44"/>
      <c r="W353" s="9">
        <f t="shared" si="21"/>
        <v>0</v>
      </c>
      <c r="X353" s="9">
        <f t="shared" si="22"/>
        <v>0</v>
      </c>
      <c r="Y353" s="44"/>
      <c r="Z353" s="45"/>
      <c r="AA353" s="3">
        <f>TABL12345[[#This Row],[(RESV. STORGE) AJD]]/10</f>
        <v>0</v>
      </c>
      <c r="AB353" s="45">
        <f t="shared" si="23"/>
        <v>0</v>
      </c>
      <c r="AC353" s="5"/>
      <c r="AD353" s="40">
        <f>(TABL12345[[#This Row],[( S/S+T/B) AJD]]*1000)-((TABL12345[[#This Row],[(STORGE DIFF.) AJD]]*1000)+TABL12345[[#This Row],[البخر  AJD]]+(TABL12345[[#This Row],[(A/B + A/S) AJD]]*1000))</f>
        <v>0</v>
      </c>
      <c r="AE353" s="44"/>
      <c r="AF353" s="45"/>
      <c r="AG353" s="45"/>
      <c r="AH353" s="6">
        <f>TABL12345[[#This Row],[ (RESV. STORGE) BER]]/10</f>
        <v>0</v>
      </c>
      <c r="AI353" s="44"/>
      <c r="AJ353" s="44">
        <f>TABL12345[[#This Row],[(A/B TOT) AJD]]-TABL12345[[#This Row],[BER_ IN]]</f>
        <v>0</v>
      </c>
      <c r="AK353" s="45"/>
      <c r="AL353" s="45"/>
      <c r="AM353" s="32"/>
      <c r="AN353" s="32">
        <f>TABL12345[[#This Row],[ (RESV. STORGE) SER]]/10</f>
        <v>0</v>
      </c>
      <c r="AO353" s="68"/>
      <c r="AP353" s="68">
        <f>TABL12345[[#This Row],[(A/S TOT) AJD]]-TABL12345[[#This Row],[SER_ IN]]</f>
        <v>0</v>
      </c>
    </row>
    <row r="354" spans="1:42" ht="18.75" x14ac:dyDescent="0.25">
      <c r="A354" s="2">
        <v>47836</v>
      </c>
      <c r="B354" s="41"/>
      <c r="C354" s="41"/>
      <c r="D354" s="41"/>
      <c r="E354" s="41"/>
      <c r="F354" s="41"/>
      <c r="G354" s="39"/>
      <c r="H354" s="41"/>
      <c r="I354" s="39"/>
      <c r="J354" s="39"/>
      <c r="K354" s="28">
        <f>TABL12345[[#This Row],[خط (T/B  TOT) SAR]]+TABL12345[[#This Row],[خط (S/S  TOT) SAR2]]</f>
        <v>0</v>
      </c>
      <c r="L354" s="41"/>
      <c r="M354" s="42"/>
      <c r="N354" s="42"/>
      <c r="O354" s="39"/>
      <c r="P354" s="9">
        <f>TABL12345[[#This Row],[خط (S/S  TOT) SAR2]]-TABL12345[[#This Row],[(S/S TOT) AJD]]</f>
        <v>0</v>
      </c>
      <c r="Q354" s="39"/>
      <c r="R354" s="9">
        <f>TABL12345[[#This Row],[خط (T/B  TOT) SAR]]-TABL12345[[#This Row],[(T/B TOT) AJD]]</f>
        <v>0</v>
      </c>
      <c r="S354" s="9">
        <f>TABL12345[[#This Row],[الفرق بين بداية ونهاية خط  S/S]]+TABL12345[[#This Row],[الفرق بين بداية ونهاية خط  T/B]]</f>
        <v>0</v>
      </c>
      <c r="T354" s="9">
        <f t="shared" si="20"/>
        <v>0</v>
      </c>
      <c r="U354" s="41"/>
      <c r="V354" s="41"/>
      <c r="W354" s="9">
        <f t="shared" si="21"/>
        <v>0</v>
      </c>
      <c r="X354" s="9">
        <f t="shared" si="22"/>
        <v>0</v>
      </c>
      <c r="Y354" s="41"/>
      <c r="Z354" s="43"/>
      <c r="AA354" s="3">
        <f>TABL12345[[#This Row],[(RESV. STORGE) AJD]]/10</f>
        <v>0</v>
      </c>
      <c r="AB354" s="43">
        <f t="shared" si="23"/>
        <v>0</v>
      </c>
      <c r="AC354" s="5"/>
      <c r="AD354" s="39">
        <f>(TABL12345[[#This Row],[( S/S+T/B) AJD]]*1000)-((TABL12345[[#This Row],[(STORGE DIFF.) AJD]]*1000)+TABL12345[[#This Row],[البخر  AJD]]+(TABL12345[[#This Row],[(A/B + A/S) AJD]]*1000))</f>
        <v>0</v>
      </c>
      <c r="AE354" s="41"/>
      <c r="AF354" s="43"/>
      <c r="AG354" s="43"/>
      <c r="AH354" s="6">
        <f>TABL12345[[#This Row],[ (RESV. STORGE) BER]]/10</f>
        <v>0</v>
      </c>
      <c r="AI354" s="41"/>
      <c r="AJ354" s="41">
        <f>TABL12345[[#This Row],[(A/B TOT) AJD]]-TABL12345[[#This Row],[BER_ IN]]</f>
        <v>0</v>
      </c>
      <c r="AK354" s="43"/>
      <c r="AL354" s="43"/>
      <c r="AM354" s="32"/>
      <c r="AN354" s="32">
        <f>TABL12345[[#This Row],[ (RESV. STORGE) SER]]/10</f>
        <v>0</v>
      </c>
      <c r="AO354" s="68"/>
      <c r="AP354" s="68">
        <f>TABL12345[[#This Row],[(A/S TOT) AJD]]-TABL12345[[#This Row],[SER_ IN]]</f>
        <v>0</v>
      </c>
    </row>
    <row r="355" spans="1:42" ht="18.75" x14ac:dyDescent="0.25">
      <c r="A355" s="2">
        <v>47837</v>
      </c>
      <c r="B355" s="44"/>
      <c r="C355" s="44"/>
      <c r="D355" s="44"/>
      <c r="E355" s="44"/>
      <c r="F355" s="44"/>
      <c r="G355" s="40"/>
      <c r="H355" s="44"/>
      <c r="I355" s="40"/>
      <c r="J355" s="44"/>
      <c r="K355" s="28">
        <f>TABL12345[[#This Row],[خط (T/B  TOT) SAR]]+TABL12345[[#This Row],[خط (S/S  TOT) SAR2]]</f>
        <v>0</v>
      </c>
      <c r="L355" s="45"/>
      <c r="M355" s="46"/>
      <c r="N355" s="46"/>
      <c r="O355" s="40"/>
      <c r="P355" s="9">
        <f>TABL12345[[#This Row],[خط (S/S  TOT) SAR2]]-TABL12345[[#This Row],[(S/S TOT) AJD]]</f>
        <v>0</v>
      </c>
      <c r="Q355" s="40"/>
      <c r="R355" s="9">
        <f>TABL12345[[#This Row],[خط (T/B  TOT) SAR]]-TABL12345[[#This Row],[(T/B TOT) AJD]]</f>
        <v>0</v>
      </c>
      <c r="S355" s="9">
        <f>TABL12345[[#This Row],[الفرق بين بداية ونهاية خط  S/S]]+TABL12345[[#This Row],[الفرق بين بداية ونهاية خط  T/B]]</f>
        <v>0</v>
      </c>
      <c r="T355" s="9">
        <f t="shared" si="20"/>
        <v>0</v>
      </c>
      <c r="U355" s="44"/>
      <c r="V355" s="44"/>
      <c r="W355" s="9">
        <f t="shared" si="21"/>
        <v>0</v>
      </c>
      <c r="X355" s="9">
        <f t="shared" si="22"/>
        <v>0</v>
      </c>
      <c r="Y355" s="44"/>
      <c r="Z355" s="45"/>
      <c r="AA355" s="3">
        <f>TABL12345[[#This Row],[(RESV. STORGE) AJD]]/10</f>
        <v>0</v>
      </c>
      <c r="AB355" s="45">
        <f t="shared" si="23"/>
        <v>0</v>
      </c>
      <c r="AC355" s="5"/>
      <c r="AD355" s="40">
        <f>(TABL12345[[#This Row],[( S/S+T/B) AJD]]*1000)-((TABL12345[[#This Row],[(STORGE DIFF.) AJD]]*1000)+TABL12345[[#This Row],[البخر  AJD]]+(TABL12345[[#This Row],[(A/B + A/S) AJD]]*1000))</f>
        <v>0</v>
      </c>
      <c r="AE355" s="44"/>
      <c r="AF355" s="45"/>
      <c r="AG355" s="45"/>
      <c r="AH355" s="6">
        <f>TABL12345[[#This Row],[ (RESV. STORGE) BER]]/10</f>
        <v>0</v>
      </c>
      <c r="AI355" s="44"/>
      <c r="AJ355" s="44">
        <f>TABL12345[[#This Row],[(A/B TOT) AJD]]-TABL12345[[#This Row],[BER_ IN]]</f>
        <v>0</v>
      </c>
      <c r="AK355" s="45"/>
      <c r="AL355" s="45"/>
      <c r="AM355" s="32"/>
      <c r="AN355" s="32">
        <f>TABL12345[[#This Row],[ (RESV. STORGE) SER]]/10</f>
        <v>0</v>
      </c>
      <c r="AO355" s="68"/>
      <c r="AP355" s="68">
        <f>TABL12345[[#This Row],[(A/S TOT) AJD]]-TABL12345[[#This Row],[SER_ IN]]</f>
        <v>0</v>
      </c>
    </row>
    <row r="356" spans="1:42" ht="18.75" x14ac:dyDescent="0.25">
      <c r="A356" s="2">
        <v>47838</v>
      </c>
      <c r="B356" s="41"/>
      <c r="C356" s="41"/>
      <c r="D356" s="41"/>
      <c r="E356" s="41"/>
      <c r="F356" s="41"/>
      <c r="G356" s="39"/>
      <c r="H356" s="41"/>
      <c r="I356" s="39"/>
      <c r="J356" s="39"/>
      <c r="K356" s="28">
        <f>TABL12345[[#This Row],[خط (T/B  TOT) SAR]]+TABL12345[[#This Row],[خط (S/S  TOT) SAR2]]</f>
        <v>0</v>
      </c>
      <c r="L356" s="41"/>
      <c r="M356" s="42"/>
      <c r="N356" s="42"/>
      <c r="O356" s="39"/>
      <c r="P356" s="9">
        <f>TABL12345[[#This Row],[خط (S/S  TOT) SAR2]]-TABL12345[[#This Row],[(S/S TOT) AJD]]</f>
        <v>0</v>
      </c>
      <c r="Q356" s="39"/>
      <c r="R356" s="9">
        <f>TABL12345[[#This Row],[خط (T/B  TOT) SAR]]-TABL12345[[#This Row],[(T/B TOT) AJD]]</f>
        <v>0</v>
      </c>
      <c r="S356" s="9">
        <f>TABL12345[[#This Row],[الفرق بين بداية ونهاية خط  S/S]]+TABL12345[[#This Row],[الفرق بين بداية ونهاية خط  T/B]]</f>
        <v>0</v>
      </c>
      <c r="T356" s="9">
        <f t="shared" si="20"/>
        <v>0</v>
      </c>
      <c r="U356" s="41"/>
      <c r="V356" s="41"/>
      <c r="W356" s="9">
        <f t="shared" si="21"/>
        <v>0</v>
      </c>
      <c r="X356" s="9">
        <f t="shared" si="22"/>
        <v>0</v>
      </c>
      <c r="Y356" s="41"/>
      <c r="Z356" s="43"/>
      <c r="AA356" s="3">
        <f>TABL12345[[#This Row],[(RESV. STORGE) AJD]]/10</f>
        <v>0</v>
      </c>
      <c r="AB356" s="43">
        <f t="shared" si="23"/>
        <v>0</v>
      </c>
      <c r="AC356" s="5"/>
      <c r="AD356" s="39">
        <f>(TABL12345[[#This Row],[( S/S+T/B) AJD]]*1000)-((TABL12345[[#This Row],[(STORGE DIFF.) AJD]]*1000)+TABL12345[[#This Row],[البخر  AJD]]+(TABL12345[[#This Row],[(A/B + A/S) AJD]]*1000))</f>
        <v>0</v>
      </c>
      <c r="AE356" s="41"/>
      <c r="AF356" s="43"/>
      <c r="AG356" s="43"/>
      <c r="AH356" s="6">
        <f>TABL12345[[#This Row],[ (RESV. STORGE) BER]]/10</f>
        <v>0</v>
      </c>
      <c r="AI356" s="41"/>
      <c r="AJ356" s="41">
        <f>TABL12345[[#This Row],[(A/B TOT) AJD]]-TABL12345[[#This Row],[BER_ IN]]</f>
        <v>0</v>
      </c>
      <c r="AK356" s="43"/>
      <c r="AL356" s="43"/>
      <c r="AM356" s="32"/>
      <c r="AN356" s="32">
        <f>TABL12345[[#This Row],[ (RESV. STORGE) SER]]/10</f>
        <v>0</v>
      </c>
      <c r="AO356" s="68"/>
      <c r="AP356" s="68">
        <f>TABL12345[[#This Row],[(A/S TOT) AJD]]-TABL12345[[#This Row],[SER_ IN]]</f>
        <v>0</v>
      </c>
    </row>
    <row r="357" spans="1:42" ht="18.75" x14ac:dyDescent="0.25">
      <c r="A357" s="2">
        <v>47839</v>
      </c>
      <c r="B357" s="44"/>
      <c r="C357" s="44"/>
      <c r="D357" s="44"/>
      <c r="E357" s="44"/>
      <c r="F357" s="44"/>
      <c r="G357" s="40"/>
      <c r="H357" s="44"/>
      <c r="I357" s="40"/>
      <c r="J357" s="44"/>
      <c r="K357" s="28">
        <f>TABL12345[[#This Row],[خط (T/B  TOT) SAR]]+TABL12345[[#This Row],[خط (S/S  TOT) SAR2]]</f>
        <v>0</v>
      </c>
      <c r="L357" s="45"/>
      <c r="M357" s="46"/>
      <c r="N357" s="46"/>
      <c r="O357" s="40"/>
      <c r="P357" s="9">
        <f>TABL12345[[#This Row],[خط (S/S  TOT) SAR2]]-TABL12345[[#This Row],[(S/S TOT) AJD]]</f>
        <v>0</v>
      </c>
      <c r="Q357" s="40"/>
      <c r="R357" s="9">
        <f>TABL12345[[#This Row],[خط (T/B  TOT) SAR]]-TABL12345[[#This Row],[(T/B TOT) AJD]]</f>
        <v>0</v>
      </c>
      <c r="S357" s="9">
        <f>TABL12345[[#This Row],[الفرق بين بداية ونهاية خط  S/S]]+TABL12345[[#This Row],[الفرق بين بداية ونهاية خط  T/B]]</f>
        <v>0</v>
      </c>
      <c r="T357" s="9">
        <f t="shared" si="20"/>
        <v>0</v>
      </c>
      <c r="U357" s="44"/>
      <c r="V357" s="44"/>
      <c r="W357" s="9">
        <f t="shared" si="21"/>
        <v>0</v>
      </c>
      <c r="X357" s="9">
        <f t="shared" si="22"/>
        <v>0</v>
      </c>
      <c r="Y357" s="44"/>
      <c r="Z357" s="45"/>
      <c r="AA357" s="3">
        <f>TABL12345[[#This Row],[(RESV. STORGE) AJD]]/10</f>
        <v>0</v>
      </c>
      <c r="AB357" s="45">
        <f t="shared" si="23"/>
        <v>0</v>
      </c>
      <c r="AC357" s="5"/>
      <c r="AD357" s="40">
        <f>(TABL12345[[#This Row],[( S/S+T/B) AJD]]*1000)-((TABL12345[[#This Row],[(STORGE DIFF.) AJD]]*1000)+TABL12345[[#This Row],[البخر  AJD]]+(TABL12345[[#This Row],[(A/B + A/S) AJD]]*1000))</f>
        <v>0</v>
      </c>
      <c r="AE357" s="44"/>
      <c r="AF357" s="45"/>
      <c r="AG357" s="45"/>
      <c r="AH357" s="6">
        <f>TABL12345[[#This Row],[ (RESV. STORGE) BER]]/10</f>
        <v>0</v>
      </c>
      <c r="AI357" s="44"/>
      <c r="AJ357" s="44">
        <f>TABL12345[[#This Row],[(A/B TOT) AJD]]-TABL12345[[#This Row],[BER_ IN]]</f>
        <v>0</v>
      </c>
      <c r="AK357" s="45"/>
      <c r="AL357" s="45"/>
      <c r="AM357" s="32"/>
      <c r="AN357" s="32">
        <f>TABL12345[[#This Row],[ (RESV. STORGE) SER]]/10</f>
        <v>0</v>
      </c>
      <c r="AO357" s="68"/>
      <c r="AP357" s="68">
        <f>TABL12345[[#This Row],[(A/S TOT) AJD]]-TABL12345[[#This Row],[SER_ IN]]</f>
        <v>0</v>
      </c>
    </row>
    <row r="358" spans="1:42" ht="18.75" x14ac:dyDescent="0.25">
      <c r="A358" s="2">
        <v>47840</v>
      </c>
      <c r="B358" s="41"/>
      <c r="C358" s="41"/>
      <c r="D358" s="41"/>
      <c r="E358" s="41"/>
      <c r="F358" s="41"/>
      <c r="G358" s="39"/>
      <c r="H358" s="41"/>
      <c r="I358" s="39"/>
      <c r="J358" s="39"/>
      <c r="K358" s="28">
        <f>TABL12345[[#This Row],[خط (T/B  TOT) SAR]]+TABL12345[[#This Row],[خط (S/S  TOT) SAR2]]</f>
        <v>0</v>
      </c>
      <c r="L358" s="41"/>
      <c r="M358" s="42"/>
      <c r="N358" s="42"/>
      <c r="O358" s="39"/>
      <c r="P358" s="9">
        <f>TABL12345[[#This Row],[خط (S/S  TOT) SAR2]]-TABL12345[[#This Row],[(S/S TOT) AJD]]</f>
        <v>0</v>
      </c>
      <c r="Q358" s="39"/>
      <c r="R358" s="9">
        <f>TABL12345[[#This Row],[خط (T/B  TOT) SAR]]-TABL12345[[#This Row],[(T/B TOT) AJD]]</f>
        <v>0</v>
      </c>
      <c r="S358" s="9">
        <f>TABL12345[[#This Row],[الفرق بين بداية ونهاية خط  S/S]]+TABL12345[[#This Row],[الفرق بين بداية ونهاية خط  T/B]]</f>
        <v>0</v>
      </c>
      <c r="T358" s="9">
        <f t="shared" si="20"/>
        <v>0</v>
      </c>
      <c r="U358" s="41"/>
      <c r="V358" s="41"/>
      <c r="W358" s="9">
        <f t="shared" si="21"/>
        <v>0</v>
      </c>
      <c r="X358" s="9">
        <f t="shared" si="22"/>
        <v>0</v>
      </c>
      <c r="Y358" s="41"/>
      <c r="Z358" s="43"/>
      <c r="AA358" s="3">
        <f>TABL12345[[#This Row],[(RESV. STORGE) AJD]]/10</f>
        <v>0</v>
      </c>
      <c r="AB358" s="43">
        <f t="shared" si="23"/>
        <v>0</v>
      </c>
      <c r="AC358" s="5"/>
      <c r="AD358" s="39">
        <f>(TABL12345[[#This Row],[( S/S+T/B) AJD]]*1000)-((TABL12345[[#This Row],[(STORGE DIFF.) AJD]]*1000)+TABL12345[[#This Row],[البخر  AJD]]+(TABL12345[[#This Row],[(A/B + A/S) AJD]]*1000))</f>
        <v>0</v>
      </c>
      <c r="AE358" s="41"/>
      <c r="AF358" s="43"/>
      <c r="AG358" s="43"/>
      <c r="AH358" s="6">
        <f>TABL12345[[#This Row],[ (RESV. STORGE) BER]]/10</f>
        <v>0</v>
      </c>
      <c r="AI358" s="41"/>
      <c r="AJ358" s="41">
        <f>TABL12345[[#This Row],[(A/B TOT) AJD]]-TABL12345[[#This Row],[BER_ IN]]</f>
        <v>0</v>
      </c>
      <c r="AK358" s="43"/>
      <c r="AL358" s="43"/>
      <c r="AM358" s="32"/>
      <c r="AN358" s="32">
        <f>TABL12345[[#This Row],[ (RESV. STORGE) SER]]/10</f>
        <v>0</v>
      </c>
      <c r="AO358" s="68"/>
      <c r="AP358" s="68">
        <f>TABL12345[[#This Row],[(A/S TOT) AJD]]-TABL12345[[#This Row],[SER_ IN]]</f>
        <v>0</v>
      </c>
    </row>
    <row r="359" spans="1:42" ht="18.75" x14ac:dyDescent="0.25">
      <c r="A359" s="2">
        <v>47841</v>
      </c>
      <c r="B359" s="44"/>
      <c r="C359" s="44"/>
      <c r="D359" s="44"/>
      <c r="E359" s="44"/>
      <c r="F359" s="44"/>
      <c r="G359" s="40"/>
      <c r="H359" s="44"/>
      <c r="I359" s="40"/>
      <c r="J359" s="44"/>
      <c r="K359" s="28">
        <f>TABL12345[[#This Row],[خط (T/B  TOT) SAR]]+TABL12345[[#This Row],[خط (S/S  TOT) SAR2]]</f>
        <v>0</v>
      </c>
      <c r="L359" s="45"/>
      <c r="M359" s="46"/>
      <c r="N359" s="46"/>
      <c r="O359" s="40"/>
      <c r="P359" s="9">
        <f>TABL12345[[#This Row],[خط (S/S  TOT) SAR2]]-TABL12345[[#This Row],[(S/S TOT) AJD]]</f>
        <v>0</v>
      </c>
      <c r="Q359" s="40"/>
      <c r="R359" s="9">
        <f>TABL12345[[#This Row],[خط (T/B  TOT) SAR]]-TABL12345[[#This Row],[(T/B TOT) AJD]]</f>
        <v>0</v>
      </c>
      <c r="S359" s="9">
        <f>TABL12345[[#This Row],[الفرق بين بداية ونهاية خط  S/S]]+TABL12345[[#This Row],[الفرق بين بداية ونهاية خط  T/B]]</f>
        <v>0</v>
      </c>
      <c r="T359" s="9">
        <f t="shared" si="20"/>
        <v>0</v>
      </c>
      <c r="U359" s="44"/>
      <c r="V359" s="44"/>
      <c r="W359" s="9">
        <f t="shared" si="21"/>
        <v>0</v>
      </c>
      <c r="X359" s="9">
        <f t="shared" si="22"/>
        <v>0</v>
      </c>
      <c r="Y359" s="44"/>
      <c r="Z359" s="45"/>
      <c r="AA359" s="3">
        <f>TABL12345[[#This Row],[(RESV. STORGE) AJD]]/10</f>
        <v>0</v>
      </c>
      <c r="AB359" s="45">
        <f t="shared" si="23"/>
        <v>0</v>
      </c>
      <c r="AC359" s="5"/>
      <c r="AD359" s="40">
        <f>(TABL12345[[#This Row],[( S/S+T/B) AJD]]*1000)-((TABL12345[[#This Row],[(STORGE DIFF.) AJD]]*1000)+TABL12345[[#This Row],[البخر  AJD]]+(TABL12345[[#This Row],[(A/B + A/S) AJD]]*1000))</f>
        <v>0</v>
      </c>
      <c r="AE359" s="44"/>
      <c r="AF359" s="45"/>
      <c r="AG359" s="45"/>
      <c r="AH359" s="6">
        <f>TABL12345[[#This Row],[ (RESV. STORGE) BER]]/10</f>
        <v>0</v>
      </c>
      <c r="AI359" s="44"/>
      <c r="AJ359" s="44">
        <f>TABL12345[[#This Row],[(A/B TOT) AJD]]-TABL12345[[#This Row],[BER_ IN]]</f>
        <v>0</v>
      </c>
      <c r="AK359" s="45"/>
      <c r="AL359" s="45"/>
      <c r="AM359" s="32"/>
      <c r="AN359" s="32">
        <f>TABL12345[[#This Row],[ (RESV. STORGE) SER]]/10</f>
        <v>0</v>
      </c>
      <c r="AO359" s="68"/>
      <c r="AP359" s="68">
        <f>TABL12345[[#This Row],[(A/S TOT) AJD]]-TABL12345[[#This Row],[SER_ IN]]</f>
        <v>0</v>
      </c>
    </row>
    <row r="360" spans="1:42" ht="18.75" x14ac:dyDescent="0.25">
      <c r="A360" s="2">
        <v>47842</v>
      </c>
      <c r="B360" s="41"/>
      <c r="C360" s="41"/>
      <c r="D360" s="41"/>
      <c r="E360" s="41"/>
      <c r="F360" s="41"/>
      <c r="G360" s="39"/>
      <c r="H360" s="41"/>
      <c r="I360" s="39"/>
      <c r="J360" s="39"/>
      <c r="K360" s="28">
        <f>TABL12345[[#This Row],[خط (T/B  TOT) SAR]]+TABL12345[[#This Row],[خط (S/S  TOT) SAR2]]</f>
        <v>0</v>
      </c>
      <c r="L360" s="41"/>
      <c r="M360" s="42"/>
      <c r="N360" s="42"/>
      <c r="O360" s="39"/>
      <c r="P360" s="9">
        <f>TABL12345[[#This Row],[خط (S/S  TOT) SAR2]]-TABL12345[[#This Row],[(S/S TOT) AJD]]</f>
        <v>0</v>
      </c>
      <c r="Q360" s="39"/>
      <c r="R360" s="9">
        <f>TABL12345[[#This Row],[خط (T/B  TOT) SAR]]-TABL12345[[#This Row],[(T/B TOT) AJD]]</f>
        <v>0</v>
      </c>
      <c r="S360" s="9">
        <f>TABL12345[[#This Row],[الفرق بين بداية ونهاية خط  S/S]]+TABL12345[[#This Row],[الفرق بين بداية ونهاية خط  T/B]]</f>
        <v>0</v>
      </c>
      <c r="T360" s="9">
        <f t="shared" si="20"/>
        <v>0</v>
      </c>
      <c r="U360" s="41"/>
      <c r="V360" s="41"/>
      <c r="W360" s="9">
        <f t="shared" si="21"/>
        <v>0</v>
      </c>
      <c r="X360" s="9">
        <f t="shared" si="22"/>
        <v>0</v>
      </c>
      <c r="Y360" s="41"/>
      <c r="Z360" s="43"/>
      <c r="AA360" s="3">
        <f>TABL12345[[#This Row],[(RESV. STORGE) AJD]]/10</f>
        <v>0</v>
      </c>
      <c r="AB360" s="43">
        <f t="shared" si="23"/>
        <v>0</v>
      </c>
      <c r="AC360" s="5"/>
      <c r="AD360" s="39">
        <f>(TABL12345[[#This Row],[( S/S+T/B) AJD]]*1000)-((TABL12345[[#This Row],[(STORGE DIFF.) AJD]]*1000)+TABL12345[[#This Row],[البخر  AJD]]+(TABL12345[[#This Row],[(A/B + A/S) AJD]]*1000))</f>
        <v>0</v>
      </c>
      <c r="AE360" s="41"/>
      <c r="AF360" s="43"/>
      <c r="AG360" s="43"/>
      <c r="AH360" s="6">
        <f>TABL12345[[#This Row],[ (RESV. STORGE) BER]]/10</f>
        <v>0</v>
      </c>
      <c r="AI360" s="41"/>
      <c r="AJ360" s="41">
        <f>TABL12345[[#This Row],[(A/B TOT) AJD]]-TABL12345[[#This Row],[BER_ IN]]</f>
        <v>0</v>
      </c>
      <c r="AK360" s="43"/>
      <c r="AL360" s="43"/>
      <c r="AM360" s="32"/>
      <c r="AN360" s="32">
        <f>TABL12345[[#This Row],[ (RESV. STORGE) SER]]/10</f>
        <v>0</v>
      </c>
      <c r="AO360" s="68"/>
      <c r="AP360" s="68">
        <f>TABL12345[[#This Row],[(A/S TOT) AJD]]-TABL12345[[#This Row],[SER_ IN]]</f>
        <v>0</v>
      </c>
    </row>
    <row r="361" spans="1:42" ht="18.75" x14ac:dyDescent="0.25">
      <c r="A361" s="2">
        <v>47843</v>
      </c>
      <c r="B361" s="44"/>
      <c r="C361" s="44"/>
      <c r="D361" s="44"/>
      <c r="E361" s="44"/>
      <c r="F361" s="44"/>
      <c r="G361" s="40"/>
      <c r="H361" s="44"/>
      <c r="I361" s="40"/>
      <c r="J361" s="44"/>
      <c r="K361" s="28">
        <f>TABL12345[[#This Row],[خط (T/B  TOT) SAR]]+TABL12345[[#This Row],[خط (S/S  TOT) SAR2]]</f>
        <v>0</v>
      </c>
      <c r="L361" s="45"/>
      <c r="M361" s="46"/>
      <c r="N361" s="46"/>
      <c r="O361" s="40"/>
      <c r="P361" s="9">
        <f>TABL12345[[#This Row],[خط (S/S  TOT) SAR2]]-TABL12345[[#This Row],[(S/S TOT) AJD]]</f>
        <v>0</v>
      </c>
      <c r="Q361" s="40"/>
      <c r="R361" s="9">
        <f>TABL12345[[#This Row],[خط (T/B  TOT) SAR]]-TABL12345[[#This Row],[(T/B TOT) AJD]]</f>
        <v>0</v>
      </c>
      <c r="S361" s="9">
        <f>TABL12345[[#This Row],[الفرق بين بداية ونهاية خط  S/S]]+TABL12345[[#This Row],[الفرق بين بداية ونهاية خط  T/B]]</f>
        <v>0</v>
      </c>
      <c r="T361" s="9">
        <f t="shared" si="20"/>
        <v>0</v>
      </c>
      <c r="U361" s="44"/>
      <c r="V361" s="44"/>
      <c r="W361" s="9">
        <f t="shared" si="21"/>
        <v>0</v>
      </c>
      <c r="X361" s="9">
        <f t="shared" si="22"/>
        <v>0</v>
      </c>
      <c r="Y361" s="44"/>
      <c r="Z361" s="45"/>
      <c r="AA361" s="3">
        <f>TABL12345[[#This Row],[(RESV. STORGE) AJD]]/10</f>
        <v>0</v>
      </c>
      <c r="AB361" s="45">
        <f t="shared" si="23"/>
        <v>0</v>
      </c>
      <c r="AC361" s="5"/>
      <c r="AD361" s="40">
        <f>(TABL12345[[#This Row],[( S/S+T/B) AJD]]*1000)-((TABL12345[[#This Row],[(STORGE DIFF.) AJD]]*1000)+TABL12345[[#This Row],[البخر  AJD]]+(TABL12345[[#This Row],[(A/B + A/S) AJD]]*1000))</f>
        <v>0</v>
      </c>
      <c r="AE361" s="44"/>
      <c r="AF361" s="45"/>
      <c r="AG361" s="45"/>
      <c r="AH361" s="6">
        <f>TABL12345[[#This Row],[ (RESV. STORGE) BER]]/10</f>
        <v>0</v>
      </c>
      <c r="AI361" s="44"/>
      <c r="AJ361" s="44">
        <f>TABL12345[[#This Row],[(A/B TOT) AJD]]-TABL12345[[#This Row],[BER_ IN]]</f>
        <v>0</v>
      </c>
      <c r="AK361" s="45"/>
      <c r="AL361" s="45"/>
      <c r="AM361" s="32"/>
      <c r="AN361" s="32">
        <f>TABL12345[[#This Row],[ (RESV. STORGE) SER]]/10</f>
        <v>0</v>
      </c>
      <c r="AO361" s="68"/>
      <c r="AP361" s="68">
        <f>TABL12345[[#This Row],[(A/S TOT) AJD]]-TABL12345[[#This Row],[SER_ IN]]</f>
        <v>0</v>
      </c>
    </row>
    <row r="362" spans="1:42" ht="18.75" x14ac:dyDescent="0.25">
      <c r="A362" s="2">
        <v>47844</v>
      </c>
      <c r="B362" s="41"/>
      <c r="C362" s="41"/>
      <c r="D362" s="41"/>
      <c r="E362" s="41"/>
      <c r="F362" s="41"/>
      <c r="G362" s="39"/>
      <c r="H362" s="41"/>
      <c r="I362" s="39"/>
      <c r="J362" s="39"/>
      <c r="K362" s="28">
        <f>TABL12345[[#This Row],[خط (T/B  TOT) SAR]]+TABL12345[[#This Row],[خط (S/S  TOT) SAR2]]</f>
        <v>0</v>
      </c>
      <c r="L362" s="41"/>
      <c r="M362" s="42"/>
      <c r="N362" s="42"/>
      <c r="O362" s="39"/>
      <c r="P362" s="9">
        <f>TABL12345[[#This Row],[خط (S/S  TOT) SAR2]]-TABL12345[[#This Row],[(S/S TOT) AJD]]</f>
        <v>0</v>
      </c>
      <c r="Q362" s="39"/>
      <c r="R362" s="9">
        <f>TABL12345[[#This Row],[خط (T/B  TOT) SAR]]-TABL12345[[#This Row],[(T/B TOT) AJD]]</f>
        <v>0</v>
      </c>
      <c r="S362" s="9">
        <f>TABL12345[[#This Row],[الفرق بين بداية ونهاية خط  S/S]]+TABL12345[[#This Row],[الفرق بين بداية ونهاية خط  T/B]]</f>
        <v>0</v>
      </c>
      <c r="T362" s="9">
        <f t="shared" si="20"/>
        <v>0</v>
      </c>
      <c r="U362" s="41"/>
      <c r="V362" s="41"/>
      <c r="W362" s="9">
        <f t="shared" si="21"/>
        <v>0</v>
      </c>
      <c r="X362" s="9">
        <f t="shared" si="22"/>
        <v>0</v>
      </c>
      <c r="Y362" s="41"/>
      <c r="Z362" s="43"/>
      <c r="AA362" s="3">
        <f>TABL12345[[#This Row],[(RESV. STORGE) AJD]]/10</f>
        <v>0</v>
      </c>
      <c r="AB362" s="43">
        <f t="shared" si="23"/>
        <v>0</v>
      </c>
      <c r="AC362" s="5"/>
      <c r="AD362" s="39">
        <f>(TABL12345[[#This Row],[( S/S+T/B) AJD]]*1000)-((TABL12345[[#This Row],[(STORGE DIFF.) AJD]]*1000)+TABL12345[[#This Row],[البخر  AJD]]+(TABL12345[[#This Row],[(A/B + A/S) AJD]]*1000))</f>
        <v>0</v>
      </c>
      <c r="AE362" s="41"/>
      <c r="AF362" s="43"/>
      <c r="AG362" s="43"/>
      <c r="AH362" s="6">
        <f>TABL12345[[#This Row],[ (RESV. STORGE) BER]]/10</f>
        <v>0</v>
      </c>
      <c r="AI362" s="41"/>
      <c r="AJ362" s="41">
        <f>TABL12345[[#This Row],[(A/B TOT) AJD]]-TABL12345[[#This Row],[BER_ IN]]</f>
        <v>0</v>
      </c>
      <c r="AK362" s="43"/>
      <c r="AL362" s="43"/>
      <c r="AM362" s="32"/>
      <c r="AN362" s="32">
        <f>TABL12345[[#This Row],[ (RESV. STORGE) SER]]/10</f>
        <v>0</v>
      </c>
      <c r="AO362" s="68"/>
      <c r="AP362" s="68">
        <f>TABL12345[[#This Row],[(A/S TOT) AJD]]-TABL12345[[#This Row],[SER_ IN]]</f>
        <v>0</v>
      </c>
    </row>
    <row r="363" spans="1:42" ht="18.75" x14ac:dyDescent="0.25">
      <c r="A363" s="2">
        <v>47845</v>
      </c>
      <c r="B363" s="44"/>
      <c r="C363" s="44"/>
      <c r="D363" s="44"/>
      <c r="E363" s="44"/>
      <c r="F363" s="44"/>
      <c r="G363" s="40"/>
      <c r="H363" s="44"/>
      <c r="I363" s="40"/>
      <c r="J363" s="44"/>
      <c r="K363" s="28">
        <f>TABL12345[[#This Row],[خط (T/B  TOT) SAR]]+TABL12345[[#This Row],[خط (S/S  TOT) SAR2]]</f>
        <v>0</v>
      </c>
      <c r="L363" s="45"/>
      <c r="M363" s="46"/>
      <c r="N363" s="46"/>
      <c r="O363" s="40"/>
      <c r="P363" s="9">
        <f>TABL12345[[#This Row],[خط (S/S  TOT) SAR2]]-TABL12345[[#This Row],[(S/S TOT) AJD]]</f>
        <v>0</v>
      </c>
      <c r="Q363" s="40"/>
      <c r="R363" s="9">
        <f>TABL12345[[#This Row],[خط (T/B  TOT) SAR]]-TABL12345[[#This Row],[(T/B TOT) AJD]]</f>
        <v>0</v>
      </c>
      <c r="S363" s="9">
        <f>TABL12345[[#This Row],[الفرق بين بداية ونهاية خط  S/S]]+TABL12345[[#This Row],[الفرق بين بداية ونهاية خط  T/B]]</f>
        <v>0</v>
      </c>
      <c r="T363" s="9">
        <f t="shared" si="20"/>
        <v>0</v>
      </c>
      <c r="U363" s="44"/>
      <c r="V363" s="44"/>
      <c r="W363" s="9">
        <f t="shared" si="21"/>
        <v>0</v>
      </c>
      <c r="X363" s="9">
        <f t="shared" si="22"/>
        <v>0</v>
      </c>
      <c r="Y363" s="44"/>
      <c r="Z363" s="45"/>
      <c r="AA363" s="3">
        <f>TABL12345[[#This Row],[(RESV. STORGE) AJD]]/10</f>
        <v>0</v>
      </c>
      <c r="AB363" s="45">
        <f t="shared" si="23"/>
        <v>0</v>
      </c>
      <c r="AC363" s="5"/>
      <c r="AD363" s="40">
        <f>(TABL12345[[#This Row],[( S/S+T/B) AJD]]*1000)-((TABL12345[[#This Row],[(STORGE DIFF.) AJD]]*1000)+TABL12345[[#This Row],[البخر  AJD]]+(TABL12345[[#This Row],[(A/B + A/S) AJD]]*1000))</f>
        <v>0</v>
      </c>
      <c r="AE363" s="44"/>
      <c r="AF363" s="45"/>
      <c r="AG363" s="45"/>
      <c r="AH363" s="6">
        <f>TABL12345[[#This Row],[ (RESV. STORGE) BER]]/10</f>
        <v>0</v>
      </c>
      <c r="AI363" s="44"/>
      <c r="AJ363" s="44">
        <f>TABL12345[[#This Row],[(A/B TOT) AJD]]-TABL12345[[#This Row],[BER_ IN]]</f>
        <v>0</v>
      </c>
      <c r="AK363" s="45"/>
      <c r="AL363" s="45"/>
      <c r="AM363" s="32"/>
      <c r="AN363" s="32">
        <f>TABL12345[[#This Row],[ (RESV. STORGE) SER]]/10</f>
        <v>0</v>
      </c>
      <c r="AO363" s="68"/>
      <c r="AP363" s="68">
        <f>TABL12345[[#This Row],[(A/S TOT) AJD]]-TABL12345[[#This Row],[SER_ IN]]</f>
        <v>0</v>
      </c>
    </row>
    <row r="364" spans="1:42" ht="18.75" x14ac:dyDescent="0.25">
      <c r="A364" s="2">
        <v>47846</v>
      </c>
      <c r="B364" s="41"/>
      <c r="C364" s="41"/>
      <c r="D364" s="41"/>
      <c r="E364" s="41"/>
      <c r="F364" s="41"/>
      <c r="G364" s="39"/>
      <c r="H364" s="41"/>
      <c r="I364" s="39"/>
      <c r="J364" s="39"/>
      <c r="K364" s="28">
        <f>TABL12345[[#This Row],[خط (T/B  TOT) SAR]]+TABL12345[[#This Row],[خط (S/S  TOT) SAR2]]</f>
        <v>0</v>
      </c>
      <c r="L364" s="41"/>
      <c r="M364" s="42"/>
      <c r="N364" s="42"/>
      <c r="O364" s="39"/>
      <c r="P364" s="9">
        <f>TABL12345[[#This Row],[خط (S/S  TOT) SAR2]]-TABL12345[[#This Row],[(S/S TOT) AJD]]</f>
        <v>0</v>
      </c>
      <c r="Q364" s="39"/>
      <c r="R364" s="9">
        <f>TABL12345[[#This Row],[خط (T/B  TOT) SAR]]-TABL12345[[#This Row],[(T/B TOT) AJD]]</f>
        <v>0</v>
      </c>
      <c r="S364" s="9">
        <f>TABL12345[[#This Row],[الفرق بين بداية ونهاية خط  S/S]]+TABL12345[[#This Row],[الفرق بين بداية ونهاية خط  T/B]]</f>
        <v>0</v>
      </c>
      <c r="T364" s="9">
        <f t="shared" si="20"/>
        <v>0</v>
      </c>
      <c r="U364" s="41"/>
      <c r="V364" s="41"/>
      <c r="W364" s="9">
        <f t="shared" si="21"/>
        <v>0</v>
      </c>
      <c r="X364" s="9">
        <f t="shared" si="22"/>
        <v>0</v>
      </c>
      <c r="Y364" s="41"/>
      <c r="Z364" s="43"/>
      <c r="AA364" s="3">
        <f>TABL12345[[#This Row],[(RESV. STORGE) AJD]]/10</f>
        <v>0</v>
      </c>
      <c r="AB364" s="43">
        <f t="shared" si="23"/>
        <v>0</v>
      </c>
      <c r="AC364" s="5"/>
      <c r="AD364" s="39">
        <f>(TABL12345[[#This Row],[( S/S+T/B) AJD]]*1000)-((TABL12345[[#This Row],[(STORGE DIFF.) AJD]]*1000)+TABL12345[[#This Row],[البخر  AJD]]+(TABL12345[[#This Row],[(A/B + A/S) AJD]]*1000))</f>
        <v>0</v>
      </c>
      <c r="AE364" s="41"/>
      <c r="AF364" s="43"/>
      <c r="AG364" s="43"/>
      <c r="AH364" s="6">
        <f>TABL12345[[#This Row],[ (RESV. STORGE) BER]]/10</f>
        <v>0</v>
      </c>
      <c r="AI364" s="41"/>
      <c r="AJ364" s="41">
        <f>TABL12345[[#This Row],[(A/B TOT) AJD]]-TABL12345[[#This Row],[BER_ IN]]</f>
        <v>0</v>
      </c>
      <c r="AK364" s="43"/>
      <c r="AL364" s="43"/>
      <c r="AM364" s="32"/>
      <c r="AN364" s="32">
        <f>TABL12345[[#This Row],[ (RESV. STORGE) SER]]/10</f>
        <v>0</v>
      </c>
      <c r="AO364" s="68"/>
      <c r="AP364" s="68">
        <f>TABL12345[[#This Row],[(A/S TOT) AJD]]-TABL12345[[#This Row],[SER_ IN]]</f>
        <v>0</v>
      </c>
    </row>
    <row r="365" spans="1:42" ht="18.75" x14ac:dyDescent="0.25">
      <c r="A365" s="2">
        <v>47847</v>
      </c>
      <c r="B365" s="44"/>
      <c r="C365" s="44"/>
      <c r="D365" s="44"/>
      <c r="E365" s="44"/>
      <c r="F365" s="44"/>
      <c r="G365" s="40"/>
      <c r="H365" s="44"/>
      <c r="I365" s="40"/>
      <c r="J365" s="44"/>
      <c r="K365" s="28">
        <f>TABL12345[[#This Row],[خط (T/B  TOT) SAR]]+TABL12345[[#This Row],[خط (S/S  TOT) SAR2]]</f>
        <v>0</v>
      </c>
      <c r="L365" s="45"/>
      <c r="M365" s="46"/>
      <c r="N365" s="46"/>
      <c r="O365" s="40"/>
      <c r="P365" s="9">
        <f>TABL12345[[#This Row],[خط (S/S  TOT) SAR2]]-TABL12345[[#This Row],[(S/S TOT) AJD]]</f>
        <v>0</v>
      </c>
      <c r="Q365" s="40"/>
      <c r="R365" s="9">
        <f>TABL12345[[#This Row],[خط (T/B  TOT) SAR]]-TABL12345[[#This Row],[(T/B TOT) AJD]]</f>
        <v>0</v>
      </c>
      <c r="S365" s="9">
        <f>TABL12345[[#This Row],[الفرق بين بداية ونهاية خط  S/S]]+TABL12345[[#This Row],[الفرق بين بداية ونهاية خط  T/B]]</f>
        <v>0</v>
      </c>
      <c r="T365" s="9">
        <f t="shared" si="20"/>
        <v>0</v>
      </c>
      <c r="U365" s="44"/>
      <c r="V365" s="44"/>
      <c r="W365" s="9">
        <f t="shared" si="21"/>
        <v>0</v>
      </c>
      <c r="X365" s="9">
        <f t="shared" si="22"/>
        <v>0</v>
      </c>
      <c r="Y365" s="44"/>
      <c r="Z365" s="45"/>
      <c r="AA365" s="3">
        <f>TABL12345[[#This Row],[(RESV. STORGE) AJD]]/10</f>
        <v>0</v>
      </c>
      <c r="AB365" s="45">
        <f t="shared" si="23"/>
        <v>0</v>
      </c>
      <c r="AC365" s="5"/>
      <c r="AD365" s="50">
        <f>(TABL12345[[#This Row],[( S/S+T/B) AJD]]*1000)-((TABL12345[[#This Row],[(STORGE DIFF.) AJD]]*1000)+TABL12345[[#This Row],[البخر  AJD]]+(TABL12345[[#This Row],[(A/B + A/S) AJD]]*1000))</f>
        <v>0</v>
      </c>
      <c r="AE365" s="44"/>
      <c r="AF365" s="45"/>
      <c r="AG365" s="45"/>
      <c r="AH365" s="6">
        <f>TABL12345[[#This Row],[ (RESV. STORGE) BER]]/10</f>
        <v>0</v>
      </c>
      <c r="AI365" s="44"/>
      <c r="AJ365" s="47">
        <f>TABL12345[[#This Row],[(A/B TOT) AJD]]-TABL12345[[#This Row],[BER_ IN]]</f>
        <v>0</v>
      </c>
      <c r="AK365" s="45"/>
      <c r="AL365" s="45"/>
      <c r="AM365" s="32"/>
      <c r="AN365" s="32">
        <f>TABL12345[[#This Row],[ (RESV. STORGE) SER]]/10</f>
        <v>0</v>
      </c>
      <c r="AO365" s="68"/>
      <c r="AP365" s="68">
        <f>TABL12345[[#This Row],[(A/S TOT) AJD]]-TABL12345[[#This Row],[SER_ IN]]</f>
        <v>0</v>
      </c>
    </row>
    <row r="366" spans="1:42" ht="18.75" x14ac:dyDescent="0.25">
      <c r="A366" s="2">
        <v>47848</v>
      </c>
      <c r="B366" s="41"/>
      <c r="C366" s="41"/>
      <c r="D366" s="41"/>
      <c r="E366" s="41"/>
      <c r="F366" s="41"/>
      <c r="G366" s="39"/>
      <c r="H366" s="41"/>
      <c r="I366" s="39"/>
      <c r="J366" s="39"/>
      <c r="K366" s="51">
        <f>TABL12345[[#This Row],[خط (T/B  TOT) SAR]]+TABL12345[[#This Row],[خط (S/S  TOT) SAR2]]</f>
        <v>0</v>
      </c>
      <c r="L366" s="41"/>
      <c r="M366" s="42"/>
      <c r="N366" s="42"/>
      <c r="O366" s="39"/>
      <c r="P366" s="19">
        <f>TABL12345[[#This Row],[خط (S/S  TOT) SAR2]]-TABL12345[[#This Row],[(S/S TOT) AJD]]</f>
        <v>0</v>
      </c>
      <c r="Q366" s="39"/>
      <c r="R366" s="19">
        <f>TABL12345[[#This Row],[خط (T/B  TOT) SAR]]-TABL12345[[#This Row],[(T/B TOT) AJD]]</f>
        <v>0</v>
      </c>
      <c r="S366" s="19">
        <f>TABL12345[[#This Row],[الفرق بين بداية ونهاية خط  S/S]]+TABL12345[[#This Row],[الفرق بين بداية ونهاية خط  T/B]]</f>
        <v>0</v>
      </c>
      <c r="T366" s="19">
        <f t="shared" si="20"/>
        <v>0</v>
      </c>
      <c r="U366" s="41"/>
      <c r="V366" s="41"/>
      <c r="W366" s="19">
        <f t="shared" si="21"/>
        <v>0</v>
      </c>
      <c r="X366" s="19">
        <f t="shared" si="22"/>
        <v>0</v>
      </c>
      <c r="Y366" s="41"/>
      <c r="Z366" s="43"/>
      <c r="AA366" s="3">
        <f>TABL12345[[#This Row],[(RESV. STORGE) AJD]]/10</f>
        <v>0</v>
      </c>
      <c r="AB366" s="43">
        <f t="shared" si="23"/>
        <v>0</v>
      </c>
      <c r="AC366" s="5"/>
      <c r="AD366" s="50">
        <f>(TABL12345[[#This Row],[( S/S+T/B) AJD]]*1000)-((TABL12345[[#This Row],[(STORGE DIFF.) AJD]]*1000)+TABL12345[[#This Row],[البخر  AJD]]+(TABL12345[[#This Row],[(A/B + A/S) AJD]]*1000))</f>
        <v>0</v>
      </c>
      <c r="AE366" s="41"/>
      <c r="AF366" s="43"/>
      <c r="AG366" s="43"/>
      <c r="AH366" s="21">
        <f>TABL12345[[#This Row],[ (RESV. STORGE) BER]]/10</f>
        <v>0</v>
      </c>
      <c r="AI366" s="41"/>
      <c r="AJ366" s="41">
        <f>TABL12345[[#This Row],[(A/B TOT) AJD]]-TABL12345[[#This Row],[BER_ IN]]</f>
        <v>0</v>
      </c>
      <c r="AK366" s="43"/>
      <c r="AL366" s="43"/>
      <c r="AM366" s="32"/>
      <c r="AN366" s="32">
        <f>TABL12345[[#This Row],[ (RESV. STORGE) SER]]/10</f>
        <v>0</v>
      </c>
      <c r="AO366" s="83"/>
      <c r="AP366" s="83">
        <f>TABL12345[[#This Row],[(A/S TOT) AJD]]-TABL12345[[#This Row],[SER_ IN]]</f>
        <v>0</v>
      </c>
    </row>
    <row r="367" spans="1:42" x14ac:dyDescent="0.25">
      <c r="A367" s="59"/>
      <c r="B367" s="60"/>
      <c r="C367" s="61"/>
      <c r="D367" s="61"/>
      <c r="E367" s="61"/>
      <c r="F367" s="61"/>
      <c r="G367" s="61"/>
      <c r="H367" s="61"/>
      <c r="I367" s="62"/>
      <c r="J367" s="61"/>
      <c r="K367" s="62"/>
      <c r="L367" s="61"/>
      <c r="M367" s="63"/>
      <c r="N367" s="64"/>
      <c r="O367" s="52"/>
      <c r="P367" s="19"/>
      <c r="Q367" s="52"/>
      <c r="R367" s="19"/>
      <c r="S367" s="19"/>
      <c r="T367" s="19"/>
      <c r="U367" s="52"/>
      <c r="V367" s="52"/>
      <c r="W367" s="19"/>
      <c r="X367" s="19"/>
      <c r="Y367" s="53"/>
      <c r="Z367" s="52"/>
      <c r="AA367" s="19"/>
      <c r="AB367" s="19"/>
      <c r="AC367" s="65"/>
      <c r="AD367" s="54"/>
      <c r="AE367" s="52"/>
      <c r="AF367" s="20"/>
      <c r="AG367" s="19"/>
      <c r="AH367" s="19"/>
      <c r="AI367" s="19"/>
      <c r="AJ367" s="21"/>
      <c r="AK367" s="55"/>
      <c r="AL367" s="19"/>
      <c r="AM367" s="54"/>
      <c r="AN367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my_job - 2025</vt:lpstr>
      <vt:lpstr>my_job2 - 2026</vt:lpstr>
      <vt:lpstr>my_job - 2027</vt:lpstr>
      <vt:lpstr>my_job - 2028</vt:lpstr>
      <vt:lpstr>my_job - 2029</vt:lpstr>
      <vt:lpstr>my_job - 2030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nasserab965@gmail.com</dc:creator>
  <cp:lastModifiedBy>nasserab965@gmail.com</cp:lastModifiedBy>
  <dcterms:created xsi:type="dcterms:W3CDTF">2026-08-15T08:04:15Z</dcterms:created>
  <dcterms:modified xsi:type="dcterms:W3CDTF">2026-10-24T08:30:06Z</dcterms:modified>
</cp:coreProperties>
</file>