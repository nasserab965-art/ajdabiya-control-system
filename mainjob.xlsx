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  <xf numFmtId="165" fontId="15" fillId="9" borderId="5" applyAlignment="1" pivotButton="0" quotePrefix="0" xfId="1">
      <alignment horizontal="center" vertical="center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431" headerRowBorderDxfId="430" tableBorderDxfId="429">
  <autoFilter ref="A1:AP366"/>
  <tableColumns count="42">
    <tableColumn id="1" name=" اليوم" dataDxfId="428" totalsRowDxfId="39" dataCellStyle="Normal 2"/>
    <tableColumn id="19" name="آبار منتجة TAZ" dataDxfId="427" totalsRowDxfId="38" dataCellStyle="Normal 2"/>
    <tableColumn id="18" name="الانتاج 1000 (م3) TAZ" dataDxfId="426" totalsRowDxfId="37" dataCellStyle="Normal 2"/>
    <tableColumn id="17" name="آبار عاملة TAZ" dataDxfId="425" totalsRowDxfId="36" dataCellStyle="Normal 2"/>
    <tableColumn id="16" name="آبار احتياطية" dataDxfId="424" totalsRowDxfId="35" dataCellStyle="Normal 2"/>
    <tableColumn id="26" name="آبار منتجة SAR" dataDxfId="423" totalsRowDxfId="34" dataCellStyle="Normal 2"/>
    <tableColumn id="25" name="إنتاج آبار  SAR" dataDxfId="422" totalsRowDxfId="33" dataCellStyle="Normal 2"/>
    <tableColumn id="24" name="آبار احتياطية  SAR" dataDxfId="421" totalsRowDxfId="32" dataCellStyle="Normal 2">
      <calculatedColumnFormula>103-F2</calculatedColumnFormula>
    </tableColumn>
    <tableColumn id="8" name=" (T/B) SAR" dataDxfId="420" totalsRowDxfId="31" dataCellStyle="Normal 2"/>
    <tableColumn id="22" name=" (S/S) SAR" dataDxfId="419" totalsRowDxfId="30" dataCellStyle="Normal 2"/>
    <tableColumn id="38" name="(S/S+TB)SAR" dataDxfId="418" totalsRowDxfId="29" dataCellStyle="Normal 2">
      <calculatedColumnFormula>TABL123[[#This Row],[ (T/B) SAR]]+TABL123[[#This Row],[ (S/S) SAR]]</calculatedColumnFormula>
    </tableColumn>
    <tableColumn id="21" name="TAZ/SAR" dataDxfId="417" totalsRowDxfId="28" dataCellStyle="Normal 2"/>
    <tableColumn id="20" name=" % ECV SAR" dataDxfId="416" totalsRowDxfId="27" dataCellStyle="Normal 2"/>
    <tableColumn id="6" name="ECV (bar) SAR" dataDxfId="415" totalsRowDxfId="26" dataCellStyle="Normal 2"/>
    <tableColumn id="3" name="(S/S) AJD" dataDxfId="414" totalsRowDxfId="25"/>
    <tableColumn id="36" name="S/S_CON." dataDxfId="413" totalsRowDxfId="24">
      <calculatedColumnFormula>TABL123[[#This Row],[ (S/S) SAR]]-TABL123[[#This Row],[(S/S) AJD]]</calculatedColumnFormula>
    </tableColumn>
    <tableColumn id="5" name="(T/B) AJD" dataDxfId="412" totalsRowDxfId="23"/>
    <tableColumn id="35" name="T/B-CON." dataDxfId="411" totalsRowDxfId="22">
      <calculatedColumnFormula>TABL123[[#This Row],[ (T/B) SAR]]-TABL123[[#This Row],[(T/B) AJD]]</calculatedColumnFormula>
    </tableColumn>
    <tableColumn id="37" name="(S/S-T/B)-CON." dataDxfId="410" totalsRowDxfId="21">
      <calculatedColumnFormula>TABL123[[#This Row],[T/B-CON.]]+TABL123[[#This Row],[S/S_CON.]]</calculatedColumnFormula>
    </tableColumn>
    <tableColumn id="13" name="( S/S+T/B) AJD" dataDxfId="409" totalsRowDxfId="20">
      <calculatedColumnFormula>TABL123[[#This Row],[(S/S) AJD]]+TABL123[[#This Row],[(T/B) AJD]]</calculatedColumnFormula>
    </tableColumn>
    <tableColumn id="7" name="(A/B) AJD" dataDxfId="408" totalsRowDxfId="19"/>
    <tableColumn id="9" name="(A/S) AJD" dataDxfId="407" totalsRowDxfId="18"/>
    <tableColumn id="14" name="(A/B + A/S) AJD" dataDxfId="406" totalsRowDxfId="17">
      <calculatedColumnFormula>TABL123[[#This Row],[(A/B) AJD]]+TABL123[[#This Row],[(A/S) AJD]]</calculatedColumnFormula>
    </tableColumn>
    <tableColumn id="15" name="(IN-OUT) AJD" dataDxfId="405" totalsRowDxfId="16">
      <calculatedColumnFormula>TABL123[[#This Row],[( S/S+T/B) AJD]]-TABL123[[#This Row],[(A/B + A/S) AJD]]</calculatedColumnFormula>
    </tableColumn>
    <tableColumn id="10" name="(RES. LEVEL) AJD" dataDxfId="404" totalsRowDxfId="15"/>
    <tableColumn id="11" name="(RESV. STORGE) AJD" dataDxfId="403" totalsRowDxfId="14"/>
    <tableColumn id="40" name="AJD_STORG.* 10" dataDxfId="402" totalsRowDxfId="13" dataCellStyle="Normal 2">
      <calculatedColumnFormula>TABL123[[#This Row],[(RESV. STORGE) AJD]]/10</calculatedColumnFormula>
    </tableColumn>
    <tableColumn id="4" name="(STORGE DIFF.) AJD" dataDxfId="401" totalsRowDxfId="12"/>
    <tableColumn id="12" name="AJD_Evaporation" dataDxfId="400" totalsRowDxfId="11" dataCellStyle="Normal 2"/>
    <tableColumn id="39" name="AJD_LOSES" dataDxfId="399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398" totalsRowDxfId="9"/>
    <tableColumn id="31" name="(RES. LEVEL) BER" dataDxfId="397" totalsRowDxfId="8"/>
    <tableColumn id="28" name=" (RESV. STORGE) BER" dataDxfId="396" totalsRowDxfId="7"/>
    <tableColumn id="29" name="BER_STORG. * 10" dataDxfId="395" totalsRowDxfId="6">
      <calculatedColumnFormula>TABL123[[#This Row],[ (RESV. STORGE) BER]]/10</calculatedColumnFormula>
    </tableColumn>
    <tableColumn id="34" name="BER_Evap." dataDxfId="394" totalsRowDxfId="5"/>
    <tableColumn id="32" name="A/B_CON." dataDxfId="393" totalsRowDxfId="4">
      <calculatedColumnFormula>TABL123[[#This Row],[(A/B) AJD]]-TABL123[[#This Row],[BER_IN]]</calculatedColumnFormula>
    </tableColumn>
    <tableColumn id="33" name="SER_IN" dataDxfId="392" totalsRowDxfId="3"/>
    <tableColumn id="27" name="(RES. LEVEL) SER " dataDxfId="391" totalsRowDxfId="2"/>
    <tableColumn id="2" name=" (RESV. STORGE) SER" dataDxfId="390" totalsRowDxfId="1" dataCellStyle="Normal 2"/>
    <tableColumn id="23" name="SER_STORG.* 10" dataDxfId="389" totalsRowDxfId="0" dataCellStyle="Normal 2">
      <calculatedColumnFormula>TABL123[[#This Row],[ (RESV. STORGE) SER]]/10</calculatedColumnFormula>
    </tableColumn>
    <tableColumn id="42" name="SER_Evap." dataDxfId="388"/>
    <tableColumn id="43" name="A/S_CON." dataDxfId="387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99" headerRowBorderDxfId="298" tableBorderDxfId="297">
  <autoFilter ref="A1:AP366"/>
  <tableColumns count="42">
    <tableColumn id="1" name=" اليوم" dataDxfId="296" totalsRowDxfId="295" dataCellStyle="Normal 2"/>
    <tableColumn id="19" name="آبار منتجة TAZ" dataDxfId="294" totalsRowDxfId="293" dataCellStyle="Normal 2"/>
    <tableColumn id="18" name="الانتاج 1000 (م3) TAZ" dataDxfId="292" totalsRowDxfId="291" dataCellStyle="Normal 2"/>
    <tableColumn id="17" name="آبار عاملة TAZ" dataDxfId="290" totalsRowDxfId="289" dataCellStyle="Normal 2"/>
    <tableColumn id="16" name="آبار احتياطية" dataDxfId="288" totalsRowDxfId="287" dataCellStyle="Normal 2"/>
    <tableColumn id="26" name="آبار منتجة SAR" dataDxfId="286" totalsRowDxfId="285" dataCellStyle="Normal 2"/>
    <tableColumn id="25" name="إنتاج آبار  SAR" dataDxfId="284" totalsRowDxfId="283" dataCellStyle="Normal 2"/>
    <tableColumn id="24" name="آبار احتياطية  SAR" dataDxfId="282" totalsRowDxfId="281" dataCellStyle="Normal 2">
      <calculatedColumnFormula>103-F2</calculatedColumnFormula>
    </tableColumn>
    <tableColumn id="8" name=" (T/B) SAR" dataDxfId="280" totalsRowDxfId="279" dataCellStyle="Normal 2"/>
    <tableColumn id="22" name=" (S/S) SAR" dataDxfId="278" totalsRowDxfId="277" dataCellStyle="Normal 2"/>
    <tableColumn id="38" name="(S/S+TB)SAR" dataDxfId="276" totalsRowDxfId="275" dataCellStyle="Normal 2">
      <calculatedColumnFormula>TABL1234[[#This Row],[ (T/B) SAR]]+TABL1234[[#This Row],[ (S/S) SAR]]</calculatedColumnFormula>
    </tableColumn>
    <tableColumn id="21" name="TAZ/SAR" dataDxfId="274" totalsRowDxfId="273" dataCellStyle="Normal 2"/>
    <tableColumn id="20" name=" % ECV SAR" dataDxfId="272" totalsRowDxfId="271" dataCellStyle="Normal 2"/>
    <tableColumn id="6" name="ECV (bar) SAR" dataDxfId="270" totalsRowDxfId="269" dataCellStyle="Normal 2"/>
    <tableColumn id="3" name="(S/S) AJD" dataDxfId="268" totalsRowDxfId="267"/>
    <tableColumn id="36" name="S/S_CON." dataDxfId="266" totalsRowDxfId="265">
      <calculatedColumnFormula>TABL1234[[#This Row],[ (S/S) SAR]]-TABL1234[[#This Row],[(S/S) AJD]]</calculatedColumnFormula>
    </tableColumn>
    <tableColumn id="5" name="(T/B) AJD" dataDxfId="264" totalsRowDxfId="263"/>
    <tableColumn id="35" name="T/B-CON." dataDxfId="262" totalsRowDxfId="261">
      <calculatedColumnFormula>TABL1234[[#This Row],[ (T/B) SAR]]-TABL1234[[#This Row],[(T/B) AJD]]</calculatedColumnFormula>
    </tableColumn>
    <tableColumn id="37" name="(S/S-T/B)-CON." dataDxfId="260" totalsRowDxfId="259">
      <calculatedColumnFormula>TABL1234[[#This Row],[T/B-CON.]]+TABL1234[[#This Row],[S/S_CON.]]</calculatedColumnFormula>
    </tableColumn>
    <tableColumn id="13" name="( S/S+T/B) AJD" dataDxfId="258" totalsRowDxfId="257">
      <calculatedColumnFormula>TABL1234[[#This Row],[(S/S) AJD]]+TABL1234[[#This Row],[(T/B) AJD]]</calculatedColumnFormula>
    </tableColumn>
    <tableColumn id="7" name="(A/B) AJD" dataDxfId="256" totalsRowDxfId="255"/>
    <tableColumn id="9" name="(A/S) AJD" dataDxfId="254" totalsRowDxfId="253"/>
    <tableColumn id="14" name="(A/B + A/S) AJD" dataDxfId="252" totalsRowDxfId="251">
      <calculatedColumnFormula>TABL1234[[#This Row],[(A/B) AJD]]+TABL1234[[#This Row],[(A/S) AJD]]</calculatedColumnFormula>
    </tableColumn>
    <tableColumn id="15" name="(IN-OUT) AJD" dataDxfId="250" totalsRowDxfId="249">
      <calculatedColumnFormula>TABL1234[[#This Row],[( S/S+T/B) AJD]]-TABL1234[[#This Row],[(A/B + A/S) AJD]]</calculatedColumnFormula>
    </tableColumn>
    <tableColumn id="10" name="(RES. LEVEL) AJD" dataDxfId="248" totalsRowDxfId="247"/>
    <tableColumn id="11" name="(RESV. STORGE) AJD" dataDxfId="246" totalsRowDxfId="245"/>
    <tableColumn id="40" name="AJD_STORG.* 10" dataDxfId="244" totalsRowDxfId="243" dataCellStyle="Normal 2">
      <calculatedColumnFormula>TABL1234[[#This Row],[(RESV. STORGE) AJD]]/10</calculatedColumnFormula>
    </tableColumn>
    <tableColumn id="4" name="(STORGE DIFF.) AJD" dataDxfId="242" totalsRowDxfId="241">
      <calculatedColumnFormula>(TABL123[[#This Row],[(RESV. STORGE) AJD]]-500797)/1000</calculatedColumnFormula>
    </tableColumn>
    <tableColumn id="12" name="AJD_Evaporation" dataDxfId="240" totalsRowDxfId="239" dataCellStyle="Normal 2"/>
    <tableColumn id="39" name="AJD_LOSES" dataDxfId="238" totalsRowDxfId="237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236" totalsRowDxfId="235"/>
    <tableColumn id="31" name="(RES. LEVEL) BER" dataDxfId="234" totalsRowDxfId="233"/>
    <tableColumn id="28" name=" (RESV. STORGE) BER" dataDxfId="232" totalsRowDxfId="231"/>
    <tableColumn id="29" name="BER_STORG. * 10" dataDxfId="230" totalsRowDxfId="229"/>
    <tableColumn id="34" name="BER_Evap." dataDxfId="228" totalsRowDxfId="227"/>
    <tableColumn id="32" name="A/B_CON." dataDxfId="226" totalsRowDxfId="225">
      <calculatedColumnFormula>TABL1234[[#This Row],[(A/B) AJD]]-TABL1234[[#This Row],[BER_IN]]</calculatedColumnFormula>
    </tableColumn>
    <tableColumn id="33" name="SER_IN" dataDxfId="224" totalsRowDxfId="223"/>
    <tableColumn id="27" name="(RES. LEVEL) SER " dataDxfId="222" totalsRowDxfId="221"/>
    <tableColumn id="2" name=" (RESV. STORGE) SER" dataDxfId="220" totalsRowDxfId="219" dataCellStyle="Normal 2"/>
    <tableColumn id="23" name="SER_STORG.* 10" dataDxfId="218" totalsRowDxfId="217" dataCellStyle="Normal 2">
      <calculatedColumnFormula>TABL1234[[#This Row],[ (RESV. STORGE) SER]]/10</calculatedColumnFormula>
    </tableColumn>
    <tableColumn id="41" name="SER_Evap." dataDxfId="216"/>
    <tableColumn id="42" name="A/S_CON." dataDxfId="215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214" headerRowBorderDxfId="213" tableBorderDxfId="212">
  <autoFilter ref="A1:AP367"/>
  <tableColumns count="42">
    <tableColumn id="1" name=" اليوم" dataDxfId="211" totalsRowDxfId="210" dataCellStyle="Normal 2"/>
    <tableColumn id="19" name="آبار منتجة TAZ" dataDxfId="209" totalsRowDxfId="208" dataCellStyle="Normal 2"/>
    <tableColumn id="18" name="الانتاج 1000 (م3) TAZ" dataDxfId="207" totalsRowDxfId="206" dataCellStyle="Normal 2"/>
    <tableColumn id="17" name="آبار عاملة TAZ" dataDxfId="205" totalsRowDxfId="204" dataCellStyle="Normal 2"/>
    <tableColumn id="16" name="آبار احتياطية" dataDxfId="203" totalsRowDxfId="202" dataCellStyle="Normal 2"/>
    <tableColumn id="26" name="آبار منتجة SAR" dataDxfId="201" totalsRowDxfId="200" dataCellStyle="Normal 2"/>
    <tableColumn id="25" name="إنتاج آبار  SAR" dataDxfId="199" totalsRowDxfId="198" dataCellStyle="Normal 2"/>
    <tableColumn id="24" name="آبار احتياطية  SAR" dataDxfId="197" totalsRowDxfId="196" dataCellStyle="Normal 2"/>
    <tableColumn id="8" name=" (T/B) SAR" dataDxfId="195" totalsRowDxfId="194" dataCellStyle="Normal 2"/>
    <tableColumn id="22" name=" (S/S) SAR" dataDxfId="193" totalsRowDxfId="192" dataCellStyle="Normal 2"/>
    <tableColumn id="38" name="(S/S+TB)SAR" dataDxfId="191" totalsRowDxfId="190" dataCellStyle="Normal 2">
      <calculatedColumnFormula>TABL12345[[#This Row],[ (T/B) SAR]]+TABL12345[[#This Row],[ (S/S) SAR]]</calculatedColumnFormula>
    </tableColumn>
    <tableColumn id="21" name="TAZ/SAR" dataDxfId="189" totalsRowDxfId="188" dataCellStyle="Normal 2"/>
    <tableColumn id="20" name=" % ECV SAR" dataDxfId="187" totalsRowDxfId="186" dataCellStyle="Normal 2"/>
    <tableColumn id="6" name="ECV (bar) SAR" dataDxfId="185" totalsRowDxfId="184" dataCellStyle="Normal 2"/>
    <tableColumn id="3" name="(S/S) AJD" dataDxfId="183" totalsRowDxfId="182"/>
    <tableColumn id="36" name="S/S_CON." dataDxfId="181" totalsRowDxfId="180">
      <calculatedColumnFormula>TABL12345[[#This Row],[ (S/S) SAR]]-TABL12345[[#This Row],[(S/S) AJD]]</calculatedColumnFormula>
    </tableColumn>
    <tableColumn id="5" name="(T/B) AJD" dataDxfId="179" totalsRowDxfId="178"/>
    <tableColumn id="35" name="T/B-CON." dataDxfId="177" totalsRowDxfId="176">
      <calculatedColumnFormula>TABL12345[[#This Row],[ (T/B) SAR]]-TABL12345[[#This Row],[(T/B) AJD]]</calculatedColumnFormula>
    </tableColumn>
    <tableColumn id="37" name="(S/S-T/B)-CON." dataDxfId="175" totalsRowDxfId="174">
      <calculatedColumnFormula>TABL12345[[#This Row],[S/S_CON.]]+TABL12345[[#This Row],[T/B-CON.]]</calculatedColumnFormula>
    </tableColumn>
    <tableColumn id="13" name="( S/S+T/B) AJD" dataDxfId="173" totalsRowDxfId="172">
      <calculatedColumnFormula>O2+Q2</calculatedColumnFormula>
    </tableColumn>
    <tableColumn id="7" name="(A/B) AJD" dataDxfId="171" totalsRowDxfId="170"/>
    <tableColumn id="9" name="(A/S) AJD" dataDxfId="169" totalsRowDxfId="168"/>
    <tableColumn id="14" name="(A/B + A/S) AJD" dataDxfId="167" totalsRowDxfId="166">
      <calculatedColumnFormula>U2+V2</calculatedColumnFormula>
    </tableColumn>
    <tableColumn id="15" name="(IN-OUT) AJD" dataDxfId="165" totalsRowDxfId="164">
      <calculatedColumnFormula>T2-W2</calculatedColumnFormula>
    </tableColumn>
    <tableColumn id="10" name="(RES. LEVEL) AJD" dataDxfId="163" totalsRowDxfId="162"/>
    <tableColumn id="11" name="(RESV. STORGE) AJD" dataDxfId="161" totalsRowDxfId="160"/>
    <tableColumn id="40" name="AJD_STORG.* 10" dataDxfId="159" totalsRowDxfId="158" dataCellStyle="Normal 2">
      <calculatedColumnFormula>TABL12345[[#This Row],[(RESV. STORGE) AJD]]/10</calculatedColumnFormula>
    </tableColumn>
    <tableColumn id="4" name="(STORGE DIFF.) AJD" dataDxfId="157" totalsRowDxfId="156"/>
    <tableColumn id="12" name="AJD_Evaporation" dataDxfId="155" totalsRowDxfId="154" dataCellStyle="Normal 2"/>
    <tableColumn id="39" name="AJD_LOSES" dataDxfId="153" totalsRowDxfId="15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51" totalsRowDxfId="150"/>
    <tableColumn id="31" name="(RES. LEVEL) BER" dataDxfId="149" totalsRowDxfId="148"/>
    <tableColumn id="28" name=" (RESV. STORGE) BER" dataDxfId="147" totalsRowDxfId="146"/>
    <tableColumn id="29" name="BER_STORG. * 10" dataDxfId="145" totalsRowDxfId="144">
      <calculatedColumnFormula>TABL12345[[#This Row],[ (RESV. STORGE) BER]]/10</calculatedColumnFormula>
    </tableColumn>
    <tableColumn id="34" name="BER_Evap." dataDxfId="143" totalsRowDxfId="142"/>
    <tableColumn id="32" name="A/B_CON." dataDxfId="141" totalsRowDxfId="140">
      <calculatedColumnFormula>TABL12345[[#This Row],[(A/B) AJD]]-TABL12345[[#This Row],[BER_IN]]</calculatedColumnFormula>
    </tableColumn>
    <tableColumn id="33" name="SER_IN" dataDxfId="139" totalsRowDxfId="138"/>
    <tableColumn id="27" name="(RES. LEVEL) SER " dataDxfId="137" totalsRowDxfId="136"/>
    <tableColumn id="2" name=" (RESV. STORGE) SER" dataDxfId="135" totalsRowDxfId="134" dataCellStyle="Normal 2"/>
    <tableColumn id="23" name="SER_STORG.* 10" dataDxfId="133" totalsRowDxfId="132" dataCellStyle="Normal 2">
      <calculatedColumnFormula>TABL12345[[#This Row],[ (RESV. STORGE) SER]]/10</calculatedColumnFormula>
    </tableColumn>
    <tableColumn id="41" name="SER_Evap." dataDxfId="131"/>
    <tableColumn id="42" name="A/S_CON." dataDxfId="130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129" headerRowBorderDxfId="128" tableBorderDxfId="127">
  <autoFilter ref="A1:AP366"/>
  <tableColumns count="42">
    <tableColumn id="1" name=" اليوم" dataDxfId="126" dataCellStyle="Normal 2"/>
    <tableColumn id="2" name="آبار منتجة TAZ" dataDxfId="125"/>
    <tableColumn id="3" name="الانتاج 1000 (م3) TAZ" dataDxfId="124"/>
    <tableColumn id="4" name="آبار عاملة TAZ" dataDxfId="123"/>
    <tableColumn id="5" name="آبار احتياطية" dataDxfId="122"/>
    <tableColumn id="6" name="آبار منتجة SAR" dataDxfId="121"/>
    <tableColumn id="7" name="إنتاج آبار  SAR" dataDxfId="120"/>
    <tableColumn id="8" name="آبار احتياطية  SAR" dataDxfId="119"/>
    <tableColumn id="9" name=" (T/B) SAR" dataDxfId="118"/>
    <tableColumn id="10" name=" (S/S) SAR" dataDxfId="117"/>
    <tableColumn id="11" name="(S/S+TB)SAR" dataDxfId="116" dataCellStyle="Normal 2">
      <calculatedColumnFormula>Table5[[#This Row],[ (T/B) SAR]]+Table5[[#This Row],[ (S/S) SAR]]</calculatedColumnFormula>
    </tableColumn>
    <tableColumn id="12" name="TAZ/SAR" dataDxfId="115"/>
    <tableColumn id="13" name=" % ECV SAR" dataDxfId="114"/>
    <tableColumn id="14" name="ECV (bar) SAR" dataDxfId="113"/>
    <tableColumn id="15" name="(S/S) AJD" dataDxfId="112"/>
    <tableColumn id="16" name="S/S_CON." dataDxfId="111">
      <calculatedColumnFormula>Table5[[#This Row],[ (S/S) SAR]]-Table5[[#This Row],[(S/S) AJD]]</calculatedColumnFormula>
    </tableColumn>
    <tableColumn id="17" name="(T/B) AJD" dataDxfId="110"/>
    <tableColumn id="18" name="T/B-CON." dataDxfId="109">
      <calculatedColumnFormula>Table5[[#This Row],[ (T/B) SAR]]-Table5[[#This Row],[(T/B) AJD]]</calculatedColumnFormula>
    </tableColumn>
    <tableColumn id="19" name="(S/S-T/B)-CON." dataDxfId="108">
      <calculatedColumnFormula>Table5[[#This Row],[S/S_CON.]]+Table5[[#This Row],[T/B-CON.]]</calculatedColumnFormula>
    </tableColumn>
    <tableColumn id="20" name="( S/S+T/B) AJD" dataDxfId="107">
      <calculatedColumnFormula>O2+Q2</calculatedColumnFormula>
    </tableColumn>
    <tableColumn id="21" name="(A/B) AJD" dataDxfId="106"/>
    <tableColumn id="22" name="(A/S) AJD" dataDxfId="105"/>
    <tableColumn id="23" name="(A/B + A/S) AJD" dataDxfId="104">
      <calculatedColumnFormula>U2+V2</calculatedColumnFormula>
    </tableColumn>
    <tableColumn id="24" name="(IN-OUT) AJD" dataDxfId="103">
      <calculatedColumnFormula>T2-W2</calculatedColumnFormula>
    </tableColumn>
    <tableColumn id="25" name="(RES. LEVEL) AJD" dataDxfId="102"/>
    <tableColumn id="26" name="(RESV. STORGE) AJD" dataDxfId="101"/>
    <tableColumn id="27" name="AJD_STORG.* 10" dataDxfId="100" dataCellStyle="Normal 2">
      <calculatedColumnFormula>Table5[[#This Row],[(RESV. STORGE) AJD]]/10</calculatedColumnFormula>
    </tableColumn>
    <tableColumn id="28" name="(STORGE DIFF.) AJD" dataDxfId="99" dataCellStyle="Normal 2">
      <calculatedColumnFormula>IF(TRIM(Z2)="",,(Z2-Z1)/1000)</calculatedColumnFormula>
    </tableColumn>
    <tableColumn id="29" name="AJD_Evaporation" dataDxfId="98"/>
    <tableColumn id="30" name="AJD_LOSES" dataDxfId="97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96"/>
    <tableColumn id="32" name="(RES. LEVEL) BER" dataDxfId="95"/>
    <tableColumn id="33" name=" (RESV. STORGE) BER" dataDxfId="94"/>
    <tableColumn id="34" name="BER_STORG. * 10" dataDxfId="93">
      <calculatedColumnFormula>Table5[[#This Row],[ (RESV. STORGE) BER]]/10</calculatedColumnFormula>
    </tableColumn>
    <tableColumn id="35" name="BER_Evap." dataDxfId="92"/>
    <tableColumn id="36" name="A/B_CON." dataDxfId="91">
      <calculatedColumnFormula>Table5[[#This Row],[(A/B) AJD]]-Table5[[#This Row],[BER_IN]]</calculatedColumnFormula>
    </tableColumn>
    <tableColumn id="37" name="SER_IN" dataDxfId="90"/>
    <tableColumn id="38" name="(RES. LEVEL) SER " dataDxfId="89"/>
    <tableColumn id="39" name=" (RESV. STORGE) SER" dataDxfId="88" dataCellStyle="Normal 2"/>
    <tableColumn id="40" name="SER_STORG.* 10" dataDxfId="87" dataCellStyle="Normal 2">
      <calculatedColumnFormula>Table5[[#This Row],[ (RESV. STORGE) SER]]/10</calculatedColumnFormula>
    </tableColumn>
    <tableColumn id="41" name="SER_Evap." dataDxfId="86"/>
    <tableColumn id="42" name="A/S_CON." dataDxfId="85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Table6[[#This Row],[ (T/B) SAR]]+Table6[[#This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Table6[[#This Row],[ (S/S) SAR]]-Table6[[#This Row],[(S/S) AJD]]</calculatedColumnFormula>
    </tableColumn>
    <tableColumn id="17" name="(T/B) AJD" dataDxfId="65"/>
    <tableColumn id="18" name="T/B-CON." dataDxfId="64">
      <calculatedColumnFormula>Table6[[#This Row],[ (T/B) SAR]]-Table6[[#This Row],[(T/B) AJD]]</calculatedColumnFormula>
    </tableColumn>
    <tableColumn id="19" name="(S/S-T/B)-CON." dataDxfId="63">
      <calculatedColumnFormula>Table6[[#This Row],[S/S_CON.]]+Table6[[#This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Table6[[#This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Table6[[#This Row],[ (RESV. STORGE) BER]]/10</calculatedColumnFormula>
    </tableColumn>
    <tableColumn id="35" name="BER_Evap." dataDxfId="47"/>
    <tableColumn id="36" name="A/B_CON." dataDxfId="46">
      <calculatedColumnFormula>Table6[[#This Row],[(A/B) AJD]]-TABL12345[[#This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Table6[[#This Row],[ (RESV. STORGE) SER]]/10</calculatedColumnFormula>
    </tableColumn>
    <tableColumn id="41" name="SER_Evap." dataDxfId="41"/>
    <tableColumn id="42" name="A/S_CON." dataDxfId="40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zoomScaleNormal="100" workbookViewId="0">
      <selection activeCell="AE285" sqref="AE285"/>
    </sheetView>
  </sheetViews>
  <sheetFormatPr baseColWidth="8" defaultRowHeight="15"/>
  <cols>
    <col width="12.5" customWidth="1" min="1" max="1"/>
    <col hidden="1" width="7.875" customWidth="1" style="56" min="2" max="2"/>
    <col hidden="1" width="8.125" customWidth="1" style="56" min="3" max="3"/>
    <col hidden="1" width="7.75" customWidth="1" style="56" min="4" max="4"/>
    <col hidden="1" width="8.25" customWidth="1" style="56" min="5" max="5"/>
    <col hidden="1" width="8.125" customWidth="1" style="56" min="6" max="6"/>
    <col hidden="1" width="8" customWidth="1" style="56" min="7" max="7"/>
    <col hidden="1" width="7.25" customWidth="1" style="56" min="8" max="8"/>
    <col hidden="1" width="9.375" customWidth="1" style="56" min="9" max="9"/>
    <col hidden="1"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hidden="1" width="9.75" customWidth="1" style="7" min="20" max="20"/>
    <col hidden="1" width="7" customWidth="1" style="7" min="21" max="21"/>
    <col hidden="1" width="6.875" customWidth="1" style="7" min="22" max="22"/>
    <col hidden="1" width="8.5" customWidth="1" style="7" min="23" max="23"/>
    <col hidden="1" width="11.125" customWidth="1" style="7" min="24" max="24"/>
    <col hidden="1" width="10.875" customWidth="1" style="7" min="25" max="25"/>
    <col hidden="1" width="9.125" customWidth="1" style="7" min="26" max="27"/>
    <col hidden="1" width="9.625" customWidth="1" style="7" min="28" max="28"/>
    <col hidden="1" width="13.5" customWidth="1" style="7" min="29" max="29"/>
    <col hidden="1"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 thickBot="1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idden="1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3">
        <f>TABL123[[#This Row],[ (RESV. STORGE) BER]]/10</f>
        <v/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109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idden="1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3">
        <f>TABL123[[#This Row],[ (RESV. STORGE) BER]]/10</f>
        <v/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109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idden="1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3">
        <f>TABL123[[#This Row],[ (RESV. STORGE) BER]]/10</f>
        <v/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109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idden="1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3">
        <f>TABL123[[#This Row],[ (RESV. STORGE) BER]]/10</f>
        <v/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109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idden="1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3">
        <f>TABL123[[#This Row],[ (RESV. STORGE) BER]]/10</f>
        <v/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109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idden="1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3">
        <f>TABL123[[#This Row],[ (RESV. STORGE) BER]]/10</f>
        <v/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109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idden="1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3">
        <f>TABL123[[#This Row],[ (RESV. STORGE) BER]]/10</f>
        <v/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109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idden="1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3">
        <f>TABL123[[#This Row],[ (RESV. STORGE) BER]]/10</f>
        <v/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109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idden="1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3">
        <f>TABL123[[#This Row],[ (RESV. STORGE) BER]]/10</f>
        <v/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109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idden="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3">
        <f>TABL123[[#This Row],[ (RESV. STORGE) BER]]/10</f>
        <v/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109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idden="1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3">
        <f>TABL123[[#This Row],[ (RESV. STORGE) BER]]/10</f>
        <v/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109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idden="1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3">
        <f>TABL123[[#This Row],[ (RESV. STORGE) BER]]/10</f>
        <v/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109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idden="1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3">
        <f>TABL123[[#This Row],[ (RESV. STORGE) BER]]/10</f>
        <v/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109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idden="1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3">
        <f>TABL123[[#This Row],[ (RESV. STORGE) BER]]/10</f>
        <v/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109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idden="1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3">
        <f>TABL123[[#This Row],[ (RESV. STORGE) BER]]/10</f>
        <v/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109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idden="1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3">
        <f>TABL123[[#This Row],[ (RESV. STORGE) BER]]/10</f>
        <v/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109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idden="1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3">
        <f>TABL123[[#This Row],[ (RESV. STORGE) BER]]/10</f>
        <v/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109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idden="1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3">
        <f>TABL123[[#This Row],[ (RESV. STORGE) BER]]/10</f>
        <v/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109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idden="1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3">
        <f>TABL123[[#This Row],[ (RESV. STORGE) BER]]/10</f>
        <v/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109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idden="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3">
        <f>TABL123[[#This Row],[ (RESV. STORGE) BER]]/10</f>
        <v/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109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idden="1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3">
        <f>TABL123[[#This Row],[ (RESV. STORGE) BER]]/10</f>
        <v/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109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idden="1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3">
        <f>TABL123[[#This Row],[ (RESV. STORGE) BER]]/10</f>
        <v/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109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idden="1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3">
        <f>TABL123[[#This Row],[ (RESV. STORGE) BER]]/10</f>
        <v/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109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idden="1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3">
        <f>TABL123[[#This Row],[ (RESV. STORGE) BER]]/10</f>
        <v/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109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idden="1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3">
        <f>TABL123[[#This Row],[ (RESV. STORGE) BER]]/10</f>
        <v/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109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idden="1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3">
        <f>TABL123[[#This Row],[ (RESV. STORGE) BER]]/10</f>
        <v/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109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idden="1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3">
        <f>TABL123[[#This Row],[ (RESV. STORGE) BER]]/10</f>
        <v/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109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idden="1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3">
        <f>TABL123[[#This Row],[ (RESV. STORGE) BER]]/10</f>
        <v/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109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idden="1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3">
        <f>TABL123[[#This Row],[ (RESV. STORGE) BER]]/10</f>
        <v/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109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idden="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3">
        <f>TABL123[[#This Row],[ (RESV. STORGE) BER]]/10</f>
        <v/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109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idden="1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3">
        <f>TABL123[[#This Row],[ (RESV. STORGE) BER]]/10</f>
        <v/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109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idden="1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3">
        <f>TABL123[[#This Row],[ (RESV. STORGE) BER]]/10</f>
        <v/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109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idden="1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3">
        <f>TABL123[[#This Row],[ (RESV. STORGE) BER]]/10</f>
        <v/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109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idden="1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3">
        <f>TABL123[[#This Row],[ (RESV. STORGE) BER]]/10</f>
        <v/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109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idden="1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3">
        <f>TABL123[[#This Row],[ (RESV. STORGE) BER]]/10</f>
        <v/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109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idden="1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3">
        <f>TABL123[[#This Row],[ (RESV. STORGE) BER]]/10</f>
        <v/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109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idden="1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3">
        <f>TABL123[[#This Row],[ (RESV. STORGE) BER]]/10</f>
        <v/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109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idden="1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3">
        <f>TABL123[[#This Row],[ (RESV. STORGE) BER]]/10</f>
        <v/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109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idden="1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3">
        <f>TABL123[[#This Row],[ (RESV. STORGE) BER]]/10</f>
        <v/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109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idden="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3">
        <f>TABL123[[#This Row],[ (RESV. STORGE) BER]]/10</f>
        <v/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109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idden="1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3">
        <f>TABL123[[#This Row],[ (RESV. STORGE) BER]]/10</f>
        <v/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109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idden="1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3">
        <f>TABL123[[#This Row],[ (RESV. STORGE) BER]]/10</f>
        <v/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109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idden="1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3">
        <f>TABL123[[#This Row],[ (RESV. STORGE) BER]]/10</f>
        <v/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109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idden="1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3">
        <f>TABL123[[#This Row],[ (RESV. STORGE) BER]]/10</f>
        <v/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109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idden="1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3">
        <f>TABL123[[#This Row],[ (RESV. STORGE) BER]]/10</f>
        <v/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109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idden="1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3">
        <f>TABL123[[#This Row],[ (RESV. STORGE) BER]]/10</f>
        <v/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109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idden="1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3">
        <f>TABL123[[#This Row],[ (RESV. STORGE) BER]]/10</f>
        <v/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109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idden="1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3">
        <f>TABL123[[#This Row],[ (RESV. STORGE) BER]]/10</f>
        <v/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109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idden="1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3">
        <f>TABL123[[#This Row],[ (RESV. STORGE) BER]]/10</f>
        <v/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109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idden="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3">
        <f>TABL123[[#This Row],[ (RESV. STORGE) BER]]/10</f>
        <v/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109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idden="1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3">
        <f>TABL123[[#This Row],[ (RESV. STORGE) BER]]/10</f>
        <v/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109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idden="1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3">
        <f>TABL123[[#This Row],[ (RESV. STORGE) BER]]/10</f>
        <v/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109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idden="1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3">
        <f>TABL123[[#This Row],[ (RESV. STORGE) BER]]/10</f>
        <v/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109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idden="1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3">
        <f>TABL123[[#This Row],[ (RESV. STORGE) BER]]/10</f>
        <v/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109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idden="1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3">
        <f>TABL123[[#This Row],[ (RESV. STORGE) BER]]/10</f>
        <v/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109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idden="1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3">
        <f>TABL123[[#This Row],[ (RESV. STORGE) BER]]/10</f>
        <v/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109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idden="1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3">
        <f>TABL123[[#This Row],[ (RESV. STORGE) BER]]/10</f>
        <v/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109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idden="1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3">
        <f>TABL123[[#This Row],[ (RESV. STORGE) BER]]/10</f>
        <v/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109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idden="1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3">
        <f>TABL123[[#This Row],[ (RESV. STORGE) BER]]/10</f>
        <v/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109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idden="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3">
        <f>TABL123[[#This Row],[ (RESV. STORGE) BER]]/10</f>
        <v/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109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idden="1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3">
        <f>TABL123[[#This Row],[ (RESV. STORGE) BER]]/10</f>
        <v/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109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idden="1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3">
        <f>TABL123[[#This Row],[ (RESV. STORGE) BER]]/10</f>
        <v/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109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idden="1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3">
        <f>TABL123[[#This Row],[ (RESV. STORGE) BER]]/10</f>
        <v/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109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idden="1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3">
        <f>TABL123[[#This Row],[ (RESV. STORGE) BER]]/10</f>
        <v/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109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idden="1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3">
        <f>TABL123[[#This Row],[ (RESV. STORGE) BER]]/10</f>
        <v/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109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idden="1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3">
        <f>TABL123[[#This Row],[ (RESV. STORGE) BER]]/10</f>
        <v/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109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idden="1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3">
        <f>TABL123[[#This Row],[ (RESV. STORGE) BER]]/10</f>
        <v/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109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idden="1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3">
        <f>TABL123[[#This Row],[ (RESV. STORGE) BER]]/10</f>
        <v/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109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idden="1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3">
        <f>TABL123[[#This Row],[ (RESV. STORGE) BER]]/10</f>
        <v/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109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idden="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3">
        <f>TABL123[[#This Row],[ (RESV. STORGE) BER]]/10</f>
        <v/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109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idden="1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3">
        <f>TABL123[[#This Row],[ (RESV. STORGE) BER]]/10</f>
        <v/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109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idden="1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3">
        <f>TABL123[[#This Row],[ (RESV. STORGE) BER]]/10</f>
        <v/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109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idden="1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3">
        <f>TABL123[[#This Row],[ (RESV. STORGE) BER]]/10</f>
        <v/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109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idden="1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3">
        <f>TABL123[[#This Row],[ (RESV. STORGE) BER]]/10</f>
        <v/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109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idden="1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3">
        <f>TABL123[[#This Row],[ (RESV. STORGE) BER]]/10</f>
        <v/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109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idden="1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3">
        <f>TABL123[[#This Row],[ (RESV. STORGE) BER]]/10</f>
        <v/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109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idden="1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3">
        <f>TABL123[[#This Row],[ (RESV. STORGE) BER]]/10</f>
        <v/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109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idden="1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3">
        <f>TABL123[[#This Row],[ (RESV. STORGE) BER]]/10</f>
        <v/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109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idden="1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3">
        <f>TABL123[[#This Row],[ (RESV. STORGE) BER]]/10</f>
        <v/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109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idden="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3">
        <f>TABL123[[#This Row],[ (RESV. STORGE) BER]]/10</f>
        <v/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109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idden="1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3">
        <f>TABL123[[#This Row],[ (RESV. STORGE) BER]]/10</f>
        <v/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109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idden="1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3">
        <f>TABL123[[#This Row],[ (RESV. STORGE) BER]]/10</f>
        <v/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109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idden="1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3">
        <f>TABL123[[#This Row],[ (RESV. STORGE) BER]]/10</f>
        <v/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109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idden="1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3">
        <f>TABL123[[#This Row],[ (RESV. STORGE) BER]]/10</f>
        <v/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109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idden="1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3">
        <f>TABL123[[#This Row],[ (RESV. STORGE) BER]]/10</f>
        <v/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109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idden="1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3">
        <f>TABL123[[#This Row],[ (RESV. STORGE) BER]]/10</f>
        <v/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109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idden="1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3">
        <f>TABL123[[#This Row],[ (RESV. STORGE) BER]]/10</f>
        <v/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109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idden="1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3">
        <f>TABL123[[#This Row],[ (RESV. STORGE) BER]]/10</f>
        <v/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109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idden="1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3">
        <f>TABL123[[#This Row],[ (RESV. STORGE) BER]]/10</f>
        <v/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109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idden="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3">
        <f>TABL123[[#This Row],[ (RESV. STORGE) BER]]/10</f>
        <v/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109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idden="1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3">
        <f>TABL123[[#This Row],[ (RESV. STORGE) BER]]/10</f>
        <v/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109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idden="1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3">
        <f>TABL123[[#This Row],[ (RESV. STORGE) BER]]/10</f>
        <v/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109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idden="1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3">
        <f>TABL123[[#This Row],[ (RESV. STORGE) BER]]/10</f>
        <v/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109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idden="1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3">
        <f>TABL123[[#This Row],[ (RESV. STORGE) BER]]/10</f>
        <v/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109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idden="1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3">
        <f>TABL123[[#This Row],[ (RESV. STORGE) BER]]/10</f>
        <v/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109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idden="1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3">
        <f>TABL123[[#This Row],[ (RESV. STORGE) BER]]/10</f>
        <v/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109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idden="1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3">
        <f>TABL123[[#This Row],[ (RESV. STORGE) BER]]/10</f>
        <v/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109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idden="1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3">
        <f>TABL123[[#This Row],[ (RESV. STORGE) BER]]/10</f>
        <v/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109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idden="1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3">
        <f>TABL123[[#This Row],[ (RESV. STORGE) BER]]/10</f>
        <v/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109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idden="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3">
        <f>TABL123[[#This Row],[ (RESV. STORGE) BER]]/10</f>
        <v/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109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idden="1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3">
        <f>TABL123[[#This Row],[ (RESV. STORGE) BER]]/10</f>
        <v/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109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idden="1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3">
        <f>TABL123[[#This Row],[ (RESV. STORGE) BER]]/10</f>
        <v/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109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idden="1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3">
        <f>TABL123[[#This Row],[ (RESV. STORGE) BER]]/10</f>
        <v/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109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idden="1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3">
        <f>TABL123[[#This Row],[ (RESV. STORGE) BER]]/10</f>
        <v/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109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idden="1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3">
        <f>TABL123[[#This Row],[ (RESV. STORGE) BER]]/10</f>
        <v/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109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idden="1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3">
        <f>TABL123[[#This Row],[ (RESV. STORGE) BER]]/10</f>
        <v/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109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idden="1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3">
        <f>TABL123[[#This Row],[ (RESV. STORGE) BER]]/10</f>
        <v/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109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idden="1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3">
        <f>TABL123[[#This Row],[ (RESV. STORGE) BER]]/10</f>
        <v/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109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idden="1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3">
        <f>TABL123[[#This Row],[ (RESV. STORGE) BER]]/10</f>
        <v/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109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idden="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3">
        <f>TABL123[[#This Row],[ (RESV. STORGE) BER]]/10</f>
        <v/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109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idden="1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3">
        <f>TABL123[[#This Row],[ (RESV. STORGE) BER]]/10</f>
        <v/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109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idden="1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3">
        <f>TABL123[[#This Row],[ (RESV. STORGE) BER]]/10</f>
        <v/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109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idden="1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3">
        <f>TABL123[[#This Row],[ (RESV. STORGE) BER]]/10</f>
        <v/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109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idden="1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3">
        <f>TABL123[[#This Row],[ (RESV. STORGE) BER]]/10</f>
        <v/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109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idden="1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3">
        <f>TABL123[[#This Row],[ (RESV. STORGE) BER]]/10</f>
        <v/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109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idden="1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3">
        <f>TABL123[[#This Row],[ (RESV. STORGE) BER]]/10</f>
        <v/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109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idden="1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3">
        <f>TABL123[[#This Row],[ (RESV. STORGE) BER]]/10</f>
        <v/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109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idden="1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3">
        <f>TABL123[[#This Row],[ (RESV. STORGE) BER]]/10</f>
        <v/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109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idden="1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3">
        <f>TABL123[[#This Row],[ (RESV. STORGE) BER]]/10</f>
        <v/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109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idden="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3">
        <f>TABL123[[#This Row],[ (RESV. STORGE) BER]]/10</f>
        <v/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109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idden="1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3">
        <f>TABL123[[#This Row],[ (RESV. STORGE) BER]]/10</f>
        <v/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109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idden="1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3">
        <f>TABL123[[#This Row],[ (RESV. STORGE) BER]]/10</f>
        <v/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109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idden="1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3">
        <f>TABL123[[#This Row],[ (RESV. STORGE) BER]]/10</f>
        <v/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109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idden="1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3">
        <f>TABL123[[#This Row],[ (RESV. STORGE) BER]]/10</f>
        <v/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109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idden="1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3">
        <f>TABL123[[#This Row],[ (RESV. STORGE) BER]]/10</f>
        <v/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109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idden="1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3">
        <f>TABL123[[#This Row],[ (RESV. STORGE) BER]]/10</f>
        <v/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109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idden="1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3">
        <f>TABL123[[#This Row],[ (RESV. STORGE) BER]]/10</f>
        <v/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109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idden="1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3">
        <f>TABL123[[#This Row],[ (RESV. STORGE) BER]]/10</f>
        <v/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109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idden="1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3">
        <f>TABL123[[#This Row],[ (RESV. STORGE) BER]]/10</f>
        <v/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109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idden="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3">
        <f>TABL123[[#This Row],[ (RESV. STORGE) BER]]/10</f>
        <v/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109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idden="1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3">
        <f>TABL123[[#This Row],[ (RESV. STORGE) BER]]/10</f>
        <v/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109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idden="1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3">
        <f>TABL123[[#This Row],[ (RESV. STORGE) BER]]/10</f>
        <v/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109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idden="1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3">
        <f>TABL123[[#This Row],[ (RESV. STORGE) BER]]/10</f>
        <v/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109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idden="1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3">
        <f>TABL123[[#This Row],[ (RESV. STORGE) BER]]/10</f>
        <v/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109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idden="1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3">
        <f>TABL123[[#This Row],[ (RESV. STORGE) BER]]/10</f>
        <v/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109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idden="1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3">
        <f>TABL123[[#This Row],[ (RESV. STORGE) BER]]/10</f>
        <v/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109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idden="1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3">
        <f>TABL123[[#This Row],[ (RESV. STORGE) BER]]/10</f>
        <v/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109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idden="1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3">
        <f>TABL123[[#This Row],[ (RESV. STORGE) BER]]/10</f>
        <v/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109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idden="1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3">
        <f>TABL123[[#This Row],[ (RESV. STORGE) BER]]/10</f>
        <v/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109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idden="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3">
        <f>TABL123[[#This Row],[ (RESV. STORGE) BER]]/10</f>
        <v/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109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idden="1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3">
        <f>TABL123[[#This Row],[ (RESV. STORGE) BER]]/10</f>
        <v/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109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idden="1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3">
        <f>TABL123[[#This Row],[ (RESV. STORGE) BER]]/10</f>
        <v/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109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idden="1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3">
        <f>TABL123[[#This Row],[ (RESV. STORGE) BER]]/10</f>
        <v/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109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idden="1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3">
        <f>TABL123[[#This Row],[ (RESV. STORGE) BER]]/10</f>
        <v/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109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idden="1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3">
        <f>TABL123[[#This Row],[ (RESV. STORGE) BER]]/10</f>
        <v/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109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idden="1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3">
        <f>TABL123[[#This Row],[ (RESV. STORGE) BER]]/10</f>
        <v/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109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idden="1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3">
        <f>TABL123[[#This Row],[ (RESV. STORGE) BER]]/10</f>
        <v/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109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idden="1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3">
        <f>TABL123[[#This Row],[ (RESV. STORGE) BER]]/10</f>
        <v/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109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idden="1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3">
        <f>TABL123[[#This Row],[ (RESV. STORGE) BER]]/10</f>
        <v/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109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idden="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3">
        <f>TABL123[[#This Row],[ (RESV. STORGE) BER]]/10</f>
        <v/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109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idden="1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3">
        <f>TABL123[[#This Row],[ (RESV. STORGE) BER]]/10</f>
        <v/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109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idden="1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3">
        <f>TABL123[[#This Row],[ (RESV. STORGE) BER]]/10</f>
        <v/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109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idden="1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3">
        <f>TABL123[[#This Row],[ (RESV. STORGE) BER]]/10</f>
        <v/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109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idden="1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3">
        <f>TABL123[[#This Row],[ (RESV. STORGE) BER]]/10</f>
        <v/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109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idden="1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3">
        <f>TABL123[[#This Row],[ (RESV. STORGE) BER]]/10</f>
        <v/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109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idden="1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3">
        <f>TABL123[[#This Row],[ (RESV. STORGE) BER]]/10</f>
        <v/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109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idden="1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3">
        <f>TABL123[[#This Row],[ (RESV. STORGE) BER]]/10</f>
        <v/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109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idden="1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3">
        <f>TABL123[[#This Row],[ (RESV. STORGE) BER]]/10</f>
        <v/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109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idden="1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3">
        <f>TABL123[[#This Row],[ (RESV. STORGE) BER]]/10</f>
        <v/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109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idden="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3">
        <f>TABL123[[#This Row],[ (RESV. STORGE) BER]]/10</f>
        <v/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109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idden="1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3">
        <f>TABL123[[#This Row],[ (RESV. STORGE) BER]]/10</f>
        <v/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109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idden="1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3">
        <f>TABL123[[#This Row],[ (RESV. STORGE) BER]]/10</f>
        <v/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109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idden="1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3">
        <f>TABL123[[#This Row],[ (RESV. STORGE) BER]]/10</f>
        <v/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109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idden="1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3">
        <f>TABL123[[#This Row],[ (RESV. STORGE) BER]]/10</f>
        <v/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109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idden="1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3">
        <f>TABL123[[#This Row],[ (RESV. STORGE) BER]]/10</f>
        <v/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109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idden="1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3">
        <f>TABL123[[#This Row],[ (RESV. STORGE) BER]]/10</f>
        <v/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109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idden="1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3">
        <f>TABL123[[#This Row],[ (RESV. STORGE) BER]]/10</f>
        <v/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109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idden="1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3">
        <f>TABL123[[#This Row],[ (RESV. STORGE) BER]]/10</f>
        <v/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109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idden="1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3">
        <f>TABL123[[#This Row],[ (RESV. STORGE) BER]]/10</f>
        <v/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109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idden="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3">
        <f>TABL123[[#This Row],[ (RESV. STORGE) BER]]/10</f>
        <v/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109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idden="1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3">
        <f>TABL123[[#This Row],[ (RESV. STORGE) BER]]/10</f>
        <v/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109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idden="1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3">
        <f>TABL123[[#This Row],[ (RESV. STORGE) BER]]/10</f>
        <v/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109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idden="1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3">
        <f>TABL123[[#This Row],[ (RESV. STORGE) BER]]/10</f>
        <v/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109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idden="1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3">
        <f>TABL123[[#This Row],[ (RESV. STORGE) BER]]/10</f>
        <v/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109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idden="1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3">
        <f>TABL123[[#This Row],[ (RESV. STORGE) BER]]/10</f>
        <v/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109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idden="1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3">
        <f>TABL123[[#This Row],[ (RESV. STORGE) BER]]/10</f>
        <v/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109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idden="1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3">
        <f>TABL123[[#This Row],[ (RESV. STORGE) BER]]/10</f>
        <v/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109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idden="1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3">
        <f>TABL123[[#This Row],[ (RESV. STORGE) BER]]/10</f>
        <v/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109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idden="1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3">
        <f>TABL123[[#This Row],[ (RESV. STORGE) BER]]/10</f>
        <v/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109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idden="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3">
        <f>TABL123[[#This Row],[ (RESV. STORGE) BER]]/10</f>
        <v/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109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idden="1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3">
        <f>TABL123[[#This Row],[ (RESV. STORGE) BER]]/10</f>
        <v/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109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idden="1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3">
        <f>TABL123[[#This Row],[ (RESV. STORGE) BER]]/10</f>
        <v/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109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idden="1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3">
        <f>TABL123[[#This Row],[ (RESV. STORGE) BER]]/10</f>
        <v/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109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idden="1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3">
        <f>TABL123[[#This Row],[ (RESV. STORGE) BER]]/10</f>
        <v/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109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idden="1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3">
        <f>TABL123[[#This Row],[ (RESV. STORGE) BER]]/10</f>
        <v/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109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idden="1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3">
        <f>TABL123[[#This Row],[ (RESV. STORGE) BER]]/10</f>
        <v/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109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idden="1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3">
        <f>TABL123[[#This Row],[ (RESV. STORGE) BER]]/10</f>
        <v/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109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idden="1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3">
        <f>TABL123[[#This Row],[ (RESV. STORGE) BER]]/10</f>
        <v/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109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idden="1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3">
        <f>TABL123[[#This Row],[ (RESV. STORGE) BER]]/10</f>
        <v/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109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idden="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3">
        <f>TABL123[[#This Row],[ (RESV. STORGE) BER]]/10</f>
        <v/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109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idden="1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3">
        <f>TABL123[[#This Row],[ (RESV. STORGE) BER]]/10</f>
        <v/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109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idden="1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3">
        <f>TABL123[[#This Row],[ (RESV. STORGE) BER]]/10</f>
        <v/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109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idden="1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3">
        <f>TABL123[[#This Row],[ (RESV. STORGE) BER]]/10</f>
        <v/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109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idden="1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3">
        <f>TABL123[[#This Row],[ (RESV. STORGE) BER]]/10</f>
        <v/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109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idden="1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3">
        <f>TABL123[[#This Row],[ (RESV. STORGE) BER]]/10</f>
        <v/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109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idden="1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3">
        <f>TABL123[[#This Row],[ (RESV. STORGE) BER]]/10</f>
        <v/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109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idden="1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3">
        <f>TABL123[[#This Row],[ (RESV. STORGE) BER]]/10</f>
        <v/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109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idden="1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3">
        <f>TABL123[[#This Row],[ (RESV. STORGE) BER]]/10</f>
        <v/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109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idden="1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3">
        <f>TABL123[[#This Row],[ (RESV. STORGE) BER]]/10</f>
        <v/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109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idden="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3">
        <f>TABL123[[#This Row],[ (RESV. STORGE) BER]]/10</f>
        <v/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109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idden="1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3">
        <f>TABL123[[#This Row],[ (RESV. STORGE) BER]]/10</f>
        <v/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109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idden="1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3">
        <f>TABL123[[#This Row],[ (RESV. STORGE) BER]]/10</f>
        <v/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109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idden="1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3">
        <f>TABL123[[#This Row],[ (RESV. STORGE) BER]]/10</f>
        <v/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109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idden="1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3">
        <f>TABL123[[#This Row],[ (RESV. STORGE) BER]]/10</f>
        <v/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109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idden="1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3">
        <f>TABL123[[#This Row],[ (RESV. STORGE) BER]]/10</f>
        <v/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109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idden="1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3">
        <f>TABL123[[#This Row],[ (RESV. STORGE) BER]]/10</f>
        <v/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109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idden="1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3">
        <f>TABL123[[#This Row],[ (RESV. STORGE) BER]]/10</f>
        <v/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109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idden="1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3">
        <f>TABL123[[#This Row],[ (RESV. STORGE) BER]]/10</f>
        <v/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109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idden="1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3">
        <f>TABL123[[#This Row],[ (RESV. STORGE) BER]]/10</f>
        <v/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109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idden="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3">
        <f>TABL123[[#This Row],[ (RESV. STORGE) BER]]/10</f>
        <v/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109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idden="1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3">
        <f>TABL123[[#This Row],[ (RESV. STORGE) BER]]/10</f>
        <v/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109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idden="1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3">
        <f>TABL123[[#This Row],[ (RESV. STORGE) BER]]/10</f>
        <v/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109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idden="1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3">
        <f>TABL123[[#This Row],[ (RESV. STORGE) BER]]/10</f>
        <v/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109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idden="1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3">
        <f>TABL123[[#This Row],[ (RESV. STORGE) BER]]/10</f>
        <v/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109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idden="1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3">
        <f>TABL123[[#This Row],[ (RESV. STORGE) BER]]/10</f>
        <v/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109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idden="1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3">
        <f>TABL123[[#This Row],[ (RESV. STORGE) BER]]/10</f>
        <v/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109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idden="1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3">
        <f>TABL123[[#This Row],[ (RESV. STORGE) BER]]/10</f>
        <v/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109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idden="1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3">
        <f>TABL123[[#This Row],[ (RESV. STORGE) BER]]/10</f>
        <v/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109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idden="1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3">
        <f>TABL123[[#This Row],[ (RESV. STORGE) BER]]/10</f>
        <v/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109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idden="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3">
        <f>TABL123[[#This Row],[ (RESV. STORGE) BER]]/10</f>
        <v/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109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idden="1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3">
        <f>TABL123[[#This Row],[ (RESV. STORGE) BER]]/10</f>
        <v/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109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idden="1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3">
        <f>TABL123[[#This Row],[ (RESV. STORGE) BER]]/10</f>
        <v/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109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idden="1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3">
        <f>TABL123[[#This Row],[ (RESV. STORGE) BER]]/10</f>
        <v/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109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idden="1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3">
        <f>TABL123[[#This Row],[ (RESV. STORGE) BER]]/10</f>
        <v/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109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idden="1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3">
        <f>TABL123[[#This Row],[ (RESV. STORGE) BER]]/10</f>
        <v/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109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idden="1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3">
        <f>TABL123[[#This Row],[ (RESV. STORGE) BER]]/10</f>
        <v/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109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idden="1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3">
        <f>TABL123[[#This Row],[ (RESV. STORGE) BER]]/10</f>
        <v/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109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idden="1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3">
        <f>TABL123[[#This Row],[ (RESV. STORGE) BER]]/10</f>
        <v/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109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idden="1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3">
        <f>TABL123[[#This Row],[ (RESV. STORGE) BER]]/10</f>
        <v/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109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idden="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3">
        <f>TABL123[[#This Row],[ (RESV. STORGE) BER]]/10</f>
        <v/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109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idden="1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3">
        <f>TABL123[[#This Row],[ (RESV. STORGE) BER]]/10</f>
        <v/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109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idden="1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3">
        <f>TABL123[[#This Row],[ (RESV. STORGE) BER]]/10</f>
        <v/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109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idden="1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3">
        <f>TABL123[[#This Row],[ (RESV. STORGE) BER]]/10</f>
        <v/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109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idden="1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3">
        <f>TABL123[[#This Row],[ (RESV. STORGE) BER]]/10</f>
        <v/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109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idden="1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3">
        <f>TABL123[[#This Row],[ (RESV. STORGE) BER]]/10</f>
        <v/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109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idden="1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3">
        <f>TABL123[[#This Row],[ (RESV. STORGE) BER]]/10</f>
        <v/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109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idden="1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3">
        <f>TABL123[[#This Row],[ (RESV. STORGE) BER]]/10</f>
        <v/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109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idden="1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3">
        <f>TABL123[[#This Row],[ (RESV. STORGE) BER]]/10</f>
        <v/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109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idden="1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3">
        <f>TABL123[[#This Row],[ (RESV. STORGE) BER]]/10</f>
        <v/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109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idden="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3">
        <f>TABL123[[#This Row],[ (RESV. STORGE) BER]]/10</f>
        <v/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109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idden="1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3">
        <f>TABL123[[#This Row],[ (RESV. STORGE) BER]]/10</f>
        <v/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109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idden="1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3">
        <f>TABL123[[#This Row],[ (RESV. STORGE) BER]]/10</f>
        <v/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109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idden="1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3">
        <f>TABL123[[#This Row],[ (RESV. STORGE) BER]]/10</f>
        <v/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109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idden="1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3">
        <f>TABL123[[#This Row],[ (RESV. STORGE) BER]]/10</f>
        <v/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109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idden="1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3">
        <f>TABL123[[#This Row],[ (RESV. STORGE) BER]]/10</f>
        <v/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109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idden="1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3">
        <f>TABL123[[#This Row],[ (RESV. STORGE) BER]]/10</f>
        <v/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109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idden="1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3">
        <f>TABL123[[#This Row],[ (RESV. STORGE) BER]]/10</f>
        <v/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109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idden="1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3">
        <f>TABL123[[#This Row],[ (RESV. STORGE) BER]]/10</f>
        <v/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109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idden="1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3">
        <f>TABL123[[#This Row],[ (RESV. STORGE) BER]]/10</f>
        <v/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109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idden="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3">
        <f>TABL123[[#This Row],[ (RESV. STORGE) BER]]/10</f>
        <v/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109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idden="1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3">
        <f>TABL123[[#This Row],[ (RESV. STORGE) BER]]/10</f>
        <v/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109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idden="1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3">
        <f>TABL123[[#This Row],[ (RESV. STORGE) BER]]/10</f>
        <v/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109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idden="1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3">
        <f>TABL123[[#This Row],[ (RESV. STORGE) BER]]/10</f>
        <v/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109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idden="1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3">
        <f>TABL123[[#This Row],[ (RESV. STORGE) BER]]/10</f>
        <v/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109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idden="1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3">
        <f>TABL123[[#This Row],[ (RESV. STORGE) BER]]/10</f>
        <v/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109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idden="1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3">
        <f>TABL123[[#This Row],[ (RESV. STORGE) BER]]/10</f>
        <v/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109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idden="1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3">
        <f>TABL123[[#This Row],[ (RESV. STORGE) BER]]/10</f>
        <v/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109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idden="1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3">
        <f>TABL123[[#This Row],[ (RESV. STORGE) BER]]/10</f>
        <v/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109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idden="1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3">
        <f>TABL123[[#This Row],[ (RESV. STORGE) BER]]/10</f>
        <v/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109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idden="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3">
        <f>TABL123[[#This Row],[ (RESV. STORGE) BER]]/10</f>
        <v/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109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idden="1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3">
        <f>TABL123[[#This Row],[ (RESV. STORGE) BER]]/10</f>
        <v/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109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idden="1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3">
        <f>TABL123[[#This Row],[ (RESV. STORGE) BER]]/10</f>
        <v/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109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idden="1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3">
        <f>TABL123[[#This Row],[ (RESV. STORGE) BER]]/10</f>
        <v/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109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idden="1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3">
        <f>TABL123[[#This Row],[ (RESV. STORGE) BER]]/10</f>
        <v/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109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idden="1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3">
        <f>TABL123[[#This Row],[ (RESV. STORGE) BER]]/10</f>
        <v/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109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idden="1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3">
        <f>TABL123[[#This Row],[ (RESV. STORGE) BER]]/10</f>
        <v/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109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idden="1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3">
        <f>TABL123[[#This Row],[ (RESV. STORGE) BER]]/10</f>
        <v/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109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idden="1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3">
        <f>TABL123[[#This Row],[ (RESV. STORGE) BER]]/10</f>
        <v/>
      </c>
      <c r="AI269" s="78" t="n"/>
      <c r="AJ269" s="78">
        <f>TABL123[[#This Row],[(A/B) AJD]]-TABL123[[#This Row],[BER_IN]]</f>
        <v/>
      </c>
      <c r="AK269" s="78" t="n"/>
      <c r="AL269" s="109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idden="1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3">
        <f>TABL123[[#This Row],[ (RESV. STORGE) BER]]/10</f>
        <v/>
      </c>
      <c r="AI270" s="78" t="n"/>
      <c r="AJ270" s="78">
        <f>TABL123[[#This Row],[(A/B) AJD]]-TABL123[[#This Row],[BER_IN]]</f>
        <v/>
      </c>
      <c r="AK270" s="78" t="n"/>
      <c r="AL270" s="109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idden="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3">
        <f>TABL123[[#This Row],[ (RESV. STORGE) BER]]/10</f>
        <v/>
      </c>
      <c r="AI271" s="78" t="n"/>
      <c r="AJ271" s="78">
        <f>TABL123[[#This Row],[(A/B) AJD]]-TABL123[[#This Row],[BER_IN]]</f>
        <v/>
      </c>
      <c r="AK271" s="78" t="n"/>
      <c r="AL271" s="109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idden="1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3">
        <f>TABL123[[#This Row],[ (RESV. STORGE) BER]]/10</f>
        <v/>
      </c>
      <c r="AI272" s="78" t="n"/>
      <c r="AJ272" s="78">
        <f>TABL123[[#This Row],[(A/B) AJD]]-TABL123[[#This Row],[BER_IN]]</f>
        <v/>
      </c>
      <c r="AK272" s="78" t="n"/>
      <c r="AL272" s="109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idden="1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3">
        <f>TABL123[[#This Row],[ (RESV. STORGE) BER]]/10</f>
        <v/>
      </c>
      <c r="AI273" s="78" t="n"/>
      <c r="AJ273" s="78">
        <f>TABL123[[#This Row],[(A/B) AJD]]-TABL123[[#This Row],[BER_IN]]</f>
        <v/>
      </c>
      <c r="AK273" s="78" t="n"/>
      <c r="AL273" s="109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idden="1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3">
        <f>TABL123[[#This Row],[ (RESV. STORGE) BER]]/10</f>
        <v/>
      </c>
      <c r="AI274" s="78" t="n"/>
      <c r="AJ274" s="78">
        <f>TABL123[[#This Row],[(A/B) AJD]]-TABL123[[#This Row],[BER_IN]]</f>
        <v/>
      </c>
      <c r="AK274" s="78" t="n"/>
      <c r="AL274" s="109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>
        <v>485</v>
      </c>
      <c r="J275" s="28" t="n">
        <v>475</v>
      </c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IF(TRIM(Z275)="","",(Z275-Z274)/1000)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3">
        <f>TABL123[[#This Row],[ (RESV. STORGE) BER]]/10</f>
        <v/>
      </c>
      <c r="AI275" s="78" t="n"/>
      <c r="AJ275" s="78">
        <f>TABL123[[#This Row],[(A/B) AJD]]-TABL123[[#This Row],[BER_IN]]</f>
        <v/>
      </c>
      <c r="AK275" s="78" t="n">
        <v>0</v>
      </c>
      <c r="AL275" s="109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>
        <v>485</v>
      </c>
      <c r="J276" s="28" t="n">
        <v>475</v>
      </c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IF(TRIM(Z276)="","",(Z276-Z275)/1000)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3">
        <f>TABL123[[#This Row],[ (RESV. STORGE) BER]]/10</f>
        <v/>
      </c>
      <c r="AI276" s="78" t="n"/>
      <c r="AJ276" s="78">
        <f>TABL123[[#This Row],[(A/B) AJD]]-TABL123[[#This Row],[BER_IN]]</f>
        <v/>
      </c>
      <c r="AK276" s="78" t="n">
        <v>0</v>
      </c>
      <c r="AL276" s="109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>
        <v>490</v>
      </c>
      <c r="J277" s="28" t="n">
        <v>480</v>
      </c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IF(TRIM(Z277)="","",(Z277-Z276)/1000)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3">
        <f>TABL123[[#This Row],[ (RESV. STORGE) BER]]/10</f>
        <v/>
      </c>
      <c r="AI277" s="78" t="n"/>
      <c r="AJ277" s="78">
        <f>TABL123[[#This Row],[(A/B) AJD]]-TABL123[[#This Row],[BER_IN]]</f>
        <v/>
      </c>
      <c r="AK277" s="78" t="n">
        <v>32</v>
      </c>
      <c r="AL277" s="109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>
        <v>502</v>
      </c>
      <c r="J278" s="28" t="n">
        <v>488</v>
      </c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IF(TRIM(Z278)="","",(Z278-Z277)/1000)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3">
        <f>TABL123[[#This Row],[ (RESV. STORGE) BER]]/10</f>
        <v/>
      </c>
      <c r="AI278" s="78" t="n"/>
      <c r="AJ278" s="78">
        <f>TABL123[[#This Row],[(A/B) AJD]]-TABL123[[#This Row],[BER_IN]]</f>
        <v/>
      </c>
      <c r="AK278" s="78" t="n">
        <v>38</v>
      </c>
      <c r="AL278" s="109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>
        <v>500</v>
      </c>
      <c r="J279" s="28" t="n">
        <v>487</v>
      </c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IF(TRIM(Z279)="","",(Z279-Z278)/1000)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3">
        <f>TABL123[[#This Row],[ (RESV. STORGE) BER]]/10</f>
        <v/>
      </c>
      <c r="AI279" s="78" t="n"/>
      <c r="AJ279" s="78">
        <f>TABL123[[#This Row],[(A/B) AJD]]-TABL123[[#This Row],[BER_IN]]</f>
        <v/>
      </c>
      <c r="AK279" s="78" t="n">
        <v>26</v>
      </c>
      <c r="AL279" s="109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>
        <v>498</v>
      </c>
      <c r="J280" s="28" t="n">
        <v>484</v>
      </c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IF(TRIM(Z280)="","",(Z280-Z279)/1000)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3">
        <f>TABL123[[#This Row],[ (RESV. STORGE) BER]]/10</f>
        <v/>
      </c>
      <c r="AI280" s="78" t="n"/>
      <c r="AJ280" s="78">
        <f>TABL123[[#This Row],[(A/B) AJD]]-TABL123[[#This Row],[BER_IN]]</f>
        <v/>
      </c>
      <c r="AK280" s="78" t="n">
        <v>27</v>
      </c>
      <c r="AL280" s="109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>
        <v>492</v>
      </c>
      <c r="J281" s="28" t="n">
        <v>482</v>
      </c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IF(TRIM(Z281)="","",(Z281-Z280)/1000)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3">
        <f>TABL123[[#This Row],[ (RESV. STORGE) BER]]/10</f>
        <v/>
      </c>
      <c r="AI281" s="78" t="n"/>
      <c r="AJ281" s="78">
        <f>TABL123[[#This Row],[(A/B) AJD]]-TABL123[[#This Row],[BER_IN]]</f>
        <v/>
      </c>
      <c r="AK281" s="78" t="n">
        <v>27</v>
      </c>
      <c r="AL281" s="109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>
        <v>491</v>
      </c>
      <c r="J282" s="28" t="n">
        <v>481</v>
      </c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IF(TRIM(Z282)="","",(Z282-Z281)/1000)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3">
        <f>TABL123[[#This Row],[ (RESV. STORGE) BER]]/10</f>
        <v/>
      </c>
      <c r="AI282" s="78" t="n"/>
      <c r="AJ282" s="78">
        <f>TABL123[[#This Row],[(A/B) AJD]]-TABL123[[#This Row],[BER_IN]]</f>
        <v/>
      </c>
      <c r="AK282" s="78" t="n">
        <v>27</v>
      </c>
      <c r="AL282" s="109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>
        <v>492</v>
      </c>
      <c r="J283" s="28" t="n">
        <v>481</v>
      </c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IF(TRIM(Z283)="","",(Z283-Z282)/1000)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3">
        <f>TABL123[[#This Row],[ (RESV. STORGE) BER]]/10</f>
        <v/>
      </c>
      <c r="AI283" s="78" t="n"/>
      <c r="AJ283" s="78">
        <f>TABL123[[#This Row],[(A/B) AJD]]-TABL123[[#This Row],[BER_IN]]</f>
        <v/>
      </c>
      <c r="AK283" s="78" t="n">
        <v>27</v>
      </c>
      <c r="AL283" s="109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>
        <v>490</v>
      </c>
      <c r="J284" s="28" t="n">
        <v>480</v>
      </c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IF(TRIM(Z284)="","",(Z284-Z283)/1000)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3">
        <f>TABL123[[#This Row],[ (RESV. STORGE) BER]]/10</f>
        <v/>
      </c>
      <c r="AI284" s="78" t="n"/>
      <c r="AJ284" s="78">
        <f>TABL123[[#This Row],[(A/B) AJD]]-TABL123[[#This Row],[BER_IN]]</f>
        <v/>
      </c>
      <c r="AK284" s="78" t="n">
        <v>27</v>
      </c>
      <c r="AL284" s="109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>
        <v>488</v>
      </c>
      <c r="J285" s="28" t="n">
        <v>478</v>
      </c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IF(TRIM(Z285)="","",(Z285-Z284)/1000)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3">
        <f>TABL123[[#This Row],[ (RESV. STORGE) BER]]/10</f>
        <v/>
      </c>
      <c r="AI285" s="78" t="n"/>
      <c r="AJ285" s="78">
        <f>TABL123[[#This Row],[(A/B) AJD]]-TABL123[[#This Row],[BER_IN]]</f>
        <v/>
      </c>
      <c r="AK285" s="78" t="n">
        <v>28</v>
      </c>
      <c r="AL285" s="109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>
        <v>488</v>
      </c>
      <c r="J286" s="28" t="n">
        <v>477</v>
      </c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IF(TRIM(Z286)="","",(Z286-Z285)/1000)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>
        <v>60</v>
      </c>
      <c r="AF286" s="68" t="n">
        <v>58.367</v>
      </c>
      <c r="AG286" s="68" t="n">
        <v>1207470</v>
      </c>
      <c r="AH286" s="3">
        <f>TABL123[[#This Row],[ (RESV. STORGE) BER]]/10</f>
        <v/>
      </c>
      <c r="AI286" s="78" t="n">
        <v>2741</v>
      </c>
      <c r="AJ286" s="78">
        <f>TABL123[[#This Row],[(A/B) AJD]]-TABL123[[#This Row],[BER_IN]]</f>
        <v/>
      </c>
      <c r="AK286" s="78" t="n">
        <v>28</v>
      </c>
      <c r="AL286" s="109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>
        <v>485</v>
      </c>
      <c r="J287" s="28" t="n">
        <v>475</v>
      </c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IF(TRIM(Z287)="","",(Z287-Z286)/1000)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>
        <v>60</v>
      </c>
      <c r="AF287" s="68" t="n">
        <v>58.392</v>
      </c>
      <c r="AG287" s="68" t="n">
        <v>1223841</v>
      </c>
      <c r="AH287" s="3">
        <f>TABL123[[#This Row],[ (RESV. STORGE) BER]]/10</f>
        <v/>
      </c>
      <c r="AI287" s="78" t="n">
        <v>2405</v>
      </c>
      <c r="AJ287" s="78">
        <f>TABL123[[#This Row],[(A/B) AJD]]-TABL123[[#This Row],[BER_IN]]</f>
        <v/>
      </c>
      <c r="AK287" s="78" t="n">
        <v>28</v>
      </c>
      <c r="AL287" s="109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>
        <f>103-F288</f>
        <v/>
      </c>
      <c r="I288" s="28" t="n">
        <v>485</v>
      </c>
      <c r="J288" s="28" t="n">
        <v>475</v>
      </c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IF(TRIM(Z288)="","",(Z288-Z287)/1000)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>
        <v>60</v>
      </c>
      <c r="AF288" s="68" t="n">
        <v>58.437</v>
      </c>
      <c r="AG288" s="68" t="n">
        <v>1253323</v>
      </c>
      <c r="AH288" s="3">
        <f>TABL123[[#This Row],[ (RESV. STORGE) BER]]/10</f>
        <v/>
      </c>
      <c r="AI288" s="78" t="n">
        <v>1966</v>
      </c>
      <c r="AJ288" s="78">
        <f>TABL123[[#This Row],[(A/B) AJD]]-TABL123[[#This Row],[BER_IN]]</f>
        <v/>
      </c>
      <c r="AK288" s="78" t="n">
        <v>28</v>
      </c>
      <c r="AL288" s="109" t="n">
        <v>42.3233</v>
      </c>
      <c r="AM288" s="87" t="n">
        <v>2743630</v>
      </c>
      <c r="AN288" s="87">
        <f>TABL123[[#This Row],[ (RESV. STORGE) SER]]/10</f>
        <v/>
      </c>
      <c r="AO288" s="6" t="n">
        <v>1960</v>
      </c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>
        <v>34</v>
      </c>
      <c r="C289" s="28" t="n">
        <v>279</v>
      </c>
      <c r="D289" s="35" t="n">
        <v>35</v>
      </c>
      <c r="E289" s="28" t="n">
        <v>0</v>
      </c>
      <c r="F289" s="28" t="n">
        <v>93</v>
      </c>
      <c r="G289" s="28" t="n">
        <v>617</v>
      </c>
      <c r="H289" s="28">
        <f>103-F289</f>
        <v/>
      </c>
      <c r="I289" s="28" t="n">
        <v>486</v>
      </c>
      <c r="J289" s="28" t="n">
        <v>476</v>
      </c>
      <c r="K289" s="28">
        <f>TABL123[[#This Row],[ (T/B) SAR]]+TABL123[[#This Row],[ (S/S) SAR]]</f>
        <v/>
      </c>
      <c r="L289" s="28" t="n">
        <v>315</v>
      </c>
      <c r="M289" s="29" t="n">
        <v>24.1</v>
      </c>
      <c r="N289" s="30" t="n">
        <v>6.87</v>
      </c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IF(TRIM(Z289)="","",(Z289-Z288)/1000)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>
        <v>60</v>
      </c>
      <c r="AF289" s="68" t="n">
        <v>58.461</v>
      </c>
      <c r="AG289" s="68" t="n">
        <v>1269054</v>
      </c>
      <c r="AH289" s="3">
        <f>TABL123[[#This Row],[ (RESV. STORGE) BER]]/10</f>
        <v/>
      </c>
      <c r="AI289" s="78" t="n">
        <v>2354</v>
      </c>
      <c r="AJ289" s="78">
        <f>TABL123[[#This Row],[(A/B) AJD]]-TABL123[[#This Row],[BER_IN]]</f>
        <v/>
      </c>
      <c r="AK289" s="78" t="n">
        <v>28</v>
      </c>
      <c r="AL289" s="109" t="n">
        <v>42.3229</v>
      </c>
      <c r="AM289" s="87" t="n">
        <v>2743610</v>
      </c>
      <c r="AN289" s="87">
        <f>TABL123[[#This Row],[ (RESV. STORGE) SER]]/10</f>
        <v/>
      </c>
      <c r="AO289" s="6" t="n">
        <v>1970</v>
      </c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>
        <v>35</v>
      </c>
      <c r="C290" s="28" t="n">
        <v>284</v>
      </c>
      <c r="D290" s="35" t="n">
        <v>35</v>
      </c>
      <c r="E290" s="28" t="n">
        <v>0</v>
      </c>
      <c r="F290" s="28" t="n">
        <v>93</v>
      </c>
      <c r="G290" s="28" t="n">
        <v>617</v>
      </c>
      <c r="H290" s="28">
        <f>103-F290</f>
        <v/>
      </c>
      <c r="I290" s="28" t="n">
        <v>483</v>
      </c>
      <c r="J290" s="28" t="n">
        <v>474</v>
      </c>
      <c r="K290" s="28">
        <f>TABL123[[#This Row],[ (T/B) SAR]]+TABL123[[#This Row],[ (S/S) SAR]]</f>
        <v/>
      </c>
      <c r="L290" s="28" t="n">
        <v>310</v>
      </c>
      <c r="M290" s="29" t="n">
        <v>23.6</v>
      </c>
      <c r="N290" s="30" t="n">
        <v>6.91</v>
      </c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IF(TRIM(Z290)="","",(Z290-Z289)/1000)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>
        <v>60</v>
      </c>
      <c r="AF290" s="68" t="n">
        <v>58.495</v>
      </c>
      <c r="AG290" s="68" t="n">
        <v>1291348</v>
      </c>
      <c r="AH290" s="3">
        <f>TABL123[[#This Row],[ (RESV. STORGE) BER]]/10</f>
        <v/>
      </c>
      <c r="AI290" s="78" t="n">
        <v>2298</v>
      </c>
      <c r="AJ290" s="78">
        <f>TABL123[[#This Row],[(A/B) AJD]]-TABL123[[#This Row],[BER_IN]]</f>
        <v/>
      </c>
      <c r="AK290" s="78" t="n">
        <v>28</v>
      </c>
      <c r="AL290" s="109" t="n">
        <v>42.3156</v>
      </c>
      <c r="AM290" s="87" t="n">
        <v>2739880</v>
      </c>
      <c r="AN290" s="87">
        <f>TABL123[[#This Row],[ (RESV. STORGE) SER]]/10</f>
        <v/>
      </c>
      <c r="AO290" s="6" t="n">
        <v>1830</v>
      </c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>
        <v>32</v>
      </c>
      <c r="C291" s="28" t="n">
        <v>251</v>
      </c>
      <c r="D291" s="28" t="n">
        <v>35</v>
      </c>
      <c r="E291" s="28" t="n">
        <v>0</v>
      </c>
      <c r="F291" s="28" t="n">
        <v>93</v>
      </c>
      <c r="G291" s="28" t="n">
        <v>617</v>
      </c>
      <c r="H291" s="28">
        <f>103-F291</f>
        <v/>
      </c>
      <c r="I291" s="28" t="n">
        <v>483</v>
      </c>
      <c r="J291" s="28" t="n">
        <v>474</v>
      </c>
      <c r="K291" s="28">
        <f>TABL123[[#This Row],[ (T/B) SAR]]+TABL123[[#This Row],[ (S/S) SAR]]</f>
        <v/>
      </c>
      <c r="L291" s="28" t="n">
        <v>310</v>
      </c>
      <c r="M291" s="29" t="n">
        <v>23.6</v>
      </c>
      <c r="N291" s="30" t="n">
        <v>6.81</v>
      </c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IF(TRIM(Z291)="","",(Z291-Z290)/1000)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>
        <v>60</v>
      </c>
      <c r="AF291" s="68" t="n">
        <v>58.518</v>
      </c>
      <c r="AG291" s="68" t="n">
        <v>1306434</v>
      </c>
      <c r="AH291" s="3">
        <f>TABL123[[#This Row],[ (RESV. STORGE) BER]]/10</f>
        <v/>
      </c>
      <c r="AI291" s="78" t="n">
        <v>2583</v>
      </c>
      <c r="AJ291" s="78">
        <f>TABL123[[#This Row],[(A/B) AJD]]-TABL123[[#This Row],[BER_IN]]</f>
        <v/>
      </c>
      <c r="AK291" s="78" t="n">
        <v>28</v>
      </c>
      <c r="AL291" s="109" t="n">
        <v>42.3233</v>
      </c>
      <c r="AM291" s="87" t="n">
        <v>2743630</v>
      </c>
      <c r="AN291" s="87">
        <f>TABL123[[#This Row],[ (RESV. STORGE) SER]]/10</f>
        <v/>
      </c>
      <c r="AO291" s="6" t="n">
        <v>1850</v>
      </c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>
        <v>35</v>
      </c>
      <c r="C292" s="28" t="n">
        <v>273</v>
      </c>
      <c r="D292" s="28" t="n">
        <v>35</v>
      </c>
      <c r="E292" s="28" t="n">
        <v>0</v>
      </c>
      <c r="F292" s="28" t="n">
        <v>93</v>
      </c>
      <c r="G292" s="28" t="n">
        <v>617</v>
      </c>
      <c r="H292" s="28">
        <f>103-F292</f>
        <v/>
      </c>
      <c r="I292" s="28" t="n">
        <v>480</v>
      </c>
      <c r="J292" s="28" t="n">
        <v>470</v>
      </c>
      <c r="K292" s="28">
        <f>TABL123[[#This Row],[ (T/B) SAR]]+TABL123[[#This Row],[ (S/S) SAR]]</f>
        <v/>
      </c>
      <c r="L292" s="28" t="n">
        <v>297</v>
      </c>
      <c r="M292" s="29" t="n">
        <v>22.7</v>
      </c>
      <c r="N292" s="30" t="n">
        <v>6.73</v>
      </c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IF(TRIM(Z292)="","",(Z292-Z291)/1000)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>
        <v>60</v>
      </c>
      <c r="AF292" s="68" t="n">
        <v>58.545</v>
      </c>
      <c r="AG292" s="68" t="n">
        <v>1324151</v>
      </c>
      <c r="AH292" s="3">
        <f>TABL123[[#This Row],[ (RESV. STORGE) BER]]/10</f>
        <v/>
      </c>
      <c r="AI292" s="78" t="n">
        <v>2443</v>
      </c>
      <c r="AJ292" s="78">
        <f>TABL123[[#This Row],[(A/B) AJD]]-TABL123[[#This Row],[BER_IN]]</f>
        <v/>
      </c>
      <c r="AK292" s="78" t="n">
        <v>29</v>
      </c>
      <c r="AL292" s="109" t="n">
        <v>42.3392</v>
      </c>
      <c r="AM292" s="87" t="n">
        <v>2752210</v>
      </c>
      <c r="AN292" s="87">
        <f>TABL123[[#This Row],[ (RESV. STORGE) SER]]/10</f>
        <v/>
      </c>
      <c r="AO292" s="6" t="n">
        <v>1820</v>
      </c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>
        <v>35</v>
      </c>
      <c r="C293" s="28" t="n">
        <v>285</v>
      </c>
      <c r="D293" s="28" t="n">
        <v>35</v>
      </c>
      <c r="E293" s="28" t="n">
        <v>0</v>
      </c>
      <c r="F293" s="28" t="n">
        <v>93</v>
      </c>
      <c r="G293" s="28" t="n">
        <v>617</v>
      </c>
      <c r="H293" s="28">
        <f>103-F293</f>
        <v/>
      </c>
      <c r="I293" s="28" t="n">
        <v>466</v>
      </c>
      <c r="J293" s="28" t="n">
        <v>454</v>
      </c>
      <c r="K293" s="28">
        <f>TABL123[[#This Row],[ (T/B) SAR]]+TABL123[[#This Row],[ (S/S) SAR]]</f>
        <v/>
      </c>
      <c r="L293" s="28" t="n">
        <v>277</v>
      </c>
      <c r="M293" s="29" t="n">
        <v>20.8</v>
      </c>
      <c r="N293" s="30" t="n">
        <v>7.02</v>
      </c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IF(TRIM(Z293)="","",(Z293-Z292)/1000)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>
        <v>60</v>
      </c>
      <c r="AF293" s="68" t="n">
        <v>58.572</v>
      </c>
      <c r="AG293" s="68" t="n">
        <v>1341873</v>
      </c>
      <c r="AH293" s="3">
        <f>TABL123[[#This Row],[ (RESV. STORGE) BER]]/10</f>
        <v/>
      </c>
      <c r="AI293" s="78" t="n">
        <v>2437</v>
      </c>
      <c r="AJ293" s="78">
        <f>TABL123[[#This Row],[(A/B) AJD]]-TABL123[[#This Row],[BER_IN]]</f>
        <v/>
      </c>
      <c r="AK293" s="78" t="n">
        <v>28</v>
      </c>
      <c r="AL293" s="109" t="n">
        <v>42.3353</v>
      </c>
      <c r="AM293" s="87" t="n">
        <v>2750060</v>
      </c>
      <c r="AN293" s="87">
        <f>TABL123[[#This Row],[ (RESV. STORGE) SER]]/10</f>
        <v/>
      </c>
      <c r="AO293" s="6" t="n">
        <v>1850</v>
      </c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>
        <v>35</v>
      </c>
      <c r="C294" s="28" t="n">
        <v>276</v>
      </c>
      <c r="D294" s="28" t="n">
        <v>35</v>
      </c>
      <c r="E294" s="28" t="n">
        <v>0</v>
      </c>
      <c r="F294" s="28" t="n">
        <v>93</v>
      </c>
      <c r="G294" s="28" t="n">
        <v>617</v>
      </c>
      <c r="H294" s="28">
        <f>103-F294</f>
        <v/>
      </c>
      <c r="I294" s="28" t="n">
        <v>469</v>
      </c>
      <c r="J294" s="28" t="n">
        <v>452</v>
      </c>
      <c r="K294" s="28">
        <f>TABL123[[#This Row],[ (T/B) SAR]]+TABL123[[#This Row],[ (S/S) SAR]]</f>
        <v/>
      </c>
      <c r="L294" s="28" t="n">
        <v>280</v>
      </c>
      <c r="M294" s="29" t="n">
        <v>20.8</v>
      </c>
      <c r="N294" s="30" t="n">
        <v>7.24</v>
      </c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IF(TRIM(Z294)="","",(Z294-Z293)/1000)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>
        <v>60</v>
      </c>
      <c r="AF294" s="68" t="n">
        <v>58.599</v>
      </c>
      <c r="AG294" s="68" t="n">
        <v>1359602</v>
      </c>
      <c r="AH294" s="3">
        <f>TABL123[[#This Row],[ (RESV. STORGE) BER]]/10</f>
        <v/>
      </c>
      <c r="AI294" s="78" t="n">
        <v>2431</v>
      </c>
      <c r="AJ294" s="78">
        <f>TABL123[[#This Row],[(A/B) AJD]]-TABL123[[#This Row],[BER_IN]]</f>
        <v/>
      </c>
      <c r="AK294" s="78" t="n">
        <v>28</v>
      </c>
      <c r="AL294" s="109" t="n">
        <v>42.3692</v>
      </c>
      <c r="AM294" s="87" t="n">
        <v>2768280</v>
      </c>
      <c r="AN294" s="87">
        <f>TABL123[[#This Row],[ (RESV. STORGE) SER]]/10</f>
        <v/>
      </c>
      <c r="AO294" s="6" t="n">
        <v>1880</v>
      </c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>
        <v>32</v>
      </c>
      <c r="C295" s="28" t="n">
        <v>260</v>
      </c>
      <c r="D295" s="28" t="n">
        <v>35</v>
      </c>
      <c r="E295" s="28" t="n">
        <v>0</v>
      </c>
      <c r="F295" s="28" t="n">
        <v>93</v>
      </c>
      <c r="G295" s="28" t="n">
        <v>617</v>
      </c>
      <c r="H295" s="28">
        <f>103-F295</f>
        <v/>
      </c>
      <c r="I295" s="28" t="n">
        <v>470</v>
      </c>
      <c r="J295" s="28" t="n">
        <v>459</v>
      </c>
      <c r="K295" s="28">
        <f>TABL123[[#This Row],[ (T/B) SAR]]+TABL123[[#This Row],[ (S/S) SAR]]</f>
        <v/>
      </c>
      <c r="L295" s="28" t="n">
        <v>282</v>
      </c>
      <c r="M295" s="29" t="n">
        <v>20.8</v>
      </c>
      <c r="N295" s="30" t="n">
        <v>7.31</v>
      </c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IF(TRIM(Z295)="","",(Z295-Z294)/1000)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>
        <v>60</v>
      </c>
      <c r="AF295" s="68" t="n">
        <v>58.643</v>
      </c>
      <c r="AG295" s="68" t="n">
        <v>1388507</v>
      </c>
      <c r="AH295" s="3">
        <f>TABL123[[#This Row],[ (RESV. STORGE) BER]]/10</f>
        <v/>
      </c>
      <c r="AI295" s="78" t="n">
        <v>2323</v>
      </c>
      <c r="AJ295" s="78">
        <f>TABL123[[#This Row],[(A/B) AJD]]-TABL123[[#This Row],[BER_IN]]</f>
        <v/>
      </c>
      <c r="AK295" s="78" t="n">
        <v>28</v>
      </c>
      <c r="AL295" s="109" t="n">
        <v>42.4071</v>
      </c>
      <c r="AM295" s="87" t="n">
        <v>2788670</v>
      </c>
      <c r="AN295" s="87">
        <f>TABL123[[#This Row],[ (RESV. STORGE) SER]]/10</f>
        <v/>
      </c>
      <c r="AO295" s="6" t="n">
        <v>1810</v>
      </c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>
        <v>35</v>
      </c>
      <c r="C296" s="28" t="n">
        <v>253</v>
      </c>
      <c r="D296" s="28" t="n">
        <v>35</v>
      </c>
      <c r="E296" s="28" t="n">
        <v>0</v>
      </c>
      <c r="F296" s="28" t="n">
        <v>93</v>
      </c>
      <c r="G296" s="28" t="n">
        <v>617</v>
      </c>
      <c r="H296" s="28">
        <f>103-F296</f>
        <v/>
      </c>
      <c r="I296" s="28" t="n">
        <v>469</v>
      </c>
      <c r="J296" s="28" t="n">
        <v>458</v>
      </c>
      <c r="K296" s="28">
        <f>TABL123[[#This Row],[ (T/B) SAR]]+TABL123[[#This Row],[ (S/S) SAR]]</f>
        <v/>
      </c>
      <c r="L296" s="28" t="n">
        <v>282</v>
      </c>
      <c r="M296" s="29" t="n">
        <v>20.8</v>
      </c>
      <c r="N296" s="30" t="n">
        <v>7.32</v>
      </c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IF(TRIM(Z296)="","",(Z296-Z295)/1000)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>
        <v>60</v>
      </c>
      <c r="AF296" s="68" t="n">
        <v>58.67</v>
      </c>
      <c r="AG296" s="68" t="n">
        <v>1406253</v>
      </c>
      <c r="AH296" s="3">
        <f>TABL123[[#This Row],[ (RESV. STORGE) BER]]/10</f>
        <v/>
      </c>
      <c r="AI296" s="78" t="n">
        <v>2414</v>
      </c>
      <c r="AJ296" s="78">
        <f>TABL123[[#This Row],[(A/B) AJD]]-TABL123[[#This Row],[BER_IN]]</f>
        <v/>
      </c>
      <c r="AK296" s="78" t="n">
        <v>28</v>
      </c>
      <c r="AL296" s="109" t="n">
        <v>42.4307</v>
      </c>
      <c r="AM296" s="87" t="n">
        <v>2801550</v>
      </c>
      <c r="AN296" s="87">
        <f>TABL123[[#This Row],[ (RESV. STORGE) SER]]/10</f>
        <v/>
      </c>
      <c r="AO296" s="6" t="n">
        <v>1820</v>
      </c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>
        <v>35</v>
      </c>
      <c r="C297" s="28" t="n">
        <v>278</v>
      </c>
      <c r="D297" s="28" t="n">
        <v>35</v>
      </c>
      <c r="E297" s="28" t="n">
        <v>0</v>
      </c>
      <c r="F297" s="28" t="n">
        <v>93</v>
      </c>
      <c r="G297" s="28" t="n">
        <v>617</v>
      </c>
      <c r="H297" s="28">
        <f>103-F297</f>
        <v/>
      </c>
      <c r="I297" s="28" t="n">
        <v>498</v>
      </c>
      <c r="J297" s="28" t="n">
        <v>488</v>
      </c>
      <c r="K297" s="28">
        <f>TABL123[[#This Row],[ (T/B) SAR]]+TABL123[[#This Row],[ (S/S) SAR]]</f>
        <v/>
      </c>
      <c r="L297" s="28" t="n">
        <v>337</v>
      </c>
      <c r="M297" s="29" t="n">
        <v>24.7</v>
      </c>
      <c r="N297" s="30" t="n">
        <v>7.17</v>
      </c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IF(TRIM(Z297)="","",(Z297-Z296)/1000)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>
        <v>60</v>
      </c>
      <c r="AF297" s="68" t="n">
        <v>58.697</v>
      </c>
      <c r="AG297" s="68" t="n">
        <v>1424004</v>
      </c>
      <c r="AH297" s="3">
        <f>TABL123[[#This Row],[ (RESV. STORGE) BER]]/10</f>
        <v/>
      </c>
      <c r="AI297" s="78" t="n">
        <v>2408</v>
      </c>
      <c r="AJ297" s="78">
        <f>TABL123[[#This Row],[(A/B) AJD]]-TABL123[[#This Row],[BER_IN]]</f>
        <v/>
      </c>
      <c r="AK297" s="78" t="n">
        <v>28</v>
      </c>
      <c r="AL297" s="109" t="n">
        <v>42.4307</v>
      </c>
      <c r="AM297" s="87" t="n">
        <v>2801550</v>
      </c>
      <c r="AN297" s="87">
        <f>TABL123[[#This Row],[ (RESV. STORGE) SER]]/10</f>
        <v/>
      </c>
      <c r="AO297" s="6" t="n">
        <v>1800</v>
      </c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>
        <v>35</v>
      </c>
      <c r="C298" s="28" t="n">
        <v>264</v>
      </c>
      <c r="D298" s="28" t="n">
        <v>35</v>
      </c>
      <c r="E298" s="28" t="n">
        <v>0</v>
      </c>
      <c r="F298" s="28" t="n">
        <v>93</v>
      </c>
      <c r="G298" s="28" t="n">
        <v>617</v>
      </c>
      <c r="H298" s="28">
        <f>103-F298</f>
        <v/>
      </c>
      <c r="I298" s="28" t="n">
        <v>509</v>
      </c>
      <c r="J298" s="28" t="n">
        <v>498</v>
      </c>
      <c r="K298" s="28">
        <f>TABL123[[#This Row],[ (T/B) SAR]]+TABL123[[#This Row],[ (S/S) SAR]]</f>
        <v/>
      </c>
      <c r="L298" s="28" t="n">
        <v>356</v>
      </c>
      <c r="M298" s="29" t="n">
        <v>25.4</v>
      </c>
      <c r="N298" s="30" t="n">
        <v>6.89</v>
      </c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IF(TRIM(Z298)="","",(Z298-Z297)/1000)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>
        <v>60</v>
      </c>
      <c r="AF298" s="68" t="n">
        <v>58.726</v>
      </c>
      <c r="AG298" s="68" t="n">
        <v>1443078</v>
      </c>
      <c r="AH298" s="3">
        <f>TABL123[[#This Row],[ (RESV. STORGE) BER]]/10</f>
        <v/>
      </c>
      <c r="AI298" s="78" t="n">
        <v>1916</v>
      </c>
      <c r="AJ298" s="78">
        <f>TABL123[[#This Row],[(A/B) AJD]]-TABL123[[#This Row],[BER_IN]]</f>
        <v/>
      </c>
      <c r="AK298" s="78" t="n">
        <v>29</v>
      </c>
      <c r="AL298" s="109" t="n">
        <v>42.4455</v>
      </c>
      <c r="AM298" s="87" t="n">
        <v>2809600</v>
      </c>
      <c r="AN298" s="87">
        <f>TABL123[[#This Row],[ (RESV. STORGE) SER]]/10</f>
        <v/>
      </c>
      <c r="AO298" s="6" t="n">
        <v>1850</v>
      </c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>
        <v>34</v>
      </c>
      <c r="C299" s="28" t="n">
        <v>259</v>
      </c>
      <c r="D299" s="28" t="n">
        <v>35</v>
      </c>
      <c r="E299" s="28" t="n">
        <v>0</v>
      </c>
      <c r="F299" s="28" t="n">
        <v>93</v>
      </c>
      <c r="G299" s="28" t="n">
        <v>617</v>
      </c>
      <c r="H299" s="28">
        <f>103-F299</f>
        <v/>
      </c>
      <c r="I299" s="28" t="n">
        <v>506</v>
      </c>
      <c r="J299" s="28" t="n">
        <v>496</v>
      </c>
      <c r="K299" s="28">
        <f>TABL123[[#This Row],[ (T/B) SAR]]+TABL123[[#This Row],[ (S/S) SAR]]</f>
        <v/>
      </c>
      <c r="L299" s="28" t="n">
        <v>347</v>
      </c>
      <c r="M299" s="29" t="n">
        <v>25.4</v>
      </c>
      <c r="N299" s="30" t="n">
        <v>6.5</v>
      </c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IF(TRIM(Z299)="","",(Z299-Z298)/1000)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>
        <v>60</v>
      </c>
      <c r="AF299" s="68" t="n">
        <v>58.768</v>
      </c>
      <c r="AG299" s="68" t="n">
        <v>1470715</v>
      </c>
      <c r="AH299" s="3">
        <f>TABL123[[#This Row],[ (RESV. STORGE) BER]]/10</f>
        <v/>
      </c>
      <c r="AI299" s="78" t="n">
        <v>1963</v>
      </c>
      <c r="AJ299" s="78">
        <f>TABL123[[#This Row],[(A/B) AJD]]-TABL123[[#This Row],[BER_IN]]</f>
        <v/>
      </c>
      <c r="AK299" s="78" t="n">
        <v>28</v>
      </c>
      <c r="AL299" s="109" t="n">
        <v>42.4583</v>
      </c>
      <c r="AM299" s="87" t="n">
        <v>2815510</v>
      </c>
      <c r="AN299" s="87">
        <f>TABL123[[#This Row],[ (RESV. STORGE) SER]]/10</f>
        <v/>
      </c>
      <c r="AO299" s="6" t="n">
        <v>1890</v>
      </c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>
        <v>35</v>
      </c>
      <c r="C300" s="28" t="n">
        <v>296</v>
      </c>
      <c r="D300" s="28" t="n">
        <v>35</v>
      </c>
      <c r="E300" s="28" t="n">
        <v>0</v>
      </c>
      <c r="F300" s="28" t="n">
        <v>93</v>
      </c>
      <c r="G300" s="28" t="n">
        <v>617</v>
      </c>
      <c r="H300" s="28">
        <f>103-F300</f>
        <v/>
      </c>
      <c r="I300" s="28" t="n">
        <v>487</v>
      </c>
      <c r="J300" s="28" t="n">
        <v>476</v>
      </c>
      <c r="K300" s="28">
        <f>TABL123[[#This Row],[ (T/B) SAR]]+TABL123[[#This Row],[ (S/S) SAR]]</f>
        <v/>
      </c>
      <c r="L300" s="28" t="n">
        <v>310</v>
      </c>
      <c r="M300" s="29" t="n">
        <v>24.1</v>
      </c>
      <c r="N300" s="30" t="n">
        <v>6.41</v>
      </c>
      <c r="O300" s="14" t="n">
        <v>409</v>
      </c>
      <c r="P300" s="9">
        <f>TABL123[[#This Row],[ (S/S) SAR]]-TABL123[[#This Row],[(S/S) AJD]]</f>
        <v/>
      </c>
      <c r="Q300" s="14" t="n">
        <v>442</v>
      </c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>
        <v>516</v>
      </c>
      <c r="V300" s="14" t="n">
        <v>252</v>
      </c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>
        <v>92.574</v>
      </c>
      <c r="Z300" s="9" t="n">
        <v>540725</v>
      </c>
      <c r="AA300" s="3">
        <f>TABL123[[#This Row],[(RESV. STORGE) AJD]]/10</f>
        <v/>
      </c>
      <c r="AB300" s="45">
        <f>IF(TRIM(Z300)="","",(Z300-Z299)/1000)</f>
        <v/>
      </c>
      <c r="AC300" s="5" t="n">
        <v>1080</v>
      </c>
      <c r="AD300" s="83">
        <f>TABL123[[#This Row],[( S/S+T/B) AJD]]-(TABL123[[#This Row],[(A/B + A/S) AJD]]+TABL123[[#This Row],[(STORGE DIFF.) AJD]]+(TABL123[[#This Row],[AJD_Evaporation]])/1000)</f>
        <v/>
      </c>
      <c r="AE300" s="68" t="n">
        <v>60</v>
      </c>
      <c r="AF300" s="68" t="n">
        <v>58.818</v>
      </c>
      <c r="AG300" s="68" t="n">
        <v>1503635</v>
      </c>
      <c r="AH300" s="3">
        <f>TABL123[[#This Row],[ (RESV. STORGE) BER]]/10</f>
        <v/>
      </c>
      <c r="AI300" s="78" t="n">
        <v>2279</v>
      </c>
      <c r="AJ300" s="78">
        <f>TABL123[[#This Row],[(A/B) AJD]]-TABL123[[#This Row],[BER_IN]]</f>
        <v/>
      </c>
      <c r="AK300" s="78" t="n">
        <v>28</v>
      </c>
      <c r="AL300" s="109" t="n">
        <v>42.493</v>
      </c>
      <c r="AM300" s="87" t="n">
        <v>2835300</v>
      </c>
      <c r="AN300" s="87">
        <f>TABL123[[#This Row],[ (RESV. STORGE) SER]]/10</f>
        <v/>
      </c>
      <c r="AO300" s="6" t="n">
        <v>1810</v>
      </c>
      <c r="AP300" s="32">
        <f>TABL123[[#This Row],[(A/S) AJD]]-TABL123[[#This Row],[SER_IN]]</f>
        <v/>
      </c>
    </row>
    <row r="301" ht="18.75" customHeight="1">
      <c r="A301" s="2" t="n">
        <v>46322</v>
      </c>
      <c r="B301" s="28" t="n">
        <v>35</v>
      </c>
      <c r="C301" s="28" t="n">
        <v>267</v>
      </c>
      <c r="D301" s="28" t="n">
        <v>35</v>
      </c>
      <c r="E301" s="28" t="n">
        <v>0</v>
      </c>
      <c r="F301" s="28" t="n">
        <v>93</v>
      </c>
      <c r="G301" s="28" t="n">
        <v>617</v>
      </c>
      <c r="H301" s="28">
        <f>103-F301</f>
        <v/>
      </c>
      <c r="I301" s="28" t="n">
        <v>482</v>
      </c>
      <c r="J301" s="28" t="n">
        <v>470</v>
      </c>
      <c r="K301" s="28">
        <f>TABL123[[#This Row],[ (T/B) SAR]]+TABL123[[#This Row],[ (S/S) SAR]]</f>
        <v/>
      </c>
      <c r="L301" s="28" t="n">
        <v>301</v>
      </c>
      <c r="M301" s="29" t="n">
        <v>23.5</v>
      </c>
      <c r="N301" s="30" t="n">
        <v>6.45</v>
      </c>
      <c r="O301" s="14" t="n">
        <v>399</v>
      </c>
      <c r="P301" s="9">
        <f>TABL123[[#This Row],[ (S/S) SAR]]-TABL123[[#This Row],[(S/S) AJD]]</f>
        <v/>
      </c>
      <c r="Q301" s="14" t="n">
        <v>429</v>
      </c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>
        <v>515</v>
      </c>
      <c r="V301" s="14" t="n">
        <v>229</v>
      </c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>
        <v>92.684</v>
      </c>
      <c r="Z301" s="9" t="n">
        <v>606367</v>
      </c>
      <c r="AA301" s="3">
        <f>TABL123[[#This Row],[(RESV. STORGE) AJD]]/10</f>
        <v/>
      </c>
      <c r="AB301" s="45">
        <f>IF(TRIM(Z301)="","",(Z301-Z300)/1000)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>
        <v>60</v>
      </c>
      <c r="AF301" s="68" t="n">
        <v>58.867</v>
      </c>
      <c r="AG301" s="68" t="n">
        <v>1535919</v>
      </c>
      <c r="AH301" s="3">
        <f>TABL123[[#This Row],[ (RESV. STORGE) BER]]/10</f>
        <v/>
      </c>
      <c r="AI301" s="78" t="n">
        <v>752</v>
      </c>
      <c r="AJ301" s="78">
        <f>TABL123[[#This Row],[(A/B) AJD]]-TABL123[[#This Row],[BER_IN]]</f>
        <v/>
      </c>
      <c r="AK301" s="78" t="n">
        <v>28</v>
      </c>
      <c r="AL301" s="109" t="n">
        <v>42.5454</v>
      </c>
      <c r="AM301" s="87" t="n">
        <v>2862800</v>
      </c>
      <c r="AN301" s="87">
        <f>TABL123[[#This Row],[ (RESV. STORGE) SER]]/10</f>
        <v/>
      </c>
      <c r="AO301" s="6" t="n">
        <v>500</v>
      </c>
      <c r="AP301" s="32">
        <f>TABL123[[#This Row],[(A/S) AJD]]-TABL123[[#This Row],[SER_IN]]</f>
        <v/>
      </c>
    </row>
    <row r="302" ht="18.75" customHeight="1">
      <c r="A302" s="2" t="n">
        <v>46323</v>
      </c>
      <c r="B302" s="28" t="n">
        <v>35</v>
      </c>
      <c r="C302" s="28" t="n">
        <v>265</v>
      </c>
      <c r="D302" s="28" t="n">
        <v>35</v>
      </c>
      <c r="E302" s="28" t="n">
        <v>0</v>
      </c>
      <c r="F302" s="28" t="n">
        <v>93</v>
      </c>
      <c r="G302" s="28" t="n">
        <v>617</v>
      </c>
      <c r="H302" s="28">
        <f>103-F302</f>
        <v/>
      </c>
      <c r="I302" s="28" t="n">
        <v>480</v>
      </c>
      <c r="J302" s="28" t="n">
        <v>469</v>
      </c>
      <c r="K302" s="28">
        <f>TABL123[[#This Row],[ (T/B) SAR]]+TABL123[[#This Row],[ (S/S) SAR]]</f>
        <v/>
      </c>
      <c r="L302" s="28" t="n">
        <v>300</v>
      </c>
      <c r="M302" s="29" t="n">
        <v>23.5</v>
      </c>
      <c r="N302" s="30" t="n">
        <v>6.44</v>
      </c>
      <c r="O302" s="14" t="n">
        <v>397</v>
      </c>
      <c r="P302" s="9">
        <f>TABL123[[#This Row],[ (S/S) SAR]]-TABL123[[#This Row],[(S/S) AJD]]</f>
        <v/>
      </c>
      <c r="Q302" s="14" t="n">
        <v>427</v>
      </c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>
        <v>520</v>
      </c>
      <c r="V302" s="14" t="n">
        <v>224</v>
      </c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>
        <v>92.764</v>
      </c>
      <c r="Z302" s="9" t="n">
        <v>654170</v>
      </c>
      <c r="AA302" s="3">
        <f>TABL123[[#This Row],[(RESV. STORGE) AJD]]/10</f>
        <v/>
      </c>
      <c r="AB302" s="45">
        <f>IF(TRIM(Z302)="","",(Z302-Z301)/1000)</f>
        <v/>
      </c>
      <c r="AC302" s="5" t="n">
        <v>215</v>
      </c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3">
        <f>TABL123[[#This Row],[ (RESV. STORGE) BER]]/10</f>
        <v/>
      </c>
      <c r="AI302" s="78" t="n"/>
      <c r="AJ302" s="78">
        <f>TABL123[[#This Row],[(A/B) AJD]]-TABL123[[#This Row],[BER_IN]]</f>
        <v/>
      </c>
      <c r="AK302" s="78" t="n">
        <v>28</v>
      </c>
      <c r="AL302" s="109" t="n">
        <v>42.601</v>
      </c>
      <c r="AM302" s="87" t="n">
        <v>2892900</v>
      </c>
      <c r="AN302" s="87">
        <f>TABL123[[#This Row],[ (RESV. STORGE) SER]]/10</f>
        <v/>
      </c>
      <c r="AO302" s="6" t="n">
        <v>0</v>
      </c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>
        <v>34</v>
      </c>
      <c r="C303" s="28" t="n">
        <v>272</v>
      </c>
      <c r="D303" s="28" t="n">
        <v>35</v>
      </c>
      <c r="E303" s="28" t="n">
        <v>0</v>
      </c>
      <c r="F303" s="28" t="n">
        <v>93</v>
      </c>
      <c r="G303" s="28" t="n">
        <v>617</v>
      </c>
      <c r="H303" s="28">
        <f>103-F303</f>
        <v/>
      </c>
      <c r="I303" s="28" t="n">
        <v>476</v>
      </c>
      <c r="J303" s="28" t="n">
        <v>465</v>
      </c>
      <c r="K303" s="28">
        <f>TABL123[[#This Row],[ (T/B) SAR]]+TABL123[[#This Row],[ (S/S) SAR]]</f>
        <v/>
      </c>
      <c r="L303" s="28" t="n">
        <v>290</v>
      </c>
      <c r="M303" s="29" t="n">
        <v>22.7</v>
      </c>
      <c r="N303" s="30" t="n">
        <v>6.52</v>
      </c>
      <c r="O303" s="14" t="n">
        <v>384</v>
      </c>
      <c r="P303" s="9">
        <f>TABL123[[#This Row],[ (S/S) SAR]]-TABL123[[#This Row],[(S/S) AJD]]</f>
        <v/>
      </c>
      <c r="Q303" s="14" t="n">
        <v>421</v>
      </c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>
        <v>522</v>
      </c>
      <c r="V303" s="14" t="n">
        <v>217</v>
      </c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>
        <v>92.836</v>
      </c>
      <c r="Z303" s="9" t="n">
        <v>697235</v>
      </c>
      <c r="AA303" s="3">
        <f>TABL123[[#This Row],[(RESV. STORGE) AJD]]/10</f>
        <v/>
      </c>
      <c r="AB303" s="45">
        <f>IF(TRIM(Z303)="","",(Z303-Z302)/1000)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3">
        <f>TABL123[[#This Row],[ (RESV. STORGE) BER]]/10</f>
        <v/>
      </c>
      <c r="AI303" s="78" t="n"/>
      <c r="AJ303" s="78">
        <f>TABL123[[#This Row],[(A/B) AJD]]-TABL123[[#This Row],[BER_IN]]</f>
        <v/>
      </c>
      <c r="AK303" s="78" t="n"/>
      <c r="AL303" s="109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IF(TRIM(Z304)="","",(Z304-Z303)/1000)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3">
        <f>TABL123[[#This Row],[ (RESV. STORGE) BER]]/10</f>
        <v/>
      </c>
      <c r="AI304" s="78" t="n"/>
      <c r="AJ304" s="78">
        <f>TABL123[[#This Row],[(A/B) AJD]]-TABL123[[#This Row],[BER_IN]]</f>
        <v/>
      </c>
      <c r="AK304" s="78" t="n"/>
      <c r="AL304" s="109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IF(TRIM(Z305)="","",(Z305-Z304)/1000)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3">
        <f>TABL123[[#This Row],[ (RESV. STORGE) BER]]/10</f>
        <v/>
      </c>
      <c r="AI305" s="78" t="n"/>
      <c r="AJ305" s="78">
        <f>TABL123[[#This Row],[(A/B) AJD]]-TABL123[[#This Row],[BER_IN]]</f>
        <v/>
      </c>
      <c r="AK305" s="78" t="n"/>
      <c r="AL305" s="109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IF(TRIM(Z306)="","",(Z306-Z305)/1000)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3">
        <f>TABL123[[#This Row],[ (RESV. STORGE) BER]]/10</f>
        <v/>
      </c>
      <c r="AI306" s="78" t="n"/>
      <c r="AJ306" s="78">
        <f>TABL123[[#This Row],[(A/B) AJD]]-TABL123[[#This Row],[BER_IN]]</f>
        <v/>
      </c>
      <c r="AK306" s="78" t="n"/>
      <c r="AL306" s="109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IF(TRIM(Z307)="","",(Z307-Z306)/1000)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3">
        <f>TABL123[[#This Row],[ (RESV. STORGE) BER]]/10</f>
        <v/>
      </c>
      <c r="AI307" s="78" t="n"/>
      <c r="AJ307" s="78">
        <f>TABL123[[#This Row],[(A/B) AJD]]-TABL123[[#This Row],[BER_IN]]</f>
        <v/>
      </c>
      <c r="AK307" s="78" t="n"/>
      <c r="AL307" s="109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IF(TRIM(Z308)="","",(Z308-Z307)/1000)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3">
        <f>TABL123[[#This Row],[ (RESV. STORGE) BER]]/10</f>
        <v/>
      </c>
      <c r="AI308" s="78" t="n"/>
      <c r="AJ308" s="78">
        <f>TABL123[[#This Row],[(A/B) AJD]]-TABL123[[#This Row],[BER_IN]]</f>
        <v/>
      </c>
      <c r="AK308" s="78" t="n"/>
      <c r="AL308" s="109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IF(TRIM(Z309)="","",(Z309-Z308)/1000)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3">
        <f>TABL123[[#This Row],[ (RESV. STORGE) BER]]/10</f>
        <v/>
      </c>
      <c r="AI309" s="78" t="n"/>
      <c r="AJ309" s="78">
        <f>TABL123[[#This Row],[(A/B) AJD]]-TABL123[[#This Row],[BER_IN]]</f>
        <v/>
      </c>
      <c r="AK309" s="78" t="n"/>
      <c r="AL309" s="109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IF(TRIM(Z310)="","",(Z310-Z309)/1000)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3">
        <f>TABL123[[#This Row],[ (RESV. STORGE) BER]]/10</f>
        <v/>
      </c>
      <c r="AI310" s="78" t="n"/>
      <c r="AJ310" s="78">
        <f>TABL123[[#This Row],[(A/B) AJD]]-TABL123[[#This Row],[BER_IN]]</f>
        <v/>
      </c>
      <c r="AK310" s="78" t="n"/>
      <c r="AL310" s="109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IF(TRIM(Z311)="","",(Z311-Z310)/1000)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3">
        <f>TABL123[[#This Row],[ (RESV. STORGE) BER]]/10</f>
        <v/>
      </c>
      <c r="AI311" s="78" t="n"/>
      <c r="AJ311" s="78">
        <f>TABL123[[#This Row],[(A/B) AJD]]-TABL123[[#This Row],[BER_IN]]</f>
        <v/>
      </c>
      <c r="AK311" s="78" t="n"/>
      <c r="AL311" s="109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IF(TRIM(Z312)="","",(Z312-Z311)/1000)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3">
        <f>TABL123[[#This Row],[ (RESV. STORGE) BER]]/10</f>
        <v/>
      </c>
      <c r="AI312" s="78" t="n"/>
      <c r="AJ312" s="78">
        <f>TABL123[[#This Row],[(A/B) AJD]]-TABL123[[#This Row],[BER_IN]]</f>
        <v/>
      </c>
      <c r="AK312" s="78" t="n"/>
      <c r="AL312" s="109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IF(TRIM(Z313)="","",(Z313-Z312)/1000)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3">
        <f>TABL123[[#This Row],[ (RESV. STORGE) BER]]/10</f>
        <v/>
      </c>
      <c r="AI313" s="78" t="n"/>
      <c r="AJ313" s="78">
        <f>TABL123[[#This Row],[(A/B) AJD]]-TABL123[[#This Row],[BER_IN]]</f>
        <v/>
      </c>
      <c r="AK313" s="78" t="n"/>
      <c r="AL313" s="109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IF(TRIM(Z314)="","",(Z314-Z313)/1000)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3">
        <f>TABL123[[#This Row],[ (RESV. STORGE) BER]]/10</f>
        <v/>
      </c>
      <c r="AI314" s="78" t="n"/>
      <c r="AJ314" s="78">
        <f>TABL123[[#This Row],[(A/B) AJD]]-TABL123[[#This Row],[BER_IN]]</f>
        <v/>
      </c>
      <c r="AK314" s="78" t="n"/>
      <c r="AL314" s="109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IF(TRIM(Z315)="","",(Z315-Z314)/1000)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3">
        <f>TABL123[[#This Row],[ (RESV. STORGE) BER]]/10</f>
        <v/>
      </c>
      <c r="AI315" s="78" t="n"/>
      <c r="AJ315" s="78">
        <f>TABL123[[#This Row],[(A/B) AJD]]-TABL123[[#This Row],[BER_IN]]</f>
        <v/>
      </c>
      <c r="AK315" s="78" t="n"/>
      <c r="AL315" s="109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IF(TRIM(Z316)="","",(Z316-Z315)/1000)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3">
        <f>TABL123[[#This Row],[ (RESV. STORGE) BER]]/10</f>
        <v/>
      </c>
      <c r="AI316" s="78" t="n"/>
      <c r="AJ316" s="78">
        <f>TABL123[[#This Row],[(A/B) AJD]]-TABL123[[#This Row],[BER_IN]]</f>
        <v/>
      </c>
      <c r="AK316" s="78" t="n"/>
      <c r="AL316" s="109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IF(TRIM(Z317)="","",(Z317-Z316)/1000)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3">
        <f>TABL123[[#This Row],[ (RESV. STORGE) BER]]/10</f>
        <v/>
      </c>
      <c r="AI317" s="78" t="n"/>
      <c r="AJ317" s="78">
        <f>TABL123[[#This Row],[(A/B) AJD]]-TABL123[[#This Row],[BER_IN]]</f>
        <v/>
      </c>
      <c r="AK317" s="78" t="n"/>
      <c r="AL317" s="109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IF(TRIM(Z318)="","",(Z318-Z317)/1000)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3">
        <f>TABL123[[#This Row],[ (RESV. STORGE) BER]]/10</f>
        <v/>
      </c>
      <c r="AI318" s="78" t="n"/>
      <c r="AJ318" s="78">
        <f>TABL123[[#This Row],[(A/B) AJD]]-TABL123[[#This Row],[BER_IN]]</f>
        <v/>
      </c>
      <c r="AK318" s="78" t="n"/>
      <c r="AL318" s="109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IF(TRIM(Z319)="","",(Z319-Z318)/1000)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3">
        <f>TABL123[[#This Row],[ (RESV. STORGE) BER]]/10</f>
        <v/>
      </c>
      <c r="AI319" s="78" t="n"/>
      <c r="AJ319" s="78">
        <f>TABL123[[#This Row],[(A/B) AJD]]-TABL123[[#This Row],[BER_IN]]</f>
        <v/>
      </c>
      <c r="AK319" s="78" t="n"/>
      <c r="AL319" s="109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IF(TRIM(Z320)="","",(Z320-Z319)/1000)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3">
        <f>TABL123[[#This Row],[ (RESV. STORGE) BER]]/10</f>
        <v/>
      </c>
      <c r="AI320" s="78" t="n"/>
      <c r="AJ320" s="78">
        <f>TABL123[[#This Row],[(A/B) AJD]]-TABL123[[#This Row],[BER_IN]]</f>
        <v/>
      </c>
      <c r="AK320" s="78" t="n"/>
      <c r="AL320" s="109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IF(TRIM(Z321)="","",(Z321-Z320)/1000)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3">
        <f>TABL123[[#This Row],[ (RESV. STORGE) BER]]/10</f>
        <v/>
      </c>
      <c r="AI321" s="78" t="n"/>
      <c r="AJ321" s="78">
        <f>TABL123[[#This Row],[(A/B) AJD]]-TABL123[[#This Row],[BER_IN]]</f>
        <v/>
      </c>
      <c r="AK321" s="78" t="n"/>
      <c r="AL321" s="109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IF(TRIM(Z322)="","",(Z322-Z321)/1000)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3">
        <f>TABL123[[#This Row],[ (RESV. STORGE) BER]]/10</f>
        <v/>
      </c>
      <c r="AI322" s="78" t="n"/>
      <c r="AJ322" s="78">
        <f>TABL123[[#This Row],[(A/B) AJD]]-TABL123[[#This Row],[BER_IN]]</f>
        <v/>
      </c>
      <c r="AK322" s="78" t="n"/>
      <c r="AL322" s="109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IF(TRIM(Z323)="","",(Z323-Z322)/1000)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3">
        <f>TABL123[[#This Row],[ (RESV. STORGE) BER]]/10</f>
        <v/>
      </c>
      <c r="AI323" s="78" t="n"/>
      <c r="AJ323" s="78">
        <f>TABL123[[#This Row],[(A/B) AJD]]-TABL123[[#This Row],[BER_IN]]</f>
        <v/>
      </c>
      <c r="AK323" s="78" t="n"/>
      <c r="AL323" s="109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IF(TRIM(Z324)="","",(Z324-Z323)/1000)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3">
        <f>TABL123[[#This Row],[ (RESV. STORGE) BER]]/10</f>
        <v/>
      </c>
      <c r="AI324" s="78" t="n"/>
      <c r="AJ324" s="78">
        <f>TABL123[[#This Row],[(A/B) AJD]]-TABL123[[#This Row],[BER_IN]]</f>
        <v/>
      </c>
      <c r="AK324" s="78" t="n"/>
      <c r="AL324" s="109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IF(TRIM(Z325)="","",(Z325-Z324)/1000)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3">
        <f>TABL123[[#This Row],[ (RESV. STORGE) BER]]/10</f>
        <v/>
      </c>
      <c r="AI325" s="78" t="n"/>
      <c r="AJ325" s="78">
        <f>TABL123[[#This Row],[(A/B) AJD]]-TABL123[[#This Row],[BER_IN]]</f>
        <v/>
      </c>
      <c r="AK325" s="78" t="n"/>
      <c r="AL325" s="109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IF(TRIM(Z326)="","",(Z326-Z325)/1000)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3">
        <f>TABL123[[#This Row],[ (RESV. STORGE) BER]]/10</f>
        <v/>
      </c>
      <c r="AI326" s="78" t="n"/>
      <c r="AJ326" s="78">
        <f>TABL123[[#This Row],[(A/B) AJD]]-TABL123[[#This Row],[BER_IN]]</f>
        <v/>
      </c>
      <c r="AK326" s="78" t="n"/>
      <c r="AL326" s="109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IF(TRIM(Z327)="","",(Z327-Z326)/1000)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3">
        <f>TABL123[[#This Row],[ (RESV. STORGE) BER]]/10</f>
        <v/>
      </c>
      <c r="AI327" s="78" t="n"/>
      <c r="AJ327" s="78">
        <f>TABL123[[#This Row],[(A/B) AJD]]-TABL123[[#This Row],[BER_IN]]</f>
        <v/>
      </c>
      <c r="AK327" s="78" t="n"/>
      <c r="AL327" s="109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IF(TRIM(Z328)="","",(Z328-Z327)/1000)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3">
        <f>TABL123[[#This Row],[ (RESV. STORGE) BER]]/10</f>
        <v/>
      </c>
      <c r="AI328" s="78" t="n"/>
      <c r="AJ328" s="78">
        <f>TABL123[[#This Row],[(A/B) AJD]]-TABL123[[#This Row],[BER_IN]]</f>
        <v/>
      </c>
      <c r="AK328" s="78" t="n"/>
      <c r="AL328" s="109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IF(TRIM(Z329)="","",(Z329-Z328)/1000)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3">
        <f>TABL123[[#This Row],[ (RESV. STORGE) BER]]/10</f>
        <v/>
      </c>
      <c r="AI329" s="78" t="n"/>
      <c r="AJ329" s="78">
        <f>TABL123[[#This Row],[(A/B) AJD]]-TABL123[[#This Row],[BER_IN]]</f>
        <v/>
      </c>
      <c r="AK329" s="78" t="n"/>
      <c r="AL329" s="109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IF(TRIM(Z330)="","",(Z330-Z329)/1000)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3">
        <f>TABL123[[#This Row],[ (RESV. STORGE) BER]]/10</f>
        <v/>
      </c>
      <c r="AI330" s="78" t="n"/>
      <c r="AJ330" s="78">
        <f>TABL123[[#This Row],[(A/B) AJD]]-TABL123[[#This Row],[BER_IN]]</f>
        <v/>
      </c>
      <c r="AK330" s="78" t="n"/>
      <c r="AL330" s="109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IF(TRIM(Z331)="","",(Z331-Z330)/1000)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3">
        <f>TABL123[[#This Row],[ (RESV. STORGE) BER]]/10</f>
        <v/>
      </c>
      <c r="AI331" s="78" t="n"/>
      <c r="AJ331" s="78">
        <f>TABL123[[#This Row],[(A/B) AJD]]-TABL123[[#This Row],[BER_IN]]</f>
        <v/>
      </c>
      <c r="AK331" s="78" t="n"/>
      <c r="AL331" s="109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IF(TRIM(Z332)="","",(Z332-Z331)/1000)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3">
        <f>TABL123[[#This Row],[ (RESV. STORGE) BER]]/10</f>
        <v/>
      </c>
      <c r="AI332" s="78" t="n"/>
      <c r="AJ332" s="78">
        <f>TABL123[[#This Row],[(A/B) AJD]]-TABL123[[#This Row],[BER_IN]]</f>
        <v/>
      </c>
      <c r="AK332" s="78" t="n"/>
      <c r="AL332" s="109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IF(TRIM(Z333)="","",(Z333-Z332)/1000)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3">
        <f>TABL123[[#This Row],[ (RESV. STORGE) BER]]/10</f>
        <v/>
      </c>
      <c r="AI333" s="78" t="n"/>
      <c r="AJ333" s="78">
        <f>TABL123[[#This Row],[(A/B) AJD]]-TABL123[[#This Row],[BER_IN]]</f>
        <v/>
      </c>
      <c r="AK333" s="78" t="n"/>
      <c r="AL333" s="109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IF(TRIM(Z334)="","",(Z334-Z333)/1000)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3">
        <f>TABL123[[#This Row],[ (RESV. STORGE) BER]]/10</f>
        <v/>
      </c>
      <c r="AI334" s="78" t="n"/>
      <c r="AJ334" s="78">
        <f>TABL123[[#This Row],[(A/B) AJD]]-TABL123[[#This Row],[BER_IN]]</f>
        <v/>
      </c>
      <c r="AK334" s="78" t="n"/>
      <c r="AL334" s="109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IF(TRIM(Z335)="","",(Z335-Z334)/1000)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3">
        <f>TABL123[[#This Row],[ (RESV. STORGE) BER]]/10</f>
        <v/>
      </c>
      <c r="AI335" s="78" t="n"/>
      <c r="AJ335" s="78">
        <f>TABL123[[#This Row],[(A/B) AJD]]-TABL123[[#This Row],[BER_IN]]</f>
        <v/>
      </c>
      <c r="AK335" s="78" t="n"/>
      <c r="AL335" s="109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IF(TRIM(Z336)="","",(Z336-Z335)/1000)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3">
        <f>TABL123[[#This Row],[ (RESV. STORGE) BER]]/10</f>
        <v/>
      </c>
      <c r="AI336" s="78" t="n"/>
      <c r="AJ336" s="78">
        <f>TABL123[[#This Row],[(A/B) AJD]]-TABL123[[#This Row],[BER_IN]]</f>
        <v/>
      </c>
      <c r="AK336" s="78" t="n"/>
      <c r="AL336" s="109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IF(TRIM(Z337)="","",(Z337-Z336)/1000)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3">
        <f>TABL123[[#This Row],[ (RESV. STORGE) BER]]/10</f>
        <v/>
      </c>
      <c r="AI337" s="78" t="n"/>
      <c r="AJ337" s="78">
        <f>TABL123[[#This Row],[(A/B) AJD]]-TABL123[[#This Row],[BER_IN]]</f>
        <v/>
      </c>
      <c r="AK337" s="78" t="n"/>
      <c r="AL337" s="109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IF(TRIM(Z338)="","",(Z338-Z337)/1000)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3">
        <f>TABL123[[#This Row],[ (RESV. STORGE) BER]]/10</f>
        <v/>
      </c>
      <c r="AI338" s="78" t="n"/>
      <c r="AJ338" s="78">
        <f>TABL123[[#This Row],[(A/B) AJD]]-TABL123[[#This Row],[BER_IN]]</f>
        <v/>
      </c>
      <c r="AK338" s="78" t="n"/>
      <c r="AL338" s="109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IF(TRIM(Z339)="","",(Z339-Z338)/1000)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3">
        <f>TABL123[[#This Row],[ (RESV. STORGE) BER]]/10</f>
        <v/>
      </c>
      <c r="AI339" s="78" t="n"/>
      <c r="AJ339" s="78">
        <f>TABL123[[#This Row],[(A/B) AJD]]-TABL123[[#This Row],[BER_IN]]</f>
        <v/>
      </c>
      <c r="AK339" s="78" t="n"/>
      <c r="AL339" s="109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IF(TRIM(Z340)="","",(Z340-Z339)/1000)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3">
        <f>TABL123[[#This Row],[ (RESV. STORGE) BER]]/10</f>
        <v/>
      </c>
      <c r="AI340" s="78" t="n"/>
      <c r="AJ340" s="78">
        <f>TABL123[[#This Row],[(A/B) AJD]]-TABL123[[#This Row],[BER_IN]]</f>
        <v/>
      </c>
      <c r="AK340" s="78" t="n"/>
      <c r="AL340" s="109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IF(TRIM(Z341)="","",(Z341-Z340)/1000)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3">
        <f>TABL123[[#This Row],[ (RESV. STORGE) BER]]/10</f>
        <v/>
      </c>
      <c r="AI341" s="78" t="n"/>
      <c r="AJ341" s="78">
        <f>TABL123[[#This Row],[(A/B) AJD]]-TABL123[[#This Row],[BER_IN]]</f>
        <v/>
      </c>
      <c r="AK341" s="78" t="n"/>
      <c r="AL341" s="109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IF(TRIM(Z342)="","",(Z342-Z341)/1000)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3">
        <f>TABL123[[#This Row],[ (RESV. STORGE) BER]]/10</f>
        <v/>
      </c>
      <c r="AI342" s="78" t="n"/>
      <c r="AJ342" s="78">
        <f>TABL123[[#This Row],[(A/B) AJD]]-TABL123[[#This Row],[BER_IN]]</f>
        <v/>
      </c>
      <c r="AK342" s="78" t="n"/>
      <c r="AL342" s="109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IF(TRIM(Z343)="","",(Z343-Z342)/1000)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3">
        <f>TABL123[[#This Row],[ (RESV. STORGE) BER]]/10</f>
        <v/>
      </c>
      <c r="AI343" s="78" t="n"/>
      <c r="AJ343" s="78">
        <f>TABL123[[#This Row],[(A/B) AJD]]-TABL123[[#This Row],[BER_IN]]</f>
        <v/>
      </c>
      <c r="AK343" s="78" t="n"/>
      <c r="AL343" s="109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IF(TRIM(Z344)="","",(Z344-Z343)/1000)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3">
        <f>TABL123[[#This Row],[ (RESV. STORGE) BER]]/10</f>
        <v/>
      </c>
      <c r="AI344" s="78" t="n"/>
      <c r="AJ344" s="78">
        <f>TABL123[[#This Row],[(A/B) AJD]]-TABL123[[#This Row],[BER_IN]]</f>
        <v/>
      </c>
      <c r="AK344" s="78" t="n"/>
      <c r="AL344" s="109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IF(TRIM(Z345)="","",(Z345-Z344)/1000)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3">
        <f>TABL123[[#This Row],[ (RESV. STORGE) BER]]/10</f>
        <v/>
      </c>
      <c r="AI345" s="78" t="n"/>
      <c r="AJ345" s="78">
        <f>TABL123[[#This Row],[(A/B) AJD]]-TABL123[[#This Row],[BER_IN]]</f>
        <v/>
      </c>
      <c r="AK345" s="78" t="n"/>
      <c r="AL345" s="109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IF(TRIM(Z346)="","",(Z346-Z345)/1000)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3">
        <f>TABL123[[#This Row],[ (RESV. STORGE) BER]]/10</f>
        <v/>
      </c>
      <c r="AI346" s="78" t="n"/>
      <c r="AJ346" s="78">
        <f>TABL123[[#This Row],[(A/B) AJD]]-TABL123[[#This Row],[BER_IN]]</f>
        <v/>
      </c>
      <c r="AK346" s="78" t="n"/>
      <c r="AL346" s="109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IF(TRIM(Z347)="","",(Z347-Z346)/1000)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3">
        <f>TABL123[[#This Row],[ (RESV. STORGE) BER]]/10</f>
        <v/>
      </c>
      <c r="AI347" s="78" t="n"/>
      <c r="AJ347" s="78">
        <f>TABL123[[#This Row],[(A/B) AJD]]-TABL123[[#This Row],[BER_IN]]</f>
        <v/>
      </c>
      <c r="AK347" s="78" t="n"/>
      <c r="AL347" s="109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IF(TRIM(Z348)="","",(Z348-Z347)/1000)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3">
        <f>TABL123[[#This Row],[ (RESV. STORGE) BER]]/10</f>
        <v/>
      </c>
      <c r="AI348" s="78" t="n"/>
      <c r="AJ348" s="78">
        <f>TABL123[[#This Row],[(A/B) AJD]]-TABL123[[#This Row],[BER_IN]]</f>
        <v/>
      </c>
      <c r="AK348" s="78" t="n"/>
      <c r="AL348" s="109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IF(TRIM(Z349)="","",(Z349-Z348)/1000)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3">
        <f>TABL123[[#This Row],[ (RESV. STORGE) BER]]/10</f>
        <v/>
      </c>
      <c r="AI349" s="78" t="n"/>
      <c r="AJ349" s="78">
        <f>TABL123[[#This Row],[(A/B) AJD]]-TABL123[[#This Row],[BER_IN]]</f>
        <v/>
      </c>
      <c r="AK349" s="78" t="n"/>
      <c r="AL349" s="109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IF(TRIM(Z350)="","",(Z350-Z349)/1000)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3">
        <f>TABL123[[#This Row],[ (RESV. STORGE) BER]]/10</f>
        <v/>
      </c>
      <c r="AI350" s="78" t="n"/>
      <c r="AJ350" s="78">
        <f>TABL123[[#This Row],[(A/B) AJD]]-TABL123[[#This Row],[BER_IN]]</f>
        <v/>
      </c>
      <c r="AK350" s="78" t="n"/>
      <c r="AL350" s="109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IF(TRIM(Z351)="","",(Z351-Z350)/1000)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3">
        <f>TABL123[[#This Row],[ (RESV. STORGE) BER]]/10</f>
        <v/>
      </c>
      <c r="AI351" s="78" t="n"/>
      <c r="AJ351" s="78">
        <f>TABL123[[#This Row],[(A/B) AJD]]-TABL123[[#This Row],[BER_IN]]</f>
        <v/>
      </c>
      <c r="AK351" s="78" t="n"/>
      <c r="AL351" s="109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IF(TRIM(Z352)="","",(Z352-Z351)/1000)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3">
        <f>TABL123[[#This Row],[ (RESV. STORGE) BER]]/10</f>
        <v/>
      </c>
      <c r="AI352" s="78" t="n"/>
      <c r="AJ352" s="78">
        <f>TABL123[[#This Row],[(A/B) AJD]]-TABL123[[#This Row],[BER_IN]]</f>
        <v/>
      </c>
      <c r="AK352" s="78" t="n"/>
      <c r="AL352" s="109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IF(TRIM(Z353)="","",(Z353-Z352)/1000)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3">
        <f>TABL123[[#This Row],[ (RESV. STORGE) BER]]/10</f>
        <v/>
      </c>
      <c r="AI353" s="78" t="n"/>
      <c r="AJ353" s="78">
        <f>TABL123[[#This Row],[(A/B) AJD]]-TABL123[[#This Row],[BER_IN]]</f>
        <v/>
      </c>
      <c r="AK353" s="78" t="n"/>
      <c r="AL353" s="109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IF(TRIM(Z354)="","",(Z354-Z353)/1000)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3">
        <f>TABL123[[#This Row],[ (RESV. STORGE) BER]]/10</f>
        <v/>
      </c>
      <c r="AI354" s="78" t="n"/>
      <c r="AJ354" s="78">
        <f>TABL123[[#This Row],[(A/B) AJD]]-TABL123[[#This Row],[BER_IN]]</f>
        <v/>
      </c>
      <c r="AK354" s="78" t="n"/>
      <c r="AL354" s="109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IF(TRIM(Z355)="","",(Z355-Z354)/1000)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3">
        <f>TABL123[[#This Row],[ (RESV. STORGE) BER]]/10</f>
        <v/>
      </c>
      <c r="AI355" s="78" t="n"/>
      <c r="AJ355" s="78">
        <f>TABL123[[#This Row],[(A/B) AJD]]-TABL123[[#This Row],[BER_IN]]</f>
        <v/>
      </c>
      <c r="AK355" s="78" t="n"/>
      <c r="AL355" s="109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IF(TRIM(Z356)="","",(Z356-Z355)/1000)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3">
        <f>TABL123[[#This Row],[ (RESV. STORGE) BER]]/10</f>
        <v/>
      </c>
      <c r="AI356" s="78" t="n"/>
      <c r="AJ356" s="78">
        <f>TABL123[[#This Row],[(A/B) AJD]]-TABL123[[#This Row],[BER_IN]]</f>
        <v/>
      </c>
      <c r="AK356" s="78" t="n"/>
      <c r="AL356" s="109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IF(TRIM(Z357)="","",(Z357-Z356)/1000)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3">
        <f>TABL123[[#This Row],[ (RESV. STORGE) BER]]/10</f>
        <v/>
      </c>
      <c r="AI357" s="78" t="n"/>
      <c r="AJ357" s="78">
        <f>TABL123[[#This Row],[(A/B) AJD]]-TABL123[[#This Row],[BER_IN]]</f>
        <v/>
      </c>
      <c r="AK357" s="78" t="n"/>
      <c r="AL357" s="109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IF(TRIM(Z358)="","",(Z358-Z357)/1000)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3">
        <f>TABL123[[#This Row],[ (RESV. STORGE) BER]]/10</f>
        <v/>
      </c>
      <c r="AI358" s="78" t="n"/>
      <c r="AJ358" s="78">
        <f>TABL123[[#This Row],[(A/B) AJD]]-TABL123[[#This Row],[BER_IN]]</f>
        <v/>
      </c>
      <c r="AK358" s="78" t="n"/>
      <c r="AL358" s="109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IF(TRIM(Z359)="","",(Z359-Z358)/1000)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3">
        <f>TABL123[[#This Row],[ (RESV. STORGE) BER]]/10</f>
        <v/>
      </c>
      <c r="AI359" s="78" t="n"/>
      <c r="AJ359" s="78">
        <f>TABL123[[#This Row],[(A/B) AJD]]-TABL123[[#This Row],[BER_IN]]</f>
        <v/>
      </c>
      <c r="AK359" s="78" t="n"/>
      <c r="AL359" s="109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IF(TRIM(Z360)="","",(Z360-Z359)/1000)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3">
        <f>TABL123[[#This Row],[ (RESV. STORGE) BER]]/10</f>
        <v/>
      </c>
      <c r="AI360" s="78" t="n"/>
      <c r="AJ360" s="78">
        <f>TABL123[[#This Row],[(A/B) AJD]]-TABL123[[#This Row],[BER_IN]]</f>
        <v/>
      </c>
      <c r="AK360" s="78" t="n"/>
      <c r="AL360" s="109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IF(TRIM(Z361)="","",(Z361-Z360)/1000)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3">
        <f>TABL123[[#This Row],[ (RESV. STORGE) BER]]/10</f>
        <v/>
      </c>
      <c r="AI361" s="78" t="n"/>
      <c r="AJ361" s="78">
        <f>TABL123[[#This Row],[(A/B) AJD]]-TABL123[[#This Row],[BER_IN]]</f>
        <v/>
      </c>
      <c r="AK361" s="78" t="n"/>
      <c r="AL361" s="109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IF(TRIM(Z362)="","",(Z362-Z361)/1000)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3">
        <f>TABL123[[#This Row],[ (RESV. STORGE) BER]]/10</f>
        <v/>
      </c>
      <c r="AI362" s="78" t="n"/>
      <c r="AJ362" s="78">
        <f>TABL123[[#This Row],[(A/B) AJD]]-TABL123[[#This Row],[BER_IN]]</f>
        <v/>
      </c>
      <c r="AK362" s="78" t="n"/>
      <c r="AL362" s="109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IF(TRIM(Z363)="","",(Z363-Z362)/1000)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3">
        <f>TABL123[[#This Row],[ (RESV. STORGE) BER]]/10</f>
        <v/>
      </c>
      <c r="AI363" s="78" t="n"/>
      <c r="AJ363" s="78">
        <f>TABL123[[#This Row],[(A/B) AJD]]-TABL123[[#This Row],[BER_IN]]</f>
        <v/>
      </c>
      <c r="AK363" s="78" t="n"/>
      <c r="AL363" s="109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IF(TRIM(Z364)="","",(Z364-Z363)/1000)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3">
        <f>TABL123[[#This Row],[ (RESV. STORGE) BER]]/10</f>
        <v/>
      </c>
      <c r="AI364" s="78" t="n"/>
      <c r="AJ364" s="78">
        <f>TABL123[[#This Row],[(A/B) AJD]]-TABL123[[#This Row],[BER_IN]]</f>
        <v/>
      </c>
      <c r="AK364" s="78" t="n"/>
      <c r="AL364" s="109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IF(TRIM(Z365)="","",(Z365-Z364)/1000)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3">
        <f>TABL123[[#This Row],[ (RESV. STORGE) BER]]/10</f>
        <v/>
      </c>
      <c r="AI365" s="78" t="n"/>
      <c r="AJ365" s="78">
        <f>TABL123[[#This Row],[(A/B) AJD]]-TABL123[[#This Row],[BER_IN]]</f>
        <v/>
      </c>
      <c r="AK365" s="78" t="n"/>
      <c r="AL365" s="109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IF(TRIM(Z366)="","",(Z366-Z365)/1000)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3">
        <f>TABL123[[#This Row],[ (RESV. STORGE) BER]]/10</f>
        <v/>
      </c>
      <c r="AI366" s="80" t="n"/>
      <c r="AJ366" s="80">
        <f>TABL123[[#This Row],[(A/B) AJD]]-TABL123[[#This Row],[BER_IN]]</f>
        <v/>
      </c>
      <c r="AK366" s="80" t="n"/>
      <c r="AL366" s="109" t="n"/>
      <c r="AM366" s="89" t="n"/>
      <c r="AN366" s="87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2026-10-30T06:01:44Z</dcterms:modified>
  <cp:lastModifiedBy>nasserab965@gmail.com</cp:lastModifiedBy>
</cp:coreProperties>
</file>