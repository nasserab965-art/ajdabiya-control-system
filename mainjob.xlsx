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AE3FD8C5-53F2-4BD9-8855-57011B0C0793}" xr6:coauthVersionLast="47" xr6:coauthVersionMax="47" xr10:uidLastSave="{00000000-0000-0000-0000-000000000000}"/>
  <bookViews>
    <workbookView xWindow="-120" yWindow="-120" windowWidth="19440" windowHeight="15000" tabRatio="707" activeTab="5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definedNames>
    <definedName name="Table123456">Table5[]</definedName>
    <definedName name="Table1234567">Table6[]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8" l="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S345" i="8" s="1"/>
  <c r="P346" i="8"/>
  <c r="P347" i="8"/>
  <c r="P348" i="8"/>
  <c r="P349" i="8"/>
  <c r="S349" i="8" s="1"/>
  <c r="P350" i="8"/>
  <c r="P351" i="8"/>
  <c r="P352" i="8"/>
  <c r="P353" i="8"/>
  <c r="S353" i="8" s="1"/>
  <c r="P354" i="8"/>
  <c r="P355" i="8"/>
  <c r="P356" i="8"/>
  <c r="P357" i="8"/>
  <c r="S357" i="8" s="1"/>
  <c r="P358" i="8"/>
  <c r="P359" i="8"/>
  <c r="P360" i="8"/>
  <c r="P361" i="8"/>
  <c r="S361" i="8" s="1"/>
  <c r="P362" i="8"/>
  <c r="P363" i="8"/>
  <c r="P364" i="8"/>
  <c r="P365" i="8"/>
  <c r="S365" i="8" s="1"/>
  <c r="P366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S2" i="8"/>
  <c r="S3" i="8"/>
  <c r="S4" i="8"/>
  <c r="S6" i="8"/>
  <c r="S7" i="8"/>
  <c r="S8" i="8"/>
  <c r="S10" i="8"/>
  <c r="S11" i="8"/>
  <c r="S12" i="8"/>
  <c r="S14" i="8"/>
  <c r="S15" i="8"/>
  <c r="S16" i="8"/>
  <c r="S18" i="8"/>
  <c r="S19" i="8"/>
  <c r="S20" i="8"/>
  <c r="S22" i="8"/>
  <c r="S23" i="8"/>
  <c r="S24" i="8"/>
  <c r="S26" i="8"/>
  <c r="S27" i="8"/>
  <c r="S28" i="8"/>
  <c r="S30" i="8"/>
  <c r="S31" i="8"/>
  <c r="S32" i="8"/>
  <c r="S34" i="8"/>
  <c r="S35" i="8"/>
  <c r="S36" i="8"/>
  <c r="S38" i="8"/>
  <c r="S39" i="8"/>
  <c r="S40" i="8"/>
  <c r="S42" i="8"/>
  <c r="S43" i="8"/>
  <c r="S44" i="8"/>
  <c r="S46" i="8"/>
  <c r="S47" i="8"/>
  <c r="S48" i="8"/>
  <c r="S50" i="8"/>
  <c r="S51" i="8"/>
  <c r="S52" i="8"/>
  <c r="S54" i="8"/>
  <c r="S55" i="8"/>
  <c r="S56" i="8"/>
  <c r="S58" i="8"/>
  <c r="S59" i="8"/>
  <c r="S60" i="8"/>
  <c r="S62" i="8"/>
  <c r="S63" i="8"/>
  <c r="S64" i="8"/>
  <c r="S66" i="8"/>
  <c r="S67" i="8"/>
  <c r="S68" i="8"/>
  <c r="S70" i="8"/>
  <c r="S71" i="8"/>
  <c r="S72" i="8"/>
  <c r="S74" i="8"/>
  <c r="S75" i="8"/>
  <c r="S76" i="8"/>
  <c r="S78" i="8"/>
  <c r="S79" i="8"/>
  <c r="S80" i="8"/>
  <c r="S82" i="8"/>
  <c r="S83" i="8"/>
  <c r="S84" i="8"/>
  <c r="S86" i="8"/>
  <c r="S87" i="8"/>
  <c r="S88" i="8"/>
  <c r="S90" i="8"/>
  <c r="S91" i="8"/>
  <c r="S92" i="8"/>
  <c r="S94" i="8"/>
  <c r="S95" i="8"/>
  <c r="S96" i="8"/>
  <c r="S98" i="8"/>
  <c r="S99" i="8"/>
  <c r="S100" i="8"/>
  <c r="S102" i="8"/>
  <c r="S103" i="8"/>
  <c r="S104" i="8"/>
  <c r="S106" i="8"/>
  <c r="S107" i="8"/>
  <c r="S108" i="8"/>
  <c r="S110" i="8"/>
  <c r="S111" i="8"/>
  <c r="S112" i="8"/>
  <c r="S114" i="8"/>
  <c r="S115" i="8"/>
  <c r="S116" i="8"/>
  <c r="S118" i="8"/>
  <c r="S119" i="8"/>
  <c r="S120" i="8"/>
  <c r="S122" i="8"/>
  <c r="S123" i="8"/>
  <c r="S124" i="8"/>
  <c r="S126" i="8"/>
  <c r="S127" i="8"/>
  <c r="S128" i="8"/>
  <c r="S130" i="8"/>
  <c r="S131" i="8"/>
  <c r="S132" i="8"/>
  <c r="S134" i="8"/>
  <c r="S135" i="8"/>
  <c r="S136" i="8"/>
  <c r="S138" i="8"/>
  <c r="S139" i="8"/>
  <c r="S140" i="8"/>
  <c r="S142" i="8"/>
  <c r="S143" i="8"/>
  <c r="S144" i="8"/>
  <c r="S146" i="8"/>
  <c r="S147" i="8"/>
  <c r="S148" i="8"/>
  <c r="S150" i="8"/>
  <c r="S151" i="8"/>
  <c r="S152" i="8"/>
  <c r="S154" i="8"/>
  <c r="S155" i="8"/>
  <c r="S156" i="8"/>
  <c r="S158" i="8"/>
  <c r="S159" i="8"/>
  <c r="S160" i="8"/>
  <c r="S162" i="8"/>
  <c r="S163" i="8"/>
  <c r="S164" i="8"/>
  <c r="S166" i="8"/>
  <c r="S167" i="8"/>
  <c r="S168" i="8"/>
  <c r="S170" i="8"/>
  <c r="S171" i="8"/>
  <c r="S172" i="8"/>
  <c r="S174" i="8"/>
  <c r="S175" i="8"/>
  <c r="S176" i="8"/>
  <c r="S178" i="8"/>
  <c r="S179" i="8"/>
  <c r="S180" i="8"/>
  <c r="S182" i="8"/>
  <c r="S183" i="8"/>
  <c r="S184" i="8"/>
  <c r="S186" i="8"/>
  <c r="S187" i="8"/>
  <c r="S188" i="8"/>
  <c r="S190" i="8"/>
  <c r="S191" i="8"/>
  <c r="S192" i="8"/>
  <c r="S194" i="8"/>
  <c r="S195" i="8"/>
  <c r="S196" i="8"/>
  <c r="S198" i="8"/>
  <c r="S199" i="8"/>
  <c r="S200" i="8"/>
  <c r="S202" i="8"/>
  <c r="S203" i="8"/>
  <c r="S204" i="8"/>
  <c r="S206" i="8"/>
  <c r="S207" i="8"/>
  <c r="S208" i="8"/>
  <c r="S210" i="8"/>
  <c r="S211" i="8"/>
  <c r="S212" i="8"/>
  <c r="S214" i="8"/>
  <c r="S215" i="8"/>
  <c r="S216" i="8"/>
  <c r="S218" i="8"/>
  <c r="S219" i="8"/>
  <c r="S220" i="8"/>
  <c r="S222" i="8"/>
  <c r="S223" i="8"/>
  <c r="S224" i="8"/>
  <c r="S226" i="8"/>
  <c r="S227" i="8"/>
  <c r="S228" i="8"/>
  <c r="S230" i="8"/>
  <c r="S231" i="8"/>
  <c r="S232" i="8"/>
  <c r="S234" i="8"/>
  <c r="S235" i="8"/>
  <c r="S236" i="8"/>
  <c r="S238" i="8"/>
  <c r="S239" i="8"/>
  <c r="S240" i="8"/>
  <c r="S242" i="8"/>
  <c r="S243" i="8"/>
  <c r="S244" i="8"/>
  <c r="S246" i="8"/>
  <c r="S247" i="8"/>
  <c r="S248" i="8"/>
  <c r="S250" i="8"/>
  <c r="S251" i="8"/>
  <c r="S252" i="8"/>
  <c r="S254" i="8"/>
  <c r="S255" i="8"/>
  <c r="S256" i="8"/>
  <c r="S258" i="8"/>
  <c r="S259" i="8"/>
  <c r="S260" i="8"/>
  <c r="S262" i="8"/>
  <c r="S263" i="8"/>
  <c r="S264" i="8"/>
  <c r="S266" i="8"/>
  <c r="S267" i="8"/>
  <c r="S268" i="8"/>
  <c r="S270" i="8"/>
  <c r="S271" i="8"/>
  <c r="S272" i="8"/>
  <c r="S274" i="8"/>
  <c r="S275" i="8"/>
  <c r="S276" i="8"/>
  <c r="S278" i="8"/>
  <c r="S279" i="8"/>
  <c r="S280" i="8"/>
  <c r="S282" i="8"/>
  <c r="S283" i="8"/>
  <c r="S284" i="8"/>
  <c r="S286" i="8"/>
  <c r="S287" i="8"/>
  <c r="S288" i="8"/>
  <c r="S290" i="8"/>
  <c r="S291" i="8"/>
  <c r="S292" i="8"/>
  <c r="S294" i="8"/>
  <c r="S295" i="8"/>
  <c r="S296" i="8"/>
  <c r="S298" i="8"/>
  <c r="S299" i="8"/>
  <c r="S300" i="8"/>
  <c r="S302" i="8"/>
  <c r="S303" i="8"/>
  <c r="S304" i="8"/>
  <c r="S306" i="8"/>
  <c r="S307" i="8"/>
  <c r="S308" i="8"/>
  <c r="S310" i="8"/>
  <c r="S311" i="8"/>
  <c r="S312" i="8"/>
  <c r="S314" i="8"/>
  <c r="S315" i="8"/>
  <c r="S316" i="8"/>
  <c r="S318" i="8"/>
  <c r="S319" i="8"/>
  <c r="S320" i="8"/>
  <c r="S322" i="8"/>
  <c r="S323" i="8"/>
  <c r="S324" i="8"/>
  <c r="S326" i="8"/>
  <c r="S327" i="8"/>
  <c r="S328" i="8"/>
  <c r="S330" i="8"/>
  <c r="S331" i="8"/>
  <c r="S332" i="8"/>
  <c r="S334" i="8"/>
  <c r="S335" i="8"/>
  <c r="S336" i="8"/>
  <c r="S338" i="8"/>
  <c r="S339" i="8"/>
  <c r="S340" i="8"/>
  <c r="S342" i="8"/>
  <c r="S343" i="8"/>
  <c r="S344" i="8"/>
  <c r="S346" i="8"/>
  <c r="S347" i="8"/>
  <c r="S348" i="8"/>
  <c r="S350" i="8"/>
  <c r="S351" i="8"/>
  <c r="S352" i="8"/>
  <c r="S354" i="8"/>
  <c r="S355" i="8"/>
  <c r="S356" i="8"/>
  <c r="S358" i="8"/>
  <c r="S359" i="8"/>
  <c r="S360" i="8"/>
  <c r="S362" i="8"/>
  <c r="S363" i="8"/>
  <c r="S364" i="8"/>
  <c r="S366" i="8"/>
  <c r="AA2" i="8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D2" i="8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0" i="8"/>
  <c r="AD91" i="8"/>
  <c r="AD92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5" i="8"/>
  <c r="AD116" i="8"/>
  <c r="AD117" i="8"/>
  <c r="AD118" i="8"/>
  <c r="AD119" i="8"/>
  <c r="AD120" i="8"/>
  <c r="AD121" i="8"/>
  <c r="AD122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58" i="8"/>
  <c r="AD159" i="8"/>
  <c r="AD160" i="8"/>
  <c r="AD161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7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D357" i="8"/>
  <c r="AD358" i="8"/>
  <c r="AD359" i="8"/>
  <c r="AD360" i="8"/>
  <c r="AD361" i="8"/>
  <c r="AD362" i="8"/>
  <c r="AD363" i="8"/>
  <c r="AD364" i="8"/>
  <c r="AD365" i="8"/>
  <c r="AD366" i="8"/>
  <c r="AH2" i="8"/>
  <c r="AH3" i="8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AH201" i="8"/>
  <c r="AH202" i="8"/>
  <c r="AH203" i="8"/>
  <c r="AH204" i="8"/>
  <c r="AH205" i="8"/>
  <c r="AH206" i="8"/>
  <c r="AH207" i="8"/>
  <c r="AH208" i="8"/>
  <c r="AH209" i="8"/>
  <c r="AH210" i="8"/>
  <c r="AH211" i="8"/>
  <c r="AH212" i="8"/>
  <c r="AH213" i="8"/>
  <c r="AH214" i="8"/>
  <c r="AH215" i="8"/>
  <c r="AH216" i="8"/>
  <c r="AH217" i="8"/>
  <c r="AH218" i="8"/>
  <c r="AH219" i="8"/>
  <c r="AH220" i="8"/>
  <c r="AH221" i="8"/>
  <c r="AH222" i="8"/>
  <c r="AH223" i="8"/>
  <c r="AH224" i="8"/>
  <c r="AH225" i="8"/>
  <c r="AH226" i="8"/>
  <c r="AH227" i="8"/>
  <c r="AH228" i="8"/>
  <c r="AH229" i="8"/>
  <c r="AH230" i="8"/>
  <c r="AH231" i="8"/>
  <c r="AH232" i="8"/>
  <c r="AH233" i="8"/>
  <c r="AH234" i="8"/>
  <c r="AH235" i="8"/>
  <c r="AH236" i="8"/>
  <c r="AH237" i="8"/>
  <c r="AH238" i="8"/>
  <c r="AH239" i="8"/>
  <c r="AH240" i="8"/>
  <c r="AH241" i="8"/>
  <c r="AH242" i="8"/>
  <c r="AH243" i="8"/>
  <c r="AH244" i="8"/>
  <c r="AH245" i="8"/>
  <c r="AH246" i="8"/>
  <c r="AH247" i="8"/>
  <c r="AH248" i="8"/>
  <c r="AH249" i="8"/>
  <c r="AH250" i="8"/>
  <c r="AH251" i="8"/>
  <c r="AH252" i="8"/>
  <c r="AH253" i="8"/>
  <c r="AH254" i="8"/>
  <c r="AH255" i="8"/>
  <c r="AH256" i="8"/>
  <c r="AH257" i="8"/>
  <c r="AH258" i="8"/>
  <c r="AH259" i="8"/>
  <c r="AH260" i="8"/>
  <c r="AH261" i="8"/>
  <c r="AH262" i="8"/>
  <c r="AH263" i="8"/>
  <c r="AH264" i="8"/>
  <c r="AH265" i="8"/>
  <c r="AH266" i="8"/>
  <c r="AH267" i="8"/>
  <c r="AH268" i="8"/>
  <c r="AH269" i="8"/>
  <c r="AH270" i="8"/>
  <c r="AH271" i="8"/>
  <c r="AH272" i="8"/>
  <c r="AH273" i="8"/>
  <c r="AH274" i="8"/>
  <c r="AH275" i="8"/>
  <c r="AH276" i="8"/>
  <c r="AH277" i="8"/>
  <c r="AH278" i="8"/>
  <c r="AH279" i="8"/>
  <c r="AH280" i="8"/>
  <c r="AH281" i="8"/>
  <c r="AH282" i="8"/>
  <c r="AH283" i="8"/>
  <c r="AH284" i="8"/>
  <c r="AH285" i="8"/>
  <c r="AH286" i="8"/>
  <c r="AH287" i="8"/>
  <c r="AH288" i="8"/>
  <c r="AH289" i="8"/>
  <c r="AH290" i="8"/>
  <c r="AH291" i="8"/>
  <c r="AH292" i="8"/>
  <c r="AH293" i="8"/>
  <c r="AH294" i="8"/>
  <c r="AH295" i="8"/>
  <c r="AH296" i="8"/>
  <c r="AH297" i="8"/>
  <c r="AH298" i="8"/>
  <c r="AH299" i="8"/>
  <c r="AH300" i="8"/>
  <c r="AH301" i="8"/>
  <c r="AH302" i="8"/>
  <c r="AH303" i="8"/>
  <c r="AH304" i="8"/>
  <c r="AH305" i="8"/>
  <c r="AH306" i="8"/>
  <c r="AH307" i="8"/>
  <c r="AH308" i="8"/>
  <c r="AH309" i="8"/>
  <c r="AH310" i="8"/>
  <c r="AH311" i="8"/>
  <c r="AH312" i="8"/>
  <c r="AH313" i="8"/>
  <c r="AH314" i="8"/>
  <c r="AH315" i="8"/>
  <c r="AH316" i="8"/>
  <c r="AH317" i="8"/>
  <c r="AH318" i="8"/>
  <c r="AH319" i="8"/>
  <c r="AH320" i="8"/>
  <c r="AH321" i="8"/>
  <c r="AH322" i="8"/>
  <c r="AH323" i="8"/>
  <c r="AH324" i="8"/>
  <c r="AH325" i="8"/>
  <c r="AH326" i="8"/>
  <c r="AH327" i="8"/>
  <c r="AH328" i="8"/>
  <c r="AH329" i="8"/>
  <c r="AH330" i="8"/>
  <c r="AH331" i="8"/>
  <c r="AH332" i="8"/>
  <c r="AH333" i="8"/>
  <c r="AH334" i="8"/>
  <c r="AH335" i="8"/>
  <c r="AH336" i="8"/>
  <c r="AH337" i="8"/>
  <c r="AH338" i="8"/>
  <c r="AH339" i="8"/>
  <c r="AH340" i="8"/>
  <c r="AH341" i="8"/>
  <c r="AH342" i="8"/>
  <c r="AH343" i="8"/>
  <c r="AH344" i="8"/>
  <c r="AH345" i="8"/>
  <c r="AH346" i="8"/>
  <c r="AH347" i="8"/>
  <c r="AH348" i="8"/>
  <c r="AH349" i="8"/>
  <c r="AH350" i="8"/>
  <c r="AH351" i="8"/>
  <c r="AH352" i="8"/>
  <c r="AH353" i="8"/>
  <c r="AH354" i="8"/>
  <c r="AH355" i="8"/>
  <c r="AH356" i="8"/>
  <c r="AH357" i="8"/>
  <c r="AH358" i="8"/>
  <c r="AH359" i="8"/>
  <c r="AH360" i="8"/>
  <c r="AH361" i="8"/>
  <c r="AH362" i="8"/>
  <c r="AH363" i="8"/>
  <c r="AH364" i="8"/>
  <c r="AH365" i="8"/>
  <c r="AH366" i="8"/>
  <c r="AJ2" i="8"/>
  <c r="AJ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52" i="8"/>
  <c r="AJ53" i="8"/>
  <c r="AJ54" i="8"/>
  <c r="AJ55" i="8"/>
  <c r="AJ56" i="8"/>
  <c r="AJ57" i="8"/>
  <c r="AJ58" i="8"/>
  <c r="AJ59" i="8"/>
  <c r="AJ60" i="8"/>
  <c r="AJ61" i="8"/>
  <c r="AJ62" i="8"/>
  <c r="AJ63" i="8"/>
  <c r="AJ64" i="8"/>
  <c r="AJ65" i="8"/>
  <c r="AJ66" i="8"/>
  <c r="AJ67" i="8"/>
  <c r="AJ68" i="8"/>
  <c r="AJ69" i="8"/>
  <c r="AJ70" i="8"/>
  <c r="AJ71" i="8"/>
  <c r="AJ72" i="8"/>
  <c r="AJ73" i="8"/>
  <c r="AJ74" i="8"/>
  <c r="AJ75" i="8"/>
  <c r="AJ76" i="8"/>
  <c r="AJ77" i="8"/>
  <c r="AJ78" i="8"/>
  <c r="AJ79" i="8"/>
  <c r="AJ80" i="8"/>
  <c r="AJ81" i="8"/>
  <c r="AJ82" i="8"/>
  <c r="AJ83" i="8"/>
  <c r="AJ84" i="8"/>
  <c r="AJ85" i="8"/>
  <c r="AJ86" i="8"/>
  <c r="AJ87" i="8"/>
  <c r="AJ88" i="8"/>
  <c r="AJ89" i="8"/>
  <c r="AJ90" i="8"/>
  <c r="AJ91" i="8"/>
  <c r="AJ92" i="8"/>
  <c r="AJ93" i="8"/>
  <c r="AJ94" i="8"/>
  <c r="AJ95" i="8"/>
  <c r="AJ96" i="8"/>
  <c r="AJ97" i="8"/>
  <c r="AJ98" i="8"/>
  <c r="AJ99" i="8"/>
  <c r="AJ100" i="8"/>
  <c r="AJ101" i="8"/>
  <c r="AJ102" i="8"/>
  <c r="AJ103" i="8"/>
  <c r="AJ104" i="8"/>
  <c r="AJ105" i="8"/>
  <c r="AJ106" i="8"/>
  <c r="AJ107" i="8"/>
  <c r="AJ108" i="8"/>
  <c r="AJ109" i="8"/>
  <c r="AJ110" i="8"/>
  <c r="AJ111" i="8"/>
  <c r="AJ112" i="8"/>
  <c r="AJ113" i="8"/>
  <c r="AJ114" i="8"/>
  <c r="AJ115" i="8"/>
  <c r="AJ116" i="8"/>
  <c r="AJ117" i="8"/>
  <c r="AJ118" i="8"/>
  <c r="AJ119" i="8"/>
  <c r="AJ120" i="8"/>
  <c r="AJ121" i="8"/>
  <c r="AJ122" i="8"/>
  <c r="AJ123" i="8"/>
  <c r="AJ124" i="8"/>
  <c r="AJ125" i="8"/>
  <c r="AJ126" i="8"/>
  <c r="AJ127" i="8"/>
  <c r="AJ128" i="8"/>
  <c r="AJ129" i="8"/>
  <c r="AJ130" i="8"/>
  <c r="AJ131" i="8"/>
  <c r="AJ132" i="8"/>
  <c r="AJ133" i="8"/>
  <c r="AJ134" i="8"/>
  <c r="AJ135" i="8"/>
  <c r="AJ136" i="8"/>
  <c r="AJ137" i="8"/>
  <c r="AJ138" i="8"/>
  <c r="AJ139" i="8"/>
  <c r="AJ140" i="8"/>
  <c r="AJ141" i="8"/>
  <c r="AJ142" i="8"/>
  <c r="AJ143" i="8"/>
  <c r="AJ144" i="8"/>
  <c r="AJ145" i="8"/>
  <c r="AJ146" i="8"/>
  <c r="AJ147" i="8"/>
  <c r="AJ148" i="8"/>
  <c r="AJ149" i="8"/>
  <c r="AJ150" i="8"/>
  <c r="AJ151" i="8"/>
  <c r="AJ152" i="8"/>
  <c r="AJ153" i="8"/>
  <c r="AJ154" i="8"/>
  <c r="AJ155" i="8"/>
  <c r="AJ156" i="8"/>
  <c r="AJ157" i="8"/>
  <c r="AJ158" i="8"/>
  <c r="AJ159" i="8"/>
  <c r="AJ160" i="8"/>
  <c r="AJ161" i="8"/>
  <c r="AJ162" i="8"/>
  <c r="AJ163" i="8"/>
  <c r="AJ164" i="8"/>
  <c r="AJ165" i="8"/>
  <c r="AJ166" i="8"/>
  <c r="AJ167" i="8"/>
  <c r="AJ168" i="8"/>
  <c r="AJ169" i="8"/>
  <c r="AJ170" i="8"/>
  <c r="AJ171" i="8"/>
  <c r="AJ172" i="8"/>
  <c r="AJ173" i="8"/>
  <c r="AJ174" i="8"/>
  <c r="AJ175" i="8"/>
  <c r="AJ176" i="8"/>
  <c r="AJ177" i="8"/>
  <c r="AJ178" i="8"/>
  <c r="AJ179" i="8"/>
  <c r="AJ180" i="8"/>
  <c r="AJ181" i="8"/>
  <c r="AJ182" i="8"/>
  <c r="AJ183" i="8"/>
  <c r="AJ184" i="8"/>
  <c r="AJ185" i="8"/>
  <c r="AJ186" i="8"/>
  <c r="AJ187" i="8"/>
  <c r="AJ188" i="8"/>
  <c r="AJ189" i="8"/>
  <c r="AJ190" i="8"/>
  <c r="AJ191" i="8"/>
  <c r="AJ192" i="8"/>
  <c r="AJ193" i="8"/>
  <c r="AJ194" i="8"/>
  <c r="AJ195" i="8"/>
  <c r="AJ196" i="8"/>
  <c r="AJ197" i="8"/>
  <c r="AJ198" i="8"/>
  <c r="AJ199" i="8"/>
  <c r="AJ200" i="8"/>
  <c r="AJ201" i="8"/>
  <c r="AJ202" i="8"/>
  <c r="AJ203" i="8"/>
  <c r="AJ204" i="8"/>
  <c r="AJ205" i="8"/>
  <c r="AJ206" i="8"/>
  <c r="AJ207" i="8"/>
  <c r="AJ208" i="8"/>
  <c r="AJ209" i="8"/>
  <c r="AJ210" i="8"/>
  <c r="AJ211" i="8"/>
  <c r="AJ212" i="8"/>
  <c r="AJ213" i="8"/>
  <c r="AJ214" i="8"/>
  <c r="AJ215" i="8"/>
  <c r="AJ216" i="8"/>
  <c r="AJ217" i="8"/>
  <c r="AJ218" i="8"/>
  <c r="AJ219" i="8"/>
  <c r="AJ220" i="8"/>
  <c r="AJ221" i="8"/>
  <c r="AJ222" i="8"/>
  <c r="AJ223" i="8"/>
  <c r="AJ224" i="8"/>
  <c r="AJ225" i="8"/>
  <c r="AJ226" i="8"/>
  <c r="AJ227" i="8"/>
  <c r="AJ228" i="8"/>
  <c r="AJ229" i="8"/>
  <c r="AJ230" i="8"/>
  <c r="AJ231" i="8"/>
  <c r="AJ232" i="8"/>
  <c r="AJ233" i="8"/>
  <c r="AJ234" i="8"/>
  <c r="AJ235" i="8"/>
  <c r="AJ236" i="8"/>
  <c r="AJ237" i="8"/>
  <c r="AJ238" i="8"/>
  <c r="AJ239" i="8"/>
  <c r="AJ240" i="8"/>
  <c r="AJ241" i="8"/>
  <c r="AJ242" i="8"/>
  <c r="AJ243" i="8"/>
  <c r="AJ244" i="8"/>
  <c r="AJ245" i="8"/>
  <c r="AJ246" i="8"/>
  <c r="AJ247" i="8"/>
  <c r="AJ248" i="8"/>
  <c r="AJ249" i="8"/>
  <c r="AJ250" i="8"/>
  <c r="AJ251" i="8"/>
  <c r="AJ252" i="8"/>
  <c r="AJ253" i="8"/>
  <c r="AJ254" i="8"/>
  <c r="AJ255" i="8"/>
  <c r="AJ256" i="8"/>
  <c r="AJ257" i="8"/>
  <c r="AJ258" i="8"/>
  <c r="AJ259" i="8"/>
  <c r="AJ260" i="8"/>
  <c r="AJ261" i="8"/>
  <c r="AJ262" i="8"/>
  <c r="AJ263" i="8"/>
  <c r="AJ264" i="8"/>
  <c r="AJ265" i="8"/>
  <c r="AJ266" i="8"/>
  <c r="AJ267" i="8"/>
  <c r="AJ268" i="8"/>
  <c r="AJ269" i="8"/>
  <c r="AJ270" i="8"/>
  <c r="AJ271" i="8"/>
  <c r="AJ272" i="8"/>
  <c r="AJ273" i="8"/>
  <c r="AJ274" i="8"/>
  <c r="AJ275" i="8"/>
  <c r="AJ276" i="8"/>
  <c r="AJ277" i="8"/>
  <c r="AJ278" i="8"/>
  <c r="AJ279" i="8"/>
  <c r="AJ280" i="8"/>
  <c r="AJ281" i="8"/>
  <c r="AJ282" i="8"/>
  <c r="AJ283" i="8"/>
  <c r="AJ284" i="8"/>
  <c r="AJ285" i="8"/>
  <c r="AJ286" i="8"/>
  <c r="AJ287" i="8"/>
  <c r="AJ288" i="8"/>
  <c r="AJ289" i="8"/>
  <c r="AJ290" i="8"/>
  <c r="AJ291" i="8"/>
  <c r="AJ292" i="8"/>
  <c r="AJ293" i="8"/>
  <c r="AJ294" i="8"/>
  <c r="AJ295" i="8"/>
  <c r="AJ296" i="8"/>
  <c r="AJ297" i="8"/>
  <c r="AJ298" i="8"/>
  <c r="AJ299" i="8"/>
  <c r="AJ300" i="8"/>
  <c r="AJ301" i="8"/>
  <c r="AJ302" i="8"/>
  <c r="AJ303" i="8"/>
  <c r="AJ304" i="8"/>
  <c r="AJ305" i="8"/>
  <c r="AJ306" i="8"/>
  <c r="AJ307" i="8"/>
  <c r="AJ308" i="8"/>
  <c r="AJ309" i="8"/>
  <c r="AJ310" i="8"/>
  <c r="AJ311" i="8"/>
  <c r="AJ312" i="8"/>
  <c r="AJ313" i="8"/>
  <c r="AJ314" i="8"/>
  <c r="AJ315" i="8"/>
  <c r="AJ316" i="8"/>
  <c r="AJ317" i="8"/>
  <c r="AJ318" i="8"/>
  <c r="AJ319" i="8"/>
  <c r="AJ320" i="8"/>
  <c r="AJ321" i="8"/>
  <c r="AJ322" i="8"/>
  <c r="AJ323" i="8"/>
  <c r="AJ324" i="8"/>
  <c r="AJ325" i="8"/>
  <c r="AJ326" i="8"/>
  <c r="AJ327" i="8"/>
  <c r="AJ328" i="8"/>
  <c r="AJ329" i="8"/>
  <c r="AJ330" i="8"/>
  <c r="AJ331" i="8"/>
  <c r="AJ332" i="8"/>
  <c r="AJ333" i="8"/>
  <c r="AJ334" i="8"/>
  <c r="AJ335" i="8"/>
  <c r="AJ336" i="8"/>
  <c r="AJ337" i="8"/>
  <c r="AJ338" i="8"/>
  <c r="AJ339" i="8"/>
  <c r="AJ340" i="8"/>
  <c r="AJ341" i="8"/>
  <c r="AJ342" i="8"/>
  <c r="AJ343" i="8"/>
  <c r="AJ344" i="8"/>
  <c r="AJ345" i="8"/>
  <c r="AJ346" i="8"/>
  <c r="AJ347" i="8"/>
  <c r="AJ348" i="8"/>
  <c r="AJ349" i="8"/>
  <c r="AJ350" i="8"/>
  <c r="AJ351" i="8"/>
  <c r="AJ352" i="8"/>
  <c r="AJ353" i="8"/>
  <c r="AJ354" i="8"/>
  <c r="AJ355" i="8"/>
  <c r="AJ356" i="8"/>
  <c r="AJ357" i="8"/>
  <c r="AJ358" i="8"/>
  <c r="AJ359" i="8"/>
  <c r="AJ360" i="8"/>
  <c r="AJ361" i="8"/>
  <c r="AJ362" i="8"/>
  <c r="AJ363" i="8"/>
  <c r="AJ364" i="8"/>
  <c r="AJ365" i="8"/>
  <c r="AJ366" i="8"/>
  <c r="AN2" i="8"/>
  <c r="AN3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N50" i="8"/>
  <c r="AN51" i="8"/>
  <c r="AN52" i="8"/>
  <c r="AN53" i="8"/>
  <c r="AN54" i="8"/>
  <c r="AN55" i="8"/>
  <c r="AN56" i="8"/>
  <c r="AN57" i="8"/>
  <c r="AN58" i="8"/>
  <c r="AN59" i="8"/>
  <c r="AN60" i="8"/>
  <c r="AN61" i="8"/>
  <c r="AN62" i="8"/>
  <c r="AN63" i="8"/>
  <c r="AN64" i="8"/>
  <c r="AN65" i="8"/>
  <c r="AN66" i="8"/>
  <c r="AN67" i="8"/>
  <c r="AN68" i="8"/>
  <c r="AN69" i="8"/>
  <c r="AN70" i="8"/>
  <c r="AN71" i="8"/>
  <c r="AN72" i="8"/>
  <c r="AN73" i="8"/>
  <c r="AN74" i="8"/>
  <c r="AN75" i="8"/>
  <c r="AN76" i="8"/>
  <c r="AN77" i="8"/>
  <c r="AN78" i="8"/>
  <c r="AN79" i="8"/>
  <c r="AN80" i="8"/>
  <c r="AN81" i="8"/>
  <c r="AN82" i="8"/>
  <c r="AN83" i="8"/>
  <c r="AN84" i="8"/>
  <c r="AN85" i="8"/>
  <c r="AN86" i="8"/>
  <c r="AN87" i="8"/>
  <c r="AN88" i="8"/>
  <c r="AN89" i="8"/>
  <c r="AN90" i="8"/>
  <c r="AN91" i="8"/>
  <c r="AN92" i="8"/>
  <c r="AN93" i="8"/>
  <c r="AN94" i="8"/>
  <c r="AN95" i="8"/>
  <c r="AN96" i="8"/>
  <c r="AN97" i="8"/>
  <c r="AN98" i="8"/>
  <c r="AN99" i="8"/>
  <c r="AN100" i="8"/>
  <c r="AN101" i="8"/>
  <c r="AN102" i="8"/>
  <c r="AN103" i="8"/>
  <c r="AN104" i="8"/>
  <c r="AN105" i="8"/>
  <c r="AN106" i="8"/>
  <c r="AN107" i="8"/>
  <c r="AN108" i="8"/>
  <c r="AN109" i="8"/>
  <c r="AN110" i="8"/>
  <c r="AN111" i="8"/>
  <c r="AN112" i="8"/>
  <c r="AN113" i="8"/>
  <c r="AN114" i="8"/>
  <c r="AN115" i="8"/>
  <c r="AN116" i="8"/>
  <c r="AN117" i="8"/>
  <c r="AN118" i="8"/>
  <c r="AN119" i="8"/>
  <c r="AN120" i="8"/>
  <c r="AN121" i="8"/>
  <c r="AN122" i="8"/>
  <c r="AN123" i="8"/>
  <c r="AN124" i="8"/>
  <c r="AN125" i="8"/>
  <c r="AN126" i="8"/>
  <c r="AN127" i="8"/>
  <c r="AN128" i="8"/>
  <c r="AN129" i="8"/>
  <c r="AN130" i="8"/>
  <c r="AN131" i="8"/>
  <c r="AN132" i="8"/>
  <c r="AN133" i="8"/>
  <c r="AN134" i="8"/>
  <c r="AN135" i="8"/>
  <c r="AN136" i="8"/>
  <c r="AN137" i="8"/>
  <c r="AN138" i="8"/>
  <c r="AN139" i="8"/>
  <c r="AN140" i="8"/>
  <c r="AN141" i="8"/>
  <c r="AN142" i="8"/>
  <c r="AN143" i="8"/>
  <c r="AN144" i="8"/>
  <c r="AN145" i="8"/>
  <c r="AN146" i="8"/>
  <c r="AN147" i="8"/>
  <c r="AN148" i="8"/>
  <c r="AN149" i="8"/>
  <c r="AN150" i="8"/>
  <c r="AN151" i="8"/>
  <c r="AN152" i="8"/>
  <c r="AN153" i="8"/>
  <c r="AN154" i="8"/>
  <c r="AN155" i="8"/>
  <c r="AN156" i="8"/>
  <c r="AN157" i="8"/>
  <c r="AN158" i="8"/>
  <c r="AN159" i="8"/>
  <c r="AN160" i="8"/>
  <c r="AN161" i="8"/>
  <c r="AN162" i="8"/>
  <c r="AN163" i="8"/>
  <c r="AN164" i="8"/>
  <c r="AN165" i="8"/>
  <c r="AN166" i="8"/>
  <c r="AN167" i="8"/>
  <c r="AN168" i="8"/>
  <c r="AN169" i="8"/>
  <c r="AN170" i="8"/>
  <c r="AN171" i="8"/>
  <c r="AN172" i="8"/>
  <c r="AN173" i="8"/>
  <c r="AN174" i="8"/>
  <c r="AN175" i="8"/>
  <c r="AN176" i="8"/>
  <c r="AN177" i="8"/>
  <c r="AN178" i="8"/>
  <c r="AN179" i="8"/>
  <c r="AN180" i="8"/>
  <c r="AN181" i="8"/>
  <c r="AN182" i="8"/>
  <c r="AN183" i="8"/>
  <c r="AN184" i="8"/>
  <c r="AN185" i="8"/>
  <c r="AN186" i="8"/>
  <c r="AN187" i="8"/>
  <c r="AN188" i="8"/>
  <c r="AN189" i="8"/>
  <c r="AN190" i="8"/>
  <c r="AN191" i="8"/>
  <c r="AN192" i="8"/>
  <c r="AN193" i="8"/>
  <c r="AN194" i="8"/>
  <c r="AN195" i="8"/>
  <c r="AN196" i="8"/>
  <c r="AN197" i="8"/>
  <c r="AN198" i="8"/>
  <c r="AN199" i="8"/>
  <c r="AN200" i="8"/>
  <c r="AN201" i="8"/>
  <c r="AN202" i="8"/>
  <c r="AN203" i="8"/>
  <c r="AN204" i="8"/>
  <c r="AN205" i="8"/>
  <c r="AN206" i="8"/>
  <c r="AN207" i="8"/>
  <c r="AN208" i="8"/>
  <c r="AN209" i="8"/>
  <c r="AN210" i="8"/>
  <c r="AN211" i="8"/>
  <c r="AN212" i="8"/>
  <c r="AN213" i="8"/>
  <c r="AN214" i="8"/>
  <c r="AN215" i="8"/>
  <c r="AN216" i="8"/>
  <c r="AN217" i="8"/>
  <c r="AN218" i="8"/>
  <c r="AN219" i="8"/>
  <c r="AN220" i="8"/>
  <c r="AN221" i="8"/>
  <c r="AN222" i="8"/>
  <c r="AN223" i="8"/>
  <c r="AN224" i="8"/>
  <c r="AN225" i="8"/>
  <c r="AN226" i="8"/>
  <c r="AN227" i="8"/>
  <c r="AN228" i="8"/>
  <c r="AN229" i="8"/>
  <c r="AN230" i="8"/>
  <c r="AN231" i="8"/>
  <c r="AN232" i="8"/>
  <c r="AN233" i="8"/>
  <c r="AN234" i="8"/>
  <c r="AN235" i="8"/>
  <c r="AN236" i="8"/>
  <c r="AN237" i="8"/>
  <c r="AN238" i="8"/>
  <c r="AN239" i="8"/>
  <c r="AN240" i="8"/>
  <c r="AN241" i="8"/>
  <c r="AN242" i="8"/>
  <c r="AN243" i="8"/>
  <c r="AN244" i="8"/>
  <c r="AN245" i="8"/>
  <c r="AN246" i="8"/>
  <c r="AN247" i="8"/>
  <c r="AN248" i="8"/>
  <c r="AN249" i="8"/>
  <c r="AN250" i="8"/>
  <c r="AN251" i="8"/>
  <c r="AN252" i="8"/>
  <c r="AN253" i="8"/>
  <c r="AN254" i="8"/>
  <c r="AN255" i="8"/>
  <c r="AN256" i="8"/>
  <c r="AN257" i="8"/>
  <c r="AN258" i="8"/>
  <c r="AN259" i="8"/>
  <c r="AN260" i="8"/>
  <c r="AN261" i="8"/>
  <c r="AN262" i="8"/>
  <c r="AN263" i="8"/>
  <c r="AN264" i="8"/>
  <c r="AN265" i="8"/>
  <c r="AN266" i="8"/>
  <c r="AN267" i="8"/>
  <c r="AN268" i="8"/>
  <c r="AN269" i="8"/>
  <c r="AN270" i="8"/>
  <c r="AN271" i="8"/>
  <c r="AN272" i="8"/>
  <c r="AN273" i="8"/>
  <c r="AN274" i="8"/>
  <c r="AN275" i="8"/>
  <c r="AN276" i="8"/>
  <c r="AN277" i="8"/>
  <c r="AN278" i="8"/>
  <c r="AN279" i="8"/>
  <c r="AN280" i="8"/>
  <c r="AN281" i="8"/>
  <c r="AN282" i="8"/>
  <c r="AN283" i="8"/>
  <c r="AN284" i="8"/>
  <c r="AN285" i="8"/>
  <c r="AN286" i="8"/>
  <c r="AN287" i="8"/>
  <c r="AN288" i="8"/>
  <c r="AN289" i="8"/>
  <c r="AN290" i="8"/>
  <c r="AN291" i="8"/>
  <c r="AN292" i="8"/>
  <c r="AN293" i="8"/>
  <c r="AN294" i="8"/>
  <c r="AN295" i="8"/>
  <c r="AN296" i="8"/>
  <c r="AN297" i="8"/>
  <c r="AN298" i="8"/>
  <c r="AN299" i="8"/>
  <c r="AN300" i="8"/>
  <c r="AN301" i="8"/>
  <c r="AN302" i="8"/>
  <c r="AN303" i="8"/>
  <c r="AN304" i="8"/>
  <c r="AN305" i="8"/>
  <c r="AN306" i="8"/>
  <c r="AN307" i="8"/>
  <c r="AN308" i="8"/>
  <c r="AN309" i="8"/>
  <c r="AN310" i="8"/>
  <c r="AN311" i="8"/>
  <c r="AN312" i="8"/>
  <c r="AN313" i="8"/>
  <c r="AN314" i="8"/>
  <c r="AN315" i="8"/>
  <c r="AN316" i="8"/>
  <c r="AN317" i="8"/>
  <c r="AN318" i="8"/>
  <c r="AN319" i="8"/>
  <c r="AN320" i="8"/>
  <c r="AN321" i="8"/>
  <c r="AN322" i="8"/>
  <c r="AN323" i="8"/>
  <c r="AN324" i="8"/>
  <c r="AN325" i="8"/>
  <c r="AN326" i="8"/>
  <c r="AN327" i="8"/>
  <c r="AN328" i="8"/>
  <c r="AN329" i="8"/>
  <c r="AN330" i="8"/>
  <c r="AN331" i="8"/>
  <c r="AN332" i="8"/>
  <c r="AN333" i="8"/>
  <c r="AN334" i="8"/>
  <c r="AN335" i="8"/>
  <c r="AN336" i="8"/>
  <c r="AN337" i="8"/>
  <c r="AN338" i="8"/>
  <c r="AN339" i="8"/>
  <c r="AN340" i="8"/>
  <c r="AN341" i="8"/>
  <c r="AN342" i="8"/>
  <c r="AN343" i="8"/>
  <c r="AN344" i="8"/>
  <c r="AN345" i="8"/>
  <c r="AN346" i="8"/>
  <c r="AN347" i="8"/>
  <c r="AN348" i="8"/>
  <c r="AN349" i="8"/>
  <c r="AN350" i="8"/>
  <c r="AN351" i="8"/>
  <c r="AN352" i="8"/>
  <c r="AN353" i="8"/>
  <c r="AN354" i="8"/>
  <c r="AN355" i="8"/>
  <c r="AN356" i="8"/>
  <c r="AN357" i="8"/>
  <c r="AN358" i="8"/>
  <c r="AN359" i="8"/>
  <c r="AN360" i="8"/>
  <c r="AN361" i="8"/>
  <c r="AN362" i="8"/>
  <c r="AN363" i="8"/>
  <c r="AN364" i="8"/>
  <c r="AN365" i="8"/>
  <c r="AN366" i="8"/>
  <c r="AP2" i="8"/>
  <c r="AP3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P50" i="8"/>
  <c r="AP51" i="8"/>
  <c r="AP52" i="8"/>
  <c r="AP53" i="8"/>
  <c r="AP54" i="8"/>
  <c r="AP55" i="8"/>
  <c r="AP56" i="8"/>
  <c r="AP57" i="8"/>
  <c r="AP58" i="8"/>
  <c r="AP59" i="8"/>
  <c r="AP60" i="8"/>
  <c r="AP61" i="8"/>
  <c r="AP62" i="8"/>
  <c r="AP63" i="8"/>
  <c r="AP64" i="8"/>
  <c r="AP65" i="8"/>
  <c r="AP66" i="8"/>
  <c r="AP67" i="8"/>
  <c r="AP68" i="8"/>
  <c r="AP69" i="8"/>
  <c r="AP70" i="8"/>
  <c r="AP71" i="8"/>
  <c r="AP72" i="8"/>
  <c r="AP73" i="8"/>
  <c r="AP74" i="8"/>
  <c r="AP75" i="8"/>
  <c r="AP76" i="8"/>
  <c r="AP77" i="8"/>
  <c r="AP78" i="8"/>
  <c r="AP79" i="8"/>
  <c r="AP80" i="8"/>
  <c r="AP81" i="8"/>
  <c r="AP82" i="8"/>
  <c r="AP83" i="8"/>
  <c r="AP84" i="8"/>
  <c r="AP85" i="8"/>
  <c r="AP86" i="8"/>
  <c r="AP87" i="8"/>
  <c r="AP88" i="8"/>
  <c r="AP89" i="8"/>
  <c r="AP90" i="8"/>
  <c r="AP91" i="8"/>
  <c r="AP92" i="8"/>
  <c r="AP93" i="8"/>
  <c r="AP94" i="8"/>
  <c r="AP95" i="8"/>
  <c r="AP96" i="8"/>
  <c r="AP97" i="8"/>
  <c r="AP98" i="8"/>
  <c r="AP99" i="8"/>
  <c r="AP100" i="8"/>
  <c r="AP101" i="8"/>
  <c r="AP102" i="8"/>
  <c r="AP103" i="8"/>
  <c r="AP104" i="8"/>
  <c r="AP105" i="8"/>
  <c r="AP106" i="8"/>
  <c r="AP107" i="8"/>
  <c r="AP108" i="8"/>
  <c r="AP109" i="8"/>
  <c r="AP110" i="8"/>
  <c r="AP111" i="8"/>
  <c r="AP112" i="8"/>
  <c r="AP113" i="8"/>
  <c r="AP114" i="8"/>
  <c r="AP115" i="8"/>
  <c r="AP116" i="8"/>
  <c r="AP117" i="8"/>
  <c r="AP118" i="8"/>
  <c r="AP119" i="8"/>
  <c r="AP120" i="8"/>
  <c r="AP121" i="8"/>
  <c r="AP122" i="8"/>
  <c r="AP123" i="8"/>
  <c r="AP124" i="8"/>
  <c r="AP125" i="8"/>
  <c r="AP126" i="8"/>
  <c r="AP127" i="8"/>
  <c r="AP128" i="8"/>
  <c r="AP129" i="8"/>
  <c r="AP130" i="8"/>
  <c r="AP131" i="8"/>
  <c r="AP132" i="8"/>
  <c r="AP133" i="8"/>
  <c r="AP134" i="8"/>
  <c r="AP135" i="8"/>
  <c r="AP136" i="8"/>
  <c r="AP137" i="8"/>
  <c r="AP138" i="8"/>
  <c r="AP139" i="8"/>
  <c r="AP140" i="8"/>
  <c r="AP141" i="8"/>
  <c r="AP142" i="8"/>
  <c r="AP143" i="8"/>
  <c r="AP144" i="8"/>
  <c r="AP145" i="8"/>
  <c r="AP146" i="8"/>
  <c r="AP147" i="8"/>
  <c r="AP148" i="8"/>
  <c r="AP149" i="8"/>
  <c r="AP150" i="8"/>
  <c r="AP151" i="8"/>
  <c r="AP152" i="8"/>
  <c r="AP153" i="8"/>
  <c r="AP154" i="8"/>
  <c r="AP155" i="8"/>
  <c r="AP156" i="8"/>
  <c r="AP157" i="8"/>
  <c r="AP158" i="8"/>
  <c r="AP159" i="8"/>
  <c r="AP160" i="8"/>
  <c r="AP161" i="8"/>
  <c r="AP162" i="8"/>
  <c r="AP163" i="8"/>
  <c r="AP164" i="8"/>
  <c r="AP165" i="8"/>
  <c r="AP166" i="8"/>
  <c r="AP167" i="8"/>
  <c r="AP168" i="8"/>
  <c r="AP169" i="8"/>
  <c r="AP170" i="8"/>
  <c r="AP171" i="8"/>
  <c r="AP172" i="8"/>
  <c r="AP173" i="8"/>
  <c r="AP174" i="8"/>
  <c r="AP175" i="8"/>
  <c r="AP176" i="8"/>
  <c r="AP177" i="8"/>
  <c r="AP178" i="8"/>
  <c r="AP179" i="8"/>
  <c r="AP180" i="8"/>
  <c r="AP181" i="8"/>
  <c r="AP182" i="8"/>
  <c r="AP183" i="8"/>
  <c r="AP184" i="8"/>
  <c r="AP185" i="8"/>
  <c r="AP186" i="8"/>
  <c r="AP187" i="8"/>
  <c r="AP188" i="8"/>
  <c r="AP189" i="8"/>
  <c r="AP190" i="8"/>
  <c r="AP191" i="8"/>
  <c r="AP192" i="8"/>
  <c r="AP193" i="8"/>
  <c r="AP194" i="8"/>
  <c r="AP195" i="8"/>
  <c r="AP196" i="8"/>
  <c r="AP197" i="8"/>
  <c r="AP198" i="8"/>
  <c r="AP199" i="8"/>
  <c r="AP200" i="8"/>
  <c r="AP201" i="8"/>
  <c r="AP202" i="8"/>
  <c r="AP203" i="8"/>
  <c r="AP204" i="8"/>
  <c r="AP205" i="8"/>
  <c r="AP206" i="8"/>
  <c r="AP207" i="8"/>
  <c r="AP208" i="8"/>
  <c r="AP209" i="8"/>
  <c r="AP210" i="8"/>
  <c r="AP211" i="8"/>
  <c r="AP212" i="8"/>
  <c r="AP213" i="8"/>
  <c r="AP214" i="8"/>
  <c r="AP215" i="8"/>
  <c r="AP216" i="8"/>
  <c r="AP217" i="8"/>
  <c r="AP218" i="8"/>
  <c r="AP219" i="8"/>
  <c r="AP220" i="8"/>
  <c r="AP221" i="8"/>
  <c r="AP222" i="8"/>
  <c r="AP223" i="8"/>
  <c r="AP224" i="8"/>
  <c r="AP225" i="8"/>
  <c r="AP226" i="8"/>
  <c r="AP227" i="8"/>
  <c r="AP228" i="8"/>
  <c r="AP229" i="8"/>
  <c r="AP230" i="8"/>
  <c r="AP231" i="8"/>
  <c r="AP232" i="8"/>
  <c r="AP233" i="8"/>
  <c r="AP234" i="8"/>
  <c r="AP235" i="8"/>
  <c r="AP236" i="8"/>
  <c r="AP237" i="8"/>
  <c r="AP238" i="8"/>
  <c r="AP239" i="8"/>
  <c r="AP240" i="8"/>
  <c r="AP241" i="8"/>
  <c r="AP242" i="8"/>
  <c r="AP243" i="8"/>
  <c r="AP244" i="8"/>
  <c r="AP245" i="8"/>
  <c r="AP246" i="8"/>
  <c r="AP247" i="8"/>
  <c r="AP248" i="8"/>
  <c r="AP249" i="8"/>
  <c r="AP250" i="8"/>
  <c r="AP251" i="8"/>
  <c r="AP252" i="8"/>
  <c r="AP253" i="8"/>
  <c r="AP254" i="8"/>
  <c r="AP255" i="8"/>
  <c r="AP256" i="8"/>
  <c r="AP257" i="8"/>
  <c r="AP258" i="8"/>
  <c r="AP259" i="8"/>
  <c r="AP260" i="8"/>
  <c r="AP261" i="8"/>
  <c r="AP262" i="8"/>
  <c r="AP263" i="8"/>
  <c r="AP264" i="8"/>
  <c r="AP265" i="8"/>
  <c r="AP266" i="8"/>
  <c r="AP267" i="8"/>
  <c r="AP268" i="8"/>
  <c r="AP269" i="8"/>
  <c r="AP270" i="8"/>
  <c r="AP271" i="8"/>
  <c r="AP272" i="8"/>
  <c r="AP273" i="8"/>
  <c r="AP274" i="8"/>
  <c r="AP275" i="8"/>
  <c r="AP276" i="8"/>
  <c r="AP277" i="8"/>
  <c r="AP278" i="8"/>
  <c r="AP279" i="8"/>
  <c r="AP280" i="8"/>
  <c r="AP281" i="8"/>
  <c r="AP282" i="8"/>
  <c r="AP283" i="8"/>
  <c r="AP284" i="8"/>
  <c r="AP285" i="8"/>
  <c r="AP286" i="8"/>
  <c r="AP287" i="8"/>
  <c r="AP288" i="8"/>
  <c r="AP289" i="8"/>
  <c r="AP290" i="8"/>
  <c r="AP291" i="8"/>
  <c r="AP292" i="8"/>
  <c r="AP293" i="8"/>
  <c r="AP294" i="8"/>
  <c r="AP295" i="8"/>
  <c r="AP296" i="8"/>
  <c r="AP297" i="8"/>
  <c r="AP298" i="8"/>
  <c r="AP299" i="8"/>
  <c r="AP300" i="8"/>
  <c r="AP301" i="8"/>
  <c r="AP302" i="8"/>
  <c r="AP303" i="8"/>
  <c r="AP304" i="8"/>
  <c r="AP305" i="8"/>
  <c r="AP306" i="8"/>
  <c r="AP307" i="8"/>
  <c r="AP308" i="8"/>
  <c r="AP309" i="8"/>
  <c r="AP310" i="8"/>
  <c r="AP311" i="8"/>
  <c r="AP312" i="8"/>
  <c r="AP313" i="8"/>
  <c r="AP314" i="8"/>
  <c r="AP315" i="8"/>
  <c r="AP316" i="8"/>
  <c r="AP317" i="8"/>
  <c r="AP318" i="8"/>
  <c r="AP319" i="8"/>
  <c r="AP320" i="8"/>
  <c r="AP321" i="8"/>
  <c r="AP322" i="8"/>
  <c r="AP323" i="8"/>
  <c r="AP324" i="8"/>
  <c r="AP325" i="8"/>
  <c r="AP326" i="8"/>
  <c r="AP327" i="8"/>
  <c r="AP328" i="8"/>
  <c r="AP329" i="8"/>
  <c r="AP330" i="8"/>
  <c r="AP331" i="8"/>
  <c r="AP332" i="8"/>
  <c r="AP333" i="8"/>
  <c r="AP334" i="8"/>
  <c r="AP335" i="8"/>
  <c r="AP336" i="8"/>
  <c r="AP337" i="8"/>
  <c r="AP338" i="8"/>
  <c r="AP339" i="8"/>
  <c r="AP340" i="8"/>
  <c r="AP341" i="8"/>
  <c r="AP342" i="8"/>
  <c r="AP343" i="8"/>
  <c r="AP344" i="8"/>
  <c r="AP345" i="8"/>
  <c r="AP346" i="8"/>
  <c r="AP347" i="8"/>
  <c r="AP348" i="8"/>
  <c r="AP349" i="8"/>
  <c r="AP350" i="8"/>
  <c r="AP351" i="8"/>
  <c r="AP352" i="8"/>
  <c r="AP353" i="8"/>
  <c r="AP354" i="8"/>
  <c r="AP355" i="8"/>
  <c r="AP356" i="8"/>
  <c r="AP357" i="8"/>
  <c r="AP358" i="8"/>
  <c r="AP359" i="8"/>
  <c r="AP360" i="8"/>
  <c r="AP361" i="8"/>
  <c r="AP362" i="8"/>
  <c r="AP363" i="8"/>
  <c r="AP364" i="8"/>
  <c r="AP365" i="8"/>
  <c r="AP366" i="8"/>
  <c r="AP2" i="1"/>
  <c r="AP2" i="7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246" i="8"/>
  <c r="AB247" i="8"/>
  <c r="AB248" i="8"/>
  <c r="AB249" i="8"/>
  <c r="AB250" i="8"/>
  <c r="AB251" i="8"/>
  <c r="AB252" i="8"/>
  <c r="AB253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B274" i="8"/>
  <c r="AB275" i="8"/>
  <c r="AB276" i="8"/>
  <c r="AB277" i="8"/>
  <c r="AB278" i="8"/>
  <c r="AB279" i="8"/>
  <c r="AB280" i="8"/>
  <c r="AB281" i="8"/>
  <c r="AB282" i="8"/>
  <c r="AB283" i="8"/>
  <c r="AB284" i="8"/>
  <c r="AB285" i="8"/>
  <c r="AB286" i="8"/>
  <c r="AB287" i="8"/>
  <c r="AB288" i="8"/>
  <c r="AB289" i="8"/>
  <c r="AB290" i="8"/>
  <c r="AB291" i="8"/>
  <c r="AB292" i="8"/>
  <c r="AB293" i="8"/>
  <c r="AB294" i="8"/>
  <c r="AB295" i="8"/>
  <c r="AB296" i="8"/>
  <c r="AB297" i="8"/>
  <c r="AB298" i="8"/>
  <c r="AB299" i="8"/>
  <c r="AB300" i="8"/>
  <c r="AB301" i="8"/>
  <c r="AB302" i="8"/>
  <c r="AB303" i="8"/>
  <c r="AB304" i="8"/>
  <c r="AB305" i="8"/>
  <c r="AB306" i="8"/>
  <c r="AB307" i="8"/>
  <c r="AB308" i="8"/>
  <c r="AB309" i="8"/>
  <c r="AB310" i="8"/>
  <c r="AB311" i="8"/>
  <c r="AB312" i="8"/>
  <c r="AB313" i="8"/>
  <c r="AB314" i="8"/>
  <c r="AB315" i="8"/>
  <c r="AB316" i="8"/>
  <c r="AB317" i="8"/>
  <c r="AB318" i="8"/>
  <c r="AB319" i="8"/>
  <c r="AB320" i="8"/>
  <c r="AB321" i="8"/>
  <c r="AB322" i="8"/>
  <c r="AB323" i="8"/>
  <c r="AB324" i="8"/>
  <c r="AB325" i="8"/>
  <c r="AB326" i="8"/>
  <c r="AB327" i="8"/>
  <c r="AB328" i="8"/>
  <c r="AB329" i="8"/>
  <c r="AB330" i="8"/>
  <c r="AB331" i="8"/>
  <c r="AB332" i="8"/>
  <c r="AB333" i="8"/>
  <c r="AB334" i="8"/>
  <c r="AB335" i="8"/>
  <c r="AB336" i="8"/>
  <c r="AB337" i="8"/>
  <c r="AB338" i="8"/>
  <c r="AB339" i="8"/>
  <c r="AB340" i="8"/>
  <c r="AB341" i="8"/>
  <c r="AB342" i="8"/>
  <c r="AB343" i="8"/>
  <c r="AB344" i="8"/>
  <c r="AB345" i="8"/>
  <c r="AB346" i="8"/>
  <c r="AB347" i="8"/>
  <c r="AB348" i="8"/>
  <c r="AB349" i="8"/>
  <c r="AB350" i="8"/>
  <c r="AB351" i="8"/>
  <c r="AB352" i="8"/>
  <c r="AB353" i="8"/>
  <c r="AB354" i="8"/>
  <c r="AB355" i="8"/>
  <c r="AB356" i="8"/>
  <c r="AB357" i="8"/>
  <c r="AB358" i="8"/>
  <c r="AB359" i="8"/>
  <c r="AB360" i="8"/>
  <c r="AB361" i="8"/>
  <c r="AB362" i="8"/>
  <c r="AB363" i="8"/>
  <c r="AB364" i="8"/>
  <c r="AB365" i="8"/>
  <c r="AB366" i="8"/>
  <c r="AB2" i="8"/>
  <c r="AB3" i="8"/>
  <c r="AB2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" i="7"/>
  <c r="K367" i="6"/>
  <c r="P367" i="6"/>
  <c r="S367" i="6" s="1"/>
  <c r="R367" i="6"/>
  <c r="T367" i="6"/>
  <c r="W367" i="6"/>
  <c r="AD367" i="6" s="1"/>
  <c r="X367" i="6"/>
  <c r="AA367" i="6"/>
  <c r="AH367" i="6"/>
  <c r="AJ367" i="6"/>
  <c r="AN367" i="6"/>
  <c r="AP367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" i="6"/>
  <c r="AB2" i="6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4"/>
  <c r="AB5" i="4"/>
  <c r="AB4" i="4"/>
  <c r="AB2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S341" i="8" l="1"/>
  <c r="S337" i="8"/>
  <c r="S333" i="8"/>
  <c r="S329" i="8"/>
  <c r="S325" i="8"/>
  <c r="S321" i="8"/>
  <c r="S317" i="8"/>
  <c r="S313" i="8"/>
  <c r="S309" i="8"/>
  <c r="S305" i="8"/>
  <c r="S301" i="8"/>
  <c r="S297" i="8"/>
  <c r="S293" i="8"/>
  <c r="S289" i="8"/>
  <c r="S285" i="8"/>
  <c r="S281" i="8"/>
  <c r="S277" i="8"/>
  <c r="S273" i="8"/>
  <c r="S269" i="8"/>
  <c r="S265" i="8"/>
  <c r="S261" i="8"/>
  <c r="S257" i="8"/>
  <c r="S253" i="8"/>
  <c r="S249" i="8"/>
  <c r="S245" i="8"/>
  <c r="S241" i="8"/>
  <c r="S237" i="8"/>
  <c r="S233" i="8"/>
  <c r="S229" i="8"/>
  <c r="S225" i="8"/>
  <c r="S221" i="8"/>
  <c r="S217" i="8"/>
  <c r="S213" i="8"/>
  <c r="S209" i="8"/>
  <c r="S205" i="8"/>
  <c r="S201" i="8"/>
  <c r="S197" i="8"/>
  <c r="S193" i="8"/>
  <c r="S189" i="8"/>
  <c r="S185" i="8"/>
  <c r="S181" i="8"/>
  <c r="S177" i="8"/>
  <c r="S173" i="8"/>
  <c r="S169" i="8"/>
  <c r="S165" i="8"/>
  <c r="S161" i="8"/>
  <c r="S157" i="8"/>
  <c r="S153" i="8"/>
  <c r="S149" i="8"/>
  <c r="S145" i="8"/>
  <c r="S141" i="8"/>
  <c r="S137" i="8"/>
  <c r="S133" i="8"/>
  <c r="S129" i="8"/>
  <c r="S125" i="8"/>
  <c r="S121" i="8"/>
  <c r="S117" i="8"/>
  <c r="S113" i="8"/>
  <c r="S109" i="8"/>
  <c r="S105" i="8"/>
  <c r="S101" i="8"/>
  <c r="S97" i="8"/>
  <c r="S93" i="8"/>
  <c r="S89" i="8"/>
  <c r="S85" i="8"/>
  <c r="S81" i="8"/>
  <c r="S77" i="8"/>
  <c r="S73" i="8"/>
  <c r="S69" i="8"/>
  <c r="S65" i="8"/>
  <c r="S61" i="8"/>
  <c r="S57" i="8"/>
  <c r="S53" i="8"/>
  <c r="S49" i="8"/>
  <c r="S45" i="8"/>
  <c r="S41" i="8"/>
  <c r="S37" i="8"/>
  <c r="S33" i="8"/>
  <c r="S29" i="8"/>
  <c r="S25" i="8"/>
  <c r="S21" i="8"/>
  <c r="S17" i="8"/>
  <c r="S13" i="8"/>
  <c r="S9" i="8"/>
  <c r="S5" i="8"/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W366" i="8"/>
  <c r="T366" i="8"/>
  <c r="X366" i="8" s="1"/>
  <c r="W365" i="8"/>
  <c r="T365" i="8"/>
  <c r="X365" i="8" s="1"/>
  <c r="W364" i="8"/>
  <c r="T364" i="8"/>
  <c r="X364" i="8" s="1"/>
  <c r="W363" i="8"/>
  <c r="T363" i="8"/>
  <c r="W362" i="8"/>
  <c r="T362" i="8"/>
  <c r="X362" i="8" s="1"/>
  <c r="W361" i="8"/>
  <c r="T361" i="8"/>
  <c r="X361" i="8" s="1"/>
  <c r="X360" i="8"/>
  <c r="W360" i="8"/>
  <c r="T360" i="8"/>
  <c r="W359" i="8"/>
  <c r="T359" i="8"/>
  <c r="X359" i="8" s="1"/>
  <c r="W358" i="8"/>
  <c r="X358" i="8" s="1"/>
  <c r="T358" i="8"/>
  <c r="W357" i="8"/>
  <c r="T357" i="8"/>
  <c r="X357" i="8" s="1"/>
  <c r="W356" i="8"/>
  <c r="T356" i="8"/>
  <c r="X356" i="8" s="1"/>
  <c r="W355" i="8"/>
  <c r="T355" i="8"/>
  <c r="W354" i="8"/>
  <c r="T354" i="8"/>
  <c r="X354" i="8" s="1"/>
  <c r="W353" i="8"/>
  <c r="T353" i="8"/>
  <c r="X353" i="8" s="1"/>
  <c r="X352" i="8"/>
  <c r="W352" i="8"/>
  <c r="T352" i="8"/>
  <c r="W351" i="8"/>
  <c r="T351" i="8"/>
  <c r="W350" i="8"/>
  <c r="T350" i="8"/>
  <c r="X350" i="8" s="1"/>
  <c r="W349" i="8"/>
  <c r="T349" i="8"/>
  <c r="X349" i="8" s="1"/>
  <c r="W348" i="8"/>
  <c r="T348" i="8"/>
  <c r="X348" i="8" s="1"/>
  <c r="W347" i="8"/>
  <c r="T347" i="8"/>
  <c r="W346" i="8"/>
  <c r="T346" i="8"/>
  <c r="X346" i="8" s="1"/>
  <c r="W345" i="8"/>
  <c r="T345" i="8"/>
  <c r="X345" i="8" s="1"/>
  <c r="X344" i="8"/>
  <c r="W344" i="8"/>
  <c r="T344" i="8"/>
  <c r="W343" i="8"/>
  <c r="T343" i="8"/>
  <c r="W342" i="8"/>
  <c r="T342" i="8"/>
  <c r="X342" i="8" s="1"/>
  <c r="W341" i="8"/>
  <c r="T341" i="8"/>
  <c r="X341" i="8" s="1"/>
  <c r="W340" i="8"/>
  <c r="T340" i="8"/>
  <c r="X340" i="8" s="1"/>
  <c r="W339" i="8"/>
  <c r="T339" i="8"/>
  <c r="W338" i="8"/>
  <c r="T338" i="8"/>
  <c r="X338" i="8" s="1"/>
  <c r="W337" i="8"/>
  <c r="T337" i="8"/>
  <c r="X337" i="8" s="1"/>
  <c r="X336" i="8"/>
  <c r="W336" i="8"/>
  <c r="T336" i="8"/>
  <c r="W335" i="8"/>
  <c r="T335" i="8"/>
  <c r="W334" i="8"/>
  <c r="T334" i="8"/>
  <c r="X334" i="8" s="1"/>
  <c r="W333" i="8"/>
  <c r="T333" i="8"/>
  <c r="W332" i="8"/>
  <c r="T332" i="8"/>
  <c r="X332" i="8" s="1"/>
  <c r="W331" i="8"/>
  <c r="T331" i="8"/>
  <c r="W330" i="8"/>
  <c r="T330" i="8"/>
  <c r="X330" i="8" s="1"/>
  <c r="W329" i="8"/>
  <c r="T329" i="8"/>
  <c r="X329" i="8" s="1"/>
  <c r="X328" i="8"/>
  <c r="W328" i="8"/>
  <c r="T328" i="8"/>
  <c r="W327" i="8"/>
  <c r="T327" i="8"/>
  <c r="W326" i="8"/>
  <c r="T326" i="8"/>
  <c r="X326" i="8" s="1"/>
  <c r="W325" i="8"/>
  <c r="T325" i="8"/>
  <c r="W324" i="8"/>
  <c r="T324" i="8"/>
  <c r="X324" i="8" s="1"/>
  <c r="W323" i="8"/>
  <c r="T323" i="8"/>
  <c r="W322" i="8"/>
  <c r="T322" i="8"/>
  <c r="X322" i="8" s="1"/>
  <c r="W321" i="8"/>
  <c r="T321" i="8"/>
  <c r="X321" i="8" s="1"/>
  <c r="X320" i="8"/>
  <c r="W320" i="8"/>
  <c r="T320" i="8"/>
  <c r="W319" i="8"/>
  <c r="T319" i="8"/>
  <c r="W318" i="8"/>
  <c r="T318" i="8"/>
  <c r="X318" i="8" s="1"/>
  <c r="W317" i="8"/>
  <c r="T317" i="8"/>
  <c r="X317" i="8" s="1"/>
  <c r="W316" i="8"/>
  <c r="T316" i="8"/>
  <c r="X316" i="8" s="1"/>
  <c r="W315" i="8"/>
  <c r="T315" i="8"/>
  <c r="W314" i="8"/>
  <c r="T314" i="8"/>
  <c r="X314" i="8" s="1"/>
  <c r="W313" i="8"/>
  <c r="T313" i="8"/>
  <c r="X313" i="8" s="1"/>
  <c r="X312" i="8"/>
  <c r="W312" i="8"/>
  <c r="T312" i="8"/>
  <c r="W311" i="8"/>
  <c r="T311" i="8"/>
  <c r="W310" i="8"/>
  <c r="T310" i="8"/>
  <c r="X310" i="8" s="1"/>
  <c r="W309" i="8"/>
  <c r="T309" i="8"/>
  <c r="X309" i="8" s="1"/>
  <c r="W308" i="8"/>
  <c r="T308" i="8"/>
  <c r="X308" i="8" s="1"/>
  <c r="W307" i="8"/>
  <c r="T307" i="8"/>
  <c r="W306" i="8"/>
  <c r="T306" i="8"/>
  <c r="X306" i="8" s="1"/>
  <c r="W305" i="8"/>
  <c r="T305" i="8"/>
  <c r="X305" i="8" s="1"/>
  <c r="X304" i="8"/>
  <c r="W304" i="8"/>
  <c r="T304" i="8"/>
  <c r="W303" i="8"/>
  <c r="T303" i="8"/>
  <c r="W302" i="8"/>
  <c r="T302" i="8"/>
  <c r="X302" i="8" s="1"/>
  <c r="W301" i="8"/>
  <c r="T301" i="8"/>
  <c r="W300" i="8"/>
  <c r="T300" i="8"/>
  <c r="X300" i="8" s="1"/>
  <c r="W299" i="8"/>
  <c r="T299" i="8"/>
  <c r="W298" i="8"/>
  <c r="T298" i="8"/>
  <c r="X298" i="8" s="1"/>
  <c r="W297" i="8"/>
  <c r="T297" i="8"/>
  <c r="X297" i="8" s="1"/>
  <c r="X296" i="8"/>
  <c r="W296" i="8"/>
  <c r="T296" i="8"/>
  <c r="W295" i="8"/>
  <c r="T295" i="8"/>
  <c r="W294" i="8"/>
  <c r="T294" i="8"/>
  <c r="X294" i="8" s="1"/>
  <c r="W293" i="8"/>
  <c r="T293" i="8"/>
  <c r="W292" i="8"/>
  <c r="T292" i="8"/>
  <c r="X292" i="8" s="1"/>
  <c r="W291" i="8"/>
  <c r="T291" i="8"/>
  <c r="W290" i="8"/>
  <c r="T290" i="8"/>
  <c r="X290" i="8" s="1"/>
  <c r="W289" i="8"/>
  <c r="T289" i="8"/>
  <c r="X289" i="8" s="1"/>
  <c r="X288" i="8"/>
  <c r="W288" i="8"/>
  <c r="T288" i="8"/>
  <c r="W287" i="8"/>
  <c r="T287" i="8"/>
  <c r="W286" i="8"/>
  <c r="T286" i="8"/>
  <c r="X286" i="8" s="1"/>
  <c r="W285" i="8"/>
  <c r="T285" i="8"/>
  <c r="X285" i="8" s="1"/>
  <c r="W284" i="8"/>
  <c r="T284" i="8"/>
  <c r="X284" i="8" s="1"/>
  <c r="W283" i="8"/>
  <c r="T283" i="8"/>
  <c r="W282" i="8"/>
  <c r="T282" i="8"/>
  <c r="X282" i="8" s="1"/>
  <c r="W281" i="8"/>
  <c r="T281" i="8"/>
  <c r="X281" i="8" s="1"/>
  <c r="X280" i="8"/>
  <c r="W280" i="8"/>
  <c r="T280" i="8"/>
  <c r="W279" i="8"/>
  <c r="T279" i="8"/>
  <c r="W278" i="8"/>
  <c r="T278" i="8"/>
  <c r="X278" i="8" s="1"/>
  <c r="W277" i="8"/>
  <c r="T277" i="8"/>
  <c r="X277" i="8" s="1"/>
  <c r="W276" i="8"/>
  <c r="T276" i="8"/>
  <c r="X276" i="8" s="1"/>
  <c r="W275" i="8"/>
  <c r="T275" i="8"/>
  <c r="W274" i="8"/>
  <c r="T274" i="8"/>
  <c r="X274" i="8" s="1"/>
  <c r="W273" i="8"/>
  <c r="T273" i="8"/>
  <c r="X273" i="8" s="1"/>
  <c r="X272" i="8"/>
  <c r="W272" i="8"/>
  <c r="T272" i="8"/>
  <c r="W271" i="8"/>
  <c r="T271" i="8"/>
  <c r="W270" i="8"/>
  <c r="T270" i="8"/>
  <c r="X270" i="8" s="1"/>
  <c r="W269" i="8"/>
  <c r="T269" i="8"/>
  <c r="W268" i="8"/>
  <c r="T268" i="8"/>
  <c r="X268" i="8" s="1"/>
  <c r="W267" i="8"/>
  <c r="T267" i="8"/>
  <c r="W266" i="8"/>
  <c r="T266" i="8"/>
  <c r="X266" i="8" s="1"/>
  <c r="W265" i="8"/>
  <c r="T265" i="8"/>
  <c r="X265" i="8" s="1"/>
  <c r="X264" i="8"/>
  <c r="W264" i="8"/>
  <c r="T264" i="8"/>
  <c r="W263" i="8"/>
  <c r="T263" i="8"/>
  <c r="W262" i="8"/>
  <c r="T262" i="8"/>
  <c r="X262" i="8" s="1"/>
  <c r="W261" i="8"/>
  <c r="T261" i="8"/>
  <c r="W260" i="8"/>
  <c r="T260" i="8"/>
  <c r="X260" i="8" s="1"/>
  <c r="W259" i="8"/>
  <c r="T259" i="8"/>
  <c r="W258" i="8"/>
  <c r="T258" i="8"/>
  <c r="X258" i="8" s="1"/>
  <c r="W257" i="8"/>
  <c r="T257" i="8"/>
  <c r="X257" i="8" s="1"/>
  <c r="X256" i="8"/>
  <c r="W256" i="8"/>
  <c r="T256" i="8"/>
  <c r="W255" i="8"/>
  <c r="T255" i="8"/>
  <c r="W254" i="8"/>
  <c r="T254" i="8"/>
  <c r="X254" i="8" s="1"/>
  <c r="W253" i="8"/>
  <c r="T253" i="8"/>
  <c r="X253" i="8" s="1"/>
  <c r="W252" i="8"/>
  <c r="T252" i="8"/>
  <c r="X252" i="8" s="1"/>
  <c r="W251" i="8"/>
  <c r="T251" i="8"/>
  <c r="W250" i="8"/>
  <c r="T250" i="8"/>
  <c r="X250" i="8" s="1"/>
  <c r="W249" i="8"/>
  <c r="T249" i="8"/>
  <c r="X249" i="8" s="1"/>
  <c r="X248" i="8"/>
  <c r="W248" i="8"/>
  <c r="T248" i="8"/>
  <c r="W247" i="8"/>
  <c r="T247" i="8"/>
  <c r="W246" i="8"/>
  <c r="T246" i="8"/>
  <c r="X246" i="8" s="1"/>
  <c r="W245" i="8"/>
  <c r="T245" i="8"/>
  <c r="W244" i="8"/>
  <c r="T244" i="8"/>
  <c r="X244" i="8" s="1"/>
  <c r="W243" i="8"/>
  <c r="T243" i="8"/>
  <c r="W242" i="8"/>
  <c r="T242" i="8"/>
  <c r="X242" i="8" s="1"/>
  <c r="W241" i="8"/>
  <c r="T241" i="8"/>
  <c r="X241" i="8" s="1"/>
  <c r="X240" i="8"/>
  <c r="W240" i="8"/>
  <c r="T240" i="8"/>
  <c r="W239" i="8"/>
  <c r="T239" i="8"/>
  <c r="W238" i="8"/>
  <c r="T238" i="8"/>
  <c r="X238" i="8" s="1"/>
  <c r="W237" i="8"/>
  <c r="T237" i="8"/>
  <c r="W236" i="8"/>
  <c r="T236" i="8"/>
  <c r="X236" i="8" s="1"/>
  <c r="W235" i="8"/>
  <c r="T235" i="8"/>
  <c r="W234" i="8"/>
  <c r="T234" i="8"/>
  <c r="X234" i="8" s="1"/>
  <c r="W233" i="8"/>
  <c r="T233" i="8"/>
  <c r="X232" i="8"/>
  <c r="W232" i="8"/>
  <c r="T232" i="8"/>
  <c r="W231" i="8"/>
  <c r="T231" i="8"/>
  <c r="W230" i="8"/>
  <c r="T230" i="8"/>
  <c r="X230" i="8" s="1"/>
  <c r="W229" i="8"/>
  <c r="T229" i="8"/>
  <c r="W228" i="8"/>
  <c r="T228" i="8"/>
  <c r="W227" i="8"/>
  <c r="T227" i="8"/>
  <c r="X226" i="8"/>
  <c r="W226" i="8"/>
  <c r="T226" i="8"/>
  <c r="W225" i="8"/>
  <c r="T225" i="8"/>
  <c r="W224" i="8"/>
  <c r="T224" i="8"/>
  <c r="W223" i="8"/>
  <c r="T223" i="8"/>
  <c r="W222" i="8"/>
  <c r="T222" i="8"/>
  <c r="X222" i="8" s="1"/>
  <c r="W221" i="8"/>
  <c r="T221" i="8"/>
  <c r="W220" i="8"/>
  <c r="X220" i="8" s="1"/>
  <c r="T220" i="8"/>
  <c r="W219" i="8"/>
  <c r="T219" i="8"/>
  <c r="X219" i="8" s="1"/>
  <c r="W218" i="8"/>
  <c r="T218" i="8"/>
  <c r="X218" i="8" s="1"/>
  <c r="W217" i="8"/>
  <c r="T217" i="8"/>
  <c r="W216" i="8"/>
  <c r="T216" i="8"/>
  <c r="W215" i="8"/>
  <c r="T215" i="8"/>
  <c r="W214" i="8"/>
  <c r="T214" i="8"/>
  <c r="X214" i="8" s="1"/>
  <c r="W213" i="8"/>
  <c r="T213" i="8"/>
  <c r="W212" i="8"/>
  <c r="T212" i="8"/>
  <c r="W211" i="8"/>
  <c r="T211" i="8"/>
  <c r="X211" i="8" s="1"/>
  <c r="X210" i="8"/>
  <c r="W210" i="8"/>
  <c r="T210" i="8"/>
  <c r="W209" i="8"/>
  <c r="T209" i="8"/>
  <c r="W208" i="8"/>
  <c r="T208" i="8"/>
  <c r="W207" i="8"/>
  <c r="T207" i="8"/>
  <c r="W206" i="8"/>
  <c r="T206" i="8"/>
  <c r="X206" i="8" s="1"/>
  <c r="W205" i="8"/>
  <c r="T205" i="8"/>
  <c r="W204" i="8"/>
  <c r="X204" i="8" s="1"/>
  <c r="T204" i="8"/>
  <c r="W203" i="8"/>
  <c r="T203" i="8"/>
  <c r="X203" i="8" s="1"/>
  <c r="W202" i="8"/>
  <c r="T202" i="8"/>
  <c r="X202" i="8" s="1"/>
  <c r="W201" i="8"/>
  <c r="T201" i="8"/>
  <c r="W200" i="8"/>
  <c r="T200" i="8"/>
  <c r="W199" i="8"/>
  <c r="T199" i="8"/>
  <c r="W198" i="8"/>
  <c r="T198" i="8"/>
  <c r="X198" i="8" s="1"/>
  <c r="W197" i="8"/>
  <c r="T197" i="8"/>
  <c r="W196" i="8"/>
  <c r="T196" i="8"/>
  <c r="X196" i="8" s="1"/>
  <c r="W195" i="8"/>
  <c r="T195" i="8"/>
  <c r="X195" i="8" s="1"/>
  <c r="W194" i="8"/>
  <c r="T194" i="8"/>
  <c r="W193" i="8"/>
  <c r="T193" i="8"/>
  <c r="W192" i="8"/>
  <c r="T192" i="8"/>
  <c r="W191" i="8"/>
  <c r="X191" i="8" s="1"/>
  <c r="T191" i="8"/>
  <c r="W190" i="8"/>
  <c r="T190" i="8"/>
  <c r="W189" i="8"/>
  <c r="T189" i="8"/>
  <c r="W188" i="8"/>
  <c r="T188" i="8"/>
  <c r="W187" i="8"/>
  <c r="X187" i="8" s="1"/>
  <c r="T187" i="8"/>
  <c r="W186" i="8"/>
  <c r="T186" i="8"/>
  <c r="W185" i="8"/>
  <c r="X185" i="8" s="1"/>
  <c r="T185" i="8"/>
  <c r="W184" i="8"/>
  <c r="T184" i="8"/>
  <c r="W183" i="8"/>
  <c r="X183" i="8" s="1"/>
  <c r="T183" i="8"/>
  <c r="W182" i="8"/>
  <c r="T182" i="8"/>
  <c r="W181" i="8"/>
  <c r="X181" i="8" s="1"/>
  <c r="T181" i="8"/>
  <c r="W180" i="8"/>
  <c r="T180" i="8"/>
  <c r="W179" i="8"/>
  <c r="X179" i="8" s="1"/>
  <c r="T179" i="8"/>
  <c r="W178" i="8"/>
  <c r="T178" i="8"/>
  <c r="W177" i="8"/>
  <c r="X177" i="8" s="1"/>
  <c r="T177" i="8"/>
  <c r="W176" i="8"/>
  <c r="T176" i="8"/>
  <c r="W175" i="8"/>
  <c r="X175" i="8" s="1"/>
  <c r="T175" i="8"/>
  <c r="W174" i="8"/>
  <c r="T174" i="8"/>
  <c r="W173" i="8"/>
  <c r="X173" i="8" s="1"/>
  <c r="T173" i="8"/>
  <c r="W172" i="8"/>
  <c r="T172" i="8"/>
  <c r="W171" i="8"/>
  <c r="X171" i="8" s="1"/>
  <c r="T171" i="8"/>
  <c r="W170" i="8"/>
  <c r="T170" i="8"/>
  <c r="W169" i="8"/>
  <c r="X169" i="8" s="1"/>
  <c r="T169" i="8"/>
  <c r="W168" i="8"/>
  <c r="T168" i="8"/>
  <c r="W167" i="8"/>
  <c r="X167" i="8" s="1"/>
  <c r="T167" i="8"/>
  <c r="W166" i="8"/>
  <c r="T166" i="8"/>
  <c r="W165" i="8"/>
  <c r="X165" i="8" s="1"/>
  <c r="T165" i="8"/>
  <c r="W164" i="8"/>
  <c r="T164" i="8"/>
  <c r="W163" i="8"/>
  <c r="X163" i="8" s="1"/>
  <c r="T163" i="8"/>
  <c r="W162" i="8"/>
  <c r="T162" i="8"/>
  <c r="W161" i="8"/>
  <c r="X161" i="8" s="1"/>
  <c r="T161" i="8"/>
  <c r="W160" i="8"/>
  <c r="T160" i="8"/>
  <c r="W159" i="8"/>
  <c r="X159" i="8" s="1"/>
  <c r="T159" i="8"/>
  <c r="W158" i="8"/>
  <c r="T158" i="8"/>
  <c r="W157" i="8"/>
  <c r="X157" i="8" s="1"/>
  <c r="T157" i="8"/>
  <c r="W156" i="8"/>
  <c r="T156" i="8"/>
  <c r="W155" i="8"/>
  <c r="X155" i="8" s="1"/>
  <c r="T155" i="8"/>
  <c r="W154" i="8"/>
  <c r="T154" i="8"/>
  <c r="W153" i="8"/>
  <c r="X153" i="8" s="1"/>
  <c r="T153" i="8"/>
  <c r="W152" i="8"/>
  <c r="T152" i="8"/>
  <c r="W151" i="8"/>
  <c r="X151" i="8" s="1"/>
  <c r="T151" i="8"/>
  <c r="W150" i="8"/>
  <c r="T150" i="8"/>
  <c r="W149" i="8"/>
  <c r="X149" i="8" s="1"/>
  <c r="T149" i="8"/>
  <c r="W148" i="8"/>
  <c r="T148" i="8"/>
  <c r="W147" i="8"/>
  <c r="X147" i="8" s="1"/>
  <c r="T147" i="8"/>
  <c r="W146" i="8"/>
  <c r="T146" i="8"/>
  <c r="W145" i="8"/>
  <c r="X145" i="8" s="1"/>
  <c r="T145" i="8"/>
  <c r="W144" i="8"/>
  <c r="T144" i="8"/>
  <c r="W143" i="8"/>
  <c r="X143" i="8" s="1"/>
  <c r="T143" i="8"/>
  <c r="W142" i="8"/>
  <c r="T142" i="8"/>
  <c r="W141" i="8"/>
  <c r="X141" i="8" s="1"/>
  <c r="T141" i="8"/>
  <c r="W140" i="8"/>
  <c r="T140" i="8"/>
  <c r="W139" i="8"/>
  <c r="X139" i="8" s="1"/>
  <c r="T139" i="8"/>
  <c r="W138" i="8"/>
  <c r="T138" i="8"/>
  <c r="W137" i="8"/>
  <c r="T137" i="8"/>
  <c r="W136" i="8"/>
  <c r="T136" i="8"/>
  <c r="W135" i="8"/>
  <c r="T135" i="8"/>
  <c r="W134" i="8"/>
  <c r="T134" i="8"/>
  <c r="W133" i="8"/>
  <c r="T133" i="8"/>
  <c r="X133" i="8" s="1"/>
  <c r="W132" i="8"/>
  <c r="T132" i="8"/>
  <c r="W131" i="8"/>
  <c r="T131" i="8"/>
  <c r="W130" i="8"/>
  <c r="T130" i="8"/>
  <c r="W129" i="8"/>
  <c r="T129" i="8"/>
  <c r="X129" i="8" s="1"/>
  <c r="W128" i="8"/>
  <c r="T128" i="8"/>
  <c r="W127" i="8"/>
  <c r="X127" i="8" s="1"/>
  <c r="T127" i="8"/>
  <c r="W126" i="8"/>
  <c r="T126" i="8"/>
  <c r="W125" i="8"/>
  <c r="T125" i="8"/>
  <c r="X125" i="8" s="1"/>
  <c r="W124" i="8"/>
  <c r="T124" i="8"/>
  <c r="W123" i="8"/>
  <c r="T123" i="8"/>
  <c r="W122" i="8"/>
  <c r="T122" i="8"/>
  <c r="W121" i="8"/>
  <c r="T121" i="8"/>
  <c r="X121" i="8" s="1"/>
  <c r="W120" i="8"/>
  <c r="T120" i="8"/>
  <c r="W119" i="8"/>
  <c r="T119" i="8"/>
  <c r="W118" i="8"/>
  <c r="T118" i="8"/>
  <c r="W117" i="8"/>
  <c r="T117" i="8"/>
  <c r="X117" i="8" s="1"/>
  <c r="W116" i="8"/>
  <c r="T116" i="8"/>
  <c r="W115" i="8"/>
  <c r="T115" i="8"/>
  <c r="W114" i="8"/>
  <c r="T114" i="8"/>
  <c r="W113" i="8"/>
  <c r="T113" i="8"/>
  <c r="X113" i="8" s="1"/>
  <c r="W112" i="8"/>
  <c r="T112" i="8"/>
  <c r="W111" i="8"/>
  <c r="T111" i="8"/>
  <c r="W110" i="8"/>
  <c r="T110" i="8"/>
  <c r="W109" i="8"/>
  <c r="T109" i="8"/>
  <c r="X109" i="8" s="1"/>
  <c r="W108" i="8"/>
  <c r="T108" i="8"/>
  <c r="W107" i="8"/>
  <c r="T107" i="8"/>
  <c r="W106" i="8"/>
  <c r="T106" i="8"/>
  <c r="W105" i="8"/>
  <c r="T105" i="8"/>
  <c r="X105" i="8" s="1"/>
  <c r="W104" i="8"/>
  <c r="T104" i="8"/>
  <c r="W103" i="8"/>
  <c r="T103" i="8"/>
  <c r="W102" i="8"/>
  <c r="X102" i="8" s="1"/>
  <c r="T102" i="8"/>
  <c r="W101" i="8"/>
  <c r="T101" i="8"/>
  <c r="X101" i="8" s="1"/>
  <c r="W100" i="8"/>
  <c r="T100" i="8"/>
  <c r="W99" i="8"/>
  <c r="T99" i="8"/>
  <c r="W98" i="8"/>
  <c r="T98" i="8"/>
  <c r="W97" i="8"/>
  <c r="T97" i="8"/>
  <c r="X97" i="8" s="1"/>
  <c r="W96" i="8"/>
  <c r="T96" i="8"/>
  <c r="W95" i="8"/>
  <c r="T95" i="8"/>
  <c r="W94" i="8"/>
  <c r="T94" i="8"/>
  <c r="W93" i="8"/>
  <c r="T93" i="8"/>
  <c r="X93" i="8" s="1"/>
  <c r="W92" i="8"/>
  <c r="T92" i="8"/>
  <c r="W91" i="8"/>
  <c r="T91" i="8"/>
  <c r="W90" i="8"/>
  <c r="T90" i="8"/>
  <c r="W89" i="8"/>
  <c r="T89" i="8"/>
  <c r="X89" i="8" s="1"/>
  <c r="W88" i="8"/>
  <c r="T88" i="8"/>
  <c r="W87" i="8"/>
  <c r="T87" i="8"/>
  <c r="W86" i="8"/>
  <c r="T86" i="8"/>
  <c r="W85" i="8"/>
  <c r="T85" i="8"/>
  <c r="X85" i="8" s="1"/>
  <c r="W84" i="8"/>
  <c r="T84" i="8"/>
  <c r="W83" i="8"/>
  <c r="T83" i="8"/>
  <c r="W82" i="8"/>
  <c r="T82" i="8"/>
  <c r="W81" i="8"/>
  <c r="T81" i="8"/>
  <c r="X81" i="8" s="1"/>
  <c r="W80" i="8"/>
  <c r="T80" i="8"/>
  <c r="W79" i="8"/>
  <c r="T79" i="8"/>
  <c r="W78" i="8"/>
  <c r="T78" i="8"/>
  <c r="W77" i="8"/>
  <c r="T77" i="8"/>
  <c r="X77" i="8" s="1"/>
  <c r="W76" i="8"/>
  <c r="T76" i="8"/>
  <c r="W75" i="8"/>
  <c r="T75" i="8"/>
  <c r="W74" i="8"/>
  <c r="T74" i="8"/>
  <c r="W73" i="8"/>
  <c r="T73" i="8"/>
  <c r="X73" i="8" s="1"/>
  <c r="W72" i="8"/>
  <c r="T72" i="8"/>
  <c r="W71" i="8"/>
  <c r="T71" i="8"/>
  <c r="W70" i="8"/>
  <c r="T70" i="8"/>
  <c r="W69" i="8"/>
  <c r="T69" i="8"/>
  <c r="X69" i="8" s="1"/>
  <c r="W68" i="8"/>
  <c r="T68" i="8"/>
  <c r="W67" i="8"/>
  <c r="T67" i="8"/>
  <c r="W66" i="8"/>
  <c r="T66" i="8"/>
  <c r="W65" i="8"/>
  <c r="T65" i="8"/>
  <c r="X65" i="8" s="1"/>
  <c r="W64" i="8"/>
  <c r="T64" i="8"/>
  <c r="W63" i="8"/>
  <c r="T63" i="8"/>
  <c r="W62" i="8"/>
  <c r="T62" i="8"/>
  <c r="W61" i="8"/>
  <c r="T61" i="8"/>
  <c r="X61" i="8" s="1"/>
  <c r="W60" i="8"/>
  <c r="T60" i="8"/>
  <c r="W59" i="8"/>
  <c r="T59" i="8"/>
  <c r="W58" i="8"/>
  <c r="T58" i="8"/>
  <c r="W57" i="8"/>
  <c r="T57" i="8"/>
  <c r="X57" i="8" s="1"/>
  <c r="W56" i="8"/>
  <c r="T56" i="8"/>
  <c r="W55" i="8"/>
  <c r="T55" i="8"/>
  <c r="W54" i="8"/>
  <c r="T54" i="8"/>
  <c r="W53" i="8"/>
  <c r="T53" i="8"/>
  <c r="X53" i="8" s="1"/>
  <c r="W52" i="8"/>
  <c r="T52" i="8"/>
  <c r="W51" i="8"/>
  <c r="T51" i="8"/>
  <c r="W50" i="8"/>
  <c r="T50" i="8"/>
  <c r="W49" i="8"/>
  <c r="T49" i="8"/>
  <c r="X49" i="8" s="1"/>
  <c r="W48" i="8"/>
  <c r="T48" i="8"/>
  <c r="W47" i="8"/>
  <c r="T47" i="8"/>
  <c r="W46" i="8"/>
  <c r="T46" i="8"/>
  <c r="W45" i="8"/>
  <c r="T45" i="8"/>
  <c r="X45" i="8" s="1"/>
  <c r="W44" i="8"/>
  <c r="T44" i="8"/>
  <c r="X44" i="8" s="1"/>
  <c r="W43" i="8"/>
  <c r="T43" i="8"/>
  <c r="W42" i="8"/>
  <c r="T42" i="8"/>
  <c r="X42" i="8" s="1"/>
  <c r="W41" i="8"/>
  <c r="T41" i="8"/>
  <c r="W40" i="8"/>
  <c r="T40" i="8"/>
  <c r="X40" i="8" s="1"/>
  <c r="W39" i="8"/>
  <c r="T39" i="8"/>
  <c r="W38" i="8"/>
  <c r="T38" i="8"/>
  <c r="X38" i="8" s="1"/>
  <c r="W37" i="8"/>
  <c r="T37" i="8"/>
  <c r="X37" i="8" s="1"/>
  <c r="X36" i="8"/>
  <c r="W36" i="8"/>
  <c r="T36" i="8"/>
  <c r="W35" i="8"/>
  <c r="T35" i="8"/>
  <c r="X35" i="8" s="1"/>
  <c r="W34" i="8"/>
  <c r="X34" i="8" s="1"/>
  <c r="T34" i="8"/>
  <c r="W33" i="8"/>
  <c r="T33" i="8"/>
  <c r="X33" i="8" s="1"/>
  <c r="W32" i="8"/>
  <c r="T32" i="8"/>
  <c r="X32" i="8" s="1"/>
  <c r="W31" i="8"/>
  <c r="T31" i="8"/>
  <c r="W30" i="8"/>
  <c r="T30" i="8"/>
  <c r="X30" i="8" s="1"/>
  <c r="W29" i="8"/>
  <c r="T29" i="8"/>
  <c r="X29" i="8" s="1"/>
  <c r="X28" i="8"/>
  <c r="W28" i="8"/>
  <c r="T28" i="8"/>
  <c r="W27" i="8"/>
  <c r="T27" i="8"/>
  <c r="X27" i="8" s="1"/>
  <c r="W26" i="8"/>
  <c r="T26" i="8"/>
  <c r="X26" i="8" s="1"/>
  <c r="W25" i="8"/>
  <c r="T25" i="8"/>
  <c r="W24" i="8"/>
  <c r="T24" i="8"/>
  <c r="X24" i="8" s="1"/>
  <c r="W23" i="8"/>
  <c r="T23" i="8"/>
  <c r="W22" i="8"/>
  <c r="T22" i="8"/>
  <c r="X22" i="8" s="1"/>
  <c r="W21" i="8"/>
  <c r="T21" i="8"/>
  <c r="X21" i="8" s="1"/>
  <c r="X20" i="8"/>
  <c r="W20" i="8"/>
  <c r="T20" i="8"/>
  <c r="W19" i="8"/>
  <c r="T19" i="8"/>
  <c r="W18" i="8"/>
  <c r="T18" i="8"/>
  <c r="X18" i="8" s="1"/>
  <c r="W17" i="8"/>
  <c r="T17" i="8"/>
  <c r="W16" i="8"/>
  <c r="T16" i="8"/>
  <c r="X16" i="8" s="1"/>
  <c r="W15" i="8"/>
  <c r="T15" i="8"/>
  <c r="W14" i="8"/>
  <c r="T14" i="8"/>
  <c r="X14" i="8" s="1"/>
  <c r="W13" i="8"/>
  <c r="T13" i="8"/>
  <c r="W12" i="8"/>
  <c r="T12" i="8"/>
  <c r="X12" i="8" s="1"/>
  <c r="W11" i="8"/>
  <c r="T11" i="8"/>
  <c r="X11" i="8" s="1"/>
  <c r="X10" i="8"/>
  <c r="W10" i="8"/>
  <c r="T10" i="8"/>
  <c r="W9" i="8"/>
  <c r="T9" i="8"/>
  <c r="W8" i="8"/>
  <c r="T8" i="8"/>
  <c r="X8" i="8" s="1"/>
  <c r="W7" i="8"/>
  <c r="T7" i="8"/>
  <c r="X7" i="8" s="1"/>
  <c r="W6" i="8"/>
  <c r="T6" i="8"/>
  <c r="X6" i="8" s="1"/>
  <c r="W5" i="8"/>
  <c r="T5" i="8"/>
  <c r="W4" i="8"/>
  <c r="T4" i="8"/>
  <c r="X4" i="8" s="1"/>
  <c r="W3" i="8"/>
  <c r="T3" i="8"/>
  <c r="X3" i="8" s="1"/>
  <c r="X2" i="8"/>
  <c r="W2" i="8"/>
  <c r="T2" i="8"/>
  <c r="AP366" i="7"/>
  <c r="AN366" i="7"/>
  <c r="AJ366" i="7"/>
  <c r="AH366" i="7"/>
  <c r="AD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A365" i="7"/>
  <c r="X365" i="7"/>
  <c r="W365" i="7"/>
  <c r="T365" i="7"/>
  <c r="R365" i="7"/>
  <c r="P365" i="7"/>
  <c r="K365" i="7"/>
  <c r="AP364" i="7"/>
  <c r="AN364" i="7"/>
  <c r="AJ364" i="7"/>
  <c r="AH364" i="7"/>
  <c r="AD364" i="7"/>
  <c r="AA364" i="7"/>
  <c r="W364" i="7"/>
  <c r="T364" i="7"/>
  <c r="X364" i="7" s="1"/>
  <c r="R364" i="7"/>
  <c r="P364" i="7"/>
  <c r="K364" i="7"/>
  <c r="AP363" i="7"/>
  <c r="AN363" i="7"/>
  <c r="AJ363" i="7"/>
  <c r="AH363" i="7"/>
  <c r="AD363" i="7"/>
  <c r="AA363" i="7"/>
  <c r="X363" i="7"/>
  <c r="W363" i="7"/>
  <c r="T363" i="7"/>
  <c r="R363" i="7"/>
  <c r="P363" i="7"/>
  <c r="K363" i="7"/>
  <c r="AP362" i="7"/>
  <c r="AN362" i="7"/>
  <c r="AJ362" i="7"/>
  <c r="AH362" i="7"/>
  <c r="AD362" i="7"/>
  <c r="AA362" i="7"/>
  <c r="W362" i="7"/>
  <c r="T362" i="7"/>
  <c r="X362" i="7" s="1"/>
  <c r="R362" i="7"/>
  <c r="P362" i="7"/>
  <c r="K362" i="7"/>
  <c r="AP361" i="7"/>
  <c r="AN361" i="7"/>
  <c r="AJ361" i="7"/>
  <c r="AH361" i="7"/>
  <c r="AD361" i="7"/>
  <c r="AA361" i="7"/>
  <c r="X361" i="7"/>
  <c r="W361" i="7"/>
  <c r="T361" i="7"/>
  <c r="R361" i="7"/>
  <c r="P361" i="7"/>
  <c r="K361" i="7"/>
  <c r="AP360" i="7"/>
  <c r="AN360" i="7"/>
  <c r="AJ360" i="7"/>
  <c r="AH360" i="7"/>
  <c r="AD360" i="7"/>
  <c r="AA360" i="7"/>
  <c r="W360" i="7"/>
  <c r="T360" i="7"/>
  <c r="X360" i="7" s="1"/>
  <c r="R360" i="7"/>
  <c r="P360" i="7"/>
  <c r="K360" i="7"/>
  <c r="AP359" i="7"/>
  <c r="AN359" i="7"/>
  <c r="AJ359" i="7"/>
  <c r="AH359" i="7"/>
  <c r="AD359" i="7"/>
  <c r="AA359" i="7"/>
  <c r="X359" i="7"/>
  <c r="W359" i="7"/>
  <c r="T359" i="7"/>
  <c r="R359" i="7"/>
  <c r="P359" i="7"/>
  <c r="K359" i="7"/>
  <c r="AP358" i="7"/>
  <c r="AN358" i="7"/>
  <c r="AJ358" i="7"/>
  <c r="AH358" i="7"/>
  <c r="AD358" i="7"/>
  <c r="AA358" i="7"/>
  <c r="W358" i="7"/>
  <c r="T358" i="7"/>
  <c r="X358" i="7" s="1"/>
  <c r="R358" i="7"/>
  <c r="P358" i="7"/>
  <c r="K358" i="7"/>
  <c r="AP357" i="7"/>
  <c r="AN357" i="7"/>
  <c r="AJ357" i="7"/>
  <c r="AH357" i="7"/>
  <c r="AD357" i="7"/>
  <c r="AA357" i="7"/>
  <c r="X357" i="7"/>
  <c r="W357" i="7"/>
  <c r="T357" i="7"/>
  <c r="R357" i="7"/>
  <c r="P357" i="7"/>
  <c r="K357" i="7"/>
  <c r="AP356" i="7"/>
  <c r="AN356" i="7"/>
  <c r="AJ356" i="7"/>
  <c r="AH356" i="7"/>
  <c r="AD356" i="7"/>
  <c r="AA356" i="7"/>
  <c r="W356" i="7"/>
  <c r="T356" i="7"/>
  <c r="X356" i="7" s="1"/>
  <c r="R356" i="7"/>
  <c r="P356" i="7"/>
  <c r="K356" i="7"/>
  <c r="AP355" i="7"/>
  <c r="AN355" i="7"/>
  <c r="AJ355" i="7"/>
  <c r="AH355" i="7"/>
  <c r="AD355" i="7"/>
  <c r="AA355" i="7"/>
  <c r="X355" i="7"/>
  <c r="W355" i="7"/>
  <c r="T355" i="7"/>
  <c r="R355" i="7"/>
  <c r="P355" i="7"/>
  <c r="K355" i="7"/>
  <c r="AP354" i="7"/>
  <c r="AN354" i="7"/>
  <c r="AJ354" i="7"/>
  <c r="AH354" i="7"/>
  <c r="AD354" i="7"/>
  <c r="AA354" i="7"/>
  <c r="W354" i="7"/>
  <c r="T354" i="7"/>
  <c r="X354" i="7" s="1"/>
  <c r="R354" i="7"/>
  <c r="P354" i="7"/>
  <c r="K354" i="7"/>
  <c r="AP353" i="7"/>
  <c r="AN353" i="7"/>
  <c r="AJ353" i="7"/>
  <c r="AH353" i="7"/>
  <c r="AD353" i="7"/>
  <c r="AA353" i="7"/>
  <c r="X353" i="7"/>
  <c r="W353" i="7"/>
  <c r="T353" i="7"/>
  <c r="R353" i="7"/>
  <c r="P353" i="7"/>
  <c r="K353" i="7"/>
  <c r="AP352" i="7"/>
  <c r="AN352" i="7"/>
  <c r="AJ352" i="7"/>
  <c r="AH352" i="7"/>
  <c r="AD352" i="7"/>
  <c r="AA352" i="7"/>
  <c r="W352" i="7"/>
  <c r="T352" i="7"/>
  <c r="X352" i="7" s="1"/>
  <c r="R352" i="7"/>
  <c r="P352" i="7"/>
  <c r="K352" i="7"/>
  <c r="AP351" i="7"/>
  <c r="AN351" i="7"/>
  <c r="AJ351" i="7"/>
  <c r="AH351" i="7"/>
  <c r="AD351" i="7"/>
  <c r="AA351" i="7"/>
  <c r="X351" i="7"/>
  <c r="W351" i="7"/>
  <c r="T351" i="7"/>
  <c r="R351" i="7"/>
  <c r="P351" i="7"/>
  <c r="K351" i="7"/>
  <c r="AP350" i="7"/>
  <c r="AN350" i="7"/>
  <c r="AJ350" i="7"/>
  <c r="AH350" i="7"/>
  <c r="AD350" i="7"/>
  <c r="AA350" i="7"/>
  <c r="W350" i="7"/>
  <c r="T350" i="7"/>
  <c r="X350" i="7" s="1"/>
  <c r="R350" i="7"/>
  <c r="P350" i="7"/>
  <c r="K350" i="7"/>
  <c r="AP349" i="7"/>
  <c r="AN349" i="7"/>
  <c r="AJ349" i="7"/>
  <c r="AH349" i="7"/>
  <c r="AD349" i="7"/>
  <c r="AA349" i="7"/>
  <c r="X349" i="7"/>
  <c r="W349" i="7"/>
  <c r="T349" i="7"/>
  <c r="R349" i="7"/>
  <c r="P349" i="7"/>
  <c r="K349" i="7"/>
  <c r="AP348" i="7"/>
  <c r="AN348" i="7"/>
  <c r="AJ348" i="7"/>
  <c r="AH348" i="7"/>
  <c r="AD348" i="7"/>
  <c r="AA348" i="7"/>
  <c r="W348" i="7"/>
  <c r="T348" i="7"/>
  <c r="X348" i="7" s="1"/>
  <c r="R348" i="7"/>
  <c r="P348" i="7"/>
  <c r="K348" i="7"/>
  <c r="AP347" i="7"/>
  <c r="AN347" i="7"/>
  <c r="AJ347" i="7"/>
  <c r="AH347" i="7"/>
  <c r="AD347" i="7"/>
  <c r="AA347" i="7"/>
  <c r="X347" i="7"/>
  <c r="W347" i="7"/>
  <c r="T347" i="7"/>
  <c r="R347" i="7"/>
  <c r="P347" i="7"/>
  <c r="K347" i="7"/>
  <c r="AP346" i="7"/>
  <c r="AN346" i="7"/>
  <c r="AJ346" i="7"/>
  <c r="AH346" i="7"/>
  <c r="AD346" i="7"/>
  <c r="AA346" i="7"/>
  <c r="W346" i="7"/>
  <c r="T346" i="7"/>
  <c r="X346" i="7" s="1"/>
  <c r="R346" i="7"/>
  <c r="P346" i="7"/>
  <c r="K346" i="7"/>
  <c r="AP345" i="7"/>
  <c r="AN345" i="7"/>
  <c r="AJ345" i="7"/>
  <c r="AH345" i="7"/>
  <c r="AD345" i="7"/>
  <c r="AA345" i="7"/>
  <c r="X345" i="7"/>
  <c r="W345" i="7"/>
  <c r="T345" i="7"/>
  <c r="R345" i="7"/>
  <c r="P345" i="7"/>
  <c r="K345" i="7"/>
  <c r="AP344" i="7"/>
  <c r="AN344" i="7"/>
  <c r="AJ344" i="7"/>
  <c r="AH344" i="7"/>
  <c r="AD344" i="7"/>
  <c r="AA344" i="7"/>
  <c r="W344" i="7"/>
  <c r="T344" i="7"/>
  <c r="X344" i="7" s="1"/>
  <c r="R344" i="7"/>
  <c r="P344" i="7"/>
  <c r="K344" i="7"/>
  <c r="AP343" i="7"/>
  <c r="AN343" i="7"/>
  <c r="AJ343" i="7"/>
  <c r="AH343" i="7"/>
  <c r="AD343" i="7"/>
  <c r="AA343" i="7"/>
  <c r="X343" i="7"/>
  <c r="W343" i="7"/>
  <c r="T343" i="7"/>
  <c r="R343" i="7"/>
  <c r="P343" i="7"/>
  <c r="K343" i="7"/>
  <c r="AP342" i="7"/>
  <c r="AN342" i="7"/>
  <c r="AJ342" i="7"/>
  <c r="AH342" i="7"/>
  <c r="AD342" i="7"/>
  <c r="AA342" i="7"/>
  <c r="W342" i="7"/>
  <c r="T342" i="7"/>
  <c r="X342" i="7" s="1"/>
  <c r="R342" i="7"/>
  <c r="P342" i="7"/>
  <c r="K342" i="7"/>
  <c r="AP341" i="7"/>
  <c r="AN341" i="7"/>
  <c r="AJ341" i="7"/>
  <c r="AH341" i="7"/>
  <c r="AD341" i="7"/>
  <c r="AA341" i="7"/>
  <c r="X341" i="7"/>
  <c r="W341" i="7"/>
  <c r="T341" i="7"/>
  <c r="R341" i="7"/>
  <c r="P341" i="7"/>
  <c r="K341" i="7"/>
  <c r="AP340" i="7"/>
  <c r="AN340" i="7"/>
  <c r="AJ340" i="7"/>
  <c r="AH340" i="7"/>
  <c r="AD340" i="7"/>
  <c r="AA340" i="7"/>
  <c r="W340" i="7"/>
  <c r="T340" i="7"/>
  <c r="X340" i="7" s="1"/>
  <c r="R340" i="7"/>
  <c r="P340" i="7"/>
  <c r="K340" i="7"/>
  <c r="AP339" i="7"/>
  <c r="AN339" i="7"/>
  <c r="AJ339" i="7"/>
  <c r="AH339" i="7"/>
  <c r="AD339" i="7"/>
  <c r="AA339" i="7"/>
  <c r="X339" i="7"/>
  <c r="W339" i="7"/>
  <c r="T339" i="7"/>
  <c r="R339" i="7"/>
  <c r="P339" i="7"/>
  <c r="K339" i="7"/>
  <c r="AP338" i="7"/>
  <c r="AN338" i="7"/>
  <c r="AJ338" i="7"/>
  <c r="AH338" i="7"/>
  <c r="AD338" i="7"/>
  <c r="AA338" i="7"/>
  <c r="W338" i="7"/>
  <c r="T338" i="7"/>
  <c r="X338" i="7" s="1"/>
  <c r="R338" i="7"/>
  <c r="P338" i="7"/>
  <c r="K338" i="7"/>
  <c r="AP337" i="7"/>
  <c r="AN337" i="7"/>
  <c r="AJ337" i="7"/>
  <c r="AH337" i="7"/>
  <c r="AD337" i="7"/>
  <c r="AA337" i="7"/>
  <c r="X337" i="7"/>
  <c r="W337" i="7"/>
  <c r="T337" i="7"/>
  <c r="R337" i="7"/>
  <c r="P337" i="7"/>
  <c r="K337" i="7"/>
  <c r="AP336" i="7"/>
  <c r="AN336" i="7"/>
  <c r="AJ336" i="7"/>
  <c r="AH336" i="7"/>
  <c r="AD336" i="7"/>
  <c r="AA336" i="7"/>
  <c r="W336" i="7"/>
  <c r="T336" i="7"/>
  <c r="X336" i="7" s="1"/>
  <c r="R336" i="7"/>
  <c r="P336" i="7"/>
  <c r="K336" i="7"/>
  <c r="AP335" i="7"/>
  <c r="AN335" i="7"/>
  <c r="AJ335" i="7"/>
  <c r="AH335" i="7"/>
  <c r="AD335" i="7"/>
  <c r="AA335" i="7"/>
  <c r="X335" i="7"/>
  <c r="W335" i="7"/>
  <c r="T335" i="7"/>
  <c r="R335" i="7"/>
  <c r="P335" i="7"/>
  <c r="K335" i="7"/>
  <c r="AP334" i="7"/>
  <c r="AN334" i="7"/>
  <c r="AJ334" i="7"/>
  <c r="AH334" i="7"/>
  <c r="AD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A333" i="7"/>
  <c r="X333" i="7"/>
  <c r="W333" i="7"/>
  <c r="T333" i="7"/>
  <c r="R333" i="7"/>
  <c r="P333" i="7"/>
  <c r="K333" i="7"/>
  <c r="AP332" i="7"/>
  <c r="AN332" i="7"/>
  <c r="AJ332" i="7"/>
  <c r="AH332" i="7"/>
  <c r="AD332" i="7"/>
  <c r="AA332" i="7"/>
  <c r="W332" i="7"/>
  <c r="T332" i="7"/>
  <c r="X332" i="7" s="1"/>
  <c r="R332" i="7"/>
  <c r="P332" i="7"/>
  <c r="K332" i="7"/>
  <c r="AP331" i="7"/>
  <c r="AN331" i="7"/>
  <c r="AJ331" i="7"/>
  <c r="AH331" i="7"/>
  <c r="AD331" i="7"/>
  <c r="AA331" i="7"/>
  <c r="X331" i="7"/>
  <c r="W331" i="7"/>
  <c r="T331" i="7"/>
  <c r="R331" i="7"/>
  <c r="P331" i="7"/>
  <c r="K331" i="7"/>
  <c r="AP330" i="7"/>
  <c r="AN330" i="7"/>
  <c r="AJ330" i="7"/>
  <c r="AH330" i="7"/>
  <c r="AD330" i="7"/>
  <c r="AA330" i="7"/>
  <c r="W330" i="7"/>
  <c r="T330" i="7"/>
  <c r="X330" i="7" s="1"/>
  <c r="R330" i="7"/>
  <c r="P330" i="7"/>
  <c r="K330" i="7"/>
  <c r="AP329" i="7"/>
  <c r="AN329" i="7"/>
  <c r="AJ329" i="7"/>
  <c r="AH329" i="7"/>
  <c r="AD329" i="7"/>
  <c r="AA329" i="7"/>
  <c r="X329" i="7"/>
  <c r="W329" i="7"/>
  <c r="T329" i="7"/>
  <c r="R329" i="7"/>
  <c r="P329" i="7"/>
  <c r="K329" i="7"/>
  <c r="AP328" i="7"/>
  <c r="AN328" i="7"/>
  <c r="AJ328" i="7"/>
  <c r="AH328" i="7"/>
  <c r="AD328" i="7"/>
  <c r="AA328" i="7"/>
  <c r="W328" i="7"/>
  <c r="T328" i="7"/>
  <c r="X328" i="7" s="1"/>
  <c r="R328" i="7"/>
  <c r="P328" i="7"/>
  <c r="K328" i="7"/>
  <c r="AP327" i="7"/>
  <c r="AN327" i="7"/>
  <c r="AJ327" i="7"/>
  <c r="AH327" i="7"/>
  <c r="AD327" i="7"/>
  <c r="AA327" i="7"/>
  <c r="X327" i="7"/>
  <c r="W327" i="7"/>
  <c r="T327" i="7"/>
  <c r="R327" i="7"/>
  <c r="P327" i="7"/>
  <c r="K327" i="7"/>
  <c r="AP326" i="7"/>
  <c r="AN326" i="7"/>
  <c r="AJ326" i="7"/>
  <c r="AH326" i="7"/>
  <c r="AD326" i="7"/>
  <c r="AA326" i="7"/>
  <c r="W326" i="7"/>
  <c r="T326" i="7"/>
  <c r="R326" i="7"/>
  <c r="P326" i="7"/>
  <c r="K326" i="7"/>
  <c r="AP325" i="7"/>
  <c r="AN325" i="7"/>
  <c r="AJ325" i="7"/>
  <c r="AH325" i="7"/>
  <c r="AD325" i="7"/>
  <c r="AA325" i="7"/>
  <c r="X325" i="7"/>
  <c r="W325" i="7"/>
  <c r="T325" i="7"/>
  <c r="R325" i="7"/>
  <c r="P325" i="7"/>
  <c r="K325" i="7"/>
  <c r="AP324" i="7"/>
  <c r="AN324" i="7"/>
  <c r="AJ324" i="7"/>
  <c r="AH324" i="7"/>
  <c r="AD324" i="7"/>
  <c r="AA324" i="7"/>
  <c r="W324" i="7"/>
  <c r="T324" i="7"/>
  <c r="X324" i="7" s="1"/>
  <c r="R324" i="7"/>
  <c r="P324" i="7"/>
  <c r="K324" i="7"/>
  <c r="AP323" i="7"/>
  <c r="AN323" i="7"/>
  <c r="AJ323" i="7"/>
  <c r="AH323" i="7"/>
  <c r="AD323" i="7"/>
  <c r="AA323" i="7"/>
  <c r="X323" i="7"/>
  <c r="W323" i="7"/>
  <c r="T323" i="7"/>
  <c r="R323" i="7"/>
  <c r="P323" i="7"/>
  <c r="K323" i="7"/>
  <c r="AP322" i="7"/>
  <c r="AN322" i="7"/>
  <c r="AJ322" i="7"/>
  <c r="AH322" i="7"/>
  <c r="AD322" i="7"/>
  <c r="AA322" i="7"/>
  <c r="W322" i="7"/>
  <c r="T322" i="7"/>
  <c r="R322" i="7"/>
  <c r="P322" i="7"/>
  <c r="K322" i="7"/>
  <c r="AP321" i="7"/>
  <c r="AN321" i="7"/>
  <c r="AJ321" i="7"/>
  <c r="AH321" i="7"/>
  <c r="AD321" i="7"/>
  <c r="AA321" i="7"/>
  <c r="X321" i="7"/>
  <c r="W321" i="7"/>
  <c r="T321" i="7"/>
  <c r="R321" i="7"/>
  <c r="P321" i="7"/>
  <c r="K321" i="7"/>
  <c r="AP320" i="7"/>
  <c r="AN320" i="7"/>
  <c r="AJ320" i="7"/>
  <c r="AH320" i="7"/>
  <c r="AD320" i="7"/>
  <c r="AA320" i="7"/>
  <c r="W320" i="7"/>
  <c r="T320" i="7"/>
  <c r="X320" i="7" s="1"/>
  <c r="R320" i="7"/>
  <c r="P320" i="7"/>
  <c r="K320" i="7"/>
  <c r="AP319" i="7"/>
  <c r="AN319" i="7"/>
  <c r="AJ319" i="7"/>
  <c r="AH319" i="7"/>
  <c r="AD319" i="7"/>
  <c r="AA319" i="7"/>
  <c r="X319" i="7"/>
  <c r="W319" i="7"/>
  <c r="T319" i="7"/>
  <c r="R319" i="7"/>
  <c r="P319" i="7"/>
  <c r="K319" i="7"/>
  <c r="AP318" i="7"/>
  <c r="AN318" i="7"/>
  <c r="AJ318" i="7"/>
  <c r="AH318" i="7"/>
  <c r="AD318" i="7"/>
  <c r="AA318" i="7"/>
  <c r="W318" i="7"/>
  <c r="T318" i="7"/>
  <c r="R318" i="7"/>
  <c r="P318" i="7"/>
  <c r="K318" i="7"/>
  <c r="AP317" i="7"/>
  <c r="AN317" i="7"/>
  <c r="AJ317" i="7"/>
  <c r="AH317" i="7"/>
  <c r="AD317" i="7"/>
  <c r="AA317" i="7"/>
  <c r="X317" i="7"/>
  <c r="W317" i="7"/>
  <c r="T317" i="7"/>
  <c r="R317" i="7"/>
  <c r="P317" i="7"/>
  <c r="K317" i="7"/>
  <c r="AP316" i="7"/>
  <c r="AN316" i="7"/>
  <c r="AJ316" i="7"/>
  <c r="AH316" i="7"/>
  <c r="AD316" i="7"/>
  <c r="AA316" i="7"/>
  <c r="W316" i="7"/>
  <c r="T316" i="7"/>
  <c r="X316" i="7" s="1"/>
  <c r="R316" i="7"/>
  <c r="P316" i="7"/>
  <c r="K316" i="7"/>
  <c r="AP315" i="7"/>
  <c r="AN315" i="7"/>
  <c r="AJ315" i="7"/>
  <c r="AH315" i="7"/>
  <c r="AD315" i="7"/>
  <c r="AA315" i="7"/>
  <c r="X315" i="7"/>
  <c r="W315" i="7"/>
  <c r="T315" i="7"/>
  <c r="R315" i="7"/>
  <c r="P315" i="7"/>
  <c r="K315" i="7"/>
  <c r="AP314" i="7"/>
  <c r="AN314" i="7"/>
  <c r="AJ314" i="7"/>
  <c r="AH314" i="7"/>
  <c r="AD314" i="7"/>
  <c r="AA314" i="7"/>
  <c r="W314" i="7"/>
  <c r="T314" i="7"/>
  <c r="R314" i="7"/>
  <c r="P314" i="7"/>
  <c r="K314" i="7"/>
  <c r="AP313" i="7"/>
  <c r="AN313" i="7"/>
  <c r="AJ313" i="7"/>
  <c r="AH313" i="7"/>
  <c r="AD313" i="7"/>
  <c r="AA313" i="7"/>
  <c r="X313" i="7"/>
  <c r="W313" i="7"/>
  <c r="T313" i="7"/>
  <c r="R313" i="7"/>
  <c r="P313" i="7"/>
  <c r="K313" i="7"/>
  <c r="AP312" i="7"/>
  <c r="AN312" i="7"/>
  <c r="AJ312" i="7"/>
  <c r="AH312" i="7"/>
  <c r="AD312" i="7"/>
  <c r="AA312" i="7"/>
  <c r="W312" i="7"/>
  <c r="T312" i="7"/>
  <c r="X312" i="7" s="1"/>
  <c r="R312" i="7"/>
  <c r="P312" i="7"/>
  <c r="K312" i="7"/>
  <c r="AP311" i="7"/>
  <c r="AN311" i="7"/>
  <c r="AJ311" i="7"/>
  <c r="AH311" i="7"/>
  <c r="AD311" i="7"/>
  <c r="AA311" i="7"/>
  <c r="X311" i="7"/>
  <c r="W311" i="7"/>
  <c r="T311" i="7"/>
  <c r="R311" i="7"/>
  <c r="P311" i="7"/>
  <c r="K311" i="7"/>
  <c r="AP310" i="7"/>
  <c r="AN310" i="7"/>
  <c r="AJ310" i="7"/>
  <c r="AH310" i="7"/>
  <c r="AD310" i="7"/>
  <c r="AA310" i="7"/>
  <c r="W310" i="7"/>
  <c r="T310" i="7"/>
  <c r="R310" i="7"/>
  <c r="P310" i="7"/>
  <c r="K310" i="7"/>
  <c r="AP309" i="7"/>
  <c r="AN309" i="7"/>
  <c r="AJ309" i="7"/>
  <c r="AH309" i="7"/>
  <c r="AD309" i="7"/>
  <c r="AA309" i="7"/>
  <c r="X309" i="7"/>
  <c r="W309" i="7"/>
  <c r="T309" i="7"/>
  <c r="R309" i="7"/>
  <c r="P309" i="7"/>
  <c r="K309" i="7"/>
  <c r="AP308" i="7"/>
  <c r="AN308" i="7"/>
  <c r="AJ308" i="7"/>
  <c r="AH308" i="7"/>
  <c r="AD308" i="7"/>
  <c r="AA308" i="7"/>
  <c r="W308" i="7"/>
  <c r="T308" i="7"/>
  <c r="X308" i="7" s="1"/>
  <c r="R308" i="7"/>
  <c r="P308" i="7"/>
  <c r="K308" i="7"/>
  <c r="AP307" i="7"/>
  <c r="AN307" i="7"/>
  <c r="AJ307" i="7"/>
  <c r="AH307" i="7"/>
  <c r="AD307" i="7"/>
  <c r="AA307" i="7"/>
  <c r="X307" i="7"/>
  <c r="W307" i="7"/>
  <c r="T307" i="7"/>
  <c r="R307" i="7"/>
  <c r="P307" i="7"/>
  <c r="K307" i="7"/>
  <c r="AP306" i="7"/>
  <c r="AN306" i="7"/>
  <c r="AJ306" i="7"/>
  <c r="AH306" i="7"/>
  <c r="AD306" i="7"/>
  <c r="AA306" i="7"/>
  <c r="W306" i="7"/>
  <c r="T306" i="7"/>
  <c r="R306" i="7"/>
  <c r="P306" i="7"/>
  <c r="K306" i="7"/>
  <c r="AP305" i="7"/>
  <c r="AN305" i="7"/>
  <c r="AJ305" i="7"/>
  <c r="AH305" i="7"/>
  <c r="AD305" i="7"/>
  <c r="AA305" i="7"/>
  <c r="X305" i="7"/>
  <c r="W305" i="7"/>
  <c r="T305" i="7"/>
  <c r="R305" i="7"/>
  <c r="P305" i="7"/>
  <c r="K305" i="7"/>
  <c r="AP304" i="7"/>
  <c r="AN304" i="7"/>
  <c r="AJ304" i="7"/>
  <c r="AH304" i="7"/>
  <c r="AD304" i="7"/>
  <c r="AA304" i="7"/>
  <c r="W304" i="7"/>
  <c r="T304" i="7"/>
  <c r="X304" i="7" s="1"/>
  <c r="R304" i="7"/>
  <c r="P304" i="7"/>
  <c r="K304" i="7"/>
  <c r="AP303" i="7"/>
  <c r="AN303" i="7"/>
  <c r="AJ303" i="7"/>
  <c r="AH303" i="7"/>
  <c r="AD303" i="7"/>
  <c r="AA303" i="7"/>
  <c r="X303" i="7"/>
  <c r="W303" i="7"/>
  <c r="T303" i="7"/>
  <c r="R303" i="7"/>
  <c r="P303" i="7"/>
  <c r="K303" i="7"/>
  <c r="AP302" i="7"/>
  <c r="AN302" i="7"/>
  <c r="AJ302" i="7"/>
  <c r="AH302" i="7"/>
  <c r="AD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A301" i="7"/>
  <c r="X301" i="7"/>
  <c r="W301" i="7"/>
  <c r="T301" i="7"/>
  <c r="R301" i="7"/>
  <c r="P301" i="7"/>
  <c r="K301" i="7"/>
  <c r="AP300" i="7"/>
  <c r="AN300" i="7"/>
  <c r="AJ300" i="7"/>
  <c r="AH300" i="7"/>
  <c r="AD300" i="7"/>
  <c r="AA300" i="7"/>
  <c r="W300" i="7"/>
  <c r="T300" i="7"/>
  <c r="X300" i="7" s="1"/>
  <c r="R300" i="7"/>
  <c r="P300" i="7"/>
  <c r="K300" i="7"/>
  <c r="AP299" i="7"/>
  <c r="AN299" i="7"/>
  <c r="AJ299" i="7"/>
  <c r="AH299" i="7"/>
  <c r="AD299" i="7"/>
  <c r="AA299" i="7"/>
  <c r="X299" i="7"/>
  <c r="W299" i="7"/>
  <c r="T299" i="7"/>
  <c r="R299" i="7"/>
  <c r="P299" i="7"/>
  <c r="K299" i="7"/>
  <c r="AP298" i="7"/>
  <c r="AN298" i="7"/>
  <c r="AJ298" i="7"/>
  <c r="AH298" i="7"/>
  <c r="AD298" i="7"/>
  <c r="AA298" i="7"/>
  <c r="W298" i="7"/>
  <c r="T298" i="7"/>
  <c r="R298" i="7"/>
  <c r="P298" i="7"/>
  <c r="K298" i="7"/>
  <c r="AP297" i="7"/>
  <c r="AN297" i="7"/>
  <c r="AJ297" i="7"/>
  <c r="AH297" i="7"/>
  <c r="AD297" i="7"/>
  <c r="AA297" i="7"/>
  <c r="X297" i="7"/>
  <c r="W297" i="7"/>
  <c r="T297" i="7"/>
  <c r="R297" i="7"/>
  <c r="P297" i="7"/>
  <c r="K297" i="7"/>
  <c r="AP296" i="7"/>
  <c r="AN296" i="7"/>
  <c r="AJ296" i="7"/>
  <c r="AH296" i="7"/>
  <c r="AD296" i="7"/>
  <c r="AA296" i="7"/>
  <c r="W296" i="7"/>
  <c r="T296" i="7"/>
  <c r="X296" i="7" s="1"/>
  <c r="R296" i="7"/>
  <c r="P296" i="7"/>
  <c r="K296" i="7"/>
  <c r="AP295" i="7"/>
  <c r="AN295" i="7"/>
  <c r="AJ295" i="7"/>
  <c r="AH295" i="7"/>
  <c r="AD295" i="7"/>
  <c r="AA295" i="7"/>
  <c r="X295" i="7"/>
  <c r="W295" i="7"/>
  <c r="T295" i="7"/>
  <c r="R295" i="7"/>
  <c r="P295" i="7"/>
  <c r="K295" i="7"/>
  <c r="AP294" i="7"/>
  <c r="AN294" i="7"/>
  <c r="AJ294" i="7"/>
  <c r="AH294" i="7"/>
  <c r="AD294" i="7"/>
  <c r="AA294" i="7"/>
  <c r="W294" i="7"/>
  <c r="T294" i="7"/>
  <c r="R294" i="7"/>
  <c r="P294" i="7"/>
  <c r="K294" i="7"/>
  <c r="AP293" i="7"/>
  <c r="AN293" i="7"/>
  <c r="AJ293" i="7"/>
  <c r="AH293" i="7"/>
  <c r="AD293" i="7"/>
  <c r="AA293" i="7"/>
  <c r="X293" i="7"/>
  <c r="W293" i="7"/>
  <c r="T293" i="7"/>
  <c r="R293" i="7"/>
  <c r="P293" i="7"/>
  <c r="K293" i="7"/>
  <c r="AP292" i="7"/>
  <c r="AN292" i="7"/>
  <c r="AJ292" i="7"/>
  <c r="AH292" i="7"/>
  <c r="AD292" i="7"/>
  <c r="AA292" i="7"/>
  <c r="W292" i="7"/>
  <c r="T292" i="7"/>
  <c r="X292" i="7" s="1"/>
  <c r="R292" i="7"/>
  <c r="P292" i="7"/>
  <c r="K292" i="7"/>
  <c r="AP291" i="7"/>
  <c r="AN291" i="7"/>
  <c r="AJ291" i="7"/>
  <c r="AH291" i="7"/>
  <c r="AD291" i="7"/>
  <c r="AA291" i="7"/>
  <c r="X291" i="7"/>
  <c r="W291" i="7"/>
  <c r="T291" i="7"/>
  <c r="R291" i="7"/>
  <c r="P291" i="7"/>
  <c r="K291" i="7"/>
  <c r="AP290" i="7"/>
  <c r="AN290" i="7"/>
  <c r="AJ290" i="7"/>
  <c r="AH290" i="7"/>
  <c r="AD290" i="7"/>
  <c r="AA290" i="7"/>
  <c r="W290" i="7"/>
  <c r="T290" i="7"/>
  <c r="R290" i="7"/>
  <c r="P290" i="7"/>
  <c r="K290" i="7"/>
  <c r="AP289" i="7"/>
  <c r="AN289" i="7"/>
  <c r="AJ289" i="7"/>
  <c r="AH289" i="7"/>
  <c r="AD289" i="7"/>
  <c r="AA289" i="7"/>
  <c r="X289" i="7"/>
  <c r="W289" i="7"/>
  <c r="T289" i="7"/>
  <c r="R289" i="7"/>
  <c r="P289" i="7"/>
  <c r="K289" i="7"/>
  <c r="AP288" i="7"/>
  <c r="AN288" i="7"/>
  <c r="AJ288" i="7"/>
  <c r="AH288" i="7"/>
  <c r="AD288" i="7"/>
  <c r="AA288" i="7"/>
  <c r="W288" i="7"/>
  <c r="T288" i="7"/>
  <c r="X288" i="7" s="1"/>
  <c r="R288" i="7"/>
  <c r="P288" i="7"/>
  <c r="K288" i="7"/>
  <c r="AP287" i="7"/>
  <c r="AN287" i="7"/>
  <c r="AJ287" i="7"/>
  <c r="AH287" i="7"/>
  <c r="AD287" i="7"/>
  <c r="AA287" i="7"/>
  <c r="X287" i="7"/>
  <c r="W287" i="7"/>
  <c r="T287" i="7"/>
  <c r="R287" i="7"/>
  <c r="P287" i="7"/>
  <c r="K287" i="7"/>
  <c r="AP286" i="7"/>
  <c r="AN286" i="7"/>
  <c r="AJ286" i="7"/>
  <c r="AH286" i="7"/>
  <c r="AD286" i="7"/>
  <c r="AA286" i="7"/>
  <c r="W286" i="7"/>
  <c r="T286" i="7"/>
  <c r="R286" i="7"/>
  <c r="P286" i="7"/>
  <c r="K286" i="7"/>
  <c r="AP285" i="7"/>
  <c r="AN285" i="7"/>
  <c r="AJ285" i="7"/>
  <c r="AH285" i="7"/>
  <c r="AD285" i="7"/>
  <c r="AA285" i="7"/>
  <c r="X285" i="7"/>
  <c r="W285" i="7"/>
  <c r="T285" i="7"/>
  <c r="R285" i="7"/>
  <c r="P285" i="7"/>
  <c r="K285" i="7"/>
  <c r="AP284" i="7"/>
  <c r="AN284" i="7"/>
  <c r="AJ284" i="7"/>
  <c r="AH284" i="7"/>
  <c r="AD284" i="7"/>
  <c r="AA284" i="7"/>
  <c r="W284" i="7"/>
  <c r="T284" i="7"/>
  <c r="X284" i="7" s="1"/>
  <c r="R284" i="7"/>
  <c r="P284" i="7"/>
  <c r="K284" i="7"/>
  <c r="AP283" i="7"/>
  <c r="AN283" i="7"/>
  <c r="AJ283" i="7"/>
  <c r="AH283" i="7"/>
  <c r="AD283" i="7"/>
  <c r="AA283" i="7"/>
  <c r="X283" i="7"/>
  <c r="W283" i="7"/>
  <c r="T283" i="7"/>
  <c r="R283" i="7"/>
  <c r="P283" i="7"/>
  <c r="K283" i="7"/>
  <c r="AP282" i="7"/>
  <c r="AN282" i="7"/>
  <c r="AJ282" i="7"/>
  <c r="AH282" i="7"/>
  <c r="AD282" i="7"/>
  <c r="AA282" i="7"/>
  <c r="W282" i="7"/>
  <c r="T282" i="7"/>
  <c r="R282" i="7"/>
  <c r="P282" i="7"/>
  <c r="K282" i="7"/>
  <c r="AP281" i="7"/>
  <c r="AN281" i="7"/>
  <c r="AJ281" i="7"/>
  <c r="AH281" i="7"/>
  <c r="AD281" i="7"/>
  <c r="AA281" i="7"/>
  <c r="X281" i="7"/>
  <c r="W281" i="7"/>
  <c r="T281" i="7"/>
  <c r="R281" i="7"/>
  <c r="P281" i="7"/>
  <c r="K281" i="7"/>
  <c r="AP280" i="7"/>
  <c r="AN280" i="7"/>
  <c r="AJ280" i="7"/>
  <c r="AH280" i="7"/>
  <c r="AD280" i="7"/>
  <c r="AA280" i="7"/>
  <c r="W280" i="7"/>
  <c r="T280" i="7"/>
  <c r="X280" i="7" s="1"/>
  <c r="R280" i="7"/>
  <c r="P280" i="7"/>
  <c r="K280" i="7"/>
  <c r="AP279" i="7"/>
  <c r="AN279" i="7"/>
  <c r="AJ279" i="7"/>
  <c r="AH279" i="7"/>
  <c r="AD279" i="7"/>
  <c r="AA279" i="7"/>
  <c r="X279" i="7"/>
  <c r="W279" i="7"/>
  <c r="T279" i="7"/>
  <c r="R279" i="7"/>
  <c r="P279" i="7"/>
  <c r="K279" i="7"/>
  <c r="AP278" i="7"/>
  <c r="AN278" i="7"/>
  <c r="AJ278" i="7"/>
  <c r="AH278" i="7"/>
  <c r="AD278" i="7"/>
  <c r="AA278" i="7"/>
  <c r="W278" i="7"/>
  <c r="T278" i="7"/>
  <c r="R278" i="7"/>
  <c r="P278" i="7"/>
  <c r="K278" i="7"/>
  <c r="AP277" i="7"/>
  <c r="AN277" i="7"/>
  <c r="AJ277" i="7"/>
  <c r="AH277" i="7"/>
  <c r="AD277" i="7"/>
  <c r="AA277" i="7"/>
  <c r="X277" i="7"/>
  <c r="W277" i="7"/>
  <c r="T277" i="7"/>
  <c r="R277" i="7"/>
  <c r="P277" i="7"/>
  <c r="K277" i="7"/>
  <c r="AP276" i="7"/>
  <c r="AN276" i="7"/>
  <c r="AJ276" i="7"/>
  <c r="AH276" i="7"/>
  <c r="AD276" i="7"/>
  <c r="AA276" i="7"/>
  <c r="W276" i="7"/>
  <c r="T276" i="7"/>
  <c r="X276" i="7" s="1"/>
  <c r="R276" i="7"/>
  <c r="P276" i="7"/>
  <c r="K276" i="7"/>
  <c r="AP275" i="7"/>
  <c r="AN275" i="7"/>
  <c r="AJ275" i="7"/>
  <c r="AH275" i="7"/>
  <c r="AD275" i="7"/>
  <c r="AA275" i="7"/>
  <c r="W275" i="7"/>
  <c r="X275" i="7" s="1"/>
  <c r="T275" i="7"/>
  <c r="R275" i="7"/>
  <c r="P275" i="7"/>
  <c r="K275" i="7"/>
  <c r="AP274" i="7"/>
  <c r="AN274" i="7"/>
  <c r="AJ274" i="7"/>
  <c r="AH274" i="7"/>
  <c r="AD274" i="7"/>
  <c r="AA274" i="7"/>
  <c r="W274" i="7"/>
  <c r="T274" i="7"/>
  <c r="X274" i="7" s="1"/>
  <c r="R274" i="7"/>
  <c r="P274" i="7"/>
  <c r="K274" i="7"/>
  <c r="AP273" i="7"/>
  <c r="AN273" i="7"/>
  <c r="AJ273" i="7"/>
  <c r="AH273" i="7"/>
  <c r="AD273" i="7"/>
  <c r="AA273" i="7"/>
  <c r="W273" i="7"/>
  <c r="X273" i="7" s="1"/>
  <c r="T273" i="7"/>
  <c r="R273" i="7"/>
  <c r="P273" i="7"/>
  <c r="K273" i="7"/>
  <c r="AP272" i="7"/>
  <c r="AN272" i="7"/>
  <c r="AJ272" i="7"/>
  <c r="AH272" i="7"/>
  <c r="AD272" i="7"/>
  <c r="AA272" i="7"/>
  <c r="W272" i="7"/>
  <c r="T272" i="7"/>
  <c r="X272" i="7" s="1"/>
  <c r="R272" i="7"/>
  <c r="P272" i="7"/>
  <c r="K272" i="7"/>
  <c r="AP271" i="7"/>
  <c r="AN271" i="7"/>
  <c r="AJ271" i="7"/>
  <c r="AH271" i="7"/>
  <c r="AD271" i="7"/>
  <c r="AA271" i="7"/>
  <c r="W271" i="7"/>
  <c r="X271" i="7" s="1"/>
  <c r="T271" i="7"/>
  <c r="R271" i="7"/>
  <c r="P271" i="7"/>
  <c r="K271" i="7"/>
  <c r="AP270" i="7"/>
  <c r="AN270" i="7"/>
  <c r="AJ270" i="7"/>
  <c r="AH270" i="7"/>
  <c r="AD270" i="7"/>
  <c r="AA270" i="7"/>
  <c r="W270" i="7"/>
  <c r="T270" i="7"/>
  <c r="X270" i="7" s="1"/>
  <c r="R270" i="7"/>
  <c r="P270" i="7"/>
  <c r="K270" i="7"/>
  <c r="AP269" i="7"/>
  <c r="AN269" i="7"/>
  <c r="AJ269" i="7"/>
  <c r="AH269" i="7"/>
  <c r="AD269" i="7"/>
  <c r="AA269" i="7"/>
  <c r="W269" i="7"/>
  <c r="X269" i="7" s="1"/>
  <c r="T269" i="7"/>
  <c r="R269" i="7"/>
  <c r="P269" i="7"/>
  <c r="K269" i="7"/>
  <c r="AP268" i="7"/>
  <c r="AN268" i="7"/>
  <c r="AJ268" i="7"/>
  <c r="AH268" i="7"/>
  <c r="AD268" i="7"/>
  <c r="AA268" i="7"/>
  <c r="W268" i="7"/>
  <c r="T268" i="7"/>
  <c r="X268" i="7" s="1"/>
  <c r="R268" i="7"/>
  <c r="P268" i="7"/>
  <c r="K268" i="7"/>
  <c r="AP267" i="7"/>
  <c r="AN267" i="7"/>
  <c r="AJ267" i="7"/>
  <c r="AH267" i="7"/>
  <c r="AD267" i="7"/>
  <c r="AA267" i="7"/>
  <c r="W267" i="7"/>
  <c r="X267" i="7" s="1"/>
  <c r="T267" i="7"/>
  <c r="R267" i="7"/>
  <c r="P267" i="7"/>
  <c r="K267" i="7"/>
  <c r="AP266" i="7"/>
  <c r="AN266" i="7"/>
  <c r="AJ266" i="7"/>
  <c r="AH266" i="7"/>
  <c r="AD266" i="7"/>
  <c r="AA266" i="7"/>
  <c r="W266" i="7"/>
  <c r="T266" i="7"/>
  <c r="X266" i="7" s="1"/>
  <c r="R266" i="7"/>
  <c r="P266" i="7"/>
  <c r="K266" i="7"/>
  <c r="AP265" i="7"/>
  <c r="AN265" i="7"/>
  <c r="AJ265" i="7"/>
  <c r="AH265" i="7"/>
  <c r="AD265" i="7"/>
  <c r="AA265" i="7"/>
  <c r="W265" i="7"/>
  <c r="X265" i="7" s="1"/>
  <c r="T265" i="7"/>
  <c r="R265" i="7"/>
  <c r="P265" i="7"/>
  <c r="K265" i="7"/>
  <c r="AP264" i="7"/>
  <c r="AN264" i="7"/>
  <c r="AJ264" i="7"/>
  <c r="AH264" i="7"/>
  <c r="AD264" i="7"/>
  <c r="AA264" i="7"/>
  <c r="W264" i="7"/>
  <c r="T264" i="7"/>
  <c r="X264" i="7" s="1"/>
  <c r="R264" i="7"/>
  <c r="P264" i="7"/>
  <c r="K264" i="7"/>
  <c r="AP263" i="7"/>
  <c r="AN263" i="7"/>
  <c r="AJ263" i="7"/>
  <c r="AH263" i="7"/>
  <c r="AD263" i="7"/>
  <c r="AA263" i="7"/>
  <c r="W263" i="7"/>
  <c r="X263" i="7" s="1"/>
  <c r="T263" i="7"/>
  <c r="R263" i="7"/>
  <c r="P263" i="7"/>
  <c r="K263" i="7"/>
  <c r="AP262" i="7"/>
  <c r="AN262" i="7"/>
  <c r="AJ262" i="7"/>
  <c r="AH262" i="7"/>
  <c r="AD262" i="7"/>
  <c r="AA262" i="7"/>
  <c r="W262" i="7"/>
  <c r="T262" i="7"/>
  <c r="X262" i="7" s="1"/>
  <c r="R262" i="7"/>
  <c r="P262" i="7"/>
  <c r="K262" i="7"/>
  <c r="AP261" i="7"/>
  <c r="AN261" i="7"/>
  <c r="AJ261" i="7"/>
  <c r="AH261" i="7"/>
  <c r="AD261" i="7"/>
  <c r="AA261" i="7"/>
  <c r="W261" i="7"/>
  <c r="X261" i="7" s="1"/>
  <c r="T261" i="7"/>
  <c r="R261" i="7"/>
  <c r="P261" i="7"/>
  <c r="K261" i="7"/>
  <c r="AP260" i="7"/>
  <c r="AN260" i="7"/>
  <c r="AJ260" i="7"/>
  <c r="AH260" i="7"/>
  <c r="AD260" i="7"/>
  <c r="AA260" i="7"/>
  <c r="W260" i="7"/>
  <c r="T260" i="7"/>
  <c r="X260" i="7" s="1"/>
  <c r="R260" i="7"/>
  <c r="P260" i="7"/>
  <c r="K260" i="7"/>
  <c r="AP259" i="7"/>
  <c r="AN259" i="7"/>
  <c r="AJ259" i="7"/>
  <c r="AH259" i="7"/>
  <c r="AD259" i="7"/>
  <c r="AA259" i="7"/>
  <c r="W259" i="7"/>
  <c r="X259" i="7" s="1"/>
  <c r="T259" i="7"/>
  <c r="R259" i="7"/>
  <c r="P259" i="7"/>
  <c r="K259" i="7"/>
  <c r="AP258" i="7"/>
  <c r="AN258" i="7"/>
  <c r="AJ258" i="7"/>
  <c r="AH258" i="7"/>
  <c r="AD258" i="7"/>
  <c r="AA258" i="7"/>
  <c r="W258" i="7"/>
  <c r="T258" i="7"/>
  <c r="X258" i="7" s="1"/>
  <c r="R258" i="7"/>
  <c r="P258" i="7"/>
  <c r="K258" i="7"/>
  <c r="AP257" i="7"/>
  <c r="AN257" i="7"/>
  <c r="AJ257" i="7"/>
  <c r="AH257" i="7"/>
  <c r="AD257" i="7"/>
  <c r="AA257" i="7"/>
  <c r="W257" i="7"/>
  <c r="X257" i="7" s="1"/>
  <c r="T257" i="7"/>
  <c r="R257" i="7"/>
  <c r="P257" i="7"/>
  <c r="K257" i="7"/>
  <c r="AP256" i="7"/>
  <c r="AN256" i="7"/>
  <c r="AJ256" i="7"/>
  <c r="AH256" i="7"/>
  <c r="AD256" i="7"/>
  <c r="AA256" i="7"/>
  <c r="W256" i="7"/>
  <c r="T256" i="7"/>
  <c r="X256" i="7" s="1"/>
  <c r="R256" i="7"/>
  <c r="P256" i="7"/>
  <c r="K256" i="7"/>
  <c r="AP255" i="7"/>
  <c r="AN255" i="7"/>
  <c r="AJ255" i="7"/>
  <c r="AH255" i="7"/>
  <c r="AD255" i="7"/>
  <c r="AA255" i="7"/>
  <c r="W255" i="7"/>
  <c r="X255" i="7" s="1"/>
  <c r="T255" i="7"/>
  <c r="R255" i="7"/>
  <c r="P255" i="7"/>
  <c r="K255" i="7"/>
  <c r="AP254" i="7"/>
  <c r="AN254" i="7"/>
  <c r="AJ254" i="7"/>
  <c r="AH254" i="7"/>
  <c r="AD254" i="7"/>
  <c r="AA254" i="7"/>
  <c r="W254" i="7"/>
  <c r="T254" i="7"/>
  <c r="X254" i="7" s="1"/>
  <c r="R254" i="7"/>
  <c r="P254" i="7"/>
  <c r="K254" i="7"/>
  <c r="AP253" i="7"/>
  <c r="AN253" i="7"/>
  <c r="AJ253" i="7"/>
  <c r="AH253" i="7"/>
  <c r="AD253" i="7"/>
  <c r="AA253" i="7"/>
  <c r="W253" i="7"/>
  <c r="X253" i="7" s="1"/>
  <c r="T253" i="7"/>
  <c r="R253" i="7"/>
  <c r="P253" i="7"/>
  <c r="K253" i="7"/>
  <c r="AP252" i="7"/>
  <c r="AN252" i="7"/>
  <c r="AJ252" i="7"/>
  <c r="AH252" i="7"/>
  <c r="AD252" i="7"/>
  <c r="AA252" i="7"/>
  <c r="W252" i="7"/>
  <c r="T252" i="7"/>
  <c r="X252" i="7" s="1"/>
  <c r="R252" i="7"/>
  <c r="P252" i="7"/>
  <c r="K252" i="7"/>
  <c r="AP251" i="7"/>
  <c r="AN251" i="7"/>
  <c r="AJ251" i="7"/>
  <c r="AH251" i="7"/>
  <c r="AD251" i="7"/>
  <c r="AA251" i="7"/>
  <c r="W251" i="7"/>
  <c r="X251" i="7" s="1"/>
  <c r="T251" i="7"/>
  <c r="R251" i="7"/>
  <c r="P251" i="7"/>
  <c r="K251" i="7"/>
  <c r="AP250" i="7"/>
  <c r="AN250" i="7"/>
  <c r="AJ250" i="7"/>
  <c r="AH250" i="7"/>
  <c r="AD250" i="7"/>
  <c r="AA250" i="7"/>
  <c r="W250" i="7"/>
  <c r="T250" i="7"/>
  <c r="X250" i="7" s="1"/>
  <c r="R250" i="7"/>
  <c r="P250" i="7"/>
  <c r="K250" i="7"/>
  <c r="AP249" i="7"/>
  <c r="AN249" i="7"/>
  <c r="AJ249" i="7"/>
  <c r="AH249" i="7"/>
  <c r="AD249" i="7"/>
  <c r="AA249" i="7"/>
  <c r="W249" i="7"/>
  <c r="X249" i="7" s="1"/>
  <c r="T249" i="7"/>
  <c r="R249" i="7"/>
  <c r="P249" i="7"/>
  <c r="K249" i="7"/>
  <c r="AP248" i="7"/>
  <c r="AN248" i="7"/>
  <c r="AJ248" i="7"/>
  <c r="AH248" i="7"/>
  <c r="AD248" i="7"/>
  <c r="AA248" i="7"/>
  <c r="W248" i="7"/>
  <c r="T248" i="7"/>
  <c r="X248" i="7" s="1"/>
  <c r="R248" i="7"/>
  <c r="P248" i="7"/>
  <c r="K248" i="7"/>
  <c r="AP247" i="7"/>
  <c r="AN247" i="7"/>
  <c r="AJ247" i="7"/>
  <c r="AH247" i="7"/>
  <c r="AD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A246" i="7"/>
  <c r="W246" i="7"/>
  <c r="T246" i="7"/>
  <c r="X246" i="7" s="1"/>
  <c r="R246" i="7"/>
  <c r="P246" i="7"/>
  <c r="K246" i="7"/>
  <c r="AP245" i="7"/>
  <c r="AN245" i="7"/>
  <c r="AJ245" i="7"/>
  <c r="AH245" i="7"/>
  <c r="AD245" i="7"/>
  <c r="AA245" i="7"/>
  <c r="W245" i="7"/>
  <c r="X245" i="7" s="1"/>
  <c r="T245" i="7"/>
  <c r="R245" i="7"/>
  <c r="P245" i="7"/>
  <c r="K245" i="7"/>
  <c r="AP244" i="7"/>
  <c r="AN244" i="7"/>
  <c r="AJ244" i="7"/>
  <c r="AH244" i="7"/>
  <c r="AD244" i="7"/>
  <c r="AA244" i="7"/>
  <c r="W244" i="7"/>
  <c r="T244" i="7"/>
  <c r="X244" i="7" s="1"/>
  <c r="R244" i="7"/>
  <c r="P244" i="7"/>
  <c r="K244" i="7"/>
  <c r="AP243" i="7"/>
  <c r="AN243" i="7"/>
  <c r="AJ243" i="7"/>
  <c r="AH243" i="7"/>
  <c r="AD243" i="7"/>
  <c r="AA243" i="7"/>
  <c r="W243" i="7"/>
  <c r="X243" i="7" s="1"/>
  <c r="T243" i="7"/>
  <c r="R243" i="7"/>
  <c r="P243" i="7"/>
  <c r="K243" i="7"/>
  <c r="AP242" i="7"/>
  <c r="AN242" i="7"/>
  <c r="AJ242" i="7"/>
  <c r="AH242" i="7"/>
  <c r="AD242" i="7"/>
  <c r="AA242" i="7"/>
  <c r="W242" i="7"/>
  <c r="T242" i="7"/>
  <c r="X242" i="7" s="1"/>
  <c r="R242" i="7"/>
  <c r="P242" i="7"/>
  <c r="K242" i="7"/>
  <c r="AP241" i="7"/>
  <c r="AN241" i="7"/>
  <c r="AJ241" i="7"/>
  <c r="AH241" i="7"/>
  <c r="AD241" i="7"/>
  <c r="AA241" i="7"/>
  <c r="W241" i="7"/>
  <c r="X241" i="7" s="1"/>
  <c r="T241" i="7"/>
  <c r="R241" i="7"/>
  <c r="P241" i="7"/>
  <c r="K241" i="7"/>
  <c r="AP240" i="7"/>
  <c r="AN240" i="7"/>
  <c r="AJ240" i="7"/>
  <c r="AH240" i="7"/>
  <c r="AD240" i="7"/>
  <c r="AA240" i="7"/>
  <c r="W240" i="7"/>
  <c r="T240" i="7"/>
  <c r="X240" i="7" s="1"/>
  <c r="R240" i="7"/>
  <c r="P240" i="7"/>
  <c r="K240" i="7"/>
  <c r="AP239" i="7"/>
  <c r="AN239" i="7"/>
  <c r="AJ239" i="7"/>
  <c r="AH239" i="7"/>
  <c r="AD239" i="7"/>
  <c r="AA239" i="7"/>
  <c r="W239" i="7"/>
  <c r="X239" i="7" s="1"/>
  <c r="T239" i="7"/>
  <c r="R239" i="7"/>
  <c r="P239" i="7"/>
  <c r="K239" i="7"/>
  <c r="AP238" i="7"/>
  <c r="AN238" i="7"/>
  <c r="AJ238" i="7"/>
  <c r="AH238" i="7"/>
  <c r="AD238" i="7"/>
  <c r="AA238" i="7"/>
  <c r="W238" i="7"/>
  <c r="T238" i="7"/>
  <c r="X238" i="7" s="1"/>
  <c r="R238" i="7"/>
  <c r="P238" i="7"/>
  <c r="K238" i="7"/>
  <c r="AP237" i="7"/>
  <c r="AN237" i="7"/>
  <c r="AJ237" i="7"/>
  <c r="AH237" i="7"/>
  <c r="AD237" i="7"/>
  <c r="AA237" i="7"/>
  <c r="W237" i="7"/>
  <c r="X237" i="7" s="1"/>
  <c r="T237" i="7"/>
  <c r="R237" i="7"/>
  <c r="P237" i="7"/>
  <c r="K237" i="7"/>
  <c r="AP236" i="7"/>
  <c r="AN236" i="7"/>
  <c r="AJ236" i="7"/>
  <c r="AH236" i="7"/>
  <c r="AD236" i="7"/>
  <c r="AA236" i="7"/>
  <c r="W236" i="7"/>
  <c r="T236" i="7"/>
  <c r="X236" i="7" s="1"/>
  <c r="R236" i="7"/>
  <c r="P236" i="7"/>
  <c r="K236" i="7"/>
  <c r="AP235" i="7"/>
  <c r="AN235" i="7"/>
  <c r="AJ235" i="7"/>
  <c r="AH235" i="7"/>
  <c r="AD235" i="7"/>
  <c r="AA235" i="7"/>
  <c r="W235" i="7"/>
  <c r="X235" i="7" s="1"/>
  <c r="T235" i="7"/>
  <c r="R235" i="7"/>
  <c r="P235" i="7"/>
  <c r="K235" i="7"/>
  <c r="AP234" i="7"/>
  <c r="AN234" i="7"/>
  <c r="AJ234" i="7"/>
  <c r="AH234" i="7"/>
  <c r="AD234" i="7"/>
  <c r="AA234" i="7"/>
  <c r="W234" i="7"/>
  <c r="T234" i="7"/>
  <c r="X234" i="7" s="1"/>
  <c r="R234" i="7"/>
  <c r="P234" i="7"/>
  <c r="K234" i="7"/>
  <c r="AP233" i="7"/>
  <c r="AN233" i="7"/>
  <c r="AJ233" i="7"/>
  <c r="AH233" i="7"/>
  <c r="AD233" i="7"/>
  <c r="AA233" i="7"/>
  <c r="W233" i="7"/>
  <c r="X233" i="7" s="1"/>
  <c r="T233" i="7"/>
  <c r="R233" i="7"/>
  <c r="P233" i="7"/>
  <c r="K233" i="7"/>
  <c r="AP232" i="7"/>
  <c r="AN232" i="7"/>
  <c r="AJ232" i="7"/>
  <c r="AH232" i="7"/>
  <c r="AD232" i="7"/>
  <c r="AA232" i="7"/>
  <c r="W232" i="7"/>
  <c r="T232" i="7"/>
  <c r="X232" i="7" s="1"/>
  <c r="R232" i="7"/>
  <c r="P232" i="7"/>
  <c r="K232" i="7"/>
  <c r="AP231" i="7"/>
  <c r="AN231" i="7"/>
  <c r="AJ231" i="7"/>
  <c r="AH231" i="7"/>
  <c r="AD231" i="7"/>
  <c r="AA231" i="7"/>
  <c r="W231" i="7"/>
  <c r="X231" i="7" s="1"/>
  <c r="T231" i="7"/>
  <c r="R231" i="7"/>
  <c r="P231" i="7"/>
  <c r="K231" i="7"/>
  <c r="AP230" i="7"/>
  <c r="AN230" i="7"/>
  <c r="AJ230" i="7"/>
  <c r="AH230" i="7"/>
  <c r="AD230" i="7"/>
  <c r="AA230" i="7"/>
  <c r="W230" i="7"/>
  <c r="T230" i="7"/>
  <c r="X230" i="7" s="1"/>
  <c r="R230" i="7"/>
  <c r="P230" i="7"/>
  <c r="K230" i="7"/>
  <c r="AP229" i="7"/>
  <c r="AN229" i="7"/>
  <c r="AJ229" i="7"/>
  <c r="AH229" i="7"/>
  <c r="AD229" i="7"/>
  <c r="AA229" i="7"/>
  <c r="W229" i="7"/>
  <c r="X229" i="7" s="1"/>
  <c r="T229" i="7"/>
  <c r="R229" i="7"/>
  <c r="P229" i="7"/>
  <c r="K229" i="7"/>
  <c r="AP228" i="7"/>
  <c r="AN228" i="7"/>
  <c r="AJ228" i="7"/>
  <c r="AH228" i="7"/>
  <c r="AD228" i="7"/>
  <c r="AA228" i="7"/>
  <c r="W228" i="7"/>
  <c r="T228" i="7"/>
  <c r="X228" i="7" s="1"/>
  <c r="R228" i="7"/>
  <c r="P228" i="7"/>
  <c r="K228" i="7"/>
  <c r="AP227" i="7"/>
  <c r="AN227" i="7"/>
  <c r="AJ227" i="7"/>
  <c r="AH227" i="7"/>
  <c r="AD227" i="7"/>
  <c r="AA227" i="7"/>
  <c r="W227" i="7"/>
  <c r="X227" i="7" s="1"/>
  <c r="T227" i="7"/>
  <c r="R227" i="7"/>
  <c r="P227" i="7"/>
  <c r="K227" i="7"/>
  <c r="AP226" i="7"/>
  <c r="AN226" i="7"/>
  <c r="AJ226" i="7"/>
  <c r="AH226" i="7"/>
  <c r="AD226" i="7"/>
  <c r="AA226" i="7"/>
  <c r="W226" i="7"/>
  <c r="T226" i="7"/>
  <c r="X226" i="7" s="1"/>
  <c r="R226" i="7"/>
  <c r="P226" i="7"/>
  <c r="K226" i="7"/>
  <c r="AP225" i="7"/>
  <c r="AN225" i="7"/>
  <c r="AJ225" i="7"/>
  <c r="AH225" i="7"/>
  <c r="AD225" i="7"/>
  <c r="AA225" i="7"/>
  <c r="W225" i="7"/>
  <c r="X225" i="7" s="1"/>
  <c r="T225" i="7"/>
  <c r="R225" i="7"/>
  <c r="P225" i="7"/>
  <c r="K225" i="7"/>
  <c r="AP224" i="7"/>
  <c r="AN224" i="7"/>
  <c r="AJ224" i="7"/>
  <c r="AH224" i="7"/>
  <c r="AD224" i="7"/>
  <c r="AA224" i="7"/>
  <c r="W224" i="7"/>
  <c r="T224" i="7"/>
  <c r="X224" i="7" s="1"/>
  <c r="R224" i="7"/>
  <c r="P224" i="7"/>
  <c r="K224" i="7"/>
  <c r="AP223" i="7"/>
  <c r="AN223" i="7"/>
  <c r="AJ223" i="7"/>
  <c r="AH223" i="7"/>
  <c r="AD223" i="7"/>
  <c r="AA223" i="7"/>
  <c r="W223" i="7"/>
  <c r="X223" i="7" s="1"/>
  <c r="T223" i="7"/>
  <c r="R223" i="7"/>
  <c r="P223" i="7"/>
  <c r="K223" i="7"/>
  <c r="AP222" i="7"/>
  <c r="AN222" i="7"/>
  <c r="AJ222" i="7"/>
  <c r="AH222" i="7"/>
  <c r="AD222" i="7"/>
  <c r="AA222" i="7"/>
  <c r="W222" i="7"/>
  <c r="T222" i="7"/>
  <c r="X222" i="7" s="1"/>
  <c r="R222" i="7"/>
  <c r="P222" i="7"/>
  <c r="K222" i="7"/>
  <c r="AP221" i="7"/>
  <c r="AN221" i="7"/>
  <c r="AJ221" i="7"/>
  <c r="AH221" i="7"/>
  <c r="AD221" i="7"/>
  <c r="AA221" i="7"/>
  <c r="W221" i="7"/>
  <c r="X221" i="7" s="1"/>
  <c r="T221" i="7"/>
  <c r="R221" i="7"/>
  <c r="P221" i="7"/>
  <c r="K221" i="7"/>
  <c r="AP220" i="7"/>
  <c r="AN220" i="7"/>
  <c r="AJ220" i="7"/>
  <c r="AH220" i="7"/>
  <c r="AD220" i="7"/>
  <c r="AA220" i="7"/>
  <c r="W220" i="7"/>
  <c r="T220" i="7"/>
  <c r="X220" i="7" s="1"/>
  <c r="R220" i="7"/>
  <c r="P220" i="7"/>
  <c r="K220" i="7"/>
  <c r="AP219" i="7"/>
  <c r="AN219" i="7"/>
  <c r="AJ219" i="7"/>
  <c r="AH219" i="7"/>
  <c r="AD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A218" i="7"/>
  <c r="W218" i="7"/>
  <c r="T218" i="7"/>
  <c r="X218" i="7" s="1"/>
  <c r="R218" i="7"/>
  <c r="P218" i="7"/>
  <c r="K218" i="7"/>
  <c r="AP217" i="7"/>
  <c r="AN217" i="7"/>
  <c r="AJ217" i="7"/>
  <c r="AH217" i="7"/>
  <c r="AD217" i="7"/>
  <c r="AA217" i="7"/>
  <c r="W217" i="7"/>
  <c r="X217" i="7" s="1"/>
  <c r="T217" i="7"/>
  <c r="R217" i="7"/>
  <c r="P217" i="7"/>
  <c r="K217" i="7"/>
  <c r="AP216" i="7"/>
  <c r="AN216" i="7"/>
  <c r="AJ216" i="7"/>
  <c r="AH216" i="7"/>
  <c r="AD216" i="7"/>
  <c r="AA216" i="7"/>
  <c r="W216" i="7"/>
  <c r="T216" i="7"/>
  <c r="X216" i="7" s="1"/>
  <c r="R216" i="7"/>
  <c r="P216" i="7"/>
  <c r="K216" i="7"/>
  <c r="AP215" i="7"/>
  <c r="AN215" i="7"/>
  <c r="AJ215" i="7"/>
  <c r="AH215" i="7"/>
  <c r="AD215" i="7"/>
  <c r="AA215" i="7"/>
  <c r="W215" i="7"/>
  <c r="X215" i="7" s="1"/>
  <c r="T215" i="7"/>
  <c r="R215" i="7"/>
  <c r="P215" i="7"/>
  <c r="K215" i="7"/>
  <c r="AP214" i="7"/>
  <c r="AN214" i="7"/>
  <c r="AJ214" i="7"/>
  <c r="AH214" i="7"/>
  <c r="AD214" i="7"/>
  <c r="AA214" i="7"/>
  <c r="W214" i="7"/>
  <c r="T214" i="7"/>
  <c r="X214" i="7" s="1"/>
  <c r="R214" i="7"/>
  <c r="P214" i="7"/>
  <c r="K214" i="7"/>
  <c r="AP213" i="7"/>
  <c r="AN213" i="7"/>
  <c r="AJ213" i="7"/>
  <c r="AH213" i="7"/>
  <c r="AD213" i="7"/>
  <c r="AA213" i="7"/>
  <c r="X213" i="7"/>
  <c r="W213" i="7"/>
  <c r="T213" i="7"/>
  <c r="R213" i="7"/>
  <c r="P213" i="7"/>
  <c r="K213" i="7"/>
  <c r="AP212" i="7"/>
  <c r="AN212" i="7"/>
  <c r="AJ212" i="7"/>
  <c r="AH212" i="7"/>
  <c r="AD212" i="7"/>
  <c r="AA212" i="7"/>
  <c r="W212" i="7"/>
  <c r="T212" i="7"/>
  <c r="R212" i="7"/>
  <c r="P212" i="7"/>
  <c r="K212" i="7"/>
  <c r="AP211" i="7"/>
  <c r="AN211" i="7"/>
  <c r="AJ211" i="7"/>
  <c r="AH211" i="7"/>
  <c r="AD211" i="7"/>
  <c r="AA211" i="7"/>
  <c r="W211" i="7"/>
  <c r="X211" i="7" s="1"/>
  <c r="T211" i="7"/>
  <c r="R211" i="7"/>
  <c r="P211" i="7"/>
  <c r="K211" i="7"/>
  <c r="AP210" i="7"/>
  <c r="AN210" i="7"/>
  <c r="AJ210" i="7"/>
  <c r="AH210" i="7"/>
  <c r="AD210" i="7"/>
  <c r="AA210" i="7"/>
  <c r="W210" i="7"/>
  <c r="T210" i="7"/>
  <c r="X210" i="7" s="1"/>
  <c r="R210" i="7"/>
  <c r="P210" i="7"/>
  <c r="K210" i="7"/>
  <c r="AP209" i="7"/>
  <c r="AN209" i="7"/>
  <c r="AJ209" i="7"/>
  <c r="AH209" i="7"/>
  <c r="AD209" i="7"/>
  <c r="AA209" i="7"/>
  <c r="X209" i="7"/>
  <c r="W209" i="7"/>
  <c r="T209" i="7"/>
  <c r="R209" i="7"/>
  <c r="P209" i="7"/>
  <c r="K209" i="7"/>
  <c r="AP208" i="7"/>
  <c r="AN208" i="7"/>
  <c r="AJ208" i="7"/>
  <c r="AH208" i="7"/>
  <c r="AD208" i="7"/>
  <c r="AA208" i="7"/>
  <c r="W208" i="7"/>
  <c r="T208" i="7"/>
  <c r="R208" i="7"/>
  <c r="P208" i="7"/>
  <c r="K208" i="7"/>
  <c r="AP207" i="7"/>
  <c r="AN207" i="7"/>
  <c r="AJ207" i="7"/>
  <c r="AH207" i="7"/>
  <c r="AD207" i="7"/>
  <c r="AA207" i="7"/>
  <c r="W207" i="7"/>
  <c r="X207" i="7" s="1"/>
  <c r="T207" i="7"/>
  <c r="R207" i="7"/>
  <c r="P207" i="7"/>
  <c r="K207" i="7"/>
  <c r="AP206" i="7"/>
  <c r="AN206" i="7"/>
  <c r="AJ206" i="7"/>
  <c r="AH206" i="7"/>
  <c r="AD206" i="7"/>
  <c r="AA206" i="7"/>
  <c r="W206" i="7"/>
  <c r="T206" i="7"/>
  <c r="X206" i="7" s="1"/>
  <c r="R206" i="7"/>
  <c r="P206" i="7"/>
  <c r="K206" i="7"/>
  <c r="AP205" i="7"/>
  <c r="AN205" i="7"/>
  <c r="AJ205" i="7"/>
  <c r="AH205" i="7"/>
  <c r="AD205" i="7"/>
  <c r="AA205" i="7"/>
  <c r="X205" i="7"/>
  <c r="W205" i="7"/>
  <c r="T205" i="7"/>
  <c r="R205" i="7"/>
  <c r="P205" i="7"/>
  <c r="K205" i="7"/>
  <c r="AP204" i="7"/>
  <c r="AN204" i="7"/>
  <c r="AJ204" i="7"/>
  <c r="AH204" i="7"/>
  <c r="AD204" i="7"/>
  <c r="AA204" i="7"/>
  <c r="W204" i="7"/>
  <c r="T204" i="7"/>
  <c r="R204" i="7"/>
  <c r="P204" i="7"/>
  <c r="K204" i="7"/>
  <c r="AP203" i="7"/>
  <c r="AN203" i="7"/>
  <c r="AJ203" i="7"/>
  <c r="AH203" i="7"/>
  <c r="AD203" i="7"/>
  <c r="AA203" i="7"/>
  <c r="W203" i="7"/>
  <c r="X203" i="7" s="1"/>
  <c r="T203" i="7"/>
  <c r="R203" i="7"/>
  <c r="P203" i="7"/>
  <c r="K203" i="7"/>
  <c r="AP202" i="7"/>
  <c r="AN202" i="7"/>
  <c r="AJ202" i="7"/>
  <c r="AH202" i="7"/>
  <c r="AD202" i="7"/>
  <c r="AA202" i="7"/>
  <c r="W202" i="7"/>
  <c r="T202" i="7"/>
  <c r="X202" i="7" s="1"/>
  <c r="R202" i="7"/>
  <c r="P202" i="7"/>
  <c r="K202" i="7"/>
  <c r="AP201" i="7"/>
  <c r="AN201" i="7"/>
  <c r="AJ201" i="7"/>
  <c r="AH201" i="7"/>
  <c r="AD201" i="7"/>
  <c r="AA201" i="7"/>
  <c r="X201" i="7"/>
  <c r="W201" i="7"/>
  <c r="T201" i="7"/>
  <c r="R201" i="7"/>
  <c r="P201" i="7"/>
  <c r="K201" i="7"/>
  <c r="AP200" i="7"/>
  <c r="AN200" i="7"/>
  <c r="AJ200" i="7"/>
  <c r="AH200" i="7"/>
  <c r="AD200" i="7"/>
  <c r="AA200" i="7"/>
  <c r="W200" i="7"/>
  <c r="T200" i="7"/>
  <c r="R200" i="7"/>
  <c r="P200" i="7"/>
  <c r="K200" i="7"/>
  <c r="AP199" i="7"/>
  <c r="AN199" i="7"/>
  <c r="AJ199" i="7"/>
  <c r="AH199" i="7"/>
  <c r="AD199" i="7"/>
  <c r="AA199" i="7"/>
  <c r="W199" i="7"/>
  <c r="X199" i="7" s="1"/>
  <c r="T199" i="7"/>
  <c r="R199" i="7"/>
  <c r="P199" i="7"/>
  <c r="K199" i="7"/>
  <c r="AP198" i="7"/>
  <c r="AN198" i="7"/>
  <c r="AJ198" i="7"/>
  <c r="AH198" i="7"/>
  <c r="AD198" i="7"/>
  <c r="AA198" i="7"/>
  <c r="W198" i="7"/>
  <c r="T198" i="7"/>
  <c r="X198" i="7" s="1"/>
  <c r="R198" i="7"/>
  <c r="P198" i="7"/>
  <c r="K198" i="7"/>
  <c r="AP197" i="7"/>
  <c r="AN197" i="7"/>
  <c r="AJ197" i="7"/>
  <c r="AH197" i="7"/>
  <c r="AD197" i="7"/>
  <c r="AA197" i="7"/>
  <c r="W197" i="7"/>
  <c r="T197" i="7"/>
  <c r="X197" i="7" s="1"/>
  <c r="R197" i="7"/>
  <c r="P197" i="7"/>
  <c r="K197" i="7"/>
  <c r="AP196" i="7"/>
  <c r="AN196" i="7"/>
  <c r="AJ196" i="7"/>
  <c r="AH196" i="7"/>
  <c r="AD196" i="7"/>
  <c r="AA196" i="7"/>
  <c r="X196" i="7"/>
  <c r="W196" i="7"/>
  <c r="T196" i="7"/>
  <c r="R196" i="7"/>
  <c r="P196" i="7"/>
  <c r="K196" i="7"/>
  <c r="AP195" i="7"/>
  <c r="AN195" i="7"/>
  <c r="AJ195" i="7"/>
  <c r="AH195" i="7"/>
  <c r="AD195" i="7"/>
  <c r="AA195" i="7"/>
  <c r="W195" i="7"/>
  <c r="T195" i="7"/>
  <c r="X195" i="7" s="1"/>
  <c r="R195" i="7"/>
  <c r="P195" i="7"/>
  <c r="K195" i="7"/>
  <c r="AP194" i="7"/>
  <c r="AN194" i="7"/>
  <c r="AJ194" i="7"/>
  <c r="AH194" i="7"/>
  <c r="AD194" i="7"/>
  <c r="AA194" i="7"/>
  <c r="X194" i="7"/>
  <c r="W194" i="7"/>
  <c r="T194" i="7"/>
  <c r="R194" i="7"/>
  <c r="P194" i="7"/>
  <c r="K194" i="7"/>
  <c r="AP193" i="7"/>
  <c r="AN193" i="7"/>
  <c r="AJ193" i="7"/>
  <c r="AH193" i="7"/>
  <c r="AD193" i="7"/>
  <c r="AA193" i="7"/>
  <c r="W193" i="7"/>
  <c r="T193" i="7"/>
  <c r="X193" i="7" s="1"/>
  <c r="R193" i="7"/>
  <c r="P193" i="7"/>
  <c r="K193" i="7"/>
  <c r="AP192" i="7"/>
  <c r="AN192" i="7"/>
  <c r="AJ192" i="7"/>
  <c r="AH192" i="7"/>
  <c r="AD192" i="7"/>
  <c r="AA192" i="7"/>
  <c r="X192" i="7"/>
  <c r="W192" i="7"/>
  <c r="T192" i="7"/>
  <c r="R192" i="7"/>
  <c r="P192" i="7"/>
  <c r="K192" i="7"/>
  <c r="AP191" i="7"/>
  <c r="AN191" i="7"/>
  <c r="AJ191" i="7"/>
  <c r="AH191" i="7"/>
  <c r="AD191" i="7"/>
  <c r="AA191" i="7"/>
  <c r="W191" i="7"/>
  <c r="T191" i="7"/>
  <c r="X191" i="7" s="1"/>
  <c r="R191" i="7"/>
  <c r="P191" i="7"/>
  <c r="K191" i="7"/>
  <c r="AP190" i="7"/>
  <c r="AN190" i="7"/>
  <c r="AJ190" i="7"/>
  <c r="AH190" i="7"/>
  <c r="AD190" i="7"/>
  <c r="AA190" i="7"/>
  <c r="X190" i="7"/>
  <c r="W190" i="7"/>
  <c r="T190" i="7"/>
  <c r="R190" i="7"/>
  <c r="P190" i="7"/>
  <c r="K190" i="7"/>
  <c r="AP189" i="7"/>
  <c r="AN189" i="7"/>
  <c r="AJ189" i="7"/>
  <c r="AH189" i="7"/>
  <c r="AD189" i="7"/>
  <c r="AA189" i="7"/>
  <c r="W189" i="7"/>
  <c r="T189" i="7"/>
  <c r="X189" i="7" s="1"/>
  <c r="R189" i="7"/>
  <c r="P189" i="7"/>
  <c r="K189" i="7"/>
  <c r="AP188" i="7"/>
  <c r="AN188" i="7"/>
  <c r="AJ188" i="7"/>
  <c r="AH188" i="7"/>
  <c r="AD188" i="7"/>
  <c r="AA188" i="7"/>
  <c r="X188" i="7"/>
  <c r="W188" i="7"/>
  <c r="T188" i="7"/>
  <c r="R188" i="7"/>
  <c r="P188" i="7"/>
  <c r="K188" i="7"/>
  <c r="AP187" i="7"/>
  <c r="AN187" i="7"/>
  <c r="AJ187" i="7"/>
  <c r="AH187" i="7"/>
  <c r="AD187" i="7"/>
  <c r="AA187" i="7"/>
  <c r="W187" i="7"/>
  <c r="T187" i="7"/>
  <c r="X187" i="7" s="1"/>
  <c r="R187" i="7"/>
  <c r="P187" i="7"/>
  <c r="K187" i="7"/>
  <c r="AP186" i="7"/>
  <c r="AN186" i="7"/>
  <c r="AJ186" i="7"/>
  <c r="AH186" i="7"/>
  <c r="AD186" i="7"/>
  <c r="AA186" i="7"/>
  <c r="X186" i="7"/>
  <c r="W186" i="7"/>
  <c r="T186" i="7"/>
  <c r="R186" i="7"/>
  <c r="P186" i="7"/>
  <c r="K186" i="7"/>
  <c r="AP185" i="7"/>
  <c r="AN185" i="7"/>
  <c r="AJ185" i="7"/>
  <c r="AH185" i="7"/>
  <c r="AD185" i="7"/>
  <c r="AA185" i="7"/>
  <c r="W185" i="7"/>
  <c r="T185" i="7"/>
  <c r="X185" i="7" s="1"/>
  <c r="R185" i="7"/>
  <c r="P185" i="7"/>
  <c r="K185" i="7"/>
  <c r="AP184" i="7"/>
  <c r="AN184" i="7"/>
  <c r="AJ184" i="7"/>
  <c r="AH184" i="7"/>
  <c r="AD184" i="7"/>
  <c r="AA184" i="7"/>
  <c r="X184" i="7"/>
  <c r="W184" i="7"/>
  <c r="T184" i="7"/>
  <c r="R184" i="7"/>
  <c r="P184" i="7"/>
  <c r="K184" i="7"/>
  <c r="AP183" i="7"/>
  <c r="AN183" i="7"/>
  <c r="AJ183" i="7"/>
  <c r="AH183" i="7"/>
  <c r="AD183" i="7"/>
  <c r="AA183" i="7"/>
  <c r="W183" i="7"/>
  <c r="T183" i="7"/>
  <c r="X183" i="7" s="1"/>
  <c r="R183" i="7"/>
  <c r="P183" i="7"/>
  <c r="K183" i="7"/>
  <c r="AP182" i="7"/>
  <c r="AN182" i="7"/>
  <c r="AJ182" i="7"/>
  <c r="AH182" i="7"/>
  <c r="AD182" i="7"/>
  <c r="AA182" i="7"/>
  <c r="X182" i="7"/>
  <c r="W182" i="7"/>
  <c r="T182" i="7"/>
  <c r="R182" i="7"/>
  <c r="P182" i="7"/>
  <c r="K182" i="7"/>
  <c r="AP181" i="7"/>
  <c r="AN181" i="7"/>
  <c r="AJ181" i="7"/>
  <c r="AH181" i="7"/>
  <c r="AD181" i="7"/>
  <c r="AA181" i="7"/>
  <c r="W181" i="7"/>
  <c r="T181" i="7"/>
  <c r="X181" i="7" s="1"/>
  <c r="R181" i="7"/>
  <c r="P181" i="7"/>
  <c r="K181" i="7"/>
  <c r="AP180" i="7"/>
  <c r="AN180" i="7"/>
  <c r="AJ180" i="7"/>
  <c r="AH180" i="7"/>
  <c r="AD180" i="7"/>
  <c r="AA180" i="7"/>
  <c r="X180" i="7"/>
  <c r="W180" i="7"/>
  <c r="T180" i="7"/>
  <c r="R180" i="7"/>
  <c r="P180" i="7"/>
  <c r="K180" i="7"/>
  <c r="AP179" i="7"/>
  <c r="AN179" i="7"/>
  <c r="AJ179" i="7"/>
  <c r="AH179" i="7"/>
  <c r="AD179" i="7"/>
  <c r="AA179" i="7"/>
  <c r="W179" i="7"/>
  <c r="T179" i="7"/>
  <c r="X179" i="7" s="1"/>
  <c r="R179" i="7"/>
  <c r="P179" i="7"/>
  <c r="K179" i="7"/>
  <c r="AP178" i="7"/>
  <c r="AN178" i="7"/>
  <c r="AJ178" i="7"/>
  <c r="AH178" i="7"/>
  <c r="AD178" i="7"/>
  <c r="AA178" i="7"/>
  <c r="X178" i="7"/>
  <c r="W178" i="7"/>
  <c r="T178" i="7"/>
  <c r="R178" i="7"/>
  <c r="P178" i="7"/>
  <c r="K178" i="7"/>
  <c r="AP177" i="7"/>
  <c r="AN177" i="7"/>
  <c r="AJ177" i="7"/>
  <c r="AH177" i="7"/>
  <c r="AD177" i="7"/>
  <c r="AA177" i="7"/>
  <c r="W177" i="7"/>
  <c r="T177" i="7"/>
  <c r="X177" i="7" s="1"/>
  <c r="R177" i="7"/>
  <c r="P177" i="7"/>
  <c r="K177" i="7"/>
  <c r="AP176" i="7"/>
  <c r="AN176" i="7"/>
  <c r="AJ176" i="7"/>
  <c r="AH176" i="7"/>
  <c r="AD176" i="7"/>
  <c r="AA176" i="7"/>
  <c r="X176" i="7"/>
  <c r="W176" i="7"/>
  <c r="T176" i="7"/>
  <c r="R176" i="7"/>
  <c r="P176" i="7"/>
  <c r="K176" i="7"/>
  <c r="AP175" i="7"/>
  <c r="AN175" i="7"/>
  <c r="AJ175" i="7"/>
  <c r="AH175" i="7"/>
  <c r="AD175" i="7"/>
  <c r="AA175" i="7"/>
  <c r="W175" i="7"/>
  <c r="T175" i="7"/>
  <c r="X175" i="7" s="1"/>
  <c r="R175" i="7"/>
  <c r="P175" i="7"/>
  <c r="K175" i="7"/>
  <c r="AP174" i="7"/>
  <c r="AN174" i="7"/>
  <c r="AJ174" i="7"/>
  <c r="AH174" i="7"/>
  <c r="AD174" i="7"/>
  <c r="AA174" i="7"/>
  <c r="X174" i="7"/>
  <c r="W174" i="7"/>
  <c r="T174" i="7"/>
  <c r="R174" i="7"/>
  <c r="P174" i="7"/>
  <c r="K174" i="7"/>
  <c r="AP173" i="7"/>
  <c r="AN173" i="7"/>
  <c r="AJ173" i="7"/>
  <c r="AH173" i="7"/>
  <c r="AD173" i="7"/>
  <c r="AA173" i="7"/>
  <c r="W173" i="7"/>
  <c r="T173" i="7"/>
  <c r="X173" i="7" s="1"/>
  <c r="R173" i="7"/>
  <c r="P173" i="7"/>
  <c r="K173" i="7"/>
  <c r="AP172" i="7"/>
  <c r="AN172" i="7"/>
  <c r="AJ172" i="7"/>
  <c r="AH172" i="7"/>
  <c r="AD172" i="7"/>
  <c r="AA172" i="7"/>
  <c r="X172" i="7"/>
  <c r="W172" i="7"/>
  <c r="T172" i="7"/>
  <c r="R172" i="7"/>
  <c r="P172" i="7"/>
  <c r="K172" i="7"/>
  <c r="AP171" i="7"/>
  <c r="AN171" i="7"/>
  <c r="AJ171" i="7"/>
  <c r="AH171" i="7"/>
  <c r="AD171" i="7"/>
  <c r="AA171" i="7"/>
  <c r="W171" i="7"/>
  <c r="T171" i="7"/>
  <c r="X171" i="7" s="1"/>
  <c r="R171" i="7"/>
  <c r="P171" i="7"/>
  <c r="K171" i="7"/>
  <c r="AP170" i="7"/>
  <c r="AN170" i="7"/>
  <c r="AJ170" i="7"/>
  <c r="AH170" i="7"/>
  <c r="AD170" i="7"/>
  <c r="AA170" i="7"/>
  <c r="X170" i="7"/>
  <c r="W170" i="7"/>
  <c r="T170" i="7"/>
  <c r="R170" i="7"/>
  <c r="P170" i="7"/>
  <c r="K170" i="7"/>
  <c r="AP169" i="7"/>
  <c r="AN169" i="7"/>
  <c r="AJ169" i="7"/>
  <c r="AH169" i="7"/>
  <c r="AD169" i="7"/>
  <c r="AA169" i="7"/>
  <c r="W169" i="7"/>
  <c r="T169" i="7"/>
  <c r="X169" i="7" s="1"/>
  <c r="R169" i="7"/>
  <c r="P169" i="7"/>
  <c r="K169" i="7"/>
  <c r="AP168" i="7"/>
  <c r="AN168" i="7"/>
  <c r="AJ168" i="7"/>
  <c r="AH168" i="7"/>
  <c r="AD168" i="7"/>
  <c r="AA168" i="7"/>
  <c r="X168" i="7"/>
  <c r="W168" i="7"/>
  <c r="T168" i="7"/>
  <c r="R168" i="7"/>
  <c r="P168" i="7"/>
  <c r="K168" i="7"/>
  <c r="AP167" i="7"/>
  <c r="AN167" i="7"/>
  <c r="AJ167" i="7"/>
  <c r="AH167" i="7"/>
  <c r="AD167" i="7"/>
  <c r="AA167" i="7"/>
  <c r="W167" i="7"/>
  <c r="T167" i="7"/>
  <c r="X167" i="7" s="1"/>
  <c r="R167" i="7"/>
  <c r="P167" i="7"/>
  <c r="K167" i="7"/>
  <c r="AP166" i="7"/>
  <c r="AN166" i="7"/>
  <c r="AJ166" i="7"/>
  <c r="AH166" i="7"/>
  <c r="AD166" i="7"/>
  <c r="AA166" i="7"/>
  <c r="X166" i="7"/>
  <c r="W166" i="7"/>
  <c r="T166" i="7"/>
  <c r="R166" i="7"/>
  <c r="P166" i="7"/>
  <c r="K166" i="7"/>
  <c r="AP165" i="7"/>
  <c r="AN165" i="7"/>
  <c r="AJ165" i="7"/>
  <c r="AH165" i="7"/>
  <c r="AD165" i="7"/>
  <c r="AA165" i="7"/>
  <c r="W165" i="7"/>
  <c r="T165" i="7"/>
  <c r="X165" i="7" s="1"/>
  <c r="R165" i="7"/>
  <c r="P165" i="7"/>
  <c r="K165" i="7"/>
  <c r="AP164" i="7"/>
  <c r="AN164" i="7"/>
  <c r="AJ164" i="7"/>
  <c r="AH164" i="7"/>
  <c r="AD164" i="7"/>
  <c r="AA164" i="7"/>
  <c r="X164" i="7"/>
  <c r="W164" i="7"/>
  <c r="T164" i="7"/>
  <c r="R164" i="7"/>
  <c r="P164" i="7"/>
  <c r="K164" i="7"/>
  <c r="AP163" i="7"/>
  <c r="AN163" i="7"/>
  <c r="AJ163" i="7"/>
  <c r="AH163" i="7"/>
  <c r="AD163" i="7"/>
  <c r="AA163" i="7"/>
  <c r="W163" i="7"/>
  <c r="T163" i="7"/>
  <c r="X163" i="7" s="1"/>
  <c r="R163" i="7"/>
  <c r="P163" i="7"/>
  <c r="K163" i="7"/>
  <c r="AP162" i="7"/>
  <c r="AN162" i="7"/>
  <c r="AJ162" i="7"/>
  <c r="AH162" i="7"/>
  <c r="AD162" i="7"/>
  <c r="AA162" i="7"/>
  <c r="X162" i="7"/>
  <c r="W162" i="7"/>
  <c r="T162" i="7"/>
  <c r="R162" i="7"/>
  <c r="P162" i="7"/>
  <c r="K162" i="7"/>
  <c r="AP161" i="7"/>
  <c r="AN161" i="7"/>
  <c r="AJ161" i="7"/>
  <c r="AH161" i="7"/>
  <c r="AD161" i="7"/>
  <c r="AA161" i="7"/>
  <c r="W161" i="7"/>
  <c r="T161" i="7"/>
  <c r="X161" i="7" s="1"/>
  <c r="R161" i="7"/>
  <c r="P161" i="7"/>
  <c r="K161" i="7"/>
  <c r="AP160" i="7"/>
  <c r="AN160" i="7"/>
  <c r="AJ160" i="7"/>
  <c r="AH160" i="7"/>
  <c r="AD160" i="7"/>
  <c r="AA160" i="7"/>
  <c r="X160" i="7"/>
  <c r="W160" i="7"/>
  <c r="T160" i="7"/>
  <c r="R160" i="7"/>
  <c r="P160" i="7"/>
  <c r="K160" i="7"/>
  <c r="AP159" i="7"/>
  <c r="AN159" i="7"/>
  <c r="AJ159" i="7"/>
  <c r="AH159" i="7"/>
  <c r="AD159" i="7"/>
  <c r="AA159" i="7"/>
  <c r="W159" i="7"/>
  <c r="T159" i="7"/>
  <c r="X159" i="7" s="1"/>
  <c r="R159" i="7"/>
  <c r="P159" i="7"/>
  <c r="K159" i="7"/>
  <c r="AP158" i="7"/>
  <c r="AN158" i="7"/>
  <c r="AJ158" i="7"/>
  <c r="AH158" i="7"/>
  <c r="AD158" i="7"/>
  <c r="AA158" i="7"/>
  <c r="X158" i="7"/>
  <c r="W158" i="7"/>
  <c r="T158" i="7"/>
  <c r="R158" i="7"/>
  <c r="P158" i="7"/>
  <c r="K158" i="7"/>
  <c r="AP157" i="7"/>
  <c r="AN157" i="7"/>
  <c r="AJ157" i="7"/>
  <c r="AH157" i="7"/>
  <c r="AD157" i="7"/>
  <c r="AA157" i="7"/>
  <c r="W157" i="7"/>
  <c r="T157" i="7"/>
  <c r="X157" i="7" s="1"/>
  <c r="R157" i="7"/>
  <c r="P157" i="7"/>
  <c r="K157" i="7"/>
  <c r="AP156" i="7"/>
  <c r="AN156" i="7"/>
  <c r="AJ156" i="7"/>
  <c r="AH156" i="7"/>
  <c r="AD156" i="7"/>
  <c r="AA156" i="7"/>
  <c r="X156" i="7"/>
  <c r="W156" i="7"/>
  <c r="T156" i="7"/>
  <c r="R156" i="7"/>
  <c r="P156" i="7"/>
  <c r="K156" i="7"/>
  <c r="AP155" i="7"/>
  <c r="AN155" i="7"/>
  <c r="AJ155" i="7"/>
  <c r="AH155" i="7"/>
  <c r="AD155" i="7"/>
  <c r="AA155" i="7"/>
  <c r="W155" i="7"/>
  <c r="T155" i="7"/>
  <c r="X155" i="7" s="1"/>
  <c r="R155" i="7"/>
  <c r="P155" i="7"/>
  <c r="K155" i="7"/>
  <c r="AP154" i="7"/>
  <c r="AN154" i="7"/>
  <c r="AJ154" i="7"/>
  <c r="AH154" i="7"/>
  <c r="AD154" i="7"/>
  <c r="AA154" i="7"/>
  <c r="X154" i="7"/>
  <c r="W154" i="7"/>
  <c r="T154" i="7"/>
  <c r="R154" i="7"/>
  <c r="P154" i="7"/>
  <c r="K154" i="7"/>
  <c r="AP153" i="7"/>
  <c r="AN153" i="7"/>
  <c r="AJ153" i="7"/>
  <c r="AH153" i="7"/>
  <c r="AD153" i="7"/>
  <c r="AA153" i="7"/>
  <c r="W153" i="7"/>
  <c r="T153" i="7"/>
  <c r="X153" i="7" s="1"/>
  <c r="R153" i="7"/>
  <c r="P153" i="7"/>
  <c r="K153" i="7"/>
  <c r="AP152" i="7"/>
  <c r="AN152" i="7"/>
  <c r="AJ152" i="7"/>
  <c r="AH152" i="7"/>
  <c r="AD152" i="7"/>
  <c r="AA152" i="7"/>
  <c r="X152" i="7"/>
  <c r="W152" i="7"/>
  <c r="T152" i="7"/>
  <c r="R152" i="7"/>
  <c r="P152" i="7"/>
  <c r="K152" i="7"/>
  <c r="AP151" i="7"/>
  <c r="AN151" i="7"/>
  <c r="AJ151" i="7"/>
  <c r="AH151" i="7"/>
  <c r="AD151" i="7"/>
  <c r="AA151" i="7"/>
  <c r="W151" i="7"/>
  <c r="T151" i="7"/>
  <c r="X151" i="7" s="1"/>
  <c r="R151" i="7"/>
  <c r="P151" i="7"/>
  <c r="K151" i="7"/>
  <c r="AP150" i="7"/>
  <c r="AN150" i="7"/>
  <c r="AJ150" i="7"/>
  <c r="AH150" i="7"/>
  <c r="AD150" i="7"/>
  <c r="AA150" i="7"/>
  <c r="X150" i="7"/>
  <c r="W150" i="7"/>
  <c r="T150" i="7"/>
  <c r="R150" i="7"/>
  <c r="P150" i="7"/>
  <c r="K150" i="7"/>
  <c r="AP149" i="7"/>
  <c r="AN149" i="7"/>
  <c r="AJ149" i="7"/>
  <c r="AH149" i="7"/>
  <c r="AD149" i="7"/>
  <c r="AA149" i="7"/>
  <c r="W149" i="7"/>
  <c r="T149" i="7"/>
  <c r="X149" i="7" s="1"/>
  <c r="R149" i="7"/>
  <c r="P149" i="7"/>
  <c r="K149" i="7"/>
  <c r="AP148" i="7"/>
  <c r="AN148" i="7"/>
  <c r="AJ148" i="7"/>
  <c r="AH148" i="7"/>
  <c r="AD148" i="7"/>
  <c r="AA148" i="7"/>
  <c r="X148" i="7"/>
  <c r="W148" i="7"/>
  <c r="T148" i="7"/>
  <c r="R148" i="7"/>
  <c r="P148" i="7"/>
  <c r="K148" i="7"/>
  <c r="AP147" i="7"/>
  <c r="AN147" i="7"/>
  <c r="AJ147" i="7"/>
  <c r="AH147" i="7"/>
  <c r="AD147" i="7"/>
  <c r="AA147" i="7"/>
  <c r="W147" i="7"/>
  <c r="T147" i="7"/>
  <c r="X147" i="7" s="1"/>
  <c r="R147" i="7"/>
  <c r="P147" i="7"/>
  <c r="K147" i="7"/>
  <c r="AP146" i="7"/>
  <c r="AN146" i="7"/>
  <c r="AJ146" i="7"/>
  <c r="AH146" i="7"/>
  <c r="AD146" i="7"/>
  <c r="AA146" i="7"/>
  <c r="X146" i="7"/>
  <c r="W146" i="7"/>
  <c r="T146" i="7"/>
  <c r="R146" i="7"/>
  <c r="P146" i="7"/>
  <c r="K146" i="7"/>
  <c r="AP145" i="7"/>
  <c r="AN145" i="7"/>
  <c r="AJ145" i="7"/>
  <c r="AH145" i="7"/>
  <c r="AD145" i="7"/>
  <c r="AA145" i="7"/>
  <c r="W145" i="7"/>
  <c r="T145" i="7"/>
  <c r="X145" i="7" s="1"/>
  <c r="R145" i="7"/>
  <c r="P145" i="7"/>
  <c r="K145" i="7"/>
  <c r="AP144" i="7"/>
  <c r="AN144" i="7"/>
  <c r="AJ144" i="7"/>
  <c r="AH144" i="7"/>
  <c r="AD144" i="7"/>
  <c r="AA144" i="7"/>
  <c r="X144" i="7"/>
  <c r="W144" i="7"/>
  <c r="T144" i="7"/>
  <c r="R144" i="7"/>
  <c r="P144" i="7"/>
  <c r="K144" i="7"/>
  <c r="AP143" i="7"/>
  <c r="AN143" i="7"/>
  <c r="AJ143" i="7"/>
  <c r="AH143" i="7"/>
  <c r="AD143" i="7"/>
  <c r="AA143" i="7"/>
  <c r="W143" i="7"/>
  <c r="T143" i="7"/>
  <c r="X143" i="7" s="1"/>
  <c r="R143" i="7"/>
  <c r="P143" i="7"/>
  <c r="K143" i="7"/>
  <c r="AP142" i="7"/>
  <c r="AN142" i="7"/>
  <c r="AJ142" i="7"/>
  <c r="AH142" i="7"/>
  <c r="AD142" i="7"/>
  <c r="AA142" i="7"/>
  <c r="X142" i="7"/>
  <c r="W142" i="7"/>
  <c r="T142" i="7"/>
  <c r="R142" i="7"/>
  <c r="P142" i="7"/>
  <c r="K142" i="7"/>
  <c r="AP141" i="7"/>
  <c r="AN141" i="7"/>
  <c r="AJ141" i="7"/>
  <c r="AH141" i="7"/>
  <c r="AD141" i="7"/>
  <c r="AA141" i="7"/>
  <c r="W141" i="7"/>
  <c r="T141" i="7"/>
  <c r="X141" i="7" s="1"/>
  <c r="R141" i="7"/>
  <c r="P141" i="7"/>
  <c r="K141" i="7"/>
  <c r="AP140" i="7"/>
  <c r="AN140" i="7"/>
  <c r="AJ140" i="7"/>
  <c r="AH140" i="7"/>
  <c r="AD140" i="7"/>
  <c r="AA140" i="7"/>
  <c r="X140" i="7"/>
  <c r="W140" i="7"/>
  <c r="T140" i="7"/>
  <c r="R140" i="7"/>
  <c r="P140" i="7"/>
  <c r="K140" i="7"/>
  <c r="AP139" i="7"/>
  <c r="AN139" i="7"/>
  <c r="AJ139" i="7"/>
  <c r="AH139" i="7"/>
  <c r="AD139" i="7"/>
  <c r="AA139" i="7"/>
  <c r="W139" i="7"/>
  <c r="T139" i="7"/>
  <c r="X139" i="7" s="1"/>
  <c r="R139" i="7"/>
  <c r="P139" i="7"/>
  <c r="K139" i="7"/>
  <c r="AP138" i="7"/>
  <c r="AN138" i="7"/>
  <c r="AJ138" i="7"/>
  <c r="AH138" i="7"/>
  <c r="AD138" i="7"/>
  <c r="AA138" i="7"/>
  <c r="X138" i="7"/>
  <c r="W138" i="7"/>
  <c r="T138" i="7"/>
  <c r="R138" i="7"/>
  <c r="P138" i="7"/>
  <c r="K138" i="7"/>
  <c r="AP137" i="7"/>
  <c r="AN137" i="7"/>
  <c r="AJ137" i="7"/>
  <c r="AH137" i="7"/>
  <c r="AD137" i="7"/>
  <c r="AA137" i="7"/>
  <c r="W137" i="7"/>
  <c r="T137" i="7"/>
  <c r="X137" i="7" s="1"/>
  <c r="R137" i="7"/>
  <c r="P137" i="7"/>
  <c r="K137" i="7"/>
  <c r="AP136" i="7"/>
  <c r="AN136" i="7"/>
  <c r="AJ136" i="7"/>
  <c r="AH136" i="7"/>
  <c r="AD136" i="7"/>
  <c r="AA136" i="7"/>
  <c r="X136" i="7"/>
  <c r="W136" i="7"/>
  <c r="T136" i="7"/>
  <c r="R136" i="7"/>
  <c r="P136" i="7"/>
  <c r="K136" i="7"/>
  <c r="AP135" i="7"/>
  <c r="AN135" i="7"/>
  <c r="AJ135" i="7"/>
  <c r="AH135" i="7"/>
  <c r="AD135" i="7"/>
  <c r="AA135" i="7"/>
  <c r="W135" i="7"/>
  <c r="T135" i="7"/>
  <c r="X135" i="7" s="1"/>
  <c r="R135" i="7"/>
  <c r="P135" i="7"/>
  <c r="K135" i="7"/>
  <c r="AP134" i="7"/>
  <c r="AN134" i="7"/>
  <c r="AJ134" i="7"/>
  <c r="AH134" i="7"/>
  <c r="AD134" i="7"/>
  <c r="AA134" i="7"/>
  <c r="X134" i="7"/>
  <c r="W134" i="7"/>
  <c r="T134" i="7"/>
  <c r="R134" i="7"/>
  <c r="P134" i="7"/>
  <c r="K134" i="7"/>
  <c r="AP133" i="7"/>
  <c r="AN133" i="7"/>
  <c r="AJ133" i="7"/>
  <c r="AH133" i="7"/>
  <c r="AD133" i="7"/>
  <c r="AA133" i="7"/>
  <c r="W133" i="7"/>
  <c r="T133" i="7"/>
  <c r="X133" i="7" s="1"/>
  <c r="R133" i="7"/>
  <c r="P133" i="7"/>
  <c r="K133" i="7"/>
  <c r="AP132" i="7"/>
  <c r="AN132" i="7"/>
  <c r="AJ132" i="7"/>
  <c r="AH132" i="7"/>
  <c r="AD132" i="7"/>
  <c r="AA132" i="7"/>
  <c r="X132" i="7"/>
  <c r="W132" i="7"/>
  <c r="T132" i="7"/>
  <c r="R132" i="7"/>
  <c r="P132" i="7"/>
  <c r="K132" i="7"/>
  <c r="AP131" i="7"/>
  <c r="AN131" i="7"/>
  <c r="AJ131" i="7"/>
  <c r="AH131" i="7"/>
  <c r="AD131" i="7"/>
  <c r="AA131" i="7"/>
  <c r="W131" i="7"/>
  <c r="T131" i="7"/>
  <c r="X131" i="7" s="1"/>
  <c r="R131" i="7"/>
  <c r="P131" i="7"/>
  <c r="K131" i="7"/>
  <c r="AP130" i="7"/>
  <c r="AN130" i="7"/>
  <c r="AJ130" i="7"/>
  <c r="AH130" i="7"/>
  <c r="AD130" i="7"/>
  <c r="AA130" i="7"/>
  <c r="X130" i="7"/>
  <c r="W130" i="7"/>
  <c r="T130" i="7"/>
  <c r="R130" i="7"/>
  <c r="P130" i="7"/>
  <c r="K130" i="7"/>
  <c r="AP129" i="7"/>
  <c r="AN129" i="7"/>
  <c r="AJ129" i="7"/>
  <c r="AH129" i="7"/>
  <c r="AD129" i="7"/>
  <c r="AA129" i="7"/>
  <c r="W129" i="7"/>
  <c r="T129" i="7"/>
  <c r="X129" i="7" s="1"/>
  <c r="R129" i="7"/>
  <c r="P129" i="7"/>
  <c r="K129" i="7"/>
  <c r="AP128" i="7"/>
  <c r="AN128" i="7"/>
  <c r="AJ128" i="7"/>
  <c r="AH128" i="7"/>
  <c r="AD128" i="7"/>
  <c r="AA128" i="7"/>
  <c r="X128" i="7"/>
  <c r="W128" i="7"/>
  <c r="T128" i="7"/>
  <c r="R128" i="7"/>
  <c r="P128" i="7"/>
  <c r="K128" i="7"/>
  <c r="AP127" i="7"/>
  <c r="AN127" i="7"/>
  <c r="AJ127" i="7"/>
  <c r="AH127" i="7"/>
  <c r="AD127" i="7"/>
  <c r="AA127" i="7"/>
  <c r="W127" i="7"/>
  <c r="T127" i="7"/>
  <c r="X127" i="7" s="1"/>
  <c r="R127" i="7"/>
  <c r="P127" i="7"/>
  <c r="K127" i="7"/>
  <c r="AP126" i="7"/>
  <c r="AN126" i="7"/>
  <c r="AJ126" i="7"/>
  <c r="AH126" i="7"/>
  <c r="AD126" i="7"/>
  <c r="AA126" i="7"/>
  <c r="X126" i="7"/>
  <c r="W126" i="7"/>
  <c r="T126" i="7"/>
  <c r="R126" i="7"/>
  <c r="P126" i="7"/>
  <c r="K126" i="7"/>
  <c r="AP125" i="7"/>
  <c r="AN125" i="7"/>
  <c r="AJ125" i="7"/>
  <c r="AH125" i="7"/>
  <c r="AD125" i="7"/>
  <c r="AA125" i="7"/>
  <c r="W125" i="7"/>
  <c r="T125" i="7"/>
  <c r="X125" i="7" s="1"/>
  <c r="R125" i="7"/>
  <c r="P125" i="7"/>
  <c r="K125" i="7"/>
  <c r="AP124" i="7"/>
  <c r="AN124" i="7"/>
  <c r="AJ124" i="7"/>
  <c r="AH124" i="7"/>
  <c r="AD124" i="7"/>
  <c r="AA124" i="7"/>
  <c r="X124" i="7"/>
  <c r="W124" i="7"/>
  <c r="T124" i="7"/>
  <c r="R124" i="7"/>
  <c r="P124" i="7"/>
  <c r="K124" i="7"/>
  <c r="AP123" i="7"/>
  <c r="AN123" i="7"/>
  <c r="AJ123" i="7"/>
  <c r="AH123" i="7"/>
  <c r="AD123" i="7"/>
  <c r="AA123" i="7"/>
  <c r="W123" i="7"/>
  <c r="T123" i="7"/>
  <c r="X123" i="7" s="1"/>
  <c r="R123" i="7"/>
  <c r="P123" i="7"/>
  <c r="K123" i="7"/>
  <c r="AP122" i="7"/>
  <c r="AN122" i="7"/>
  <c r="AJ122" i="7"/>
  <c r="AH122" i="7"/>
  <c r="AD122" i="7"/>
  <c r="AA122" i="7"/>
  <c r="X122" i="7"/>
  <c r="W122" i="7"/>
  <c r="T122" i="7"/>
  <c r="R122" i="7"/>
  <c r="P122" i="7"/>
  <c r="K122" i="7"/>
  <c r="AP121" i="7"/>
  <c r="AN121" i="7"/>
  <c r="AJ121" i="7"/>
  <c r="AH121" i="7"/>
  <c r="AD121" i="7"/>
  <c r="AA121" i="7"/>
  <c r="W121" i="7"/>
  <c r="T121" i="7"/>
  <c r="X121" i="7" s="1"/>
  <c r="R121" i="7"/>
  <c r="P121" i="7"/>
  <c r="K121" i="7"/>
  <c r="AP120" i="7"/>
  <c r="AN120" i="7"/>
  <c r="AJ120" i="7"/>
  <c r="AH120" i="7"/>
  <c r="AD120" i="7"/>
  <c r="AA120" i="7"/>
  <c r="X120" i="7"/>
  <c r="W120" i="7"/>
  <c r="T120" i="7"/>
  <c r="R120" i="7"/>
  <c r="P120" i="7"/>
  <c r="K120" i="7"/>
  <c r="AP119" i="7"/>
  <c r="AN119" i="7"/>
  <c r="AJ119" i="7"/>
  <c r="AH119" i="7"/>
  <c r="AD119" i="7"/>
  <c r="AA119" i="7"/>
  <c r="W119" i="7"/>
  <c r="T119" i="7"/>
  <c r="X119" i="7" s="1"/>
  <c r="R119" i="7"/>
  <c r="P119" i="7"/>
  <c r="K119" i="7"/>
  <c r="AP118" i="7"/>
  <c r="AN118" i="7"/>
  <c r="AJ118" i="7"/>
  <c r="AH118" i="7"/>
  <c r="AD118" i="7"/>
  <c r="AA118" i="7"/>
  <c r="X118" i="7"/>
  <c r="W118" i="7"/>
  <c r="T118" i="7"/>
  <c r="R118" i="7"/>
  <c r="P118" i="7"/>
  <c r="K118" i="7"/>
  <c r="AP117" i="7"/>
  <c r="AN117" i="7"/>
  <c r="AJ117" i="7"/>
  <c r="AH117" i="7"/>
  <c r="AD117" i="7"/>
  <c r="AA117" i="7"/>
  <c r="W117" i="7"/>
  <c r="T117" i="7"/>
  <c r="X117" i="7" s="1"/>
  <c r="R117" i="7"/>
  <c r="P117" i="7"/>
  <c r="K117" i="7"/>
  <c r="AP116" i="7"/>
  <c r="AN116" i="7"/>
  <c r="AJ116" i="7"/>
  <c r="AH116" i="7"/>
  <c r="AD116" i="7"/>
  <c r="AA116" i="7"/>
  <c r="X116" i="7"/>
  <c r="W116" i="7"/>
  <c r="T116" i="7"/>
  <c r="R116" i="7"/>
  <c r="P116" i="7"/>
  <c r="K116" i="7"/>
  <c r="AP115" i="7"/>
  <c r="AN115" i="7"/>
  <c r="AJ115" i="7"/>
  <c r="AH115" i="7"/>
  <c r="AD115" i="7"/>
  <c r="AA115" i="7"/>
  <c r="W115" i="7"/>
  <c r="T115" i="7"/>
  <c r="X115" i="7" s="1"/>
  <c r="R115" i="7"/>
  <c r="P115" i="7"/>
  <c r="K115" i="7"/>
  <c r="AP114" i="7"/>
  <c r="AN114" i="7"/>
  <c r="AJ114" i="7"/>
  <c r="AH114" i="7"/>
  <c r="AD114" i="7"/>
  <c r="AA114" i="7"/>
  <c r="X114" i="7"/>
  <c r="W114" i="7"/>
  <c r="T114" i="7"/>
  <c r="R114" i="7"/>
  <c r="P114" i="7"/>
  <c r="K114" i="7"/>
  <c r="AP113" i="7"/>
  <c r="AN113" i="7"/>
  <c r="AJ113" i="7"/>
  <c r="AH113" i="7"/>
  <c r="AD113" i="7"/>
  <c r="AA113" i="7"/>
  <c r="W113" i="7"/>
  <c r="T113" i="7"/>
  <c r="X113" i="7" s="1"/>
  <c r="R113" i="7"/>
  <c r="P113" i="7"/>
  <c r="K113" i="7"/>
  <c r="AP112" i="7"/>
  <c r="AN112" i="7"/>
  <c r="AJ112" i="7"/>
  <c r="AH112" i="7"/>
  <c r="AD112" i="7"/>
  <c r="AA112" i="7"/>
  <c r="X112" i="7"/>
  <c r="W112" i="7"/>
  <c r="T112" i="7"/>
  <c r="R112" i="7"/>
  <c r="P112" i="7"/>
  <c r="K112" i="7"/>
  <c r="AP111" i="7"/>
  <c r="AN111" i="7"/>
  <c r="AJ111" i="7"/>
  <c r="AH111" i="7"/>
  <c r="AD111" i="7"/>
  <c r="AA111" i="7"/>
  <c r="W111" i="7"/>
  <c r="T111" i="7"/>
  <c r="X111" i="7" s="1"/>
  <c r="R111" i="7"/>
  <c r="P111" i="7"/>
  <c r="K111" i="7"/>
  <c r="AP110" i="7"/>
  <c r="AN110" i="7"/>
  <c r="AJ110" i="7"/>
  <c r="AH110" i="7"/>
  <c r="AD110" i="7"/>
  <c r="AA110" i="7"/>
  <c r="X110" i="7"/>
  <c r="W110" i="7"/>
  <c r="T110" i="7"/>
  <c r="R110" i="7"/>
  <c r="P110" i="7"/>
  <c r="K110" i="7"/>
  <c r="AP109" i="7"/>
  <c r="AN109" i="7"/>
  <c r="AJ109" i="7"/>
  <c r="AH109" i="7"/>
  <c r="AD109" i="7"/>
  <c r="AA109" i="7"/>
  <c r="W109" i="7"/>
  <c r="T109" i="7"/>
  <c r="X109" i="7" s="1"/>
  <c r="R109" i="7"/>
  <c r="P109" i="7"/>
  <c r="K109" i="7"/>
  <c r="AP108" i="7"/>
  <c r="AN108" i="7"/>
  <c r="AJ108" i="7"/>
  <c r="AH108" i="7"/>
  <c r="AD108" i="7"/>
  <c r="AA108" i="7"/>
  <c r="X108" i="7"/>
  <c r="W108" i="7"/>
  <c r="T108" i="7"/>
  <c r="R108" i="7"/>
  <c r="P108" i="7"/>
  <c r="K108" i="7"/>
  <c r="AP107" i="7"/>
  <c r="AN107" i="7"/>
  <c r="AJ107" i="7"/>
  <c r="AH107" i="7"/>
  <c r="AD107" i="7"/>
  <c r="AA107" i="7"/>
  <c r="W107" i="7"/>
  <c r="T107" i="7"/>
  <c r="X107" i="7" s="1"/>
  <c r="R107" i="7"/>
  <c r="P107" i="7"/>
  <c r="K107" i="7"/>
  <c r="AP106" i="7"/>
  <c r="AN106" i="7"/>
  <c r="AJ106" i="7"/>
  <c r="AH106" i="7"/>
  <c r="AD106" i="7"/>
  <c r="AA106" i="7"/>
  <c r="X106" i="7"/>
  <c r="W106" i="7"/>
  <c r="T106" i="7"/>
  <c r="R106" i="7"/>
  <c r="P106" i="7"/>
  <c r="K106" i="7"/>
  <c r="AP105" i="7"/>
  <c r="AN105" i="7"/>
  <c r="AJ105" i="7"/>
  <c r="AH105" i="7"/>
  <c r="AD105" i="7"/>
  <c r="AA105" i="7"/>
  <c r="W105" i="7"/>
  <c r="T105" i="7"/>
  <c r="X105" i="7" s="1"/>
  <c r="R105" i="7"/>
  <c r="P105" i="7"/>
  <c r="K105" i="7"/>
  <c r="AP104" i="7"/>
  <c r="AN104" i="7"/>
  <c r="AJ104" i="7"/>
  <c r="AH104" i="7"/>
  <c r="AD104" i="7"/>
  <c r="AA104" i="7"/>
  <c r="X104" i="7"/>
  <c r="W104" i="7"/>
  <c r="T104" i="7"/>
  <c r="R104" i="7"/>
  <c r="P104" i="7"/>
  <c r="K104" i="7"/>
  <c r="AP103" i="7"/>
  <c r="AN103" i="7"/>
  <c r="AJ103" i="7"/>
  <c r="AH103" i="7"/>
  <c r="AD103" i="7"/>
  <c r="AA103" i="7"/>
  <c r="W103" i="7"/>
  <c r="T103" i="7"/>
  <c r="X103" i="7" s="1"/>
  <c r="R103" i="7"/>
  <c r="P103" i="7"/>
  <c r="K103" i="7"/>
  <c r="AP102" i="7"/>
  <c r="AN102" i="7"/>
  <c r="AJ102" i="7"/>
  <c r="AH102" i="7"/>
  <c r="AD102" i="7"/>
  <c r="AA102" i="7"/>
  <c r="X102" i="7"/>
  <c r="W102" i="7"/>
  <c r="T102" i="7"/>
  <c r="R102" i="7"/>
  <c r="P102" i="7"/>
  <c r="K102" i="7"/>
  <c r="AP101" i="7"/>
  <c r="AN101" i="7"/>
  <c r="AJ101" i="7"/>
  <c r="AH101" i="7"/>
  <c r="AD101" i="7"/>
  <c r="AA101" i="7"/>
  <c r="W101" i="7"/>
  <c r="T101" i="7"/>
  <c r="X101" i="7" s="1"/>
  <c r="R101" i="7"/>
  <c r="P101" i="7"/>
  <c r="K101" i="7"/>
  <c r="AP100" i="7"/>
  <c r="AN100" i="7"/>
  <c r="AJ100" i="7"/>
  <c r="AH100" i="7"/>
  <c r="AD100" i="7"/>
  <c r="AA100" i="7"/>
  <c r="X100" i="7"/>
  <c r="W100" i="7"/>
  <c r="T100" i="7"/>
  <c r="R100" i="7"/>
  <c r="P100" i="7"/>
  <c r="K100" i="7"/>
  <c r="AP99" i="7"/>
  <c r="AN99" i="7"/>
  <c r="AJ99" i="7"/>
  <c r="AH99" i="7"/>
  <c r="AD99" i="7"/>
  <c r="AA99" i="7"/>
  <c r="W99" i="7"/>
  <c r="T99" i="7"/>
  <c r="X99" i="7" s="1"/>
  <c r="R99" i="7"/>
  <c r="P99" i="7"/>
  <c r="K99" i="7"/>
  <c r="AP98" i="7"/>
  <c r="AN98" i="7"/>
  <c r="AJ98" i="7"/>
  <c r="AH98" i="7"/>
  <c r="AD98" i="7"/>
  <c r="AA98" i="7"/>
  <c r="X98" i="7"/>
  <c r="W98" i="7"/>
  <c r="T98" i="7"/>
  <c r="R98" i="7"/>
  <c r="P98" i="7"/>
  <c r="K98" i="7"/>
  <c r="AP97" i="7"/>
  <c r="AN97" i="7"/>
  <c r="AJ97" i="7"/>
  <c r="AH97" i="7"/>
  <c r="AD97" i="7"/>
  <c r="AA97" i="7"/>
  <c r="W97" i="7"/>
  <c r="T97" i="7"/>
  <c r="X97" i="7" s="1"/>
  <c r="R97" i="7"/>
  <c r="P97" i="7"/>
  <c r="K97" i="7"/>
  <c r="AP96" i="7"/>
  <c r="AN96" i="7"/>
  <c r="AJ96" i="7"/>
  <c r="AH96" i="7"/>
  <c r="AD96" i="7"/>
  <c r="AA96" i="7"/>
  <c r="X96" i="7"/>
  <c r="W96" i="7"/>
  <c r="T96" i="7"/>
  <c r="R96" i="7"/>
  <c r="P96" i="7"/>
  <c r="K96" i="7"/>
  <c r="AP95" i="7"/>
  <c r="AN95" i="7"/>
  <c r="AJ95" i="7"/>
  <c r="AH95" i="7"/>
  <c r="AD95" i="7"/>
  <c r="AA95" i="7"/>
  <c r="W95" i="7"/>
  <c r="T95" i="7"/>
  <c r="X95" i="7" s="1"/>
  <c r="R95" i="7"/>
  <c r="P95" i="7"/>
  <c r="K95" i="7"/>
  <c r="AP94" i="7"/>
  <c r="AN94" i="7"/>
  <c r="AJ94" i="7"/>
  <c r="AH94" i="7"/>
  <c r="AD94" i="7"/>
  <c r="AA94" i="7"/>
  <c r="X94" i="7"/>
  <c r="W94" i="7"/>
  <c r="T94" i="7"/>
  <c r="R94" i="7"/>
  <c r="P94" i="7"/>
  <c r="K94" i="7"/>
  <c r="AP93" i="7"/>
  <c r="AN93" i="7"/>
  <c r="AJ93" i="7"/>
  <c r="AH93" i="7"/>
  <c r="AD93" i="7"/>
  <c r="AA93" i="7"/>
  <c r="W93" i="7"/>
  <c r="T93" i="7"/>
  <c r="X93" i="7" s="1"/>
  <c r="R93" i="7"/>
  <c r="P93" i="7"/>
  <c r="K93" i="7"/>
  <c r="AP92" i="7"/>
  <c r="AN92" i="7"/>
  <c r="AJ92" i="7"/>
  <c r="AH92" i="7"/>
  <c r="AD92" i="7"/>
  <c r="AA92" i="7"/>
  <c r="X92" i="7"/>
  <c r="W92" i="7"/>
  <c r="T92" i="7"/>
  <c r="R92" i="7"/>
  <c r="P92" i="7"/>
  <c r="K92" i="7"/>
  <c r="AP91" i="7"/>
  <c r="AN91" i="7"/>
  <c r="AJ91" i="7"/>
  <c r="AH91" i="7"/>
  <c r="AD91" i="7"/>
  <c r="AA91" i="7"/>
  <c r="W91" i="7"/>
  <c r="T91" i="7"/>
  <c r="X91" i="7" s="1"/>
  <c r="R91" i="7"/>
  <c r="P91" i="7"/>
  <c r="K91" i="7"/>
  <c r="AP90" i="7"/>
  <c r="AN90" i="7"/>
  <c r="AJ90" i="7"/>
  <c r="AH90" i="7"/>
  <c r="AD90" i="7"/>
  <c r="AA90" i="7"/>
  <c r="X90" i="7"/>
  <c r="W90" i="7"/>
  <c r="T90" i="7"/>
  <c r="R90" i="7"/>
  <c r="P90" i="7"/>
  <c r="K90" i="7"/>
  <c r="AP89" i="7"/>
  <c r="AN89" i="7"/>
  <c r="AJ89" i="7"/>
  <c r="AH89" i="7"/>
  <c r="AD89" i="7"/>
  <c r="AA89" i="7"/>
  <c r="W89" i="7"/>
  <c r="T89" i="7"/>
  <c r="X89" i="7" s="1"/>
  <c r="R89" i="7"/>
  <c r="P89" i="7"/>
  <c r="K89" i="7"/>
  <c r="AP88" i="7"/>
  <c r="AN88" i="7"/>
  <c r="AJ88" i="7"/>
  <c r="AH88" i="7"/>
  <c r="AD88" i="7"/>
  <c r="AA88" i="7"/>
  <c r="X88" i="7"/>
  <c r="W88" i="7"/>
  <c r="T88" i="7"/>
  <c r="R88" i="7"/>
  <c r="P88" i="7"/>
  <c r="K88" i="7"/>
  <c r="AP87" i="7"/>
  <c r="AN87" i="7"/>
  <c r="AJ87" i="7"/>
  <c r="AH87" i="7"/>
  <c r="AD87" i="7"/>
  <c r="AA87" i="7"/>
  <c r="W87" i="7"/>
  <c r="T87" i="7"/>
  <c r="X87" i="7" s="1"/>
  <c r="R87" i="7"/>
  <c r="P87" i="7"/>
  <c r="K87" i="7"/>
  <c r="AP86" i="7"/>
  <c r="AN86" i="7"/>
  <c r="AJ86" i="7"/>
  <c r="AH86" i="7"/>
  <c r="AD86" i="7"/>
  <c r="AA86" i="7"/>
  <c r="X86" i="7"/>
  <c r="W86" i="7"/>
  <c r="T86" i="7"/>
  <c r="R86" i="7"/>
  <c r="P86" i="7"/>
  <c r="K86" i="7"/>
  <c r="AP85" i="7"/>
  <c r="AN85" i="7"/>
  <c r="AJ85" i="7"/>
  <c r="AH85" i="7"/>
  <c r="AD85" i="7"/>
  <c r="AA85" i="7"/>
  <c r="W85" i="7"/>
  <c r="T85" i="7"/>
  <c r="X85" i="7" s="1"/>
  <c r="R85" i="7"/>
  <c r="P85" i="7"/>
  <c r="K85" i="7"/>
  <c r="AP84" i="7"/>
  <c r="AN84" i="7"/>
  <c r="AJ84" i="7"/>
  <c r="AH84" i="7"/>
  <c r="AD84" i="7"/>
  <c r="AA84" i="7"/>
  <c r="X84" i="7"/>
  <c r="W84" i="7"/>
  <c r="T84" i="7"/>
  <c r="R84" i="7"/>
  <c r="P84" i="7"/>
  <c r="K84" i="7"/>
  <c r="AP83" i="7"/>
  <c r="AN83" i="7"/>
  <c r="AJ83" i="7"/>
  <c r="AH83" i="7"/>
  <c r="AD83" i="7"/>
  <c r="AA83" i="7"/>
  <c r="W83" i="7"/>
  <c r="T83" i="7"/>
  <c r="X83" i="7" s="1"/>
  <c r="R83" i="7"/>
  <c r="P83" i="7"/>
  <c r="K83" i="7"/>
  <c r="AP82" i="7"/>
  <c r="AN82" i="7"/>
  <c r="AJ82" i="7"/>
  <c r="AH82" i="7"/>
  <c r="AD82" i="7"/>
  <c r="AA82" i="7"/>
  <c r="X82" i="7"/>
  <c r="W82" i="7"/>
  <c r="T82" i="7"/>
  <c r="R82" i="7"/>
  <c r="P82" i="7"/>
  <c r="K82" i="7"/>
  <c r="AP81" i="7"/>
  <c r="AN81" i="7"/>
  <c r="AJ81" i="7"/>
  <c r="AH81" i="7"/>
  <c r="AD81" i="7"/>
  <c r="AA81" i="7"/>
  <c r="W81" i="7"/>
  <c r="T81" i="7"/>
  <c r="X81" i="7" s="1"/>
  <c r="R81" i="7"/>
  <c r="P81" i="7"/>
  <c r="K81" i="7"/>
  <c r="AP80" i="7"/>
  <c r="AN80" i="7"/>
  <c r="AJ80" i="7"/>
  <c r="AH80" i="7"/>
  <c r="AD80" i="7"/>
  <c r="AA80" i="7"/>
  <c r="X80" i="7"/>
  <c r="W80" i="7"/>
  <c r="T80" i="7"/>
  <c r="R80" i="7"/>
  <c r="P80" i="7"/>
  <c r="K80" i="7"/>
  <c r="AP79" i="7"/>
  <c r="AN79" i="7"/>
  <c r="AJ79" i="7"/>
  <c r="AH79" i="7"/>
  <c r="AD79" i="7"/>
  <c r="AA79" i="7"/>
  <c r="W79" i="7"/>
  <c r="T79" i="7"/>
  <c r="X79" i="7" s="1"/>
  <c r="R79" i="7"/>
  <c r="P79" i="7"/>
  <c r="K79" i="7"/>
  <c r="AP78" i="7"/>
  <c r="AN78" i="7"/>
  <c r="AJ78" i="7"/>
  <c r="AH78" i="7"/>
  <c r="AD78" i="7"/>
  <c r="AA78" i="7"/>
  <c r="X78" i="7"/>
  <c r="W78" i="7"/>
  <c r="T78" i="7"/>
  <c r="R78" i="7"/>
  <c r="P78" i="7"/>
  <c r="K78" i="7"/>
  <c r="AP77" i="7"/>
  <c r="AN77" i="7"/>
  <c r="AJ77" i="7"/>
  <c r="AH77" i="7"/>
  <c r="AD77" i="7"/>
  <c r="AA77" i="7"/>
  <c r="W77" i="7"/>
  <c r="T77" i="7"/>
  <c r="X77" i="7" s="1"/>
  <c r="R77" i="7"/>
  <c r="P77" i="7"/>
  <c r="K77" i="7"/>
  <c r="AP76" i="7"/>
  <c r="AN76" i="7"/>
  <c r="AJ76" i="7"/>
  <c r="AH76" i="7"/>
  <c r="AD76" i="7"/>
  <c r="AA76" i="7"/>
  <c r="X76" i="7"/>
  <c r="W76" i="7"/>
  <c r="T76" i="7"/>
  <c r="R76" i="7"/>
  <c r="P76" i="7"/>
  <c r="K76" i="7"/>
  <c r="AP75" i="7"/>
  <c r="AN75" i="7"/>
  <c r="AJ75" i="7"/>
  <c r="AH75" i="7"/>
  <c r="AD75" i="7"/>
  <c r="AA75" i="7"/>
  <c r="W75" i="7"/>
  <c r="T75" i="7"/>
  <c r="X75" i="7" s="1"/>
  <c r="R75" i="7"/>
  <c r="P75" i="7"/>
  <c r="K75" i="7"/>
  <c r="AP74" i="7"/>
  <c r="AN74" i="7"/>
  <c r="AJ74" i="7"/>
  <c r="AH74" i="7"/>
  <c r="AD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A73" i="7"/>
  <c r="W73" i="7"/>
  <c r="T73" i="7"/>
  <c r="X73" i="7" s="1"/>
  <c r="R73" i="7"/>
  <c r="P73" i="7"/>
  <c r="K73" i="7"/>
  <c r="AP72" i="7"/>
  <c r="AN72" i="7"/>
  <c r="AJ72" i="7"/>
  <c r="AH72" i="7"/>
  <c r="AD72" i="7"/>
  <c r="AA72" i="7"/>
  <c r="X72" i="7"/>
  <c r="W72" i="7"/>
  <c r="T72" i="7"/>
  <c r="R72" i="7"/>
  <c r="P72" i="7"/>
  <c r="K72" i="7"/>
  <c r="AP71" i="7"/>
  <c r="AN71" i="7"/>
  <c r="AJ71" i="7"/>
  <c r="AH71" i="7"/>
  <c r="AD71" i="7"/>
  <c r="AA71" i="7"/>
  <c r="W71" i="7"/>
  <c r="T71" i="7"/>
  <c r="X71" i="7" s="1"/>
  <c r="R71" i="7"/>
  <c r="P71" i="7"/>
  <c r="K71" i="7"/>
  <c r="AP70" i="7"/>
  <c r="AN70" i="7"/>
  <c r="AJ70" i="7"/>
  <c r="AH70" i="7"/>
  <c r="AD70" i="7"/>
  <c r="AA70" i="7"/>
  <c r="X70" i="7"/>
  <c r="W70" i="7"/>
  <c r="T70" i="7"/>
  <c r="R70" i="7"/>
  <c r="P70" i="7"/>
  <c r="K70" i="7"/>
  <c r="AP69" i="7"/>
  <c r="AN69" i="7"/>
  <c r="AJ69" i="7"/>
  <c r="AH69" i="7"/>
  <c r="AD69" i="7"/>
  <c r="AA69" i="7"/>
  <c r="W69" i="7"/>
  <c r="T69" i="7"/>
  <c r="R69" i="7"/>
  <c r="P69" i="7"/>
  <c r="K69" i="7"/>
  <c r="AP68" i="7"/>
  <c r="AN68" i="7"/>
  <c r="AJ68" i="7"/>
  <c r="AH68" i="7"/>
  <c r="AD68" i="7"/>
  <c r="AA68" i="7"/>
  <c r="X68" i="7"/>
  <c r="W68" i="7"/>
  <c r="T68" i="7"/>
  <c r="R68" i="7"/>
  <c r="P68" i="7"/>
  <c r="K68" i="7"/>
  <c r="AP67" i="7"/>
  <c r="AN67" i="7"/>
  <c r="AJ67" i="7"/>
  <c r="AH67" i="7"/>
  <c r="AD67" i="7"/>
  <c r="AA67" i="7"/>
  <c r="W67" i="7"/>
  <c r="T67" i="7"/>
  <c r="X67" i="7" s="1"/>
  <c r="R67" i="7"/>
  <c r="P67" i="7"/>
  <c r="K67" i="7"/>
  <c r="AP66" i="7"/>
  <c r="AN66" i="7"/>
  <c r="AJ66" i="7"/>
  <c r="AH66" i="7"/>
  <c r="AD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A65" i="7"/>
  <c r="W65" i="7"/>
  <c r="T65" i="7"/>
  <c r="R65" i="7"/>
  <c r="P65" i="7"/>
  <c r="K65" i="7"/>
  <c r="AP64" i="7"/>
  <c r="AN64" i="7"/>
  <c r="AJ64" i="7"/>
  <c r="AH64" i="7"/>
  <c r="AD64" i="7"/>
  <c r="AA64" i="7"/>
  <c r="X64" i="7"/>
  <c r="W64" i="7"/>
  <c r="T64" i="7"/>
  <c r="R64" i="7"/>
  <c r="P64" i="7"/>
  <c r="K64" i="7"/>
  <c r="AP63" i="7"/>
  <c r="AN63" i="7"/>
  <c r="AJ63" i="7"/>
  <c r="AH63" i="7"/>
  <c r="AD63" i="7"/>
  <c r="AA63" i="7"/>
  <c r="W63" i="7"/>
  <c r="T63" i="7"/>
  <c r="X63" i="7" s="1"/>
  <c r="R63" i="7"/>
  <c r="P63" i="7"/>
  <c r="K63" i="7"/>
  <c r="AP62" i="7"/>
  <c r="AN62" i="7"/>
  <c r="AJ62" i="7"/>
  <c r="AH62" i="7"/>
  <c r="AD62" i="7"/>
  <c r="AA62" i="7"/>
  <c r="X62" i="7"/>
  <c r="W62" i="7"/>
  <c r="T62" i="7"/>
  <c r="R62" i="7"/>
  <c r="P62" i="7"/>
  <c r="K62" i="7"/>
  <c r="AP61" i="7"/>
  <c r="AN61" i="7"/>
  <c r="AJ61" i="7"/>
  <c r="AH61" i="7"/>
  <c r="AD61" i="7"/>
  <c r="AA61" i="7"/>
  <c r="W61" i="7"/>
  <c r="T61" i="7"/>
  <c r="R61" i="7"/>
  <c r="P61" i="7"/>
  <c r="K61" i="7"/>
  <c r="AP60" i="7"/>
  <c r="AN60" i="7"/>
  <c r="AJ60" i="7"/>
  <c r="AH60" i="7"/>
  <c r="AD60" i="7"/>
  <c r="AA60" i="7"/>
  <c r="W60" i="7"/>
  <c r="X60" i="7" s="1"/>
  <c r="T60" i="7"/>
  <c r="R60" i="7"/>
  <c r="P60" i="7"/>
  <c r="K60" i="7"/>
  <c r="AP59" i="7"/>
  <c r="AN59" i="7"/>
  <c r="AJ59" i="7"/>
  <c r="AH59" i="7"/>
  <c r="AD59" i="7"/>
  <c r="AA59" i="7"/>
  <c r="W59" i="7"/>
  <c r="T59" i="7"/>
  <c r="X59" i="7" s="1"/>
  <c r="R59" i="7"/>
  <c r="P59" i="7"/>
  <c r="K59" i="7"/>
  <c r="AP58" i="7"/>
  <c r="AN58" i="7"/>
  <c r="AJ58" i="7"/>
  <c r="AH58" i="7"/>
  <c r="AD58" i="7"/>
  <c r="AA58" i="7"/>
  <c r="X58" i="7"/>
  <c r="W58" i="7"/>
  <c r="T58" i="7"/>
  <c r="R58" i="7"/>
  <c r="P58" i="7"/>
  <c r="K58" i="7"/>
  <c r="AP57" i="7"/>
  <c r="AN57" i="7"/>
  <c r="AJ57" i="7"/>
  <c r="AH57" i="7"/>
  <c r="AD57" i="7"/>
  <c r="AA57" i="7"/>
  <c r="W57" i="7"/>
  <c r="T57" i="7"/>
  <c r="R57" i="7"/>
  <c r="P57" i="7"/>
  <c r="K57" i="7"/>
  <c r="AP56" i="7"/>
  <c r="AN56" i="7"/>
  <c r="AJ56" i="7"/>
  <c r="AH56" i="7"/>
  <c r="AD56" i="7"/>
  <c r="AA56" i="7"/>
  <c r="W56" i="7"/>
  <c r="X56" i="7" s="1"/>
  <c r="T56" i="7"/>
  <c r="R56" i="7"/>
  <c r="P56" i="7"/>
  <c r="K56" i="7"/>
  <c r="AP55" i="7"/>
  <c r="AN55" i="7"/>
  <c r="AJ55" i="7"/>
  <c r="AH55" i="7"/>
  <c r="AD55" i="7"/>
  <c r="AA55" i="7"/>
  <c r="W55" i="7"/>
  <c r="T55" i="7"/>
  <c r="X55" i="7" s="1"/>
  <c r="R55" i="7"/>
  <c r="P55" i="7"/>
  <c r="K55" i="7"/>
  <c r="AP54" i="7"/>
  <c r="AN54" i="7"/>
  <c r="AJ54" i="7"/>
  <c r="AH54" i="7"/>
  <c r="AD54" i="7"/>
  <c r="AA54" i="7"/>
  <c r="X54" i="7"/>
  <c r="W54" i="7"/>
  <c r="T54" i="7"/>
  <c r="R54" i="7"/>
  <c r="P54" i="7"/>
  <c r="K54" i="7"/>
  <c r="AP53" i="7"/>
  <c r="AN53" i="7"/>
  <c r="AJ53" i="7"/>
  <c r="AH53" i="7"/>
  <c r="AD53" i="7"/>
  <c r="AA53" i="7"/>
  <c r="W53" i="7"/>
  <c r="T53" i="7"/>
  <c r="R53" i="7"/>
  <c r="P53" i="7"/>
  <c r="K53" i="7"/>
  <c r="AP52" i="7"/>
  <c r="AN52" i="7"/>
  <c r="AJ52" i="7"/>
  <c r="AH52" i="7"/>
  <c r="AD52" i="7"/>
  <c r="AA52" i="7"/>
  <c r="W52" i="7"/>
  <c r="X52" i="7" s="1"/>
  <c r="T52" i="7"/>
  <c r="R52" i="7"/>
  <c r="P52" i="7"/>
  <c r="K52" i="7"/>
  <c r="AP51" i="7"/>
  <c r="AN51" i="7"/>
  <c r="AJ51" i="7"/>
  <c r="AH51" i="7"/>
  <c r="AD51" i="7"/>
  <c r="AA51" i="7"/>
  <c r="W51" i="7"/>
  <c r="T51" i="7"/>
  <c r="X51" i="7" s="1"/>
  <c r="R51" i="7"/>
  <c r="P51" i="7"/>
  <c r="K51" i="7"/>
  <c r="AP50" i="7"/>
  <c r="AN50" i="7"/>
  <c r="AJ50" i="7"/>
  <c r="AH50" i="7"/>
  <c r="AD50" i="7"/>
  <c r="AA50" i="7"/>
  <c r="X50" i="7"/>
  <c r="W50" i="7"/>
  <c r="T50" i="7"/>
  <c r="R50" i="7"/>
  <c r="P50" i="7"/>
  <c r="K50" i="7"/>
  <c r="AP49" i="7"/>
  <c r="AN49" i="7"/>
  <c r="AJ49" i="7"/>
  <c r="AH49" i="7"/>
  <c r="AD49" i="7"/>
  <c r="AA49" i="7"/>
  <c r="W49" i="7"/>
  <c r="T49" i="7"/>
  <c r="R49" i="7"/>
  <c r="P49" i="7"/>
  <c r="K49" i="7"/>
  <c r="AP48" i="7"/>
  <c r="AN48" i="7"/>
  <c r="AJ48" i="7"/>
  <c r="AH48" i="7"/>
  <c r="AD48" i="7"/>
  <c r="AA48" i="7"/>
  <c r="W48" i="7"/>
  <c r="X48" i="7" s="1"/>
  <c r="T48" i="7"/>
  <c r="R48" i="7"/>
  <c r="P48" i="7"/>
  <c r="K48" i="7"/>
  <c r="AP47" i="7"/>
  <c r="AN47" i="7"/>
  <c r="AJ47" i="7"/>
  <c r="AH47" i="7"/>
  <c r="AD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A46" i="7"/>
  <c r="X46" i="7"/>
  <c r="W46" i="7"/>
  <c r="T46" i="7"/>
  <c r="R46" i="7"/>
  <c r="P46" i="7"/>
  <c r="K46" i="7"/>
  <c r="AP45" i="7"/>
  <c r="AN45" i="7"/>
  <c r="AJ45" i="7"/>
  <c r="AH45" i="7"/>
  <c r="AD45" i="7"/>
  <c r="AA45" i="7"/>
  <c r="W45" i="7"/>
  <c r="T45" i="7"/>
  <c r="R45" i="7"/>
  <c r="P45" i="7"/>
  <c r="K45" i="7"/>
  <c r="AP44" i="7"/>
  <c r="AN44" i="7"/>
  <c r="AJ44" i="7"/>
  <c r="AH44" i="7"/>
  <c r="AD44" i="7"/>
  <c r="AA44" i="7"/>
  <c r="W44" i="7"/>
  <c r="X44" i="7" s="1"/>
  <c r="T44" i="7"/>
  <c r="R44" i="7"/>
  <c r="P44" i="7"/>
  <c r="K44" i="7"/>
  <c r="AP43" i="7"/>
  <c r="AN43" i="7"/>
  <c r="AJ43" i="7"/>
  <c r="AH43" i="7"/>
  <c r="AD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A42" i="7"/>
  <c r="X42" i="7"/>
  <c r="W42" i="7"/>
  <c r="T42" i="7"/>
  <c r="R42" i="7"/>
  <c r="P42" i="7"/>
  <c r="K42" i="7"/>
  <c r="AP41" i="7"/>
  <c r="AN41" i="7"/>
  <c r="AJ41" i="7"/>
  <c r="AH41" i="7"/>
  <c r="AD41" i="7"/>
  <c r="AA41" i="7"/>
  <c r="W41" i="7"/>
  <c r="T41" i="7"/>
  <c r="R41" i="7"/>
  <c r="P41" i="7"/>
  <c r="K41" i="7"/>
  <c r="AP40" i="7"/>
  <c r="AN40" i="7"/>
  <c r="AJ40" i="7"/>
  <c r="AH40" i="7"/>
  <c r="AD40" i="7"/>
  <c r="AA40" i="7"/>
  <c r="W40" i="7"/>
  <c r="X40" i="7" s="1"/>
  <c r="T40" i="7"/>
  <c r="R40" i="7"/>
  <c r="P40" i="7"/>
  <c r="K40" i="7"/>
  <c r="AP39" i="7"/>
  <c r="AN39" i="7"/>
  <c r="AJ39" i="7"/>
  <c r="AH39" i="7"/>
  <c r="AD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A38" i="7"/>
  <c r="X38" i="7"/>
  <c r="W38" i="7"/>
  <c r="T38" i="7"/>
  <c r="R38" i="7"/>
  <c r="P38" i="7"/>
  <c r="K38" i="7"/>
  <c r="AP37" i="7"/>
  <c r="AN37" i="7"/>
  <c r="AJ37" i="7"/>
  <c r="AH37" i="7"/>
  <c r="AD37" i="7"/>
  <c r="AA37" i="7"/>
  <c r="W37" i="7"/>
  <c r="T37" i="7"/>
  <c r="R37" i="7"/>
  <c r="P37" i="7"/>
  <c r="K37" i="7"/>
  <c r="AP36" i="7"/>
  <c r="AN36" i="7"/>
  <c r="AJ36" i="7"/>
  <c r="AH36" i="7"/>
  <c r="AD36" i="7"/>
  <c r="AA36" i="7"/>
  <c r="W36" i="7"/>
  <c r="X36" i="7" s="1"/>
  <c r="T36" i="7"/>
  <c r="R36" i="7"/>
  <c r="P36" i="7"/>
  <c r="K36" i="7"/>
  <c r="AP35" i="7"/>
  <c r="AN35" i="7"/>
  <c r="AJ35" i="7"/>
  <c r="AH35" i="7"/>
  <c r="AD35" i="7"/>
  <c r="AA35" i="7"/>
  <c r="W35" i="7"/>
  <c r="T35" i="7"/>
  <c r="X35" i="7" s="1"/>
  <c r="R35" i="7"/>
  <c r="P35" i="7"/>
  <c r="K35" i="7"/>
  <c r="AP34" i="7"/>
  <c r="AN34" i="7"/>
  <c r="AJ34" i="7"/>
  <c r="AH34" i="7"/>
  <c r="AD34" i="7"/>
  <c r="AA34" i="7"/>
  <c r="X34" i="7"/>
  <c r="W34" i="7"/>
  <c r="T34" i="7"/>
  <c r="R34" i="7"/>
  <c r="P34" i="7"/>
  <c r="K34" i="7"/>
  <c r="AP33" i="7"/>
  <c r="AN33" i="7"/>
  <c r="AJ33" i="7"/>
  <c r="AH33" i="7"/>
  <c r="AD33" i="7"/>
  <c r="AA33" i="7"/>
  <c r="W33" i="7"/>
  <c r="T33" i="7"/>
  <c r="R33" i="7"/>
  <c r="P33" i="7"/>
  <c r="K33" i="7"/>
  <c r="AP32" i="7"/>
  <c r="AN32" i="7"/>
  <c r="AJ32" i="7"/>
  <c r="AH32" i="7"/>
  <c r="AD32" i="7"/>
  <c r="AA32" i="7"/>
  <c r="W32" i="7"/>
  <c r="X32" i="7" s="1"/>
  <c r="T32" i="7"/>
  <c r="R32" i="7"/>
  <c r="P32" i="7"/>
  <c r="K32" i="7"/>
  <c r="AP31" i="7"/>
  <c r="AN31" i="7"/>
  <c r="AJ31" i="7"/>
  <c r="AH31" i="7"/>
  <c r="AD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A30" i="7"/>
  <c r="X30" i="7"/>
  <c r="W30" i="7"/>
  <c r="T30" i="7"/>
  <c r="R30" i="7"/>
  <c r="P30" i="7"/>
  <c r="K30" i="7"/>
  <c r="AP29" i="7"/>
  <c r="AN29" i="7"/>
  <c r="AJ29" i="7"/>
  <c r="AH29" i="7"/>
  <c r="AD29" i="7"/>
  <c r="AA29" i="7"/>
  <c r="W29" i="7"/>
  <c r="T29" i="7"/>
  <c r="R29" i="7"/>
  <c r="P29" i="7"/>
  <c r="K29" i="7"/>
  <c r="AP28" i="7"/>
  <c r="AN28" i="7"/>
  <c r="AJ28" i="7"/>
  <c r="AH28" i="7"/>
  <c r="AD28" i="7"/>
  <c r="AA28" i="7"/>
  <c r="W28" i="7"/>
  <c r="T28" i="7"/>
  <c r="X28" i="7" s="1"/>
  <c r="R28" i="7"/>
  <c r="P28" i="7"/>
  <c r="K28" i="7"/>
  <c r="AP27" i="7"/>
  <c r="AN27" i="7"/>
  <c r="AJ27" i="7"/>
  <c r="AH27" i="7"/>
  <c r="AD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A26" i="7"/>
  <c r="W26" i="7"/>
  <c r="T26" i="7"/>
  <c r="X26" i="7" s="1"/>
  <c r="R26" i="7"/>
  <c r="P26" i="7"/>
  <c r="K26" i="7"/>
  <c r="AP25" i="7"/>
  <c r="AN25" i="7"/>
  <c r="AJ25" i="7"/>
  <c r="AH25" i="7"/>
  <c r="AD25" i="7"/>
  <c r="AA25" i="7"/>
  <c r="W25" i="7"/>
  <c r="X25" i="7" s="1"/>
  <c r="T25" i="7"/>
  <c r="R25" i="7"/>
  <c r="P25" i="7"/>
  <c r="K25" i="7"/>
  <c r="AP24" i="7"/>
  <c r="AN24" i="7"/>
  <c r="AJ24" i="7"/>
  <c r="AH24" i="7"/>
  <c r="AD24" i="7"/>
  <c r="AA24" i="7"/>
  <c r="W24" i="7"/>
  <c r="T24" i="7"/>
  <c r="X24" i="7" s="1"/>
  <c r="R24" i="7"/>
  <c r="P24" i="7"/>
  <c r="K24" i="7"/>
  <c r="AP23" i="7"/>
  <c r="AN23" i="7"/>
  <c r="AJ23" i="7"/>
  <c r="AH23" i="7"/>
  <c r="AD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A22" i="7"/>
  <c r="W22" i="7"/>
  <c r="T22" i="7"/>
  <c r="X22" i="7" s="1"/>
  <c r="R22" i="7"/>
  <c r="P22" i="7"/>
  <c r="K22" i="7"/>
  <c r="AP21" i="7"/>
  <c r="AN21" i="7"/>
  <c r="AJ21" i="7"/>
  <c r="AH21" i="7"/>
  <c r="AD21" i="7"/>
  <c r="AA21" i="7"/>
  <c r="W21" i="7"/>
  <c r="T21" i="7"/>
  <c r="X21" i="7" s="1"/>
  <c r="R21" i="7"/>
  <c r="P21" i="7"/>
  <c r="K21" i="7"/>
  <c r="AP20" i="7"/>
  <c r="AN20" i="7"/>
  <c r="AJ20" i="7"/>
  <c r="AH20" i="7"/>
  <c r="AD20" i="7"/>
  <c r="AA20" i="7"/>
  <c r="W20" i="7"/>
  <c r="X20" i="7" s="1"/>
  <c r="T20" i="7"/>
  <c r="R20" i="7"/>
  <c r="P20" i="7"/>
  <c r="K20" i="7"/>
  <c r="AP19" i="7"/>
  <c r="AN19" i="7"/>
  <c r="AJ19" i="7"/>
  <c r="AH19" i="7"/>
  <c r="AD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A18" i="7"/>
  <c r="W18" i="7"/>
  <c r="X18" i="7" s="1"/>
  <c r="T18" i="7"/>
  <c r="R18" i="7"/>
  <c r="P18" i="7"/>
  <c r="K18" i="7"/>
  <c r="AP17" i="7"/>
  <c r="AN17" i="7"/>
  <c r="AJ17" i="7"/>
  <c r="AH17" i="7"/>
  <c r="AD17" i="7"/>
  <c r="AA17" i="7"/>
  <c r="W17" i="7"/>
  <c r="T17" i="7"/>
  <c r="X17" i="7" s="1"/>
  <c r="R17" i="7"/>
  <c r="P17" i="7"/>
  <c r="K17" i="7"/>
  <c r="AP16" i="7"/>
  <c r="AN16" i="7"/>
  <c r="AJ16" i="7"/>
  <c r="AH16" i="7"/>
  <c r="AD16" i="7"/>
  <c r="AA16" i="7"/>
  <c r="W16" i="7"/>
  <c r="X16" i="7" s="1"/>
  <c r="T16" i="7"/>
  <c r="R16" i="7"/>
  <c r="P16" i="7"/>
  <c r="K16" i="7"/>
  <c r="AP15" i="7"/>
  <c r="AN15" i="7"/>
  <c r="AJ15" i="7"/>
  <c r="AH15" i="7"/>
  <c r="AD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A14" i="7"/>
  <c r="W14" i="7"/>
  <c r="X14" i="7" s="1"/>
  <c r="T14" i="7"/>
  <c r="R14" i="7"/>
  <c r="P14" i="7"/>
  <c r="K14" i="7"/>
  <c r="AP13" i="7"/>
  <c r="AN13" i="7"/>
  <c r="AJ13" i="7"/>
  <c r="AH13" i="7"/>
  <c r="AD13" i="7"/>
  <c r="AA13" i="7"/>
  <c r="W13" i="7"/>
  <c r="T13" i="7"/>
  <c r="X13" i="7" s="1"/>
  <c r="R13" i="7"/>
  <c r="P13" i="7"/>
  <c r="K13" i="7"/>
  <c r="AP12" i="7"/>
  <c r="AN12" i="7"/>
  <c r="AJ12" i="7"/>
  <c r="AH12" i="7"/>
  <c r="AD12" i="7"/>
  <c r="AA12" i="7"/>
  <c r="W12" i="7"/>
  <c r="X12" i="7" s="1"/>
  <c r="T12" i="7"/>
  <c r="R12" i="7"/>
  <c r="P12" i="7"/>
  <c r="K12" i="7"/>
  <c r="AP11" i="7"/>
  <c r="AN11" i="7"/>
  <c r="AJ11" i="7"/>
  <c r="AH11" i="7"/>
  <c r="AD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A10" i="7"/>
  <c r="W10" i="7"/>
  <c r="X10" i="7" s="1"/>
  <c r="T10" i="7"/>
  <c r="R10" i="7"/>
  <c r="P10" i="7"/>
  <c r="K10" i="7"/>
  <c r="AP9" i="7"/>
  <c r="AN9" i="7"/>
  <c r="AJ9" i="7"/>
  <c r="AH9" i="7"/>
  <c r="AD9" i="7"/>
  <c r="AA9" i="7"/>
  <c r="W9" i="7"/>
  <c r="T9" i="7"/>
  <c r="X9" i="7" s="1"/>
  <c r="R9" i="7"/>
  <c r="P9" i="7"/>
  <c r="K9" i="7"/>
  <c r="AP8" i="7"/>
  <c r="AN8" i="7"/>
  <c r="AJ8" i="7"/>
  <c r="AH8" i="7"/>
  <c r="AD8" i="7"/>
  <c r="AA8" i="7"/>
  <c r="W8" i="7"/>
  <c r="X8" i="7" s="1"/>
  <c r="T8" i="7"/>
  <c r="R8" i="7"/>
  <c r="P8" i="7"/>
  <c r="K8" i="7"/>
  <c r="AP7" i="7"/>
  <c r="AN7" i="7"/>
  <c r="AJ7" i="7"/>
  <c r="AH7" i="7"/>
  <c r="AD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A6" i="7"/>
  <c r="W6" i="7"/>
  <c r="X6" i="7" s="1"/>
  <c r="T6" i="7"/>
  <c r="R6" i="7"/>
  <c r="P6" i="7"/>
  <c r="K6" i="7"/>
  <c r="AP5" i="7"/>
  <c r="AN5" i="7"/>
  <c r="AJ5" i="7"/>
  <c r="AH5" i="7"/>
  <c r="AD5" i="7"/>
  <c r="AA5" i="7"/>
  <c r="W5" i="7"/>
  <c r="T5" i="7"/>
  <c r="X5" i="7" s="1"/>
  <c r="R5" i="7"/>
  <c r="P5" i="7"/>
  <c r="K5" i="7"/>
  <c r="AP4" i="7"/>
  <c r="AN4" i="7"/>
  <c r="AJ4" i="7"/>
  <c r="AH4" i="7"/>
  <c r="AD4" i="7"/>
  <c r="AA4" i="7"/>
  <c r="W4" i="7"/>
  <c r="X4" i="7" s="1"/>
  <c r="T4" i="7"/>
  <c r="R4" i="7"/>
  <c r="P4" i="7"/>
  <c r="K4" i="7"/>
  <c r="AP3" i="7"/>
  <c r="AN3" i="7"/>
  <c r="AJ3" i="7"/>
  <c r="AH3" i="7"/>
  <c r="AD3" i="7"/>
  <c r="AA3" i="7"/>
  <c r="W3" i="7"/>
  <c r="T3" i="7"/>
  <c r="X3" i="7" s="1"/>
  <c r="S3" i="7"/>
  <c r="R3" i="7"/>
  <c r="P3" i="7"/>
  <c r="K3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D7" i="6"/>
  <c r="AD11" i="6"/>
  <c r="AD15" i="6"/>
  <c r="AD19" i="6"/>
  <c r="AD23" i="6"/>
  <c r="AD27" i="6"/>
  <c r="AD31" i="6"/>
  <c r="AD35" i="6"/>
  <c r="AD39" i="6"/>
  <c r="AD43" i="6"/>
  <c r="AD47" i="6"/>
  <c r="AD51" i="6"/>
  <c r="AD55" i="6"/>
  <c r="AD59" i="6"/>
  <c r="AD63" i="6"/>
  <c r="AD67" i="6"/>
  <c r="AD71" i="6"/>
  <c r="AD75" i="6"/>
  <c r="AD79" i="6"/>
  <c r="AD83" i="6"/>
  <c r="AD87" i="6"/>
  <c r="AD91" i="6"/>
  <c r="AD95" i="6"/>
  <c r="AD99" i="6"/>
  <c r="AD103" i="6"/>
  <c r="AD107" i="6"/>
  <c r="AD111" i="6"/>
  <c r="AD115" i="6"/>
  <c r="AD119" i="6"/>
  <c r="AD123" i="6"/>
  <c r="AD127" i="6"/>
  <c r="AD131" i="6"/>
  <c r="AD135" i="6"/>
  <c r="AD139" i="6"/>
  <c r="AD143" i="6"/>
  <c r="AD147" i="6"/>
  <c r="AD151" i="6"/>
  <c r="AD155" i="6"/>
  <c r="AD159" i="6"/>
  <c r="AD163" i="6"/>
  <c r="AD167" i="6"/>
  <c r="AD171" i="6"/>
  <c r="AD175" i="6"/>
  <c r="AD179" i="6"/>
  <c r="AD183" i="6"/>
  <c r="AD187" i="6"/>
  <c r="AD191" i="6"/>
  <c r="AD195" i="6"/>
  <c r="AD199" i="6"/>
  <c r="AD203" i="6"/>
  <c r="AD207" i="6"/>
  <c r="AD211" i="6"/>
  <c r="AD215" i="6"/>
  <c r="AD219" i="6"/>
  <c r="AD223" i="6"/>
  <c r="AD227" i="6"/>
  <c r="AD231" i="6"/>
  <c r="AD235" i="6"/>
  <c r="AD239" i="6"/>
  <c r="AD243" i="6"/>
  <c r="AD247" i="6"/>
  <c r="AD251" i="6"/>
  <c r="AD255" i="6"/>
  <c r="AD259" i="6"/>
  <c r="AD263" i="6"/>
  <c r="AD267" i="6"/>
  <c r="AD271" i="6"/>
  <c r="AD275" i="6"/>
  <c r="AD279" i="6"/>
  <c r="AD283" i="6"/>
  <c r="AD287" i="6"/>
  <c r="AD291" i="6"/>
  <c r="AD295" i="6"/>
  <c r="AD299" i="6"/>
  <c r="AD303" i="6"/>
  <c r="AD307" i="6"/>
  <c r="AD311" i="6"/>
  <c r="AD315" i="6"/>
  <c r="AD319" i="6"/>
  <c r="AD323" i="6"/>
  <c r="AD327" i="6"/>
  <c r="AD331" i="6"/>
  <c r="AD335" i="6"/>
  <c r="AD339" i="6"/>
  <c r="AD343" i="6"/>
  <c r="AD347" i="6"/>
  <c r="AD351" i="6"/>
  <c r="AD355" i="6"/>
  <c r="AD359" i="6"/>
  <c r="AD36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6" i="6"/>
  <c r="S10" i="6"/>
  <c r="S14" i="6"/>
  <c r="S18" i="6"/>
  <c r="S22" i="6"/>
  <c r="S26" i="6"/>
  <c r="S30" i="6"/>
  <c r="S34" i="6"/>
  <c r="S38" i="6"/>
  <c r="S42" i="6"/>
  <c r="S46" i="6"/>
  <c r="S50" i="6"/>
  <c r="S54" i="6"/>
  <c r="S58" i="6"/>
  <c r="S62" i="6"/>
  <c r="S66" i="6"/>
  <c r="S70" i="6"/>
  <c r="S74" i="6"/>
  <c r="S78" i="6"/>
  <c r="S82" i="6"/>
  <c r="S86" i="6"/>
  <c r="S90" i="6"/>
  <c r="S94" i="6"/>
  <c r="S98" i="6"/>
  <c r="S102" i="6"/>
  <c r="S106" i="6"/>
  <c r="S110" i="6"/>
  <c r="S114" i="6"/>
  <c r="S118" i="6"/>
  <c r="S122" i="6"/>
  <c r="S126" i="6"/>
  <c r="S130" i="6"/>
  <c r="S134" i="6"/>
  <c r="S138" i="6"/>
  <c r="S142" i="6"/>
  <c r="S146" i="6"/>
  <c r="S150" i="6"/>
  <c r="S154" i="6"/>
  <c r="S158" i="6"/>
  <c r="S162" i="6"/>
  <c r="S166" i="6"/>
  <c r="S170" i="6"/>
  <c r="S174" i="6"/>
  <c r="S178" i="6"/>
  <c r="S182" i="6"/>
  <c r="S186" i="6"/>
  <c r="S190" i="6"/>
  <c r="S194" i="6"/>
  <c r="S198" i="6"/>
  <c r="S202" i="6"/>
  <c r="S206" i="6"/>
  <c r="S210" i="6"/>
  <c r="S214" i="6"/>
  <c r="S218" i="6"/>
  <c r="S222" i="6"/>
  <c r="S226" i="6"/>
  <c r="S230" i="6"/>
  <c r="S234" i="6"/>
  <c r="S238" i="6"/>
  <c r="S242" i="6"/>
  <c r="S246" i="6"/>
  <c r="S250" i="6"/>
  <c r="S254" i="6"/>
  <c r="S258" i="6"/>
  <c r="S262" i="6"/>
  <c r="S266" i="6"/>
  <c r="S270" i="6"/>
  <c r="S274" i="6"/>
  <c r="S278" i="6"/>
  <c r="S282" i="6"/>
  <c r="S286" i="6"/>
  <c r="S290" i="6"/>
  <c r="S294" i="6"/>
  <c r="S298" i="6"/>
  <c r="S302" i="6"/>
  <c r="S306" i="6"/>
  <c r="S310" i="6"/>
  <c r="S314" i="6"/>
  <c r="S318" i="6"/>
  <c r="S322" i="6"/>
  <c r="S326" i="6"/>
  <c r="S330" i="6"/>
  <c r="S334" i="6"/>
  <c r="S338" i="6"/>
  <c r="S342" i="6"/>
  <c r="S346" i="6"/>
  <c r="S350" i="6"/>
  <c r="S354" i="6"/>
  <c r="S358" i="6"/>
  <c r="S362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S53" i="7" s="1"/>
  <c r="R54" i="6"/>
  <c r="R55" i="6"/>
  <c r="R56" i="6"/>
  <c r="R57" i="6"/>
  <c r="S57" i="7" s="1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P3" i="6"/>
  <c r="P4" i="6"/>
  <c r="P5" i="6"/>
  <c r="S5" i="7" s="1"/>
  <c r="P6" i="6"/>
  <c r="P7" i="6"/>
  <c r="P8" i="6"/>
  <c r="P9" i="6"/>
  <c r="S9" i="7" s="1"/>
  <c r="P10" i="6"/>
  <c r="P11" i="6"/>
  <c r="P12" i="6"/>
  <c r="P13" i="6"/>
  <c r="S13" i="7" s="1"/>
  <c r="P14" i="6"/>
  <c r="P15" i="6"/>
  <c r="S15" i="6" s="1"/>
  <c r="P16" i="6"/>
  <c r="P17" i="6"/>
  <c r="S17" i="7" s="1"/>
  <c r="P18" i="6"/>
  <c r="P19" i="6"/>
  <c r="P20" i="6"/>
  <c r="P21" i="6"/>
  <c r="S21" i="7" s="1"/>
  <c r="P22" i="6"/>
  <c r="P23" i="6"/>
  <c r="S23" i="6" s="1"/>
  <c r="P24" i="6"/>
  <c r="P25" i="6"/>
  <c r="S25" i="7" s="1"/>
  <c r="P26" i="6"/>
  <c r="P27" i="6"/>
  <c r="P28" i="6"/>
  <c r="P29" i="6"/>
  <c r="S29" i="6" s="1"/>
  <c r="P30" i="6"/>
  <c r="P31" i="6"/>
  <c r="S31" i="6" s="1"/>
  <c r="P32" i="6"/>
  <c r="P33" i="6"/>
  <c r="S33" i="7" s="1"/>
  <c r="P34" i="6"/>
  <c r="P35" i="6"/>
  <c r="P36" i="6"/>
  <c r="P37" i="6"/>
  <c r="S37" i="7" s="1"/>
  <c r="P38" i="6"/>
  <c r="P39" i="6"/>
  <c r="P40" i="6"/>
  <c r="P41" i="6"/>
  <c r="S41" i="7" s="1"/>
  <c r="P42" i="6"/>
  <c r="S42" i="7" s="1"/>
  <c r="P43" i="6"/>
  <c r="P44" i="6"/>
  <c r="P45" i="6"/>
  <c r="S45" i="6" s="1"/>
  <c r="P46" i="6"/>
  <c r="P47" i="6"/>
  <c r="P48" i="6"/>
  <c r="P49" i="6"/>
  <c r="P50" i="6"/>
  <c r="P51" i="6"/>
  <c r="P52" i="6"/>
  <c r="P53" i="6"/>
  <c r="S53" i="6" s="1"/>
  <c r="P54" i="6"/>
  <c r="P55" i="6"/>
  <c r="P56" i="6"/>
  <c r="P57" i="6"/>
  <c r="S57" i="6" s="1"/>
  <c r="P58" i="6"/>
  <c r="P59" i="6"/>
  <c r="P60" i="6"/>
  <c r="P61" i="6"/>
  <c r="S61" i="6" s="1"/>
  <c r="P62" i="6"/>
  <c r="P63" i="6"/>
  <c r="P64" i="6"/>
  <c r="P65" i="6"/>
  <c r="S65" i="7" s="1"/>
  <c r="P66" i="6"/>
  <c r="P67" i="6"/>
  <c r="P68" i="6"/>
  <c r="P69" i="6"/>
  <c r="S69" i="6" s="1"/>
  <c r="P70" i="6"/>
  <c r="P71" i="6"/>
  <c r="P72" i="6"/>
  <c r="P73" i="6"/>
  <c r="S73" i="6" s="1"/>
  <c r="P74" i="6"/>
  <c r="P75" i="6"/>
  <c r="P76" i="6"/>
  <c r="P77" i="6"/>
  <c r="S77" i="6" s="1"/>
  <c r="P78" i="6"/>
  <c r="P79" i="6"/>
  <c r="P80" i="6"/>
  <c r="P81" i="6"/>
  <c r="S81" i="7" s="1"/>
  <c r="P82" i="6"/>
  <c r="P83" i="6"/>
  <c r="P84" i="6"/>
  <c r="P85" i="6"/>
  <c r="S85" i="6" s="1"/>
  <c r="P86" i="6"/>
  <c r="P87" i="6"/>
  <c r="P88" i="6"/>
  <c r="P89" i="6"/>
  <c r="S89" i="7" s="1"/>
  <c r="P90" i="6"/>
  <c r="P91" i="6"/>
  <c r="P92" i="6"/>
  <c r="P93" i="6"/>
  <c r="S93" i="6" s="1"/>
  <c r="P94" i="6"/>
  <c r="P95" i="6"/>
  <c r="P96" i="6"/>
  <c r="P97" i="6"/>
  <c r="S97" i="7" s="1"/>
  <c r="P98" i="6"/>
  <c r="P99" i="6"/>
  <c r="P100" i="6"/>
  <c r="P101" i="6"/>
  <c r="S101" i="6" s="1"/>
  <c r="P102" i="6"/>
  <c r="P103" i="6"/>
  <c r="P104" i="6"/>
  <c r="P105" i="6"/>
  <c r="S105" i="7" s="1"/>
  <c r="P106" i="6"/>
  <c r="P107" i="6"/>
  <c r="P108" i="6"/>
  <c r="P109" i="6"/>
  <c r="S109" i="6" s="1"/>
  <c r="P110" i="6"/>
  <c r="P111" i="6"/>
  <c r="P112" i="6"/>
  <c r="P113" i="6"/>
  <c r="P114" i="6"/>
  <c r="P115" i="6"/>
  <c r="P116" i="6"/>
  <c r="P117" i="6"/>
  <c r="S117" i="6" s="1"/>
  <c r="P118" i="6"/>
  <c r="P119" i="6"/>
  <c r="P120" i="6"/>
  <c r="P121" i="6"/>
  <c r="S121" i="7" s="1"/>
  <c r="P122" i="6"/>
  <c r="P123" i="6"/>
  <c r="P124" i="6"/>
  <c r="P125" i="6"/>
  <c r="S125" i="6" s="1"/>
  <c r="P126" i="6"/>
  <c r="P127" i="6"/>
  <c r="P128" i="6"/>
  <c r="P129" i="6"/>
  <c r="S129" i="7" s="1"/>
  <c r="P130" i="6"/>
  <c r="P131" i="6"/>
  <c r="P132" i="6"/>
  <c r="P133" i="6"/>
  <c r="S133" i="6" s="1"/>
  <c r="P134" i="6"/>
  <c r="P135" i="6"/>
  <c r="P136" i="6"/>
  <c r="P137" i="6"/>
  <c r="S137" i="7" s="1"/>
  <c r="P138" i="6"/>
  <c r="P139" i="6"/>
  <c r="P140" i="6"/>
  <c r="P141" i="6"/>
  <c r="S141" i="6" s="1"/>
  <c r="P142" i="6"/>
  <c r="P143" i="6"/>
  <c r="P144" i="6"/>
  <c r="P145" i="6"/>
  <c r="S145" i="7" s="1"/>
  <c r="P146" i="6"/>
  <c r="P147" i="6"/>
  <c r="P148" i="6"/>
  <c r="P149" i="6"/>
  <c r="S149" i="6" s="1"/>
  <c r="P150" i="6"/>
  <c r="P151" i="6"/>
  <c r="P152" i="6"/>
  <c r="P153" i="6"/>
  <c r="S153" i="7" s="1"/>
  <c r="P154" i="6"/>
  <c r="P155" i="6"/>
  <c r="P156" i="6"/>
  <c r="P157" i="6"/>
  <c r="S157" i="6" s="1"/>
  <c r="P158" i="6"/>
  <c r="P159" i="6"/>
  <c r="P160" i="6"/>
  <c r="P161" i="6"/>
  <c r="S161" i="7" s="1"/>
  <c r="P162" i="6"/>
  <c r="P163" i="6"/>
  <c r="P164" i="6"/>
  <c r="P165" i="6"/>
  <c r="S165" i="6" s="1"/>
  <c r="P166" i="6"/>
  <c r="P167" i="6"/>
  <c r="P168" i="6"/>
  <c r="P169" i="6"/>
  <c r="S169" i="7" s="1"/>
  <c r="P170" i="6"/>
  <c r="P171" i="6"/>
  <c r="P172" i="6"/>
  <c r="P173" i="6"/>
  <c r="S173" i="6" s="1"/>
  <c r="P174" i="6"/>
  <c r="P175" i="6"/>
  <c r="P176" i="6"/>
  <c r="P177" i="6"/>
  <c r="P178" i="6"/>
  <c r="P179" i="6"/>
  <c r="P180" i="6"/>
  <c r="P181" i="6"/>
  <c r="S181" i="6" s="1"/>
  <c r="P182" i="6"/>
  <c r="P183" i="6"/>
  <c r="P184" i="6"/>
  <c r="P185" i="6"/>
  <c r="S185" i="7" s="1"/>
  <c r="P186" i="6"/>
  <c r="P187" i="6"/>
  <c r="P188" i="6"/>
  <c r="P189" i="6"/>
  <c r="S189" i="6" s="1"/>
  <c r="P190" i="6"/>
  <c r="P191" i="6"/>
  <c r="P192" i="6"/>
  <c r="P193" i="6"/>
  <c r="S193" i="7" s="1"/>
  <c r="P194" i="6"/>
  <c r="P195" i="6"/>
  <c r="P196" i="6"/>
  <c r="P197" i="6"/>
  <c r="S197" i="6" s="1"/>
  <c r="P198" i="6"/>
  <c r="P199" i="6"/>
  <c r="P200" i="6"/>
  <c r="P201" i="6"/>
  <c r="S201" i="6" s="1"/>
  <c r="P202" i="6"/>
  <c r="P203" i="6"/>
  <c r="P204" i="6"/>
  <c r="P205" i="6"/>
  <c r="S205" i="6" s="1"/>
  <c r="P206" i="6"/>
  <c r="P207" i="6"/>
  <c r="P208" i="6"/>
  <c r="P209" i="6"/>
  <c r="S209" i="7" s="1"/>
  <c r="P210" i="6"/>
  <c r="P211" i="6"/>
  <c r="P212" i="6"/>
  <c r="P213" i="6"/>
  <c r="S213" i="6" s="1"/>
  <c r="P214" i="6"/>
  <c r="P215" i="6"/>
  <c r="P216" i="6"/>
  <c r="P217" i="6"/>
  <c r="S217" i="6" s="1"/>
  <c r="P218" i="6"/>
  <c r="P219" i="6"/>
  <c r="P220" i="6"/>
  <c r="P221" i="6"/>
  <c r="S221" i="6" s="1"/>
  <c r="P222" i="6"/>
  <c r="P223" i="6"/>
  <c r="P224" i="6"/>
  <c r="P225" i="6"/>
  <c r="P226" i="6"/>
  <c r="P227" i="6"/>
  <c r="P228" i="6"/>
  <c r="P229" i="6"/>
  <c r="S229" i="6" s="1"/>
  <c r="P230" i="6"/>
  <c r="P231" i="6"/>
  <c r="P232" i="6"/>
  <c r="P233" i="6"/>
  <c r="S233" i="6" s="1"/>
  <c r="P234" i="6"/>
  <c r="P235" i="6"/>
  <c r="P236" i="6"/>
  <c r="P237" i="6"/>
  <c r="S237" i="6" s="1"/>
  <c r="P238" i="6"/>
  <c r="P239" i="6"/>
  <c r="P240" i="6"/>
  <c r="P241" i="6"/>
  <c r="S241" i="6" s="1"/>
  <c r="P242" i="6"/>
  <c r="P243" i="6"/>
  <c r="P244" i="6"/>
  <c r="P245" i="6"/>
  <c r="S245" i="6" s="1"/>
  <c r="P246" i="6"/>
  <c r="P247" i="6"/>
  <c r="P248" i="6"/>
  <c r="P249" i="6"/>
  <c r="S249" i="6" s="1"/>
  <c r="P250" i="6"/>
  <c r="P251" i="6"/>
  <c r="P252" i="6"/>
  <c r="P253" i="6"/>
  <c r="S253" i="6" s="1"/>
  <c r="P254" i="6"/>
  <c r="P255" i="6"/>
  <c r="P256" i="6"/>
  <c r="P257" i="6"/>
  <c r="S257" i="6" s="1"/>
  <c r="P258" i="6"/>
  <c r="P259" i="6"/>
  <c r="P260" i="6"/>
  <c r="P261" i="6"/>
  <c r="S261" i="6" s="1"/>
  <c r="P262" i="6"/>
  <c r="P263" i="6"/>
  <c r="P264" i="6"/>
  <c r="P265" i="6"/>
  <c r="S265" i="6" s="1"/>
  <c r="P266" i="6"/>
  <c r="P267" i="6"/>
  <c r="P268" i="6"/>
  <c r="P269" i="6"/>
  <c r="S269" i="6" s="1"/>
  <c r="P270" i="6"/>
  <c r="P271" i="6"/>
  <c r="P272" i="6"/>
  <c r="P273" i="6"/>
  <c r="S273" i="6" s="1"/>
  <c r="P274" i="6"/>
  <c r="P275" i="6"/>
  <c r="P276" i="6"/>
  <c r="P277" i="6"/>
  <c r="S277" i="6" s="1"/>
  <c r="P278" i="6"/>
  <c r="P279" i="6"/>
  <c r="P280" i="6"/>
  <c r="P281" i="6"/>
  <c r="S281" i="6" s="1"/>
  <c r="P282" i="6"/>
  <c r="P283" i="6"/>
  <c r="P284" i="6"/>
  <c r="P285" i="6"/>
  <c r="S285" i="6" s="1"/>
  <c r="P286" i="6"/>
  <c r="P287" i="6"/>
  <c r="P288" i="6"/>
  <c r="P289" i="6"/>
  <c r="S289" i="6" s="1"/>
  <c r="P290" i="6"/>
  <c r="P291" i="6"/>
  <c r="P292" i="6"/>
  <c r="P293" i="6"/>
  <c r="S293" i="6" s="1"/>
  <c r="P294" i="6"/>
  <c r="P295" i="6"/>
  <c r="P296" i="6"/>
  <c r="P297" i="6"/>
  <c r="S297" i="6" s="1"/>
  <c r="P298" i="6"/>
  <c r="P299" i="6"/>
  <c r="P300" i="6"/>
  <c r="P301" i="6"/>
  <c r="S301" i="6" s="1"/>
  <c r="P302" i="6"/>
  <c r="P303" i="6"/>
  <c r="P304" i="6"/>
  <c r="P305" i="6"/>
  <c r="S305" i="6" s="1"/>
  <c r="P306" i="6"/>
  <c r="P307" i="6"/>
  <c r="P308" i="6"/>
  <c r="P309" i="6"/>
  <c r="S309" i="6" s="1"/>
  <c r="P310" i="6"/>
  <c r="P311" i="6"/>
  <c r="P312" i="6"/>
  <c r="P313" i="6"/>
  <c r="S313" i="6" s="1"/>
  <c r="P314" i="6"/>
  <c r="P315" i="6"/>
  <c r="P316" i="6"/>
  <c r="P317" i="6"/>
  <c r="S317" i="6" s="1"/>
  <c r="P318" i="6"/>
  <c r="P319" i="6"/>
  <c r="P320" i="6"/>
  <c r="P321" i="6"/>
  <c r="S321" i="6" s="1"/>
  <c r="P322" i="6"/>
  <c r="P323" i="6"/>
  <c r="P324" i="6"/>
  <c r="P325" i="6"/>
  <c r="S325" i="6" s="1"/>
  <c r="P326" i="6"/>
  <c r="P327" i="6"/>
  <c r="P328" i="6"/>
  <c r="P329" i="6"/>
  <c r="S329" i="6" s="1"/>
  <c r="P330" i="6"/>
  <c r="P331" i="6"/>
  <c r="P332" i="6"/>
  <c r="P333" i="6"/>
  <c r="S333" i="6" s="1"/>
  <c r="P334" i="6"/>
  <c r="P335" i="6"/>
  <c r="P336" i="6"/>
  <c r="P337" i="6"/>
  <c r="S337" i="6" s="1"/>
  <c r="P338" i="6"/>
  <c r="P339" i="6"/>
  <c r="P340" i="6"/>
  <c r="P341" i="6"/>
  <c r="S341" i="6" s="1"/>
  <c r="P342" i="6"/>
  <c r="P343" i="6"/>
  <c r="P344" i="6"/>
  <c r="P345" i="6"/>
  <c r="S345" i="6" s="1"/>
  <c r="P346" i="6"/>
  <c r="P347" i="6"/>
  <c r="P348" i="6"/>
  <c r="P349" i="6"/>
  <c r="S349" i="6" s="1"/>
  <c r="P350" i="6"/>
  <c r="P351" i="6"/>
  <c r="P352" i="6"/>
  <c r="P353" i="6"/>
  <c r="S353" i="6" s="1"/>
  <c r="P354" i="6"/>
  <c r="P355" i="6"/>
  <c r="P356" i="6"/>
  <c r="P357" i="6"/>
  <c r="S357" i="6" s="1"/>
  <c r="P358" i="6"/>
  <c r="P359" i="6"/>
  <c r="P360" i="6"/>
  <c r="P361" i="6"/>
  <c r="S361" i="6" s="1"/>
  <c r="P362" i="6"/>
  <c r="P363" i="6"/>
  <c r="P364" i="6"/>
  <c r="P365" i="6"/>
  <c r="S365" i="6" s="1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3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4" i="5"/>
  <c r="AD5" i="5"/>
  <c r="AD6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9" i="8" l="1"/>
  <c r="X19" i="8"/>
  <c r="X80" i="8"/>
  <c r="X137" i="8"/>
  <c r="X199" i="8"/>
  <c r="X208" i="8"/>
  <c r="X215" i="8"/>
  <c r="X224" i="8"/>
  <c r="X231" i="8"/>
  <c r="X239" i="8"/>
  <c r="X247" i="8"/>
  <c r="X255" i="8"/>
  <c r="X263" i="8"/>
  <c r="X271" i="8"/>
  <c r="X279" i="8"/>
  <c r="X287" i="8"/>
  <c r="X295" i="8"/>
  <c r="X303" i="8"/>
  <c r="X311" i="8"/>
  <c r="X319" i="8"/>
  <c r="X327" i="8"/>
  <c r="X335" i="8"/>
  <c r="X343" i="8"/>
  <c r="X351" i="8"/>
  <c r="X17" i="8"/>
  <c r="X25" i="8"/>
  <c r="X41" i="8"/>
  <c r="X43" i="8"/>
  <c r="X189" i="8"/>
  <c r="X193" i="8"/>
  <c r="X212" i="8"/>
  <c r="X228" i="8"/>
  <c r="X237" i="8"/>
  <c r="X245" i="8"/>
  <c r="X261" i="8"/>
  <c r="X269" i="8"/>
  <c r="X293" i="8"/>
  <c r="X301" i="8"/>
  <c r="X325" i="8"/>
  <c r="X333" i="8"/>
  <c r="X5" i="8"/>
  <c r="X13" i="8"/>
  <c r="X15" i="8"/>
  <c r="X23" i="8"/>
  <c r="X31" i="8"/>
  <c r="X39" i="8"/>
  <c r="X83" i="8"/>
  <c r="X87" i="8"/>
  <c r="X91" i="8"/>
  <c r="X95" i="8"/>
  <c r="X99" i="8"/>
  <c r="X103" i="8"/>
  <c r="X107" i="8"/>
  <c r="X111" i="8"/>
  <c r="X115" i="8"/>
  <c r="X119" i="8"/>
  <c r="X123" i="8"/>
  <c r="X131" i="8"/>
  <c r="X135" i="8"/>
  <c r="X200" i="8"/>
  <c r="X207" i="8"/>
  <c r="X216" i="8"/>
  <c r="X223" i="8"/>
  <c r="X235" i="8"/>
  <c r="X243" i="8"/>
  <c r="X251" i="8"/>
  <c r="X259" i="8"/>
  <c r="X267" i="8"/>
  <c r="X275" i="8"/>
  <c r="X283" i="8"/>
  <c r="X291" i="8"/>
  <c r="X299" i="8"/>
  <c r="X307" i="8"/>
  <c r="X315" i="8"/>
  <c r="X323" i="8"/>
  <c r="X331" i="8"/>
  <c r="X339" i="8"/>
  <c r="X347" i="8"/>
  <c r="X355" i="8"/>
  <c r="X363" i="8"/>
  <c r="S360" i="7"/>
  <c r="S360" i="6"/>
  <c r="S348" i="7"/>
  <c r="S348" i="6"/>
  <c r="S336" i="7"/>
  <c r="S336" i="6"/>
  <c r="S324" i="7"/>
  <c r="S324" i="6"/>
  <c r="S312" i="7"/>
  <c r="S312" i="6"/>
  <c r="S300" i="7"/>
  <c r="S300" i="6"/>
  <c r="S288" i="7"/>
  <c r="S288" i="6"/>
  <c r="S280" i="7"/>
  <c r="S280" i="6"/>
  <c r="S276" i="7"/>
  <c r="S276" i="6"/>
  <c r="S272" i="7"/>
  <c r="S272" i="6"/>
  <c r="S264" i="7"/>
  <c r="S264" i="6"/>
  <c r="S256" i="7"/>
  <c r="S256" i="6"/>
  <c r="S252" i="7"/>
  <c r="S252" i="6"/>
  <c r="S248" i="7"/>
  <c r="S248" i="6"/>
  <c r="S244" i="7"/>
  <c r="S244" i="6"/>
  <c r="S240" i="7"/>
  <c r="S240" i="6"/>
  <c r="S236" i="7"/>
  <c r="S236" i="6"/>
  <c r="S232" i="7"/>
  <c r="S232" i="6"/>
  <c r="S228" i="7"/>
  <c r="S228" i="6"/>
  <c r="S224" i="7"/>
  <c r="S224" i="6"/>
  <c r="S220" i="7"/>
  <c r="S220" i="6"/>
  <c r="S216" i="7"/>
  <c r="S216" i="6"/>
  <c r="S212" i="6"/>
  <c r="S212" i="7"/>
  <c r="S208" i="7"/>
  <c r="S208" i="6"/>
  <c r="S204" i="7"/>
  <c r="S204" i="6"/>
  <c r="S200" i="7"/>
  <c r="S200" i="6"/>
  <c r="S196" i="6"/>
  <c r="S196" i="7"/>
  <c r="S192" i="7"/>
  <c r="S192" i="6"/>
  <c r="S188" i="7"/>
  <c r="S188" i="6"/>
  <c r="S184" i="7"/>
  <c r="S184" i="6"/>
  <c r="S180" i="6"/>
  <c r="S180" i="7"/>
  <c r="S176" i="7"/>
  <c r="S176" i="6"/>
  <c r="S172" i="7"/>
  <c r="S172" i="6"/>
  <c r="S168" i="7"/>
  <c r="S168" i="6"/>
  <c r="S164" i="6"/>
  <c r="S164" i="7"/>
  <c r="S160" i="7"/>
  <c r="S160" i="6"/>
  <c r="S156" i="7"/>
  <c r="S156" i="6"/>
  <c r="S152" i="7"/>
  <c r="S152" i="6"/>
  <c r="S148" i="6"/>
  <c r="S148" i="7"/>
  <c r="S144" i="7"/>
  <c r="S144" i="6"/>
  <c r="S140" i="7"/>
  <c r="S140" i="6"/>
  <c r="S136" i="7"/>
  <c r="S136" i="6"/>
  <c r="S132" i="6"/>
  <c r="S132" i="7"/>
  <c r="S128" i="7"/>
  <c r="S128" i="6"/>
  <c r="S124" i="7"/>
  <c r="S124" i="6"/>
  <c r="S120" i="7"/>
  <c r="S120" i="6"/>
  <c r="S116" i="6"/>
  <c r="S116" i="7"/>
  <c r="S112" i="7"/>
  <c r="S112" i="6"/>
  <c r="S108" i="7"/>
  <c r="S108" i="6"/>
  <c r="S104" i="7"/>
  <c r="S104" i="6"/>
  <c r="S100" i="6"/>
  <c r="S100" i="7"/>
  <c r="S96" i="7"/>
  <c r="S96" i="6"/>
  <c r="S92" i="7"/>
  <c r="S92" i="6"/>
  <c r="S88" i="7"/>
  <c r="S88" i="6"/>
  <c r="S84" i="6"/>
  <c r="S84" i="7"/>
  <c r="S80" i="7"/>
  <c r="S80" i="6"/>
  <c r="S76" i="7"/>
  <c r="S76" i="6"/>
  <c r="S72" i="7"/>
  <c r="S72" i="6"/>
  <c r="S68" i="7"/>
  <c r="S68" i="6"/>
  <c r="S64" i="7"/>
  <c r="S64" i="6"/>
  <c r="S60" i="7"/>
  <c r="S60" i="6"/>
  <c r="S56" i="7"/>
  <c r="S56" i="6"/>
  <c r="S52" i="7"/>
  <c r="S52" i="6"/>
  <c r="S48" i="7"/>
  <c r="S48" i="6"/>
  <c r="S44" i="6"/>
  <c r="S44" i="7"/>
  <c r="S40" i="6"/>
  <c r="S40" i="7"/>
  <c r="S36" i="6"/>
  <c r="S32" i="7"/>
  <c r="S32" i="6"/>
  <c r="S28" i="6"/>
  <c r="S28" i="7"/>
  <c r="S24" i="6"/>
  <c r="S24" i="7"/>
  <c r="S20" i="6"/>
  <c r="S20" i="7"/>
  <c r="S16" i="6"/>
  <c r="S16" i="7"/>
  <c r="S12" i="6"/>
  <c r="S12" i="7"/>
  <c r="S8" i="6"/>
  <c r="S8" i="7"/>
  <c r="S4" i="6"/>
  <c r="S4" i="7"/>
  <c r="S356" i="7"/>
  <c r="S356" i="6"/>
  <c r="S344" i="7"/>
  <c r="S344" i="6"/>
  <c r="S332" i="7"/>
  <c r="S332" i="6"/>
  <c r="S320" i="7"/>
  <c r="S320" i="6"/>
  <c r="S308" i="7"/>
  <c r="S308" i="6"/>
  <c r="S296" i="7"/>
  <c r="S296" i="6"/>
  <c r="S284" i="7"/>
  <c r="S284" i="6"/>
  <c r="S260" i="7"/>
  <c r="S260" i="6"/>
  <c r="S36" i="7"/>
  <c r="S364" i="7"/>
  <c r="S364" i="6"/>
  <c r="S352" i="7"/>
  <c r="S352" i="6"/>
  <c r="S340" i="7"/>
  <c r="S340" i="6"/>
  <c r="S328" i="7"/>
  <c r="S328" i="6"/>
  <c r="S316" i="7"/>
  <c r="S316" i="6"/>
  <c r="S304" i="7"/>
  <c r="S304" i="6"/>
  <c r="S292" i="7"/>
  <c r="S292" i="6"/>
  <c r="S268" i="7"/>
  <c r="S268" i="6"/>
  <c r="S363" i="7"/>
  <c r="S359" i="7"/>
  <c r="S355" i="7"/>
  <c r="S351" i="7"/>
  <c r="S347" i="7"/>
  <c r="S343" i="7"/>
  <c r="S339" i="7"/>
  <c r="S335" i="7"/>
  <c r="S331" i="7"/>
  <c r="S327" i="7"/>
  <c r="S323" i="7"/>
  <c r="S319" i="7"/>
  <c r="S315" i="7"/>
  <c r="S311" i="7"/>
  <c r="S307" i="7"/>
  <c r="S303" i="7"/>
  <c r="S299" i="7"/>
  <c r="S295" i="7"/>
  <c r="S291" i="7"/>
  <c r="S287" i="7"/>
  <c r="S283" i="7"/>
  <c r="S279" i="7"/>
  <c r="S275" i="7"/>
  <c r="S267" i="7"/>
  <c r="S259" i="7"/>
  <c r="S251" i="7"/>
  <c r="S243" i="7"/>
  <c r="S235" i="7"/>
  <c r="S227" i="7"/>
  <c r="S211" i="7"/>
  <c r="S207" i="7"/>
  <c r="S203" i="7"/>
  <c r="S195" i="7"/>
  <c r="S191" i="7"/>
  <c r="S187" i="7"/>
  <c r="S183" i="7"/>
  <c r="S179" i="7"/>
  <c r="S175" i="7"/>
  <c r="S171" i="7"/>
  <c r="S167" i="7"/>
  <c r="S163" i="7"/>
  <c r="S159" i="7"/>
  <c r="S155" i="7"/>
  <c r="S151" i="7"/>
  <c r="S147" i="7"/>
  <c r="S143" i="7"/>
  <c r="S139" i="7"/>
  <c r="S135" i="7"/>
  <c r="S131" i="7"/>
  <c r="S127" i="7"/>
  <c r="S123" i="7"/>
  <c r="S119" i="7"/>
  <c r="S115" i="7"/>
  <c r="S111" i="7"/>
  <c r="S107" i="7"/>
  <c r="S103" i="7"/>
  <c r="S99" i="7"/>
  <c r="S95" i="7"/>
  <c r="S91" i="7"/>
  <c r="S87" i="7"/>
  <c r="S83" i="7"/>
  <c r="S75" i="7"/>
  <c r="S67" i="7"/>
  <c r="S55" i="7"/>
  <c r="S51" i="7"/>
  <c r="S35" i="7"/>
  <c r="S225" i="6"/>
  <c r="S209" i="6"/>
  <c r="S193" i="6"/>
  <c r="S185" i="6"/>
  <c r="S177" i="6"/>
  <c r="S169" i="6"/>
  <c r="S161" i="6"/>
  <c r="S153" i="6"/>
  <c r="S145" i="6"/>
  <c r="S137" i="6"/>
  <c r="S129" i="6"/>
  <c r="S121" i="6"/>
  <c r="S113" i="6"/>
  <c r="S105" i="6"/>
  <c r="S97" i="6"/>
  <c r="S89" i="6"/>
  <c r="S81" i="6"/>
  <c r="S65" i="6"/>
  <c r="S49" i="6"/>
  <c r="S41" i="6"/>
  <c r="S37" i="6"/>
  <c r="S33" i="6"/>
  <c r="S25" i="6"/>
  <c r="S21" i="6"/>
  <c r="S17" i="6"/>
  <c r="S13" i="6"/>
  <c r="S9" i="6"/>
  <c r="S5" i="6"/>
  <c r="S49" i="7"/>
  <c r="S54" i="7"/>
  <c r="S63" i="7"/>
  <c r="S71" i="7"/>
  <c r="S79" i="7"/>
  <c r="S202" i="7"/>
  <c r="S223" i="7"/>
  <c r="S255" i="7"/>
  <c r="S278" i="7"/>
  <c r="S310" i="7"/>
  <c r="S342" i="7"/>
  <c r="S362" i="7"/>
  <c r="S354" i="7"/>
  <c r="S346" i="7"/>
  <c r="S338" i="7"/>
  <c r="S330" i="7"/>
  <c r="S322" i="7"/>
  <c r="S314" i="7"/>
  <c r="S306" i="7"/>
  <c r="S298" i="7"/>
  <c r="S290" i="7"/>
  <c r="S282" i="7"/>
  <c r="S274" i="7"/>
  <c r="S270" i="7"/>
  <c r="S266" i="7"/>
  <c r="S262" i="7"/>
  <c r="S258" i="7"/>
  <c r="S254" i="7"/>
  <c r="S250" i="7"/>
  <c r="S246" i="7"/>
  <c r="S242" i="7"/>
  <c r="S238" i="7"/>
  <c r="S234" i="7"/>
  <c r="S230" i="7"/>
  <c r="S226" i="7"/>
  <c r="S222" i="7"/>
  <c r="S218" i="7"/>
  <c r="S214" i="7"/>
  <c r="S210" i="7"/>
  <c r="S206" i="7"/>
  <c r="S198" i="7"/>
  <c r="S194" i="7"/>
  <c r="S190" i="7"/>
  <c r="S186" i="7"/>
  <c r="S182" i="7"/>
  <c r="S178" i="7"/>
  <c r="S174" i="7"/>
  <c r="S170" i="7"/>
  <c r="S166" i="7"/>
  <c r="S162" i="7"/>
  <c r="S158" i="7"/>
  <c r="S154" i="7"/>
  <c r="S150" i="7"/>
  <c r="S146" i="7"/>
  <c r="S142" i="7"/>
  <c r="S138" i="7"/>
  <c r="S134" i="7"/>
  <c r="S130" i="7"/>
  <c r="S126" i="7"/>
  <c r="S122" i="7"/>
  <c r="S118" i="7"/>
  <c r="S114" i="7"/>
  <c r="S110" i="7"/>
  <c r="S106" i="7"/>
  <c r="S102" i="7"/>
  <c r="S98" i="7"/>
  <c r="S94" i="7"/>
  <c r="S90" i="7"/>
  <c r="S86" i="7"/>
  <c r="S82" i="7"/>
  <c r="S78" i="7"/>
  <c r="S70" i="7"/>
  <c r="S62" i="7"/>
  <c r="S58" i="7"/>
  <c r="S2" i="6"/>
  <c r="S30" i="7"/>
  <c r="S34" i="7"/>
  <c r="S38" i="7"/>
  <c r="S46" i="7"/>
  <c r="S50" i="7"/>
  <c r="S59" i="7"/>
  <c r="S231" i="7"/>
  <c r="S263" i="7"/>
  <c r="S286" i="7"/>
  <c r="S318" i="7"/>
  <c r="S350" i="7"/>
  <c r="S365" i="7"/>
  <c r="S361" i="7"/>
  <c r="S357" i="7"/>
  <c r="S353" i="7"/>
  <c r="S349" i="7"/>
  <c r="S345" i="7"/>
  <c r="S341" i="7"/>
  <c r="S337" i="7"/>
  <c r="S333" i="7"/>
  <c r="S329" i="7"/>
  <c r="S325" i="7"/>
  <c r="S321" i="7"/>
  <c r="S317" i="7"/>
  <c r="S313" i="7"/>
  <c r="S309" i="7"/>
  <c r="S305" i="7"/>
  <c r="S301" i="7"/>
  <c r="S297" i="7"/>
  <c r="S293" i="7"/>
  <c r="S289" i="7"/>
  <c r="S285" i="7"/>
  <c r="S281" i="7"/>
  <c r="S277" i="7"/>
  <c r="S273" i="7"/>
  <c r="S269" i="7"/>
  <c r="S265" i="7"/>
  <c r="S261" i="7"/>
  <c r="S257" i="7"/>
  <c r="S253" i="7"/>
  <c r="S249" i="7"/>
  <c r="S245" i="7"/>
  <c r="S241" i="7"/>
  <c r="S237" i="7"/>
  <c r="S233" i="7"/>
  <c r="S229" i="7"/>
  <c r="S225" i="7"/>
  <c r="S221" i="7"/>
  <c r="S217" i="7"/>
  <c r="S213" i="7"/>
  <c r="S205" i="7"/>
  <c r="S201" i="7"/>
  <c r="S197" i="7"/>
  <c r="S189" i="7"/>
  <c r="S181" i="7"/>
  <c r="S173" i="7"/>
  <c r="S165" i="7"/>
  <c r="S157" i="7"/>
  <c r="S149" i="7"/>
  <c r="S141" i="7"/>
  <c r="S133" i="7"/>
  <c r="S125" i="7"/>
  <c r="S117" i="7"/>
  <c r="S109" i="7"/>
  <c r="S101" i="7"/>
  <c r="S93" i="7"/>
  <c r="S85" i="7"/>
  <c r="S77" i="7"/>
  <c r="S69" i="7"/>
  <c r="S61" i="7"/>
  <c r="S45" i="7"/>
  <c r="S29" i="7"/>
  <c r="S363" i="6"/>
  <c r="S359" i="6"/>
  <c r="S355" i="6"/>
  <c r="S351" i="6"/>
  <c r="S347" i="6"/>
  <c r="S343" i="6"/>
  <c r="S339" i="6"/>
  <c r="S335" i="6"/>
  <c r="S331" i="6"/>
  <c r="S327" i="6"/>
  <c r="S323" i="6"/>
  <c r="S319" i="6"/>
  <c r="S315" i="6"/>
  <c r="S311" i="6"/>
  <c r="S307" i="6"/>
  <c r="S303" i="6"/>
  <c r="S299" i="6"/>
  <c r="S295" i="6"/>
  <c r="S291" i="6"/>
  <c r="S287" i="6"/>
  <c r="S283" i="6"/>
  <c r="S279" i="6"/>
  <c r="S275" i="6"/>
  <c r="S271" i="6"/>
  <c r="S267" i="6"/>
  <c r="S263" i="6"/>
  <c r="S259" i="6"/>
  <c r="S255" i="6"/>
  <c r="S251" i="6"/>
  <c r="S247" i="6"/>
  <c r="S243" i="6"/>
  <c r="S239" i="6"/>
  <c r="S235" i="6"/>
  <c r="S231" i="6"/>
  <c r="S227" i="6"/>
  <c r="S223" i="6"/>
  <c r="S219" i="6"/>
  <c r="S215" i="6"/>
  <c r="S211" i="6"/>
  <c r="S207" i="6"/>
  <c r="S203" i="6"/>
  <c r="S199" i="6"/>
  <c r="S195" i="6"/>
  <c r="S191" i="6"/>
  <c r="S187" i="6"/>
  <c r="S183" i="6"/>
  <c r="S179" i="6"/>
  <c r="S175" i="6"/>
  <c r="S171" i="6"/>
  <c r="S167" i="6"/>
  <c r="S163" i="6"/>
  <c r="S159" i="6"/>
  <c r="S155" i="6"/>
  <c r="S151" i="6"/>
  <c r="S147" i="6"/>
  <c r="S143" i="6"/>
  <c r="S139" i="6"/>
  <c r="S135" i="6"/>
  <c r="S131" i="6"/>
  <c r="S127" i="6"/>
  <c r="S123" i="6"/>
  <c r="S119" i="6"/>
  <c r="S115" i="6"/>
  <c r="S111" i="6"/>
  <c r="S107" i="6"/>
  <c r="S103" i="6"/>
  <c r="S99" i="6"/>
  <c r="S95" i="6"/>
  <c r="S91" i="6"/>
  <c r="S87" i="6"/>
  <c r="S83" i="6"/>
  <c r="S79" i="6"/>
  <c r="S75" i="6"/>
  <c r="S71" i="6"/>
  <c r="S67" i="6"/>
  <c r="S63" i="6"/>
  <c r="S59" i="6"/>
  <c r="S55" i="6"/>
  <c r="S51" i="6"/>
  <c r="S47" i="6"/>
  <c r="S43" i="6"/>
  <c r="S39" i="6"/>
  <c r="S35" i="6"/>
  <c r="S27" i="6"/>
  <c r="S19" i="6"/>
  <c r="S11" i="6"/>
  <c r="S7" i="6"/>
  <c r="S3" i="6"/>
  <c r="S6" i="7"/>
  <c r="S10" i="7"/>
  <c r="S14" i="7"/>
  <c r="S18" i="7"/>
  <c r="S22" i="7"/>
  <c r="S26" i="7"/>
  <c r="S73" i="7"/>
  <c r="S113" i="7"/>
  <c r="S177" i="7"/>
  <c r="S199" i="7"/>
  <c r="S215" i="7"/>
  <c r="S239" i="7"/>
  <c r="S271" i="7"/>
  <c r="S294" i="7"/>
  <c r="S326" i="7"/>
  <c r="S358" i="7"/>
  <c r="X46" i="8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J2" i="1" l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64" i="4" l="1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365" i="4"/>
  <c r="AD361" i="4"/>
  <c r="AD357" i="4"/>
  <c r="AD353" i="4"/>
  <c r="AD349" i="4"/>
  <c r="AD345" i="4"/>
  <c r="AD341" i="4"/>
  <c r="AD337" i="4"/>
  <c r="AD333" i="4"/>
  <c r="AD329" i="4"/>
  <c r="AD325" i="4"/>
  <c r="AD321" i="4"/>
  <c r="AD317" i="4"/>
  <c r="AD313" i="4"/>
  <c r="AD309" i="4"/>
  <c r="AD300" i="4"/>
  <c r="AD296" i="4"/>
  <c r="AD292" i="4"/>
  <c r="AD288" i="4"/>
  <c r="AD284" i="4"/>
  <c r="AD280" i="4"/>
  <c r="AD276" i="4"/>
  <c r="AD298" i="4"/>
  <c r="AD294" i="4"/>
  <c r="AD290" i="4"/>
  <c r="AD286" i="4"/>
  <c r="AD282" i="4"/>
  <c r="AD278" i="4"/>
  <c r="AD305" i="4"/>
  <c r="AD301" i="4"/>
  <c r="AD297" i="4"/>
  <c r="AD293" i="4"/>
  <c r="AD289" i="4"/>
  <c r="AD285" i="4"/>
  <c r="AD281" i="4"/>
  <c r="AD277" i="4"/>
  <c r="AD272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X363" i="4"/>
  <c r="AD363" i="4"/>
  <c r="X359" i="4"/>
  <c r="AD359" i="4"/>
  <c r="X355" i="4"/>
  <c r="AD355" i="4"/>
  <c r="X351" i="4"/>
  <c r="AD351" i="4"/>
  <c r="X347" i="4"/>
  <c r="AD347" i="4"/>
  <c r="X343" i="4"/>
  <c r="AD343" i="4"/>
  <c r="X339" i="4"/>
  <c r="AD339" i="4"/>
  <c r="X335" i="4"/>
  <c r="AD335" i="4"/>
  <c r="X331" i="4"/>
  <c r="AD331" i="4"/>
  <c r="X327" i="4"/>
  <c r="AD327" i="4"/>
  <c r="X323" i="4"/>
  <c r="AD323" i="4"/>
  <c r="X319" i="4"/>
  <c r="AD319" i="4"/>
  <c r="X315" i="4"/>
  <c r="AD315" i="4"/>
  <c r="X311" i="4"/>
  <c r="AD311" i="4"/>
  <c r="X307" i="4"/>
  <c r="AD307" i="4"/>
  <c r="X303" i="4"/>
  <c r="AD303" i="4"/>
  <c r="X299" i="4"/>
  <c r="AD299" i="4"/>
  <c r="X295" i="4"/>
  <c r="AD295" i="4"/>
  <c r="X291" i="4"/>
  <c r="AD291" i="4"/>
  <c r="X287" i="4"/>
  <c r="AD287" i="4"/>
  <c r="X283" i="4"/>
  <c r="AD283" i="4"/>
  <c r="X279" i="4"/>
  <c r="AD279" i="4"/>
  <c r="X275" i="4"/>
  <c r="AD275" i="4"/>
  <c r="X271" i="4"/>
  <c r="AD271" i="4"/>
  <c r="AD267" i="4"/>
  <c r="AD263" i="4"/>
  <c r="AD259" i="4"/>
  <c r="AD255" i="4"/>
  <c r="AD251" i="4"/>
  <c r="AD247" i="4"/>
  <c r="AD243" i="4"/>
  <c r="AD239" i="4"/>
  <c r="AD235" i="4"/>
  <c r="AD231" i="4"/>
  <c r="AD227" i="4"/>
  <c r="AD223" i="4"/>
  <c r="AD219" i="4"/>
  <c r="AD215" i="4"/>
  <c r="AD211" i="4"/>
  <c r="AD207" i="4"/>
  <c r="AD203" i="4"/>
  <c r="AD199" i="4"/>
  <c r="AD195" i="4"/>
  <c r="AD191" i="4"/>
  <c r="AD187" i="4"/>
  <c r="AD183" i="4"/>
  <c r="AD179" i="4"/>
  <c r="AD175" i="4"/>
  <c r="AD171" i="4"/>
  <c r="AD167" i="4"/>
  <c r="AD163" i="4"/>
  <c r="AD159" i="4"/>
  <c r="AD155" i="4"/>
  <c r="AD151" i="4"/>
  <c r="AD147" i="4"/>
  <c r="AD143" i="4"/>
  <c r="AD139" i="4"/>
  <c r="AD135" i="4"/>
  <c r="AD131" i="4"/>
  <c r="AD127" i="4"/>
  <c r="AD123" i="4"/>
  <c r="AD119" i="4"/>
  <c r="AD115" i="4"/>
  <c r="AD111" i="4"/>
  <c r="AD107" i="4"/>
  <c r="AD103" i="4"/>
  <c r="AD99" i="4"/>
  <c r="AD95" i="4"/>
  <c r="AD91" i="4"/>
  <c r="AD87" i="4"/>
  <c r="AD83" i="4"/>
  <c r="AD79" i="4"/>
  <c r="AD75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4" i="4"/>
  <c r="AD274" i="4"/>
  <c r="AD270" i="4"/>
  <c r="AD266" i="4"/>
  <c r="AD262" i="4"/>
  <c r="AD258" i="4"/>
  <c r="AD254" i="4"/>
  <c r="AD250" i="4"/>
  <c r="AD246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3" i="4"/>
  <c r="AD273" i="4"/>
  <c r="AD269" i="4"/>
  <c r="AD265" i="4"/>
  <c r="AD261" i="4"/>
  <c r="AD257" i="4"/>
  <c r="AD253" i="4"/>
  <c r="AD249" i="4"/>
  <c r="AD245" i="4"/>
  <c r="AD241" i="4"/>
  <c r="AD237" i="4"/>
  <c r="AD233" i="4"/>
  <c r="AD229" i="4"/>
  <c r="AD225" i="4"/>
  <c r="AD221" i="4"/>
  <c r="AD217" i="4"/>
  <c r="AD213" i="4"/>
  <c r="AD209" i="4"/>
  <c r="AD205" i="4"/>
  <c r="AD201" i="4"/>
  <c r="AD197" i="4"/>
  <c r="AD193" i="4"/>
  <c r="AD189" i="4"/>
  <c r="AD185" i="4"/>
  <c r="AD181" i="4"/>
  <c r="AD177" i="4"/>
  <c r="AD173" i="4"/>
  <c r="AD169" i="4"/>
  <c r="AD165" i="4"/>
  <c r="AD161" i="4"/>
  <c r="AD157" i="4"/>
  <c r="AD153" i="4"/>
  <c r="AD149" i="4"/>
  <c r="AD145" i="4"/>
  <c r="AD141" i="4"/>
  <c r="AD137" i="4"/>
  <c r="AD133" i="4"/>
  <c r="AD129" i="4"/>
  <c r="AD125" i="4"/>
  <c r="AD121" i="4"/>
  <c r="AD117" i="4"/>
  <c r="AD113" i="4"/>
  <c r="AD109" i="4"/>
  <c r="AD105" i="4"/>
  <c r="AD101" i="4"/>
  <c r="AD97" i="4"/>
  <c r="AD93" i="4"/>
  <c r="AD89" i="4"/>
  <c r="AD85" i="4"/>
  <c r="AD81" i="4"/>
  <c r="AD77" i="4"/>
  <c r="AD73" i="4"/>
  <c r="AD69" i="4"/>
  <c r="AD65" i="4"/>
  <c r="AD61" i="4"/>
  <c r="AD57" i="4"/>
  <c r="AD53" i="4"/>
  <c r="AD49" i="4"/>
  <c r="AD45" i="4"/>
  <c r="AD41" i="4"/>
  <c r="AD37" i="4"/>
  <c r="AD33" i="4"/>
  <c r="AD29" i="4"/>
  <c r="AD25" i="4"/>
  <c r="AD21" i="4"/>
  <c r="AD17" i="4"/>
  <c r="AD13" i="4"/>
  <c r="AD9" i="4"/>
  <c r="AD5" i="4"/>
  <c r="AD2" i="4"/>
  <c r="S298" i="4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<sst xmlns="http://schemas.openxmlformats.org/spreadsheetml/2006/main" count="252" uniqueCount="42">
  <si>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</si>
  <si>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+ A/S) AJD</t>
  </si>
  <si>
    <t>(RES. LEVEL) AJD</t>
  </si>
  <si>
    <t>(RESV. STORGE) AJD</t>
  </si>
  <si>
    <t>(STORGE DIFF.) AJD</t>
  </si>
  <si>
    <t>( S/S+T/B)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</si>
  <si>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</si>
  <si>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</si>
  <si>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</si>
  <si>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</si>
  <si>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</si>
  <si>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</si>
  <si>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</si>
  <si>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(S/S+TB)SAR</t>
  </si>
  <si>
    <t xml:space="preserve"> % ECV SAR</t>
  </si>
  <si>
    <t>(RES. LEVEL) BER</t>
  </si>
  <si>
    <t xml:space="preserve"> (RESV. STORGE) BER</t>
  </si>
  <si>
    <t xml:space="preserve">(RES. LEVEL) SER </t>
  </si>
  <si>
    <t xml:space="preserve"> (RESV. STORGE) SER</t>
  </si>
  <si>
    <t>T/B-CON.</t>
  </si>
  <si>
    <t>(S/S-T/B)-CON.</t>
  </si>
  <si>
    <t>BER_STORG. * 10</t>
  </si>
  <si>
    <t>AJD_Evaporation</t>
  </si>
  <si>
    <t>A/B_CON.</t>
  </si>
  <si>
    <t>AJD_STORG.* 10</t>
  </si>
  <si>
    <t>SER_STORG.* 10</t>
  </si>
  <si>
    <t>SER_Evap.</t>
  </si>
  <si>
    <t>A/S_CON.</t>
  </si>
  <si>
    <t>SER_IN</t>
  </si>
  <si>
    <t>BER_Evap.</t>
  </si>
  <si>
    <t>BER_IN</t>
  </si>
  <si>
    <t>AJD_LOSES</t>
  </si>
  <si>
    <t>(IN-OUT) AJD</t>
  </si>
  <si>
    <t>(A/S) AJD</t>
  </si>
  <si>
    <t>(A/B) AJD</t>
  </si>
  <si>
    <t>(T/B) AJD</t>
  </si>
  <si>
    <t>S/S_CON.</t>
  </si>
  <si>
    <t>(S/S) AJD</t>
  </si>
  <si>
    <t>ECV (bar) SAR</t>
  </si>
  <si>
    <t>TAZ/SAR</t>
  </si>
  <si>
    <t xml:space="preserve"> (S/S) SAR</t>
  </si>
  <si>
    <t xml:space="preserve"> (T/B) 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</si>
</sst>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1" fontId="8" fillId="0" borderId="1" xfId="1" applyNumberFormat="1" applyFont="1" applyFill="1" applyBorder="1" applyAlignment="1">
      <alignment horizontal="center" vertical="center" readingOrder="1"/>
    </xf>
    <xf numFmtId="2" fontId="13" fillId="9" borderId="1" xfId="1" applyNumberFormat="1" applyFont="1" applyFill="1" applyBorder="1" applyAlignment="1">
      <alignment horizontal="center" vertical="center"/>
    </xf>
    <xf numFmtId="3" fontId="5" fillId="0" borderId="1" xfId="0" applyNumberFormat="1" applyFont="1" applyFill="1" applyBorder="1" applyAlignment="1">
      <alignment horizont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1" xfId="1" applyNumberFormat="1" applyFont="1" applyFill="1" applyBorder="1" applyAlignment="1">
      <alignment horizontal="center" vertical="center" readingOrder="1"/>
    </xf>
    <xf numFmtId="3" fontId="4" fillId="0" borderId="2" xfId="1" applyNumberFormat="1" applyFont="1" applyFill="1" applyBorder="1" applyAlignment="1">
      <alignment horizontal="center"/>
    </xf>
    <xf numFmtId="3" fontId="4" fillId="0" borderId="2" xfId="1" applyNumberFormat="1" applyFont="1" applyFill="1" applyBorder="1" applyAlignment="1">
      <alignment horizontal="center" vertical="center" readingOrder="1"/>
    </xf>
    <xf numFmtId="3" fontId="4" fillId="0" borderId="3" xfId="1" applyNumberFormat="1" applyFont="1" applyFill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2413A63-9B5B-4C03-854D-8740117DD516}"/>
  </cellStyles>
  <dxfs count="431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85" headerRowBorderDxfId="384" tableBorderDxfId="383">
  <autoFilter ref="A1:AP366" xr:uid="{6E0F382F-67F4-430A-B384-60EF2F5DAC6C}"/>
  <tableColumns count="42">
    <tableColumn id="1" xr3:uid="{66387CC3-B100-4304-9559-EC4889828ABF}" name=" اليوم" dataDxfId="382" totalsRowDxfId="51" dataCellStyle="Normal 2"/>
    <tableColumn id="19" xr3:uid="{73AF8B15-15C2-4FFB-A4CF-2BCAC459190F}" name="آبار منتجة TAZ" dataDxfId="381" totalsRowDxfId="50" dataCellStyle="Normal 2"/>
    <tableColumn id="18" xr3:uid="{09325C69-53C6-4F31-92E3-CB300328F497}" name="الانتاج 1000 (م3) TAZ" dataDxfId="380" totalsRowDxfId="49" dataCellStyle="Normal 2"/>
    <tableColumn id="17" xr3:uid="{16B8FBF1-029A-469C-B1C6-F69C4C4F7CAF}" name="آبار عاملة TAZ" dataDxfId="379" totalsRowDxfId="48" dataCellStyle="Normal 2"/>
    <tableColumn id="16" xr3:uid="{00C28CE5-3D49-4F68-919C-13DF472F495C}" name="آبار احتياطية" dataDxfId="378" totalsRowDxfId="47" dataCellStyle="Normal 2"/>
    <tableColumn id="26" xr3:uid="{EE5DB7EC-D86D-49D5-9B77-054A5BABE28D}" name="آبار منتجة SAR" dataDxfId="377" totalsRowDxfId="46" dataCellStyle="Normal 2"/>
    <tableColumn id="25" xr3:uid="{7C165A36-3712-4689-8755-F53FE5B20ABE}" name="إنتاج آبار  SAR" dataDxfId="376" totalsRowDxfId="45" dataCellStyle="Normal 2"/>
    <tableColumn id="24" xr3:uid="{83A6BBA7-380F-4769-8A42-D4612297E2AD}" name="آبار احتياطية  SAR" dataDxfId="375" totalsRowDxfId="44" dataCellStyle="Normal 2"/>
    <tableColumn id="8" xr3:uid="{AE56A76F-A0FC-417D-B2B6-D4978FB39679}" name=" (T/B) SAR" dataDxfId="374" totalsRowDxfId="43" dataCellStyle="Normal 2"/>
    <tableColumn id="22" xr3:uid="{DAAA7253-4784-4BE7-9784-7EAE5F799701}" name=" (S/S) SAR" dataDxfId="373" totalsRowDxfId="42" dataCellStyle="Normal 2"/>
    <tableColumn id="38" xr3:uid="{C17DFA01-DEFE-472D-8A02-0FF9206A0813}" name="(S/S+TB)SAR" dataDxfId="372" totalsRowDxfId="41" dataCellStyle="Normal 2">
      <calculatedColumnFormula>TABL12[[#This Row],[ (T/B) SAR]]+TABL12[[#This Row],[ (S/S) SAR]]</calculatedColumnFormula>
    </tableColumn>
    <tableColumn id="21" xr3:uid="{5D7F5EC4-F3B5-4C0B-BE31-CED811786A9A}" name="TAZ/SAR" dataDxfId="371" totalsRowDxfId="40" dataCellStyle="Normal 2"/>
    <tableColumn id="20" xr3:uid="{3C1CE13A-ADA2-44D8-9F21-A08E5B226D9C}" name=" % ECV SAR" dataDxfId="370" totalsRowDxfId="39" dataCellStyle="Normal 2"/>
    <tableColumn id="6" xr3:uid="{4245025E-4350-4CF5-A37D-368EE5D4C6E6}" name="ECV (bar) SAR" dataDxfId="369" totalsRowDxfId="38" dataCellStyle="Normal 2"/>
    <tableColumn id="3" xr3:uid="{E521A30B-C651-47F3-8C9F-1644C97E55AB}" name="(S/S) AJD" dataDxfId="368" totalsRowDxfId="37"/>
    <tableColumn id="36" xr3:uid="{2E18B7B5-1893-4635-84E6-AAD5165E012D}" name="S/S_CON." dataDxfId="367" totalsRowDxfId="36">
      <calculatedColumnFormula>TABL12[[#This Row],[ (S/S) SAR]]-TABL12[[#This Row],[(S/S) AJD]]</calculatedColumnFormula>
    </tableColumn>
    <tableColumn id="5" xr3:uid="{2560A6DC-201C-40F0-8F48-5525F036384E}" name="(T/B) AJD" dataDxfId="366" totalsRowDxfId="35"/>
    <tableColumn id="35" xr3:uid="{CCC03B44-9E2F-4CD1-89EE-A2983AA131AC}" name="T/B-CON." dataDxfId="365" totalsRowDxfId="34">
      <calculatedColumnFormula>TABL12[[#This Row],[ (T/B) SAR]]-TABL12[[#This Row],[(T/B) AJD]]</calculatedColumnFormula>
    </tableColumn>
    <tableColumn id="37" xr3:uid="{11AB6075-5F47-4BB0-9025-D8BC15EDE0E8}" name="(S/S-T/B)-CON." dataDxfId="364" totalsRowDxfId="33">
      <calculatedColumnFormula>TABL12[[#This Row],[S/S_CON.]]+TABL12[[#This Row],[T/B-CON.]]</calculatedColumnFormula>
    </tableColumn>
    <tableColumn id="13" xr3:uid="{19EB6091-9975-4502-8119-B7C9AD981DD0}" name="( S/S+T/B) AJD" dataDxfId="363" totalsRowDxfId="32">
      <calculatedColumnFormula>O2+Q2</calculatedColumnFormula>
    </tableColumn>
    <tableColumn id="7" xr3:uid="{FE67C820-40E0-442E-9E31-856C32A508B6}" name="(A/B) AJD" dataDxfId="362" totalsRowDxfId="31"/>
    <tableColumn id="9" xr3:uid="{D5679418-BA27-4A9E-9F79-B5750AE87354}" name="(A/S) AJD" dataDxfId="361" totalsRowDxfId="30"/>
    <tableColumn id="14" xr3:uid="{3D7832B3-0EBF-4C36-9589-8817B10DB712}" name="(A/B + A/S) AJD" dataDxfId="360" totalsRowDxfId="29">
      <calculatedColumnFormula>U2+V2</calculatedColumnFormula>
    </tableColumn>
    <tableColumn id="15" xr3:uid="{9DF00D84-966C-444D-B303-1741455D7F9D}" name="(IN-OUT) AJD" dataDxfId="359" totalsRowDxfId="28">
      <calculatedColumnFormula>T2-W2</calculatedColumnFormula>
    </tableColumn>
    <tableColumn id="10" xr3:uid="{F816C09C-6DAC-44D6-8748-76EA15069B1B}" name="(RES. LEVEL) AJD" dataDxfId="358" totalsRowDxfId="27"/>
    <tableColumn id="11" xr3:uid="{00C5DB16-3CE7-43C0-85AC-3A94F1DF93AB}" name="(RESV. STORGE) AJD" dataDxfId="357" totalsRowDxfId="26"/>
    <tableColumn id="40" xr3:uid="{3BB612D7-93EF-4EAC-AE56-DDA1277F66BC}" name="AJD_STORG.* 10" dataDxfId="356" totalsRowDxfId="25">
      <calculatedColumnFormula>TABL12[[#This Row],[(RESV. STORGE) AJD]]/10</calculatedColumnFormula>
    </tableColumn>
    <tableColumn id="4" xr3:uid="{15D5ED16-E158-4BC3-B9EB-7F0B835A68C3}" name="(STORGE DIFF.) AJD" dataDxfId="355" totalsRowDxfId="24"/>
    <tableColumn id="12" xr3:uid="{1995E128-14C8-4F8F-908D-D03A5E8655DC}" name="AJD_Evaporation" dataDxfId="354" totalsRowDxfId="23" dataCellStyle="Normal 2">
      <calculatedColumnFormula>(Z2-Z1)/1000</calculatedColumnFormula>
    </tableColumn>
    <tableColumn id="39" xr3:uid="{E732E22F-62E8-4E58-A573-7DF93813B1E1}" name="AJD_LOSES" dataDxfId="353" totalsRowDxfId="22">
      <calculatedColumnFormula>TABL12[[#This Row],[( S/S+T/B) AJD]]-(TABL12[[#This Row],[(A/B + A/S) AJD]]+TABL12[[#This Row],[(STORGE DIFF.) AJD]]+(TABL12[[#This Row],[AJD_Evaporation]]))</calculatedColumnFormula>
    </tableColumn>
    <tableColumn id="30" xr3:uid="{B8A4B6D6-AD45-4CC9-87FA-F1BA2E37ACCA}" name="BER_IN" dataDxfId="352" totalsRowDxfId="21"/>
    <tableColumn id="31" xr3:uid="{55F50B2A-C1E1-433E-9815-41A6E80E52CD}" name="(RES. LEVEL) BER" dataDxfId="351" totalsRowDxfId="20"/>
    <tableColumn id="28" xr3:uid="{2651ABE7-B931-449C-B6AE-ACC17C319D95}" name=" (RESV. STORGE) BER" dataDxfId="350" totalsRowDxfId="19"/>
    <tableColumn id="41" xr3:uid="{E68DD80B-5F75-4484-AE22-A4DBB5C3D9D7}" name="BER_STORG. * 10" dataDxfId="349" totalsRowDxfId="18">
      <calculatedColumnFormula>TABL12[[#This Row],[ (RESV. STORGE) BER]]/10</calculatedColumnFormula>
    </tableColumn>
    <tableColumn id="29" xr3:uid="{72C12724-11AC-42CC-A11D-EFF1C3F9C26F}" name="BER_Evap." dataDxfId="348" totalsRowDxfId="17"/>
    <tableColumn id="34" xr3:uid="{6D25E223-64FE-4345-BF75-4C64F7653DD7}" name="A/B_CON." totalsRowFunction="custom" dataDxfId="347" totalsRowDxfId="16">
      <calculatedColumnFormula>TABL12[[#This Row],[(A/B) AJD]]-TABL12[[#This Row],[BER_IN]]</calculatedColumnFormula>
      <totalsRowFormula>SUBTOTAL(109,TABL12[] TABL12[A/B_CON.] )</totalsRowFormula>
    </tableColumn>
    <tableColumn id="32" xr3:uid="{C187EA93-4FB1-495F-84A8-14D93A6A1E3E}" name="SER_IN" dataDxfId="346" totalsRowDxfId="15"/>
    <tableColumn id="33" xr3:uid="{4E73E2C8-F54D-4138-8186-189B1AB2FC67}" name="(RES. LEVEL) SER " dataDxfId="345" totalsRowDxfId="14"/>
    <tableColumn id="27" xr3:uid="{078E4705-C3C5-46D2-9B78-A05F1D915B91}" name=" (RESV. STORGE) SER" dataDxfId="344" totalsRowDxfId="13"/>
    <tableColumn id="42" xr3:uid="{67E01307-DE8B-4AEB-9752-499927A54124}" name="SER_STORG.* 10" dataDxfId="343" totalsRowDxfId="12">
      <calculatedColumnFormula>TABL12[[#This Row],[ (RESV. STORGE) SER]]/10</calculatedColumnFormula>
    </tableColumn>
    <tableColumn id="2" xr3:uid="{E2C3B7C8-2EF3-47A2-B8EC-2DE7243E9A49}" name="SER_Evap." dataDxfId="342" totalsRowDxfId="11"/>
    <tableColumn id="23" xr3:uid="{BC79413F-8931-48D4-A08F-5DEBEF496FAE}" name="A/S_CON." dataDxfId="341" totalsRowDxfId="1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40" headerRowBorderDxfId="339" tableBorderDxfId="338">
  <autoFilter ref="A1:AP366" xr:uid="{C2A051BE-B5E3-493B-964B-8205F3177506}"/>
  <tableColumns count="42">
    <tableColumn id="1" xr3:uid="{F2C94FEB-A00A-4D88-9DB9-A505F694326E}" name=" اليوم" dataDxfId="330" totalsRowDxfId="290" dataCellStyle="Normal 2"/>
    <tableColumn id="19" xr3:uid="{68DB4C1E-A17C-490E-9705-B462F20FB2F5}" name="آبار منتجة TAZ" dataDxfId="329" totalsRowDxfId="289" dataCellStyle="Normal 2"/>
    <tableColumn id="18" xr3:uid="{E796FBBC-59BD-4C13-A0B4-3F479BF911CC}" name="الانتاج 1000 (م3) TAZ" dataDxfId="328" totalsRowDxfId="288" dataCellStyle="Normal 2"/>
    <tableColumn id="17" xr3:uid="{C89E9AFB-A295-4B42-8D04-66D22406019A}" name="آبار عاملة TAZ" dataDxfId="327" totalsRowDxfId="287" dataCellStyle="Normal 2"/>
    <tableColumn id="16" xr3:uid="{CCAB6794-76BB-4656-8BFD-720321A160A1}" name="آبار احتياطية" dataDxfId="326" totalsRowDxfId="286" dataCellStyle="Normal 2"/>
    <tableColumn id="26" xr3:uid="{B93CAD1F-9F70-4073-BA5B-9A25C7E0773A}" name="آبار منتجة SAR" dataDxfId="325" totalsRowDxfId="285" dataCellStyle="Normal 2"/>
    <tableColumn id="25" xr3:uid="{843065C2-FA24-4EBC-946C-017549EDBE73}" name="إنتاج آبار  SAR" dataDxfId="324" totalsRowDxfId="284" dataCellStyle="Normal 2"/>
    <tableColumn id="24" xr3:uid="{72E79D2B-11DD-4F09-9A98-C3DC5E961080}" name="آبار احتياطية  SAR" dataDxfId="323" totalsRowDxfId="283" dataCellStyle="Normal 2">
      <calculatedColumnFormula>103-F2</calculatedColumnFormula>
    </tableColumn>
    <tableColumn id="8" xr3:uid="{32ADAB80-0731-4497-9C74-B767F325E7AA}" name=" (T/B) SAR" dataDxfId="322" totalsRowDxfId="282" dataCellStyle="Normal 2"/>
    <tableColumn id="22" xr3:uid="{D6CA7FCA-765E-4E81-A162-4CD8BB0D7043}" name=" (S/S) SAR" dataDxfId="321" totalsRowDxfId="281" dataCellStyle="Normal 2"/>
    <tableColumn id="38" xr3:uid="{33C2CB21-9229-4243-ADAE-776B8647DFD1}" name="(S/S+TB)SAR" dataDxfId="320" totalsRowDxfId="280" dataCellStyle="Normal 2">
      <calculatedColumnFormula>TABL123[[#This Row],[ (T/B) SAR]]+TABL123[[#This Row],[ (S/S) SAR]]</calculatedColumnFormula>
    </tableColumn>
    <tableColumn id="21" xr3:uid="{5084FB58-C82F-41E5-A2B2-15A7632A1BEA}" name="TAZ/SAR" dataDxfId="319" totalsRowDxfId="279" dataCellStyle="Normal 2"/>
    <tableColumn id="20" xr3:uid="{66436F12-F860-44EF-B3A6-FFD54DC8AFC8}" name=" % ECV SAR" dataDxfId="318" totalsRowDxfId="278" dataCellStyle="Normal 2"/>
    <tableColumn id="6" xr3:uid="{4438EA12-D59A-4F0A-AA36-C59397D029D5}" name="ECV (bar) SAR" dataDxfId="317" totalsRowDxfId="277" dataCellStyle="Normal 2"/>
    <tableColumn id="3" xr3:uid="{5C7CE9FC-7273-4F20-97D1-277D70176732}" name="(S/S) AJD" dataDxfId="316" totalsRowDxfId="276"/>
    <tableColumn id="36" xr3:uid="{6672827C-38A3-4694-A87C-BC06C39D02A5}" name="S/S_CON." dataDxfId="315" totalsRowDxfId="275">
      <calculatedColumnFormula>TABL123[[#This Row],[ (S/S) SAR]]-TABL123[[#This Row],[(S/S) AJD]]</calculatedColumnFormula>
    </tableColumn>
    <tableColumn id="5" xr3:uid="{DF02E977-976C-497A-90D6-F963B833E43A}" name="(T/B) AJD" dataDxfId="314" totalsRowDxfId="274"/>
    <tableColumn id="35" xr3:uid="{EA1BE12C-3660-4876-BFF2-4646FCDB4BA4}" name="T/B-CON." dataDxfId="313" totalsRowDxfId="273">
      <calculatedColumnFormula>TABL123[[#This Row],[ (T/B) SAR]]-TABL123[[#This Row],[(T/B) AJD]]</calculatedColumnFormula>
    </tableColumn>
    <tableColumn id="37" xr3:uid="{CD73554D-A9F7-4280-84E5-B46659328447}" name="(S/S-T/B)-CON." dataDxfId="312" totalsRowDxfId="272">
      <calculatedColumnFormula>TABL123[[#This Row],[T/B-CON.]]+TABL123[[#This Row],[S/S_CON.]]</calculatedColumnFormula>
    </tableColumn>
    <tableColumn id="13" xr3:uid="{01AE2A1C-21BD-46A6-A4AA-D88652C86F49}" name="( S/S+T/B) AJD" dataDxfId="311" totalsRowDxfId="271">
      <calculatedColumnFormula>TABL123[[#This Row],[(S/S) AJD]]+TABL123[[#This Row],[(T/B) AJD]]</calculatedColumnFormula>
    </tableColumn>
    <tableColumn id="7" xr3:uid="{21BC058B-8A61-431E-BCD6-7FDA77C9E7C5}" name="(A/B) AJD" dataDxfId="310" totalsRowDxfId="270"/>
    <tableColumn id="9" xr3:uid="{E4125AA8-4C18-482A-92C7-44662200A444}" name="(A/S) AJD" dataDxfId="309" totalsRowDxfId="269"/>
    <tableColumn id="14" xr3:uid="{A5BCC66E-3B62-4C06-92B8-78FF88D4151A}" name="(A/B + A/S) AJD" dataDxfId="308" totalsRowDxfId="268">
      <calculatedColumnFormula>TABL123[[#This Row],[(A/B) AJD]]+TABL123[[#This Row],[(A/S) AJD]]</calculatedColumnFormula>
    </tableColumn>
    <tableColumn id="15" xr3:uid="{3BBEAFA6-6146-471B-A18A-86F379088B70}" name="(IN-OUT) AJD" dataDxfId="307" totalsRowDxfId="267">
      <calculatedColumnFormula>TABL123[[#This Row],[( S/S+T/B) AJD]]-TABL123[[#This Row],[(A/B + A/S) AJD]]</calculatedColumnFormula>
    </tableColumn>
    <tableColumn id="10" xr3:uid="{876922B5-A4E9-45ED-86BF-10C757F7DE2A}" name="(RES. LEVEL) AJD" dataDxfId="306" totalsRowDxfId="266"/>
    <tableColumn id="11" xr3:uid="{2F9A8435-0058-45F7-AA38-B4B4E3E3322D}" name="(RESV. STORGE) AJD" dataDxfId="305" totalsRowDxfId="265"/>
    <tableColumn id="40" xr3:uid="{F87A19EF-5769-4625-AC0A-777F3AC43946}" name="AJD_STORG.* 10" dataDxfId="304" totalsRowDxfId="264" dataCellStyle="Normal 2">
      <calculatedColumnFormula>TABL123[[#This Row],[(RESV. STORGE) AJD]]/10</calculatedColumnFormula>
    </tableColumn>
    <tableColumn id="4" xr3:uid="{F15E20D7-B8EF-4163-9E31-6D3BF77A73A3}" name="(STORGE DIFF.) AJD" dataDxfId="303" totalsRowDxfId="263"/>
    <tableColumn id="12" xr3:uid="{BC2F8435-ACF2-46F4-8794-4AC9C2B6C9E9}" name="AJD_Evaporation" dataDxfId="302" totalsRowDxfId="262" dataCellStyle="Normal 2"/>
    <tableColumn id="39" xr3:uid="{FCD950FB-697C-49D6-8E16-0E7ECE2CAB54}" name="AJD_LOSES" dataDxfId="301" totalsRowDxfId="261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8CFBC8C8-233F-4A7C-8008-ADE64EB24554}" name="BER_IN" dataDxfId="300" totalsRowDxfId="260"/>
    <tableColumn id="31" xr3:uid="{5D2F464C-C9F4-4576-8552-66822FE5010C}" name="(RES. LEVEL) BER" dataDxfId="299" totalsRowDxfId="259"/>
    <tableColumn id="28" xr3:uid="{79AC9202-E111-492A-A1C7-C20EAB7DB475}" name=" (RESV. STORGE) BER" dataDxfId="298" totalsRowDxfId="258"/>
    <tableColumn id="29" xr3:uid="{0D3228DA-C740-4CD4-8142-FA2E5314F93F}" name="BER_STORG. * 10" dataDxfId="297" totalsRowDxfId="257"/>
    <tableColumn id="34" xr3:uid="{5733C1F9-D466-469C-ABB3-E7F7DB0EE0F1}" name="BER_Evap." dataDxfId="296" totalsRowDxfId="256"/>
    <tableColumn id="32" xr3:uid="{4CE1412A-4E2F-44FE-A87E-085A0A9129ED}" name="A/B_CON." dataDxfId="295" totalsRowDxfId="255">
      <calculatedColumnFormula>TABL123[[#This Row],[(A/B) AJD]]-TABL123[[#This Row],[BER_IN]]</calculatedColumnFormula>
    </tableColumn>
    <tableColumn id="33" xr3:uid="{2395CD46-6205-4986-BD68-620680EE6F2E}" name="SER_IN" dataDxfId="294" totalsRowDxfId="254"/>
    <tableColumn id="27" xr3:uid="{3AEA8C61-AA99-45B5-9461-2FF3EDCC8EA9}" name="(RES. LEVEL) SER " dataDxfId="293" totalsRowDxfId="253"/>
    <tableColumn id="2" xr3:uid="{7A48A26A-7876-4082-9402-59ED4782C9D4}" name=" (RESV. STORGE) SER" dataDxfId="292" totalsRowDxfId="252" dataCellStyle="Normal 2"/>
    <tableColumn id="23" xr3:uid="{CDFEC5F7-08FE-41DC-8D56-FDC100C5A4D5}" name="SER_STORG.* 10" dataDxfId="291" totalsRowDxfId="251" dataCellStyle="Normal 2">
      <calculatedColumnFormula>TABL123[[#This Row],[ (RESV. STORGE) SER]]/10</calculatedColumnFormula>
    </tableColumn>
    <tableColumn id="42" xr3:uid="{BEA2B6C9-A747-4952-BA2D-D4DE723F4074}" name="SER_Evap." dataDxfId="337"/>
    <tableColumn id="43" xr3:uid="{B393EE02-A71B-4CC5-BB4E-081FA4FD0162}" name="A/S_CON." dataDxfId="336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430" headerRowBorderDxfId="429" tableBorderDxfId="428">
  <autoFilter ref="A1:AP366" xr:uid="{5FCB9D25-BF41-4AB4-98FB-CE010629717D}"/>
  <tableColumns count="42">
    <tableColumn id="1" xr3:uid="{CF2CC824-BD23-4EED-93E0-3B9E45F278EC}" name=" اليوم" dataDxfId="427" totalsRowDxfId="250" dataCellStyle="Normal 2"/>
    <tableColumn id="19" xr3:uid="{11FDAE88-09F6-4E94-8617-B2BA9147CD51}" name="آبار منتجة TAZ" dataDxfId="426" totalsRowDxfId="249" dataCellStyle="Normal 2"/>
    <tableColumn id="18" xr3:uid="{076C74DF-4714-4AD5-8210-E3B3407FBA13}" name="الانتاج 1000 (م3) TAZ" dataDxfId="425" totalsRowDxfId="248" dataCellStyle="Normal 2"/>
    <tableColumn id="17" xr3:uid="{C7220FDF-726E-40FC-99CD-A67D880F1387}" name="آبار عاملة TAZ" dataDxfId="424" totalsRowDxfId="247" dataCellStyle="Normal 2"/>
    <tableColumn id="16" xr3:uid="{DC504DC8-6426-4941-99CB-73AC50EFF406}" name="آبار احتياطية" dataDxfId="423" totalsRowDxfId="246" dataCellStyle="Normal 2"/>
    <tableColumn id="26" xr3:uid="{FF8B3ED8-B830-4308-B6C8-CB915A8ED015}" name="آبار منتجة SAR" dataDxfId="422" totalsRowDxfId="245" dataCellStyle="Normal 2"/>
    <tableColumn id="25" xr3:uid="{FA3000E5-6566-416F-921D-1508B5FB714F}" name="إنتاج آبار  SAR" dataDxfId="421" totalsRowDxfId="244" dataCellStyle="Normal 2"/>
    <tableColumn id="24" xr3:uid="{0AD83C01-DEC0-4843-A2F7-84F74F81F9CC}" name="آبار احتياطية  SAR" dataDxfId="420" totalsRowDxfId="243" dataCellStyle="Normal 2">
      <calculatedColumnFormula>103-F2</calculatedColumnFormula>
    </tableColumn>
    <tableColumn id="8" xr3:uid="{7253E698-DAEB-48C5-A750-7FE54CB2AA8A}" name=" (T/B) SAR" dataDxfId="419" totalsRowDxfId="242" dataCellStyle="Normal 2"/>
    <tableColumn id="22" xr3:uid="{876E68A1-B3C2-447A-AB99-8D4E310E232B}" name=" (S/S) SAR" dataDxfId="418" totalsRowDxfId="241" dataCellStyle="Normal 2"/>
    <tableColumn id="38" xr3:uid="{453CB68D-B69C-4F00-BDB3-40499D0BFC97}" name="(S/S+TB)SAR" dataDxfId="417" totalsRowDxfId="240" dataCellStyle="Normal 2">
      <calculatedColumnFormula>TABL1234[[#This Row],[ (T/B) SAR]]+TABL1234[[#This Row],[ (S/S) SAR]]</calculatedColumnFormula>
    </tableColumn>
    <tableColumn id="21" xr3:uid="{272404DA-C793-4A72-B0CB-0EB75185F322}" name="TAZ/SAR" dataDxfId="416" totalsRowDxfId="239" dataCellStyle="Normal 2"/>
    <tableColumn id="20" xr3:uid="{E1B79B18-AF6A-4A21-A847-69543D5853D3}" name=" % ECV SAR" dataDxfId="415" totalsRowDxfId="238" dataCellStyle="Normal 2"/>
    <tableColumn id="6" xr3:uid="{563D8C0C-0449-4C27-8802-1597757EAD90}" name="ECV (bar) SAR" dataDxfId="414" totalsRowDxfId="237" dataCellStyle="Normal 2"/>
    <tableColumn id="3" xr3:uid="{F8817DDA-13BF-41EE-A4AB-3E28920DA12E}" name="(S/S) AJD" dataDxfId="413" totalsRowDxfId="236"/>
    <tableColumn id="36" xr3:uid="{1AEC5609-B8DD-415A-B860-5CA0A2B19CE9}" name="S/S_CON." dataDxfId="412" totalsRowDxfId="235">
      <calculatedColumnFormula>TABL1234[[#This Row],[ (S/S) SAR]]-TABL1234[[#This Row],[(S/S) AJD]]</calculatedColumnFormula>
    </tableColumn>
    <tableColumn id="5" xr3:uid="{479D7584-5FE3-471E-B7AD-E43FC1963CC2}" name="(T/B) AJD" dataDxfId="411" totalsRowDxfId="234"/>
    <tableColumn id="35" xr3:uid="{A8D868F1-5EFC-4A0C-9EDC-13DB03872867}" name="T/B-CON." dataDxfId="410" totalsRowDxfId="233">
      <calculatedColumnFormula>TABL1234[[#This Row],[ (T/B) SAR]]-TABL1234[[#This Row],[(T/B) AJD]]</calculatedColumnFormula>
    </tableColumn>
    <tableColumn id="37" xr3:uid="{AA566E6C-9D8D-4B70-B216-3F23038B5006}" name="(S/S-T/B)-CON." dataDxfId="409" totalsRowDxfId="232">
      <calculatedColumnFormula>TABL1234[[#This Row],[T/B-CON.]]+TABL1234[[#This Row],[S/S_CON.]]</calculatedColumnFormula>
    </tableColumn>
    <tableColumn id="13" xr3:uid="{5DED3E6B-48E1-4C56-9CED-69CF638DBC14}" name="( S/S+T/B) AJD" dataDxfId="408" totalsRowDxfId="231">
      <calculatedColumnFormula>TABL1234[[#This Row],[(S/S) AJD]]+TABL1234[[#This Row],[(T/B) AJD]]</calculatedColumnFormula>
    </tableColumn>
    <tableColumn id="7" xr3:uid="{2F33E916-32B0-4678-8AF4-810EB069F853}" name="(A/B) AJD" dataDxfId="407" totalsRowDxfId="230"/>
    <tableColumn id="9" xr3:uid="{FE3BEA3B-570A-4810-85AD-CA10BE4443F4}" name="(A/S) AJD" dataDxfId="406" totalsRowDxfId="229"/>
    <tableColumn id="14" xr3:uid="{C6961044-444C-4633-81B0-E220652A0956}" name="(A/B + A/S) AJD" dataDxfId="405" totalsRowDxfId="228">
      <calculatedColumnFormula>TABL1234[[#This Row],[(A/B) AJD]]+TABL1234[[#This Row],[(A/S) AJD]]</calculatedColumnFormula>
    </tableColumn>
    <tableColumn id="15" xr3:uid="{084A6C51-A878-48CC-8273-CFCD05C0A26F}" name="(IN-OUT) AJD" dataDxfId="404" totalsRowDxfId="227">
      <calculatedColumnFormula>TABL1234[[#This Row],[( S/S+T/B) AJD]]-TABL1234[[#This Row],[(A/B + A/S) AJD]]</calculatedColumnFormula>
    </tableColumn>
    <tableColumn id="10" xr3:uid="{00FDC030-FCB6-400F-BDC0-59478D75D7A6}" name="(RES. LEVEL) AJD" dataDxfId="403" totalsRowDxfId="226"/>
    <tableColumn id="11" xr3:uid="{75090017-34DE-44D2-BD87-EF83DB956968}" name="(RESV. STORGE) AJD" dataDxfId="402" totalsRowDxfId="225"/>
    <tableColumn id="40" xr3:uid="{DF1E881D-1F9A-435B-BA4E-D02A45A7E3F5}" name="AJD_STORG.* 10" dataDxfId="401" totalsRowDxfId="224" dataCellStyle="Normal 2">
      <calculatedColumnFormula>TABL1234[[#This Row],[(RESV. STORGE) AJD]]/10</calculatedColumnFormula>
    </tableColumn>
    <tableColumn id="4" xr3:uid="{2B5AF874-2B4A-4BF8-9FF3-43DDA618D54F}" name="(STORGE DIFF.) AJD" dataDxfId="400" totalsRowDxfId="223">
      <calculatedColumnFormula>(TABL123[[#This Row],[(RESV. STORGE) AJD]]-500797)/1000</calculatedColumnFormula>
    </tableColumn>
    <tableColumn id="12" xr3:uid="{F362C966-6D40-4FD8-BEB9-91AD30F56531}" name="AJD_Evaporation" dataDxfId="399" totalsRowDxfId="222" dataCellStyle="Normal 2"/>
    <tableColumn id="39" xr3:uid="{F6CC0FCA-E331-472D-B69B-B56A51958C65}" name="AJD_LOSES" dataDxfId="398" totalsRowDxfId="221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CBA7638F-53DA-4308-98C2-D8502C62FE53}" name="BER_IN" dataDxfId="397" totalsRowDxfId="220"/>
    <tableColumn id="31" xr3:uid="{6A01F181-E82D-4F2D-86AB-EDF51D7FA079}" name="(RES. LEVEL) BER" dataDxfId="396" totalsRowDxfId="219"/>
    <tableColumn id="28" xr3:uid="{FE95C7D8-F5FD-4278-BB5F-1F990B036A22}" name=" (RESV. STORGE) BER" dataDxfId="395" totalsRowDxfId="218"/>
    <tableColumn id="29" xr3:uid="{1BBABB8C-A2C2-442C-B886-2D89A404BDEB}" name="BER_STORG. * 10" dataDxfId="394" totalsRowDxfId="217"/>
    <tableColumn id="34" xr3:uid="{332C7D2C-C6A3-4A26-8AC2-FCD8106086E6}" name="BER_Evap." dataDxfId="393" totalsRowDxfId="216"/>
    <tableColumn id="32" xr3:uid="{C96F884E-1EEB-4DF2-9AA4-149162914A89}" name="A/B_CON." dataDxfId="392" totalsRowDxfId="215">
      <calculatedColumnFormula>TABL1234[[#This Row],[(A/B) AJD]]-TABL1234[[#This Row],[BER_IN]]</calculatedColumnFormula>
    </tableColumn>
    <tableColumn id="33" xr3:uid="{617EB27D-221C-4A84-8637-DB1B7E5C8E4C}" name="SER_IN" dataDxfId="391" totalsRowDxfId="214"/>
    <tableColumn id="27" xr3:uid="{F00A2A8B-D14F-4358-8227-4F0CF59784C3}" name="(RES. LEVEL) SER " dataDxfId="390" totalsRowDxfId="213"/>
    <tableColumn id="2" xr3:uid="{838E1437-DDEE-489A-9F90-354DE69A5FBD}" name=" (RESV. STORGE) SER" dataDxfId="389" totalsRowDxfId="212" dataCellStyle="Normal 2"/>
    <tableColumn id="23" xr3:uid="{09A5AB44-BC9D-4BE3-B380-C113AD5BED90}" name="SER_STORG.* 10" dataDxfId="388" totalsRowDxfId="211" dataCellStyle="Normal 2">
      <calculatedColumnFormula>TABL1234[[#This Row],[ (RESV. STORGE) SER]]/10</calculatedColumnFormula>
    </tableColumn>
    <tableColumn id="41" xr3:uid="{E4770EDE-8ED4-4463-B885-7849D12BD6A0}" name="SER_Evap." dataDxfId="387"/>
    <tableColumn id="42" xr3:uid="{EFDA9A53-0CFE-4CCE-95F2-20AE62E22C56}" name="A/S_CON." dataDxfId="386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8" totalsRowCount="1" headerRowDxfId="335" headerRowBorderDxfId="334" tableBorderDxfId="333">
  <autoFilter ref="A1:AP367" xr:uid="{E27AB35F-C506-4638-82E0-C9375E719914}"/>
  <tableColumns count="42">
    <tableColumn id="1" xr3:uid="{02DACF0D-7EB8-407A-B9F7-7C2292288349}" name=" اليوم" dataDxfId="210" totalsRowDxfId="170" dataCellStyle="Normal 2"/>
    <tableColumn id="19" xr3:uid="{43E17B12-9F51-4E38-809C-0DC2FB9D2198}" name="آبار منتجة TAZ" dataDxfId="209" totalsRowDxfId="169" dataCellStyle="Normal 2"/>
    <tableColumn id="18" xr3:uid="{AE342FC5-E6EF-41F4-A320-A8389AD104C8}" name="الانتاج 1000 (م3) TAZ" dataDxfId="208" totalsRowDxfId="168" dataCellStyle="Normal 2"/>
    <tableColumn id="17" xr3:uid="{B3C5CB3A-D0F1-49AC-B037-6C320FADF260}" name="آبار عاملة TAZ" dataDxfId="207" totalsRowDxfId="167" dataCellStyle="Normal 2"/>
    <tableColumn id="16" xr3:uid="{B716E35D-9012-40EA-AC38-60E9F6339C0D}" name="آبار احتياطية" dataDxfId="206" totalsRowDxfId="166" dataCellStyle="Normal 2"/>
    <tableColumn id="26" xr3:uid="{BEC03712-E2DC-4DF5-9B30-7E545FD4FB18}" name="آبار منتجة SAR" dataDxfId="205" totalsRowDxfId="165" dataCellStyle="Normal 2"/>
    <tableColumn id="25" xr3:uid="{5D056D5F-DD4D-4B13-9030-D38421746905}" name="إنتاج آبار  SAR" dataDxfId="204" totalsRowDxfId="164" dataCellStyle="Normal 2"/>
    <tableColumn id="24" xr3:uid="{E0F5724B-8BCB-47AC-BCF7-0DBD0CF9C33E}" name="آبار احتياطية  SAR" dataDxfId="203" totalsRowDxfId="163" dataCellStyle="Normal 2"/>
    <tableColumn id="8" xr3:uid="{61D18039-EDAC-4612-86A4-AFF23A4064AC}" name=" (T/B) SAR" dataDxfId="202" totalsRowDxfId="162" dataCellStyle="Normal 2"/>
    <tableColumn id="22" xr3:uid="{2C3F81BA-C095-49B2-BF14-75F548667ECB}" name=" (S/S) SAR" dataDxfId="201" totalsRowDxfId="161" dataCellStyle="Normal 2"/>
    <tableColumn id="38" xr3:uid="{1679208C-75B3-4E3C-A4D6-0EECE2F8E911}" name="(S/S+TB)SAR" dataDxfId="200" totalsRowDxfId="160" dataCellStyle="Normal 2">
      <calculatedColumnFormula>TABL12345[[#This Row],[ (T/B) SAR]]+TABL12345[[#This Row],[ (S/S) SAR]]</calculatedColumnFormula>
    </tableColumn>
    <tableColumn id="21" xr3:uid="{D2194429-B14F-4E7B-97D2-E7110F4C07FC}" name="TAZ/SAR" dataDxfId="199" totalsRowDxfId="159" dataCellStyle="Normal 2"/>
    <tableColumn id="20" xr3:uid="{35B39C80-C517-4DB5-B3E6-2C24ACD3BA7C}" name=" % ECV SAR" dataDxfId="198" totalsRowDxfId="158" dataCellStyle="Normal 2"/>
    <tableColumn id="6" xr3:uid="{22D7E0F8-B392-42D3-806C-5E133C18B9F0}" name="ECV (bar) SAR" dataDxfId="197" totalsRowDxfId="157" dataCellStyle="Normal 2"/>
    <tableColumn id="3" xr3:uid="{3907C5E1-E143-4AF6-8647-6264088EB00F}" name="(S/S) AJD" dataDxfId="196" totalsRowDxfId="156"/>
    <tableColumn id="36" xr3:uid="{1631F47D-658D-4528-AA1F-B9937050D436}" name="S/S_CON." dataDxfId="195" totalsRowDxfId="155">
      <calculatedColumnFormula>TABL12345[[#This Row],[ (S/S) SAR]]-TABL12345[[#This Row],[(S/S) AJD]]</calculatedColumnFormula>
    </tableColumn>
    <tableColumn id="5" xr3:uid="{D53678E2-A269-4C4F-8B0A-9BAE8FA907ED}" name="(T/B) AJD" dataDxfId="194" totalsRowDxfId="154"/>
    <tableColumn id="35" xr3:uid="{5D374896-D11B-4B17-A855-150CE88C0760}" name="T/B-CON." dataDxfId="193" totalsRowDxfId="153">
      <calculatedColumnFormula>TABL12345[[#This Row],[ (T/B) SAR]]-TABL12345[[#This Row],[(T/B) AJD]]</calculatedColumnFormula>
    </tableColumn>
    <tableColumn id="37" xr3:uid="{09D6D753-1A3C-4535-BA78-4BF8327D882B}" name="(S/S-T/B)-CON." dataDxfId="192" totalsRowDxfId="152">
      <calculatedColumnFormula>TABL12345[[#This Row],[S/S_CON.]]+TABL12345[[#This Row],[T/B-CON.]]</calculatedColumnFormula>
    </tableColumn>
    <tableColumn id="13" xr3:uid="{C58643E7-024E-443D-83D0-9EB1C639B54D}" name="( S/S+T/B) AJD" dataDxfId="191" totalsRowDxfId="151">
      <calculatedColumnFormula>O2+Q2</calculatedColumnFormula>
    </tableColumn>
    <tableColumn id="7" xr3:uid="{78547799-DE98-4575-BA47-DD3795A95957}" name="(A/B) AJD" dataDxfId="190" totalsRowDxfId="150"/>
    <tableColumn id="9" xr3:uid="{07CD512D-7DBD-4DD8-A984-F7676F67A268}" name="(A/S) AJD" dataDxfId="189" totalsRowDxfId="149"/>
    <tableColumn id="14" xr3:uid="{0213E337-B3B2-47BB-B8E3-6770CDF25454}" name="(A/B + A/S) AJD" dataDxfId="188" totalsRowDxfId="148">
      <calculatedColumnFormula>U2+V2</calculatedColumnFormula>
    </tableColumn>
    <tableColumn id="15" xr3:uid="{84EC5F01-D93C-4CD0-894A-EF313BB95D21}" name="(IN-OUT) AJD" dataDxfId="187" totalsRowDxfId="147">
      <calculatedColumnFormula>T2-W2</calculatedColumnFormula>
    </tableColumn>
    <tableColumn id="10" xr3:uid="{0BD7EC09-04AD-4217-9B85-C8B6B7E453F7}" name="(RES. LEVEL) AJD" dataDxfId="186" totalsRowDxfId="146"/>
    <tableColumn id="11" xr3:uid="{E3E279F5-1486-4471-939B-55F7B0DA545B}" name="(RESV. STORGE) AJD" dataDxfId="185" totalsRowDxfId="145"/>
    <tableColumn id="40" xr3:uid="{AF2423A7-B305-48AC-A45C-F40DDE6E1EDC}" name="AJD_STORG.* 10" dataDxfId="184" totalsRowDxfId="144" dataCellStyle="Normal 2">
      <calculatedColumnFormula>TABL12345[[#This Row],[(RESV. STORGE) AJD]]/10</calculatedColumnFormula>
    </tableColumn>
    <tableColumn id="4" xr3:uid="{349662B3-3FED-4026-98BD-67FC3B66D23C}" name="(STORGE DIFF.) AJD" dataDxfId="183" totalsRowDxfId="143"/>
    <tableColumn id="12" xr3:uid="{852CAD1E-93C7-4B16-AA21-29103890C024}" name="AJD_Evaporation" dataDxfId="182" totalsRowDxfId="142" dataCellStyle="Normal 2"/>
    <tableColumn id="39" xr3:uid="{E8544CA2-A272-4E28-9BF8-A6613CA962F9}" name="AJD_LOSES" dataDxfId="181" totalsRowDxfId="141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D5ED7AC2-6D51-4E79-8A60-BA6A9C05CE5E}" name="BER_IN" dataDxfId="180" totalsRowDxfId="140"/>
    <tableColumn id="31" xr3:uid="{6AB09860-41B2-43B9-9D14-E120039D4952}" name="(RES. LEVEL) BER" dataDxfId="179" totalsRowDxfId="139"/>
    <tableColumn id="28" xr3:uid="{49154F88-FC89-408C-8485-83AC6DB6FE9D}" name=" (RESV. STORGE) BER" dataDxfId="178" totalsRowDxfId="138"/>
    <tableColumn id="29" xr3:uid="{57AD5D30-9B52-48CE-81E9-4506CB0FF416}" name="BER_STORG. * 10" dataDxfId="177" totalsRowDxfId="137">
      <calculatedColumnFormula>TABL12345[[#This Row],[ (RESV. STORGE) BER]]/10</calculatedColumnFormula>
    </tableColumn>
    <tableColumn id="34" xr3:uid="{03FFF891-77B0-43E4-9D01-7AA2BB5AEA1B}" name="BER_Evap." dataDxfId="176" totalsRowDxfId="136"/>
    <tableColumn id="32" xr3:uid="{03EB162E-C5F0-4278-B7BA-4E7D6BDCA6AC}" name="A/B_CON." dataDxfId="175" totalsRowDxfId="135">
      <calculatedColumnFormula>TABL12345[[#This Row],[(A/B) AJD]]-TABL12345[[#This Row],[BER_IN]]</calculatedColumnFormula>
    </tableColumn>
    <tableColumn id="33" xr3:uid="{A605DDD5-2F17-45B7-899A-FD1B18D252A5}" name="SER_IN" dataDxfId="174" totalsRowDxfId="134"/>
    <tableColumn id="27" xr3:uid="{8EAA7A02-F906-476E-939D-D3BC9104B7ED}" name="(RES. LEVEL) SER " dataDxfId="173" totalsRowDxfId="133"/>
    <tableColumn id="2" xr3:uid="{8AA4184C-E831-4C5F-85E8-3E83C570A450}" name=" (RESV. STORGE) SER" dataDxfId="172" totalsRowDxfId="132" dataCellStyle="Normal 2"/>
    <tableColumn id="23" xr3:uid="{A3F2F42E-A42B-4160-AB32-0553ADC6D120}" name="SER_STORG.* 10" dataDxfId="171" totalsRowDxfId="131" dataCellStyle="Normal 2">
      <calculatedColumnFormula>TABL12345[[#This Row],[ (RESV. STORGE) SER]]/10</calculatedColumnFormula>
    </tableColumn>
    <tableColumn id="41" xr3:uid="{9BF764BC-F0F0-4E32-9F3F-BA2F58E16484}" name="SER_Evap." dataDxfId="332"/>
    <tableColumn id="42" xr3:uid="{569575F4-872C-43F8-A630-9E5D78196769}" name="A/S_CON." dataDxfId="331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BACDC3-6B9F-46A5-BC1B-B801DD8411EE}" name="Table5" displayName="Table5" ref="A1:AP366" totalsRowShown="0" headerRowDxfId="87" headerRowBorderDxfId="129" tableBorderDxfId="130">
  <autoFilter ref="A1:AP366" xr:uid="{13BACDC3-6B9F-46A5-BC1B-B801DD8411EE}"/>
  <tableColumns count="42">
    <tableColumn id="1" xr3:uid="{BE423D5E-E6FB-4E6D-BCAD-7FC56E9D7B02}" name=" اليوم" dataDxfId="128" dataCellStyle="Normal 2"/>
    <tableColumn id="2" xr3:uid="{EA1FF18F-9EDC-4384-9C7E-EB8A47EB7DDA}" name="آبار منتجة TAZ" dataDxfId="127"/>
    <tableColumn id="3" xr3:uid="{6BF8AAEB-C1D9-4A92-B828-C393EB4401A8}" name="الانتاج 1000 (م3) TAZ" dataDxfId="126"/>
    <tableColumn id="4" xr3:uid="{5046DA03-05C8-4B4E-A035-2DD4AE7B3620}" name="آبار عاملة TAZ" dataDxfId="125"/>
    <tableColumn id="5" xr3:uid="{D4629C44-2DD7-45DB-954F-F8B968AA523F}" name="آبار احتياطية" dataDxfId="124"/>
    <tableColumn id="6" xr3:uid="{F59EEF52-C21B-4920-905A-8949F9668D9E}" name="آبار منتجة SAR" dataDxfId="123"/>
    <tableColumn id="7" xr3:uid="{A39CA2C1-642F-4573-9B2F-45BC7CE9C33B}" name="إنتاج آبار  SAR" dataDxfId="122"/>
    <tableColumn id="8" xr3:uid="{21877EC5-207C-4D9D-8DF8-3C8F34AA3C66}" name="آبار احتياطية  SAR" dataDxfId="121"/>
    <tableColumn id="9" xr3:uid="{90539B6A-E430-4933-90B4-AD130179647E}" name=" (T/B) SAR" dataDxfId="120"/>
    <tableColumn id="10" xr3:uid="{6A053E26-9716-4BA7-91E5-2B7966FE67DB}" name=" (S/S) SAR" dataDxfId="119"/>
    <tableColumn id="11" xr3:uid="{2724EB01-3231-47C3-910F-D6D679DB713E}" name="(S/S+TB)SAR" dataDxfId="118" dataCellStyle="Normal 2">
      <calculatedColumnFormula>TABL12345[[#This Row],[ (T/B) SAR]]+TABL12345[[#This Row],[ (S/S) SAR]]</calculatedColumnFormula>
    </tableColumn>
    <tableColumn id="12" xr3:uid="{A907CC27-018B-47C7-919E-6B4433B8B6B7}" name="TAZ/SAR" dataDxfId="117"/>
    <tableColumn id="13" xr3:uid="{7B3C5A08-EF0C-40A5-B84A-473CCCB8F6AA}" name=" % ECV SAR" dataDxfId="116"/>
    <tableColumn id="14" xr3:uid="{C6AAED5C-454E-47EF-A703-EE7252268710}" name="ECV (bar) SAR" dataDxfId="115"/>
    <tableColumn id="15" xr3:uid="{443B29AE-30E7-4E43-9A02-3519E70590D6}" name="(S/S) AJD" dataDxfId="114"/>
    <tableColumn id="16" xr3:uid="{3089CC45-FAB6-4089-A47F-7809E5791F0E}" name="S/S_CON." dataDxfId="113">
      <calculatedColumnFormula>TABL12345[[#This Row],[ (S/S) SAR]]-TABL12345[[#This Row],[(S/S) AJD]]</calculatedColumnFormula>
    </tableColumn>
    <tableColumn id="17" xr3:uid="{3C21E3CA-B318-4FCE-A058-81EA0774935F}" name="(T/B) AJD" dataDxfId="112"/>
    <tableColumn id="18" xr3:uid="{44743DE8-C60A-437C-91E6-6D1F9B88689D}" name="T/B-CON." dataDxfId="111">
      <calculatedColumnFormula>TABL12345[[#This Row],[ (T/B) SAR]]-TABL12345[[#This Row],[(T/B) AJD]]</calculatedColumnFormula>
    </tableColumn>
    <tableColumn id="19" xr3:uid="{AA052FEF-5A26-47CE-9F0B-F8F1923AD8E9}" name="(S/S-T/B)-CON." dataDxfId="110">
      <calculatedColumnFormula>TABL12345[[#This Row],[S/S_CON.]]+TABL12345[[#This Row],[T/B-CON.]]</calculatedColumnFormula>
    </tableColumn>
    <tableColumn id="20" xr3:uid="{61057A5A-24CC-4E0A-BD0E-5FDE96F98806}" name="( S/S+T/B) AJD" dataDxfId="109">
      <calculatedColumnFormula>O2+Q2</calculatedColumnFormula>
    </tableColumn>
    <tableColumn id="21" xr3:uid="{EDA3D673-DD20-4163-B2F4-680FF4D5119E}" name="(A/B) AJD" dataDxfId="108"/>
    <tableColumn id="22" xr3:uid="{217BC4DA-6A52-4D8A-80D7-4AEFDA006950}" name="(A/S) AJD" dataDxfId="107"/>
    <tableColumn id="23" xr3:uid="{1F150EF5-1006-43A7-B78A-1AA32AB491FB}" name="(A/B + A/S) AJD" dataDxfId="106">
      <calculatedColumnFormula>U2+V2</calculatedColumnFormula>
    </tableColumn>
    <tableColumn id="24" xr3:uid="{028D3F2E-B6F9-4338-BFFB-4F28EE3B3DFE}" name="(IN-OUT) AJD" dataDxfId="105">
      <calculatedColumnFormula>T2-W2</calculatedColumnFormula>
    </tableColumn>
    <tableColumn id="25" xr3:uid="{BB486173-635A-405F-8C05-C3D61B63A542}" name="(RES. LEVEL) AJD" dataDxfId="104"/>
    <tableColumn id="26" xr3:uid="{F9AB66F0-9BBC-48DD-BF04-3F0A2EEBC825}" name="(RESV. STORGE) AJD" dataDxfId="103"/>
    <tableColumn id="27" xr3:uid="{D412D6AF-1DEE-4597-883E-6BE27B9113AA}" name="AJD_STORG.* 10" dataDxfId="102" dataCellStyle="Normal 2">
      <calculatedColumnFormula>TABL12345[[#This Row],[(RESV. STORGE) AJD]]/10</calculatedColumnFormula>
    </tableColumn>
    <tableColumn id="28" xr3:uid="{03311B88-714C-4EF7-9B3B-159260247FD2}" name="(STORGE DIFF.) AJD" dataDxfId="101" dataCellStyle="Normal 2">
      <calculatedColumnFormula>IF(TRIM(Z2)="",,(Z2-Z1)/1000)</calculatedColumnFormula>
    </tableColumn>
    <tableColumn id="29" xr3:uid="{088C3454-BF57-43A1-93C2-46EDB2DF5204}" name="AJD_Evaporation" dataDxfId="100"/>
    <tableColumn id="30" xr3:uid="{CD718CC7-8DF0-4EBF-BE86-87A5B6E324EC}" name="AJD_LOSES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1" xr3:uid="{99E98B5A-1729-444E-B468-85AEC5550E7F}" name="BER_IN" dataDxfId="99"/>
    <tableColumn id="32" xr3:uid="{7FA81E22-A798-4ADC-A4E7-37207568211F}" name="(RES. LEVEL) BER" dataDxfId="98"/>
    <tableColumn id="33" xr3:uid="{13D8CA7B-5757-4B72-95FE-27A1ABFC2C14}" name=" (RESV. STORGE) BER" dataDxfId="97"/>
    <tableColumn id="34" xr3:uid="{4DE64583-37D3-4880-B10A-43A0808F8872}" name="BER_STORG. * 10" dataDxfId="96">
      <calculatedColumnFormula>TABL12345[[#This Row],[ (RESV. STORGE) BER]]/10</calculatedColumnFormula>
    </tableColumn>
    <tableColumn id="35" xr3:uid="{FA7B911C-943C-43C1-ABFF-D617A16D1179}" name="BER_Evap." dataDxfId="95"/>
    <tableColumn id="36" xr3:uid="{4CAB8E57-9C4D-4EFE-B025-146F4D5B5769}" name="A/B_CON." dataDxfId="94">
      <calculatedColumnFormula>TABL12345[[#This Row],[(A/B) AJD]]-TABL12345[[#This Row],[BER_IN]]</calculatedColumnFormula>
    </tableColumn>
    <tableColumn id="37" xr3:uid="{FBFF6553-47B6-4EAD-9231-750810EE96EF}" name="SER_IN" dataDxfId="93"/>
    <tableColumn id="38" xr3:uid="{6024D423-CC2D-41C8-9830-2E0F6BA8692C}" name="(RES. LEVEL) SER " dataDxfId="92"/>
    <tableColumn id="39" xr3:uid="{5AD1DAF4-FCDD-4860-886F-A82B8A222265}" name=" (RESV. STORGE) SER" dataDxfId="91" dataCellStyle="Normal 2"/>
    <tableColumn id="40" xr3:uid="{3B2FC753-2F35-4E0E-9D02-0E1D90AA1AFF}" name="SER_STORG.* 10" dataDxfId="90" dataCellStyle="Normal 2">
      <calculatedColumnFormula>TABL12345[[#This Row],[ (RESV. STORGE) SER]]/10</calculatedColumnFormula>
    </tableColumn>
    <tableColumn id="41" xr3:uid="{B417C35A-9D85-488F-8C72-8CEAA1313600}" name="SER_Evap." dataDxfId="89"/>
    <tableColumn id="42" xr3:uid="{E670D05A-F244-40CD-AA7A-2F409489FF47}" name="A/S_CON." dataDxfId="88">
      <calculatedColumnFormula>TABL12345[[#This Row],[(A/S) AJD]]-TABL12345[[#This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A95992-32F0-4371-BD4F-71001CD6FCE8}" name="Table6" displayName="Table6" ref="A1:AP366" totalsRowShown="0" headerRowDxfId="52" headerRowBorderDxfId="85" tableBorderDxfId="86">
  <autoFilter ref="A1:AP366" xr:uid="{ABA95992-32F0-4371-BD4F-71001CD6FCE8}"/>
  <tableColumns count="42">
    <tableColumn id="1" xr3:uid="{3AAD961A-0EA2-4060-A0F4-DB6DA87B5A89}" name=" اليوم" dataDxfId="84" dataCellStyle="Normal 2"/>
    <tableColumn id="2" xr3:uid="{D69A5379-9BF0-4120-B0B1-7279EA2099D1}" name="آبار منتجة TAZ" dataDxfId="83"/>
    <tableColumn id="3" xr3:uid="{93BF39E9-A443-42B6-9F79-64FCF17F8BED}" name="الانتاج 1000 (م3) TAZ" dataDxfId="82"/>
    <tableColumn id="4" xr3:uid="{36E38679-7009-4B53-9F4C-63E3F7BF8ABC}" name="آبار عاملة TAZ" dataDxfId="81"/>
    <tableColumn id="5" xr3:uid="{7B7FA81F-FBDA-4E38-8864-839661E31786}" name="آبار احتياطية" dataDxfId="80"/>
    <tableColumn id="6" xr3:uid="{DCBDFCBA-913C-4322-820F-4D8A5618FE44}" name="آبار منتجة SAR" dataDxfId="79"/>
    <tableColumn id="7" xr3:uid="{EE5AC1A5-8B41-4302-B9CC-CC1160F81D24}" name="إنتاج آبار  SAR" dataDxfId="78"/>
    <tableColumn id="8" xr3:uid="{BB033CC7-6DEB-4344-905E-3907E3344E3F}" name="آبار احتياطية  SAR" dataDxfId="77"/>
    <tableColumn id="9" xr3:uid="{6C1B0152-1FA6-44BB-BBA7-B7764572B43D}" name=" (T/B) SAR" dataDxfId="76"/>
    <tableColumn id="10" xr3:uid="{0AF82EE9-62D5-4B76-9B8D-660A35F5A68A}" name=" (S/S) SAR" dataDxfId="75"/>
    <tableColumn id="11" xr3:uid="{B715342D-2959-4118-9E77-C34B0BEE5D97}" name="(S/S+TB)SAR" dataDxfId="0" dataCellStyle="Normal 2">
      <calculatedColumnFormula>Table6[[#This Row],[ (T/B) SAR]]+Table6[[#This Row],[ (S/S) SAR]]</calculatedColumnFormula>
    </tableColumn>
    <tableColumn id="12" xr3:uid="{4B7C05FB-91B3-419B-8DA3-C59EFFAB316D}" name="TAZ/SAR" dataDxfId="74"/>
    <tableColumn id="13" xr3:uid="{5A3F516A-A815-48C9-BEB1-38AC9F062258}" name=" % ECV SAR" dataDxfId="73"/>
    <tableColumn id="14" xr3:uid="{D7C3067F-91A9-4464-8C4F-865FAAAFA6D9}" name="ECV (bar) SAR" dataDxfId="72"/>
    <tableColumn id="15" xr3:uid="{BEC76ABF-E75D-453A-BD63-540473C1D261}" name="(S/S) AJD" dataDxfId="71"/>
    <tableColumn id="16" xr3:uid="{36523FD2-ECB3-40ED-AC89-48DA8F250540}" name="S/S_CON." dataDxfId="1">
      <calculatedColumnFormula>Table6[[#This Row],[ (S/S) SAR]]-Table6[[#This Row],[(S/S) AJD]]</calculatedColumnFormula>
    </tableColumn>
    <tableColumn id="17" xr3:uid="{88E8678A-7BAF-4E85-ABCD-C29D789015AD}" name="(T/B) AJD" dataDxfId="70"/>
    <tableColumn id="18" xr3:uid="{6E1332DC-3767-44A4-9A11-9AE0BEADCA79}" name="T/B-CON." dataDxfId="2">
      <calculatedColumnFormula>Table6[[#This Row],[ (T/B) SAR]]-Table6[[#This Row],[(T/B) AJD]]</calculatedColumnFormula>
    </tableColumn>
    <tableColumn id="19" xr3:uid="{C52C27F3-4B07-4BA5-8CE0-011D85413617}" name="(S/S-T/B)-CON." dataDxfId="3">
      <calculatedColumnFormula>Table6[[#This Row],[S/S_CON.]]+Table6[[#This Row],[T/B-CON.]]</calculatedColumnFormula>
    </tableColumn>
    <tableColumn id="20" xr3:uid="{38789CF2-24AF-46E5-A983-B1A665463C3B}" name="( S/S+T/B) AJD" dataDxfId="69">
      <calculatedColumnFormula>O2+Q2</calculatedColumnFormula>
    </tableColumn>
    <tableColumn id="21" xr3:uid="{8E9FB7CB-D3A6-40A1-8AC3-0BF50C9704D8}" name="(A/B) AJD" dataDxfId="68"/>
    <tableColumn id="22" xr3:uid="{114F197D-D733-486E-9A53-B1DE06245923}" name="(A/S) AJD" dataDxfId="67"/>
    <tableColumn id="23" xr3:uid="{D2BAD358-E8CA-469D-BE91-D75C9630173B}" name="(A/B + A/S) AJD" dataDxfId="66">
      <calculatedColumnFormula>U2+V2</calculatedColumnFormula>
    </tableColumn>
    <tableColumn id="24" xr3:uid="{54698257-F300-4087-B740-5F8E5B3DFA53}" name="(IN-OUT) AJD" dataDxfId="65">
      <calculatedColumnFormula>T2-W2</calculatedColumnFormula>
    </tableColumn>
    <tableColumn id="25" xr3:uid="{0843EE83-D149-4815-8B9A-6228C7BBEDDD}" name="(RES. LEVEL) AJD" dataDxfId="64"/>
    <tableColumn id="26" xr3:uid="{4F6F5B48-AD32-4E85-A9DE-92F2B116F388}" name="(RESV. STORGE) AJD" dataDxfId="63"/>
    <tableColumn id="27" xr3:uid="{0FA15C0D-AB2D-496B-BB1B-BFC268A95AEF}" name="AJD_STORG.* 10" dataDxfId="4" dataCellStyle="Normal 2">
      <calculatedColumnFormula>Table6[[#This Row],[(RESV. STORGE) AJD]]/10</calculatedColumnFormula>
    </tableColumn>
    <tableColumn id="28" xr3:uid="{9D4D06C7-9B98-4717-B01D-30E16683ED4B}" name="(STORGE DIFF.) AJD" dataDxfId="62" dataCellStyle="Normal 2">
      <calculatedColumnFormula>IF(TRIM(Z2)="",,(Z2-Z1)/1000)</calculatedColumnFormula>
    </tableColumn>
    <tableColumn id="29" xr3:uid="{E9A9FB0D-86C9-453A-BC4F-6F9D56DEA297}" name="AJD_Evaporation" dataDxfId="61"/>
    <tableColumn id="30" xr3:uid="{511C7B1A-6AD6-4FB4-8BF2-614B612276AA}" name="AJD_LOSES" dataDxfId="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BF829786-C4CB-4573-ADD1-19706DBDE919}" name="BER_IN" dataDxfId="60"/>
    <tableColumn id="32" xr3:uid="{733A3D0B-6F50-4A24-9189-C4198E37DBB2}" name="(RES. LEVEL) BER" dataDxfId="59"/>
    <tableColumn id="33" xr3:uid="{A51325EC-2491-4C40-AEBB-62FB7AC62248}" name=" (RESV. STORGE) BER" dataDxfId="58"/>
    <tableColumn id="34" xr3:uid="{3D8B6D97-CC02-4952-9C5B-9768692227F0}" name="BER_STORG. * 10" dataDxfId="6">
      <calculatedColumnFormula>Table6[[#This Row],[ (RESV. STORGE) BER]]/10</calculatedColumnFormula>
    </tableColumn>
    <tableColumn id="35" xr3:uid="{B05905F4-7D80-44AF-96AE-56DAE7664654}" name="BER_Evap." dataDxfId="57"/>
    <tableColumn id="36" xr3:uid="{68E0F622-3A77-4C7E-9569-DC284F66DC7C}" name="A/B_CON." dataDxfId="7">
      <calculatedColumnFormula>Table6[[#This Row],[(A/B) AJD]]-TABL12345[[#This Row],[BER_IN]]</calculatedColumnFormula>
    </tableColumn>
    <tableColumn id="37" xr3:uid="{FFA93E5D-2F54-4034-8329-8D20E1A72D65}" name="SER_IN" dataDxfId="56"/>
    <tableColumn id="38" xr3:uid="{7D6746C9-8868-42BD-A60D-36F5B0FFD0B0}" name="(RES. LEVEL) SER " dataDxfId="55"/>
    <tableColumn id="39" xr3:uid="{E07C676A-2D08-4AA7-B0FB-8F41B65D5FA7}" name=" (RESV. STORGE) SER" dataDxfId="54" dataCellStyle="Normal 2"/>
    <tableColumn id="40" xr3:uid="{519BB4ED-7944-4336-B38B-8E163134E964}" name="SER_STORG.* 10" dataDxfId="8" dataCellStyle="Normal 2">
      <calculatedColumnFormula>Table6[[#This Row],[ (RESV. STORGE) SER]]/10</calculatedColumnFormula>
    </tableColumn>
    <tableColumn id="41" xr3:uid="{EF6508D2-0825-4F38-AB6C-592DE67024F7}" name="SER_Evap." dataDxfId="53"/>
    <tableColumn id="42" xr3:uid="{B7CB3816-0223-4D56-8ABD-8208D3D9C8B8}" name="A/S_CON." dataDxfId="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 (T/B) SAR]]+TABL12[[#This Row],[ (S/S) SAR]]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56.979999999999961</v>
      </c>
      <c r="Q16" s="3">
        <v>428</v>
      </c>
      <c r="R16" s="3">
        <f>TABL12[[#This Row],[ (T/B) SAR]]-TABL12[[#This Row],[(T/B) AJD]]</f>
        <v>19.979999999999961</v>
      </c>
      <c r="S16" s="3">
        <f>TABL12[[#This Row],[S/S_CON.]]+TABL12[[#This Row],[T/B-CON.]]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 (T/B) SAR]]+TABL12[[#This Row],[ (S/S) SAR]]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43.979999999999961</v>
      </c>
      <c r="Q19" s="3">
        <v>437</v>
      </c>
      <c r="R19" s="3">
        <f>TABL12[[#This Row],[ (T/B) SAR]]-TABL12[[#This Row],[(T/B) AJD]]</f>
        <v>5.9799999999999613</v>
      </c>
      <c r="S19" s="3">
        <f>TABL12[[#This Row],[S/S_CON.]]+TABL12[[#This Row],[T/B-CON.]]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 (T/B) SAR]]+TABL12[[#This Row],[ (S/S) SAR]]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41.979999999999961</v>
      </c>
      <c r="Q22" s="3">
        <v>436</v>
      </c>
      <c r="R22" s="3">
        <f>TABL12[[#This Row],[ (T/B) SAR]]-TABL12[[#This Row],[(T/B) AJD]]</f>
        <v>3.9799999999999613</v>
      </c>
      <c r="S22" s="3">
        <f>TABL12[[#This Row],[S/S_CON.]]+TABL12[[#This Row],[T/B-CON.]]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 (T/B) SAR]]+TABL12[[#This Row],[ (S/S) SAR]]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38.979999999999961</v>
      </c>
      <c r="Q25" s="3">
        <v>434</v>
      </c>
      <c r="R25" s="3">
        <f>TABL12[[#This Row],[ (T/B) SAR]]-TABL12[[#This Row],[(T/B) AJD]]</f>
        <v>2.9799999999999613</v>
      </c>
      <c r="S25" s="3">
        <f>TABL12[[#This Row],[S/S_CON.]]+TABL12[[#This Row],[T/B-CON.]]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 (T/B) SAR]]+TABL12[[#This Row],[ (S/S) SAR]]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50.479999999999961</v>
      </c>
      <c r="Q28" s="3">
        <v>431</v>
      </c>
      <c r="R28" s="3">
        <f>TABL12[[#This Row],[ (T/B) SAR]]-TABL12[[#This Row],[(T/B) AJD]]</f>
        <v>12.479999999999961</v>
      </c>
      <c r="S28" s="3">
        <f>TABL12[[#This Row],[S/S_CON.]]+TABL12[[#This Row],[T/B-CON.]]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 (T/B) SAR]]+TABL12[[#This Row],[ (S/S) SAR]]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43.534999999999968</v>
      </c>
      <c r="Q42" s="3">
        <v>414</v>
      </c>
      <c r="R42" s="3">
        <f>TABL12[[#This Row],[ (T/B) SAR]]-TABL12[[#This Row],[(T/B) AJD]]</f>
        <v>6.5349999999999682</v>
      </c>
      <c r="S42" s="3">
        <f>TABL12[[#This Row],[S/S_CON.]]+TABL12[[#This Row],[T/B-CON.]]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 (T/B) SAR]]+TABL12[[#This Row],[ (S/S) SAR]]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39.534999999999968</v>
      </c>
      <c r="Q43" s="3">
        <v>415</v>
      </c>
      <c r="R43" s="3">
        <f>TABL12[[#This Row],[ (T/B) SAR]]-TABL12[[#This Row],[(T/B) AJD]]</f>
        <v>1.5349999999999682</v>
      </c>
      <c r="S43" s="3">
        <f>TABL12[[#This Row],[S/S_CON.]]+TABL12[[#This Row],[T/B-CON.]]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 (T/B) SAR]]+TABL12[[#This Row],[ (S/S) SAR]]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38.590000000000032</v>
      </c>
      <c r="Q44" s="3">
        <v>413</v>
      </c>
      <c r="R44" s="3">
        <f>TABL12[[#This Row],[ (T/B) SAR]]-TABL12[[#This Row],[(T/B) AJD]]</f>
        <v>1.5900000000000318</v>
      </c>
      <c r="S44" s="3">
        <f>TABL12[[#This Row],[S/S_CON.]]+TABL12[[#This Row],[T/B-CON.]]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 (T/B) SAR]]+TABL12[[#This Row],[ (S/S) SAR]]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44.590000000000032</v>
      </c>
      <c r="Q48" s="3">
        <v>413</v>
      </c>
      <c r="R48" s="3">
        <f>TABL12[[#This Row],[ (T/B) SAR]]-TABL12[[#This Row],[(T/B) AJD]]</f>
        <v>6.5900000000000318</v>
      </c>
      <c r="S48" s="3">
        <f>TABL12[[#This Row],[S/S_CON.]]+TABL12[[#This Row],[T/B-CON.]]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 (T/B) SAR]]+TABL12[[#This Row],[ (S/S) SAR]]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38.590000000000032</v>
      </c>
      <c r="Q51" s="3">
        <v>412</v>
      </c>
      <c r="R51" s="3">
        <f>TABL12[[#This Row],[ (T/B) SAR]]-TABL12[[#This Row],[(T/B) AJD]]</f>
        <v>0.59000000000003183</v>
      </c>
      <c r="S51" s="3">
        <f>TABL12[[#This Row],[S/S_CON.]]+TABL12[[#This Row],[T/B-CON.]]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 (T/B) SAR]]+TABL12[[#This Row],[ (S/S) SAR]]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43.090000000000032</v>
      </c>
      <c r="Q54" s="3">
        <v>412</v>
      </c>
      <c r="R54" s="3">
        <f>TABL12[[#This Row],[ (T/B) SAR]]-TABL12[[#This Row],[(T/B) AJD]]</f>
        <v>6.0900000000000318</v>
      </c>
      <c r="S54" s="3">
        <f>TABL12[[#This Row],[S/S_CON.]]+TABL12[[#This Row],[T/B-CON.]]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 (T/B) SAR]]+TABL12[[#This Row],[ (S/S) SAR]]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39.090000000000032</v>
      </c>
      <c r="Q57" s="3">
        <v>412</v>
      </c>
      <c r="R57" s="3">
        <f>TABL12[[#This Row],[ (T/B) SAR]]-TABL12[[#This Row],[(T/B) AJD]]</f>
        <v>2.0900000000000318</v>
      </c>
      <c r="S57" s="3">
        <f>TABL12[[#This Row],[S/S_CON.]]+TABL12[[#This Row],[T/B-CON.]]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Normal="100" workbookViewId="0">
      <selection activeCell="G23" sqref="G2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88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87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>IF(TRIM(Z4)="",,(Z4-Z3)/1000)</f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87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ref="AB4:AB67" si="1">IF(TRIM(Z5)="",,(Z5-Z4)/1000)</f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87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87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87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87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87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87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87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87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87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87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87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87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87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87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87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87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87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87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87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87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87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87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87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87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87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87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87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87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87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87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87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87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87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87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87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87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87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87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87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87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87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87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87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87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87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87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87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87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87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87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87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87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87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87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87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87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87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87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87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87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87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87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87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IF(TRIM(Z68)="",,(Z68-Z67)/1000)</f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87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87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87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87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87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87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87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87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87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87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87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87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87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87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87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87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87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87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87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87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87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87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87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87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87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87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87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87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87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87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87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87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87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87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87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87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87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87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87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87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87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87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87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87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87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87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87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87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87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87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87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87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87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87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87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87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87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87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87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87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87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87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87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87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IF(TRIM(Z132)="",,(Z132-Z131)/1000)</f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87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87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87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87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87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87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87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87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87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87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87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87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87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87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87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87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87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87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87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87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87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87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87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87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87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87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87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87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87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87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87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87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87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87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87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87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87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87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87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87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87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87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87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87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87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87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87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87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87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87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87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87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87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87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87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87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87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87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87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87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87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87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87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87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IF(TRIM(Z196)="",,(Z196-Z195)/1000)</f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87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87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87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87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87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87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87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87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87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87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87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87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87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87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87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87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87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87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87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87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87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87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87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87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87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87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87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87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87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87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87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87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87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87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87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87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87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87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87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87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87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87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87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87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87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87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87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87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87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87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87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87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87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87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87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87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87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87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87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87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87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87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87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87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IF(TRIM(Z260)="",,(Z260-Z259)/1000)</f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87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87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87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87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87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87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87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87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87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68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68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68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68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68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68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/>
      <c r="AL275" s="68"/>
      <c r="AM275" s="87"/>
      <c r="AN275" s="87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/>
      <c r="AL276" s="68"/>
      <c r="AM276" s="87"/>
      <c r="AN276" s="87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/>
      <c r="AL277" s="68"/>
      <c r="AM277" s="87"/>
      <c r="AN277" s="87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/>
      <c r="AL278" s="68"/>
      <c r="AM278" s="87"/>
      <c r="AN278" s="87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/>
      <c r="AL279" s="68"/>
      <c r="AM279" s="87"/>
      <c r="AN279" s="87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/>
      <c r="AL280" s="68"/>
      <c r="AM280" s="87"/>
      <c r="AN280" s="87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/>
      <c r="AL281" s="68"/>
      <c r="AM281" s="87"/>
      <c r="AN281" s="87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/>
      <c r="AL282" s="68"/>
      <c r="AM282" s="87"/>
      <c r="AN282" s="87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/>
      <c r="AL283" s="68"/>
      <c r="AM283" s="87"/>
      <c r="AN283" s="87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/>
      <c r="AL284" s="68"/>
      <c r="AM284" s="87"/>
      <c r="AN284" s="87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/>
      <c r="AL285" s="68"/>
      <c r="AM285" s="87"/>
      <c r="AN285" s="87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/>
      <c r="AL286" s="68"/>
      <c r="AM286" s="87"/>
      <c r="AN286" s="87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/>
      <c r="AL287" s="68"/>
      <c r="AM287" s="87"/>
      <c r="AN287" s="87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/>
      <c r="AL288" s="68"/>
      <c r="AM288" s="87"/>
      <c r="AN288" s="87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/>
      <c r="AL289" s="68"/>
      <c r="AM289" s="87"/>
      <c r="AN289" s="87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/>
      <c r="AL290" s="68"/>
      <c r="AM290" s="87"/>
      <c r="AN290" s="87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/>
      <c r="AL291" s="68"/>
      <c r="AM291" s="87"/>
      <c r="AN291" s="87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8"/>
      <c r="AJ292" s="78">
        <f>TABL123[[#This Row],[(A/B) AJD]]-TABL123[[#This Row],[BER_IN]]</f>
        <v>565</v>
      </c>
      <c r="AK292" s="78"/>
      <c r="AL292" s="68"/>
      <c r="AM292" s="87"/>
      <c r="AN292" s="87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8"/>
      <c r="AJ293" s="78">
        <f>TABL123[[#This Row],[(A/B) AJD]]-TABL123[[#This Row],[BER_IN]]</f>
        <v>568</v>
      </c>
      <c r="AK293" s="78"/>
      <c r="AL293" s="68"/>
      <c r="AM293" s="87"/>
      <c r="AN293" s="87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8"/>
      <c r="AJ294" s="78">
        <f>TABL123[[#This Row],[(A/B) AJD]]-TABL123[[#This Row],[BER_IN]]</f>
        <v>564</v>
      </c>
      <c r="AK294" s="78"/>
      <c r="AL294" s="68"/>
      <c r="AM294" s="87"/>
      <c r="AN294" s="87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8"/>
      <c r="AJ295" s="78">
        <f>TABL123[[#This Row],[(A/B) AJD]]-TABL123[[#This Row],[BER_IN]]</f>
        <v>565</v>
      </c>
      <c r="AK295" s="78"/>
      <c r="AL295" s="68"/>
      <c r="AM295" s="87"/>
      <c r="AN295" s="87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8"/>
      <c r="AJ296" s="78">
        <f>TABL123[[#This Row],[(A/B) AJD]]-TABL123[[#This Row],[BER_IN]]</f>
        <v>558</v>
      </c>
      <c r="AK296" s="78"/>
      <c r="AL296" s="68"/>
      <c r="AM296" s="87"/>
      <c r="AN296" s="87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8"/>
      <c r="AJ297" s="78">
        <f>TABL123[[#This Row],[(A/B) AJD]]-TABL123[[#This Row],[BER_IN]]</f>
        <v>551</v>
      </c>
      <c r="AK297" s="78"/>
      <c r="AL297" s="68"/>
      <c r="AM297" s="87"/>
      <c r="AN297" s="87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8"/>
      <c r="AJ298" s="78">
        <f>TABL123[[#This Row],[(A/B) AJD]]-TABL123[[#This Row],[BER_IN]]</f>
        <v>543</v>
      </c>
      <c r="AK298" s="78"/>
      <c r="AL298" s="68"/>
      <c r="AM298" s="87"/>
      <c r="AN298" s="87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8"/>
      <c r="AJ299" s="78">
        <f>TABL123[[#This Row],[(A/B) AJD]]-TABL123[[#This Row],[BER_IN]]</f>
        <v>527</v>
      </c>
      <c r="AK299" s="78"/>
      <c r="AL299" s="68"/>
      <c r="AM299" s="87"/>
      <c r="AN299" s="87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3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8"/>
      <c r="AJ300" s="78">
        <f>TABL123[[#This Row],[(A/B) AJD]]-TABL123[[#This Row],[BER_IN]]</f>
        <v>0</v>
      </c>
      <c r="AK300" s="78"/>
      <c r="AL300" s="68"/>
      <c r="AM300" s="87"/>
      <c r="AN300" s="87">
        <f>TABL123[[#This Row],[ (RESV. STORGE) SER]]/10</f>
        <v>0</v>
      </c>
      <c r="AO300" s="6"/>
      <c r="AP300" s="32">
        <f>TABL123[[#This Row],[(A/S) AJD]]-TABL123[[#This Row],[SER_IN]]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>
        <f>TABL123[[#This Row],[(A/B) AJD]]-TABL123[[#This Row],[BER_IN]]</f>
        <v>0</v>
      </c>
      <c r="AK301" s="78"/>
      <c r="AL301" s="68"/>
      <c r="AM301" s="87"/>
      <c r="AN301" s="87">
        <f>TABL123[[#This Row],[ (RESV. STORGE) SER]]/10</f>
        <v>0</v>
      </c>
      <c r="AO301" s="6"/>
      <c r="AP301" s="32">
        <f>TABL123[[#This Row],[(A/S) AJD]]-TABL123[[#This Row],[SER_IN]]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68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68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68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68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68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68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68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68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68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68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68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68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68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68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68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68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68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68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68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68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68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68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IF(TRIM(Z324)="",,(Z324-Z323)/1000)</f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68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68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68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68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68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68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68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68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68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68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68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68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68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68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68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68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68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68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68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68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68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68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68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68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68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68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68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68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68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68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68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68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68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68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68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68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68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68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68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68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68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68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82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2" workbookViewId="0">
      <selection activeCell="P4" sqref="P4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IF(TRIM(Z4)="",,(Z4-Z3)/1000)</f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IF(TRIM(Z68)="",,(Z68-Z67)/1000)</f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IF(TRIM(Z132)="",,(Z132-Z131)/1000)</f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IF(TRIM(Z196)="",,(Z196-Z195)/1000)</f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IF(TRIM(Z260)="",,(Z260-Z259)/1000)</f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IF(TRIM(Z324)="",,(Z324-Z323)/1000)</f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8"/>
  <sheetViews>
    <sheetView rightToLeft="1" topLeftCell="AC1" workbookViewId="0">
      <selection activeCell="AD2" sqref="AD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ref="AB4:AB67" si="3">IF(TRIM(Z4)="",,(Z4-Z3)/1000)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ref="AB68:AB131" si="7">IF(TRIM(Z68)="",,(Z68-Z67)/1000)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94">
        <f>TABL12345[[#This Row],[ (T/B) SAR]]+TABL12345[[#This Row],[ (S/S) SAR]]</f>
        <v>0</v>
      </c>
      <c r="L367" s="93"/>
      <c r="M367" s="95"/>
      <c r="N367" s="95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6">
        <f>O367+Q367</f>
        <v>0</v>
      </c>
      <c r="U367" s="68"/>
      <c r="V367" s="68"/>
      <c r="W367" s="96">
        <f>U367+V367</f>
        <v>0</v>
      </c>
      <c r="X367" s="96">
        <f>T367-W367</f>
        <v>0</v>
      </c>
      <c r="Y367" s="97"/>
      <c r="Z367" s="68"/>
      <c r="AA367" s="98">
        <f>TABL12345[[#This Row],[(RESV. STORGE) AJD]]/10</f>
        <v>0</v>
      </c>
      <c r="AB367" s="68"/>
      <c r="AC367" s="99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100"/>
      <c r="AN367" s="101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K2" sqref="K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 (T/B) SAR]]+TABL12345[[#This Row],[ (S/S) SAR]]</f>
        <v>0</v>
      </c>
      <c r="L2" s="41"/>
      <c r="M2" s="42"/>
      <c r="N2" s="42"/>
      <c r="O2" s="39"/>
      <c r="P2" s="3">
        <f>TABL12345[[#This Row],[ (S/S) SAR]]-TABL12345[[#This Row],[(S/S) AJD]]</f>
        <v>0</v>
      </c>
      <c r="Q2" s="39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92">
        <f>(Z2-'my_job - 2028'!Z367)/1000</f>
        <v>0</v>
      </c>
      <c r="AC2" s="5"/>
      <c r="AD2" s="39">
        <f>(TABL12345[[#This Row],[( S/S+T/B) AJD]]*1000)-((TABL12345[[#This Row],[(STORGE DIFF.) AJD]]*1000)+TABL12345[[#This Row],[AJD_Evaporation]]+(TABL12345[[#This Row],[(A/B + A/S) AJD]]*1000))</f>
        <v>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Row],[(A/B) AJD]]-TABL12345[[#This Row],[BER_IN]]</f>
        <v>0</v>
      </c>
      <c r="AK2" s="43"/>
      <c r="AL2" s="43"/>
      <c r="AM2" s="32"/>
      <c r="AN2" s="32">
        <f>TABL12345[[#This Row],[ (RESV. STORGE) SER]]/10</f>
        <v>0</v>
      </c>
      <c r="AO2" s="81"/>
      <c r="AP2" s="103">
        <f>TABL12345[[#This Row],[(A/S) AJD]]-TABL12345[[#This Row],[SER_IN]]</f>
        <v>0</v>
      </c>
    </row>
    <row r="3" spans="1:42" ht="18.75" x14ac:dyDescent="0.25">
      <c r="A3" s="10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104">
        <f>TABL12345[[#This Row],[(A/S) AJD]]-TABL12345[[#This Row],[SER_IN]]</f>
        <v>0</v>
      </c>
    </row>
    <row r="4" spans="1:42" ht="18.75" x14ac:dyDescent="0.25">
      <c r="A4" s="10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ref="AB4:AB67" si="3">IF(TRIM(Z4)="",,(Z4-Z3)/1000)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104">
        <f>TABL12345[[#This Row],[(A/S) AJD]]-TABL12345[[#This Row],[SER_IN]]</f>
        <v>0</v>
      </c>
    </row>
    <row r="5" spans="1:42" ht="18.75" x14ac:dyDescent="0.25">
      <c r="A5" s="10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104">
        <f>TABL12345[[#This Row],[(A/S) AJD]]-TABL12345[[#This Row],[SER_IN]]</f>
        <v>0</v>
      </c>
    </row>
    <row r="6" spans="1:42" ht="18.75" x14ac:dyDescent="0.25">
      <c r="A6" s="10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104">
        <f>TABL12345[[#This Row],[(A/S) AJD]]-TABL12345[[#This Row],[SER_IN]]</f>
        <v>0</v>
      </c>
    </row>
    <row r="7" spans="1:42" ht="18.75" x14ac:dyDescent="0.25">
      <c r="A7" s="10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104">
        <f>TABL12345[[#This Row],[(A/S) AJD]]-TABL12345[[#This Row],[SER_IN]]</f>
        <v>0</v>
      </c>
    </row>
    <row r="8" spans="1:42" ht="18.75" x14ac:dyDescent="0.25">
      <c r="A8" s="10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104">
        <f>TABL12345[[#This Row],[(A/S) AJD]]-TABL12345[[#This Row],[SER_IN]]</f>
        <v>0</v>
      </c>
    </row>
    <row r="9" spans="1:42" ht="18.75" x14ac:dyDescent="0.25">
      <c r="A9" s="10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104">
        <f>TABL12345[[#This Row],[(A/S) AJD]]-TABL12345[[#This Row],[SER_IN]]</f>
        <v>0</v>
      </c>
    </row>
    <row r="10" spans="1:42" ht="18.75" x14ac:dyDescent="0.25">
      <c r="A10" s="10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104">
        <f>TABL12345[[#This Row],[(A/S) AJD]]-TABL12345[[#This Row],[SER_IN]]</f>
        <v>0</v>
      </c>
    </row>
    <row r="11" spans="1:42" ht="18.75" x14ac:dyDescent="0.25">
      <c r="A11" s="10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104">
        <f>TABL12345[[#This Row],[(A/S) AJD]]-TABL12345[[#This Row],[SER_IN]]</f>
        <v>0</v>
      </c>
    </row>
    <row r="12" spans="1:42" ht="18.75" x14ac:dyDescent="0.25">
      <c r="A12" s="10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104">
        <f>TABL12345[[#This Row],[(A/S) AJD]]-TABL12345[[#This Row],[SER_IN]]</f>
        <v>0</v>
      </c>
    </row>
    <row r="13" spans="1:42" ht="18.75" x14ac:dyDescent="0.25">
      <c r="A13" s="10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104">
        <f>TABL12345[[#This Row],[(A/S) AJD]]-TABL12345[[#This Row],[SER_IN]]</f>
        <v>0</v>
      </c>
    </row>
    <row r="14" spans="1:42" ht="18.75" x14ac:dyDescent="0.25">
      <c r="A14" s="10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104">
        <f>TABL12345[[#This Row],[(A/S) AJD]]-TABL12345[[#This Row],[SER_IN]]</f>
        <v>0</v>
      </c>
    </row>
    <row r="15" spans="1:42" ht="18.75" x14ac:dyDescent="0.25">
      <c r="A15" s="10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104">
        <f>TABL12345[[#This Row],[(A/S) AJD]]-TABL12345[[#This Row],[SER_IN]]</f>
        <v>0</v>
      </c>
    </row>
    <row r="16" spans="1:42" ht="18.75" x14ac:dyDescent="0.25">
      <c r="A16" s="10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104">
        <f>TABL12345[[#This Row],[(A/S) AJD]]-TABL12345[[#This Row],[SER_IN]]</f>
        <v>0</v>
      </c>
    </row>
    <row r="17" spans="1:42" ht="18.75" x14ac:dyDescent="0.25">
      <c r="A17" s="10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104">
        <f>TABL12345[[#This Row],[(A/S) AJD]]-TABL12345[[#This Row],[SER_IN]]</f>
        <v>0</v>
      </c>
    </row>
    <row r="18" spans="1:42" ht="18.75" x14ac:dyDescent="0.25">
      <c r="A18" s="10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104">
        <f>TABL12345[[#This Row],[(A/S) AJD]]-TABL12345[[#This Row],[SER_IN]]</f>
        <v>0</v>
      </c>
    </row>
    <row r="19" spans="1:42" ht="18.75" x14ac:dyDescent="0.25">
      <c r="A19" s="10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104">
        <f>TABL12345[[#This Row],[(A/S) AJD]]-TABL12345[[#This Row],[SER_IN]]</f>
        <v>0</v>
      </c>
    </row>
    <row r="20" spans="1:42" ht="18.75" x14ac:dyDescent="0.25">
      <c r="A20" s="10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104">
        <f>TABL12345[[#This Row],[(A/S) AJD]]-TABL12345[[#This Row],[SER_IN]]</f>
        <v>0</v>
      </c>
    </row>
    <row r="21" spans="1:42" ht="18.75" x14ac:dyDescent="0.25">
      <c r="A21" s="10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104">
        <f>TABL12345[[#This Row],[(A/S) AJD]]-TABL12345[[#This Row],[SER_IN]]</f>
        <v>0</v>
      </c>
    </row>
    <row r="22" spans="1:42" ht="18.75" x14ac:dyDescent="0.25">
      <c r="A22" s="10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104">
        <f>TABL12345[[#This Row],[(A/S) AJD]]-TABL12345[[#This Row],[SER_IN]]</f>
        <v>0</v>
      </c>
    </row>
    <row r="23" spans="1:42" ht="18.75" x14ac:dyDescent="0.25">
      <c r="A23" s="10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104">
        <f>TABL12345[[#This Row],[(A/S) AJD]]-TABL12345[[#This Row],[SER_IN]]</f>
        <v>0</v>
      </c>
    </row>
    <row r="24" spans="1:42" ht="18.75" x14ac:dyDescent="0.25">
      <c r="A24" s="10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104">
        <f>TABL12345[[#This Row],[(A/S) AJD]]-TABL12345[[#This Row],[SER_IN]]</f>
        <v>0</v>
      </c>
    </row>
    <row r="25" spans="1:42" ht="18.75" x14ac:dyDescent="0.25">
      <c r="A25" s="10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104">
        <f>TABL12345[[#This Row],[(A/S) AJD]]-TABL12345[[#This Row],[SER_IN]]</f>
        <v>0</v>
      </c>
    </row>
    <row r="26" spans="1:42" ht="18.75" x14ac:dyDescent="0.25">
      <c r="A26" s="10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104">
        <f>TABL12345[[#This Row],[(A/S) AJD]]-TABL12345[[#This Row],[SER_IN]]</f>
        <v>0</v>
      </c>
    </row>
    <row r="27" spans="1:42" ht="18.75" x14ac:dyDescent="0.25">
      <c r="A27" s="10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104">
        <f>TABL12345[[#This Row],[(A/S) AJD]]-TABL12345[[#This Row],[SER_IN]]</f>
        <v>0</v>
      </c>
    </row>
    <row r="28" spans="1:42" ht="18.75" x14ac:dyDescent="0.25">
      <c r="A28" s="10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104">
        <f>TABL12345[[#This Row],[(A/S) AJD]]-TABL12345[[#This Row],[SER_IN]]</f>
        <v>0</v>
      </c>
    </row>
    <row r="29" spans="1:42" ht="18.75" x14ac:dyDescent="0.25">
      <c r="A29" s="10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104">
        <f>TABL12345[[#This Row],[(A/S) AJD]]-TABL12345[[#This Row],[SER_IN]]</f>
        <v>0</v>
      </c>
    </row>
    <row r="30" spans="1:42" ht="18.75" x14ac:dyDescent="0.25">
      <c r="A30" s="10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104">
        <f>TABL12345[[#This Row],[(A/S) AJD]]-TABL12345[[#This Row],[SER_IN]]</f>
        <v>0</v>
      </c>
    </row>
    <row r="31" spans="1:42" ht="18.75" x14ac:dyDescent="0.25">
      <c r="A31" s="10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104">
        <f>TABL12345[[#This Row],[(A/S) AJD]]-TABL12345[[#This Row],[SER_IN]]</f>
        <v>0</v>
      </c>
    </row>
    <row r="32" spans="1:42" ht="18.75" x14ac:dyDescent="0.25">
      <c r="A32" s="10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104">
        <f>TABL12345[[#This Row],[(A/S) AJD]]-TABL12345[[#This Row],[SER_IN]]</f>
        <v>0</v>
      </c>
    </row>
    <row r="33" spans="1:42" ht="18.75" x14ac:dyDescent="0.25">
      <c r="A33" s="10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104">
        <f>TABL12345[[#This Row],[(A/S) AJD]]-TABL12345[[#This Row],[SER_IN]]</f>
        <v>0</v>
      </c>
    </row>
    <row r="34" spans="1:42" ht="18.75" x14ac:dyDescent="0.25">
      <c r="A34" s="10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104">
        <f>TABL12345[[#This Row],[(A/S) AJD]]-TABL12345[[#This Row],[SER_IN]]</f>
        <v>0</v>
      </c>
    </row>
    <row r="35" spans="1:42" ht="18.75" x14ac:dyDescent="0.25">
      <c r="A35" s="10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104">
        <f>TABL12345[[#This Row],[(A/S) AJD]]-TABL12345[[#This Row],[SER_IN]]</f>
        <v>0</v>
      </c>
    </row>
    <row r="36" spans="1:42" ht="18.75" x14ac:dyDescent="0.25">
      <c r="A36" s="10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104">
        <f>TABL12345[[#This Row],[(A/S) AJD]]-TABL12345[[#This Row],[SER_IN]]</f>
        <v>0</v>
      </c>
    </row>
    <row r="37" spans="1:42" ht="18.75" x14ac:dyDescent="0.25">
      <c r="A37" s="10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104">
        <f>TABL12345[[#This Row],[(A/S) AJD]]-TABL12345[[#This Row],[SER_IN]]</f>
        <v>0</v>
      </c>
    </row>
    <row r="38" spans="1:42" ht="18.75" x14ac:dyDescent="0.25">
      <c r="A38" s="10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104">
        <f>TABL12345[[#This Row],[(A/S) AJD]]-TABL12345[[#This Row],[SER_IN]]</f>
        <v>0</v>
      </c>
    </row>
    <row r="39" spans="1:42" ht="18.75" x14ac:dyDescent="0.25">
      <c r="A39" s="10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104">
        <f>TABL12345[[#This Row],[(A/S) AJD]]-TABL12345[[#This Row],[SER_IN]]</f>
        <v>0</v>
      </c>
    </row>
    <row r="40" spans="1:42" ht="18.75" x14ac:dyDescent="0.25">
      <c r="A40" s="10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104">
        <f>TABL12345[[#This Row],[(A/S) AJD]]-TABL12345[[#This Row],[SER_IN]]</f>
        <v>0</v>
      </c>
    </row>
    <row r="41" spans="1:42" ht="18.75" x14ac:dyDescent="0.25">
      <c r="A41" s="10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104">
        <f>TABL12345[[#This Row],[(A/S) AJD]]-TABL12345[[#This Row],[SER_IN]]</f>
        <v>0</v>
      </c>
    </row>
    <row r="42" spans="1:42" ht="18.75" x14ac:dyDescent="0.25">
      <c r="A42" s="10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104">
        <f>TABL12345[[#This Row],[(A/S) AJD]]-TABL12345[[#This Row],[SER_IN]]</f>
        <v>0</v>
      </c>
    </row>
    <row r="43" spans="1:42" ht="18.75" x14ac:dyDescent="0.25">
      <c r="A43" s="10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104">
        <f>TABL12345[[#This Row],[(A/S) AJD]]-TABL12345[[#This Row],[SER_IN]]</f>
        <v>0</v>
      </c>
    </row>
    <row r="44" spans="1:42" ht="18.75" x14ac:dyDescent="0.25">
      <c r="A44" s="10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104">
        <f>TABL12345[[#This Row],[(A/S) AJD]]-TABL12345[[#This Row],[SER_IN]]</f>
        <v>0</v>
      </c>
    </row>
    <row r="45" spans="1:42" ht="18.75" x14ac:dyDescent="0.25">
      <c r="A45" s="10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104">
        <f>TABL12345[[#This Row],[(A/S) AJD]]-TABL12345[[#This Row],[SER_IN]]</f>
        <v>0</v>
      </c>
    </row>
    <row r="46" spans="1:42" ht="18.75" x14ac:dyDescent="0.25">
      <c r="A46" s="10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104">
        <f>TABL12345[[#This Row],[(A/S) AJD]]-TABL12345[[#This Row],[SER_IN]]</f>
        <v>0</v>
      </c>
    </row>
    <row r="47" spans="1:42" ht="18.75" x14ac:dyDescent="0.25">
      <c r="A47" s="10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104">
        <f>TABL12345[[#This Row],[(A/S) AJD]]-TABL12345[[#This Row],[SER_IN]]</f>
        <v>0</v>
      </c>
    </row>
    <row r="48" spans="1:42" ht="18.75" x14ac:dyDescent="0.25">
      <c r="A48" s="10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104">
        <f>TABL12345[[#This Row],[(A/S) AJD]]-TABL12345[[#This Row],[SER_IN]]</f>
        <v>0</v>
      </c>
    </row>
    <row r="49" spans="1:42" ht="18.75" x14ac:dyDescent="0.25">
      <c r="A49" s="10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104">
        <f>TABL12345[[#This Row],[(A/S) AJD]]-TABL12345[[#This Row],[SER_IN]]</f>
        <v>0</v>
      </c>
    </row>
    <row r="50" spans="1:42" ht="18.75" x14ac:dyDescent="0.25">
      <c r="A50" s="10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104">
        <f>TABL12345[[#This Row],[(A/S) AJD]]-TABL12345[[#This Row],[SER_IN]]</f>
        <v>0</v>
      </c>
    </row>
    <row r="51" spans="1:42" ht="18.75" x14ac:dyDescent="0.25">
      <c r="A51" s="10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104">
        <f>TABL12345[[#This Row],[(A/S) AJD]]-TABL12345[[#This Row],[SER_IN]]</f>
        <v>0</v>
      </c>
    </row>
    <row r="52" spans="1:42" ht="18.75" x14ac:dyDescent="0.25">
      <c r="A52" s="10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104">
        <f>TABL12345[[#This Row],[(A/S) AJD]]-TABL12345[[#This Row],[SER_IN]]</f>
        <v>0</v>
      </c>
    </row>
    <row r="53" spans="1:42" ht="18.75" x14ac:dyDescent="0.25">
      <c r="A53" s="10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104">
        <f>TABL12345[[#This Row],[(A/S) AJD]]-TABL12345[[#This Row],[SER_IN]]</f>
        <v>0</v>
      </c>
    </row>
    <row r="54" spans="1:42" ht="18.75" x14ac:dyDescent="0.25">
      <c r="A54" s="10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104">
        <f>TABL12345[[#This Row],[(A/S) AJD]]-TABL12345[[#This Row],[SER_IN]]</f>
        <v>0</v>
      </c>
    </row>
    <row r="55" spans="1:42" ht="18.75" x14ac:dyDescent="0.25">
      <c r="A55" s="10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104">
        <f>TABL12345[[#This Row],[(A/S) AJD]]-TABL12345[[#This Row],[SER_IN]]</f>
        <v>0</v>
      </c>
    </row>
    <row r="56" spans="1:42" ht="18.75" x14ac:dyDescent="0.25">
      <c r="A56" s="10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104">
        <f>TABL12345[[#This Row],[(A/S) AJD]]-TABL12345[[#This Row],[SER_IN]]</f>
        <v>0</v>
      </c>
    </row>
    <row r="57" spans="1:42" ht="18.75" x14ac:dyDescent="0.25">
      <c r="A57" s="10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104">
        <f>TABL12345[[#This Row],[(A/S) AJD]]-TABL12345[[#This Row],[SER_IN]]</f>
        <v>0</v>
      </c>
    </row>
    <row r="58" spans="1:42" ht="18.75" x14ac:dyDescent="0.25">
      <c r="A58" s="10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104">
        <f>TABL12345[[#This Row],[(A/S) AJD]]-TABL12345[[#This Row],[SER_IN]]</f>
        <v>0</v>
      </c>
    </row>
    <row r="59" spans="1:42" ht="18.75" x14ac:dyDescent="0.25">
      <c r="A59" s="10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104">
        <f>TABL12345[[#This Row],[(A/S) AJD]]-TABL12345[[#This Row],[SER_IN]]</f>
        <v>0</v>
      </c>
    </row>
    <row r="60" spans="1:42" ht="18.75" x14ac:dyDescent="0.25">
      <c r="A60" s="10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104">
        <f>TABL12345[[#This Row],[(A/S) AJD]]-TABL12345[[#This Row],[SER_IN]]</f>
        <v>0</v>
      </c>
    </row>
    <row r="61" spans="1:42" ht="18.75" x14ac:dyDescent="0.25">
      <c r="A61" s="10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104">
        <f>TABL12345[[#This Row],[(A/S) AJD]]-TABL12345[[#This Row],[SER_IN]]</f>
        <v>0</v>
      </c>
    </row>
    <row r="62" spans="1:42" ht="18.75" x14ac:dyDescent="0.25">
      <c r="A62" s="10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104">
        <f>TABL12345[[#This Row],[(A/S) AJD]]-TABL12345[[#This Row],[SER_IN]]</f>
        <v>0</v>
      </c>
    </row>
    <row r="63" spans="1:42" ht="18.75" x14ac:dyDescent="0.25">
      <c r="A63" s="10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104">
        <f>TABL12345[[#This Row],[(A/S) AJD]]-TABL12345[[#This Row],[SER_IN]]</f>
        <v>0</v>
      </c>
    </row>
    <row r="64" spans="1:42" ht="18.75" x14ac:dyDescent="0.25">
      <c r="A64" s="10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104">
        <f>TABL12345[[#This Row],[(A/S) AJD]]-TABL12345[[#This Row],[SER_IN]]</f>
        <v>0</v>
      </c>
    </row>
    <row r="65" spans="1:42" ht="18.75" x14ac:dyDescent="0.25">
      <c r="A65" s="10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104">
        <f>TABL12345[[#This Row],[(A/S) AJD]]-TABL12345[[#This Row],[SER_IN]]</f>
        <v>0</v>
      </c>
    </row>
    <row r="66" spans="1:42" ht="18.75" x14ac:dyDescent="0.25">
      <c r="A66" s="10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104">
        <f>TABL12345[[#This Row],[(A/S) AJD]]-TABL12345[[#This Row],[SER_IN]]</f>
        <v>0</v>
      </c>
    </row>
    <row r="67" spans="1:42" ht="18.75" x14ac:dyDescent="0.25">
      <c r="A67" s="10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104">
        <f>TABL12345[[#This Row],[(A/S) AJD]]-TABL12345[[#This Row],[SER_IN]]</f>
        <v>0</v>
      </c>
    </row>
    <row r="68" spans="1:42" ht="18.75" x14ac:dyDescent="0.25">
      <c r="A68" s="10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ref="AB68:AB131" si="7">IF(TRIM(Z68)="",,(Z68-Z67)/1000)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104">
        <f>TABL12345[[#This Row],[(A/S) AJD]]-TABL12345[[#This Row],[SER_IN]]</f>
        <v>0</v>
      </c>
    </row>
    <row r="69" spans="1:42" ht="18.75" x14ac:dyDescent="0.25">
      <c r="A69" s="10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104">
        <f>TABL12345[[#This Row],[(A/S) AJD]]-TABL12345[[#This Row],[SER_IN]]</f>
        <v>0</v>
      </c>
    </row>
    <row r="70" spans="1:42" ht="18.75" x14ac:dyDescent="0.25">
      <c r="A70" s="10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104">
        <f>TABL12345[[#This Row],[(A/S) AJD]]-TABL12345[[#This Row],[SER_IN]]</f>
        <v>0</v>
      </c>
    </row>
    <row r="71" spans="1:42" ht="18.75" x14ac:dyDescent="0.25">
      <c r="A71" s="10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104">
        <f>TABL12345[[#This Row],[(A/S) AJD]]-TABL12345[[#This Row],[SER_IN]]</f>
        <v>0</v>
      </c>
    </row>
    <row r="72" spans="1:42" ht="18.75" x14ac:dyDescent="0.25">
      <c r="A72" s="10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104">
        <f>TABL12345[[#This Row],[(A/S) AJD]]-TABL12345[[#This Row],[SER_IN]]</f>
        <v>0</v>
      </c>
    </row>
    <row r="73" spans="1:42" ht="18.75" x14ac:dyDescent="0.25">
      <c r="A73" s="10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104">
        <f>TABL12345[[#This Row],[(A/S) AJD]]-TABL12345[[#This Row],[SER_IN]]</f>
        <v>0</v>
      </c>
    </row>
    <row r="74" spans="1:42" ht="18.75" x14ac:dyDescent="0.25">
      <c r="A74" s="10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104">
        <f>TABL12345[[#This Row],[(A/S) AJD]]-TABL12345[[#This Row],[SER_IN]]</f>
        <v>0</v>
      </c>
    </row>
    <row r="75" spans="1:42" ht="18.75" x14ac:dyDescent="0.25">
      <c r="A75" s="10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104">
        <f>TABL12345[[#This Row],[(A/S) AJD]]-TABL12345[[#This Row],[SER_IN]]</f>
        <v>0</v>
      </c>
    </row>
    <row r="76" spans="1:42" ht="18.75" x14ac:dyDescent="0.25">
      <c r="A76" s="10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104">
        <f>TABL12345[[#This Row],[(A/S) AJD]]-TABL12345[[#This Row],[SER_IN]]</f>
        <v>0</v>
      </c>
    </row>
    <row r="77" spans="1:42" ht="18.75" x14ac:dyDescent="0.25">
      <c r="A77" s="10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104">
        <f>TABL12345[[#This Row],[(A/S) AJD]]-TABL12345[[#This Row],[SER_IN]]</f>
        <v>0</v>
      </c>
    </row>
    <row r="78" spans="1:42" ht="18.75" x14ac:dyDescent="0.25">
      <c r="A78" s="10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104">
        <f>TABL12345[[#This Row],[(A/S) AJD]]-TABL12345[[#This Row],[SER_IN]]</f>
        <v>0</v>
      </c>
    </row>
    <row r="79" spans="1:42" ht="18.75" x14ac:dyDescent="0.25">
      <c r="A79" s="10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104">
        <f>TABL12345[[#This Row],[(A/S) AJD]]-TABL12345[[#This Row],[SER_IN]]</f>
        <v>0</v>
      </c>
    </row>
    <row r="80" spans="1:42" ht="18.75" x14ac:dyDescent="0.25">
      <c r="A80" s="10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104">
        <f>TABL12345[[#This Row],[(A/S) AJD]]-TABL12345[[#This Row],[SER_IN]]</f>
        <v>0</v>
      </c>
    </row>
    <row r="81" spans="1:42" ht="18.75" x14ac:dyDescent="0.25">
      <c r="A81" s="10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104">
        <f>TABL12345[[#This Row],[(A/S) AJD]]-TABL12345[[#This Row],[SER_IN]]</f>
        <v>0</v>
      </c>
    </row>
    <row r="82" spans="1:42" ht="18.75" x14ac:dyDescent="0.25">
      <c r="A82" s="10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104">
        <f>TABL12345[[#This Row],[(A/S) AJD]]-TABL12345[[#This Row],[SER_IN]]</f>
        <v>0</v>
      </c>
    </row>
    <row r="83" spans="1:42" ht="18.75" x14ac:dyDescent="0.25">
      <c r="A83" s="10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104">
        <f>TABL12345[[#This Row],[(A/S) AJD]]-TABL12345[[#This Row],[SER_IN]]</f>
        <v>0</v>
      </c>
    </row>
    <row r="84" spans="1:42" ht="18.75" x14ac:dyDescent="0.25">
      <c r="A84" s="10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104">
        <f>TABL12345[[#This Row],[(A/S) AJD]]-TABL12345[[#This Row],[SER_IN]]</f>
        <v>0</v>
      </c>
    </row>
    <row r="85" spans="1:42" ht="18.75" x14ac:dyDescent="0.25">
      <c r="A85" s="10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104">
        <f>TABL12345[[#This Row],[(A/S) AJD]]-TABL12345[[#This Row],[SER_IN]]</f>
        <v>0</v>
      </c>
    </row>
    <row r="86" spans="1:42" ht="18.75" x14ac:dyDescent="0.25">
      <c r="A86" s="10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104">
        <f>TABL12345[[#This Row],[(A/S) AJD]]-TABL12345[[#This Row],[SER_IN]]</f>
        <v>0</v>
      </c>
    </row>
    <row r="87" spans="1:42" ht="18.75" x14ac:dyDescent="0.25">
      <c r="A87" s="10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104">
        <f>TABL12345[[#This Row],[(A/S) AJD]]-TABL12345[[#This Row],[SER_IN]]</f>
        <v>0</v>
      </c>
    </row>
    <row r="88" spans="1:42" ht="18.75" x14ac:dyDescent="0.25">
      <c r="A88" s="10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104">
        <f>TABL12345[[#This Row],[(A/S) AJD]]-TABL12345[[#This Row],[SER_IN]]</f>
        <v>0</v>
      </c>
    </row>
    <row r="89" spans="1:42" ht="18.75" x14ac:dyDescent="0.25">
      <c r="A89" s="10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104">
        <f>TABL12345[[#This Row],[(A/S) AJD]]-TABL12345[[#This Row],[SER_IN]]</f>
        <v>0</v>
      </c>
    </row>
    <row r="90" spans="1:42" ht="18.75" x14ac:dyDescent="0.25">
      <c r="A90" s="10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104">
        <f>TABL12345[[#This Row],[(A/S) AJD]]-TABL12345[[#This Row],[SER_IN]]</f>
        <v>0</v>
      </c>
    </row>
    <row r="91" spans="1:42" ht="18.75" x14ac:dyDescent="0.25">
      <c r="A91" s="10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104">
        <f>TABL12345[[#This Row],[(A/S) AJD]]-TABL12345[[#This Row],[SER_IN]]</f>
        <v>0</v>
      </c>
    </row>
    <row r="92" spans="1:42" ht="18.75" x14ac:dyDescent="0.25">
      <c r="A92" s="10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104">
        <f>TABL12345[[#This Row],[(A/S) AJD]]-TABL12345[[#This Row],[SER_IN]]</f>
        <v>0</v>
      </c>
    </row>
    <row r="93" spans="1:42" ht="18.75" x14ac:dyDescent="0.25">
      <c r="A93" s="10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104">
        <f>TABL12345[[#This Row],[(A/S) AJD]]-TABL12345[[#This Row],[SER_IN]]</f>
        <v>0</v>
      </c>
    </row>
    <row r="94" spans="1:42" ht="18.75" x14ac:dyDescent="0.25">
      <c r="A94" s="10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104">
        <f>TABL12345[[#This Row],[(A/S) AJD]]-TABL12345[[#This Row],[SER_IN]]</f>
        <v>0</v>
      </c>
    </row>
    <row r="95" spans="1:42" ht="18.75" x14ac:dyDescent="0.25">
      <c r="A95" s="10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104">
        <f>TABL12345[[#This Row],[(A/S) AJD]]-TABL12345[[#This Row],[SER_IN]]</f>
        <v>0</v>
      </c>
    </row>
    <row r="96" spans="1:42" ht="18.75" x14ac:dyDescent="0.25">
      <c r="A96" s="10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104">
        <f>TABL12345[[#This Row],[(A/S) AJD]]-TABL12345[[#This Row],[SER_IN]]</f>
        <v>0</v>
      </c>
    </row>
    <row r="97" spans="1:42" ht="18.75" x14ac:dyDescent="0.25">
      <c r="A97" s="10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104">
        <f>TABL12345[[#This Row],[(A/S) AJD]]-TABL12345[[#This Row],[SER_IN]]</f>
        <v>0</v>
      </c>
    </row>
    <row r="98" spans="1:42" ht="18.75" x14ac:dyDescent="0.25">
      <c r="A98" s="10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104">
        <f>TABL12345[[#This Row],[(A/S) AJD]]-TABL12345[[#This Row],[SER_IN]]</f>
        <v>0</v>
      </c>
    </row>
    <row r="99" spans="1:42" ht="18.75" x14ac:dyDescent="0.25">
      <c r="A99" s="10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104">
        <f>TABL12345[[#This Row],[(A/S) AJD]]-TABL12345[[#This Row],[SER_IN]]</f>
        <v>0</v>
      </c>
    </row>
    <row r="100" spans="1:42" ht="18.75" x14ac:dyDescent="0.25">
      <c r="A100" s="10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104">
        <f>TABL12345[[#This Row],[(A/S) AJD]]-TABL12345[[#This Row],[SER_IN]]</f>
        <v>0</v>
      </c>
    </row>
    <row r="101" spans="1:42" ht="18.75" x14ac:dyDescent="0.25">
      <c r="A101" s="10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104">
        <f>TABL12345[[#This Row],[(A/S) AJD]]-TABL12345[[#This Row],[SER_IN]]</f>
        <v>0</v>
      </c>
    </row>
    <row r="102" spans="1:42" ht="18.75" x14ac:dyDescent="0.25">
      <c r="A102" s="10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104">
        <f>TABL12345[[#This Row],[(A/S) AJD]]-TABL12345[[#This Row],[SER_IN]]</f>
        <v>0</v>
      </c>
    </row>
    <row r="103" spans="1:42" ht="18.75" x14ac:dyDescent="0.25">
      <c r="A103" s="10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104">
        <f>TABL12345[[#This Row],[(A/S) AJD]]-TABL12345[[#This Row],[SER_IN]]</f>
        <v>0</v>
      </c>
    </row>
    <row r="104" spans="1:42" ht="18.75" x14ac:dyDescent="0.25">
      <c r="A104" s="10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104">
        <f>TABL12345[[#This Row],[(A/S) AJD]]-TABL12345[[#This Row],[SER_IN]]</f>
        <v>0</v>
      </c>
    </row>
    <row r="105" spans="1:42" ht="18.75" x14ac:dyDescent="0.25">
      <c r="A105" s="10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104">
        <f>TABL12345[[#This Row],[(A/S) AJD]]-TABL12345[[#This Row],[SER_IN]]</f>
        <v>0</v>
      </c>
    </row>
    <row r="106" spans="1:42" ht="18.75" x14ac:dyDescent="0.25">
      <c r="A106" s="10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104">
        <f>TABL12345[[#This Row],[(A/S) AJD]]-TABL12345[[#This Row],[SER_IN]]</f>
        <v>0</v>
      </c>
    </row>
    <row r="107" spans="1:42" ht="18.75" x14ac:dyDescent="0.25">
      <c r="A107" s="10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104">
        <f>TABL12345[[#This Row],[(A/S) AJD]]-TABL12345[[#This Row],[SER_IN]]</f>
        <v>0</v>
      </c>
    </row>
    <row r="108" spans="1:42" ht="18.75" x14ac:dyDescent="0.25">
      <c r="A108" s="10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104">
        <f>TABL12345[[#This Row],[(A/S) AJD]]-TABL12345[[#This Row],[SER_IN]]</f>
        <v>0</v>
      </c>
    </row>
    <row r="109" spans="1:42" ht="18.75" x14ac:dyDescent="0.25">
      <c r="A109" s="10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104">
        <f>TABL12345[[#This Row],[(A/S) AJD]]-TABL12345[[#This Row],[SER_IN]]</f>
        <v>0</v>
      </c>
    </row>
    <row r="110" spans="1:42" ht="18.75" x14ac:dyDescent="0.25">
      <c r="A110" s="10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104">
        <f>TABL12345[[#This Row],[(A/S) AJD]]-TABL12345[[#This Row],[SER_IN]]</f>
        <v>0</v>
      </c>
    </row>
    <row r="111" spans="1:42" ht="18.75" x14ac:dyDescent="0.25">
      <c r="A111" s="10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104">
        <f>TABL12345[[#This Row],[(A/S) AJD]]-TABL12345[[#This Row],[SER_IN]]</f>
        <v>0</v>
      </c>
    </row>
    <row r="112" spans="1:42" ht="18.75" x14ac:dyDescent="0.25">
      <c r="A112" s="10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104">
        <f>TABL12345[[#This Row],[(A/S) AJD]]-TABL12345[[#This Row],[SER_IN]]</f>
        <v>0</v>
      </c>
    </row>
    <row r="113" spans="1:42" ht="18.75" x14ac:dyDescent="0.25">
      <c r="A113" s="10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104">
        <f>TABL12345[[#This Row],[(A/S) AJD]]-TABL12345[[#This Row],[SER_IN]]</f>
        <v>0</v>
      </c>
    </row>
    <row r="114" spans="1:42" ht="18.75" x14ac:dyDescent="0.25">
      <c r="A114" s="10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104">
        <f>TABL12345[[#This Row],[(A/S) AJD]]-TABL12345[[#This Row],[SER_IN]]</f>
        <v>0</v>
      </c>
    </row>
    <row r="115" spans="1:42" ht="18.75" x14ac:dyDescent="0.25">
      <c r="A115" s="10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104">
        <f>TABL12345[[#This Row],[(A/S) AJD]]-TABL12345[[#This Row],[SER_IN]]</f>
        <v>0</v>
      </c>
    </row>
    <row r="116" spans="1:42" ht="18.75" x14ac:dyDescent="0.25">
      <c r="A116" s="10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104">
        <f>TABL12345[[#This Row],[(A/S) AJD]]-TABL12345[[#This Row],[SER_IN]]</f>
        <v>0</v>
      </c>
    </row>
    <row r="117" spans="1:42" ht="18.75" x14ac:dyDescent="0.25">
      <c r="A117" s="10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104">
        <f>TABL12345[[#This Row],[(A/S) AJD]]-TABL12345[[#This Row],[SER_IN]]</f>
        <v>0</v>
      </c>
    </row>
    <row r="118" spans="1:42" ht="18.75" x14ac:dyDescent="0.25">
      <c r="A118" s="10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104">
        <f>TABL12345[[#This Row],[(A/S) AJD]]-TABL12345[[#This Row],[SER_IN]]</f>
        <v>0</v>
      </c>
    </row>
    <row r="119" spans="1:42" ht="18.75" x14ac:dyDescent="0.25">
      <c r="A119" s="10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104">
        <f>TABL12345[[#This Row],[(A/S) AJD]]-TABL12345[[#This Row],[SER_IN]]</f>
        <v>0</v>
      </c>
    </row>
    <row r="120" spans="1:42" ht="18.75" x14ac:dyDescent="0.25">
      <c r="A120" s="10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104">
        <f>TABL12345[[#This Row],[(A/S) AJD]]-TABL12345[[#This Row],[SER_IN]]</f>
        <v>0</v>
      </c>
    </row>
    <row r="121" spans="1:42" ht="18.75" x14ac:dyDescent="0.25">
      <c r="A121" s="10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104">
        <f>TABL12345[[#This Row],[(A/S) AJD]]-TABL12345[[#This Row],[SER_IN]]</f>
        <v>0</v>
      </c>
    </row>
    <row r="122" spans="1:42" ht="18.75" x14ac:dyDescent="0.25">
      <c r="A122" s="10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104">
        <f>TABL12345[[#This Row],[(A/S) AJD]]-TABL12345[[#This Row],[SER_IN]]</f>
        <v>0</v>
      </c>
    </row>
    <row r="123" spans="1:42" ht="18.75" x14ac:dyDescent="0.25">
      <c r="A123" s="10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104">
        <f>TABL12345[[#This Row],[(A/S) AJD]]-TABL12345[[#This Row],[SER_IN]]</f>
        <v>0</v>
      </c>
    </row>
    <row r="124" spans="1:42" ht="18.75" x14ac:dyDescent="0.25">
      <c r="A124" s="10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104">
        <f>TABL12345[[#This Row],[(A/S) AJD]]-TABL12345[[#This Row],[SER_IN]]</f>
        <v>0</v>
      </c>
    </row>
    <row r="125" spans="1:42" ht="18.75" x14ac:dyDescent="0.25">
      <c r="A125" s="10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104">
        <f>TABL12345[[#This Row],[(A/S) AJD]]-TABL12345[[#This Row],[SER_IN]]</f>
        <v>0</v>
      </c>
    </row>
    <row r="126" spans="1:42" ht="18.75" x14ac:dyDescent="0.25">
      <c r="A126" s="10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104">
        <f>TABL12345[[#This Row],[(A/S) AJD]]-TABL12345[[#This Row],[SER_IN]]</f>
        <v>0</v>
      </c>
    </row>
    <row r="127" spans="1:42" ht="18.75" x14ac:dyDescent="0.25">
      <c r="A127" s="10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104">
        <f>TABL12345[[#This Row],[(A/S) AJD]]-TABL12345[[#This Row],[SER_IN]]</f>
        <v>0</v>
      </c>
    </row>
    <row r="128" spans="1:42" ht="18.75" x14ac:dyDescent="0.25">
      <c r="A128" s="10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104">
        <f>TABL12345[[#This Row],[(A/S) AJD]]-TABL12345[[#This Row],[SER_IN]]</f>
        <v>0</v>
      </c>
    </row>
    <row r="129" spans="1:42" ht="18.75" x14ac:dyDescent="0.25">
      <c r="A129" s="10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104">
        <f>TABL12345[[#This Row],[(A/S) AJD]]-TABL12345[[#This Row],[SER_IN]]</f>
        <v>0</v>
      </c>
    </row>
    <row r="130" spans="1:42" ht="18.75" x14ac:dyDescent="0.25">
      <c r="A130" s="10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104">
        <f>TABL12345[[#This Row],[(A/S) AJD]]-TABL12345[[#This Row],[SER_IN]]</f>
        <v>0</v>
      </c>
    </row>
    <row r="131" spans="1:42" ht="18.75" x14ac:dyDescent="0.25">
      <c r="A131" s="10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104">
        <f>TABL12345[[#This Row],[(A/S) AJD]]-TABL12345[[#This Row],[SER_IN]]</f>
        <v>0</v>
      </c>
    </row>
    <row r="132" spans="1:42" ht="18.75" x14ac:dyDescent="0.25">
      <c r="A132" s="10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104">
        <f>TABL12345[[#This Row],[(A/S) AJD]]-TABL12345[[#This Row],[SER_IN]]</f>
        <v>0</v>
      </c>
    </row>
    <row r="133" spans="1:42" ht="18.75" x14ac:dyDescent="0.25">
      <c r="A133" s="10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104">
        <f>TABL12345[[#This Row],[(A/S) AJD]]-TABL12345[[#This Row],[SER_IN]]</f>
        <v>0</v>
      </c>
    </row>
    <row r="134" spans="1:42" ht="18.75" x14ac:dyDescent="0.25">
      <c r="A134" s="10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104">
        <f>TABL12345[[#This Row],[(A/S) AJD]]-TABL12345[[#This Row],[SER_IN]]</f>
        <v>0</v>
      </c>
    </row>
    <row r="135" spans="1:42" ht="18.75" x14ac:dyDescent="0.25">
      <c r="A135" s="10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104">
        <f>TABL12345[[#This Row],[(A/S) AJD]]-TABL12345[[#This Row],[SER_IN]]</f>
        <v>0</v>
      </c>
    </row>
    <row r="136" spans="1:42" ht="18.75" x14ac:dyDescent="0.25">
      <c r="A136" s="10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104">
        <f>TABL12345[[#This Row],[(A/S) AJD]]-TABL12345[[#This Row],[SER_IN]]</f>
        <v>0</v>
      </c>
    </row>
    <row r="137" spans="1:42" ht="18.75" x14ac:dyDescent="0.25">
      <c r="A137" s="10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104">
        <f>TABL12345[[#This Row],[(A/S) AJD]]-TABL12345[[#This Row],[SER_IN]]</f>
        <v>0</v>
      </c>
    </row>
    <row r="138" spans="1:42" ht="18.75" x14ac:dyDescent="0.25">
      <c r="A138" s="10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104">
        <f>TABL12345[[#This Row],[(A/S) AJD]]-TABL12345[[#This Row],[SER_IN]]</f>
        <v>0</v>
      </c>
    </row>
    <row r="139" spans="1:42" ht="18.75" x14ac:dyDescent="0.25">
      <c r="A139" s="10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104">
        <f>TABL12345[[#This Row],[(A/S) AJD]]-TABL12345[[#This Row],[SER_IN]]</f>
        <v>0</v>
      </c>
    </row>
    <row r="140" spans="1:42" ht="18.75" x14ac:dyDescent="0.25">
      <c r="A140" s="10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104">
        <f>TABL12345[[#This Row],[(A/S) AJD]]-TABL12345[[#This Row],[SER_IN]]</f>
        <v>0</v>
      </c>
    </row>
    <row r="141" spans="1:42" ht="18.75" x14ac:dyDescent="0.25">
      <c r="A141" s="10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104">
        <f>TABL12345[[#This Row],[(A/S) AJD]]-TABL12345[[#This Row],[SER_IN]]</f>
        <v>0</v>
      </c>
    </row>
    <row r="142" spans="1:42" ht="18.75" x14ac:dyDescent="0.25">
      <c r="A142" s="10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104">
        <f>TABL12345[[#This Row],[(A/S) AJD]]-TABL12345[[#This Row],[SER_IN]]</f>
        <v>0</v>
      </c>
    </row>
    <row r="143" spans="1:42" ht="18.75" x14ac:dyDescent="0.25">
      <c r="A143" s="10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104">
        <f>TABL12345[[#This Row],[(A/S) AJD]]-TABL12345[[#This Row],[SER_IN]]</f>
        <v>0</v>
      </c>
    </row>
    <row r="144" spans="1:42" ht="18.75" x14ac:dyDescent="0.25">
      <c r="A144" s="10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104">
        <f>TABL12345[[#This Row],[(A/S) AJD]]-TABL12345[[#This Row],[SER_IN]]</f>
        <v>0</v>
      </c>
    </row>
    <row r="145" spans="1:42" ht="18.75" x14ac:dyDescent="0.25">
      <c r="A145" s="10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104">
        <f>TABL12345[[#This Row],[(A/S) AJD]]-TABL12345[[#This Row],[SER_IN]]</f>
        <v>0</v>
      </c>
    </row>
    <row r="146" spans="1:42" ht="18.75" x14ac:dyDescent="0.25">
      <c r="A146" s="10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104">
        <f>TABL12345[[#This Row],[(A/S) AJD]]-TABL12345[[#This Row],[SER_IN]]</f>
        <v>0</v>
      </c>
    </row>
    <row r="147" spans="1:42" ht="18.75" x14ac:dyDescent="0.25">
      <c r="A147" s="10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104">
        <f>TABL12345[[#This Row],[(A/S) AJD]]-TABL12345[[#This Row],[SER_IN]]</f>
        <v>0</v>
      </c>
    </row>
    <row r="148" spans="1:42" ht="18.75" x14ac:dyDescent="0.25">
      <c r="A148" s="10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104">
        <f>TABL12345[[#This Row],[(A/S) AJD]]-TABL12345[[#This Row],[SER_IN]]</f>
        <v>0</v>
      </c>
    </row>
    <row r="149" spans="1:42" ht="18.75" x14ac:dyDescent="0.25">
      <c r="A149" s="10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104">
        <f>TABL12345[[#This Row],[(A/S) AJD]]-TABL12345[[#This Row],[SER_IN]]</f>
        <v>0</v>
      </c>
    </row>
    <row r="150" spans="1:42" ht="18.75" x14ac:dyDescent="0.25">
      <c r="A150" s="10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104">
        <f>TABL12345[[#This Row],[(A/S) AJD]]-TABL12345[[#This Row],[SER_IN]]</f>
        <v>0</v>
      </c>
    </row>
    <row r="151" spans="1:42" ht="18.75" x14ac:dyDescent="0.25">
      <c r="A151" s="10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104">
        <f>TABL12345[[#This Row],[(A/S) AJD]]-TABL12345[[#This Row],[SER_IN]]</f>
        <v>0</v>
      </c>
    </row>
    <row r="152" spans="1:42" ht="18.75" x14ac:dyDescent="0.25">
      <c r="A152" s="10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104">
        <f>TABL12345[[#This Row],[(A/S) AJD]]-TABL12345[[#This Row],[SER_IN]]</f>
        <v>0</v>
      </c>
    </row>
    <row r="153" spans="1:42" ht="18.75" x14ac:dyDescent="0.25">
      <c r="A153" s="10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104">
        <f>TABL12345[[#This Row],[(A/S) AJD]]-TABL12345[[#This Row],[SER_IN]]</f>
        <v>0</v>
      </c>
    </row>
    <row r="154" spans="1:42" ht="18.75" x14ac:dyDescent="0.25">
      <c r="A154" s="10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104">
        <f>TABL12345[[#This Row],[(A/S) AJD]]-TABL12345[[#This Row],[SER_IN]]</f>
        <v>0</v>
      </c>
    </row>
    <row r="155" spans="1:42" ht="18.75" x14ac:dyDescent="0.25">
      <c r="A155" s="10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104">
        <f>TABL12345[[#This Row],[(A/S) AJD]]-TABL12345[[#This Row],[SER_IN]]</f>
        <v>0</v>
      </c>
    </row>
    <row r="156" spans="1:42" ht="18.75" x14ac:dyDescent="0.25">
      <c r="A156" s="10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104">
        <f>TABL12345[[#This Row],[(A/S) AJD]]-TABL12345[[#This Row],[SER_IN]]</f>
        <v>0</v>
      </c>
    </row>
    <row r="157" spans="1:42" ht="18.75" x14ac:dyDescent="0.25">
      <c r="A157" s="10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104">
        <f>TABL12345[[#This Row],[(A/S) AJD]]-TABL12345[[#This Row],[SER_IN]]</f>
        <v>0</v>
      </c>
    </row>
    <row r="158" spans="1:42" ht="18.75" x14ac:dyDescent="0.25">
      <c r="A158" s="10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104">
        <f>TABL12345[[#This Row],[(A/S) AJD]]-TABL12345[[#This Row],[SER_IN]]</f>
        <v>0</v>
      </c>
    </row>
    <row r="159" spans="1:42" ht="18.75" x14ac:dyDescent="0.25">
      <c r="A159" s="10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104">
        <f>TABL12345[[#This Row],[(A/S) AJD]]-TABL12345[[#This Row],[SER_IN]]</f>
        <v>0</v>
      </c>
    </row>
    <row r="160" spans="1:42" ht="18.75" x14ac:dyDescent="0.25">
      <c r="A160" s="10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104">
        <f>TABL12345[[#This Row],[(A/S) AJD]]-TABL12345[[#This Row],[SER_IN]]</f>
        <v>0</v>
      </c>
    </row>
    <row r="161" spans="1:42" ht="18.75" x14ac:dyDescent="0.25">
      <c r="A161" s="10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104">
        <f>TABL12345[[#This Row],[(A/S) AJD]]-TABL12345[[#This Row],[SER_IN]]</f>
        <v>0</v>
      </c>
    </row>
    <row r="162" spans="1:42" ht="18.75" x14ac:dyDescent="0.25">
      <c r="A162" s="10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104">
        <f>TABL12345[[#This Row],[(A/S) AJD]]-TABL12345[[#This Row],[SER_IN]]</f>
        <v>0</v>
      </c>
    </row>
    <row r="163" spans="1:42" ht="18.75" x14ac:dyDescent="0.25">
      <c r="A163" s="10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104">
        <f>TABL12345[[#This Row],[(A/S) AJD]]-TABL12345[[#This Row],[SER_IN]]</f>
        <v>0</v>
      </c>
    </row>
    <row r="164" spans="1:42" ht="18.75" x14ac:dyDescent="0.25">
      <c r="A164" s="10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104">
        <f>TABL12345[[#This Row],[(A/S) AJD]]-TABL12345[[#This Row],[SER_IN]]</f>
        <v>0</v>
      </c>
    </row>
    <row r="165" spans="1:42" ht="18.75" x14ac:dyDescent="0.25">
      <c r="A165" s="10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104">
        <f>TABL12345[[#This Row],[(A/S) AJD]]-TABL12345[[#This Row],[SER_IN]]</f>
        <v>0</v>
      </c>
    </row>
    <row r="166" spans="1:42" ht="18.75" x14ac:dyDescent="0.25">
      <c r="A166" s="10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104">
        <f>TABL12345[[#This Row],[(A/S) AJD]]-TABL12345[[#This Row],[SER_IN]]</f>
        <v>0</v>
      </c>
    </row>
    <row r="167" spans="1:42" ht="18.75" x14ac:dyDescent="0.25">
      <c r="A167" s="10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104">
        <f>TABL12345[[#This Row],[(A/S) AJD]]-TABL12345[[#This Row],[SER_IN]]</f>
        <v>0</v>
      </c>
    </row>
    <row r="168" spans="1:42" ht="18.75" x14ac:dyDescent="0.25">
      <c r="A168" s="10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104">
        <f>TABL12345[[#This Row],[(A/S) AJD]]-TABL12345[[#This Row],[SER_IN]]</f>
        <v>0</v>
      </c>
    </row>
    <row r="169" spans="1:42" ht="18.75" x14ac:dyDescent="0.25">
      <c r="A169" s="10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104">
        <f>TABL12345[[#This Row],[(A/S) AJD]]-TABL12345[[#This Row],[SER_IN]]</f>
        <v>0</v>
      </c>
    </row>
    <row r="170" spans="1:42" ht="18.75" x14ac:dyDescent="0.25">
      <c r="A170" s="10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104">
        <f>TABL12345[[#This Row],[(A/S) AJD]]-TABL12345[[#This Row],[SER_IN]]</f>
        <v>0</v>
      </c>
    </row>
    <row r="171" spans="1:42" ht="18.75" x14ac:dyDescent="0.25">
      <c r="A171" s="10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104">
        <f>TABL12345[[#This Row],[(A/S) AJD]]-TABL12345[[#This Row],[SER_IN]]</f>
        <v>0</v>
      </c>
    </row>
    <row r="172" spans="1:42" ht="18.75" x14ac:dyDescent="0.25">
      <c r="A172" s="10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104">
        <f>TABL12345[[#This Row],[(A/S) AJD]]-TABL12345[[#This Row],[SER_IN]]</f>
        <v>0</v>
      </c>
    </row>
    <row r="173" spans="1:42" ht="18.75" x14ac:dyDescent="0.25">
      <c r="A173" s="10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104">
        <f>TABL12345[[#This Row],[(A/S) AJD]]-TABL12345[[#This Row],[SER_IN]]</f>
        <v>0</v>
      </c>
    </row>
    <row r="174" spans="1:42" ht="18.75" x14ac:dyDescent="0.25">
      <c r="A174" s="10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104">
        <f>TABL12345[[#This Row],[(A/S) AJD]]-TABL12345[[#This Row],[SER_IN]]</f>
        <v>0</v>
      </c>
    </row>
    <row r="175" spans="1:42" ht="18.75" x14ac:dyDescent="0.25">
      <c r="A175" s="10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104">
        <f>TABL12345[[#This Row],[(A/S) AJD]]-TABL12345[[#This Row],[SER_IN]]</f>
        <v>0</v>
      </c>
    </row>
    <row r="176" spans="1:42" ht="18.75" x14ac:dyDescent="0.25">
      <c r="A176" s="10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104">
        <f>TABL12345[[#This Row],[(A/S) AJD]]-TABL12345[[#This Row],[SER_IN]]</f>
        <v>0</v>
      </c>
    </row>
    <row r="177" spans="1:42" ht="18.75" x14ac:dyDescent="0.25">
      <c r="A177" s="10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104">
        <f>TABL12345[[#This Row],[(A/S) AJD]]-TABL12345[[#This Row],[SER_IN]]</f>
        <v>0</v>
      </c>
    </row>
    <row r="178" spans="1:42" ht="18.75" x14ac:dyDescent="0.25">
      <c r="A178" s="10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104">
        <f>TABL12345[[#This Row],[(A/S) AJD]]-TABL12345[[#This Row],[SER_IN]]</f>
        <v>0</v>
      </c>
    </row>
    <row r="179" spans="1:42" ht="18.75" x14ac:dyDescent="0.25">
      <c r="A179" s="10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104">
        <f>TABL12345[[#This Row],[(A/S) AJD]]-TABL12345[[#This Row],[SER_IN]]</f>
        <v>0</v>
      </c>
    </row>
    <row r="180" spans="1:42" ht="18.75" x14ac:dyDescent="0.25">
      <c r="A180" s="10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104">
        <f>TABL12345[[#This Row],[(A/S) AJD]]-TABL12345[[#This Row],[SER_IN]]</f>
        <v>0</v>
      </c>
    </row>
    <row r="181" spans="1:42" ht="18.75" x14ac:dyDescent="0.25">
      <c r="A181" s="10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104">
        <f>TABL12345[[#This Row],[(A/S) AJD]]-TABL12345[[#This Row],[SER_IN]]</f>
        <v>0</v>
      </c>
    </row>
    <row r="182" spans="1:42" ht="18.75" x14ac:dyDescent="0.25">
      <c r="A182" s="10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104">
        <f>TABL12345[[#This Row],[(A/S) AJD]]-TABL12345[[#This Row],[SER_IN]]</f>
        <v>0</v>
      </c>
    </row>
    <row r="183" spans="1:42" ht="18.75" x14ac:dyDescent="0.25">
      <c r="A183" s="10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104">
        <f>TABL12345[[#This Row],[(A/S) AJD]]-TABL12345[[#This Row],[SER_IN]]</f>
        <v>0</v>
      </c>
    </row>
    <row r="184" spans="1:42" ht="18.75" x14ac:dyDescent="0.25">
      <c r="A184" s="10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104">
        <f>TABL12345[[#This Row],[(A/S) AJD]]-TABL12345[[#This Row],[SER_IN]]</f>
        <v>0</v>
      </c>
    </row>
    <row r="185" spans="1:42" ht="18.75" x14ac:dyDescent="0.25">
      <c r="A185" s="10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104">
        <f>TABL12345[[#This Row],[(A/S) AJD]]-TABL12345[[#This Row],[SER_IN]]</f>
        <v>0</v>
      </c>
    </row>
    <row r="186" spans="1:42" ht="18.75" x14ac:dyDescent="0.25">
      <c r="A186" s="10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104">
        <f>TABL12345[[#This Row],[(A/S) AJD]]-TABL12345[[#This Row],[SER_IN]]</f>
        <v>0</v>
      </c>
    </row>
    <row r="187" spans="1:42" ht="18.75" x14ac:dyDescent="0.25">
      <c r="A187" s="10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104">
        <f>TABL12345[[#This Row],[(A/S) AJD]]-TABL12345[[#This Row],[SER_IN]]</f>
        <v>0</v>
      </c>
    </row>
    <row r="188" spans="1:42" ht="18.75" x14ac:dyDescent="0.25">
      <c r="A188" s="10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104">
        <f>TABL12345[[#This Row],[(A/S) AJD]]-TABL12345[[#This Row],[SER_IN]]</f>
        <v>0</v>
      </c>
    </row>
    <row r="189" spans="1:42" ht="18.75" x14ac:dyDescent="0.25">
      <c r="A189" s="10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104">
        <f>TABL12345[[#This Row],[(A/S) AJD]]-TABL12345[[#This Row],[SER_IN]]</f>
        <v>0</v>
      </c>
    </row>
    <row r="190" spans="1:42" ht="18.75" x14ac:dyDescent="0.25">
      <c r="A190" s="10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104">
        <f>TABL12345[[#This Row],[(A/S) AJD]]-TABL12345[[#This Row],[SER_IN]]</f>
        <v>0</v>
      </c>
    </row>
    <row r="191" spans="1:42" ht="18.75" x14ac:dyDescent="0.25">
      <c r="A191" s="10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104">
        <f>TABL12345[[#This Row],[(A/S) AJD]]-TABL12345[[#This Row],[SER_IN]]</f>
        <v>0</v>
      </c>
    </row>
    <row r="192" spans="1:42" ht="18.75" x14ac:dyDescent="0.25">
      <c r="A192" s="10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104">
        <f>TABL12345[[#This Row],[(A/S) AJD]]-TABL12345[[#This Row],[SER_IN]]</f>
        <v>0</v>
      </c>
    </row>
    <row r="193" spans="1:42" ht="18.75" x14ac:dyDescent="0.25">
      <c r="A193" s="10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104">
        <f>TABL12345[[#This Row],[(A/S) AJD]]-TABL12345[[#This Row],[SER_IN]]</f>
        <v>0</v>
      </c>
    </row>
    <row r="194" spans="1:42" ht="18.75" x14ac:dyDescent="0.25">
      <c r="A194" s="10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104">
        <f>TABL12345[[#This Row],[(A/S) AJD]]-TABL12345[[#This Row],[SER_IN]]</f>
        <v>0</v>
      </c>
    </row>
    <row r="195" spans="1:42" ht="18.75" x14ac:dyDescent="0.25">
      <c r="A195" s="10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104">
        <f>TABL12345[[#This Row],[(A/S) AJD]]-TABL12345[[#This Row],[SER_IN]]</f>
        <v>0</v>
      </c>
    </row>
    <row r="196" spans="1:42" ht="18.75" x14ac:dyDescent="0.25">
      <c r="A196" s="10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104">
        <f>TABL12345[[#This Row],[(A/S) AJD]]-TABL12345[[#This Row],[SER_IN]]</f>
        <v>0</v>
      </c>
    </row>
    <row r="197" spans="1:42" ht="18.75" x14ac:dyDescent="0.25">
      <c r="A197" s="10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104">
        <f>TABL12345[[#This Row],[(A/S) AJD]]-TABL12345[[#This Row],[SER_IN]]</f>
        <v>0</v>
      </c>
    </row>
    <row r="198" spans="1:42" ht="18.75" x14ac:dyDescent="0.25">
      <c r="A198" s="10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104">
        <f>TABL12345[[#This Row],[(A/S) AJD]]-TABL12345[[#This Row],[SER_IN]]</f>
        <v>0</v>
      </c>
    </row>
    <row r="199" spans="1:42" ht="18.75" x14ac:dyDescent="0.25">
      <c r="A199" s="10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104">
        <f>TABL12345[[#This Row],[(A/S) AJD]]-TABL12345[[#This Row],[SER_IN]]</f>
        <v>0</v>
      </c>
    </row>
    <row r="200" spans="1:42" ht="18.75" x14ac:dyDescent="0.25">
      <c r="A200" s="10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104">
        <f>TABL12345[[#This Row],[(A/S) AJD]]-TABL12345[[#This Row],[SER_IN]]</f>
        <v>0</v>
      </c>
    </row>
    <row r="201" spans="1:42" ht="18.75" x14ac:dyDescent="0.25">
      <c r="A201" s="10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104">
        <f>TABL12345[[#This Row],[(A/S) AJD]]-TABL12345[[#This Row],[SER_IN]]</f>
        <v>0</v>
      </c>
    </row>
    <row r="202" spans="1:42" ht="18.75" x14ac:dyDescent="0.25">
      <c r="A202" s="10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104">
        <f>TABL12345[[#This Row],[(A/S) AJD]]-TABL12345[[#This Row],[SER_IN]]</f>
        <v>0</v>
      </c>
    </row>
    <row r="203" spans="1:42" ht="18.75" x14ac:dyDescent="0.25">
      <c r="A203" s="10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104">
        <f>TABL12345[[#This Row],[(A/S) AJD]]-TABL12345[[#This Row],[SER_IN]]</f>
        <v>0</v>
      </c>
    </row>
    <row r="204" spans="1:42" ht="18.75" x14ac:dyDescent="0.25">
      <c r="A204" s="10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104">
        <f>TABL12345[[#This Row],[(A/S) AJD]]-TABL12345[[#This Row],[SER_IN]]</f>
        <v>0</v>
      </c>
    </row>
    <row r="205" spans="1:42" ht="18.75" x14ac:dyDescent="0.25">
      <c r="A205" s="10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104">
        <f>TABL12345[[#This Row],[(A/S) AJD]]-TABL12345[[#This Row],[SER_IN]]</f>
        <v>0</v>
      </c>
    </row>
    <row r="206" spans="1:42" ht="18.75" x14ac:dyDescent="0.25">
      <c r="A206" s="10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104">
        <f>TABL12345[[#This Row],[(A/S) AJD]]-TABL12345[[#This Row],[SER_IN]]</f>
        <v>0</v>
      </c>
    </row>
    <row r="207" spans="1:42" ht="18.75" x14ac:dyDescent="0.25">
      <c r="A207" s="10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104">
        <f>TABL12345[[#This Row],[(A/S) AJD]]-TABL12345[[#This Row],[SER_IN]]</f>
        <v>0</v>
      </c>
    </row>
    <row r="208" spans="1:42" ht="18.75" x14ac:dyDescent="0.25">
      <c r="A208" s="10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104">
        <f>TABL12345[[#This Row],[(A/S) AJD]]-TABL12345[[#This Row],[SER_IN]]</f>
        <v>0</v>
      </c>
    </row>
    <row r="209" spans="1:42" ht="18.75" x14ac:dyDescent="0.25">
      <c r="A209" s="10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104">
        <f>TABL12345[[#This Row],[(A/S) AJD]]-TABL12345[[#This Row],[SER_IN]]</f>
        <v>0</v>
      </c>
    </row>
    <row r="210" spans="1:42" ht="18.75" x14ac:dyDescent="0.25">
      <c r="A210" s="10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104">
        <f>TABL12345[[#This Row],[(A/S) AJD]]-TABL12345[[#This Row],[SER_IN]]</f>
        <v>0</v>
      </c>
    </row>
    <row r="211" spans="1:42" ht="18.75" x14ac:dyDescent="0.25">
      <c r="A211" s="10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104">
        <f>TABL12345[[#This Row],[(A/S) AJD]]-TABL12345[[#This Row],[SER_IN]]</f>
        <v>0</v>
      </c>
    </row>
    <row r="212" spans="1:42" ht="18.75" x14ac:dyDescent="0.25">
      <c r="A212" s="10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104">
        <f>TABL12345[[#This Row],[(A/S) AJD]]-TABL12345[[#This Row],[SER_IN]]</f>
        <v>0</v>
      </c>
    </row>
    <row r="213" spans="1:42" ht="18.75" x14ac:dyDescent="0.25">
      <c r="A213" s="10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104">
        <f>TABL12345[[#This Row],[(A/S) AJD]]-TABL12345[[#This Row],[SER_IN]]</f>
        <v>0</v>
      </c>
    </row>
    <row r="214" spans="1:42" ht="18.75" x14ac:dyDescent="0.25">
      <c r="A214" s="10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104">
        <f>TABL12345[[#This Row],[(A/S) AJD]]-TABL12345[[#This Row],[SER_IN]]</f>
        <v>0</v>
      </c>
    </row>
    <row r="215" spans="1:42" ht="18.75" x14ac:dyDescent="0.25">
      <c r="A215" s="10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104">
        <f>TABL12345[[#This Row],[(A/S) AJD]]-TABL12345[[#This Row],[SER_IN]]</f>
        <v>0</v>
      </c>
    </row>
    <row r="216" spans="1:42" ht="18.75" x14ac:dyDescent="0.25">
      <c r="A216" s="10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104">
        <f>TABL12345[[#This Row],[(A/S) AJD]]-TABL12345[[#This Row],[SER_IN]]</f>
        <v>0</v>
      </c>
    </row>
    <row r="217" spans="1:42" ht="18.75" x14ac:dyDescent="0.25">
      <c r="A217" s="10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104">
        <f>TABL12345[[#This Row],[(A/S) AJD]]-TABL12345[[#This Row],[SER_IN]]</f>
        <v>0</v>
      </c>
    </row>
    <row r="218" spans="1:42" ht="18.75" x14ac:dyDescent="0.25">
      <c r="A218" s="10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104">
        <f>TABL12345[[#This Row],[(A/S) AJD]]-TABL12345[[#This Row],[SER_IN]]</f>
        <v>0</v>
      </c>
    </row>
    <row r="219" spans="1:42" ht="18.75" x14ac:dyDescent="0.25">
      <c r="A219" s="10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104">
        <f>TABL12345[[#This Row],[(A/S) AJD]]-TABL12345[[#This Row],[SER_IN]]</f>
        <v>0</v>
      </c>
    </row>
    <row r="220" spans="1:42" ht="18.75" x14ac:dyDescent="0.25">
      <c r="A220" s="10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104">
        <f>TABL12345[[#This Row],[(A/S) AJD]]-TABL12345[[#This Row],[SER_IN]]</f>
        <v>0</v>
      </c>
    </row>
    <row r="221" spans="1:42" ht="18.75" x14ac:dyDescent="0.25">
      <c r="A221" s="10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104">
        <f>TABL12345[[#This Row],[(A/S) AJD]]-TABL12345[[#This Row],[SER_IN]]</f>
        <v>0</v>
      </c>
    </row>
    <row r="222" spans="1:42" ht="18.75" x14ac:dyDescent="0.25">
      <c r="A222" s="10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104">
        <f>TABL12345[[#This Row],[(A/S) AJD]]-TABL12345[[#This Row],[SER_IN]]</f>
        <v>0</v>
      </c>
    </row>
    <row r="223" spans="1:42" ht="18.75" x14ac:dyDescent="0.25">
      <c r="A223" s="10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104">
        <f>TABL12345[[#This Row],[(A/S) AJD]]-TABL12345[[#This Row],[SER_IN]]</f>
        <v>0</v>
      </c>
    </row>
    <row r="224" spans="1:42" ht="18.75" x14ac:dyDescent="0.25">
      <c r="A224" s="10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104">
        <f>TABL12345[[#This Row],[(A/S) AJD]]-TABL12345[[#This Row],[SER_IN]]</f>
        <v>0</v>
      </c>
    </row>
    <row r="225" spans="1:42" ht="18.75" x14ac:dyDescent="0.25">
      <c r="A225" s="10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104">
        <f>TABL12345[[#This Row],[(A/S) AJD]]-TABL12345[[#This Row],[SER_IN]]</f>
        <v>0</v>
      </c>
    </row>
    <row r="226" spans="1:42" ht="18.75" x14ac:dyDescent="0.25">
      <c r="A226" s="10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104">
        <f>TABL12345[[#This Row],[(A/S) AJD]]-TABL12345[[#This Row],[SER_IN]]</f>
        <v>0</v>
      </c>
    </row>
    <row r="227" spans="1:42" ht="18.75" x14ac:dyDescent="0.25">
      <c r="A227" s="10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104">
        <f>TABL12345[[#This Row],[(A/S) AJD]]-TABL12345[[#This Row],[SER_IN]]</f>
        <v>0</v>
      </c>
    </row>
    <row r="228" spans="1:42" ht="18.75" x14ac:dyDescent="0.25">
      <c r="A228" s="10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104">
        <f>TABL12345[[#This Row],[(A/S) AJD]]-TABL12345[[#This Row],[SER_IN]]</f>
        <v>0</v>
      </c>
    </row>
    <row r="229" spans="1:42" ht="18.75" x14ac:dyDescent="0.25">
      <c r="A229" s="10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104">
        <f>TABL12345[[#This Row],[(A/S) AJD]]-TABL12345[[#This Row],[SER_IN]]</f>
        <v>0</v>
      </c>
    </row>
    <row r="230" spans="1:42" ht="18.75" x14ac:dyDescent="0.25">
      <c r="A230" s="10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104">
        <f>TABL12345[[#This Row],[(A/S) AJD]]-TABL12345[[#This Row],[SER_IN]]</f>
        <v>0</v>
      </c>
    </row>
    <row r="231" spans="1:42" ht="18.75" x14ac:dyDescent="0.25">
      <c r="A231" s="10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104">
        <f>TABL12345[[#This Row],[(A/S) AJD]]-TABL12345[[#This Row],[SER_IN]]</f>
        <v>0</v>
      </c>
    </row>
    <row r="232" spans="1:42" ht="18.75" x14ac:dyDescent="0.25">
      <c r="A232" s="102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104">
        <f>TABL12345[[#This Row],[(A/S) AJD]]-TABL12345[[#This Row],[SER_IN]]</f>
        <v>0</v>
      </c>
    </row>
    <row r="233" spans="1:42" ht="18.75" x14ac:dyDescent="0.25">
      <c r="A233" s="10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104">
        <f>TABL12345[[#This Row],[(A/S) AJD]]-TABL12345[[#This Row],[SER_IN]]</f>
        <v>0</v>
      </c>
    </row>
    <row r="234" spans="1:42" ht="18.75" x14ac:dyDescent="0.25">
      <c r="A234" s="10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104">
        <f>TABL12345[[#This Row],[(A/S) AJD]]-TABL12345[[#This Row],[SER_IN]]</f>
        <v>0</v>
      </c>
    </row>
    <row r="235" spans="1:42" ht="18.75" x14ac:dyDescent="0.25">
      <c r="A235" s="10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104">
        <f>TABL12345[[#This Row],[(A/S) AJD]]-TABL12345[[#This Row],[SER_IN]]</f>
        <v>0</v>
      </c>
    </row>
    <row r="236" spans="1:42" ht="18.75" x14ac:dyDescent="0.25">
      <c r="A236" s="10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104">
        <f>TABL12345[[#This Row],[(A/S) AJD]]-TABL12345[[#This Row],[SER_IN]]</f>
        <v>0</v>
      </c>
    </row>
    <row r="237" spans="1:42" ht="18.75" x14ac:dyDescent="0.25">
      <c r="A237" s="10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104">
        <f>TABL12345[[#This Row],[(A/S) AJD]]-TABL12345[[#This Row],[SER_IN]]</f>
        <v>0</v>
      </c>
    </row>
    <row r="238" spans="1:42" ht="18.75" x14ac:dyDescent="0.25">
      <c r="A238" s="10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104">
        <f>TABL12345[[#This Row],[(A/S) AJD]]-TABL12345[[#This Row],[SER_IN]]</f>
        <v>0</v>
      </c>
    </row>
    <row r="239" spans="1:42" ht="18.75" x14ac:dyDescent="0.25">
      <c r="A239" s="10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104">
        <f>TABL12345[[#This Row],[(A/S) AJD]]-TABL12345[[#This Row],[SER_IN]]</f>
        <v>0</v>
      </c>
    </row>
    <row r="240" spans="1:42" ht="18.75" x14ac:dyDescent="0.25">
      <c r="A240" s="10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104">
        <f>TABL12345[[#This Row],[(A/S) AJD]]-TABL12345[[#This Row],[SER_IN]]</f>
        <v>0</v>
      </c>
    </row>
    <row r="241" spans="1:42" ht="18.75" x14ac:dyDescent="0.25">
      <c r="A241" s="10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104">
        <f>TABL12345[[#This Row],[(A/S) AJD]]-TABL12345[[#This Row],[SER_IN]]</f>
        <v>0</v>
      </c>
    </row>
    <row r="242" spans="1:42" ht="18.75" x14ac:dyDescent="0.25">
      <c r="A242" s="10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104">
        <f>TABL12345[[#This Row],[(A/S) AJD]]-TABL12345[[#This Row],[SER_IN]]</f>
        <v>0</v>
      </c>
    </row>
    <row r="243" spans="1:42" ht="18.75" x14ac:dyDescent="0.25">
      <c r="A243" s="10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104">
        <f>TABL12345[[#This Row],[(A/S) AJD]]-TABL12345[[#This Row],[SER_IN]]</f>
        <v>0</v>
      </c>
    </row>
    <row r="244" spans="1:42" ht="18.75" x14ac:dyDescent="0.25">
      <c r="A244" s="10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104">
        <f>TABL12345[[#This Row],[(A/S) AJD]]-TABL12345[[#This Row],[SER_IN]]</f>
        <v>0</v>
      </c>
    </row>
    <row r="245" spans="1:42" ht="18.75" x14ac:dyDescent="0.25">
      <c r="A245" s="10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104">
        <f>TABL12345[[#This Row],[(A/S) AJD]]-TABL12345[[#This Row],[SER_IN]]</f>
        <v>0</v>
      </c>
    </row>
    <row r="246" spans="1:42" ht="18.75" x14ac:dyDescent="0.25">
      <c r="A246" s="10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104">
        <f>TABL12345[[#This Row],[(A/S) AJD]]-TABL12345[[#This Row],[SER_IN]]</f>
        <v>0</v>
      </c>
    </row>
    <row r="247" spans="1:42" ht="18.75" x14ac:dyDescent="0.25">
      <c r="A247" s="10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104">
        <f>TABL12345[[#This Row],[(A/S) AJD]]-TABL12345[[#This Row],[SER_IN]]</f>
        <v>0</v>
      </c>
    </row>
    <row r="248" spans="1:42" ht="18.75" x14ac:dyDescent="0.25">
      <c r="A248" s="10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104">
        <f>TABL12345[[#This Row],[(A/S) AJD]]-TABL12345[[#This Row],[SER_IN]]</f>
        <v>0</v>
      </c>
    </row>
    <row r="249" spans="1:42" ht="18.75" x14ac:dyDescent="0.25">
      <c r="A249" s="10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104">
        <f>TABL12345[[#This Row],[(A/S) AJD]]-TABL12345[[#This Row],[SER_IN]]</f>
        <v>0</v>
      </c>
    </row>
    <row r="250" spans="1:42" ht="18.75" x14ac:dyDescent="0.25">
      <c r="A250" s="10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104">
        <f>TABL12345[[#This Row],[(A/S) AJD]]-TABL12345[[#This Row],[SER_IN]]</f>
        <v>0</v>
      </c>
    </row>
    <row r="251" spans="1:42" ht="18.75" x14ac:dyDescent="0.25">
      <c r="A251" s="10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104">
        <f>TABL12345[[#This Row],[(A/S) AJD]]-TABL12345[[#This Row],[SER_IN]]</f>
        <v>0</v>
      </c>
    </row>
    <row r="252" spans="1:42" ht="18.75" x14ac:dyDescent="0.25">
      <c r="A252" s="10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104">
        <f>TABL12345[[#This Row],[(A/S) AJD]]-TABL12345[[#This Row],[SER_IN]]</f>
        <v>0</v>
      </c>
    </row>
    <row r="253" spans="1:42" ht="18.75" x14ac:dyDescent="0.25">
      <c r="A253" s="10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104">
        <f>TABL12345[[#This Row],[(A/S) AJD]]-TABL12345[[#This Row],[SER_IN]]</f>
        <v>0</v>
      </c>
    </row>
    <row r="254" spans="1:42" ht="18.75" x14ac:dyDescent="0.25">
      <c r="A254" s="10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104">
        <f>TABL12345[[#This Row],[(A/S) AJD]]-TABL12345[[#This Row],[SER_IN]]</f>
        <v>0</v>
      </c>
    </row>
    <row r="255" spans="1:42" ht="18.75" x14ac:dyDescent="0.25">
      <c r="A255" s="10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104">
        <f>TABL12345[[#This Row],[(A/S) AJD]]-TABL12345[[#This Row],[SER_IN]]</f>
        <v>0</v>
      </c>
    </row>
    <row r="256" spans="1:42" ht="18.75" x14ac:dyDescent="0.25">
      <c r="A256" s="10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104">
        <f>TABL12345[[#This Row],[(A/S) AJD]]-TABL12345[[#This Row],[SER_IN]]</f>
        <v>0</v>
      </c>
    </row>
    <row r="257" spans="1:42" ht="18.75" x14ac:dyDescent="0.25">
      <c r="A257" s="10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104">
        <f>TABL12345[[#This Row],[(A/S) AJD]]-TABL12345[[#This Row],[SER_IN]]</f>
        <v>0</v>
      </c>
    </row>
    <row r="258" spans="1:42" ht="18.75" x14ac:dyDescent="0.25">
      <c r="A258" s="10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104">
        <f>TABL12345[[#This Row],[(A/S) AJD]]-TABL12345[[#This Row],[SER_IN]]</f>
        <v>0</v>
      </c>
    </row>
    <row r="259" spans="1:42" ht="18.75" x14ac:dyDescent="0.25">
      <c r="A259" s="10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104">
        <f>TABL12345[[#This Row],[(A/S) AJD]]-TABL12345[[#This Row],[SER_IN]]</f>
        <v>0</v>
      </c>
    </row>
    <row r="260" spans="1:42" ht="18.75" x14ac:dyDescent="0.25">
      <c r="A260" s="10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104">
        <f>TABL12345[[#This Row],[(A/S) AJD]]-TABL12345[[#This Row],[SER_IN]]</f>
        <v>0</v>
      </c>
    </row>
    <row r="261" spans="1:42" ht="18.75" x14ac:dyDescent="0.25">
      <c r="A261" s="10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104">
        <f>TABL12345[[#This Row],[(A/S) AJD]]-TABL12345[[#This Row],[SER_IN]]</f>
        <v>0</v>
      </c>
    </row>
    <row r="262" spans="1:42" ht="18.75" x14ac:dyDescent="0.25">
      <c r="A262" s="10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104">
        <f>TABL12345[[#This Row],[(A/S) AJD]]-TABL12345[[#This Row],[SER_IN]]</f>
        <v>0</v>
      </c>
    </row>
    <row r="263" spans="1:42" ht="18.75" x14ac:dyDescent="0.25">
      <c r="A263" s="10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104">
        <f>TABL12345[[#This Row],[(A/S) AJD]]-TABL12345[[#This Row],[SER_IN]]</f>
        <v>0</v>
      </c>
    </row>
    <row r="264" spans="1:42" ht="18.75" x14ac:dyDescent="0.25">
      <c r="A264" s="10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104">
        <f>TABL12345[[#This Row],[(A/S) AJD]]-TABL12345[[#This Row],[SER_IN]]</f>
        <v>0</v>
      </c>
    </row>
    <row r="265" spans="1:42" ht="18.75" x14ac:dyDescent="0.25">
      <c r="A265" s="10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104">
        <f>TABL12345[[#This Row],[(A/S) AJD]]-TABL12345[[#This Row],[SER_IN]]</f>
        <v>0</v>
      </c>
    </row>
    <row r="266" spans="1:42" ht="18.75" x14ac:dyDescent="0.25">
      <c r="A266" s="10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104">
        <f>TABL12345[[#This Row],[(A/S) AJD]]-TABL12345[[#This Row],[SER_IN]]</f>
        <v>0</v>
      </c>
    </row>
    <row r="267" spans="1:42" ht="18.75" x14ac:dyDescent="0.25">
      <c r="A267" s="10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104">
        <f>TABL12345[[#This Row],[(A/S) AJD]]-TABL12345[[#This Row],[SER_IN]]</f>
        <v>0</v>
      </c>
    </row>
    <row r="268" spans="1:42" ht="18.75" x14ac:dyDescent="0.25">
      <c r="A268" s="10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104">
        <f>TABL12345[[#This Row],[(A/S) AJD]]-TABL12345[[#This Row],[SER_IN]]</f>
        <v>0</v>
      </c>
    </row>
    <row r="269" spans="1:42" ht="18.75" x14ac:dyDescent="0.25">
      <c r="A269" s="10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104">
        <f>TABL12345[[#This Row],[(A/S) AJD]]-TABL12345[[#This Row],[SER_IN]]</f>
        <v>0</v>
      </c>
    </row>
    <row r="270" spans="1:42" ht="18.75" x14ac:dyDescent="0.25">
      <c r="A270" s="10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104">
        <f>TABL12345[[#This Row],[(A/S) AJD]]-TABL12345[[#This Row],[SER_IN]]</f>
        <v>0</v>
      </c>
    </row>
    <row r="271" spans="1:42" ht="18.75" x14ac:dyDescent="0.25">
      <c r="A271" s="10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104">
        <f>TABL12345[[#This Row],[(A/S) AJD]]-TABL12345[[#This Row],[SER_IN]]</f>
        <v>0</v>
      </c>
    </row>
    <row r="272" spans="1:42" ht="18.75" x14ac:dyDescent="0.25">
      <c r="A272" s="10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104">
        <f>TABL12345[[#This Row],[(A/S) AJD]]-TABL12345[[#This Row],[SER_IN]]</f>
        <v>0</v>
      </c>
    </row>
    <row r="273" spans="1:42" ht="18.75" x14ac:dyDescent="0.25">
      <c r="A273" s="10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104">
        <f>TABL12345[[#This Row],[(A/S) AJD]]-TABL12345[[#This Row],[SER_IN]]</f>
        <v>0</v>
      </c>
    </row>
    <row r="274" spans="1:42" ht="18.75" x14ac:dyDescent="0.25">
      <c r="A274" s="10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104">
        <f>TABL12345[[#This Row],[(A/S) AJD]]-TABL12345[[#This Row],[SER_IN]]</f>
        <v>0</v>
      </c>
    </row>
    <row r="275" spans="1:42" ht="18.75" x14ac:dyDescent="0.25">
      <c r="A275" s="10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104">
        <f>TABL12345[[#This Row],[(A/S) AJD]]-TABL12345[[#This Row],[SER_IN]]</f>
        <v>0</v>
      </c>
    </row>
    <row r="276" spans="1:42" ht="18.75" x14ac:dyDescent="0.25">
      <c r="A276" s="10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104">
        <f>TABL12345[[#This Row],[(A/S) AJD]]-TABL12345[[#This Row],[SER_IN]]</f>
        <v>0</v>
      </c>
    </row>
    <row r="277" spans="1:42" ht="18.75" x14ac:dyDescent="0.25">
      <c r="A277" s="10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104">
        <f>TABL12345[[#This Row],[(A/S) AJD]]-TABL12345[[#This Row],[SER_IN]]</f>
        <v>0</v>
      </c>
    </row>
    <row r="278" spans="1:42" ht="18.75" x14ac:dyDescent="0.25">
      <c r="A278" s="10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104">
        <f>TABL12345[[#This Row],[(A/S) AJD]]-TABL12345[[#This Row],[SER_IN]]</f>
        <v>0</v>
      </c>
    </row>
    <row r="279" spans="1:42" ht="18.75" x14ac:dyDescent="0.25">
      <c r="A279" s="10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104">
        <f>TABL12345[[#This Row],[(A/S) AJD]]-TABL12345[[#This Row],[SER_IN]]</f>
        <v>0</v>
      </c>
    </row>
    <row r="280" spans="1:42" ht="18.75" x14ac:dyDescent="0.25">
      <c r="A280" s="10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104">
        <f>TABL12345[[#This Row],[(A/S) AJD]]-TABL12345[[#This Row],[SER_IN]]</f>
        <v>0</v>
      </c>
    </row>
    <row r="281" spans="1:42" ht="18.75" x14ac:dyDescent="0.25">
      <c r="A281" s="10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104">
        <f>TABL12345[[#This Row],[(A/S) AJD]]-TABL12345[[#This Row],[SER_IN]]</f>
        <v>0</v>
      </c>
    </row>
    <row r="282" spans="1:42" ht="18.75" x14ac:dyDescent="0.25">
      <c r="A282" s="10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104">
        <f>TABL12345[[#This Row],[(A/S) AJD]]-TABL12345[[#This Row],[SER_IN]]</f>
        <v>0</v>
      </c>
    </row>
    <row r="283" spans="1:42" ht="18.75" x14ac:dyDescent="0.25">
      <c r="A283" s="10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104">
        <f>TABL12345[[#This Row],[(A/S) AJD]]-TABL12345[[#This Row],[SER_IN]]</f>
        <v>0</v>
      </c>
    </row>
    <row r="284" spans="1:42" ht="18.75" x14ac:dyDescent="0.25">
      <c r="A284" s="10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104">
        <f>TABL12345[[#This Row],[(A/S) AJD]]-TABL12345[[#This Row],[SER_IN]]</f>
        <v>0</v>
      </c>
    </row>
    <row r="285" spans="1:42" ht="18.75" x14ac:dyDescent="0.25">
      <c r="A285" s="10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104">
        <f>TABL12345[[#This Row],[(A/S) AJD]]-TABL12345[[#This Row],[SER_IN]]</f>
        <v>0</v>
      </c>
    </row>
    <row r="286" spans="1:42" ht="18.75" x14ac:dyDescent="0.25">
      <c r="A286" s="10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104">
        <f>TABL12345[[#This Row],[(A/S) AJD]]-TABL12345[[#This Row],[SER_IN]]</f>
        <v>0</v>
      </c>
    </row>
    <row r="287" spans="1:42" ht="18.75" x14ac:dyDescent="0.25">
      <c r="A287" s="10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104">
        <f>TABL12345[[#This Row],[(A/S) AJD]]-TABL12345[[#This Row],[SER_IN]]</f>
        <v>0</v>
      </c>
    </row>
    <row r="288" spans="1:42" ht="18.75" x14ac:dyDescent="0.25">
      <c r="A288" s="10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104">
        <f>TABL12345[[#This Row],[(A/S) AJD]]-TABL12345[[#This Row],[SER_IN]]</f>
        <v>0</v>
      </c>
    </row>
    <row r="289" spans="1:42" ht="18.75" x14ac:dyDescent="0.25">
      <c r="A289" s="10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104">
        <f>TABL12345[[#This Row],[(A/S) AJD]]-TABL12345[[#This Row],[SER_IN]]</f>
        <v>0</v>
      </c>
    </row>
    <row r="290" spans="1:42" ht="18.75" x14ac:dyDescent="0.25">
      <c r="A290" s="10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104">
        <f>TABL12345[[#This Row],[(A/S) AJD]]-TABL12345[[#This Row],[SER_IN]]</f>
        <v>0</v>
      </c>
    </row>
    <row r="291" spans="1:42" ht="18.75" x14ac:dyDescent="0.25">
      <c r="A291" s="10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104">
        <f>TABL12345[[#This Row],[(A/S) AJD]]-TABL12345[[#This Row],[SER_IN]]</f>
        <v>0</v>
      </c>
    </row>
    <row r="292" spans="1:42" ht="18.75" x14ac:dyDescent="0.25">
      <c r="A292" s="10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104">
        <f>TABL12345[[#This Row],[(A/S) AJD]]-TABL12345[[#This Row],[SER_IN]]</f>
        <v>0</v>
      </c>
    </row>
    <row r="293" spans="1:42" ht="18.75" x14ac:dyDescent="0.25">
      <c r="A293" s="10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104">
        <f>TABL12345[[#This Row],[(A/S) AJD]]-TABL12345[[#This Row],[SER_IN]]</f>
        <v>0</v>
      </c>
    </row>
    <row r="294" spans="1:42" ht="18.75" x14ac:dyDescent="0.25">
      <c r="A294" s="10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104">
        <f>TABL12345[[#This Row],[(A/S) AJD]]-TABL12345[[#This Row],[SER_IN]]</f>
        <v>0</v>
      </c>
    </row>
    <row r="295" spans="1:42" ht="18.75" x14ac:dyDescent="0.25">
      <c r="A295" s="10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104">
        <f>TABL12345[[#This Row],[(A/S) AJD]]-TABL12345[[#This Row],[SER_IN]]</f>
        <v>0</v>
      </c>
    </row>
    <row r="296" spans="1:42" ht="18.75" x14ac:dyDescent="0.25">
      <c r="A296" s="10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104">
        <f>TABL12345[[#This Row],[(A/S) AJD]]-TABL12345[[#This Row],[SER_IN]]</f>
        <v>0</v>
      </c>
    </row>
    <row r="297" spans="1:42" ht="18.75" x14ac:dyDescent="0.25">
      <c r="A297" s="10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104">
        <f>TABL12345[[#This Row],[(A/S) AJD]]-TABL12345[[#This Row],[SER_IN]]</f>
        <v>0</v>
      </c>
    </row>
    <row r="298" spans="1:42" ht="18.75" x14ac:dyDescent="0.25">
      <c r="A298" s="10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104">
        <f>TABL12345[[#This Row],[(A/S) AJD]]-TABL12345[[#This Row],[SER_IN]]</f>
        <v>0</v>
      </c>
    </row>
    <row r="299" spans="1:42" ht="18.75" x14ac:dyDescent="0.25">
      <c r="A299" s="10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104">
        <f>TABL12345[[#This Row],[(A/S) AJD]]-TABL12345[[#This Row],[SER_IN]]</f>
        <v>0</v>
      </c>
    </row>
    <row r="300" spans="1:42" ht="18.75" x14ac:dyDescent="0.25">
      <c r="A300" s="10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104">
        <f>TABL12345[[#This Row],[(A/S) AJD]]-TABL12345[[#This Row],[SER_IN]]</f>
        <v>0</v>
      </c>
    </row>
    <row r="301" spans="1:42" ht="18.75" x14ac:dyDescent="0.25">
      <c r="A301" s="10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104">
        <f>TABL12345[[#This Row],[(A/S) AJD]]-TABL12345[[#This Row],[SER_IN]]</f>
        <v>0</v>
      </c>
    </row>
    <row r="302" spans="1:42" ht="18.75" x14ac:dyDescent="0.25">
      <c r="A302" s="10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104">
        <f>TABL12345[[#This Row],[(A/S) AJD]]-TABL12345[[#This Row],[SER_IN]]</f>
        <v>0</v>
      </c>
    </row>
    <row r="303" spans="1:42" ht="18.75" x14ac:dyDescent="0.25">
      <c r="A303" s="10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104">
        <f>TABL12345[[#This Row],[(A/S) AJD]]-TABL12345[[#This Row],[SER_IN]]</f>
        <v>0</v>
      </c>
    </row>
    <row r="304" spans="1:42" ht="18.75" x14ac:dyDescent="0.25">
      <c r="A304" s="10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104">
        <f>TABL12345[[#This Row],[(A/S) AJD]]-TABL12345[[#This Row],[SER_IN]]</f>
        <v>0</v>
      </c>
    </row>
    <row r="305" spans="1:42" ht="18.75" x14ac:dyDescent="0.25">
      <c r="A305" s="10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104">
        <f>TABL12345[[#This Row],[(A/S) AJD]]-TABL12345[[#This Row],[SER_IN]]</f>
        <v>0</v>
      </c>
    </row>
    <row r="306" spans="1:42" ht="18.75" x14ac:dyDescent="0.25">
      <c r="A306" s="10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104">
        <f>TABL12345[[#This Row],[(A/S) AJD]]-TABL12345[[#This Row],[SER_IN]]</f>
        <v>0</v>
      </c>
    </row>
    <row r="307" spans="1:42" ht="18.75" x14ac:dyDescent="0.25">
      <c r="A307" s="10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104">
        <f>TABL12345[[#This Row],[(A/S) AJD]]-TABL12345[[#This Row],[SER_IN]]</f>
        <v>0</v>
      </c>
    </row>
    <row r="308" spans="1:42" ht="18.75" x14ac:dyDescent="0.25">
      <c r="A308" s="10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104">
        <f>TABL12345[[#This Row],[(A/S) AJD]]-TABL12345[[#This Row],[SER_IN]]</f>
        <v>0</v>
      </c>
    </row>
    <row r="309" spans="1:42" ht="18.75" x14ac:dyDescent="0.25">
      <c r="A309" s="10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104">
        <f>TABL12345[[#This Row],[(A/S) AJD]]-TABL12345[[#This Row],[SER_IN]]</f>
        <v>0</v>
      </c>
    </row>
    <row r="310" spans="1:42" ht="18.75" x14ac:dyDescent="0.25">
      <c r="A310" s="10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104">
        <f>TABL12345[[#This Row],[(A/S) AJD]]-TABL12345[[#This Row],[SER_IN]]</f>
        <v>0</v>
      </c>
    </row>
    <row r="311" spans="1:42" ht="18.75" x14ac:dyDescent="0.25">
      <c r="A311" s="10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104">
        <f>TABL12345[[#This Row],[(A/S) AJD]]-TABL12345[[#This Row],[SER_IN]]</f>
        <v>0</v>
      </c>
    </row>
    <row r="312" spans="1:42" ht="18.75" x14ac:dyDescent="0.25">
      <c r="A312" s="10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104">
        <f>TABL12345[[#This Row],[(A/S) AJD]]-TABL12345[[#This Row],[SER_IN]]</f>
        <v>0</v>
      </c>
    </row>
    <row r="313" spans="1:42" ht="18.75" x14ac:dyDescent="0.25">
      <c r="A313" s="10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104">
        <f>TABL12345[[#This Row],[(A/S) AJD]]-TABL12345[[#This Row],[SER_IN]]</f>
        <v>0</v>
      </c>
    </row>
    <row r="314" spans="1:42" ht="18.75" x14ac:dyDescent="0.25">
      <c r="A314" s="10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104">
        <f>TABL12345[[#This Row],[(A/S) AJD]]-TABL12345[[#This Row],[SER_IN]]</f>
        <v>0</v>
      </c>
    </row>
    <row r="315" spans="1:42" ht="18.75" x14ac:dyDescent="0.25">
      <c r="A315" s="10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104">
        <f>TABL12345[[#This Row],[(A/S) AJD]]-TABL12345[[#This Row],[SER_IN]]</f>
        <v>0</v>
      </c>
    </row>
    <row r="316" spans="1:42" ht="18.75" x14ac:dyDescent="0.25">
      <c r="A316" s="10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104">
        <f>TABL12345[[#This Row],[(A/S) AJD]]-TABL12345[[#This Row],[SER_IN]]</f>
        <v>0</v>
      </c>
    </row>
    <row r="317" spans="1:42" ht="18.75" x14ac:dyDescent="0.25">
      <c r="A317" s="10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104">
        <f>TABL12345[[#This Row],[(A/S) AJD]]-TABL12345[[#This Row],[SER_IN]]</f>
        <v>0</v>
      </c>
    </row>
    <row r="318" spans="1:42" ht="18.75" x14ac:dyDescent="0.25">
      <c r="A318" s="10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104">
        <f>TABL12345[[#This Row],[(A/S) AJD]]-TABL12345[[#This Row],[SER_IN]]</f>
        <v>0</v>
      </c>
    </row>
    <row r="319" spans="1:42" ht="18.75" x14ac:dyDescent="0.25">
      <c r="A319" s="10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104">
        <f>TABL12345[[#This Row],[(A/S) AJD]]-TABL12345[[#This Row],[SER_IN]]</f>
        <v>0</v>
      </c>
    </row>
    <row r="320" spans="1:42" ht="18.75" x14ac:dyDescent="0.25">
      <c r="A320" s="10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104">
        <f>TABL12345[[#This Row],[(A/S) AJD]]-TABL12345[[#This Row],[SER_IN]]</f>
        <v>0</v>
      </c>
    </row>
    <row r="321" spans="1:42" ht="18.75" x14ac:dyDescent="0.25">
      <c r="A321" s="10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104">
        <f>TABL12345[[#This Row],[(A/S) AJD]]-TABL12345[[#This Row],[SER_IN]]</f>
        <v>0</v>
      </c>
    </row>
    <row r="322" spans="1:42" ht="18.75" x14ac:dyDescent="0.25">
      <c r="A322" s="10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104">
        <f>TABL12345[[#This Row],[(A/S) AJD]]-TABL12345[[#This Row],[SER_IN]]</f>
        <v>0</v>
      </c>
    </row>
    <row r="323" spans="1:42" ht="18.75" x14ac:dyDescent="0.25">
      <c r="A323" s="10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104">
        <f>TABL12345[[#This Row],[(A/S) AJD]]-TABL12345[[#This Row],[SER_IN]]</f>
        <v>0</v>
      </c>
    </row>
    <row r="324" spans="1:42" ht="18.75" x14ac:dyDescent="0.25">
      <c r="A324" s="10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104">
        <f>TABL12345[[#This Row],[(A/S) AJD]]-TABL12345[[#This Row],[SER_IN]]</f>
        <v>0</v>
      </c>
    </row>
    <row r="325" spans="1:42" ht="18.75" x14ac:dyDescent="0.25">
      <c r="A325" s="10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104">
        <f>TABL12345[[#This Row],[(A/S) AJD]]-TABL12345[[#This Row],[SER_IN]]</f>
        <v>0</v>
      </c>
    </row>
    <row r="326" spans="1:42" ht="18.75" x14ac:dyDescent="0.25">
      <c r="A326" s="10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104">
        <f>TABL12345[[#This Row],[(A/S) AJD]]-TABL12345[[#This Row],[SER_IN]]</f>
        <v>0</v>
      </c>
    </row>
    <row r="327" spans="1:42" ht="18.75" x14ac:dyDescent="0.25">
      <c r="A327" s="10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104">
        <f>TABL12345[[#This Row],[(A/S) AJD]]-TABL12345[[#This Row],[SER_IN]]</f>
        <v>0</v>
      </c>
    </row>
    <row r="328" spans="1:42" ht="18.75" x14ac:dyDescent="0.25">
      <c r="A328" s="10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104">
        <f>TABL12345[[#This Row],[(A/S) AJD]]-TABL12345[[#This Row],[SER_IN]]</f>
        <v>0</v>
      </c>
    </row>
    <row r="329" spans="1:42" ht="18.75" x14ac:dyDescent="0.25">
      <c r="A329" s="10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104">
        <f>TABL12345[[#This Row],[(A/S) AJD]]-TABL12345[[#This Row],[SER_IN]]</f>
        <v>0</v>
      </c>
    </row>
    <row r="330" spans="1:42" ht="18.75" x14ac:dyDescent="0.25">
      <c r="A330" s="10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104">
        <f>TABL12345[[#This Row],[(A/S) AJD]]-TABL12345[[#This Row],[SER_IN]]</f>
        <v>0</v>
      </c>
    </row>
    <row r="331" spans="1:42" ht="18.75" x14ac:dyDescent="0.25">
      <c r="A331" s="10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104">
        <f>TABL12345[[#This Row],[(A/S) AJD]]-TABL12345[[#This Row],[SER_IN]]</f>
        <v>0</v>
      </c>
    </row>
    <row r="332" spans="1:42" ht="18.75" x14ac:dyDescent="0.25">
      <c r="A332" s="10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104">
        <f>TABL12345[[#This Row],[(A/S) AJD]]-TABL12345[[#This Row],[SER_IN]]</f>
        <v>0</v>
      </c>
    </row>
    <row r="333" spans="1:42" ht="18.75" x14ac:dyDescent="0.25">
      <c r="A333" s="10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104">
        <f>TABL12345[[#This Row],[(A/S) AJD]]-TABL12345[[#This Row],[SER_IN]]</f>
        <v>0</v>
      </c>
    </row>
    <row r="334" spans="1:42" ht="18.75" x14ac:dyDescent="0.25">
      <c r="A334" s="10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104">
        <f>TABL12345[[#This Row],[(A/S) AJD]]-TABL12345[[#This Row],[SER_IN]]</f>
        <v>0</v>
      </c>
    </row>
    <row r="335" spans="1:42" ht="18.75" x14ac:dyDescent="0.25">
      <c r="A335" s="10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104">
        <f>TABL12345[[#This Row],[(A/S) AJD]]-TABL12345[[#This Row],[SER_IN]]</f>
        <v>0</v>
      </c>
    </row>
    <row r="336" spans="1:42" ht="18.75" x14ac:dyDescent="0.25">
      <c r="A336" s="10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104">
        <f>TABL12345[[#This Row],[(A/S) AJD]]-TABL12345[[#This Row],[SER_IN]]</f>
        <v>0</v>
      </c>
    </row>
    <row r="337" spans="1:42" ht="18.75" x14ac:dyDescent="0.25">
      <c r="A337" s="10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104">
        <f>TABL12345[[#This Row],[(A/S) AJD]]-TABL12345[[#This Row],[SER_IN]]</f>
        <v>0</v>
      </c>
    </row>
    <row r="338" spans="1:42" ht="18.75" x14ac:dyDescent="0.25">
      <c r="A338" s="10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104">
        <f>TABL12345[[#This Row],[(A/S) AJD]]-TABL12345[[#This Row],[SER_IN]]</f>
        <v>0</v>
      </c>
    </row>
    <row r="339" spans="1:42" ht="18.75" x14ac:dyDescent="0.25">
      <c r="A339" s="10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104">
        <f>TABL12345[[#This Row],[(A/S) AJD]]-TABL12345[[#This Row],[SER_IN]]</f>
        <v>0</v>
      </c>
    </row>
    <row r="340" spans="1:42" ht="18.75" x14ac:dyDescent="0.25">
      <c r="A340" s="10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104">
        <f>TABL12345[[#This Row],[(A/S) AJD]]-TABL12345[[#This Row],[SER_IN]]</f>
        <v>0</v>
      </c>
    </row>
    <row r="341" spans="1:42" ht="18.75" x14ac:dyDescent="0.25">
      <c r="A341" s="10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104">
        <f>TABL12345[[#This Row],[(A/S) AJD]]-TABL12345[[#This Row],[SER_IN]]</f>
        <v>0</v>
      </c>
    </row>
    <row r="342" spans="1:42" ht="18.75" x14ac:dyDescent="0.25">
      <c r="A342" s="10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104">
        <f>TABL12345[[#This Row],[(A/S) AJD]]-TABL12345[[#This Row],[SER_IN]]</f>
        <v>0</v>
      </c>
    </row>
    <row r="343" spans="1:42" ht="18.75" x14ac:dyDescent="0.25">
      <c r="A343" s="10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104">
        <f>TABL12345[[#This Row],[(A/S) AJD]]-TABL12345[[#This Row],[SER_IN]]</f>
        <v>0</v>
      </c>
    </row>
    <row r="344" spans="1:42" ht="18.75" x14ac:dyDescent="0.25">
      <c r="A344" s="10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104">
        <f>TABL12345[[#This Row],[(A/S) AJD]]-TABL12345[[#This Row],[SER_IN]]</f>
        <v>0</v>
      </c>
    </row>
    <row r="345" spans="1:42" ht="18.75" x14ac:dyDescent="0.25">
      <c r="A345" s="10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104">
        <f>TABL12345[[#This Row],[(A/S) AJD]]-TABL12345[[#This Row],[SER_IN]]</f>
        <v>0</v>
      </c>
    </row>
    <row r="346" spans="1:42" ht="18.75" x14ac:dyDescent="0.25">
      <c r="A346" s="10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104">
        <f>TABL12345[[#This Row],[(A/S) AJD]]-TABL12345[[#This Row],[SER_IN]]</f>
        <v>0</v>
      </c>
    </row>
    <row r="347" spans="1:42" ht="18.75" x14ac:dyDescent="0.25">
      <c r="A347" s="10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104">
        <f>TABL12345[[#This Row],[(A/S) AJD]]-TABL12345[[#This Row],[SER_IN]]</f>
        <v>0</v>
      </c>
    </row>
    <row r="348" spans="1:42" ht="18.75" x14ac:dyDescent="0.25">
      <c r="A348" s="10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104">
        <f>TABL12345[[#This Row],[(A/S) AJD]]-TABL12345[[#This Row],[SER_IN]]</f>
        <v>0</v>
      </c>
    </row>
    <row r="349" spans="1:42" ht="18.75" x14ac:dyDescent="0.25">
      <c r="A349" s="10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104">
        <f>TABL12345[[#This Row],[(A/S) AJD]]-TABL12345[[#This Row],[SER_IN]]</f>
        <v>0</v>
      </c>
    </row>
    <row r="350" spans="1:42" ht="18.75" x14ac:dyDescent="0.25">
      <c r="A350" s="10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104">
        <f>TABL12345[[#This Row],[(A/S) AJD]]-TABL12345[[#This Row],[SER_IN]]</f>
        <v>0</v>
      </c>
    </row>
    <row r="351" spans="1:42" ht="18.75" x14ac:dyDescent="0.25">
      <c r="A351" s="10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104">
        <f>TABL12345[[#This Row],[(A/S) AJD]]-TABL12345[[#This Row],[SER_IN]]</f>
        <v>0</v>
      </c>
    </row>
    <row r="352" spans="1:42" ht="18.75" x14ac:dyDescent="0.25">
      <c r="A352" s="10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104">
        <f>TABL12345[[#This Row],[(A/S) AJD]]-TABL12345[[#This Row],[SER_IN]]</f>
        <v>0</v>
      </c>
    </row>
    <row r="353" spans="1:42" ht="18.75" x14ac:dyDescent="0.25">
      <c r="A353" s="10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104">
        <f>TABL12345[[#This Row],[(A/S) AJD]]-TABL12345[[#This Row],[SER_IN]]</f>
        <v>0</v>
      </c>
    </row>
    <row r="354" spans="1:42" ht="18.75" x14ac:dyDescent="0.25">
      <c r="A354" s="10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104">
        <f>TABL12345[[#This Row],[(A/S) AJD]]-TABL12345[[#This Row],[SER_IN]]</f>
        <v>0</v>
      </c>
    </row>
    <row r="355" spans="1:42" ht="18.75" x14ac:dyDescent="0.25">
      <c r="A355" s="10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104">
        <f>TABL12345[[#This Row],[(A/S) AJD]]-TABL12345[[#This Row],[SER_IN]]</f>
        <v>0</v>
      </c>
    </row>
    <row r="356" spans="1:42" ht="18.75" x14ac:dyDescent="0.25">
      <c r="A356" s="10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104">
        <f>TABL12345[[#This Row],[(A/S) AJD]]-TABL12345[[#This Row],[SER_IN]]</f>
        <v>0</v>
      </c>
    </row>
    <row r="357" spans="1:42" ht="18.75" x14ac:dyDescent="0.25">
      <c r="A357" s="10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104">
        <f>TABL12345[[#This Row],[(A/S) AJD]]-TABL12345[[#This Row],[SER_IN]]</f>
        <v>0</v>
      </c>
    </row>
    <row r="358" spans="1:42" ht="18.75" x14ac:dyDescent="0.25">
      <c r="A358" s="10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104">
        <f>TABL12345[[#This Row],[(A/S) AJD]]-TABL12345[[#This Row],[SER_IN]]</f>
        <v>0</v>
      </c>
    </row>
    <row r="359" spans="1:42" ht="18.75" x14ac:dyDescent="0.25">
      <c r="A359" s="10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104">
        <f>TABL12345[[#This Row],[(A/S) AJD]]-TABL12345[[#This Row],[SER_IN]]</f>
        <v>0</v>
      </c>
    </row>
    <row r="360" spans="1:42" ht="18.75" x14ac:dyDescent="0.25">
      <c r="A360" s="10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104">
        <f>TABL12345[[#This Row],[(A/S) AJD]]-TABL12345[[#This Row],[SER_IN]]</f>
        <v>0</v>
      </c>
    </row>
    <row r="361" spans="1:42" ht="18.75" x14ac:dyDescent="0.25">
      <c r="A361" s="10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104">
        <f>TABL12345[[#This Row],[(A/S) AJD]]-TABL12345[[#This Row],[SER_IN]]</f>
        <v>0</v>
      </c>
    </row>
    <row r="362" spans="1:42" ht="18.75" x14ac:dyDescent="0.25">
      <c r="A362" s="10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104">
        <f>TABL12345[[#This Row],[(A/S) AJD]]-TABL12345[[#This Row],[SER_IN]]</f>
        <v>0</v>
      </c>
    </row>
    <row r="363" spans="1:42" ht="18.75" x14ac:dyDescent="0.25">
      <c r="A363" s="10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104">
        <f>TABL12345[[#This Row],[(A/S) AJD]]-TABL12345[[#This Row],[SER_IN]]</f>
        <v>0</v>
      </c>
    </row>
    <row r="364" spans="1:42" ht="18.75" x14ac:dyDescent="0.25">
      <c r="A364" s="10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104">
        <f>TABL12345[[#This Row],[(A/S) AJD]]-TABL12345[[#This Row],[SER_IN]]</f>
        <v>0</v>
      </c>
    </row>
    <row r="365" spans="1:42" ht="18.75" x14ac:dyDescent="0.25">
      <c r="A365" s="10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104">
        <f>TABL12345[[#This Row],[(A/S) AJD]]-TABL12345[[#This Row],[SER_IN]]</f>
        <v>0</v>
      </c>
    </row>
    <row r="366" spans="1:42" ht="18.75" x14ac:dyDescent="0.25">
      <c r="A366" s="10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105">
        <f>TABL12345[[#This Row],[(A/S) AJD]]-TABL12345[[#This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abSelected="1" workbookViewId="0">
      <selection activeCell="K13" sqref="K13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103">
        <f>Table6[[#This Row],[(A/S) AJD]]-Table6[[#This Row],[SER_IN]]</f>
        <v>0</v>
      </c>
    </row>
    <row r="3" spans="1:42" ht="18.75" x14ac:dyDescent="0.25">
      <c r="A3" s="10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103">
        <f>Table6[[#This Row],[(A/S) AJD]]-Table6[[#This Row],[SER_IN]]</f>
        <v>0</v>
      </c>
    </row>
    <row r="4" spans="1:42" ht="18.75" x14ac:dyDescent="0.25">
      <c r="A4" s="10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ref="AB4:AB67" si="3">IF(TRIM(Z4)="",,(Z4-Z3)/1000)</f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103">
        <f>Table6[[#This Row],[(A/S) AJD]]-Table6[[#This Row],[SER_IN]]</f>
        <v>0</v>
      </c>
    </row>
    <row r="5" spans="1:42" ht="18.75" x14ac:dyDescent="0.25">
      <c r="A5" s="10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103">
        <f>Table6[[#This Row],[(A/S) AJD]]-Table6[[#This Row],[SER_IN]]</f>
        <v>0</v>
      </c>
    </row>
    <row r="6" spans="1:42" ht="18.75" x14ac:dyDescent="0.25">
      <c r="A6" s="10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103">
        <f>Table6[[#This Row],[(A/S) AJD]]-Table6[[#This Row],[SER_IN]]</f>
        <v>0</v>
      </c>
    </row>
    <row r="7" spans="1:42" ht="18.75" x14ac:dyDescent="0.25">
      <c r="A7" s="10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103">
        <f>Table6[[#This Row],[(A/S) AJD]]-Table6[[#This Row],[SER_IN]]</f>
        <v>0</v>
      </c>
    </row>
    <row r="8" spans="1:42" ht="18.75" x14ac:dyDescent="0.25">
      <c r="A8" s="10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103">
        <f>Table6[[#This Row],[(A/S) AJD]]-Table6[[#This Row],[SER_IN]]</f>
        <v>0</v>
      </c>
    </row>
    <row r="9" spans="1:42" ht="18.75" x14ac:dyDescent="0.25">
      <c r="A9" s="10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103">
        <f>Table6[[#This Row],[(A/S) AJD]]-Table6[[#This Row],[SER_IN]]</f>
        <v>0</v>
      </c>
    </row>
    <row r="10" spans="1:42" ht="18.75" x14ac:dyDescent="0.25">
      <c r="A10" s="10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103">
        <f>Table6[[#This Row],[(A/S) AJD]]-Table6[[#This Row],[SER_IN]]</f>
        <v>0</v>
      </c>
    </row>
    <row r="11" spans="1:42" ht="18.75" x14ac:dyDescent="0.25">
      <c r="A11" s="10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103">
        <f>Table6[[#This Row],[(A/S) AJD]]-Table6[[#This Row],[SER_IN]]</f>
        <v>0</v>
      </c>
    </row>
    <row r="12" spans="1:42" ht="18.75" x14ac:dyDescent="0.25">
      <c r="A12" s="10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103">
        <f>Table6[[#This Row],[(A/S) AJD]]-Table6[[#This Row],[SER_IN]]</f>
        <v>0</v>
      </c>
    </row>
    <row r="13" spans="1:42" ht="18.75" x14ac:dyDescent="0.25">
      <c r="A13" s="10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103">
        <f>Table6[[#This Row],[(A/S) AJD]]-Table6[[#This Row],[SER_IN]]</f>
        <v>0</v>
      </c>
    </row>
    <row r="14" spans="1:42" ht="18.75" x14ac:dyDescent="0.25">
      <c r="A14" s="10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103">
        <f>Table6[[#This Row],[(A/S) AJD]]-Table6[[#This Row],[SER_IN]]</f>
        <v>0</v>
      </c>
    </row>
    <row r="15" spans="1:42" ht="18.75" x14ac:dyDescent="0.25">
      <c r="A15" s="10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103">
        <f>Table6[[#This Row],[(A/S) AJD]]-Table6[[#This Row],[SER_IN]]</f>
        <v>0</v>
      </c>
    </row>
    <row r="16" spans="1:42" ht="18.75" x14ac:dyDescent="0.25">
      <c r="A16" s="10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103">
        <f>Table6[[#This Row],[(A/S) AJD]]-Table6[[#This Row],[SER_IN]]</f>
        <v>0</v>
      </c>
    </row>
    <row r="17" spans="1:42" ht="18.75" x14ac:dyDescent="0.25">
      <c r="A17" s="10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103">
        <f>Table6[[#This Row],[(A/S) AJD]]-Table6[[#This Row],[SER_IN]]</f>
        <v>0</v>
      </c>
    </row>
    <row r="18" spans="1:42" ht="18.75" x14ac:dyDescent="0.25">
      <c r="A18" s="10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103">
        <f>Table6[[#This Row],[(A/S) AJD]]-Table6[[#This Row],[SER_IN]]</f>
        <v>0</v>
      </c>
    </row>
    <row r="19" spans="1:42" ht="18.75" x14ac:dyDescent="0.25">
      <c r="A19" s="10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103">
        <f>Table6[[#This Row],[(A/S) AJD]]-Table6[[#This Row],[SER_IN]]</f>
        <v>0</v>
      </c>
    </row>
    <row r="20" spans="1:42" ht="18.75" x14ac:dyDescent="0.25">
      <c r="A20" s="10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103">
        <f>Table6[[#This Row],[(A/S) AJD]]-Table6[[#This Row],[SER_IN]]</f>
        <v>0</v>
      </c>
    </row>
    <row r="21" spans="1:42" ht="18.75" x14ac:dyDescent="0.25">
      <c r="A21" s="10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103">
        <f>Table6[[#This Row],[(A/S) AJD]]-Table6[[#This Row],[SER_IN]]</f>
        <v>0</v>
      </c>
    </row>
    <row r="22" spans="1:42" ht="18.75" x14ac:dyDescent="0.25">
      <c r="A22" s="10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103">
        <f>Table6[[#This Row],[(A/S) AJD]]-Table6[[#This Row],[SER_IN]]</f>
        <v>0</v>
      </c>
    </row>
    <row r="23" spans="1:42" ht="18.75" x14ac:dyDescent="0.25">
      <c r="A23" s="10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103">
        <f>Table6[[#This Row],[(A/S) AJD]]-Table6[[#This Row],[SER_IN]]</f>
        <v>0</v>
      </c>
    </row>
    <row r="24" spans="1:42" ht="18.75" x14ac:dyDescent="0.25">
      <c r="A24" s="10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103">
        <f>Table6[[#This Row],[(A/S) AJD]]-Table6[[#This Row],[SER_IN]]</f>
        <v>0</v>
      </c>
    </row>
    <row r="25" spans="1:42" ht="18.75" x14ac:dyDescent="0.25">
      <c r="A25" s="10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103">
        <f>Table6[[#This Row],[(A/S) AJD]]-Table6[[#This Row],[SER_IN]]</f>
        <v>0</v>
      </c>
    </row>
    <row r="26" spans="1:42" ht="18.75" x14ac:dyDescent="0.25">
      <c r="A26" s="10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103">
        <f>Table6[[#This Row],[(A/S) AJD]]-Table6[[#This Row],[SER_IN]]</f>
        <v>0</v>
      </c>
    </row>
    <row r="27" spans="1:42" ht="18.75" x14ac:dyDescent="0.25">
      <c r="A27" s="10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103">
        <f>Table6[[#This Row],[(A/S) AJD]]-Table6[[#This Row],[SER_IN]]</f>
        <v>0</v>
      </c>
    </row>
    <row r="28" spans="1:42" ht="18.75" x14ac:dyDescent="0.25">
      <c r="A28" s="10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103">
        <f>Table6[[#This Row],[(A/S) AJD]]-Table6[[#This Row],[SER_IN]]</f>
        <v>0</v>
      </c>
    </row>
    <row r="29" spans="1:42" ht="18.75" x14ac:dyDescent="0.25">
      <c r="A29" s="10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103">
        <f>Table6[[#This Row],[(A/S) AJD]]-Table6[[#This Row],[SER_IN]]</f>
        <v>0</v>
      </c>
    </row>
    <row r="30" spans="1:42" ht="18.75" x14ac:dyDescent="0.25">
      <c r="A30" s="10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103">
        <f>Table6[[#This Row],[(A/S) AJD]]-Table6[[#This Row],[SER_IN]]</f>
        <v>0</v>
      </c>
    </row>
    <row r="31" spans="1:42" ht="18.75" x14ac:dyDescent="0.25">
      <c r="A31" s="10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103">
        <f>Table6[[#This Row],[(A/S) AJD]]-Table6[[#This Row],[SER_IN]]</f>
        <v>0</v>
      </c>
    </row>
    <row r="32" spans="1:42" ht="18.75" x14ac:dyDescent="0.25">
      <c r="A32" s="10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103">
        <f>Table6[[#This Row],[(A/S) AJD]]-Table6[[#This Row],[SER_IN]]</f>
        <v>0</v>
      </c>
    </row>
    <row r="33" spans="1:42" ht="18.75" x14ac:dyDescent="0.25">
      <c r="A33" s="10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103">
        <f>Table6[[#This Row],[(A/S) AJD]]-Table6[[#This Row],[SER_IN]]</f>
        <v>0</v>
      </c>
    </row>
    <row r="34" spans="1:42" ht="18.75" x14ac:dyDescent="0.25">
      <c r="A34" s="10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103">
        <f>Table6[[#This Row],[(A/S) AJD]]-Table6[[#This Row],[SER_IN]]</f>
        <v>0</v>
      </c>
    </row>
    <row r="35" spans="1:42" ht="18.75" x14ac:dyDescent="0.25">
      <c r="A35" s="10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103">
        <f>Table6[[#This Row],[(A/S) AJD]]-Table6[[#This Row],[SER_IN]]</f>
        <v>0</v>
      </c>
    </row>
    <row r="36" spans="1:42" ht="18.75" x14ac:dyDescent="0.25">
      <c r="A36" s="10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103">
        <f>Table6[[#This Row],[(A/S) AJD]]-Table6[[#This Row],[SER_IN]]</f>
        <v>0</v>
      </c>
    </row>
    <row r="37" spans="1:42" ht="18.75" x14ac:dyDescent="0.25">
      <c r="A37" s="10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103">
        <f>Table6[[#This Row],[(A/S) AJD]]-Table6[[#This Row],[SER_IN]]</f>
        <v>0</v>
      </c>
    </row>
    <row r="38" spans="1:42" ht="18.75" x14ac:dyDescent="0.25">
      <c r="A38" s="10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103">
        <f>Table6[[#This Row],[(A/S) AJD]]-Table6[[#This Row],[SER_IN]]</f>
        <v>0</v>
      </c>
    </row>
    <row r="39" spans="1:42" ht="18.75" x14ac:dyDescent="0.25">
      <c r="A39" s="10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103">
        <f>Table6[[#This Row],[(A/S) AJD]]-Table6[[#This Row],[SER_IN]]</f>
        <v>0</v>
      </c>
    </row>
    <row r="40" spans="1:42" ht="18.75" x14ac:dyDescent="0.25">
      <c r="A40" s="10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103">
        <f>Table6[[#This Row],[(A/S) AJD]]-Table6[[#This Row],[SER_IN]]</f>
        <v>0</v>
      </c>
    </row>
    <row r="41" spans="1:42" ht="18.75" x14ac:dyDescent="0.25">
      <c r="A41" s="10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103">
        <f>Table6[[#This Row],[(A/S) AJD]]-Table6[[#This Row],[SER_IN]]</f>
        <v>0</v>
      </c>
    </row>
    <row r="42" spans="1:42" ht="18.75" x14ac:dyDescent="0.25">
      <c r="A42" s="10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103">
        <f>Table6[[#This Row],[(A/S) AJD]]-Table6[[#This Row],[SER_IN]]</f>
        <v>0</v>
      </c>
    </row>
    <row r="43" spans="1:42" ht="18.75" x14ac:dyDescent="0.25">
      <c r="A43" s="10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103">
        <f>Table6[[#This Row],[(A/S) AJD]]-Table6[[#This Row],[SER_IN]]</f>
        <v>0</v>
      </c>
    </row>
    <row r="44" spans="1:42" ht="18.75" x14ac:dyDescent="0.25">
      <c r="A44" s="10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103">
        <f>Table6[[#This Row],[(A/S) AJD]]-Table6[[#This Row],[SER_IN]]</f>
        <v>0</v>
      </c>
    </row>
    <row r="45" spans="1:42" ht="18.75" x14ac:dyDescent="0.25">
      <c r="A45" s="10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103">
        <f>Table6[[#This Row],[(A/S) AJD]]-Table6[[#This Row],[SER_IN]]</f>
        <v>0</v>
      </c>
    </row>
    <row r="46" spans="1:42" ht="18.75" x14ac:dyDescent="0.25">
      <c r="A46" s="10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103">
        <f>Table6[[#This Row],[(A/S) AJD]]-Table6[[#This Row],[SER_IN]]</f>
        <v>0</v>
      </c>
    </row>
    <row r="47" spans="1:42" ht="18.75" x14ac:dyDescent="0.25">
      <c r="A47" s="10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103">
        <f>Table6[[#This Row],[(A/S) AJD]]-Table6[[#This Row],[SER_IN]]</f>
        <v>0</v>
      </c>
    </row>
    <row r="48" spans="1:42" ht="18.75" x14ac:dyDescent="0.25">
      <c r="A48" s="10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103">
        <f>Table6[[#This Row],[(A/S) AJD]]-Table6[[#This Row],[SER_IN]]</f>
        <v>0</v>
      </c>
    </row>
    <row r="49" spans="1:42" ht="18.75" x14ac:dyDescent="0.25">
      <c r="A49" s="10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103">
        <f>Table6[[#This Row],[(A/S) AJD]]-Table6[[#This Row],[SER_IN]]</f>
        <v>0</v>
      </c>
    </row>
    <row r="50" spans="1:42" ht="18.75" x14ac:dyDescent="0.25">
      <c r="A50" s="10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103">
        <f>Table6[[#This Row],[(A/S) AJD]]-Table6[[#This Row],[SER_IN]]</f>
        <v>0</v>
      </c>
    </row>
    <row r="51" spans="1:42" ht="18.75" x14ac:dyDescent="0.25">
      <c r="A51" s="10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103">
        <f>Table6[[#This Row],[(A/S) AJD]]-Table6[[#This Row],[SER_IN]]</f>
        <v>0</v>
      </c>
    </row>
    <row r="52" spans="1:42" ht="18.75" x14ac:dyDescent="0.25">
      <c r="A52" s="10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103">
        <f>Table6[[#This Row],[(A/S) AJD]]-Table6[[#This Row],[SER_IN]]</f>
        <v>0</v>
      </c>
    </row>
    <row r="53" spans="1:42" ht="18.75" x14ac:dyDescent="0.25">
      <c r="A53" s="10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103">
        <f>Table6[[#This Row],[(A/S) AJD]]-Table6[[#This Row],[SER_IN]]</f>
        <v>0</v>
      </c>
    </row>
    <row r="54" spans="1:42" ht="18.75" x14ac:dyDescent="0.25">
      <c r="A54" s="10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103">
        <f>Table6[[#This Row],[(A/S) AJD]]-Table6[[#This Row],[SER_IN]]</f>
        <v>0</v>
      </c>
    </row>
    <row r="55" spans="1:42" ht="18.75" x14ac:dyDescent="0.25">
      <c r="A55" s="10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103">
        <f>Table6[[#This Row],[(A/S) AJD]]-Table6[[#This Row],[SER_IN]]</f>
        <v>0</v>
      </c>
    </row>
    <row r="56" spans="1:42" ht="18.75" x14ac:dyDescent="0.25">
      <c r="A56" s="10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103">
        <f>Table6[[#This Row],[(A/S) AJD]]-Table6[[#This Row],[SER_IN]]</f>
        <v>0</v>
      </c>
    </row>
    <row r="57" spans="1:42" ht="18.75" x14ac:dyDescent="0.25">
      <c r="A57" s="10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103">
        <f>Table6[[#This Row],[(A/S) AJD]]-Table6[[#This Row],[SER_IN]]</f>
        <v>0</v>
      </c>
    </row>
    <row r="58" spans="1:42" ht="18.75" x14ac:dyDescent="0.25">
      <c r="A58" s="10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103">
        <f>Table6[[#This Row],[(A/S) AJD]]-Table6[[#This Row],[SER_IN]]</f>
        <v>0</v>
      </c>
    </row>
    <row r="59" spans="1:42" ht="18.75" x14ac:dyDescent="0.25">
      <c r="A59" s="10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103">
        <f>Table6[[#This Row],[(A/S) AJD]]-Table6[[#This Row],[SER_IN]]</f>
        <v>0</v>
      </c>
    </row>
    <row r="60" spans="1:42" ht="18.75" x14ac:dyDescent="0.25">
      <c r="A60" s="10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103">
        <f>Table6[[#This Row],[(A/S) AJD]]-Table6[[#This Row],[SER_IN]]</f>
        <v>0</v>
      </c>
    </row>
    <row r="61" spans="1:42" ht="18.75" x14ac:dyDescent="0.25">
      <c r="A61" s="10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103">
        <f>Table6[[#This Row],[(A/S) AJD]]-Table6[[#This Row],[SER_IN]]</f>
        <v>0</v>
      </c>
    </row>
    <row r="62" spans="1:42" ht="18.75" x14ac:dyDescent="0.25">
      <c r="A62" s="10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103">
        <f>Table6[[#This Row],[(A/S) AJD]]-Table6[[#This Row],[SER_IN]]</f>
        <v>0</v>
      </c>
    </row>
    <row r="63" spans="1:42" ht="18.75" x14ac:dyDescent="0.25">
      <c r="A63" s="10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103">
        <f>Table6[[#This Row],[(A/S) AJD]]-Table6[[#This Row],[SER_IN]]</f>
        <v>0</v>
      </c>
    </row>
    <row r="64" spans="1:42" ht="18.75" x14ac:dyDescent="0.25">
      <c r="A64" s="10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103">
        <f>Table6[[#This Row],[(A/S) AJD]]-Table6[[#This Row],[SER_IN]]</f>
        <v>0</v>
      </c>
    </row>
    <row r="65" spans="1:42" ht="18.75" x14ac:dyDescent="0.25">
      <c r="A65" s="10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103">
        <f>Table6[[#This Row],[(A/S) AJD]]-Table6[[#This Row],[SER_IN]]</f>
        <v>0</v>
      </c>
    </row>
    <row r="66" spans="1:42" ht="18.75" x14ac:dyDescent="0.25">
      <c r="A66" s="10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103">
        <f>Table6[[#This Row],[(A/S) AJD]]-Table6[[#This Row],[SER_IN]]</f>
        <v>0</v>
      </c>
    </row>
    <row r="67" spans="1:42" ht="18.75" x14ac:dyDescent="0.25">
      <c r="A67" s="10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si="3"/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103">
        <f>Table6[[#This Row],[(A/S) AJD]]-Table6[[#This Row],[SER_IN]]</f>
        <v>0</v>
      </c>
    </row>
    <row r="68" spans="1:42" ht="18.75" x14ac:dyDescent="0.25">
      <c r="A68" s="10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ref="AB68:AB131" si="7">IF(TRIM(Z68)="",,(Z68-Z67)/1000)</f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103">
        <f>Table6[[#This Row],[(A/S) AJD]]-Table6[[#This Row],[SER_IN]]</f>
        <v>0</v>
      </c>
    </row>
    <row r="69" spans="1:42" ht="18.75" x14ac:dyDescent="0.25">
      <c r="A69" s="10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103">
        <f>Table6[[#This Row],[(A/S) AJD]]-Table6[[#This Row],[SER_IN]]</f>
        <v>0</v>
      </c>
    </row>
    <row r="70" spans="1:42" ht="18.75" x14ac:dyDescent="0.25">
      <c r="A70" s="10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103">
        <f>Table6[[#This Row],[(A/S) AJD]]-Table6[[#This Row],[SER_IN]]</f>
        <v>0</v>
      </c>
    </row>
    <row r="71" spans="1:42" ht="18.75" x14ac:dyDescent="0.25">
      <c r="A71" s="10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103">
        <f>Table6[[#This Row],[(A/S) AJD]]-Table6[[#This Row],[SER_IN]]</f>
        <v>0</v>
      </c>
    </row>
    <row r="72" spans="1:42" ht="18.75" x14ac:dyDescent="0.25">
      <c r="A72" s="10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103">
        <f>Table6[[#This Row],[(A/S) AJD]]-Table6[[#This Row],[SER_IN]]</f>
        <v>0</v>
      </c>
    </row>
    <row r="73" spans="1:42" ht="18.75" x14ac:dyDescent="0.25">
      <c r="A73" s="10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103">
        <f>Table6[[#This Row],[(A/S) AJD]]-Table6[[#This Row],[SER_IN]]</f>
        <v>0</v>
      </c>
    </row>
    <row r="74" spans="1:42" ht="18.75" x14ac:dyDescent="0.25">
      <c r="A74" s="10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103">
        <f>Table6[[#This Row],[(A/S) AJD]]-Table6[[#This Row],[SER_IN]]</f>
        <v>0</v>
      </c>
    </row>
    <row r="75" spans="1:42" ht="18.75" x14ac:dyDescent="0.25">
      <c r="A75" s="10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103">
        <f>Table6[[#This Row],[(A/S) AJD]]-Table6[[#This Row],[SER_IN]]</f>
        <v>0</v>
      </c>
    </row>
    <row r="76" spans="1:42" ht="18.75" x14ac:dyDescent="0.25">
      <c r="A76" s="10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103">
        <f>Table6[[#This Row],[(A/S) AJD]]-Table6[[#This Row],[SER_IN]]</f>
        <v>0</v>
      </c>
    </row>
    <row r="77" spans="1:42" ht="18.75" x14ac:dyDescent="0.25">
      <c r="A77" s="10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103">
        <f>Table6[[#This Row],[(A/S) AJD]]-Table6[[#This Row],[SER_IN]]</f>
        <v>0</v>
      </c>
    </row>
    <row r="78" spans="1:42" ht="18.75" x14ac:dyDescent="0.25">
      <c r="A78" s="10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103">
        <f>Table6[[#This Row],[(A/S) AJD]]-Table6[[#This Row],[SER_IN]]</f>
        <v>0</v>
      </c>
    </row>
    <row r="79" spans="1:42" ht="18.75" x14ac:dyDescent="0.25">
      <c r="A79" s="10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103">
        <f>Table6[[#This Row],[(A/S) AJD]]-Table6[[#This Row],[SER_IN]]</f>
        <v>0</v>
      </c>
    </row>
    <row r="80" spans="1:42" ht="18.75" x14ac:dyDescent="0.25">
      <c r="A80" s="10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103">
        <f>Table6[[#This Row],[(A/S) AJD]]-Table6[[#This Row],[SER_IN]]</f>
        <v>0</v>
      </c>
    </row>
    <row r="81" spans="1:42" ht="18.75" x14ac:dyDescent="0.25">
      <c r="A81" s="10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103">
        <f>Table6[[#This Row],[(A/S) AJD]]-Table6[[#This Row],[SER_IN]]</f>
        <v>0</v>
      </c>
    </row>
    <row r="82" spans="1:42" ht="18.75" x14ac:dyDescent="0.25">
      <c r="A82" s="10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103">
        <f>Table6[[#This Row],[(A/S) AJD]]-Table6[[#This Row],[SER_IN]]</f>
        <v>0</v>
      </c>
    </row>
    <row r="83" spans="1:42" ht="18.75" x14ac:dyDescent="0.25">
      <c r="A83" s="10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103">
        <f>Table6[[#This Row],[(A/S) AJD]]-Table6[[#This Row],[SER_IN]]</f>
        <v>0</v>
      </c>
    </row>
    <row r="84" spans="1:42" ht="18.75" x14ac:dyDescent="0.25">
      <c r="A84" s="10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103">
        <f>Table6[[#This Row],[(A/S) AJD]]-Table6[[#This Row],[SER_IN]]</f>
        <v>0</v>
      </c>
    </row>
    <row r="85" spans="1:42" ht="18.75" x14ac:dyDescent="0.25">
      <c r="A85" s="10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103">
        <f>Table6[[#This Row],[(A/S) AJD]]-Table6[[#This Row],[SER_IN]]</f>
        <v>0</v>
      </c>
    </row>
    <row r="86" spans="1:42" ht="18.75" x14ac:dyDescent="0.25">
      <c r="A86" s="10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103">
        <f>Table6[[#This Row],[(A/S) AJD]]-Table6[[#This Row],[SER_IN]]</f>
        <v>0</v>
      </c>
    </row>
    <row r="87" spans="1:42" ht="18.75" x14ac:dyDescent="0.25">
      <c r="A87" s="10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103">
        <f>Table6[[#This Row],[(A/S) AJD]]-Table6[[#This Row],[SER_IN]]</f>
        <v>0</v>
      </c>
    </row>
    <row r="88" spans="1:42" ht="18.75" x14ac:dyDescent="0.25">
      <c r="A88" s="10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103">
        <f>Table6[[#This Row],[(A/S) AJD]]-Table6[[#This Row],[SER_IN]]</f>
        <v>0</v>
      </c>
    </row>
    <row r="89" spans="1:42" ht="18.75" x14ac:dyDescent="0.25">
      <c r="A89" s="10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103">
        <f>Table6[[#This Row],[(A/S) AJD]]-Table6[[#This Row],[SER_IN]]</f>
        <v>0</v>
      </c>
    </row>
    <row r="90" spans="1:42" ht="18.75" x14ac:dyDescent="0.25">
      <c r="A90" s="10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103">
        <f>Table6[[#This Row],[(A/S) AJD]]-Table6[[#This Row],[SER_IN]]</f>
        <v>0</v>
      </c>
    </row>
    <row r="91" spans="1:42" ht="18.75" x14ac:dyDescent="0.25">
      <c r="A91" s="10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103">
        <f>Table6[[#This Row],[(A/S) AJD]]-Table6[[#This Row],[SER_IN]]</f>
        <v>0</v>
      </c>
    </row>
    <row r="92" spans="1:42" ht="18.75" x14ac:dyDescent="0.25">
      <c r="A92" s="10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103">
        <f>Table6[[#This Row],[(A/S) AJD]]-Table6[[#This Row],[SER_IN]]</f>
        <v>0</v>
      </c>
    </row>
    <row r="93" spans="1:42" ht="18.75" x14ac:dyDescent="0.25">
      <c r="A93" s="10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103">
        <f>Table6[[#This Row],[(A/S) AJD]]-Table6[[#This Row],[SER_IN]]</f>
        <v>0</v>
      </c>
    </row>
    <row r="94" spans="1:42" ht="18.75" x14ac:dyDescent="0.25">
      <c r="A94" s="10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103">
        <f>Table6[[#This Row],[(A/S) AJD]]-Table6[[#This Row],[SER_IN]]</f>
        <v>0</v>
      </c>
    </row>
    <row r="95" spans="1:42" ht="18.75" x14ac:dyDescent="0.25">
      <c r="A95" s="10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103">
        <f>Table6[[#This Row],[(A/S) AJD]]-Table6[[#This Row],[SER_IN]]</f>
        <v>0</v>
      </c>
    </row>
    <row r="96" spans="1:42" ht="18.75" x14ac:dyDescent="0.25">
      <c r="A96" s="10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103">
        <f>Table6[[#This Row],[(A/S) AJD]]-Table6[[#This Row],[SER_IN]]</f>
        <v>0</v>
      </c>
    </row>
    <row r="97" spans="1:42" ht="18.75" x14ac:dyDescent="0.25">
      <c r="A97" s="10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103">
        <f>Table6[[#This Row],[(A/S) AJD]]-Table6[[#This Row],[SER_IN]]</f>
        <v>0</v>
      </c>
    </row>
    <row r="98" spans="1:42" ht="18.75" x14ac:dyDescent="0.25">
      <c r="A98" s="10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103">
        <f>Table6[[#This Row],[(A/S) AJD]]-Table6[[#This Row],[SER_IN]]</f>
        <v>0</v>
      </c>
    </row>
    <row r="99" spans="1:42" ht="18.75" x14ac:dyDescent="0.25">
      <c r="A99" s="10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103">
        <f>Table6[[#This Row],[(A/S) AJD]]-Table6[[#This Row],[SER_IN]]</f>
        <v>0</v>
      </c>
    </row>
    <row r="100" spans="1:42" ht="18.75" x14ac:dyDescent="0.25">
      <c r="A100" s="10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103">
        <f>Table6[[#This Row],[(A/S) AJD]]-Table6[[#This Row],[SER_IN]]</f>
        <v>0</v>
      </c>
    </row>
    <row r="101" spans="1:42" ht="18.75" x14ac:dyDescent="0.25">
      <c r="A101" s="10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103">
        <f>Table6[[#This Row],[(A/S) AJD]]-Table6[[#This Row],[SER_IN]]</f>
        <v>0</v>
      </c>
    </row>
    <row r="102" spans="1:42" ht="18.75" x14ac:dyDescent="0.25">
      <c r="A102" s="10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103">
        <f>Table6[[#This Row],[(A/S) AJD]]-Table6[[#This Row],[SER_IN]]</f>
        <v>0</v>
      </c>
    </row>
    <row r="103" spans="1:42" ht="18.75" x14ac:dyDescent="0.25">
      <c r="A103" s="10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103">
        <f>Table6[[#This Row],[(A/S) AJD]]-Table6[[#This Row],[SER_IN]]</f>
        <v>0</v>
      </c>
    </row>
    <row r="104" spans="1:42" ht="18.75" x14ac:dyDescent="0.25">
      <c r="A104" s="10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103">
        <f>Table6[[#This Row],[(A/S) AJD]]-Table6[[#This Row],[SER_IN]]</f>
        <v>0</v>
      </c>
    </row>
    <row r="105" spans="1:42" ht="18.75" x14ac:dyDescent="0.25">
      <c r="A105" s="10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103">
        <f>Table6[[#This Row],[(A/S) AJD]]-Table6[[#This Row],[SER_IN]]</f>
        <v>0</v>
      </c>
    </row>
    <row r="106" spans="1:42" ht="18.75" x14ac:dyDescent="0.25">
      <c r="A106" s="10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103">
        <f>Table6[[#This Row],[(A/S) AJD]]-Table6[[#This Row],[SER_IN]]</f>
        <v>0</v>
      </c>
    </row>
    <row r="107" spans="1:42" ht="18.75" x14ac:dyDescent="0.25">
      <c r="A107" s="10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103">
        <f>Table6[[#This Row],[(A/S) AJD]]-Table6[[#This Row],[SER_IN]]</f>
        <v>0</v>
      </c>
    </row>
    <row r="108" spans="1:42" ht="18.75" x14ac:dyDescent="0.25">
      <c r="A108" s="10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103">
        <f>Table6[[#This Row],[(A/S) AJD]]-Table6[[#This Row],[SER_IN]]</f>
        <v>0</v>
      </c>
    </row>
    <row r="109" spans="1:42" ht="18.75" x14ac:dyDescent="0.25">
      <c r="A109" s="10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103">
        <f>Table6[[#This Row],[(A/S) AJD]]-Table6[[#This Row],[SER_IN]]</f>
        <v>0</v>
      </c>
    </row>
    <row r="110" spans="1:42" ht="18.75" x14ac:dyDescent="0.25">
      <c r="A110" s="10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103">
        <f>Table6[[#This Row],[(A/S) AJD]]-Table6[[#This Row],[SER_IN]]</f>
        <v>0</v>
      </c>
    </row>
    <row r="111" spans="1:42" ht="18.75" x14ac:dyDescent="0.25">
      <c r="A111" s="10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103">
        <f>Table6[[#This Row],[(A/S) AJD]]-Table6[[#This Row],[SER_IN]]</f>
        <v>0</v>
      </c>
    </row>
    <row r="112" spans="1:42" ht="18.75" x14ac:dyDescent="0.25">
      <c r="A112" s="10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103">
        <f>Table6[[#This Row],[(A/S) AJD]]-Table6[[#This Row],[SER_IN]]</f>
        <v>0</v>
      </c>
    </row>
    <row r="113" spans="1:42" ht="18.75" x14ac:dyDescent="0.25">
      <c r="A113" s="10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103">
        <f>Table6[[#This Row],[(A/S) AJD]]-Table6[[#This Row],[SER_IN]]</f>
        <v>0</v>
      </c>
    </row>
    <row r="114" spans="1:42" ht="18.75" x14ac:dyDescent="0.25">
      <c r="A114" s="10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103">
        <f>Table6[[#This Row],[(A/S) AJD]]-Table6[[#This Row],[SER_IN]]</f>
        <v>0</v>
      </c>
    </row>
    <row r="115" spans="1:42" ht="18.75" x14ac:dyDescent="0.25">
      <c r="A115" s="10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103">
        <f>Table6[[#This Row],[(A/S) AJD]]-Table6[[#This Row],[SER_IN]]</f>
        <v>0</v>
      </c>
    </row>
    <row r="116" spans="1:42" ht="18.75" x14ac:dyDescent="0.25">
      <c r="A116" s="10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103">
        <f>Table6[[#This Row],[(A/S) AJD]]-Table6[[#This Row],[SER_IN]]</f>
        <v>0</v>
      </c>
    </row>
    <row r="117" spans="1:42" ht="18.75" x14ac:dyDescent="0.25">
      <c r="A117" s="10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103">
        <f>Table6[[#This Row],[(A/S) AJD]]-Table6[[#This Row],[SER_IN]]</f>
        <v>0</v>
      </c>
    </row>
    <row r="118" spans="1:42" ht="18.75" x14ac:dyDescent="0.25">
      <c r="A118" s="10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103">
        <f>Table6[[#This Row],[(A/S) AJD]]-Table6[[#This Row],[SER_IN]]</f>
        <v>0</v>
      </c>
    </row>
    <row r="119" spans="1:42" ht="18.75" x14ac:dyDescent="0.25">
      <c r="A119" s="10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103">
        <f>Table6[[#This Row],[(A/S) AJD]]-Table6[[#This Row],[SER_IN]]</f>
        <v>0</v>
      </c>
    </row>
    <row r="120" spans="1:42" ht="18.75" x14ac:dyDescent="0.25">
      <c r="A120" s="10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103">
        <f>Table6[[#This Row],[(A/S) AJD]]-Table6[[#This Row],[SER_IN]]</f>
        <v>0</v>
      </c>
    </row>
    <row r="121" spans="1:42" ht="18.75" x14ac:dyDescent="0.25">
      <c r="A121" s="10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103">
        <f>Table6[[#This Row],[(A/S) AJD]]-Table6[[#This Row],[SER_IN]]</f>
        <v>0</v>
      </c>
    </row>
    <row r="122" spans="1:42" ht="18.75" x14ac:dyDescent="0.25">
      <c r="A122" s="10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103">
        <f>Table6[[#This Row],[(A/S) AJD]]-Table6[[#This Row],[SER_IN]]</f>
        <v>0</v>
      </c>
    </row>
    <row r="123" spans="1:42" ht="18.75" x14ac:dyDescent="0.25">
      <c r="A123" s="10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103">
        <f>Table6[[#This Row],[(A/S) AJD]]-Table6[[#This Row],[SER_IN]]</f>
        <v>0</v>
      </c>
    </row>
    <row r="124" spans="1:42" ht="18.75" x14ac:dyDescent="0.25">
      <c r="A124" s="10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103">
        <f>Table6[[#This Row],[(A/S) AJD]]-Table6[[#This Row],[SER_IN]]</f>
        <v>0</v>
      </c>
    </row>
    <row r="125" spans="1:42" ht="18.75" x14ac:dyDescent="0.25">
      <c r="A125" s="10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103">
        <f>Table6[[#This Row],[(A/S) AJD]]-Table6[[#This Row],[SER_IN]]</f>
        <v>0</v>
      </c>
    </row>
    <row r="126" spans="1:42" ht="18.75" x14ac:dyDescent="0.25">
      <c r="A126" s="10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103">
        <f>Table6[[#This Row],[(A/S) AJD]]-Table6[[#This Row],[SER_IN]]</f>
        <v>0</v>
      </c>
    </row>
    <row r="127" spans="1:42" ht="18.75" x14ac:dyDescent="0.25">
      <c r="A127" s="10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103">
        <f>Table6[[#This Row],[(A/S) AJD]]-Table6[[#This Row],[SER_IN]]</f>
        <v>0</v>
      </c>
    </row>
    <row r="128" spans="1:42" ht="18.75" x14ac:dyDescent="0.25">
      <c r="A128" s="10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103">
        <f>Table6[[#This Row],[(A/S) AJD]]-Table6[[#This Row],[SER_IN]]</f>
        <v>0</v>
      </c>
    </row>
    <row r="129" spans="1:42" ht="18.75" x14ac:dyDescent="0.25">
      <c r="A129" s="10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103">
        <f>Table6[[#This Row],[(A/S) AJD]]-Table6[[#This Row],[SER_IN]]</f>
        <v>0</v>
      </c>
    </row>
    <row r="130" spans="1:42" ht="18.75" x14ac:dyDescent="0.25">
      <c r="A130" s="10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103">
        <f>Table6[[#This Row],[(A/S) AJD]]-Table6[[#This Row],[SER_IN]]</f>
        <v>0</v>
      </c>
    </row>
    <row r="131" spans="1:42" ht="18.75" x14ac:dyDescent="0.25">
      <c r="A131" s="10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si="7"/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103">
        <f>Table6[[#This Row],[(A/S) AJD]]-Table6[[#This Row],[SER_IN]]</f>
        <v>0</v>
      </c>
    </row>
    <row r="132" spans="1:42" ht="18.75" x14ac:dyDescent="0.25">
      <c r="A132" s="10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103">
        <f>Table6[[#This Row],[(A/S) AJD]]-Table6[[#This Row],[SER_IN]]</f>
        <v>0</v>
      </c>
    </row>
    <row r="133" spans="1:42" ht="18.75" x14ac:dyDescent="0.25">
      <c r="A133" s="10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103">
        <f>Table6[[#This Row],[(A/S) AJD]]-Table6[[#This Row],[SER_IN]]</f>
        <v>0</v>
      </c>
    </row>
    <row r="134" spans="1:42" ht="18.75" x14ac:dyDescent="0.25">
      <c r="A134" s="10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103">
        <f>Table6[[#This Row],[(A/S) AJD]]-Table6[[#This Row],[SER_IN]]</f>
        <v>0</v>
      </c>
    </row>
    <row r="135" spans="1:42" ht="18.75" x14ac:dyDescent="0.25">
      <c r="A135" s="10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103">
        <f>Table6[[#This Row],[(A/S) AJD]]-Table6[[#This Row],[SER_IN]]</f>
        <v>0</v>
      </c>
    </row>
    <row r="136" spans="1:42" ht="18.75" x14ac:dyDescent="0.25">
      <c r="A136" s="10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103">
        <f>Table6[[#This Row],[(A/S) AJD]]-Table6[[#This Row],[SER_IN]]</f>
        <v>0</v>
      </c>
    </row>
    <row r="137" spans="1:42" ht="18.75" x14ac:dyDescent="0.25">
      <c r="A137" s="10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103">
        <f>Table6[[#This Row],[(A/S) AJD]]-Table6[[#This Row],[SER_IN]]</f>
        <v>0</v>
      </c>
    </row>
    <row r="138" spans="1:42" ht="18.75" x14ac:dyDescent="0.25">
      <c r="A138" s="10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103">
        <f>Table6[[#This Row],[(A/S) AJD]]-Table6[[#This Row],[SER_IN]]</f>
        <v>0</v>
      </c>
    </row>
    <row r="139" spans="1:42" ht="18.75" x14ac:dyDescent="0.25">
      <c r="A139" s="10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103">
        <f>Table6[[#This Row],[(A/S) AJD]]-Table6[[#This Row],[SER_IN]]</f>
        <v>0</v>
      </c>
    </row>
    <row r="140" spans="1:42" ht="18.75" x14ac:dyDescent="0.25">
      <c r="A140" s="10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103">
        <f>Table6[[#This Row],[(A/S) AJD]]-Table6[[#This Row],[SER_IN]]</f>
        <v>0</v>
      </c>
    </row>
    <row r="141" spans="1:42" ht="18.75" x14ac:dyDescent="0.25">
      <c r="A141" s="10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103">
        <f>Table6[[#This Row],[(A/S) AJD]]-Table6[[#This Row],[SER_IN]]</f>
        <v>0</v>
      </c>
    </row>
    <row r="142" spans="1:42" ht="18.75" x14ac:dyDescent="0.25">
      <c r="A142" s="10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103">
        <f>Table6[[#This Row],[(A/S) AJD]]-Table6[[#This Row],[SER_IN]]</f>
        <v>0</v>
      </c>
    </row>
    <row r="143" spans="1:42" ht="18.75" x14ac:dyDescent="0.25">
      <c r="A143" s="10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103">
        <f>Table6[[#This Row],[(A/S) AJD]]-Table6[[#This Row],[SER_IN]]</f>
        <v>0</v>
      </c>
    </row>
    <row r="144" spans="1:42" ht="18.75" x14ac:dyDescent="0.25">
      <c r="A144" s="10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103">
        <f>Table6[[#This Row],[(A/S) AJD]]-Table6[[#This Row],[SER_IN]]</f>
        <v>0</v>
      </c>
    </row>
    <row r="145" spans="1:42" ht="18.75" x14ac:dyDescent="0.25">
      <c r="A145" s="10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103">
        <f>Table6[[#This Row],[(A/S) AJD]]-Table6[[#This Row],[SER_IN]]</f>
        <v>0</v>
      </c>
    </row>
    <row r="146" spans="1:42" ht="18.75" x14ac:dyDescent="0.25">
      <c r="A146" s="10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103">
        <f>Table6[[#This Row],[(A/S) AJD]]-Table6[[#This Row],[SER_IN]]</f>
        <v>0</v>
      </c>
    </row>
    <row r="147" spans="1:42" ht="18.75" x14ac:dyDescent="0.25">
      <c r="A147" s="10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103">
        <f>Table6[[#This Row],[(A/S) AJD]]-Table6[[#This Row],[SER_IN]]</f>
        <v>0</v>
      </c>
    </row>
    <row r="148" spans="1:42" ht="18.75" x14ac:dyDescent="0.25">
      <c r="A148" s="10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103">
        <f>Table6[[#This Row],[(A/S) AJD]]-Table6[[#This Row],[SER_IN]]</f>
        <v>0</v>
      </c>
    </row>
    <row r="149" spans="1:42" ht="18.75" x14ac:dyDescent="0.25">
      <c r="A149" s="10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103">
        <f>Table6[[#This Row],[(A/S) AJD]]-Table6[[#This Row],[SER_IN]]</f>
        <v>0</v>
      </c>
    </row>
    <row r="150" spans="1:42" ht="18.75" x14ac:dyDescent="0.25">
      <c r="A150" s="10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103">
        <f>Table6[[#This Row],[(A/S) AJD]]-Table6[[#This Row],[SER_IN]]</f>
        <v>0</v>
      </c>
    </row>
    <row r="151" spans="1:42" ht="18.75" x14ac:dyDescent="0.25">
      <c r="A151" s="10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103">
        <f>Table6[[#This Row],[(A/S) AJD]]-Table6[[#This Row],[SER_IN]]</f>
        <v>0</v>
      </c>
    </row>
    <row r="152" spans="1:42" ht="18.75" x14ac:dyDescent="0.25">
      <c r="A152" s="10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103">
        <f>Table6[[#This Row],[(A/S) AJD]]-Table6[[#This Row],[SER_IN]]</f>
        <v>0</v>
      </c>
    </row>
    <row r="153" spans="1:42" ht="18.75" x14ac:dyDescent="0.25">
      <c r="A153" s="10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103">
        <f>Table6[[#This Row],[(A/S) AJD]]-Table6[[#This Row],[SER_IN]]</f>
        <v>0</v>
      </c>
    </row>
    <row r="154" spans="1:42" ht="18.75" x14ac:dyDescent="0.25">
      <c r="A154" s="10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103">
        <f>Table6[[#This Row],[(A/S) AJD]]-Table6[[#This Row],[SER_IN]]</f>
        <v>0</v>
      </c>
    </row>
    <row r="155" spans="1:42" ht="18.75" x14ac:dyDescent="0.25">
      <c r="A155" s="10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103">
        <f>Table6[[#This Row],[(A/S) AJD]]-Table6[[#This Row],[SER_IN]]</f>
        <v>0</v>
      </c>
    </row>
    <row r="156" spans="1:42" ht="18.75" x14ac:dyDescent="0.25">
      <c r="A156" s="10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103">
        <f>Table6[[#This Row],[(A/S) AJD]]-Table6[[#This Row],[SER_IN]]</f>
        <v>0</v>
      </c>
    </row>
    <row r="157" spans="1:42" ht="18.75" x14ac:dyDescent="0.25">
      <c r="A157" s="10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103">
        <f>Table6[[#This Row],[(A/S) AJD]]-Table6[[#This Row],[SER_IN]]</f>
        <v>0</v>
      </c>
    </row>
    <row r="158" spans="1:42" ht="18.75" x14ac:dyDescent="0.25">
      <c r="A158" s="10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103">
        <f>Table6[[#This Row],[(A/S) AJD]]-Table6[[#This Row],[SER_IN]]</f>
        <v>0</v>
      </c>
    </row>
    <row r="159" spans="1:42" ht="18.75" x14ac:dyDescent="0.25">
      <c r="A159" s="10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103">
        <f>Table6[[#This Row],[(A/S) AJD]]-Table6[[#This Row],[SER_IN]]</f>
        <v>0</v>
      </c>
    </row>
    <row r="160" spans="1:42" ht="18.75" x14ac:dyDescent="0.25">
      <c r="A160" s="10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103">
        <f>Table6[[#This Row],[(A/S) AJD]]-Table6[[#This Row],[SER_IN]]</f>
        <v>0</v>
      </c>
    </row>
    <row r="161" spans="1:42" ht="18.75" x14ac:dyDescent="0.25">
      <c r="A161" s="10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103">
        <f>Table6[[#This Row],[(A/S) AJD]]-Table6[[#This Row],[SER_IN]]</f>
        <v>0</v>
      </c>
    </row>
    <row r="162" spans="1:42" ht="18.75" x14ac:dyDescent="0.25">
      <c r="A162" s="10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103">
        <f>Table6[[#This Row],[(A/S) AJD]]-Table6[[#This Row],[SER_IN]]</f>
        <v>0</v>
      </c>
    </row>
    <row r="163" spans="1:42" ht="18.75" x14ac:dyDescent="0.25">
      <c r="A163" s="10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103">
        <f>Table6[[#This Row],[(A/S) AJD]]-Table6[[#This Row],[SER_IN]]</f>
        <v>0</v>
      </c>
    </row>
    <row r="164" spans="1:42" ht="18.75" x14ac:dyDescent="0.25">
      <c r="A164" s="10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103">
        <f>Table6[[#This Row],[(A/S) AJD]]-Table6[[#This Row],[SER_IN]]</f>
        <v>0</v>
      </c>
    </row>
    <row r="165" spans="1:42" ht="18.75" x14ac:dyDescent="0.25">
      <c r="A165" s="10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103">
        <f>Table6[[#This Row],[(A/S) AJD]]-Table6[[#This Row],[SER_IN]]</f>
        <v>0</v>
      </c>
    </row>
    <row r="166" spans="1:42" ht="18.75" x14ac:dyDescent="0.25">
      <c r="A166" s="10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103">
        <f>Table6[[#This Row],[(A/S) AJD]]-Table6[[#This Row],[SER_IN]]</f>
        <v>0</v>
      </c>
    </row>
    <row r="167" spans="1:42" ht="18.75" x14ac:dyDescent="0.25">
      <c r="A167" s="10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103">
        <f>Table6[[#This Row],[(A/S) AJD]]-Table6[[#This Row],[SER_IN]]</f>
        <v>0</v>
      </c>
    </row>
    <row r="168" spans="1:42" ht="18.75" x14ac:dyDescent="0.25">
      <c r="A168" s="10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103">
        <f>Table6[[#This Row],[(A/S) AJD]]-Table6[[#This Row],[SER_IN]]</f>
        <v>0</v>
      </c>
    </row>
    <row r="169" spans="1:42" ht="18.75" x14ac:dyDescent="0.25">
      <c r="A169" s="10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103">
        <f>Table6[[#This Row],[(A/S) AJD]]-Table6[[#This Row],[SER_IN]]</f>
        <v>0</v>
      </c>
    </row>
    <row r="170" spans="1:42" ht="18.75" x14ac:dyDescent="0.25">
      <c r="A170" s="10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103">
        <f>Table6[[#This Row],[(A/S) AJD]]-Table6[[#This Row],[SER_IN]]</f>
        <v>0</v>
      </c>
    </row>
    <row r="171" spans="1:42" ht="18.75" x14ac:dyDescent="0.25">
      <c r="A171" s="10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103">
        <f>Table6[[#This Row],[(A/S) AJD]]-Table6[[#This Row],[SER_IN]]</f>
        <v>0</v>
      </c>
    </row>
    <row r="172" spans="1:42" ht="18.75" x14ac:dyDescent="0.25">
      <c r="A172" s="10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103">
        <f>Table6[[#This Row],[(A/S) AJD]]-Table6[[#This Row],[SER_IN]]</f>
        <v>0</v>
      </c>
    </row>
    <row r="173" spans="1:42" ht="18.75" x14ac:dyDescent="0.25">
      <c r="A173" s="10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103">
        <f>Table6[[#This Row],[(A/S) AJD]]-Table6[[#This Row],[SER_IN]]</f>
        <v>0</v>
      </c>
    </row>
    <row r="174" spans="1:42" ht="18.75" x14ac:dyDescent="0.25">
      <c r="A174" s="10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103">
        <f>Table6[[#This Row],[(A/S) AJD]]-Table6[[#This Row],[SER_IN]]</f>
        <v>0</v>
      </c>
    </row>
    <row r="175" spans="1:42" ht="18.75" x14ac:dyDescent="0.25">
      <c r="A175" s="10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103">
        <f>Table6[[#This Row],[(A/S) AJD]]-Table6[[#This Row],[SER_IN]]</f>
        <v>0</v>
      </c>
    </row>
    <row r="176" spans="1:42" ht="18.75" x14ac:dyDescent="0.25">
      <c r="A176" s="10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103">
        <f>Table6[[#This Row],[(A/S) AJD]]-Table6[[#This Row],[SER_IN]]</f>
        <v>0</v>
      </c>
    </row>
    <row r="177" spans="1:42" ht="18.75" x14ac:dyDescent="0.25">
      <c r="A177" s="10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103">
        <f>Table6[[#This Row],[(A/S) AJD]]-Table6[[#This Row],[SER_IN]]</f>
        <v>0</v>
      </c>
    </row>
    <row r="178" spans="1:42" ht="18.75" x14ac:dyDescent="0.25">
      <c r="A178" s="10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103">
        <f>Table6[[#This Row],[(A/S) AJD]]-Table6[[#This Row],[SER_IN]]</f>
        <v>0</v>
      </c>
    </row>
    <row r="179" spans="1:42" ht="18.75" x14ac:dyDescent="0.25">
      <c r="A179" s="10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103">
        <f>Table6[[#This Row],[(A/S) AJD]]-Table6[[#This Row],[SER_IN]]</f>
        <v>0</v>
      </c>
    </row>
    <row r="180" spans="1:42" ht="18.75" x14ac:dyDescent="0.25">
      <c r="A180" s="10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103">
        <f>Table6[[#This Row],[(A/S) AJD]]-Table6[[#This Row],[SER_IN]]</f>
        <v>0</v>
      </c>
    </row>
    <row r="181" spans="1:42" ht="18.75" x14ac:dyDescent="0.25">
      <c r="A181" s="10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103">
        <f>Table6[[#This Row],[(A/S) AJD]]-Table6[[#This Row],[SER_IN]]</f>
        <v>0</v>
      </c>
    </row>
    <row r="182" spans="1:42" ht="18.75" x14ac:dyDescent="0.25">
      <c r="A182" s="10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103">
        <f>Table6[[#This Row],[(A/S) AJD]]-Table6[[#This Row],[SER_IN]]</f>
        <v>0</v>
      </c>
    </row>
    <row r="183" spans="1:42" ht="18.75" x14ac:dyDescent="0.25">
      <c r="A183" s="10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103">
        <f>Table6[[#This Row],[(A/S) AJD]]-Table6[[#This Row],[SER_IN]]</f>
        <v>0</v>
      </c>
    </row>
    <row r="184" spans="1:42" ht="18.75" x14ac:dyDescent="0.25">
      <c r="A184" s="10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103">
        <f>Table6[[#This Row],[(A/S) AJD]]-Table6[[#This Row],[SER_IN]]</f>
        <v>0</v>
      </c>
    </row>
    <row r="185" spans="1:42" ht="18.75" x14ac:dyDescent="0.25">
      <c r="A185" s="10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103">
        <f>Table6[[#This Row],[(A/S) AJD]]-Table6[[#This Row],[SER_IN]]</f>
        <v>0</v>
      </c>
    </row>
    <row r="186" spans="1:42" ht="18.75" x14ac:dyDescent="0.25">
      <c r="A186" s="10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103">
        <f>Table6[[#This Row],[(A/S) AJD]]-Table6[[#This Row],[SER_IN]]</f>
        <v>0</v>
      </c>
    </row>
    <row r="187" spans="1:42" ht="18.75" x14ac:dyDescent="0.25">
      <c r="A187" s="10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103">
        <f>Table6[[#This Row],[(A/S) AJD]]-Table6[[#This Row],[SER_IN]]</f>
        <v>0</v>
      </c>
    </row>
    <row r="188" spans="1:42" ht="18.75" x14ac:dyDescent="0.25">
      <c r="A188" s="10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103">
        <f>Table6[[#This Row],[(A/S) AJD]]-Table6[[#This Row],[SER_IN]]</f>
        <v>0</v>
      </c>
    </row>
    <row r="189" spans="1:42" ht="18.75" x14ac:dyDescent="0.25">
      <c r="A189" s="10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103">
        <f>Table6[[#This Row],[(A/S) AJD]]-Table6[[#This Row],[SER_IN]]</f>
        <v>0</v>
      </c>
    </row>
    <row r="190" spans="1:42" ht="18.75" x14ac:dyDescent="0.25">
      <c r="A190" s="10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103">
        <f>Table6[[#This Row],[(A/S) AJD]]-Table6[[#This Row],[SER_IN]]</f>
        <v>0</v>
      </c>
    </row>
    <row r="191" spans="1:42" ht="18.75" x14ac:dyDescent="0.25">
      <c r="A191" s="10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103">
        <f>Table6[[#This Row],[(A/S) AJD]]-Table6[[#This Row],[SER_IN]]</f>
        <v>0</v>
      </c>
    </row>
    <row r="192" spans="1:42" ht="18.75" x14ac:dyDescent="0.25">
      <c r="A192" s="10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103">
        <f>Table6[[#This Row],[(A/S) AJD]]-Table6[[#This Row],[SER_IN]]</f>
        <v>0</v>
      </c>
    </row>
    <row r="193" spans="1:42" ht="18.75" x14ac:dyDescent="0.25">
      <c r="A193" s="10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103">
        <f>Table6[[#This Row],[(A/S) AJD]]-Table6[[#This Row],[SER_IN]]</f>
        <v>0</v>
      </c>
    </row>
    <row r="194" spans="1:42" ht="18.75" x14ac:dyDescent="0.25">
      <c r="A194" s="10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103">
        <f>Table6[[#This Row],[(A/S) AJD]]-Table6[[#This Row],[SER_IN]]</f>
        <v>0</v>
      </c>
    </row>
    <row r="195" spans="1:42" ht="18.75" x14ac:dyDescent="0.25">
      <c r="A195" s="10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si="11"/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103">
        <f>Table6[[#This Row],[(A/S) AJD]]-Table6[[#This Row],[SER_IN]]</f>
        <v>0</v>
      </c>
    </row>
    <row r="196" spans="1:42" ht="18.75" x14ac:dyDescent="0.25">
      <c r="A196" s="10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103">
        <f>Table6[[#This Row],[(A/S) AJD]]-Table6[[#This Row],[SER_IN]]</f>
        <v>0</v>
      </c>
    </row>
    <row r="197" spans="1:42" ht="18.75" x14ac:dyDescent="0.25">
      <c r="A197" s="10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103">
        <f>Table6[[#This Row],[(A/S) AJD]]-Table6[[#This Row],[SER_IN]]</f>
        <v>0</v>
      </c>
    </row>
    <row r="198" spans="1:42" ht="18.75" x14ac:dyDescent="0.25">
      <c r="A198" s="10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103">
        <f>Table6[[#This Row],[(A/S) AJD]]-Table6[[#This Row],[SER_IN]]</f>
        <v>0</v>
      </c>
    </row>
    <row r="199" spans="1:42" ht="18.75" x14ac:dyDescent="0.25">
      <c r="A199" s="10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103">
        <f>Table6[[#This Row],[(A/S) AJD]]-Table6[[#This Row],[SER_IN]]</f>
        <v>0</v>
      </c>
    </row>
    <row r="200" spans="1:42" ht="18.75" x14ac:dyDescent="0.25">
      <c r="A200" s="10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103">
        <f>Table6[[#This Row],[(A/S) AJD]]-Table6[[#This Row],[SER_IN]]</f>
        <v>0</v>
      </c>
    </row>
    <row r="201" spans="1:42" ht="18.75" x14ac:dyDescent="0.25">
      <c r="A201" s="10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103">
        <f>Table6[[#This Row],[(A/S) AJD]]-Table6[[#This Row],[SER_IN]]</f>
        <v>0</v>
      </c>
    </row>
    <row r="202" spans="1:42" ht="18.75" x14ac:dyDescent="0.25">
      <c r="A202" s="10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103">
        <f>Table6[[#This Row],[(A/S) AJD]]-Table6[[#This Row],[SER_IN]]</f>
        <v>0</v>
      </c>
    </row>
    <row r="203" spans="1:42" ht="18.75" x14ac:dyDescent="0.25">
      <c r="A203" s="10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103">
        <f>Table6[[#This Row],[(A/S) AJD]]-Table6[[#This Row],[SER_IN]]</f>
        <v>0</v>
      </c>
    </row>
    <row r="204" spans="1:42" ht="18.75" x14ac:dyDescent="0.25">
      <c r="A204" s="10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103">
        <f>Table6[[#This Row],[(A/S) AJD]]-Table6[[#This Row],[SER_IN]]</f>
        <v>0</v>
      </c>
    </row>
    <row r="205" spans="1:42" ht="18.75" x14ac:dyDescent="0.25">
      <c r="A205" s="10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103">
        <f>Table6[[#This Row],[(A/S) AJD]]-Table6[[#This Row],[SER_IN]]</f>
        <v>0</v>
      </c>
    </row>
    <row r="206" spans="1:42" ht="18.75" x14ac:dyDescent="0.25">
      <c r="A206" s="10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103">
        <f>Table6[[#This Row],[(A/S) AJD]]-Table6[[#This Row],[SER_IN]]</f>
        <v>0</v>
      </c>
    </row>
    <row r="207" spans="1:42" ht="18.75" x14ac:dyDescent="0.25">
      <c r="A207" s="10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103">
        <f>Table6[[#This Row],[(A/S) AJD]]-Table6[[#This Row],[SER_IN]]</f>
        <v>0</v>
      </c>
    </row>
    <row r="208" spans="1:42" ht="18.75" x14ac:dyDescent="0.25">
      <c r="A208" s="10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103">
        <f>Table6[[#This Row],[(A/S) AJD]]-Table6[[#This Row],[SER_IN]]</f>
        <v>0</v>
      </c>
    </row>
    <row r="209" spans="1:42" ht="18.75" x14ac:dyDescent="0.25">
      <c r="A209" s="10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103">
        <f>Table6[[#This Row],[(A/S) AJD]]-Table6[[#This Row],[SER_IN]]</f>
        <v>0</v>
      </c>
    </row>
    <row r="210" spans="1:42" ht="18.75" x14ac:dyDescent="0.25">
      <c r="A210" s="10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103">
        <f>Table6[[#This Row],[(A/S) AJD]]-Table6[[#This Row],[SER_IN]]</f>
        <v>0</v>
      </c>
    </row>
    <row r="211" spans="1:42" ht="18.75" x14ac:dyDescent="0.25">
      <c r="A211" s="10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103">
        <f>Table6[[#This Row],[(A/S) AJD]]-Table6[[#This Row],[SER_IN]]</f>
        <v>0</v>
      </c>
    </row>
    <row r="212" spans="1:42" ht="18.75" x14ac:dyDescent="0.25">
      <c r="A212" s="10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103">
        <f>Table6[[#This Row],[(A/S) AJD]]-Table6[[#This Row],[SER_IN]]</f>
        <v>0</v>
      </c>
    </row>
    <row r="213" spans="1:42" ht="18.75" x14ac:dyDescent="0.25">
      <c r="A213" s="10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103">
        <f>Table6[[#This Row],[(A/S) AJD]]-Table6[[#This Row],[SER_IN]]</f>
        <v>0</v>
      </c>
    </row>
    <row r="214" spans="1:42" ht="18.75" x14ac:dyDescent="0.25">
      <c r="A214" s="10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103">
        <f>Table6[[#This Row],[(A/S) AJD]]-Table6[[#This Row],[SER_IN]]</f>
        <v>0</v>
      </c>
    </row>
    <row r="215" spans="1:42" ht="18.75" x14ac:dyDescent="0.25">
      <c r="A215" s="10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103">
        <f>Table6[[#This Row],[(A/S) AJD]]-Table6[[#This Row],[SER_IN]]</f>
        <v>0</v>
      </c>
    </row>
    <row r="216" spans="1:42" ht="18.75" x14ac:dyDescent="0.25">
      <c r="A216" s="10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103">
        <f>Table6[[#This Row],[(A/S) AJD]]-Table6[[#This Row],[SER_IN]]</f>
        <v>0</v>
      </c>
    </row>
    <row r="217" spans="1:42" ht="18.75" x14ac:dyDescent="0.25">
      <c r="A217" s="10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103">
        <f>Table6[[#This Row],[(A/S) AJD]]-Table6[[#This Row],[SER_IN]]</f>
        <v>0</v>
      </c>
    </row>
    <row r="218" spans="1:42" ht="18.75" x14ac:dyDescent="0.25">
      <c r="A218" s="10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103">
        <f>Table6[[#This Row],[(A/S) AJD]]-Table6[[#This Row],[SER_IN]]</f>
        <v>0</v>
      </c>
    </row>
    <row r="219" spans="1:42" ht="18.75" x14ac:dyDescent="0.25">
      <c r="A219" s="10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103">
        <f>Table6[[#This Row],[(A/S) AJD]]-Table6[[#This Row],[SER_IN]]</f>
        <v>0</v>
      </c>
    </row>
    <row r="220" spans="1:42" ht="18.75" x14ac:dyDescent="0.25">
      <c r="A220" s="10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103">
        <f>Table6[[#This Row],[(A/S) AJD]]-Table6[[#This Row],[SER_IN]]</f>
        <v>0</v>
      </c>
    </row>
    <row r="221" spans="1:42" ht="18.75" x14ac:dyDescent="0.25">
      <c r="A221" s="10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103">
        <f>Table6[[#This Row],[(A/S) AJD]]-Table6[[#This Row],[SER_IN]]</f>
        <v>0</v>
      </c>
    </row>
    <row r="222" spans="1:42" ht="18.75" x14ac:dyDescent="0.25">
      <c r="A222" s="10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103">
        <f>Table6[[#This Row],[(A/S) AJD]]-Table6[[#This Row],[SER_IN]]</f>
        <v>0</v>
      </c>
    </row>
    <row r="223" spans="1:42" ht="18.75" x14ac:dyDescent="0.25">
      <c r="A223" s="10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103">
        <f>Table6[[#This Row],[(A/S) AJD]]-Table6[[#This Row],[SER_IN]]</f>
        <v>0</v>
      </c>
    </row>
    <row r="224" spans="1:42" ht="18.75" x14ac:dyDescent="0.25">
      <c r="A224" s="10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103">
        <f>Table6[[#This Row],[(A/S) AJD]]-Table6[[#This Row],[SER_IN]]</f>
        <v>0</v>
      </c>
    </row>
    <row r="225" spans="1:42" ht="18.75" x14ac:dyDescent="0.25">
      <c r="A225" s="10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103">
        <f>Table6[[#This Row],[(A/S) AJD]]-Table6[[#This Row],[SER_IN]]</f>
        <v>0</v>
      </c>
    </row>
    <row r="226" spans="1:42" ht="18.75" x14ac:dyDescent="0.25">
      <c r="A226" s="10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103">
        <f>Table6[[#This Row],[(A/S) AJD]]-Table6[[#This Row],[SER_IN]]</f>
        <v>0</v>
      </c>
    </row>
    <row r="227" spans="1:42" ht="18.75" x14ac:dyDescent="0.25">
      <c r="A227" s="10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103">
        <f>Table6[[#This Row],[(A/S) AJD]]-Table6[[#This Row],[SER_IN]]</f>
        <v>0</v>
      </c>
    </row>
    <row r="228" spans="1:42" ht="18.75" x14ac:dyDescent="0.25">
      <c r="A228" s="10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103">
        <f>Table6[[#This Row],[(A/S) AJD]]-Table6[[#This Row],[SER_IN]]</f>
        <v>0</v>
      </c>
    </row>
    <row r="229" spans="1:42" ht="18.75" x14ac:dyDescent="0.25">
      <c r="A229" s="10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103">
        <f>Table6[[#This Row],[(A/S) AJD]]-Table6[[#This Row],[SER_IN]]</f>
        <v>0</v>
      </c>
    </row>
    <row r="230" spans="1:42" ht="18.75" x14ac:dyDescent="0.25">
      <c r="A230" s="10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103">
        <f>Table6[[#This Row],[(A/S) AJD]]-Table6[[#This Row],[SER_IN]]</f>
        <v>0</v>
      </c>
    </row>
    <row r="231" spans="1:42" ht="18.75" x14ac:dyDescent="0.25">
      <c r="A231" s="10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103">
        <f>Table6[[#This Row],[(A/S) AJD]]-Table6[[#This Row],[SER_IN]]</f>
        <v>0</v>
      </c>
    </row>
    <row r="232" spans="1:42" ht="18.75" x14ac:dyDescent="0.25">
      <c r="A232" s="102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103">
        <f>Table6[[#This Row],[(A/S) AJD]]-Table6[[#This Row],[SER_IN]]</f>
        <v>0</v>
      </c>
    </row>
    <row r="233" spans="1:42" ht="18.75" x14ac:dyDescent="0.25">
      <c r="A233" s="10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103">
        <f>Table6[[#This Row],[(A/S) AJD]]-Table6[[#This Row],[SER_IN]]</f>
        <v>0</v>
      </c>
    </row>
    <row r="234" spans="1:42" ht="18.75" x14ac:dyDescent="0.25">
      <c r="A234" s="10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103">
        <f>Table6[[#This Row],[(A/S) AJD]]-Table6[[#This Row],[SER_IN]]</f>
        <v>0</v>
      </c>
    </row>
    <row r="235" spans="1:42" ht="18.75" x14ac:dyDescent="0.25">
      <c r="A235" s="10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103">
        <f>Table6[[#This Row],[(A/S) AJD]]-Table6[[#This Row],[SER_IN]]</f>
        <v>0</v>
      </c>
    </row>
    <row r="236" spans="1:42" ht="18.75" x14ac:dyDescent="0.25">
      <c r="A236" s="10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103">
        <f>Table6[[#This Row],[(A/S) AJD]]-Table6[[#This Row],[SER_IN]]</f>
        <v>0</v>
      </c>
    </row>
    <row r="237" spans="1:42" ht="18.75" x14ac:dyDescent="0.25">
      <c r="A237" s="10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103">
        <f>Table6[[#This Row],[(A/S) AJD]]-Table6[[#This Row],[SER_IN]]</f>
        <v>0</v>
      </c>
    </row>
    <row r="238" spans="1:42" ht="18.75" x14ac:dyDescent="0.25">
      <c r="A238" s="10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103">
        <f>Table6[[#This Row],[(A/S) AJD]]-Table6[[#This Row],[SER_IN]]</f>
        <v>0</v>
      </c>
    </row>
    <row r="239" spans="1:42" ht="18.75" x14ac:dyDescent="0.25">
      <c r="A239" s="10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103">
        <f>Table6[[#This Row],[(A/S) AJD]]-Table6[[#This Row],[SER_IN]]</f>
        <v>0</v>
      </c>
    </row>
    <row r="240" spans="1:42" ht="18.75" x14ac:dyDescent="0.25">
      <c r="A240" s="10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103">
        <f>Table6[[#This Row],[(A/S) AJD]]-Table6[[#This Row],[SER_IN]]</f>
        <v>0</v>
      </c>
    </row>
    <row r="241" spans="1:42" ht="18.75" x14ac:dyDescent="0.25">
      <c r="A241" s="10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103">
        <f>Table6[[#This Row],[(A/S) AJD]]-Table6[[#This Row],[SER_IN]]</f>
        <v>0</v>
      </c>
    </row>
    <row r="242" spans="1:42" ht="18.75" x14ac:dyDescent="0.25">
      <c r="A242" s="10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103">
        <f>Table6[[#This Row],[(A/S) AJD]]-Table6[[#This Row],[SER_IN]]</f>
        <v>0</v>
      </c>
    </row>
    <row r="243" spans="1:42" ht="18.75" x14ac:dyDescent="0.25">
      <c r="A243" s="10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103">
        <f>Table6[[#This Row],[(A/S) AJD]]-Table6[[#This Row],[SER_IN]]</f>
        <v>0</v>
      </c>
    </row>
    <row r="244" spans="1:42" ht="18.75" x14ac:dyDescent="0.25">
      <c r="A244" s="10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103">
        <f>Table6[[#This Row],[(A/S) AJD]]-Table6[[#This Row],[SER_IN]]</f>
        <v>0</v>
      </c>
    </row>
    <row r="245" spans="1:42" ht="18.75" x14ac:dyDescent="0.25">
      <c r="A245" s="10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103">
        <f>Table6[[#This Row],[(A/S) AJD]]-Table6[[#This Row],[SER_IN]]</f>
        <v>0</v>
      </c>
    </row>
    <row r="246" spans="1:42" ht="18.75" x14ac:dyDescent="0.25">
      <c r="A246" s="10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103">
        <f>Table6[[#This Row],[(A/S) AJD]]-Table6[[#This Row],[SER_IN]]</f>
        <v>0</v>
      </c>
    </row>
    <row r="247" spans="1:42" ht="18.75" x14ac:dyDescent="0.25">
      <c r="A247" s="10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103">
        <f>Table6[[#This Row],[(A/S) AJD]]-Table6[[#This Row],[SER_IN]]</f>
        <v>0</v>
      </c>
    </row>
    <row r="248" spans="1:42" ht="18.75" x14ac:dyDescent="0.25">
      <c r="A248" s="10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103">
        <f>Table6[[#This Row],[(A/S) AJD]]-Table6[[#This Row],[SER_IN]]</f>
        <v>0</v>
      </c>
    </row>
    <row r="249" spans="1:42" ht="18.75" x14ac:dyDescent="0.25">
      <c r="A249" s="10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103">
        <f>Table6[[#This Row],[(A/S) AJD]]-Table6[[#This Row],[SER_IN]]</f>
        <v>0</v>
      </c>
    </row>
    <row r="250" spans="1:42" ht="18.75" x14ac:dyDescent="0.25">
      <c r="A250" s="10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103">
        <f>Table6[[#This Row],[(A/S) AJD]]-Table6[[#This Row],[SER_IN]]</f>
        <v>0</v>
      </c>
    </row>
    <row r="251" spans="1:42" ht="18.75" x14ac:dyDescent="0.25">
      <c r="A251" s="10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103">
        <f>Table6[[#This Row],[(A/S) AJD]]-Table6[[#This Row],[SER_IN]]</f>
        <v>0</v>
      </c>
    </row>
    <row r="252" spans="1:42" ht="18.75" x14ac:dyDescent="0.25">
      <c r="A252" s="10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103">
        <f>Table6[[#This Row],[(A/S) AJD]]-Table6[[#This Row],[SER_IN]]</f>
        <v>0</v>
      </c>
    </row>
    <row r="253" spans="1:42" ht="18.75" x14ac:dyDescent="0.25">
      <c r="A253" s="10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103">
        <f>Table6[[#This Row],[(A/S) AJD]]-Table6[[#This Row],[SER_IN]]</f>
        <v>0</v>
      </c>
    </row>
    <row r="254" spans="1:42" ht="18.75" x14ac:dyDescent="0.25">
      <c r="A254" s="10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103">
        <f>Table6[[#This Row],[(A/S) AJD]]-Table6[[#This Row],[SER_IN]]</f>
        <v>0</v>
      </c>
    </row>
    <row r="255" spans="1:42" ht="18.75" x14ac:dyDescent="0.25">
      <c r="A255" s="10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103">
        <f>Table6[[#This Row],[(A/S) AJD]]-Table6[[#This Row],[SER_IN]]</f>
        <v>0</v>
      </c>
    </row>
    <row r="256" spans="1:42" ht="18.75" x14ac:dyDescent="0.25">
      <c r="A256" s="10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103">
        <f>Table6[[#This Row],[(A/S) AJD]]-Table6[[#This Row],[SER_IN]]</f>
        <v>0</v>
      </c>
    </row>
    <row r="257" spans="1:42" ht="18.75" x14ac:dyDescent="0.25">
      <c r="A257" s="10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103">
        <f>Table6[[#This Row],[(A/S) AJD]]-Table6[[#This Row],[SER_IN]]</f>
        <v>0</v>
      </c>
    </row>
    <row r="258" spans="1:42" ht="18.75" x14ac:dyDescent="0.25">
      <c r="A258" s="10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103">
        <f>Table6[[#This Row],[(A/S) AJD]]-Table6[[#This Row],[SER_IN]]</f>
        <v>0</v>
      </c>
    </row>
    <row r="259" spans="1:42" ht="18.75" x14ac:dyDescent="0.25">
      <c r="A259" s="10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si="15"/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103">
        <f>Table6[[#This Row],[(A/S) AJD]]-Table6[[#This Row],[SER_IN]]</f>
        <v>0</v>
      </c>
    </row>
    <row r="260" spans="1:42" ht="18.75" x14ac:dyDescent="0.25">
      <c r="A260" s="10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103">
        <f>Table6[[#This Row],[(A/S) AJD]]-Table6[[#This Row],[SER_IN]]</f>
        <v>0</v>
      </c>
    </row>
    <row r="261" spans="1:42" ht="18.75" x14ac:dyDescent="0.25">
      <c r="A261" s="10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103">
        <f>Table6[[#This Row],[(A/S) AJD]]-Table6[[#This Row],[SER_IN]]</f>
        <v>0</v>
      </c>
    </row>
    <row r="262" spans="1:42" ht="18.75" x14ac:dyDescent="0.25">
      <c r="A262" s="10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103">
        <f>Table6[[#This Row],[(A/S) AJD]]-Table6[[#This Row],[SER_IN]]</f>
        <v>0</v>
      </c>
    </row>
    <row r="263" spans="1:42" ht="18.75" x14ac:dyDescent="0.25">
      <c r="A263" s="10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103">
        <f>Table6[[#This Row],[(A/S) AJD]]-Table6[[#This Row],[SER_IN]]</f>
        <v>0</v>
      </c>
    </row>
    <row r="264" spans="1:42" ht="18.75" x14ac:dyDescent="0.25">
      <c r="A264" s="10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103">
        <f>Table6[[#This Row],[(A/S) AJD]]-Table6[[#This Row],[SER_IN]]</f>
        <v>0</v>
      </c>
    </row>
    <row r="265" spans="1:42" ht="18.75" x14ac:dyDescent="0.25">
      <c r="A265" s="10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103">
        <f>Table6[[#This Row],[(A/S) AJD]]-Table6[[#This Row],[SER_IN]]</f>
        <v>0</v>
      </c>
    </row>
    <row r="266" spans="1:42" ht="18.75" x14ac:dyDescent="0.25">
      <c r="A266" s="10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103">
        <f>Table6[[#This Row],[(A/S) AJD]]-Table6[[#This Row],[SER_IN]]</f>
        <v>0</v>
      </c>
    </row>
    <row r="267" spans="1:42" ht="18.75" x14ac:dyDescent="0.25">
      <c r="A267" s="10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103">
        <f>Table6[[#This Row],[(A/S) AJD]]-Table6[[#This Row],[SER_IN]]</f>
        <v>0</v>
      </c>
    </row>
    <row r="268" spans="1:42" ht="18.75" x14ac:dyDescent="0.25">
      <c r="A268" s="10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103">
        <f>Table6[[#This Row],[(A/S) AJD]]-Table6[[#This Row],[SER_IN]]</f>
        <v>0</v>
      </c>
    </row>
    <row r="269" spans="1:42" ht="18.75" x14ac:dyDescent="0.25">
      <c r="A269" s="10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103">
        <f>Table6[[#This Row],[(A/S) AJD]]-Table6[[#This Row],[SER_IN]]</f>
        <v>0</v>
      </c>
    </row>
    <row r="270" spans="1:42" ht="18.75" x14ac:dyDescent="0.25">
      <c r="A270" s="10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103">
        <f>Table6[[#This Row],[(A/S) AJD]]-Table6[[#This Row],[SER_IN]]</f>
        <v>0</v>
      </c>
    </row>
    <row r="271" spans="1:42" ht="18.75" x14ac:dyDescent="0.25">
      <c r="A271" s="10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103">
        <f>Table6[[#This Row],[(A/S) AJD]]-Table6[[#This Row],[SER_IN]]</f>
        <v>0</v>
      </c>
    </row>
    <row r="272" spans="1:42" ht="18.75" x14ac:dyDescent="0.25">
      <c r="A272" s="10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103">
        <f>Table6[[#This Row],[(A/S) AJD]]-Table6[[#This Row],[SER_IN]]</f>
        <v>0</v>
      </c>
    </row>
    <row r="273" spans="1:42" ht="18.75" x14ac:dyDescent="0.25">
      <c r="A273" s="10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103">
        <f>Table6[[#This Row],[(A/S) AJD]]-Table6[[#This Row],[SER_IN]]</f>
        <v>0</v>
      </c>
    </row>
    <row r="274" spans="1:42" ht="18.75" x14ac:dyDescent="0.25">
      <c r="A274" s="10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103">
        <f>Table6[[#This Row],[(A/S) AJD]]-Table6[[#This Row],[SER_IN]]</f>
        <v>0</v>
      </c>
    </row>
    <row r="275" spans="1:42" ht="18.75" x14ac:dyDescent="0.25">
      <c r="A275" s="10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103">
        <f>Table6[[#This Row],[(A/S) AJD]]-Table6[[#This Row],[SER_IN]]</f>
        <v>0</v>
      </c>
    </row>
    <row r="276" spans="1:42" ht="18.75" x14ac:dyDescent="0.25">
      <c r="A276" s="10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103">
        <f>Table6[[#This Row],[(A/S) AJD]]-Table6[[#This Row],[SER_IN]]</f>
        <v>0</v>
      </c>
    </row>
    <row r="277" spans="1:42" ht="18.75" x14ac:dyDescent="0.25">
      <c r="A277" s="10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103">
        <f>Table6[[#This Row],[(A/S) AJD]]-Table6[[#This Row],[SER_IN]]</f>
        <v>0</v>
      </c>
    </row>
    <row r="278" spans="1:42" ht="18.75" x14ac:dyDescent="0.25">
      <c r="A278" s="10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103">
        <f>Table6[[#This Row],[(A/S) AJD]]-Table6[[#This Row],[SER_IN]]</f>
        <v>0</v>
      </c>
    </row>
    <row r="279" spans="1:42" ht="18.75" x14ac:dyDescent="0.25">
      <c r="A279" s="10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103">
        <f>Table6[[#This Row],[(A/S) AJD]]-Table6[[#This Row],[SER_IN]]</f>
        <v>0</v>
      </c>
    </row>
    <row r="280" spans="1:42" ht="18.75" x14ac:dyDescent="0.25">
      <c r="A280" s="10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103">
        <f>Table6[[#This Row],[(A/S) AJD]]-Table6[[#This Row],[SER_IN]]</f>
        <v>0</v>
      </c>
    </row>
    <row r="281" spans="1:42" ht="18.75" x14ac:dyDescent="0.25">
      <c r="A281" s="10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103">
        <f>Table6[[#This Row],[(A/S) AJD]]-Table6[[#This Row],[SER_IN]]</f>
        <v>0</v>
      </c>
    </row>
    <row r="282" spans="1:42" ht="18.75" x14ac:dyDescent="0.25">
      <c r="A282" s="10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103">
        <f>Table6[[#This Row],[(A/S) AJD]]-Table6[[#This Row],[SER_IN]]</f>
        <v>0</v>
      </c>
    </row>
    <row r="283" spans="1:42" ht="18.75" x14ac:dyDescent="0.25">
      <c r="A283" s="10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103">
        <f>Table6[[#This Row],[(A/S) AJD]]-Table6[[#This Row],[SER_IN]]</f>
        <v>0</v>
      </c>
    </row>
    <row r="284" spans="1:42" ht="18.75" x14ac:dyDescent="0.25">
      <c r="A284" s="10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103">
        <f>Table6[[#This Row],[(A/S) AJD]]-Table6[[#This Row],[SER_IN]]</f>
        <v>0</v>
      </c>
    </row>
    <row r="285" spans="1:42" ht="18.75" x14ac:dyDescent="0.25">
      <c r="A285" s="10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103">
        <f>Table6[[#This Row],[(A/S) AJD]]-Table6[[#This Row],[SER_IN]]</f>
        <v>0</v>
      </c>
    </row>
    <row r="286" spans="1:42" ht="18.75" x14ac:dyDescent="0.25">
      <c r="A286" s="10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103">
        <f>Table6[[#This Row],[(A/S) AJD]]-Table6[[#This Row],[SER_IN]]</f>
        <v>0</v>
      </c>
    </row>
    <row r="287" spans="1:42" ht="18.75" x14ac:dyDescent="0.25">
      <c r="A287" s="10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103">
        <f>Table6[[#This Row],[(A/S) AJD]]-Table6[[#This Row],[SER_IN]]</f>
        <v>0</v>
      </c>
    </row>
    <row r="288" spans="1:42" ht="18.75" x14ac:dyDescent="0.25">
      <c r="A288" s="10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103">
        <f>Table6[[#This Row],[(A/S) AJD]]-Table6[[#This Row],[SER_IN]]</f>
        <v>0</v>
      </c>
    </row>
    <row r="289" spans="1:42" ht="18.75" x14ac:dyDescent="0.25">
      <c r="A289" s="10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103">
        <f>Table6[[#This Row],[(A/S) AJD]]-Table6[[#This Row],[SER_IN]]</f>
        <v>0</v>
      </c>
    </row>
    <row r="290" spans="1:42" ht="18.75" x14ac:dyDescent="0.25">
      <c r="A290" s="10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103">
        <f>Table6[[#This Row],[(A/S) AJD]]-Table6[[#This Row],[SER_IN]]</f>
        <v>0</v>
      </c>
    </row>
    <row r="291" spans="1:42" ht="18.75" x14ac:dyDescent="0.25">
      <c r="A291" s="10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103">
        <f>Table6[[#This Row],[(A/S) AJD]]-Table6[[#This Row],[SER_IN]]</f>
        <v>0</v>
      </c>
    </row>
    <row r="292" spans="1:42" ht="18.75" x14ac:dyDescent="0.25">
      <c r="A292" s="10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103">
        <f>Table6[[#This Row],[(A/S) AJD]]-Table6[[#This Row],[SER_IN]]</f>
        <v>0</v>
      </c>
    </row>
    <row r="293" spans="1:42" ht="18.75" x14ac:dyDescent="0.25">
      <c r="A293" s="10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103">
        <f>Table6[[#This Row],[(A/S) AJD]]-Table6[[#This Row],[SER_IN]]</f>
        <v>0</v>
      </c>
    </row>
    <row r="294" spans="1:42" ht="18.75" x14ac:dyDescent="0.25">
      <c r="A294" s="10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103">
        <f>Table6[[#This Row],[(A/S) AJD]]-Table6[[#This Row],[SER_IN]]</f>
        <v>0</v>
      </c>
    </row>
    <row r="295" spans="1:42" ht="18.75" x14ac:dyDescent="0.25">
      <c r="A295" s="10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103">
        <f>Table6[[#This Row],[(A/S) AJD]]-Table6[[#This Row],[SER_IN]]</f>
        <v>0</v>
      </c>
    </row>
    <row r="296" spans="1:42" ht="18.75" x14ac:dyDescent="0.25">
      <c r="A296" s="10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103">
        <f>Table6[[#This Row],[(A/S) AJD]]-Table6[[#This Row],[SER_IN]]</f>
        <v>0</v>
      </c>
    </row>
    <row r="297" spans="1:42" ht="18.75" x14ac:dyDescent="0.25">
      <c r="A297" s="10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103">
        <f>Table6[[#This Row],[(A/S) AJD]]-Table6[[#This Row],[SER_IN]]</f>
        <v>0</v>
      </c>
    </row>
    <row r="298" spans="1:42" ht="18.75" x14ac:dyDescent="0.25">
      <c r="A298" s="10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103">
        <f>Table6[[#This Row],[(A/S) AJD]]-Table6[[#This Row],[SER_IN]]</f>
        <v>0</v>
      </c>
    </row>
    <row r="299" spans="1:42" ht="18.75" x14ac:dyDescent="0.25">
      <c r="A299" s="10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103">
        <f>Table6[[#This Row],[(A/S) AJD]]-Table6[[#This Row],[SER_IN]]</f>
        <v>0</v>
      </c>
    </row>
    <row r="300" spans="1:42" ht="18.75" x14ac:dyDescent="0.25">
      <c r="A300" s="10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103">
        <f>Table6[[#This Row],[(A/S) AJD]]-Table6[[#This Row],[SER_IN]]</f>
        <v>0</v>
      </c>
    </row>
    <row r="301" spans="1:42" ht="18.75" x14ac:dyDescent="0.25">
      <c r="A301" s="10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103">
        <f>Table6[[#This Row],[(A/S) AJD]]-Table6[[#This Row],[SER_IN]]</f>
        <v>0</v>
      </c>
    </row>
    <row r="302" spans="1:42" ht="18.75" x14ac:dyDescent="0.25">
      <c r="A302" s="10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103">
        <f>Table6[[#This Row],[(A/S) AJD]]-Table6[[#This Row],[SER_IN]]</f>
        <v>0</v>
      </c>
    </row>
    <row r="303" spans="1:42" ht="18.75" x14ac:dyDescent="0.25">
      <c r="A303" s="10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103">
        <f>Table6[[#This Row],[(A/S) AJD]]-Table6[[#This Row],[SER_IN]]</f>
        <v>0</v>
      </c>
    </row>
    <row r="304" spans="1:42" ht="18.75" x14ac:dyDescent="0.25">
      <c r="A304" s="10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103">
        <f>Table6[[#This Row],[(A/S) AJD]]-Table6[[#This Row],[SER_IN]]</f>
        <v>0</v>
      </c>
    </row>
    <row r="305" spans="1:42" ht="18.75" x14ac:dyDescent="0.25">
      <c r="A305" s="10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103">
        <f>Table6[[#This Row],[(A/S) AJD]]-Table6[[#This Row],[SER_IN]]</f>
        <v>0</v>
      </c>
    </row>
    <row r="306" spans="1:42" ht="18.75" x14ac:dyDescent="0.25">
      <c r="A306" s="10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103">
        <f>Table6[[#This Row],[(A/S) AJD]]-Table6[[#This Row],[SER_IN]]</f>
        <v>0</v>
      </c>
    </row>
    <row r="307" spans="1:42" ht="18.75" x14ac:dyDescent="0.25">
      <c r="A307" s="10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103">
        <f>Table6[[#This Row],[(A/S) AJD]]-Table6[[#This Row],[SER_IN]]</f>
        <v>0</v>
      </c>
    </row>
    <row r="308" spans="1:42" ht="18.75" x14ac:dyDescent="0.25">
      <c r="A308" s="10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103">
        <f>Table6[[#This Row],[(A/S) AJD]]-Table6[[#This Row],[SER_IN]]</f>
        <v>0</v>
      </c>
    </row>
    <row r="309" spans="1:42" ht="18.75" x14ac:dyDescent="0.25">
      <c r="A309" s="10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103">
        <f>Table6[[#This Row],[(A/S) AJD]]-Table6[[#This Row],[SER_IN]]</f>
        <v>0</v>
      </c>
    </row>
    <row r="310" spans="1:42" ht="18.75" x14ac:dyDescent="0.25">
      <c r="A310" s="10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103">
        <f>Table6[[#This Row],[(A/S) AJD]]-Table6[[#This Row],[SER_IN]]</f>
        <v>0</v>
      </c>
    </row>
    <row r="311" spans="1:42" ht="18.75" x14ac:dyDescent="0.25">
      <c r="A311" s="10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103">
        <f>Table6[[#This Row],[(A/S) AJD]]-Table6[[#This Row],[SER_IN]]</f>
        <v>0</v>
      </c>
    </row>
    <row r="312" spans="1:42" ht="18.75" x14ac:dyDescent="0.25">
      <c r="A312" s="10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103">
        <f>Table6[[#This Row],[(A/S) AJD]]-Table6[[#This Row],[SER_IN]]</f>
        <v>0</v>
      </c>
    </row>
    <row r="313" spans="1:42" ht="18.75" x14ac:dyDescent="0.25">
      <c r="A313" s="10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103">
        <f>Table6[[#This Row],[(A/S) AJD]]-Table6[[#This Row],[SER_IN]]</f>
        <v>0</v>
      </c>
    </row>
    <row r="314" spans="1:42" ht="18.75" x14ac:dyDescent="0.25">
      <c r="A314" s="10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103">
        <f>Table6[[#This Row],[(A/S) AJD]]-Table6[[#This Row],[SER_IN]]</f>
        <v>0</v>
      </c>
    </row>
    <row r="315" spans="1:42" ht="18.75" x14ac:dyDescent="0.25">
      <c r="A315" s="10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103">
        <f>Table6[[#This Row],[(A/S) AJD]]-Table6[[#This Row],[SER_IN]]</f>
        <v>0</v>
      </c>
    </row>
    <row r="316" spans="1:42" ht="18.75" x14ac:dyDescent="0.25">
      <c r="A316" s="10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103">
        <f>Table6[[#This Row],[(A/S) AJD]]-Table6[[#This Row],[SER_IN]]</f>
        <v>0</v>
      </c>
    </row>
    <row r="317" spans="1:42" ht="18.75" x14ac:dyDescent="0.25">
      <c r="A317" s="10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103">
        <f>Table6[[#This Row],[(A/S) AJD]]-Table6[[#This Row],[SER_IN]]</f>
        <v>0</v>
      </c>
    </row>
    <row r="318" spans="1:42" ht="18.75" x14ac:dyDescent="0.25">
      <c r="A318" s="10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103">
        <f>Table6[[#This Row],[(A/S) AJD]]-Table6[[#This Row],[SER_IN]]</f>
        <v>0</v>
      </c>
    </row>
    <row r="319" spans="1:42" ht="18.75" x14ac:dyDescent="0.25">
      <c r="A319" s="10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103">
        <f>Table6[[#This Row],[(A/S) AJD]]-Table6[[#This Row],[SER_IN]]</f>
        <v>0</v>
      </c>
    </row>
    <row r="320" spans="1:42" ht="18.75" x14ac:dyDescent="0.25">
      <c r="A320" s="10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103">
        <f>Table6[[#This Row],[(A/S) AJD]]-Table6[[#This Row],[SER_IN]]</f>
        <v>0</v>
      </c>
    </row>
    <row r="321" spans="1:42" ht="18.75" x14ac:dyDescent="0.25">
      <c r="A321" s="10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103">
        <f>Table6[[#This Row],[(A/S) AJD]]-Table6[[#This Row],[SER_IN]]</f>
        <v>0</v>
      </c>
    </row>
    <row r="322" spans="1:42" ht="18.75" x14ac:dyDescent="0.25">
      <c r="A322" s="10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103">
        <f>Table6[[#This Row],[(A/S) AJD]]-Table6[[#This Row],[SER_IN]]</f>
        <v>0</v>
      </c>
    </row>
    <row r="323" spans="1:42" ht="18.75" x14ac:dyDescent="0.25">
      <c r="A323" s="10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si="19"/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103">
        <f>Table6[[#This Row],[(A/S) AJD]]-Table6[[#This Row],[SER_IN]]</f>
        <v>0</v>
      </c>
    </row>
    <row r="324" spans="1:42" ht="18.75" x14ac:dyDescent="0.25">
      <c r="A324" s="10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103">
        <f>Table6[[#This Row],[(A/S) AJD]]-Table6[[#This Row],[SER_IN]]</f>
        <v>0</v>
      </c>
    </row>
    <row r="325" spans="1:42" ht="18.75" x14ac:dyDescent="0.25">
      <c r="A325" s="10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103">
        <f>Table6[[#This Row],[(A/S) AJD]]-Table6[[#This Row],[SER_IN]]</f>
        <v>0</v>
      </c>
    </row>
    <row r="326" spans="1:42" ht="18.75" x14ac:dyDescent="0.25">
      <c r="A326" s="10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103">
        <f>Table6[[#This Row],[(A/S) AJD]]-Table6[[#This Row],[SER_IN]]</f>
        <v>0</v>
      </c>
    </row>
    <row r="327" spans="1:42" ht="18.75" x14ac:dyDescent="0.25">
      <c r="A327" s="10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103">
        <f>Table6[[#This Row],[(A/S) AJD]]-Table6[[#This Row],[SER_IN]]</f>
        <v>0</v>
      </c>
    </row>
    <row r="328" spans="1:42" ht="18.75" x14ac:dyDescent="0.25">
      <c r="A328" s="10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103">
        <f>Table6[[#This Row],[(A/S) AJD]]-Table6[[#This Row],[SER_IN]]</f>
        <v>0</v>
      </c>
    </row>
    <row r="329" spans="1:42" ht="18.75" x14ac:dyDescent="0.25">
      <c r="A329" s="10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103">
        <f>Table6[[#This Row],[(A/S) AJD]]-Table6[[#This Row],[SER_IN]]</f>
        <v>0</v>
      </c>
    </row>
    <row r="330" spans="1:42" ht="18.75" x14ac:dyDescent="0.25">
      <c r="A330" s="10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103">
        <f>Table6[[#This Row],[(A/S) AJD]]-Table6[[#This Row],[SER_IN]]</f>
        <v>0</v>
      </c>
    </row>
    <row r="331" spans="1:42" ht="18.75" x14ac:dyDescent="0.25">
      <c r="A331" s="10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103">
        <f>Table6[[#This Row],[(A/S) AJD]]-Table6[[#This Row],[SER_IN]]</f>
        <v>0</v>
      </c>
    </row>
    <row r="332" spans="1:42" ht="18.75" x14ac:dyDescent="0.25">
      <c r="A332" s="10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103">
        <f>Table6[[#This Row],[(A/S) AJD]]-Table6[[#This Row],[SER_IN]]</f>
        <v>0</v>
      </c>
    </row>
    <row r="333" spans="1:42" ht="18.75" x14ac:dyDescent="0.25">
      <c r="A333" s="10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103">
        <f>Table6[[#This Row],[(A/S) AJD]]-Table6[[#This Row],[SER_IN]]</f>
        <v>0</v>
      </c>
    </row>
    <row r="334" spans="1:42" ht="18.75" x14ac:dyDescent="0.25">
      <c r="A334" s="10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103">
        <f>Table6[[#This Row],[(A/S) AJD]]-Table6[[#This Row],[SER_IN]]</f>
        <v>0</v>
      </c>
    </row>
    <row r="335" spans="1:42" ht="18.75" x14ac:dyDescent="0.25">
      <c r="A335" s="10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103">
        <f>Table6[[#This Row],[(A/S) AJD]]-Table6[[#This Row],[SER_IN]]</f>
        <v>0</v>
      </c>
    </row>
    <row r="336" spans="1:42" ht="18.75" x14ac:dyDescent="0.25">
      <c r="A336" s="10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103">
        <f>Table6[[#This Row],[(A/S) AJD]]-Table6[[#This Row],[SER_IN]]</f>
        <v>0</v>
      </c>
    </row>
    <row r="337" spans="1:42" ht="18.75" x14ac:dyDescent="0.25">
      <c r="A337" s="10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103">
        <f>Table6[[#This Row],[(A/S) AJD]]-Table6[[#This Row],[SER_IN]]</f>
        <v>0</v>
      </c>
    </row>
    <row r="338" spans="1:42" ht="18.75" x14ac:dyDescent="0.25">
      <c r="A338" s="10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103">
        <f>Table6[[#This Row],[(A/S) AJD]]-Table6[[#This Row],[SER_IN]]</f>
        <v>0</v>
      </c>
    </row>
    <row r="339" spans="1:42" ht="18.75" x14ac:dyDescent="0.25">
      <c r="A339" s="10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103">
        <f>Table6[[#This Row],[(A/S) AJD]]-Table6[[#This Row],[SER_IN]]</f>
        <v>0</v>
      </c>
    </row>
    <row r="340" spans="1:42" ht="18.75" x14ac:dyDescent="0.25">
      <c r="A340" s="10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103">
        <f>Table6[[#This Row],[(A/S) AJD]]-Table6[[#This Row],[SER_IN]]</f>
        <v>0</v>
      </c>
    </row>
    <row r="341" spans="1:42" ht="18.75" x14ac:dyDescent="0.25">
      <c r="A341" s="10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103">
        <f>Table6[[#This Row],[(A/S) AJD]]-Table6[[#This Row],[SER_IN]]</f>
        <v>0</v>
      </c>
    </row>
    <row r="342" spans="1:42" ht="18.75" x14ac:dyDescent="0.25">
      <c r="A342" s="10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103">
        <f>Table6[[#This Row],[(A/S) AJD]]-Table6[[#This Row],[SER_IN]]</f>
        <v>0</v>
      </c>
    </row>
    <row r="343" spans="1:42" ht="18.75" x14ac:dyDescent="0.25">
      <c r="A343" s="10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103">
        <f>Table6[[#This Row],[(A/S) AJD]]-Table6[[#This Row],[SER_IN]]</f>
        <v>0</v>
      </c>
    </row>
    <row r="344" spans="1:42" ht="18.75" x14ac:dyDescent="0.25">
      <c r="A344" s="10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103">
        <f>Table6[[#This Row],[(A/S) AJD]]-Table6[[#This Row],[SER_IN]]</f>
        <v>0</v>
      </c>
    </row>
    <row r="345" spans="1:42" ht="18.75" x14ac:dyDescent="0.25">
      <c r="A345" s="10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103">
        <f>Table6[[#This Row],[(A/S) AJD]]-Table6[[#This Row],[SER_IN]]</f>
        <v>0</v>
      </c>
    </row>
    <row r="346" spans="1:42" ht="18.75" x14ac:dyDescent="0.25">
      <c r="A346" s="10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103">
        <f>Table6[[#This Row],[(A/S) AJD]]-Table6[[#This Row],[SER_IN]]</f>
        <v>0</v>
      </c>
    </row>
    <row r="347" spans="1:42" ht="18.75" x14ac:dyDescent="0.25">
      <c r="A347" s="10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103">
        <f>Table6[[#This Row],[(A/S) AJD]]-Table6[[#This Row],[SER_IN]]</f>
        <v>0</v>
      </c>
    </row>
    <row r="348" spans="1:42" ht="18.75" x14ac:dyDescent="0.25">
      <c r="A348" s="10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103">
        <f>Table6[[#This Row],[(A/S) AJD]]-Table6[[#This Row],[SER_IN]]</f>
        <v>0</v>
      </c>
    </row>
    <row r="349" spans="1:42" ht="18.75" x14ac:dyDescent="0.25">
      <c r="A349" s="10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103">
        <f>Table6[[#This Row],[(A/S) AJD]]-Table6[[#This Row],[SER_IN]]</f>
        <v>0</v>
      </c>
    </row>
    <row r="350" spans="1:42" ht="18.75" x14ac:dyDescent="0.25">
      <c r="A350" s="10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103">
        <f>Table6[[#This Row],[(A/S) AJD]]-Table6[[#This Row],[SER_IN]]</f>
        <v>0</v>
      </c>
    </row>
    <row r="351" spans="1:42" ht="18.75" x14ac:dyDescent="0.25">
      <c r="A351" s="10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103">
        <f>Table6[[#This Row],[(A/S) AJD]]-Table6[[#This Row],[SER_IN]]</f>
        <v>0</v>
      </c>
    </row>
    <row r="352" spans="1:42" ht="18.75" x14ac:dyDescent="0.25">
      <c r="A352" s="10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103">
        <f>Table6[[#This Row],[(A/S) AJD]]-Table6[[#This Row],[SER_IN]]</f>
        <v>0</v>
      </c>
    </row>
    <row r="353" spans="1:42" ht="18.75" x14ac:dyDescent="0.25">
      <c r="A353" s="10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103">
        <f>Table6[[#This Row],[(A/S) AJD]]-Table6[[#This Row],[SER_IN]]</f>
        <v>0</v>
      </c>
    </row>
    <row r="354" spans="1:42" ht="18.75" x14ac:dyDescent="0.25">
      <c r="A354" s="10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103">
        <f>Table6[[#This Row],[(A/S) AJD]]-Table6[[#This Row],[SER_IN]]</f>
        <v>0</v>
      </c>
    </row>
    <row r="355" spans="1:42" ht="18.75" x14ac:dyDescent="0.25">
      <c r="A355" s="10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103">
        <f>Table6[[#This Row],[(A/S) AJD]]-Table6[[#This Row],[SER_IN]]</f>
        <v>0</v>
      </c>
    </row>
    <row r="356" spans="1:42" ht="18.75" x14ac:dyDescent="0.25">
      <c r="A356" s="10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103">
        <f>Table6[[#This Row],[(A/S) AJD]]-Table6[[#This Row],[SER_IN]]</f>
        <v>0</v>
      </c>
    </row>
    <row r="357" spans="1:42" ht="18.75" x14ac:dyDescent="0.25">
      <c r="A357" s="10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103">
        <f>Table6[[#This Row],[(A/S) AJD]]-Table6[[#This Row],[SER_IN]]</f>
        <v>0</v>
      </c>
    </row>
    <row r="358" spans="1:42" ht="18.75" x14ac:dyDescent="0.25">
      <c r="A358" s="10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103">
        <f>Table6[[#This Row],[(A/S) AJD]]-Table6[[#This Row],[SER_IN]]</f>
        <v>0</v>
      </c>
    </row>
    <row r="359" spans="1:42" ht="18.75" x14ac:dyDescent="0.25">
      <c r="A359" s="10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103">
        <f>Table6[[#This Row],[(A/S) AJD]]-Table6[[#This Row],[SER_IN]]</f>
        <v>0</v>
      </c>
    </row>
    <row r="360" spans="1:42" ht="18.75" x14ac:dyDescent="0.25">
      <c r="A360" s="10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103">
        <f>Table6[[#This Row],[(A/S) AJD]]-Table6[[#This Row],[SER_IN]]</f>
        <v>0</v>
      </c>
    </row>
    <row r="361" spans="1:42" ht="18.75" x14ac:dyDescent="0.25">
      <c r="A361" s="10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103">
        <f>Table6[[#This Row],[(A/S) AJD]]-Table6[[#This Row],[SER_IN]]</f>
        <v>0</v>
      </c>
    </row>
    <row r="362" spans="1:42" ht="18.75" x14ac:dyDescent="0.25">
      <c r="A362" s="10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103">
        <f>Table6[[#This Row],[(A/S) AJD]]-Table6[[#This Row],[SER_IN]]</f>
        <v>0</v>
      </c>
    </row>
    <row r="363" spans="1:42" ht="18.75" x14ac:dyDescent="0.25">
      <c r="A363" s="10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103">
        <f>Table6[[#This Row],[(A/S) AJD]]-Table6[[#This Row],[SER_IN]]</f>
        <v>0</v>
      </c>
    </row>
    <row r="364" spans="1:42" ht="18.75" x14ac:dyDescent="0.25">
      <c r="A364" s="10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103">
        <f>Table6[[#This Row],[(A/S) AJD]]-Table6[[#This Row],[SER_IN]]</f>
        <v>0</v>
      </c>
    </row>
    <row r="365" spans="1:42" ht="18.75" x14ac:dyDescent="0.25">
      <c r="A365" s="10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103">
        <f>Table6[[#This Row],[(A/S) AJD]]-Table6[[#This Row],[SER_IN]]</f>
        <v>0</v>
      </c>
    </row>
    <row r="366" spans="1:42" ht="18.75" x14ac:dyDescent="0.25">
      <c r="A366" s="10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103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2026-10-25T19:42:48Z</dcterms:modified>
</cp:coreProperties>
</file>