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C136CEE3-231A-487E-9BFC-667660DC5BAA}" xr6:coauthVersionLast="47" xr6:coauthVersionMax="47" xr10:uidLastSave="{00000000-0000-0000-0000-000000000000}"/>
  <bookViews>
    <workbookView xWindow="-120" yWindow="-120" windowWidth="19440" windowHeight="15000" tabRatio="707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<sst xmlns="http://schemas.openxmlformats.org/spreadsheetml/2006/main" count="252" uniqueCount="42">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</sst>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10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26" headerRowBorderDxfId="425" tableBorderDxfId="424">
  <autoFilter ref="A1:AP366" xr:uid="{6E0F382F-67F4-430A-B384-60EF2F5DAC6C}"/>
  <tableColumns count="42">
    <tableColumn id="1" xr3:uid="{66387CC3-B100-4304-9559-EC4889828ABF}" name=" اليوم" dataDxfId="423" totalsRowDxfId="41" dataCellStyle="Normal 2" totalsRowCellStyle="Normal 2"/>
    <tableColumn id="19" xr3:uid="{73AF8B15-15C2-4FFB-A4CF-2BCAC459190F}" name="آبار منتجة TAZ" dataDxfId="422" totalsRowDxfId="40" dataCellStyle="Normal 2" totalsRowCellStyle="Normal 2"/>
    <tableColumn id="18" xr3:uid="{09325C69-53C6-4F31-92E3-CB300328F497}" name="الانتاج 1000 (م3) TAZ" dataDxfId="421" totalsRowDxfId="39" dataCellStyle="Normal 2" totalsRowCellStyle="Normal 2"/>
    <tableColumn id="17" xr3:uid="{16B8FBF1-029A-469C-B1C6-F69C4C4F7CAF}" name="آبار عاملة TAZ" dataDxfId="420" totalsRowDxfId="38" dataCellStyle="Normal 2" totalsRowCellStyle="Normal 2"/>
    <tableColumn id="16" xr3:uid="{00C28CE5-3D49-4F68-919C-13DF472F495C}" name="آبار احتياطية" dataDxfId="419" totalsRowDxfId="37" dataCellStyle="Normal 2" totalsRowCellStyle="Normal 2"/>
    <tableColumn id="26" xr3:uid="{EE5DB7EC-D86D-49D5-9B77-054A5BABE28D}" name="آبار منتجة SAR" dataDxfId="418" totalsRowDxfId="36" dataCellStyle="Normal 2" totalsRowCellStyle="Normal 2"/>
    <tableColumn id="25" xr3:uid="{7C165A36-3712-4689-8755-F53FE5B20ABE}" name="إنتاج آبار  SAR" dataDxfId="417" totalsRowDxfId="35" dataCellStyle="Normal 2" totalsRowCellStyle="Normal 2"/>
    <tableColumn id="24" xr3:uid="{83A6BBA7-380F-4769-8A42-D4612297E2AD}" name="آبار احتياطية  SAR" dataDxfId="416" totalsRowDxfId="34" dataCellStyle="Normal 2" totalsRowCellStyle="Normal 2"/>
    <tableColumn id="8" xr3:uid="{AE56A76F-A0FC-417D-B2B6-D4978FB39679}" name="خط (T/B  TOT) SAR" dataDxfId="415" totalsRowDxfId="33" dataCellStyle="Normal 2" totalsRowCellStyle="Normal 2"/>
    <tableColumn id="22" xr3:uid="{DAAA7253-4784-4BE7-9784-7EAE5F799701}" name="خط (S/S  TOT) SAR2" dataDxfId="414" totalsRowDxfId="32" dataCellStyle="Normal 2" totalsRowCellStyle="Normal 2"/>
    <tableColumn id="38" xr3:uid="{C17DFA01-DEFE-472D-8A02-0FF9206A0813}" name="(S/S+TB)SAR" dataDxfId="413" totalsRowDxfId="31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12" totalsRowDxfId="30" dataCellStyle="Normal 2" totalsRowCellStyle="Normal 2"/>
    <tableColumn id="20" xr3:uid="{3C1CE13A-ADA2-44D8-9F21-A08E5B226D9C}" name=" % ECV SAR" dataDxfId="411" totalsRowDxfId="29" dataCellStyle="Normal 2" totalsRowCellStyle="Normal 2"/>
    <tableColumn id="6" xr3:uid="{4245025E-4350-4CF5-A37D-368EE5D4C6E6}" name="الضغط ECV (bar) SAR" dataDxfId="410" totalsRowDxfId="28" dataCellStyle="Normal 2" totalsRowCellStyle="Normal 2"/>
    <tableColumn id="3" xr3:uid="{E521A30B-C651-47F3-8C9F-1644C97E55AB}" name="(S/S TOT) AJD" dataDxfId="409" totalsRowDxfId="27"/>
    <tableColumn id="36" xr3:uid="{2E18B7B5-1893-4635-84E6-AAD5165E012D}" name="الفرق بين بداية ونهاية خط  S/S" dataDxfId="408" totalsRowDxfId="26">
      <calculatedColumnFormula>TABL12[[#This Row],[خط (S/S  TOT) SAR2]]-TABL12[[#This Row],[(S/S TOT) AJD]]</calculatedColumnFormula>
    </tableColumn>
    <tableColumn id="5" xr3:uid="{2560A6DC-201C-40F0-8F48-5525F036384E}" name="(T/B TOT) AJD" dataDxfId="407" totalsRowDxfId="25"/>
    <tableColumn id="35" xr3:uid="{CCC03B44-9E2F-4CD1-89EE-A2983AA131AC}" name="الفرق بين بداية ونهاية خط  T/B" dataDxfId="406" totalsRowDxfId="24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05" totalsRowDxfId="23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04" totalsRowDxfId="22">
      <calculatedColumnFormula>O2+Q2</calculatedColumnFormula>
    </tableColumn>
    <tableColumn id="7" xr3:uid="{FE67C820-40E0-442E-9E31-856C32A508B6}" name="(A/B TOT) AJD" dataDxfId="403" totalsRowDxfId="21"/>
    <tableColumn id="9" xr3:uid="{D5679418-BA27-4A9E-9F79-B5750AE87354}" name="(A/S TOT) AJD" dataDxfId="402" totalsRowDxfId="20"/>
    <tableColumn id="14" xr3:uid="{3D7832B3-0EBF-4C36-9589-8817B10DB712}" name="(A/B + A/S) AJD" dataDxfId="401" totalsRowDxfId="19">
      <calculatedColumnFormula>U2+V2</calculatedColumnFormula>
    </tableColumn>
    <tableColumn id="15" xr3:uid="{9DF00D84-966C-444D-B303-1741455D7F9D}" name="(IN - OUT) AJD" dataDxfId="400" totalsRowDxfId="18">
      <calculatedColumnFormula>T2-W2</calculatedColumnFormula>
    </tableColumn>
    <tableColumn id="10" xr3:uid="{F816C09C-6DAC-44D6-8748-76EA15069B1B}" name="(RES. LEVEL) AJD" dataDxfId="399" totalsRowDxfId="17"/>
    <tableColumn id="11" xr3:uid="{00C5DB16-3CE7-43C0-85AC-3A94F1DF93AB}" name="(RESV. STORGE) AJD" dataDxfId="398" totalsRowDxfId="16"/>
    <tableColumn id="40" xr3:uid="{3BB612D7-93EF-4EAC-AE56-DDA1277F66BC}" name="AJD المخزون * 10" dataDxfId="397" totalsRowDxfId="15">
      <calculatedColumnFormula>TABL12[[#This Row],[(RESV. STORGE) AJD]]/10</calculatedColumnFormula>
    </tableColumn>
    <tableColumn id="4" xr3:uid="{15D5ED16-E158-4BC3-B9EB-7F0B835A68C3}" name="(STORGE DIFF.) AJD" dataDxfId="396" totalsRowDxfId="14"/>
    <tableColumn id="12" xr3:uid="{1995E128-14C8-4F8F-908D-D03A5E8655DC}" name="البخر  AJD" dataDxfId="395" totalsRowDxfId="13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394" totalsRowDxfId="12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393" totalsRowDxfId="11"/>
    <tableColumn id="31" xr3:uid="{55F50B2A-C1E1-433E-9815-41A6E80E52CD}" name="(RES. LEVEL) BER" dataDxfId="392" totalsRowDxfId="10"/>
    <tableColumn id="28" xr3:uid="{2651ABE7-B931-449C-B6AE-ACC17C319D95}" name=" (RESV. STORGE) BER" dataDxfId="391" totalsRowDxfId="9"/>
    <tableColumn id="41" xr3:uid="{E68DD80B-5F75-4484-AE22-A4DBB5C3D9D7}" name="BER المخزون * 10" dataDxfId="390" totalsRowDxfId="8">
      <calculatedColumnFormula>TABL12[[#This Row],[ (RESV. STORGE) BER]]/10</calculatedColumnFormula>
    </tableColumn>
    <tableColumn id="29" xr3:uid="{72C12724-11AC-42CC-A11D-EFF1C3F9C26F}" name="البخر  BER" dataDxfId="389" totalsRowDxfId="7"/>
    <tableColumn id="34" xr3:uid="{6D25E223-64FE-4345-BF75-4C64F7653DD7}" name=" إستهلاك AJD(A/B) - BER.IN" totalsRowFunction="custom" dataDxfId="388" totalsRowDxfId="6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87" totalsRowDxfId="5"/>
    <tableColumn id="33" xr3:uid="{4E73E2C8-F54D-4138-8186-189B1AB2FC67}" name="(RES. LEVEL) SER " dataDxfId="386" totalsRowDxfId="4"/>
    <tableColumn id="27" xr3:uid="{078E4705-C3C5-46D2-9B78-A05F1D915B91}" name=" (RESV. STORGE) SER" dataDxfId="385" totalsRowDxfId="3"/>
    <tableColumn id="42" xr3:uid="{67E01307-DE8B-4AEB-9752-499927A54124}" name="SER المخزون * 10" dataDxfId="384" totalsRowDxfId="2">
      <calculatedColumnFormula>TABL12[[#This Row],[ (RESV. STORGE) SER]]/10</calculatedColumnFormula>
    </tableColumn>
    <tableColumn id="2" xr3:uid="{E2C3B7C8-2EF3-47A2-B8EC-2DE7243E9A49}" name="البخر  SER" dataDxfId="383" totalsRowDxfId="1"/>
    <tableColumn id="23" xr3:uid="{BC79413F-8931-48D4-A08F-5DEBEF496FAE}" name="إستهلاك AJD(A/S) - SER.IN" dataDxfId="382" totalsRowDxfId="0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381" headerRowBorderDxfId="380" tableBorderDxfId="379">
  <autoFilter ref="A1:AP366" xr:uid="{C2A051BE-B5E3-493B-964B-8205F3177506}"/>
  <tableColumns count="42">
    <tableColumn id="1" xr3:uid="{F2C94FEB-A00A-4D88-9DB9-A505F694326E}" name=" اليوم" dataDxfId="378" totalsRowDxfId="377" dataCellStyle="Normal 2"/>
    <tableColumn id="19" xr3:uid="{68DB4C1E-A17C-490E-9705-B462F20FB2F5}" name="آبار منتجة TAZ" dataDxfId="376" totalsRowDxfId="375" dataCellStyle="Normal 2"/>
    <tableColumn id="18" xr3:uid="{E796FBBC-59BD-4C13-A0B4-3F479BF911CC}" name="الانتاج 1000 (م3) TAZ" dataDxfId="374" totalsRowDxfId="373" dataCellStyle="Normal 2"/>
    <tableColumn id="17" xr3:uid="{C89E9AFB-A295-4B42-8D04-66D22406019A}" name="آبار عاملة TAZ" dataDxfId="372" totalsRowDxfId="371" dataCellStyle="Normal 2"/>
    <tableColumn id="16" xr3:uid="{CCAB6794-76BB-4656-8BFD-720321A160A1}" name="آبار احتياطية" dataDxfId="370" totalsRowDxfId="369" dataCellStyle="Normal 2"/>
    <tableColumn id="26" xr3:uid="{B93CAD1F-9F70-4073-BA5B-9A25C7E0773A}" name="آبار منتجة SAR" dataDxfId="368" totalsRowDxfId="367" dataCellStyle="Normal 2"/>
    <tableColumn id="25" xr3:uid="{843065C2-FA24-4EBC-946C-017549EDBE73}" name="إنتاج آبار  SAR" dataDxfId="366" totalsRowDxfId="365" dataCellStyle="Normal 2"/>
    <tableColumn id="24" xr3:uid="{72E79D2B-11DD-4F09-9A98-C3DC5E961080}" name="آبار احتياطية  SAR" dataDxfId="364" totalsRowDxfId="363" dataCellStyle="Normal 2">
      <calculatedColumnFormula>103-F2</calculatedColumnFormula>
    </tableColumn>
    <tableColumn id="8" xr3:uid="{32ADAB80-0731-4497-9C74-B767F325E7AA}" name="خط (T/B  TOT) SAR" dataDxfId="362" totalsRowDxfId="361" dataCellStyle="Normal 2"/>
    <tableColumn id="22" xr3:uid="{D6CA7FCA-765E-4E81-A162-4CD8BB0D7043}" name="خط (S/S  TOT) SAR2" dataDxfId="360" totalsRowDxfId="359" dataCellStyle="Normal 2"/>
    <tableColumn id="38" xr3:uid="{33C2CB21-9229-4243-ADAE-776B8647DFD1}" name="(S/S+TB)SAR" dataDxfId="358" totalsRowDxfId="357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356" totalsRowDxfId="355" dataCellStyle="Normal 2"/>
    <tableColumn id="20" xr3:uid="{66436F12-F860-44EF-B3A6-FFD54DC8AFC8}" name=" % ECV SAR" dataDxfId="354" totalsRowDxfId="353" dataCellStyle="Normal 2"/>
    <tableColumn id="6" xr3:uid="{4438EA12-D59A-4F0A-AA36-C59397D029D5}" name="الضغط ECV (bar) SAR" dataDxfId="352" totalsRowDxfId="351" dataCellStyle="Normal 2"/>
    <tableColumn id="3" xr3:uid="{5C7CE9FC-7273-4F20-97D1-277D70176732}" name="(S/S TOT) AJD" dataDxfId="350" totalsRowDxfId="349"/>
    <tableColumn id="36" xr3:uid="{6672827C-38A3-4694-A87C-BC06C39D02A5}" name="الفرق بين بداية ونهاية خط  S/S" dataDxfId="348" totalsRowDxfId="347">
      <calculatedColumnFormula>TABL123[[#This Row],[خط (S/S  TOT) SAR2]]-TABL123[[#This Row],[(S/S TOT) AJD]]</calculatedColumnFormula>
    </tableColumn>
    <tableColumn id="5" xr3:uid="{DF02E977-976C-497A-90D6-F963B833E43A}" name="(T/B TOT) AJD" dataDxfId="346" totalsRowDxfId="345"/>
    <tableColumn id="35" xr3:uid="{EA1BE12C-3660-4876-BFF2-4646FCDB4BA4}" name="الفرق بين بداية ونهاية خط  T/B" dataDxfId="344" totalsRowDxfId="343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342" totalsRowDxfId="341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340" totalsRowDxfId="339">
      <calculatedColumnFormula>TABL123[[#This Row],[(S/S TOT) AJD]]+TABL123[[#This Row],[(T/B TOT) AJD]]</calculatedColumnFormula>
    </tableColumn>
    <tableColumn id="7" xr3:uid="{21BC058B-8A61-431E-BCD6-7FDA77C9E7C5}" name="(A/B TOT) AJD" dataDxfId="338" totalsRowDxfId="337"/>
    <tableColumn id="9" xr3:uid="{E4125AA8-4C18-482A-92C7-44662200A444}" name="(A/S TOT) AJD" dataDxfId="336" totalsRowDxfId="335"/>
    <tableColumn id="14" xr3:uid="{A5BCC66E-3B62-4C06-92B8-78FF88D4151A}" name="(A/B + A/S) AJD" dataDxfId="334" totalsRowDxfId="333">
      <calculatedColumnFormula>TABL123[[#This Row],[(A/B TOT) AJD]]+TABL123[[#This Row],[(A/S TOT) AJD]]</calculatedColumnFormula>
    </tableColumn>
    <tableColumn id="15" xr3:uid="{3BBEAFA6-6146-471B-A18A-86F379088B70}" name="(IN - OUT) AJD" dataDxfId="332" totalsRowDxfId="331">
      <calculatedColumnFormula>TABL123[[#This Row],[( S/S+T/B) AJD]]-TABL123[[#This Row],[(A/B + A/S) AJD]]</calculatedColumnFormula>
    </tableColumn>
    <tableColumn id="10" xr3:uid="{876922B5-A4E9-45ED-86BF-10C757F7DE2A}" name="(RES. LEVEL) AJD" dataDxfId="330" totalsRowDxfId="329"/>
    <tableColumn id="11" xr3:uid="{2F9A8435-0058-45F7-AA38-B4B4E3E3322D}" name="(RESV. STORGE) AJD" dataDxfId="328" totalsRowDxfId="327"/>
    <tableColumn id="40" xr3:uid="{F87A19EF-5769-4625-AC0A-777F3AC43946}" name="AJD المخزون * 10" dataDxfId="326" totalsRowDxfId="325" dataCellStyle="Normal 2">
      <calculatedColumnFormula>TABL123[[#This Row],[(RESV. STORGE) AJD]]/10</calculatedColumnFormula>
    </tableColumn>
    <tableColumn id="4" xr3:uid="{F15E20D7-B8EF-4163-9E31-6D3BF77A73A3}" name="(STORGE DIFF.) AJD" dataDxfId="324" totalsRowDxfId="323"/>
    <tableColumn id="12" xr3:uid="{BC2F8435-ACF2-46F4-8794-4AC9C2B6C9E9}" name="البخر  AJD" dataDxfId="322" totalsRowDxfId="321" dataCellStyle="Normal 2"/>
    <tableColumn id="39" xr3:uid="{FCD950FB-697C-49D6-8E16-0E7ECE2CAB54}" name="الفاقد في خزان اجدابيا" dataDxfId="320" totalsRowDxfId="319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318" totalsRowDxfId="317"/>
    <tableColumn id="31" xr3:uid="{5D2F464C-C9F4-4576-8552-66822FE5010C}" name="(RES. LEVEL) BER" dataDxfId="316" totalsRowDxfId="315"/>
    <tableColumn id="28" xr3:uid="{79AC9202-E111-492A-A1C7-C20EAB7DB475}" name=" (RESV. STORGE) BER" dataDxfId="314" totalsRowDxfId="313"/>
    <tableColumn id="29" xr3:uid="{0D3228DA-C740-4CD4-8142-FA2E5314F93F}" name="BER المخزون * 10" dataDxfId="312" totalsRowDxfId="311"/>
    <tableColumn id="34" xr3:uid="{5733C1F9-D466-469C-ABB3-E7F7DB0EE0F1}" name="البخر  BER" dataDxfId="310" totalsRowDxfId="309"/>
    <tableColumn id="32" xr3:uid="{4CE1412A-4E2F-44FE-A87E-085A0A9129ED}" name=" إستهلاك AJD(A/B) - BER.IN" dataDxfId="308" totalsRowDxfId="307">
      <calculatedColumnFormula>TABL123[[#This Row],[(A/B TOT) AJD]]-TABL123[[#This Row],[BER_ IN]]</calculatedColumnFormula>
    </tableColumn>
    <tableColumn id="33" xr3:uid="{2395CD46-6205-4986-BD68-620680EE6F2E}" name="SER_ IN" dataDxfId="306" totalsRowDxfId="305"/>
    <tableColumn id="27" xr3:uid="{3AEA8C61-AA99-45B5-9461-2FF3EDCC8EA9}" name="(RES. LEVEL) SER " dataDxfId="304" totalsRowDxfId="303"/>
    <tableColumn id="2" xr3:uid="{7A48A26A-7876-4082-9402-59ED4782C9D4}" name=" (RESV. STORGE) SER" dataDxfId="302" totalsRowDxfId="301" dataCellStyle="Normal 2"/>
    <tableColumn id="23" xr3:uid="{CDFEC5F7-08FE-41DC-8D56-FDC100C5A4D5}" name="SER المخزون * 10" dataDxfId="300" totalsRowDxfId="299" dataCellStyle="Normal 2">
      <calculatedColumnFormula>TABL123[[#This Row],[ (RESV. STORGE) SER]]/10</calculatedColumnFormula>
    </tableColumn>
    <tableColumn id="42" xr3:uid="{BEA2B6C9-A747-4952-BA2D-D4DE723F4074}" name="البخر  SER" dataDxfId="298"/>
    <tableColumn id="43" xr3:uid="{B393EE02-A71B-4CC5-BB4E-081FA4FD0162}" name="إستهلاك AJD(A/S) - SER.IN" dataDxfId="297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96" headerRowBorderDxfId="295" tableBorderDxfId="294">
  <autoFilter ref="A1:AP366" xr:uid="{5FCB9D25-BF41-4AB4-98FB-CE010629717D}"/>
  <tableColumns count="42">
    <tableColumn id="1" xr3:uid="{CF2CC824-BD23-4EED-93E0-3B9E45F278EC}" name=" اليوم" dataDxfId="293" totalsRowDxfId="292" dataCellStyle="Normal 2"/>
    <tableColumn id="19" xr3:uid="{11FDAE88-09F6-4E94-8617-B2BA9147CD51}" name="آبار منتجة TAZ" dataDxfId="291" totalsRowDxfId="290" dataCellStyle="Normal 2"/>
    <tableColumn id="18" xr3:uid="{076C74DF-4714-4AD5-8210-E3B3407FBA13}" name="الانتاج 1000 (م3) TAZ" dataDxfId="289" totalsRowDxfId="288" dataCellStyle="Normal 2"/>
    <tableColumn id="17" xr3:uid="{C7220FDF-726E-40FC-99CD-A67D880F1387}" name="آبار عاملة TAZ" dataDxfId="287" totalsRowDxfId="286" dataCellStyle="Normal 2"/>
    <tableColumn id="16" xr3:uid="{DC504DC8-6426-4941-99CB-73AC50EFF406}" name="آبار احتياطية" dataDxfId="285" totalsRowDxfId="284" dataCellStyle="Normal 2"/>
    <tableColumn id="26" xr3:uid="{FF8B3ED8-B830-4308-B6C8-CB915A8ED015}" name="آبار منتجة SAR" dataDxfId="283" totalsRowDxfId="282" dataCellStyle="Normal 2"/>
    <tableColumn id="25" xr3:uid="{FA3000E5-6566-416F-921D-1508B5FB714F}" name="إنتاج آبار  SAR" dataDxfId="281" totalsRowDxfId="280" dataCellStyle="Normal 2"/>
    <tableColumn id="24" xr3:uid="{0AD83C01-DEC0-4843-A2F7-84F74F81F9CC}" name="آبار احتياطية  SAR" dataDxfId="279" totalsRowDxfId="278" dataCellStyle="Normal 2">
      <calculatedColumnFormula>103-F2</calculatedColumnFormula>
    </tableColumn>
    <tableColumn id="8" xr3:uid="{7253E698-DAEB-48C5-A750-7FE54CB2AA8A}" name="خط (T/B  TOT) SAR" dataDxfId="277" totalsRowDxfId="276" dataCellStyle="Normal 2"/>
    <tableColumn id="22" xr3:uid="{876E68A1-B3C2-447A-AB99-8D4E310E232B}" name="خط (S/S  TOT) SAR2" dataDxfId="275" totalsRowDxfId="274" dataCellStyle="Normal 2"/>
    <tableColumn id="38" xr3:uid="{453CB68D-B69C-4F00-BDB3-40499D0BFC97}" name="(S/S+TB)SAR" dataDxfId="273" totalsRowDxfId="272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271" totalsRowDxfId="270" dataCellStyle="Normal 2"/>
    <tableColumn id="20" xr3:uid="{E1B79B18-AF6A-4A21-A847-69543D5853D3}" name=" % ECV SAR" dataDxfId="269" totalsRowDxfId="268" dataCellStyle="Normal 2"/>
    <tableColumn id="6" xr3:uid="{563D8C0C-0449-4C27-8802-1597757EAD90}" name="الضغط ECV (bar) SAR" dataDxfId="267" totalsRowDxfId="266" dataCellStyle="Normal 2"/>
    <tableColumn id="3" xr3:uid="{F8817DDA-13BF-41EE-A4AB-3E28920DA12E}" name="(S/S TOT) AJD" dataDxfId="265" totalsRowDxfId="264"/>
    <tableColumn id="36" xr3:uid="{1AEC5609-B8DD-415A-B860-5CA0A2B19CE9}" name="الفرق بين بداية ونهاية خط  S/S" dataDxfId="263" totalsRowDxfId="262">
      <calculatedColumnFormula>TABL1234[[#This Row],[خط (S/S  TOT) SAR2]]-TABL1234[[#This Row],[(S/S TOT) AJD]]</calculatedColumnFormula>
    </tableColumn>
    <tableColumn id="5" xr3:uid="{479D7584-5FE3-471E-B7AD-E43FC1963CC2}" name="(T/B TOT) AJD" dataDxfId="261" totalsRowDxfId="260"/>
    <tableColumn id="35" xr3:uid="{A8D868F1-5EFC-4A0C-9EDC-13DB03872867}" name="الفرق بين بداية ونهاية خط  T/B" dataDxfId="259" totalsRowDxfId="258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257" totalsRowDxfId="256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255" totalsRowDxfId="254">
      <calculatedColumnFormula>TABL1234[[#This Row],[(S/S TOT) AJD]]+TABL1234[[#This Row],[(T/B TOT) AJD]]</calculatedColumnFormula>
    </tableColumn>
    <tableColumn id="7" xr3:uid="{2F33E916-32B0-4678-8AF4-810EB069F853}" name="(A/B TOT) AJD" dataDxfId="253" totalsRowDxfId="252"/>
    <tableColumn id="9" xr3:uid="{FE3BEA3B-570A-4810-85AD-CA10BE4443F4}" name="(A/S TOT) AJD" dataDxfId="251" totalsRowDxfId="250"/>
    <tableColumn id="14" xr3:uid="{C6961044-444C-4633-81B0-E220652A0956}" name="(A/B + A/S) AJD" dataDxfId="249" totalsRowDxfId="248">
      <calculatedColumnFormula>TABL1234[[#This Row],[(A/B TOT) AJD]]+TABL1234[[#This Row],[(A/S TOT) AJD]]</calculatedColumnFormula>
    </tableColumn>
    <tableColumn id="15" xr3:uid="{084A6C51-A878-48CC-8273-CFCD05C0A26F}" name="(IN - OUT) AJD" dataDxfId="247" totalsRowDxfId="246">
      <calculatedColumnFormula>TABL1234[[#This Row],[( S/S+T/B) AJD]]-TABL1234[[#This Row],[(A/B + A/S) AJD]]</calculatedColumnFormula>
    </tableColumn>
    <tableColumn id="10" xr3:uid="{00FDC030-FCB6-400F-BDC0-59478D75D7A6}" name="(RES. LEVEL) AJD" dataDxfId="245" totalsRowDxfId="244"/>
    <tableColumn id="11" xr3:uid="{75090017-34DE-44D2-BD87-EF83DB956968}" name="(RESV. STORGE) AJD" dataDxfId="243" totalsRowDxfId="242"/>
    <tableColumn id="40" xr3:uid="{DF1E881D-1F9A-435B-BA4E-D02A45A7E3F5}" name="AJD المخزون * 10" dataDxfId="241" totalsRowDxfId="240" dataCellStyle="Normal 2">
      <calculatedColumnFormula>TABL1234[[#This Row],[(RESV. STORGE) AJD]]/10</calculatedColumnFormula>
    </tableColumn>
    <tableColumn id="4" xr3:uid="{2B5AF874-2B4A-4BF8-9FF3-43DDA618D54F}" name="(STORGE DIFF.) AJD" dataDxfId="239" totalsRowDxfId="238">
      <calculatedColumnFormula>(TABL123[[#This Row],[(RESV. STORGE) AJD]]-500797)/1000</calculatedColumnFormula>
    </tableColumn>
    <tableColumn id="12" xr3:uid="{F362C966-6D40-4FD8-BEB9-91AD30F56531}" name="البخر  AJD" dataDxfId="237" totalsRowDxfId="236" dataCellStyle="Normal 2"/>
    <tableColumn id="39" xr3:uid="{F6CC0FCA-E331-472D-B69B-B56A51958C65}" name="الفاقد في خزان اجدابيا" dataDxfId="235" totalsRowDxfId="234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233" totalsRowDxfId="232"/>
    <tableColumn id="31" xr3:uid="{6A01F181-E82D-4F2D-86AB-EDF51D7FA079}" name="(RES. LEVEL) BER" dataDxfId="231" totalsRowDxfId="230"/>
    <tableColumn id="28" xr3:uid="{FE95C7D8-F5FD-4278-BB5F-1F990B036A22}" name=" (RESV. STORGE) BER" dataDxfId="229" totalsRowDxfId="228"/>
    <tableColumn id="29" xr3:uid="{1BBABB8C-A2C2-442C-B886-2D89A404BDEB}" name="BER المخزون * 10" dataDxfId="227" totalsRowDxfId="226"/>
    <tableColumn id="34" xr3:uid="{332C7D2C-C6A3-4A26-8AC2-FCD8106086E6}" name="البخر  BER" dataDxfId="225" totalsRowDxfId="224"/>
    <tableColumn id="32" xr3:uid="{C96F884E-1EEB-4DF2-9AA4-149162914A89}" name=" إستهلاك AJD(A/B) - BER.IN" dataDxfId="223" totalsRowDxfId="222">
      <calculatedColumnFormula>TABL1234[[#This Row],[(A/B TOT) AJD]]-TABL1234[[#This Row],[BER_ IN]]</calculatedColumnFormula>
    </tableColumn>
    <tableColumn id="33" xr3:uid="{617EB27D-221C-4A84-8637-DB1B7E5C8E4C}" name="SER_ IN" dataDxfId="221" totalsRowDxfId="220"/>
    <tableColumn id="27" xr3:uid="{F00A2A8B-D14F-4358-8227-4F0CF59784C3}" name="(RES. LEVEL) SER " dataDxfId="219" totalsRowDxfId="218"/>
    <tableColumn id="2" xr3:uid="{838E1437-DDEE-489A-9F90-354DE69A5FBD}" name=" (RESV. STORGE) SER" dataDxfId="217" totalsRowDxfId="216" dataCellStyle="Normal 2"/>
    <tableColumn id="23" xr3:uid="{09A5AB44-BC9D-4BE3-B380-C113AD5BED90}" name="SER المخزون * 10" dataDxfId="215" totalsRowDxfId="214" dataCellStyle="Normal 2">
      <calculatedColumnFormula>TABL1234[[#This Row],[ (RESV. STORGE) SER]]/10</calculatedColumnFormula>
    </tableColumn>
    <tableColumn id="41" xr3:uid="{E4770EDE-8ED4-4463-B885-7849D12BD6A0}" name="البخر  SER" dataDxfId="213"/>
    <tableColumn id="42" xr3:uid="{EFDA9A53-0CFE-4CCE-95F2-20AE62E22C56}" name="إستهلاك AJD(A/S) - SER.IN" dataDxfId="212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211" headerRowBorderDxfId="210" tableBorderDxfId="209">
  <autoFilter ref="A1:AP366" xr:uid="{E27AB35F-C506-4638-82E0-C9375E719914}"/>
  <tableColumns count="42">
    <tableColumn id="1" xr3:uid="{02DACF0D-7EB8-407A-B9F7-7C2292288349}" name=" اليوم" dataDxfId="208" totalsRowDxfId="207" dataCellStyle="Normal 2"/>
    <tableColumn id="19" xr3:uid="{43E17B12-9F51-4E38-809C-0DC2FB9D2198}" name="آبار منتجة TAZ" dataDxfId="206" totalsRowDxfId="205" dataCellStyle="Normal 2"/>
    <tableColumn id="18" xr3:uid="{AE342FC5-E6EF-41F4-A320-A8389AD104C8}" name="الانتاج 1000 (م3) TAZ" dataDxfId="204" totalsRowDxfId="203" dataCellStyle="Normal 2"/>
    <tableColumn id="17" xr3:uid="{B3C5CB3A-D0F1-49AC-B037-6C320FADF260}" name="آبار عاملة TAZ" dataDxfId="202" totalsRowDxfId="201" dataCellStyle="Normal 2"/>
    <tableColumn id="16" xr3:uid="{B716E35D-9012-40EA-AC38-60E9F6339C0D}" name="آبار احتياطية" dataDxfId="200" totalsRowDxfId="199" dataCellStyle="Normal 2"/>
    <tableColumn id="26" xr3:uid="{BEC03712-E2DC-4DF5-9B30-7E545FD4FB18}" name="آبار منتجة SAR" dataDxfId="198" totalsRowDxfId="197" dataCellStyle="Normal 2"/>
    <tableColumn id="25" xr3:uid="{5D056D5F-DD4D-4B13-9030-D38421746905}" name="إنتاج آبار  SAR" dataDxfId="196" totalsRowDxfId="195" dataCellStyle="Normal 2"/>
    <tableColumn id="24" xr3:uid="{E0F5724B-8BCB-47AC-BCF7-0DBD0CF9C33E}" name="آبار احتياطية  SAR" dataDxfId="194" totalsRowDxfId="193" dataCellStyle="Normal 2"/>
    <tableColumn id="8" xr3:uid="{61D18039-EDAC-4612-86A4-AFF23A4064AC}" name="خط (T/B  TOT) SAR" dataDxfId="192" totalsRowDxfId="191" dataCellStyle="Normal 2"/>
    <tableColumn id="22" xr3:uid="{2C3F81BA-C095-49B2-BF14-75F548667ECB}" name="خط (S/S  TOT) SAR2" dataDxfId="190" totalsRowDxfId="189" dataCellStyle="Normal 2"/>
    <tableColumn id="38" xr3:uid="{1679208C-75B3-4E3C-A4D6-0EECE2F8E911}" name="(S/S+TB)SAR" dataDxfId="188" totalsRowDxfId="187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186" totalsRowDxfId="185" dataCellStyle="Normal 2"/>
    <tableColumn id="20" xr3:uid="{35B39C80-C517-4DB5-B3E6-2C24ACD3BA7C}" name=" % ECV SAR" dataDxfId="184" totalsRowDxfId="183" dataCellStyle="Normal 2"/>
    <tableColumn id="6" xr3:uid="{22D7E0F8-B392-42D3-806C-5E133C18B9F0}" name="الضغط ECV (bar) SAR" dataDxfId="182" totalsRowDxfId="181" dataCellStyle="Normal 2"/>
    <tableColumn id="3" xr3:uid="{3907C5E1-E143-4AF6-8647-6264088EB00F}" name="(S/S TOT) AJD" dataDxfId="180" totalsRowDxfId="179"/>
    <tableColumn id="36" xr3:uid="{1631F47D-658D-4528-AA1F-B9937050D436}" name="الفرق بين بداية ونهاية خط  S/S" dataDxfId="178" totalsRowDxfId="177">
      <calculatedColumnFormula>TABL12345[[#This Row],[خط (S/S  TOT) SAR2]]-TABL12345[[#This Row],[(S/S TOT) AJD]]</calculatedColumnFormula>
    </tableColumn>
    <tableColumn id="5" xr3:uid="{D53678E2-A269-4C4F-8B0A-9BAE8FA907ED}" name="(T/B TOT) AJD" dataDxfId="176" totalsRowDxfId="175"/>
    <tableColumn id="35" xr3:uid="{5D374896-D11B-4B17-A855-150CE88C0760}" name="الفرق بين بداية ونهاية خط  T/B" dataDxfId="174" totalsRowDxfId="173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172" totalsRowDxfId="171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170" totalsRowDxfId="169">
      <calculatedColumnFormula>O2+Q2</calculatedColumnFormula>
    </tableColumn>
    <tableColumn id="7" xr3:uid="{78547799-DE98-4575-BA47-DD3795A95957}" name="(A/B TOT) AJD" dataDxfId="168" totalsRowDxfId="167"/>
    <tableColumn id="9" xr3:uid="{07CD512D-7DBD-4DD8-A984-F7676F67A268}" name="(A/S TOT) AJD" dataDxfId="166" totalsRowDxfId="165"/>
    <tableColumn id="14" xr3:uid="{0213E337-B3B2-47BB-B8E3-6770CDF25454}" name="(A/B + A/S) AJD" dataDxfId="164" totalsRowDxfId="163">
      <calculatedColumnFormula>U2+V2</calculatedColumnFormula>
    </tableColumn>
    <tableColumn id="15" xr3:uid="{84EC5F01-D93C-4CD0-894A-EF313BB95D21}" name="(IN - OUT) AJD" dataDxfId="162" totalsRowDxfId="161">
      <calculatedColumnFormula>T2-W2</calculatedColumnFormula>
    </tableColumn>
    <tableColumn id="10" xr3:uid="{0BD7EC09-04AD-4217-9B85-C8B6B7E453F7}" name="(RES. LEVEL) AJD" dataDxfId="160" totalsRowDxfId="159"/>
    <tableColumn id="11" xr3:uid="{E3E279F5-1486-4471-939B-55F7B0DA545B}" name="(RESV. STORGE) AJD" dataDxfId="158" totalsRowDxfId="157"/>
    <tableColumn id="40" xr3:uid="{AF2423A7-B305-48AC-A45C-F40DDE6E1EDC}" name="AJD المخزون * 10" dataDxfId="156" totalsRowDxfId="155" dataCellStyle="Normal 2">
      <calculatedColumnFormula>TABL12345[[#This Row],[(RESV. STORGE) AJD]]/10</calculatedColumnFormula>
    </tableColumn>
    <tableColumn id="4" xr3:uid="{349662B3-3FED-4026-98BD-67FC3B66D23C}" name="(STORGE DIFF.) AJD" dataDxfId="154" totalsRowDxfId="153"/>
    <tableColumn id="12" xr3:uid="{852CAD1E-93C7-4B16-AA21-29103890C024}" name="البخر  AJD" dataDxfId="152" totalsRowDxfId="151" dataCellStyle="Normal 2"/>
    <tableColumn id="39" xr3:uid="{E8544CA2-A272-4E28-9BF8-A6613CA962F9}" name="الفاقد في خزان اجدابيا" dataDxfId="150" totalsRowDxfId="149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148" totalsRowDxfId="147"/>
    <tableColumn id="31" xr3:uid="{6AB09860-41B2-43B9-9D14-E120039D4952}" name="(RES. LEVEL) BER" dataDxfId="146" totalsRowDxfId="145"/>
    <tableColumn id="28" xr3:uid="{49154F88-FC89-408C-8485-83AC6DB6FE9D}" name=" (RESV. STORGE) BER" dataDxfId="144" totalsRowDxfId="143"/>
    <tableColumn id="29" xr3:uid="{57AD5D30-9B52-48CE-81E9-4506CB0FF416}" name="BER المخزون * 10" dataDxfId="142" totalsRowDxfId="141">
      <calculatedColumnFormula>TABL12345[[#This Row],[ (RESV. STORGE) BER]]/10</calculatedColumnFormula>
    </tableColumn>
    <tableColumn id="34" xr3:uid="{03FFF891-77B0-43E4-9D01-7AA2BB5AEA1B}" name="البخر  BER" dataDxfId="140" totalsRowDxfId="139"/>
    <tableColumn id="32" xr3:uid="{03EB162E-C5F0-4278-B7BA-4E7D6BDCA6AC}" name=" إستهلاك AJD(A/B) - BER.IN" dataDxfId="138" totalsRowDxfId="137">
      <calculatedColumnFormula>TABL12345[[#This Row],[(A/B TOT) AJD]]-TABL12345[[#This Row],[BER_ IN]]</calculatedColumnFormula>
    </tableColumn>
    <tableColumn id="33" xr3:uid="{A605DDD5-2F17-45B7-899A-FD1B18D252A5}" name="SER_ IN" dataDxfId="136" totalsRowDxfId="135"/>
    <tableColumn id="27" xr3:uid="{8EAA7A02-F906-476E-939D-D3BC9104B7ED}" name="(RES. LEVEL) SER " dataDxfId="134" totalsRowDxfId="133"/>
    <tableColumn id="2" xr3:uid="{8AA4184C-E831-4C5F-85E8-3E83C570A450}" name=" (RESV. STORGE) SER" dataDxfId="132" totalsRowDxfId="131" dataCellStyle="Normal 2"/>
    <tableColumn id="23" xr3:uid="{A3F2F42E-A42B-4160-AB32-0553ADC6D120}" name="SER المخزون * 10" dataDxfId="130" totalsRowDxfId="129" dataCellStyle="Normal 2">
      <calculatedColumnFormula>TABL12345[[#This Row],[ (RESV. STORGE) SER]]/10</calculatedColumnFormula>
    </tableColumn>
    <tableColumn id="41" xr3:uid="{9BF764BC-F0F0-4E32-9F3F-BA2F58E16484}" name="البخر  SER" dataDxfId="128"/>
    <tableColumn id="42" xr3:uid="{569575F4-872C-43F8-A630-9E5D78196769}" name="إستهلاك AJD(A/S) - SER.IN" dataDxfId="127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511" headerRowBorderDxfId="510" tableBorderDxfId="509">
  <autoFilter ref="A1:AP366" xr:uid="{E7543B07-8935-42EF-92D8-656B372E9736}"/>
  <tableColumns count="42">
    <tableColumn id="1" xr3:uid="{525EF22B-363C-4E42-BEC1-99974AC3914B}" name=" اليوم" dataDxfId="508" totalsRowDxfId="507" dataCellStyle="Normal 2"/>
    <tableColumn id="19" xr3:uid="{BBFD2272-00D1-40F1-8797-3143AAD020F9}" name="آبار منتجة TAZ" dataDxfId="506" totalsRowDxfId="505" dataCellStyle="Normal 2"/>
    <tableColumn id="18" xr3:uid="{712AB8DB-D153-43E7-B3E8-635DF026D77A}" name="الانتاج 1000 (م3) TAZ" dataDxfId="504" totalsRowDxfId="503" dataCellStyle="Normal 2"/>
    <tableColumn id="17" xr3:uid="{55B8ECA5-CE39-47C2-A6ED-14CEAE8B3795}" name="آبار عاملة TAZ" dataDxfId="502" totalsRowDxfId="501" dataCellStyle="Normal 2"/>
    <tableColumn id="16" xr3:uid="{246C05BA-85A0-4E77-8119-7636220A56F9}" name="آبار احتياطية" dataDxfId="500" totalsRowDxfId="499" dataCellStyle="Normal 2"/>
    <tableColumn id="26" xr3:uid="{094BC60A-1CF6-4A4B-BE60-0AEEB785FE36}" name="آبار منتجة SAR" dataDxfId="498" totalsRowDxfId="497" dataCellStyle="Normal 2"/>
    <tableColumn id="25" xr3:uid="{EA4E68FA-5894-461E-994C-AAA74C9883CA}" name="إنتاج آبار  SAR" dataDxfId="496" totalsRowDxfId="495" dataCellStyle="Normal 2"/>
    <tableColumn id="24" xr3:uid="{C9294D60-78EE-421F-8900-80F8405BAC32}" name="آبار احتياطية  SAR" dataDxfId="494" totalsRowDxfId="493" dataCellStyle="Normal 2"/>
    <tableColumn id="8" xr3:uid="{28BB0FAF-320E-4CAA-A70A-A794EC1A94D7}" name="خط (T/B  TOT) SAR" dataDxfId="492" totalsRowDxfId="491" dataCellStyle="Normal 2"/>
    <tableColumn id="22" xr3:uid="{5E58E18C-D145-47F5-B677-79734BB7CFBC}" name="خط (S/S  TOT) SAR2" dataDxfId="490" totalsRowDxfId="489" dataCellStyle="Normal 2"/>
    <tableColumn id="38" xr3:uid="{2F48D3DD-A6D8-4512-9A4F-D85F5CA18309}" name="(S/S+TB)SAR" dataDxfId="488" totalsRowDxfId="487" dataCellStyle="Normal 2"/>
    <tableColumn id="21" xr3:uid="{500FA4A5-CF8F-46D7-BBB4-E4E530627205}" name="خط TAZ/SAR" dataDxfId="486" totalsRowDxfId="485" dataCellStyle="Normal 2"/>
    <tableColumn id="20" xr3:uid="{FB597D7B-E75E-4591-B335-1E23486C3236}" name=" % ECV SAR" dataDxfId="484" totalsRowDxfId="483" dataCellStyle="Normal 2"/>
    <tableColumn id="6" xr3:uid="{41633F15-B202-4386-917C-B84CC5C6E285}" name="الضغط ECV (bar) SAR" dataDxfId="482" totalsRowDxfId="481" dataCellStyle="Normal 2"/>
    <tableColumn id="3" xr3:uid="{96C45BB2-5C20-4B2B-AE0F-0AF41B9474A0}" name="(S/S TOT) AJD" dataDxfId="480" totalsRowDxfId="479"/>
    <tableColumn id="36" xr3:uid="{E116085A-4C28-42B9-8496-8DD77CAB1331}" name="الفرق بين بداية ونهاية خط  S/S" dataDxfId="478" totalsRowDxfId="477"/>
    <tableColumn id="5" xr3:uid="{F00F4E64-3845-4567-BE48-F7826012C7F8}" name="(T/B TOT) AJD" dataDxfId="476" totalsRowDxfId="475"/>
    <tableColumn id="35" xr3:uid="{F181BD35-5DDB-4F11-ADA9-548C6789972C}" name="الفرق بين بداية ونهاية خط  T/B" dataDxfId="474" totalsRowDxfId="473"/>
    <tableColumn id="37" xr3:uid="{A65E1AA6-FBE5-420E-B607-1686836F6C14}" name="الفرق بين السرير و اجدابيا (الإستهلاك)" dataDxfId="472" totalsRowDxfId="471"/>
    <tableColumn id="13" xr3:uid="{3C22B4BE-8B55-4C2F-B4C3-F161B91AD417}" name="( S/S+T/B) AJD" dataDxfId="470" totalsRowDxfId="469"/>
    <tableColumn id="7" xr3:uid="{87D72257-7642-4DAF-8E24-A5F5CBF0BEB0}" name="(A/B TOT) AJD" dataDxfId="468" totalsRowDxfId="467"/>
    <tableColumn id="9" xr3:uid="{368D5D35-470D-4A72-9DBD-7470527C4DEF}" name="(A/S TOT) AJD" dataDxfId="466" totalsRowDxfId="465"/>
    <tableColumn id="14" xr3:uid="{30A93FA9-EC3C-46C1-8859-33826FB5401E}" name="(A/B + A/S) AJD" dataDxfId="464" totalsRowDxfId="463"/>
    <tableColumn id="15" xr3:uid="{D4FEF1FD-5268-4CDC-9945-6FA8FB640D31}" name="(IN - OUT) AJD" dataDxfId="462" totalsRowDxfId="461"/>
    <tableColumn id="10" xr3:uid="{3DEC801D-A55E-4E5A-974B-1A4FA5651638}" name="(RES. LEVEL) AJD" dataDxfId="460" totalsRowDxfId="459"/>
    <tableColumn id="11" xr3:uid="{371475F3-153D-40BB-93EC-3A3F61E1EB54}" name="(RESV. STORGE) AJD" dataDxfId="458" totalsRowDxfId="457"/>
    <tableColumn id="40" xr3:uid="{A040BB77-509F-41A3-998F-EC6AC3CFD45F}" name="AJD المخزون * 10" dataDxfId="456" totalsRowDxfId="455" dataCellStyle="Normal 2"/>
    <tableColumn id="4" xr3:uid="{B7BD4A27-254A-4004-9685-D9D183A153FA}" name="(STORGE DIFF.) AJD" dataDxfId="454" totalsRowDxfId="453"/>
    <tableColumn id="12" xr3:uid="{0BDF0303-F420-454E-B83D-89B2F9658C4C}" name="البخر  AJD" dataDxfId="452" totalsRowDxfId="451" dataCellStyle="Normal 2"/>
    <tableColumn id="39" xr3:uid="{0C0AE5E4-307D-4B6B-85FD-83D0BC15DA60}" name="الفاقد في خزان اجدابيا" dataDxfId="450" totalsRowDxfId="449"/>
    <tableColumn id="30" xr3:uid="{CF2A9E9F-5B40-4E89-BE1F-AF9D0EBB71C9}" name="BER_ IN" dataDxfId="448" totalsRowDxfId="447"/>
    <tableColumn id="31" xr3:uid="{DFDF9A15-3FBA-40F1-B674-DA17F3DB5DF0}" name="(RES. LEVEL) BER" dataDxfId="446" totalsRowDxfId="445"/>
    <tableColumn id="28" xr3:uid="{58E98F53-C6BC-4C3B-A397-CAD6025B233A}" name=" (RESV. STORGE) BER" dataDxfId="444" totalsRowDxfId="443"/>
    <tableColumn id="29" xr3:uid="{21C368F2-CDF6-43D1-98A4-208C1068AF3B}" name="BER المخزون * 10" dataDxfId="442" totalsRowDxfId="441"/>
    <tableColumn id="34" xr3:uid="{3A149D74-5981-49AA-86E8-C7523467C286}" name="البخر  BER" dataDxfId="440" totalsRowDxfId="439"/>
    <tableColumn id="32" xr3:uid="{8FCACBA7-D6DA-43AC-9B4B-58F9A31A82FB}" name=" إستهلاك AJD(A/B) - BER.IN" dataDxfId="438" totalsRowDxfId="437"/>
    <tableColumn id="33" xr3:uid="{3FAB8C84-669A-4365-9687-BA42F88F9EE8}" name="SER_ IN" dataDxfId="436" totalsRowDxfId="435"/>
    <tableColumn id="27" xr3:uid="{A2150E19-4112-4DE8-B939-4A36FAF35B2E}" name="(RES. LEVEL) SER " dataDxfId="434" totalsRowDxfId="433"/>
    <tableColumn id="2" xr3:uid="{494545D1-C197-4C71-9179-498EFBA5E15C}" name=" (RESV. STORGE) SER" dataDxfId="432" totalsRowDxfId="431" dataCellStyle="Normal 2"/>
    <tableColumn id="23" xr3:uid="{B15469FD-35C1-49E8-8152-F5BD459AFB5F}" name="SER المخزون * 10" dataDxfId="430" totalsRowDxfId="429" dataCellStyle="Normal 2"/>
    <tableColumn id="41" xr3:uid="{9DC2BD5D-8742-49D5-B9B7-7CE57FEA720F}" name="البخر  SER" dataDxfId="428"/>
    <tableColumn id="42" xr3:uid="{AC9B64BE-6F79-4170-9D65-04270A10FA8A}" name="إستهلاك AJD(A/S) - SER.IN" dataDxfId="427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26" headerRowBorderDxfId="125" tableBorderDxfId="124">
  <autoFilter ref="A1:AP366" xr:uid="{AA162558-D62B-4F69-B07F-8331A10FC53C}"/>
  <tableColumns count="42">
    <tableColumn id="1" xr3:uid="{751002F6-A888-4837-99E2-7E0D85912333}" name=" اليوم" dataDxfId="123" totalsRowDxfId="122" dataCellStyle="Normal 2"/>
    <tableColumn id="19" xr3:uid="{35CE15FD-B62F-4162-8B94-6617CDB89C23}" name="آبار منتجة TAZ" dataDxfId="121" totalsRowDxfId="120" dataCellStyle="Normal 2"/>
    <tableColumn id="18" xr3:uid="{46DF6841-1F9E-41D3-AF7D-F69151633AB3}" name="الانتاج 1000 (م3) TAZ" dataDxfId="119" totalsRowDxfId="118" dataCellStyle="Normal 2"/>
    <tableColumn id="17" xr3:uid="{15A50B65-8329-4DF2-8B03-8CC58633DB3B}" name="آبار عاملة TAZ" dataDxfId="117" totalsRowDxfId="116" dataCellStyle="Normal 2"/>
    <tableColumn id="16" xr3:uid="{E59CBC36-5D17-487A-9048-CDB98FF86432}" name="آبار احتياطية" dataDxfId="115" totalsRowDxfId="114" dataCellStyle="Normal 2"/>
    <tableColumn id="26" xr3:uid="{C2216C4F-FCB4-4BF1-833B-F09F2AB5893B}" name="آبار منتجة SAR" dataDxfId="113" totalsRowDxfId="112" dataCellStyle="Normal 2"/>
    <tableColumn id="25" xr3:uid="{DDB02AC5-EEBA-42D5-AF3D-A688270A3903}" name="إنتاج آبار  SAR" dataDxfId="111" totalsRowDxfId="110" dataCellStyle="Normal 2"/>
    <tableColumn id="24" xr3:uid="{C1F65271-C300-48D5-8150-5A208A04E276}" name="آبار احتياطية  SAR" dataDxfId="109" totalsRowDxfId="108" dataCellStyle="Normal 2"/>
    <tableColumn id="8" xr3:uid="{99BC82DC-C117-4714-82BC-41BD7EFE9B7A}" name="خط (T/B  TOT) SAR" dataDxfId="107" totalsRowDxfId="106" dataCellStyle="Normal 2"/>
    <tableColumn id="22" xr3:uid="{70F41B18-9727-437B-9D61-98A032E25113}" name="خط (S/S  TOT) SAR2" dataDxfId="105" totalsRowDxfId="104" dataCellStyle="Normal 2"/>
    <tableColumn id="38" xr3:uid="{2866F477-780C-476E-812C-0493478FA09B}" name="(S/S+TB)SAR" dataDxfId="103" totalsRowDxfId="102" dataCellStyle="Normal 2"/>
    <tableColumn id="21" xr3:uid="{13809FD8-46C2-495B-AA9C-E10DCA1CEF5F}" name="خط TAZ/SAR" dataDxfId="101" totalsRowDxfId="100" dataCellStyle="Normal 2"/>
    <tableColumn id="20" xr3:uid="{F2EA422D-B857-433D-B594-043BDC3D176D}" name=" % ECV SAR" dataDxfId="99" totalsRowDxfId="98" dataCellStyle="Normal 2"/>
    <tableColumn id="6" xr3:uid="{0B7DE8EE-BBA7-400B-9540-2F6BF35DA27F}" name="الضغط ECV (bar) SAR" dataDxfId="97" totalsRowDxfId="96" dataCellStyle="Normal 2"/>
    <tableColumn id="3" xr3:uid="{3D2F869F-792E-4F6C-A64A-445F85181E23}" name="(S/S TOT) AJD" dataDxfId="95" totalsRowDxfId="94"/>
    <tableColumn id="36" xr3:uid="{24781E7C-F46A-4616-BD47-D8839229E28F}" name="الفرق بين بداية ونهاية خط  S/S" dataDxfId="93" totalsRowDxfId="92"/>
    <tableColumn id="5" xr3:uid="{B71A5541-F660-4BFA-8958-B82013885CE4}" name="(T/B TOT) AJD" dataDxfId="91" totalsRowDxfId="90"/>
    <tableColumn id="35" xr3:uid="{59396F52-72F8-4C53-BA73-083A8C83B139}" name="الفرق بين بداية ونهاية خط  T/B" dataDxfId="89" totalsRowDxfId="88"/>
    <tableColumn id="37" xr3:uid="{B3C31D20-4CBB-4079-AB8E-2668BDD2F637}" name="الفرق بين السرير و اجدابيا (الإستهلاك)" dataDxfId="87" totalsRowDxfId="86"/>
    <tableColumn id="13" xr3:uid="{03610F20-9C08-4434-837F-4DF4A60A8478}" name="( S/S+T/B) AJD" dataDxfId="85" totalsRowDxfId="84"/>
    <tableColumn id="7" xr3:uid="{E36F8478-728B-441A-82AE-8D54A95E1E22}" name="(A/B TOT) AJD" dataDxfId="83" totalsRowDxfId="82"/>
    <tableColumn id="9" xr3:uid="{928C88ED-CFD6-4632-999A-9D8C4BE2B942}" name="(A/S TOT) AJD" dataDxfId="81" totalsRowDxfId="80"/>
    <tableColumn id="14" xr3:uid="{4B43357E-A204-4D18-B8FD-82658A8ABAB7}" name="(A/B + A/S) AJD" dataDxfId="79" totalsRowDxfId="78"/>
    <tableColumn id="15" xr3:uid="{A25F41B0-AB42-4D50-85E4-E3BDE89969AE}" name="(IN - OUT) AJD" dataDxfId="77" totalsRowDxfId="76"/>
    <tableColumn id="10" xr3:uid="{CE16704C-98D1-448B-962B-0DB729C7D155}" name="(RES. LEVEL) AJD" dataDxfId="75" totalsRowDxfId="74"/>
    <tableColumn id="11" xr3:uid="{3F45A81B-2342-45BB-B824-F2B101C2AC50}" name="(RESV. STORGE) AJD" dataDxfId="73" totalsRowDxfId="72"/>
    <tableColumn id="40" xr3:uid="{D635A974-7832-49BF-93AE-DA56B75551AA}" name="AJD المخزون * 10" dataDxfId="71" totalsRowDxfId="70" dataCellStyle="Normal 2"/>
    <tableColumn id="4" xr3:uid="{D71005CA-D204-451A-B127-C0B274763F5C}" name="(STORGE DIFF.) AJD" dataDxfId="69" totalsRowDxfId="68"/>
    <tableColumn id="12" xr3:uid="{73755E20-132E-4CD4-8FDE-DAF3B0899E5B}" name="البخر  AJD" dataDxfId="67" totalsRowDxfId="66" dataCellStyle="Normal 2"/>
    <tableColumn id="39" xr3:uid="{C96C9A21-4153-462C-9F7A-BD3A4C88FBBD}" name="الفاقد في خزان اجدابيا" dataDxfId="65" totalsRowDxfId="64"/>
    <tableColumn id="30" xr3:uid="{B657FAB8-4E19-4075-BCB4-CD671BEBF3D0}" name="BER_ IN" dataDxfId="63" totalsRowDxfId="62"/>
    <tableColumn id="31" xr3:uid="{4818E052-2768-477B-81D6-D4BAD7F6896E}" name="(RES. LEVEL) BER" dataDxfId="61" totalsRowDxfId="60"/>
    <tableColumn id="28" xr3:uid="{30C1A2CE-1B53-433D-B5DD-39B51FAFEDC4}" name=" (RESV. STORGE) BER" dataDxfId="59" totalsRowDxfId="58"/>
    <tableColumn id="29" xr3:uid="{A6766875-644B-48C7-8B9D-DAEBC6B21F1B}" name="BER المخزون * 10" dataDxfId="57" totalsRowDxfId="56"/>
    <tableColumn id="34" xr3:uid="{65CC0527-D749-4FD5-A882-807A12178DF3}" name="البخر  BER" dataDxfId="55" totalsRowDxfId="54"/>
    <tableColumn id="32" xr3:uid="{785EBFCF-EC83-4D18-AB04-FD14DF82714A}" name=" إستهلاك AJD(A/B) - BER.IN" dataDxfId="53" totalsRowDxfId="52"/>
    <tableColumn id="33" xr3:uid="{52DB72BF-6BC6-40CD-9A9C-BFF86A20EC8B}" name="SER_ IN" dataDxfId="51" totalsRowDxfId="50"/>
    <tableColumn id="27" xr3:uid="{1A0DC5E1-529B-47A0-A598-A9B2C96D8DF1}" name="(RES. LEVEL) SER " dataDxfId="49" totalsRowDxfId="48"/>
    <tableColumn id="2" xr3:uid="{392C98ED-9EBB-4BED-87FD-65BF982D2D98}" name=" (RESV. STORGE) SER" dataDxfId="47" totalsRowDxfId="46" dataCellStyle="Normal 2"/>
    <tableColumn id="23" xr3:uid="{9F5A8109-22D9-435F-BF47-775C1DF114D7}" name="SER المخزون * 10" dataDxfId="45" totalsRowDxfId="44" dataCellStyle="Normal 2"/>
    <tableColumn id="41" xr3:uid="{76771561-96AA-414D-AD42-22C5EA0CCE81}" name="البخر  SER" dataDxfId="43"/>
    <tableColumn id="42" xr3:uid="{87C7AFCA-5F02-46B9-A614-11E770F2C7F1}" name="إستهلاك AJD(A/S) - SER.IN" dataDxfId="4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abSelected="1" topLeftCell="L346" zoomScale="115" zoomScaleNormal="115" workbookViewId="0">
      <selection activeCell="U365" sqref="U365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2" zoomScale="85" zoomScaleNormal="85" workbookViewId="0">
      <selection activeCell="A2" sqref="A2:AP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C1" workbookViewId="0">
      <selection activeCell="H2" sqref="H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92">
        <f>TABL1234[[#This Row],[( S/S+T/B) AJD]]-(TABL1234[[#This Row],[(A/B + A/S) AJD]]+(TABL1234[[#This Row],[(STORGE DIFF.) AJD]]*1000)+TABL1234[[#This Row],[البخر  AJD]])</f>
        <v>500797</v>
      </c>
      <c r="AE2" s="89"/>
      <c r="AF2" s="89"/>
      <c r="AG2" s="89"/>
      <c r="AH2" s="43"/>
      <c r="AI2" s="43"/>
      <c r="AJ2" s="87">
        <f>TABL1234[[#This Row],[(A/B TOT) AJD]]-TABL1234[[#This Row],[BER_ IN]]</f>
        <v>0</v>
      </c>
      <c r="AK2" s="89"/>
      <c r="AL2" s="97"/>
      <c r="AM2" s="97"/>
      <c r="AN2" s="97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75"/>
      <c r="AP3" s="75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75"/>
      <c r="AP4" s="75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75"/>
      <c r="AP5" s="75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75"/>
      <c r="AP6" s="75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75"/>
      <c r="AP7" s="75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75"/>
      <c r="AP8" s="75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75"/>
      <c r="AP9" s="75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75"/>
      <c r="AP10" s="75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75"/>
      <c r="AP11" s="75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75"/>
      <c r="AP12" s="75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75"/>
      <c r="AP13" s="75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75"/>
      <c r="AP14" s="75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75"/>
      <c r="AP15" s="75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75"/>
      <c r="AP16" s="75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75"/>
      <c r="AP17" s="75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75"/>
      <c r="AP18" s="75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75"/>
      <c r="AP19" s="75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75"/>
      <c r="AP20" s="75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75"/>
      <c r="AP21" s="75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75"/>
      <c r="AP22" s="75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75"/>
      <c r="AP23" s="75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75"/>
      <c r="AP24" s="75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75"/>
      <c r="AP25" s="75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75"/>
      <c r="AP26" s="75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75"/>
      <c r="AP27" s="75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75"/>
      <c r="AP28" s="75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75"/>
      <c r="AP29" s="75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75"/>
      <c r="AP30" s="75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75"/>
      <c r="AP31" s="75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75"/>
      <c r="AP32" s="75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75"/>
      <c r="AP33" s="75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75"/>
      <c r="AP34" s="75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75"/>
      <c r="AP35" s="75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75"/>
      <c r="AP36" s="75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75"/>
      <c r="AP37" s="75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75"/>
      <c r="AP38" s="75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75"/>
      <c r="AP39" s="75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75"/>
      <c r="AP40" s="75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75"/>
      <c r="AP41" s="75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75"/>
      <c r="AP42" s="75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75"/>
      <c r="AP43" s="75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75"/>
      <c r="AP44" s="75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75"/>
      <c r="AP45" s="75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75"/>
      <c r="AP46" s="75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75"/>
      <c r="AP47" s="75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75"/>
      <c r="AP48" s="75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75"/>
      <c r="AP49" s="75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75"/>
      <c r="AP50" s="75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75"/>
      <c r="AP51" s="75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75"/>
      <c r="AP52" s="75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75"/>
      <c r="AP53" s="75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75"/>
      <c r="AP54" s="75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75"/>
      <c r="AP55" s="75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75"/>
      <c r="AP56" s="75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75"/>
      <c r="AP57" s="75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75"/>
      <c r="AP58" s="75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75"/>
      <c r="AP59" s="75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75"/>
      <c r="AP60" s="75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75"/>
      <c r="AP61" s="75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75"/>
      <c r="AP62" s="75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75"/>
      <c r="AP63" s="75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75"/>
      <c r="AP64" s="75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75"/>
      <c r="AP65" s="75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75"/>
      <c r="AP66" s="75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75"/>
      <c r="AP67" s="75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75"/>
      <c r="AP68" s="75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75"/>
      <c r="AP69" s="75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75"/>
      <c r="AP70" s="75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75"/>
      <c r="AH71" s="6"/>
      <c r="AI71" s="43"/>
      <c r="AJ71" s="75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75"/>
      <c r="AP71" s="75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75"/>
      <c r="AP72" s="75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75"/>
      <c r="AP73" s="75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75"/>
      <c r="AP74" s="75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75"/>
      <c r="AP75" s="75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75"/>
      <c r="AP76" s="75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75"/>
      <c r="AP77" s="75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75"/>
      <c r="AP78" s="75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75"/>
      <c r="AP79" s="75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75"/>
      <c r="AP80" s="75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75"/>
      <c r="AP81" s="75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75"/>
      <c r="AP82" s="75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75"/>
      <c r="AP83" s="75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75"/>
      <c r="AP84" s="75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75"/>
      <c r="AP85" s="75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75"/>
      <c r="AP86" s="75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75"/>
      <c r="AP87" s="75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75"/>
      <c r="AP88" s="75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75"/>
      <c r="AP89" s="75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7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9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75"/>
      <c r="AP90" s="75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75"/>
      <c r="AP91" s="75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75"/>
      <c r="AP92" s="75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75"/>
      <c r="AP93" s="75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75"/>
      <c r="AP94" s="75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75"/>
      <c r="AP95" s="75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75"/>
      <c r="AP96" s="75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75"/>
      <c r="AP97" s="75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75"/>
      <c r="AP98" s="75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75"/>
      <c r="AP99" s="75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75"/>
      <c r="AP100" s="75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75"/>
      <c r="AP101" s="75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75"/>
      <c r="AP102" s="75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75"/>
      <c r="AP103" s="75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75"/>
      <c r="AP104" s="75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75"/>
      <c r="AP105" s="75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75"/>
      <c r="AP106" s="75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75"/>
      <c r="AP107" s="75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75"/>
      <c r="AP108" s="75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75"/>
      <c r="AP109" s="75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75"/>
      <c r="AP110" s="75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75"/>
      <c r="AP111" s="75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75"/>
      <c r="AP112" s="75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75"/>
      <c r="AP113" s="75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75"/>
      <c r="AP114" s="75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75"/>
      <c r="AP115" s="75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75"/>
      <c r="AP116" s="75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75"/>
      <c r="AP117" s="75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75"/>
      <c r="AP118" s="75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75"/>
      <c r="AP119" s="75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75"/>
      <c r="AP120" s="75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75"/>
      <c r="AP121" s="75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75"/>
      <c r="AP122" s="75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75"/>
      <c r="AP123" s="75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75"/>
      <c r="AP124" s="75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75"/>
      <c r="AP125" s="75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75"/>
      <c r="AP126" s="75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75"/>
      <c r="AP127" s="75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75"/>
      <c r="AP128" s="75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75"/>
      <c r="AP129" s="75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75"/>
      <c r="AP130" s="75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75"/>
      <c r="AP131" s="75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75"/>
      <c r="AH132" s="6"/>
      <c r="AI132" s="43"/>
      <c r="AJ132" s="75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75"/>
      <c r="AP132" s="75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75"/>
      <c r="AP133" s="75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75"/>
      <c r="AP134" s="75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75"/>
      <c r="AP135" s="75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75"/>
      <c r="AP136" s="75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75"/>
      <c r="AP137" s="75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75"/>
      <c r="AP138" s="75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75"/>
      <c r="AP139" s="75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75"/>
      <c r="AP140" s="75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75"/>
      <c r="AP141" s="75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75"/>
      <c r="AP142" s="75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75"/>
      <c r="AP143" s="75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75"/>
      <c r="AP144" s="75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75"/>
      <c r="AP145" s="75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75"/>
      <c r="AP146" s="75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75"/>
      <c r="AP147" s="75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75"/>
      <c r="AP148" s="75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75"/>
      <c r="AP149" s="75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75"/>
      <c r="AP150" s="75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7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9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75"/>
      <c r="AP151" s="75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75"/>
      <c r="AP152" s="75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75"/>
      <c r="AP153" s="75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75"/>
      <c r="AP154" s="75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75"/>
      <c r="AP155" s="75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75"/>
      <c r="AP156" s="75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75"/>
      <c r="AP157" s="75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75"/>
      <c r="AP158" s="75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75"/>
      <c r="AP159" s="75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75"/>
      <c r="AP160" s="75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75"/>
      <c r="AP161" s="75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75"/>
      <c r="AP162" s="75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75"/>
      <c r="AP163" s="75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75"/>
      <c r="AP164" s="75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75"/>
      <c r="AP165" s="75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75"/>
      <c r="AP166" s="75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75"/>
      <c r="AP167" s="75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75"/>
      <c r="AP168" s="75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75"/>
      <c r="AP169" s="75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75"/>
      <c r="AP170" s="75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75"/>
      <c r="AP171" s="75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75"/>
      <c r="AP172" s="75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75"/>
      <c r="AP173" s="75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75"/>
      <c r="AP174" s="75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75"/>
      <c r="AP175" s="75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75"/>
      <c r="AP176" s="75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75"/>
      <c r="AP177" s="75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75"/>
      <c r="AP178" s="75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75"/>
      <c r="AP179" s="75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75"/>
      <c r="AP180" s="75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75"/>
      <c r="AP181" s="75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75"/>
      <c r="AP182" s="75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75"/>
      <c r="AP183" s="75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75"/>
      <c r="AP184" s="75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75"/>
      <c r="AP185" s="75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75"/>
      <c r="AP186" s="75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75"/>
      <c r="AP187" s="75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75"/>
      <c r="AP188" s="75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75"/>
      <c r="AP189" s="75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75"/>
      <c r="AP190" s="75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75"/>
      <c r="AP191" s="75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75"/>
      <c r="AP192" s="75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75"/>
      <c r="AH193" s="6"/>
      <c r="AI193" s="43"/>
      <c r="AJ193" s="75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75"/>
      <c r="AP193" s="75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75"/>
      <c r="AP194" s="75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75"/>
      <c r="AP195" s="75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75"/>
      <c r="AP196" s="75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75"/>
      <c r="AP197" s="75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75"/>
      <c r="AP198" s="75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75"/>
      <c r="AP199" s="75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75"/>
      <c r="AP200" s="75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75"/>
      <c r="AP201" s="75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75"/>
      <c r="AP202" s="75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75"/>
      <c r="AP203" s="75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75"/>
      <c r="AP204" s="75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75"/>
      <c r="AP205" s="75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75"/>
      <c r="AP206" s="75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75"/>
      <c r="AP207" s="75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75"/>
      <c r="AP208" s="75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75"/>
      <c r="AP209" s="75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75"/>
      <c r="AP210" s="75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75"/>
      <c r="AP211" s="75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7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9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75"/>
      <c r="AP212" s="75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75"/>
      <c r="AP213" s="75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75"/>
      <c r="AP214" s="75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75"/>
      <c r="AP215" s="75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75"/>
      <c r="AP216" s="75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75"/>
      <c r="AP217" s="75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75"/>
      <c r="AP218" s="75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75"/>
      <c r="AP219" s="75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75"/>
      <c r="AP220" s="75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75"/>
      <c r="AP221" s="75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75"/>
      <c r="AP222" s="75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75"/>
      <c r="AP223" s="75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75"/>
      <c r="AH224" s="6"/>
      <c r="AI224" s="43"/>
      <c r="AJ224" s="75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75"/>
      <c r="AP224" s="75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75"/>
      <c r="AP225" s="75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75"/>
      <c r="AP226" s="75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75"/>
      <c r="AP227" s="75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75"/>
      <c r="AP228" s="75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75"/>
      <c r="AP229" s="75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75"/>
      <c r="AP230" s="75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75"/>
      <c r="AP231" s="75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9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75"/>
      <c r="AP232" s="75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75"/>
      <c r="AP233" s="75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75"/>
      <c r="AP234" s="75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75"/>
      <c r="AP235" s="75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75"/>
      <c r="AP236" s="75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75"/>
      <c r="AP237" s="75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75"/>
      <c r="AP238" s="75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75"/>
      <c r="AP239" s="75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75"/>
      <c r="AP240" s="75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75"/>
      <c r="AP241" s="75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75"/>
      <c r="AP242" s="75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7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9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75"/>
      <c r="AP243" s="75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75"/>
      <c r="AP244" s="75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75"/>
      <c r="AP245" s="75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75"/>
      <c r="AP246" s="75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75"/>
      <c r="AP247" s="75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75"/>
      <c r="AP248" s="75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75"/>
      <c r="AP249" s="75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75"/>
      <c r="AP250" s="75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75"/>
      <c r="AP251" s="75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75"/>
      <c r="AP252" s="75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75"/>
      <c r="AP253" s="75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75"/>
      <c r="AP254" s="75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75"/>
      <c r="AP255" s="75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75"/>
      <c r="AP256" s="75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75"/>
      <c r="AP257" s="75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75"/>
      <c r="AP258" s="75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75"/>
      <c r="AP259" s="75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75"/>
      <c r="AP260" s="75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75"/>
      <c r="AP261" s="75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75"/>
      <c r="AP262" s="75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75"/>
      <c r="AP263" s="75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75"/>
      <c r="AP264" s="75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75"/>
      <c r="AP265" s="75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75"/>
      <c r="AP266" s="75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75"/>
      <c r="AP267" s="75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75"/>
      <c r="AP268" s="75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75"/>
      <c r="AP269" s="75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75"/>
      <c r="AP270" s="75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75"/>
      <c r="AP271" s="75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75"/>
      <c r="AP272" s="75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75"/>
      <c r="AP273" s="75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75"/>
      <c r="AP274" s="75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75"/>
      <c r="AP275" s="75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75"/>
      <c r="AP276" s="75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75"/>
      <c r="AP277" s="75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75"/>
      <c r="AP278" s="75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75"/>
      <c r="AP279" s="75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75"/>
      <c r="AP280" s="75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75"/>
      <c r="AP281" s="75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75"/>
      <c r="AP282" s="75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75"/>
      <c r="AP283" s="75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75"/>
      <c r="AP284" s="75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75"/>
      <c r="AP285" s="75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75"/>
      <c r="AP286" s="75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75"/>
      <c r="AP287" s="75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75"/>
      <c r="AP288" s="75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75"/>
      <c r="AP289" s="75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75"/>
      <c r="AP290" s="75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75"/>
      <c r="AP291" s="75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75"/>
      <c r="AP292" s="75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75"/>
      <c r="AP293" s="75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75"/>
      <c r="AP294" s="75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75"/>
      <c r="AP295" s="75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75"/>
      <c r="AP296" s="75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75"/>
      <c r="AP297" s="75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75"/>
      <c r="AP298" s="75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75"/>
      <c r="AP299" s="75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75"/>
      <c r="AP300" s="75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75"/>
      <c r="AP301" s="75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75"/>
      <c r="AP302" s="75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75"/>
      <c r="AP303" s="75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75"/>
      <c r="AP304" s="75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75"/>
      <c r="AP305" s="75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75"/>
      <c r="AP306" s="75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75"/>
      <c r="AP307" s="75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75"/>
      <c r="AP308" s="75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75"/>
      <c r="AP309" s="75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75"/>
      <c r="AP310" s="75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75"/>
      <c r="AP311" s="75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75"/>
      <c r="AP312" s="75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75"/>
      <c r="AP313" s="75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75"/>
      <c r="AP314" s="75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75"/>
      <c r="AP315" s="75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75"/>
      <c r="AP316" s="75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75"/>
      <c r="AP317" s="75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75"/>
      <c r="AP318" s="75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75"/>
      <c r="AP319" s="75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75"/>
      <c r="AP320" s="75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75"/>
      <c r="AP321" s="75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75"/>
      <c r="AP322" s="75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75"/>
      <c r="AP323" s="75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75"/>
      <c r="AP324" s="75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75"/>
      <c r="AP325" s="75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75"/>
      <c r="AP326" s="75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75"/>
      <c r="AP327" s="75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75"/>
      <c r="AP328" s="75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75"/>
      <c r="AP329" s="75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75"/>
      <c r="AP330" s="75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75"/>
      <c r="AP331" s="75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75"/>
      <c r="AP332" s="75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75"/>
      <c r="AP333" s="75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75"/>
      <c r="AP334" s="75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75"/>
      <c r="AP335" s="75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75"/>
      <c r="AP336" s="75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75"/>
      <c r="AP337" s="75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75"/>
      <c r="AP338" s="75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75"/>
      <c r="AP339" s="75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75"/>
      <c r="AP340" s="75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75"/>
      <c r="AP341" s="75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75"/>
      <c r="AP342" s="75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75"/>
      <c r="AP343" s="75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75"/>
      <c r="AP344" s="75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75"/>
      <c r="AP345" s="75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75"/>
      <c r="AP346" s="75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75"/>
      <c r="AP347" s="75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75"/>
      <c r="AP348" s="75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75"/>
      <c r="AP349" s="75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75"/>
      <c r="AP350" s="75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75"/>
      <c r="AP351" s="75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75"/>
      <c r="AP352" s="75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75"/>
      <c r="AP353" s="75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75"/>
      <c r="AP354" s="75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75"/>
      <c r="AP355" s="75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75"/>
      <c r="AP356" s="75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75"/>
      <c r="AP357" s="75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75"/>
      <c r="AP358" s="75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75"/>
      <c r="AP359" s="75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75"/>
      <c r="AP360" s="75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75"/>
      <c r="AP361" s="75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75"/>
      <c r="AP362" s="75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75"/>
      <c r="AP363" s="75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75"/>
      <c r="AP364" s="75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100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75"/>
      <c r="AP365" s="75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90"/>
      <c r="AP366" s="90">
        <f>TABL1234[[#This Row],[(A/S TOT) AJD]]-TABL1234[[#This Row],[SER_ IN]]</f>
        <v>0</v>
      </c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P1" workbookViewId="0">
      <selection activeCell="AD2" sqref="AD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75"/>
      <c r="AP3" s="75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75"/>
      <c r="AP4" s="75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75"/>
      <c r="AP5" s="75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75"/>
      <c r="AP6" s="75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74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75"/>
      <c r="AP7" s="75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75"/>
      <c r="AP8" s="75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75"/>
      <c r="AP9" s="75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75"/>
      <c r="AP10" s="75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75"/>
      <c r="AP11" s="75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75"/>
      <c r="AH12" s="6">
        <f>TABL12345[[#This Row],[ (RESV. STORGE) BER]]/10</f>
        <v>0</v>
      </c>
      <c r="AI12" s="41"/>
      <c r="AJ12" s="75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75"/>
      <c r="AP12" s="75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75"/>
      <c r="AP13" s="75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75"/>
      <c r="AP14" s="75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75"/>
      <c r="AP15" s="75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75"/>
      <c r="AP16" s="75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75"/>
      <c r="AP17" s="75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75"/>
      <c r="AP18" s="75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75"/>
      <c r="AP19" s="75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75"/>
      <c r="AP20" s="75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75"/>
      <c r="AP21" s="75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75"/>
      <c r="AP22" s="75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75"/>
      <c r="AP23" s="75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75"/>
      <c r="AP24" s="75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75"/>
      <c r="AP25" s="75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75"/>
      <c r="AP26" s="75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75"/>
      <c r="AP27" s="75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75"/>
      <c r="AP28" s="75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75"/>
      <c r="AP29" s="75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75"/>
      <c r="AP30" s="75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7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9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75"/>
      <c r="AP31" s="75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75"/>
      <c r="AP32" s="75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75"/>
      <c r="AP33" s="75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75"/>
      <c r="AP34" s="75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75"/>
      <c r="AP35" s="75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75"/>
      <c r="AP36" s="75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75"/>
      <c r="AP37" s="75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75"/>
      <c r="AP38" s="75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75"/>
      <c r="AP39" s="75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75"/>
      <c r="AP40" s="75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75"/>
      <c r="AP41" s="75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75"/>
      <c r="AP42" s="75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75"/>
      <c r="AP43" s="75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75"/>
      <c r="AP44" s="75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75"/>
      <c r="AP45" s="75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75"/>
      <c r="AP46" s="75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75"/>
      <c r="AP47" s="75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75"/>
      <c r="AP48" s="75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75"/>
      <c r="AP49" s="75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75"/>
      <c r="AP50" s="75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75"/>
      <c r="AP51" s="75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75"/>
      <c r="AP52" s="75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75"/>
      <c r="AP53" s="75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75"/>
      <c r="AP54" s="75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75"/>
      <c r="AP55" s="75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75"/>
      <c r="AP56" s="75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75"/>
      <c r="AP57" s="75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75"/>
      <c r="AP58" s="75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75"/>
      <c r="AP59" s="75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75"/>
      <c r="AP60" s="75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75"/>
      <c r="AP61" s="75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75"/>
      <c r="AP62" s="75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75"/>
      <c r="AP63" s="75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75"/>
      <c r="AP64" s="75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75"/>
      <c r="AP65" s="75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75"/>
      <c r="AP66" s="75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75"/>
      <c r="AP67" s="75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75"/>
      <c r="AP68" s="75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75"/>
      <c r="AP69" s="75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75"/>
      <c r="AP70" s="75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75"/>
      <c r="AH71" s="6">
        <f>TABL12345[[#This Row],[ (RESV. STORGE) BER]]/10</f>
        <v>0</v>
      </c>
      <c r="AI71" s="41"/>
      <c r="AJ71" s="75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75"/>
      <c r="AP71" s="75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75"/>
      <c r="AP72" s="75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75"/>
      <c r="AP73" s="75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75"/>
      <c r="AP74" s="75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75"/>
      <c r="AP75" s="75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75"/>
      <c r="AP76" s="75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75"/>
      <c r="AP77" s="75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75"/>
      <c r="AP78" s="75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75"/>
      <c r="AP79" s="75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75"/>
      <c r="AP80" s="75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75"/>
      <c r="AP81" s="75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75"/>
      <c r="AP82" s="75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75"/>
      <c r="AP83" s="75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75"/>
      <c r="AP84" s="75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75"/>
      <c r="AP85" s="75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75"/>
      <c r="AP86" s="75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75"/>
      <c r="AP87" s="75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75"/>
      <c r="AP88" s="75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75"/>
      <c r="AP89" s="75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7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9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75"/>
      <c r="AP90" s="75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75"/>
      <c r="AP91" s="75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75"/>
      <c r="AP92" s="75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75"/>
      <c r="AP93" s="75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75"/>
      <c r="AP94" s="75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75"/>
      <c r="AP95" s="75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75"/>
      <c r="AP96" s="75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75"/>
      <c r="AP97" s="75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75"/>
      <c r="AP98" s="75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75"/>
      <c r="AP99" s="75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75"/>
      <c r="AP100" s="75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75"/>
      <c r="AP101" s="75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75"/>
      <c r="AP102" s="75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75"/>
      <c r="AP103" s="75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75"/>
      <c r="AP104" s="75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75"/>
      <c r="AP105" s="75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75"/>
      <c r="AP106" s="75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75"/>
      <c r="AP107" s="75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75"/>
      <c r="AP108" s="75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75"/>
      <c r="AP109" s="75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75"/>
      <c r="AP110" s="75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75"/>
      <c r="AP111" s="75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75"/>
      <c r="AP112" s="75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75"/>
      <c r="AP113" s="75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75"/>
      <c r="AP114" s="75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75"/>
      <c r="AP115" s="75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75"/>
      <c r="AP116" s="75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75"/>
      <c r="AP117" s="75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75"/>
      <c r="AP118" s="75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75"/>
      <c r="AP119" s="75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75"/>
      <c r="AP120" s="75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75"/>
      <c r="AP121" s="75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75"/>
      <c r="AP122" s="75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75"/>
      <c r="AP123" s="75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75"/>
      <c r="AP124" s="75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75"/>
      <c r="AP125" s="75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75"/>
      <c r="AP126" s="75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75"/>
      <c r="AP127" s="75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75"/>
      <c r="AP128" s="75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75"/>
      <c r="AP129" s="75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75"/>
      <c r="AP130" s="75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75"/>
      <c r="AP131" s="75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75"/>
      <c r="AH132" s="6">
        <f>TABL12345[[#This Row],[ (RESV. STORGE) BER]]/10</f>
        <v>0</v>
      </c>
      <c r="AI132" s="41"/>
      <c r="AJ132" s="75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75"/>
      <c r="AP132" s="75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75"/>
      <c r="AP133" s="75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75"/>
      <c r="AP134" s="75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75"/>
      <c r="AP135" s="75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75"/>
      <c r="AP136" s="75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75"/>
      <c r="AP137" s="75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75"/>
      <c r="AP138" s="75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75"/>
      <c r="AP139" s="75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75"/>
      <c r="AP140" s="75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75"/>
      <c r="AP141" s="75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75"/>
      <c r="AP142" s="75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75"/>
      <c r="AP143" s="75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75"/>
      <c r="AP144" s="75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75"/>
      <c r="AP145" s="75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75"/>
      <c r="AP146" s="75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75"/>
      <c r="AP147" s="75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75"/>
      <c r="AP148" s="75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75"/>
      <c r="AP149" s="75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75"/>
      <c r="AP150" s="75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7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9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75"/>
      <c r="AP151" s="75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75"/>
      <c r="AP152" s="75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75"/>
      <c r="AP153" s="75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75"/>
      <c r="AP154" s="75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75"/>
      <c r="AP155" s="75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75"/>
      <c r="AP156" s="75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75"/>
      <c r="AP157" s="75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75"/>
      <c r="AP158" s="75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75"/>
      <c r="AP159" s="75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75"/>
      <c r="AP160" s="75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75"/>
      <c r="AP161" s="75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75"/>
      <c r="AP162" s="75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75"/>
      <c r="AP163" s="75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75"/>
      <c r="AP164" s="75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75"/>
      <c r="AP165" s="75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75"/>
      <c r="AP166" s="75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75"/>
      <c r="AP167" s="75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75"/>
      <c r="AP168" s="75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75"/>
      <c r="AP169" s="75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75"/>
      <c r="AP170" s="75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75"/>
      <c r="AP171" s="75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75"/>
      <c r="AP172" s="75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75"/>
      <c r="AP173" s="75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75"/>
      <c r="AP174" s="75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75"/>
      <c r="AP175" s="75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75"/>
      <c r="AP176" s="75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75"/>
      <c r="AP177" s="75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75"/>
      <c r="AP178" s="75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75"/>
      <c r="AP179" s="75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75"/>
      <c r="AP180" s="75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75"/>
      <c r="AP181" s="75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75"/>
      <c r="AP182" s="75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75"/>
      <c r="AP183" s="75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75"/>
      <c r="AP184" s="75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75"/>
      <c r="AP185" s="75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75"/>
      <c r="AP186" s="75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75"/>
      <c r="AP187" s="75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75"/>
      <c r="AP188" s="75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75"/>
      <c r="AP189" s="75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75"/>
      <c r="AP190" s="75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75"/>
      <c r="AP191" s="75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75"/>
      <c r="AP192" s="75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75"/>
      <c r="AH193" s="6">
        <f>TABL12345[[#This Row],[ (RESV. STORGE) BER]]/10</f>
        <v>0</v>
      </c>
      <c r="AI193" s="41"/>
      <c r="AJ193" s="75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75"/>
      <c r="AP193" s="75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75"/>
      <c r="AP194" s="75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75"/>
      <c r="AP195" s="75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75"/>
      <c r="AP196" s="75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75"/>
      <c r="AP197" s="75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75"/>
      <c r="AP198" s="75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75"/>
      <c r="AP199" s="75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75"/>
      <c r="AP200" s="75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75"/>
      <c r="AP201" s="75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75"/>
      <c r="AP202" s="75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75"/>
      <c r="AP203" s="75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75"/>
      <c r="AP204" s="75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75"/>
      <c r="AP205" s="75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75"/>
      <c r="AP206" s="75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75"/>
      <c r="AP207" s="75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75"/>
      <c r="AP208" s="75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75"/>
      <c r="AP209" s="75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75"/>
      <c r="AP210" s="75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75"/>
      <c r="AP211" s="75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7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9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75"/>
      <c r="AP212" s="75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75"/>
      <c r="AP213" s="75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75"/>
      <c r="AP214" s="75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75"/>
      <c r="AP215" s="75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75"/>
      <c r="AP216" s="75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75"/>
      <c r="AP217" s="75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75"/>
      <c r="AP218" s="75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75"/>
      <c r="AP219" s="75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75"/>
      <c r="AP220" s="75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75"/>
      <c r="AP221" s="75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75"/>
      <c r="AP222" s="75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75"/>
      <c r="AP223" s="75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75"/>
      <c r="AH224" s="6">
        <f>TABL12345[[#This Row],[ (RESV. STORGE) BER]]/10</f>
        <v>0</v>
      </c>
      <c r="AI224" s="41"/>
      <c r="AJ224" s="75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75"/>
      <c r="AP224" s="75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75"/>
      <c r="AP225" s="75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75"/>
      <c r="AP226" s="75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75"/>
      <c r="AP227" s="75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75"/>
      <c r="AP228" s="75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75"/>
      <c r="AP229" s="75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75"/>
      <c r="AP230" s="75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75"/>
      <c r="AP231" s="75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75"/>
      <c r="AP232" s="75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75"/>
      <c r="AP233" s="75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75"/>
      <c r="AP234" s="75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75"/>
      <c r="AP235" s="75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75"/>
      <c r="AP236" s="75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75"/>
      <c r="AP237" s="75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75"/>
      <c r="AP238" s="75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75"/>
      <c r="AP239" s="75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75"/>
      <c r="AP240" s="75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75"/>
      <c r="AP241" s="75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75"/>
      <c r="AP242" s="75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7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9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75"/>
      <c r="AP243" s="75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75"/>
      <c r="AP244" s="75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75"/>
      <c r="AP245" s="75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75"/>
      <c r="AP246" s="75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75"/>
      <c r="AP247" s="75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75"/>
      <c r="AP248" s="75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75"/>
      <c r="AP249" s="75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75"/>
      <c r="AP250" s="75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75"/>
      <c r="AP251" s="75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75"/>
      <c r="AP252" s="75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75"/>
      <c r="AP253" s="75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75"/>
      <c r="AP254" s="75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75"/>
      <c r="AP255" s="75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75"/>
      <c r="AP256" s="75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75"/>
      <c r="AP257" s="75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75"/>
      <c r="AP258" s="75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75"/>
      <c r="AP259" s="75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75"/>
      <c r="AP260" s="75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75"/>
      <c r="AP261" s="75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75"/>
      <c r="AP262" s="75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75"/>
      <c r="AP263" s="75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75"/>
      <c r="AP264" s="75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75"/>
      <c r="AP265" s="75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75"/>
      <c r="AP266" s="75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75"/>
      <c r="AP267" s="75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75"/>
      <c r="AP268" s="75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75"/>
      <c r="AP269" s="75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75"/>
      <c r="AP270" s="75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75"/>
      <c r="AP271" s="75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75"/>
      <c r="AP272" s="75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75"/>
      <c r="AP273" s="75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75"/>
      <c r="AP274" s="75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75"/>
      <c r="AP275" s="75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75"/>
      <c r="AP276" s="75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75"/>
      <c r="AP277" s="75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75"/>
      <c r="AP278" s="75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75"/>
      <c r="AP279" s="75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75"/>
      <c r="AP280" s="75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75"/>
      <c r="AP281" s="75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75"/>
      <c r="AP282" s="75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75"/>
      <c r="AP283" s="75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75"/>
      <c r="AP284" s="75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75"/>
      <c r="AP285" s="75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75"/>
      <c r="AP286" s="75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75"/>
      <c r="AP287" s="75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75"/>
      <c r="AP288" s="75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75"/>
      <c r="AP289" s="75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75"/>
      <c r="AP290" s="75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75"/>
      <c r="AP291" s="75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75"/>
      <c r="AP292" s="75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75"/>
      <c r="AP293" s="75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75"/>
      <c r="AP294" s="75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75"/>
      <c r="AP295" s="75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75"/>
      <c r="AP296" s="75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75"/>
      <c r="AP297" s="75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75"/>
      <c r="AP298" s="75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75"/>
      <c r="AP299" s="75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75"/>
      <c r="AP300" s="75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75"/>
      <c r="AP301" s="75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75"/>
      <c r="AP302" s="75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75"/>
      <c r="AP303" s="75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75"/>
      <c r="AP304" s="75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75"/>
      <c r="AP305" s="75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75"/>
      <c r="AP306" s="75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75"/>
      <c r="AP307" s="75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75"/>
      <c r="AP308" s="75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75"/>
      <c r="AP309" s="75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75"/>
      <c r="AP310" s="75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75"/>
      <c r="AP311" s="75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75"/>
      <c r="AP312" s="75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75"/>
      <c r="AP313" s="75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75"/>
      <c r="AP314" s="75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75"/>
      <c r="AP315" s="75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75"/>
      <c r="AP316" s="75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75"/>
      <c r="AP317" s="75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75"/>
      <c r="AP318" s="75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75"/>
      <c r="AP319" s="75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75"/>
      <c r="AP320" s="75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75"/>
      <c r="AP321" s="75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75"/>
      <c r="AP322" s="75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75"/>
      <c r="AP323" s="75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75"/>
      <c r="AP324" s="75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75"/>
      <c r="AP325" s="75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75"/>
      <c r="AP326" s="75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75"/>
      <c r="AP327" s="75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75"/>
      <c r="AP328" s="75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75"/>
      <c r="AP329" s="75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75"/>
      <c r="AP330" s="75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75"/>
      <c r="AP331" s="75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75"/>
      <c r="AP332" s="75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75"/>
      <c r="AP333" s="75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75"/>
      <c r="AP334" s="75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75"/>
      <c r="AP335" s="75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75"/>
      <c r="AP336" s="75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75"/>
      <c r="AP337" s="75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75"/>
      <c r="AP338" s="75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75"/>
      <c r="AP339" s="75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75"/>
      <c r="AP340" s="75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75"/>
      <c r="AP341" s="75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75"/>
      <c r="AP342" s="75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75"/>
      <c r="AP343" s="75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75"/>
      <c r="AP344" s="75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75"/>
      <c r="AP345" s="75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75"/>
      <c r="AP346" s="75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75"/>
      <c r="AP347" s="75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75"/>
      <c r="AP348" s="75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75"/>
      <c r="AP349" s="75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75"/>
      <c r="AP350" s="75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75"/>
      <c r="AP351" s="75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75"/>
      <c r="AP352" s="75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75"/>
      <c r="AP353" s="75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75"/>
      <c r="AP354" s="75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75"/>
      <c r="AP355" s="75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75"/>
      <c r="AP356" s="75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75"/>
      <c r="AP357" s="75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75"/>
      <c r="AP358" s="75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75"/>
      <c r="AP359" s="75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75"/>
      <c r="AP360" s="75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75"/>
      <c r="AP361" s="75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75"/>
      <c r="AP362" s="75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75"/>
      <c r="AP363" s="75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75"/>
      <c r="AP364" s="75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100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75"/>
      <c r="AP365" s="75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90"/>
      <c r="AP366" s="90">
        <f>TABL12345[[#This Row],[(A/S TOT) AJD]]-TABL12345[[#This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2026-10-23T22:18:26Z</dcterms:modified>
</cp:coreProperties>
</file>