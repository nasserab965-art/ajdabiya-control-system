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  <xf numFmtId="165" fontId="15" fillId="9" borderId="5" applyAlignment="1" pivotButton="0" quotePrefix="0" xfId="1">
      <alignment horizontal="center" vertical="center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431" headerRowBorderDxfId="430" tableBorderDxfId="429">
  <autoFilter ref="A1:AP366"/>
  <tableColumns count="42">
    <tableColumn id="1" name=" اليوم" dataDxfId="428" totalsRowDxfId="39" dataCellStyle="Normal 2"/>
    <tableColumn id="19" name="آبار منتجة TAZ" dataDxfId="427" totalsRowDxfId="38" dataCellStyle="Normal 2"/>
    <tableColumn id="18" name="الانتاج 1000 (م3) TAZ" dataDxfId="426" totalsRowDxfId="37" dataCellStyle="Normal 2"/>
    <tableColumn id="17" name="آبار عاملة TAZ" dataDxfId="425" totalsRowDxfId="36" dataCellStyle="Normal 2"/>
    <tableColumn id="16" name="آبار احتياطية" dataDxfId="424" totalsRowDxfId="35" dataCellStyle="Normal 2"/>
    <tableColumn id="26" name="آبار منتجة SAR" dataDxfId="423" totalsRowDxfId="34" dataCellStyle="Normal 2"/>
    <tableColumn id="25" name="إنتاج آبار  SAR" dataDxfId="422" totalsRowDxfId="33" dataCellStyle="Normal 2"/>
    <tableColumn id="24" name="آبار احتياطية  SAR" dataDxfId="421" totalsRowDxfId="32" dataCellStyle="Normal 2">
      <calculatedColumnFormula>103-F2</calculatedColumnFormula>
    </tableColumn>
    <tableColumn id="8" name=" (T/B) SAR" dataDxfId="420" totalsRowDxfId="31" dataCellStyle="Normal 2"/>
    <tableColumn id="22" name=" (S/S) SAR" dataDxfId="419" totalsRowDxfId="30" dataCellStyle="Normal 2"/>
    <tableColumn id="38" name="(S/S+TB)SAR" dataDxfId="418" totalsRowDxfId="29" dataCellStyle="Normal 2">
      <calculatedColumnFormula>TABL123[[#This Row],[ (T/B) SAR]]+TABL123[[#This Row],[ (S/S) SAR]]</calculatedColumnFormula>
    </tableColumn>
    <tableColumn id="21" name="TAZ/SAR" dataDxfId="417" totalsRowDxfId="28" dataCellStyle="Normal 2"/>
    <tableColumn id="20" name=" % ECV SAR" dataDxfId="416" totalsRowDxfId="27" dataCellStyle="Normal 2"/>
    <tableColumn id="6" name="ECV (bar) SAR" dataDxfId="415" totalsRowDxfId="26" dataCellStyle="Normal 2"/>
    <tableColumn id="3" name="(S/S) AJD" dataDxfId="414" totalsRowDxfId="25"/>
    <tableColumn id="36" name="S/S_CON." dataDxfId="413" totalsRowDxfId="24">
      <calculatedColumnFormula>TABL123[[#This Row],[ (S/S) SAR]]-TABL123[[#This Row],[(S/S) AJD]]</calculatedColumnFormula>
    </tableColumn>
    <tableColumn id="5" name="(T/B) AJD" dataDxfId="412" totalsRowDxfId="23"/>
    <tableColumn id="35" name="T/B-CON." dataDxfId="411" totalsRowDxfId="22">
      <calculatedColumnFormula>TABL123[[#This Row],[ (T/B) SAR]]-TABL123[[#This Row],[(T/B) AJD]]</calculatedColumnFormula>
    </tableColumn>
    <tableColumn id="37" name="(S/S-T/B)-CON." dataDxfId="410" totalsRowDxfId="21">
      <calculatedColumnFormula>TABL123[[#This Row],[T/B-CON.]]+TABL123[[#This Row],[S/S_CON.]]</calculatedColumnFormula>
    </tableColumn>
    <tableColumn id="13" name="( S/S+T/B) AJD" dataDxfId="409" totalsRowDxfId="20">
      <calculatedColumnFormula>TABL123[[#This Row],[(S/S) AJD]]+TABL123[[#This Row],[(T/B) AJD]]</calculatedColumnFormula>
    </tableColumn>
    <tableColumn id="7" name="(A/B) AJD" dataDxfId="408" totalsRowDxfId="19"/>
    <tableColumn id="9" name="(A/S) AJD" dataDxfId="407" totalsRowDxfId="18"/>
    <tableColumn id="14" name="(A/B + A/S) AJD" dataDxfId="406" totalsRowDxfId="17">
      <calculatedColumnFormula>TABL123[[#This Row],[(A/B) AJD]]+TABL123[[#This Row],[(A/S) AJD]]</calculatedColumnFormula>
    </tableColumn>
    <tableColumn id="15" name="(IN-OUT) AJD" dataDxfId="405" totalsRowDxfId="16">
      <calculatedColumnFormula>TABL123[[#This Row],[( S/S+T/B) AJD]]-TABL123[[#This Row],[(A/B + A/S) AJD]]</calculatedColumnFormula>
    </tableColumn>
    <tableColumn id="10" name="(RES. LEVEL) AJD" dataDxfId="404" totalsRowDxfId="15"/>
    <tableColumn id="11" name="(RESV. STORGE) AJD" dataDxfId="403" totalsRowDxfId="14"/>
    <tableColumn id="40" name="AJD_STORG.* 10" dataDxfId="402" totalsRowDxfId="13" dataCellStyle="Normal 2">
      <calculatedColumnFormula>TABL123[[#This Row],[(RESV. STORGE) AJD]]/10</calculatedColumnFormula>
    </tableColumn>
    <tableColumn id="4" name="(STORGE DIFF.) AJD" dataDxfId="401" totalsRowDxfId="12"/>
    <tableColumn id="12" name="AJD_Evaporation" dataDxfId="400" totalsRowDxfId="11" dataCellStyle="Normal 2"/>
    <tableColumn id="39" name="AJD_LOSES" dataDxfId="399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398" totalsRowDxfId="9"/>
    <tableColumn id="31" name="(RES. LEVEL) BER" dataDxfId="397" totalsRowDxfId="8"/>
    <tableColumn id="28" name=" (RESV. STORGE) BER" dataDxfId="396" totalsRowDxfId="7"/>
    <tableColumn id="29" name="BER_STORG. * 10" dataDxfId="395" totalsRowDxfId="6"/>
    <tableColumn id="34" name="BER_Evap." dataDxfId="394" totalsRowDxfId="5"/>
    <tableColumn id="32" name="A/B_CON." dataDxfId="393" totalsRowDxfId="4">
      <calculatedColumnFormula>TABL123[[#This Row],[(A/B) AJD]]-TABL123[[#This Row],[BER_IN]]</calculatedColumnFormula>
    </tableColumn>
    <tableColumn id="33" name="SER_IN" dataDxfId="392" totalsRowDxfId="3"/>
    <tableColumn id="27" name="(RES. LEVEL) SER " dataDxfId="391" totalsRowDxfId="2"/>
    <tableColumn id="2" name=" (RESV. STORGE) SER" dataDxfId="390" totalsRowDxfId="1" dataCellStyle="Normal 2"/>
    <tableColumn id="23" name="SER_STORG.* 10" dataDxfId="389" totalsRowDxfId="0" dataCellStyle="Normal 2">
      <calculatedColumnFormula>TABL123[[#This Row],[ (RESV. STORGE) SER]]/10</calculatedColumnFormula>
    </tableColumn>
    <tableColumn id="42" name="SER_Evap." dataDxfId="388"/>
    <tableColumn id="43" name="A/S_CON." dataDxfId="387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99" headerRowBorderDxfId="298" tableBorderDxfId="297">
  <autoFilter ref="A1:AP366"/>
  <tableColumns count="42">
    <tableColumn id="1" name=" اليوم" dataDxfId="296" totalsRowDxfId="295" dataCellStyle="Normal 2"/>
    <tableColumn id="19" name="آبار منتجة TAZ" dataDxfId="294" totalsRowDxfId="293" dataCellStyle="Normal 2"/>
    <tableColumn id="18" name="الانتاج 1000 (م3) TAZ" dataDxfId="292" totalsRowDxfId="291" dataCellStyle="Normal 2"/>
    <tableColumn id="17" name="آبار عاملة TAZ" dataDxfId="290" totalsRowDxfId="289" dataCellStyle="Normal 2"/>
    <tableColumn id="16" name="آبار احتياطية" dataDxfId="288" totalsRowDxfId="287" dataCellStyle="Normal 2"/>
    <tableColumn id="26" name="آبار منتجة SAR" dataDxfId="286" totalsRowDxfId="285" dataCellStyle="Normal 2"/>
    <tableColumn id="25" name="إنتاج آبار  SAR" dataDxfId="284" totalsRowDxfId="283" dataCellStyle="Normal 2"/>
    <tableColumn id="24" name="آبار احتياطية  SAR" dataDxfId="282" totalsRowDxfId="281" dataCellStyle="Normal 2">
      <calculatedColumnFormula>103-F2</calculatedColumnFormula>
    </tableColumn>
    <tableColumn id="8" name=" (T/B) SAR" dataDxfId="280" totalsRowDxfId="279" dataCellStyle="Normal 2"/>
    <tableColumn id="22" name=" (S/S) SAR" dataDxfId="278" totalsRowDxfId="277" dataCellStyle="Normal 2"/>
    <tableColumn id="38" name="(S/S+TB)SAR" dataDxfId="276" totalsRowDxfId="275" dataCellStyle="Normal 2">
      <calculatedColumnFormula>TABL1234[[#This Row],[ (T/B) SAR]]+TABL1234[[#This Row],[ (S/S) SAR]]</calculatedColumnFormula>
    </tableColumn>
    <tableColumn id="21" name="TAZ/SAR" dataDxfId="274" totalsRowDxfId="273" dataCellStyle="Normal 2"/>
    <tableColumn id="20" name=" % ECV SAR" dataDxfId="272" totalsRowDxfId="271" dataCellStyle="Normal 2"/>
    <tableColumn id="6" name="ECV (bar) SAR" dataDxfId="270" totalsRowDxfId="269" dataCellStyle="Normal 2"/>
    <tableColumn id="3" name="(S/S) AJD" dataDxfId="268" totalsRowDxfId="267"/>
    <tableColumn id="36" name="S/S_CON." dataDxfId="266" totalsRowDxfId="265">
      <calculatedColumnFormula>TABL1234[[#This Row],[ (S/S) SAR]]-TABL1234[[#This Row],[(S/S) AJD]]</calculatedColumnFormula>
    </tableColumn>
    <tableColumn id="5" name="(T/B) AJD" dataDxfId="264" totalsRowDxfId="263"/>
    <tableColumn id="35" name="T/B-CON." dataDxfId="262" totalsRowDxfId="261">
      <calculatedColumnFormula>TABL1234[[#This Row],[ (T/B) SAR]]-TABL1234[[#This Row],[(T/B) AJD]]</calculatedColumnFormula>
    </tableColumn>
    <tableColumn id="37" name="(S/S-T/B)-CON." dataDxfId="260" totalsRowDxfId="259">
      <calculatedColumnFormula>TABL1234[[#This Row],[T/B-CON.]]+TABL1234[[#This Row],[S/S_CON.]]</calculatedColumnFormula>
    </tableColumn>
    <tableColumn id="13" name="( S/S+T/B) AJD" dataDxfId="258" totalsRowDxfId="257">
      <calculatedColumnFormula>TABL1234[[#This Row],[(S/S) AJD]]+TABL1234[[#This Row],[(T/B) AJD]]</calculatedColumnFormula>
    </tableColumn>
    <tableColumn id="7" name="(A/B) AJD" dataDxfId="256" totalsRowDxfId="255"/>
    <tableColumn id="9" name="(A/S) AJD" dataDxfId="254" totalsRowDxfId="253"/>
    <tableColumn id="14" name="(A/B + A/S) AJD" dataDxfId="252" totalsRowDxfId="251">
      <calculatedColumnFormula>TABL1234[[#This Row],[(A/B) AJD]]+TABL1234[[#This Row],[(A/S) AJD]]</calculatedColumnFormula>
    </tableColumn>
    <tableColumn id="15" name="(IN-OUT) AJD" dataDxfId="250" totalsRowDxfId="249">
      <calculatedColumnFormula>TABL1234[[#This Row],[( S/S+T/B) AJD]]-TABL1234[[#This Row],[(A/B + A/S) AJD]]</calculatedColumnFormula>
    </tableColumn>
    <tableColumn id="10" name="(RES. LEVEL) AJD" dataDxfId="248" totalsRowDxfId="247"/>
    <tableColumn id="11" name="(RESV. STORGE) AJD" dataDxfId="246" totalsRowDxfId="245"/>
    <tableColumn id="40" name="AJD_STORG.* 10" dataDxfId="244" totalsRowDxfId="243" dataCellStyle="Normal 2">
      <calculatedColumnFormula>TABL1234[[#This Row],[(RESV. STORGE) AJD]]/10</calculatedColumnFormula>
    </tableColumn>
    <tableColumn id="4" name="(STORGE DIFF.) AJD" dataDxfId="242" totalsRowDxfId="241">
      <calculatedColumnFormula>(TABL123[[#This Row],[(RESV. STORGE) AJD]]-500797)/1000</calculatedColumnFormula>
    </tableColumn>
    <tableColumn id="12" name="AJD_Evaporation" dataDxfId="240" totalsRowDxfId="239" dataCellStyle="Normal 2"/>
    <tableColumn id="39" name="AJD_LOSES" dataDxfId="238" totalsRowDxfId="237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236" totalsRowDxfId="235"/>
    <tableColumn id="31" name="(RES. LEVEL) BER" dataDxfId="234" totalsRowDxfId="233"/>
    <tableColumn id="28" name=" (RESV. STORGE) BER" dataDxfId="232" totalsRowDxfId="231"/>
    <tableColumn id="29" name="BER_STORG. * 10" dataDxfId="230" totalsRowDxfId="229"/>
    <tableColumn id="34" name="BER_Evap." dataDxfId="228" totalsRowDxfId="227"/>
    <tableColumn id="32" name="A/B_CON." dataDxfId="226" totalsRowDxfId="225">
      <calculatedColumnFormula>TABL1234[[#This Row],[(A/B) AJD]]-TABL1234[[#This Row],[BER_IN]]</calculatedColumnFormula>
    </tableColumn>
    <tableColumn id="33" name="SER_IN" dataDxfId="224" totalsRowDxfId="223"/>
    <tableColumn id="27" name="(RES. LEVEL) SER " dataDxfId="222" totalsRowDxfId="221"/>
    <tableColumn id="2" name=" (RESV. STORGE) SER" dataDxfId="220" totalsRowDxfId="219" dataCellStyle="Normal 2"/>
    <tableColumn id="23" name="SER_STORG.* 10" dataDxfId="218" totalsRowDxfId="217" dataCellStyle="Normal 2">
      <calculatedColumnFormula>TABL1234[[#This Row],[ (RESV. STORGE) SER]]/10</calculatedColumnFormula>
    </tableColumn>
    <tableColumn id="41" name="SER_Evap." dataDxfId="216"/>
    <tableColumn id="42" name="A/S_CON." dataDxfId="215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214" headerRowBorderDxfId="213" tableBorderDxfId="212">
  <autoFilter ref="A1:AP367"/>
  <tableColumns count="42">
    <tableColumn id="1" name=" اليوم" dataDxfId="211" totalsRowDxfId="210" dataCellStyle="Normal 2"/>
    <tableColumn id="19" name="آبار منتجة TAZ" dataDxfId="209" totalsRowDxfId="208" dataCellStyle="Normal 2"/>
    <tableColumn id="18" name="الانتاج 1000 (م3) TAZ" dataDxfId="207" totalsRowDxfId="206" dataCellStyle="Normal 2"/>
    <tableColumn id="17" name="آبار عاملة TAZ" dataDxfId="205" totalsRowDxfId="204" dataCellStyle="Normal 2"/>
    <tableColumn id="16" name="آبار احتياطية" dataDxfId="203" totalsRowDxfId="202" dataCellStyle="Normal 2"/>
    <tableColumn id="26" name="آبار منتجة SAR" dataDxfId="201" totalsRowDxfId="200" dataCellStyle="Normal 2"/>
    <tableColumn id="25" name="إنتاج آبار  SAR" dataDxfId="199" totalsRowDxfId="198" dataCellStyle="Normal 2"/>
    <tableColumn id="24" name="آبار احتياطية  SAR" dataDxfId="197" totalsRowDxfId="196" dataCellStyle="Normal 2"/>
    <tableColumn id="8" name=" (T/B) SAR" dataDxfId="195" totalsRowDxfId="194" dataCellStyle="Normal 2"/>
    <tableColumn id="22" name=" (S/S) SAR" dataDxfId="193" totalsRowDxfId="192" dataCellStyle="Normal 2"/>
    <tableColumn id="38" name="(S/S+TB)SAR" dataDxfId="191" totalsRowDxfId="190" dataCellStyle="Normal 2">
      <calculatedColumnFormula>TABL12345[[#This Row],[ (T/B) SAR]]+TABL12345[[#This Row],[ (S/S) SAR]]</calculatedColumnFormula>
    </tableColumn>
    <tableColumn id="21" name="TAZ/SAR" dataDxfId="189" totalsRowDxfId="188" dataCellStyle="Normal 2"/>
    <tableColumn id="20" name=" % ECV SAR" dataDxfId="187" totalsRowDxfId="186" dataCellStyle="Normal 2"/>
    <tableColumn id="6" name="ECV (bar) SAR" dataDxfId="185" totalsRowDxfId="184" dataCellStyle="Normal 2"/>
    <tableColumn id="3" name="(S/S) AJD" dataDxfId="183" totalsRowDxfId="182"/>
    <tableColumn id="36" name="S/S_CON." dataDxfId="181" totalsRowDxfId="180">
      <calculatedColumnFormula>TABL12345[[#This Row],[ (S/S) SAR]]-TABL12345[[#This Row],[(S/S) AJD]]</calculatedColumnFormula>
    </tableColumn>
    <tableColumn id="5" name="(T/B) AJD" dataDxfId="179" totalsRowDxfId="178"/>
    <tableColumn id="35" name="T/B-CON." dataDxfId="177" totalsRowDxfId="176">
      <calculatedColumnFormula>TABL12345[[#This Row],[ (T/B) SAR]]-TABL12345[[#This Row],[(T/B) AJD]]</calculatedColumnFormula>
    </tableColumn>
    <tableColumn id="37" name="(S/S-T/B)-CON." dataDxfId="175" totalsRowDxfId="174">
      <calculatedColumnFormula>TABL12345[[#This Row],[S/S_CON.]]+TABL12345[[#This Row],[T/B-CON.]]</calculatedColumnFormula>
    </tableColumn>
    <tableColumn id="13" name="( S/S+T/B) AJD" dataDxfId="173" totalsRowDxfId="172">
      <calculatedColumnFormula>O2+Q2</calculatedColumnFormula>
    </tableColumn>
    <tableColumn id="7" name="(A/B) AJD" dataDxfId="171" totalsRowDxfId="170"/>
    <tableColumn id="9" name="(A/S) AJD" dataDxfId="169" totalsRowDxfId="168"/>
    <tableColumn id="14" name="(A/B + A/S) AJD" dataDxfId="167" totalsRowDxfId="166">
      <calculatedColumnFormula>U2+V2</calculatedColumnFormula>
    </tableColumn>
    <tableColumn id="15" name="(IN-OUT) AJD" dataDxfId="165" totalsRowDxfId="164">
      <calculatedColumnFormula>T2-W2</calculatedColumnFormula>
    </tableColumn>
    <tableColumn id="10" name="(RES. LEVEL) AJD" dataDxfId="163" totalsRowDxfId="162"/>
    <tableColumn id="11" name="(RESV. STORGE) AJD" dataDxfId="161" totalsRowDxfId="160"/>
    <tableColumn id="40" name="AJD_STORG.* 10" dataDxfId="159" totalsRowDxfId="158" dataCellStyle="Normal 2">
      <calculatedColumnFormula>TABL12345[[#This Row],[(RESV. STORGE) AJD]]/10</calculatedColumnFormula>
    </tableColumn>
    <tableColumn id="4" name="(STORGE DIFF.) AJD" dataDxfId="157" totalsRowDxfId="156"/>
    <tableColumn id="12" name="AJD_Evaporation" dataDxfId="155" totalsRowDxfId="154" dataCellStyle="Normal 2"/>
    <tableColumn id="39" name="AJD_LOSES" dataDxfId="153" totalsRowDxfId="152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51" totalsRowDxfId="150"/>
    <tableColumn id="31" name="(RES. LEVEL) BER" dataDxfId="149" totalsRowDxfId="148"/>
    <tableColumn id="28" name=" (RESV. STORGE) BER" dataDxfId="147" totalsRowDxfId="146"/>
    <tableColumn id="29" name="BER_STORG. * 10" dataDxfId="145" totalsRowDxfId="144">
      <calculatedColumnFormula>TABL12345[[#This Row],[ (RESV. STORGE) BER]]/10</calculatedColumnFormula>
    </tableColumn>
    <tableColumn id="34" name="BER_Evap." dataDxfId="143" totalsRowDxfId="142"/>
    <tableColumn id="32" name="A/B_CON." dataDxfId="141" totalsRowDxfId="140">
      <calculatedColumnFormula>TABL12345[[#This Row],[(A/B) AJD]]-TABL12345[[#This Row],[BER_IN]]</calculatedColumnFormula>
    </tableColumn>
    <tableColumn id="33" name="SER_IN" dataDxfId="139" totalsRowDxfId="138"/>
    <tableColumn id="27" name="(RES. LEVEL) SER " dataDxfId="137" totalsRowDxfId="136"/>
    <tableColumn id="2" name=" (RESV. STORGE) SER" dataDxfId="135" totalsRowDxfId="134" dataCellStyle="Normal 2"/>
    <tableColumn id="23" name="SER_STORG.* 10" dataDxfId="133" totalsRowDxfId="132" dataCellStyle="Normal 2">
      <calculatedColumnFormula>TABL12345[[#This Row],[ (RESV. STORGE) SER]]/10</calculatedColumnFormula>
    </tableColumn>
    <tableColumn id="41" name="SER_Evap." dataDxfId="131"/>
    <tableColumn id="42" name="A/S_CON." dataDxfId="130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129" headerRowBorderDxfId="128" tableBorderDxfId="127">
  <autoFilter ref="A1:AP366"/>
  <tableColumns count="42">
    <tableColumn id="1" name=" اليوم" dataDxfId="126" dataCellStyle="Normal 2"/>
    <tableColumn id="2" name="آبار منتجة TAZ" dataDxfId="125"/>
    <tableColumn id="3" name="الانتاج 1000 (م3) TAZ" dataDxfId="124"/>
    <tableColumn id="4" name="آبار عاملة TAZ" dataDxfId="123"/>
    <tableColumn id="5" name="آبار احتياطية" dataDxfId="122"/>
    <tableColumn id="6" name="آبار منتجة SAR" dataDxfId="121"/>
    <tableColumn id="7" name="إنتاج آبار  SAR" dataDxfId="120"/>
    <tableColumn id="8" name="آبار احتياطية  SAR" dataDxfId="119"/>
    <tableColumn id="9" name=" (T/B) SAR" dataDxfId="118"/>
    <tableColumn id="10" name=" (S/S) SAR" dataDxfId="117"/>
    <tableColumn id="11" name="(S/S+TB)SAR" dataDxfId="116" dataCellStyle="Normal 2">
      <calculatedColumnFormula>Table5[[#This Row],[ (T/B) SAR]]+Table5[[#This Row],[ (S/S) SAR]]</calculatedColumnFormula>
    </tableColumn>
    <tableColumn id="12" name="TAZ/SAR" dataDxfId="115"/>
    <tableColumn id="13" name=" % ECV SAR" dataDxfId="114"/>
    <tableColumn id="14" name="ECV (bar) SAR" dataDxfId="113"/>
    <tableColumn id="15" name="(S/S) AJD" dataDxfId="112"/>
    <tableColumn id="16" name="S/S_CON." dataDxfId="111">
      <calculatedColumnFormula>Table5[[#This Row],[ (S/S) SAR]]-Table5[[#This Row],[(S/S) AJD]]</calculatedColumnFormula>
    </tableColumn>
    <tableColumn id="17" name="(T/B) AJD" dataDxfId="110"/>
    <tableColumn id="18" name="T/B-CON." dataDxfId="109">
      <calculatedColumnFormula>Table5[[#This Row],[ (T/B) SAR]]-Table5[[#This Row],[(T/B) AJD]]</calculatedColumnFormula>
    </tableColumn>
    <tableColumn id="19" name="(S/S-T/B)-CON." dataDxfId="108">
      <calculatedColumnFormula>Table5[[#This Row],[S/S_CON.]]+Table5[[#This Row],[T/B-CON.]]</calculatedColumnFormula>
    </tableColumn>
    <tableColumn id="20" name="( S/S+T/B) AJD" dataDxfId="107">
      <calculatedColumnFormula>O2+Q2</calculatedColumnFormula>
    </tableColumn>
    <tableColumn id="21" name="(A/B) AJD" dataDxfId="106"/>
    <tableColumn id="22" name="(A/S) AJD" dataDxfId="105"/>
    <tableColumn id="23" name="(A/B + A/S) AJD" dataDxfId="104">
      <calculatedColumnFormula>U2+V2</calculatedColumnFormula>
    </tableColumn>
    <tableColumn id="24" name="(IN-OUT) AJD" dataDxfId="103">
      <calculatedColumnFormula>T2-W2</calculatedColumnFormula>
    </tableColumn>
    <tableColumn id="25" name="(RES. LEVEL) AJD" dataDxfId="102"/>
    <tableColumn id="26" name="(RESV. STORGE) AJD" dataDxfId="101"/>
    <tableColumn id="27" name="AJD_STORG.* 10" dataDxfId="100" dataCellStyle="Normal 2">
      <calculatedColumnFormula>Table5[[#This Row],[(RESV. STORGE) AJD]]/10</calculatedColumnFormula>
    </tableColumn>
    <tableColumn id="28" name="(STORGE DIFF.) AJD" dataDxfId="99" dataCellStyle="Normal 2">
      <calculatedColumnFormula>IF(TRIM(Z2)="",,(Z2-Z1)/1000)</calculatedColumnFormula>
    </tableColumn>
    <tableColumn id="29" name="AJD_Evaporation" dataDxfId="98"/>
    <tableColumn id="30" name="AJD_LOSES" dataDxfId="97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96"/>
    <tableColumn id="32" name="(RES. LEVEL) BER" dataDxfId="95"/>
    <tableColumn id="33" name=" (RESV. STORGE) BER" dataDxfId="94"/>
    <tableColumn id="34" name="BER_STORG. * 10" dataDxfId="93">
      <calculatedColumnFormula>Table5[[#This Row],[ (RESV. STORGE) BER]]/10</calculatedColumnFormula>
    </tableColumn>
    <tableColumn id="35" name="BER_Evap." dataDxfId="92"/>
    <tableColumn id="36" name="A/B_CON." dataDxfId="91">
      <calculatedColumnFormula>Table5[[#This Row],[(A/B) AJD]]-Table5[[#This Row],[BER_IN]]</calculatedColumnFormula>
    </tableColumn>
    <tableColumn id="37" name="SER_IN" dataDxfId="90"/>
    <tableColumn id="38" name="(RES. LEVEL) SER " dataDxfId="89"/>
    <tableColumn id="39" name=" (RESV. STORGE) SER" dataDxfId="88" dataCellStyle="Normal 2"/>
    <tableColumn id="40" name="SER_STORG.* 10" dataDxfId="87" dataCellStyle="Normal 2">
      <calculatedColumnFormula>Table5[[#This Row],[ (RESV. STORGE) SER]]/10</calculatedColumnFormula>
    </tableColumn>
    <tableColumn id="41" name="SER_Evap." dataDxfId="86"/>
    <tableColumn id="42" name="A/S_CON." dataDxfId="85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Table6[[#This Row],[ (T/B) SAR]]+Table6[[#This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Table6[[#This Row],[ (S/S) SAR]]-Table6[[#This Row],[(S/S) AJD]]</calculatedColumnFormula>
    </tableColumn>
    <tableColumn id="17" name="(T/B) AJD" dataDxfId="65"/>
    <tableColumn id="18" name="T/B-CON." dataDxfId="64">
      <calculatedColumnFormula>Table6[[#This Row],[ (T/B) SAR]]-Table6[[#This Row],[(T/B) AJD]]</calculatedColumnFormula>
    </tableColumn>
    <tableColumn id="19" name="(S/S-T/B)-CON." dataDxfId="63">
      <calculatedColumnFormula>Table6[[#This Row],[S/S_CON.]]+Table6[[#This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Table6[[#This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Table6[[#This Row],[ (RESV. STORGE) BER]]/10</calculatedColumnFormula>
    </tableColumn>
    <tableColumn id="35" name="BER_Evap." dataDxfId="47"/>
    <tableColumn id="36" name="A/B_CON." dataDxfId="46">
      <calculatedColumnFormula>Table6[[#This Row],[(A/B) AJD]]-TABL12345[[#This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Table6[[#This Row],[ (RESV. STORGE) SER]]/10</calculatedColumnFormula>
    </tableColumn>
    <tableColumn id="41" name="SER_Evap." dataDxfId="41"/>
    <tableColumn id="42" name="A/S_CON." dataDxfId="40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O1" zoomScaleNormal="100" workbookViewId="0">
      <selection activeCell="AK263" sqref="AK263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109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109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109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109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109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109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109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109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109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109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109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109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109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109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109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109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109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109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109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109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109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109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109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109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109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109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109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109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109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109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109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109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109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109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109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109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109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109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109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109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109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109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109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109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109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109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109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109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109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109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109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109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109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109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109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109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109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109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109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109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109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109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109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109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109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109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109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109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109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109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109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109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109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109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109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109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109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109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109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109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109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109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109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109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109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109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109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109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109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109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109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109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109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109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109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109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109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109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109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109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109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109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109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109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109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109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109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109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109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109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109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109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109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109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109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109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109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109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109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109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109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109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109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109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109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109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109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109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109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109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109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109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109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109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109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109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109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109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109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109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109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109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109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109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109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109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109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109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109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109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109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109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109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109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109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109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109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109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109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109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109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109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109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109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109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109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109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109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109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109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109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109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109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109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109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109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109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109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109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109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109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109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109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109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109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109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109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109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109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109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109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109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109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109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109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109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109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109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109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109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109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109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109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109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109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109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109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109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109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109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109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109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109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109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109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109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109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109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109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109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109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109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109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109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109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109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109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109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109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109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109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109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109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109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109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109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109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109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109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109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109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109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109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109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109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109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109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109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109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109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109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109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109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109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109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109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109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109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109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109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109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109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109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109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109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109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109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109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109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109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109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109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109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109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109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109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109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109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109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109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109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109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109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109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109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109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>
        <v>28</v>
      </c>
      <c r="AL288" s="109" t="n">
        <v>42.3233</v>
      </c>
      <c r="AM288" s="87" t="n">
        <v>2743630</v>
      </c>
      <c r="AN288" s="87">
        <f>TABL123[[#This Row],[ (RESV. STORGE) SER]]/10</f>
        <v/>
      </c>
      <c r="AO288" s="6" t="n">
        <v>1960</v>
      </c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>
        <v>34</v>
      </c>
      <c r="C289" s="28" t="n">
        <v>279</v>
      </c>
      <c r="D289" s="35" t="n">
        <v>35</v>
      </c>
      <c r="E289" s="28" t="n">
        <v>0</v>
      </c>
      <c r="F289" s="28" t="n">
        <v>93</v>
      </c>
      <c r="G289" s="28" t="n">
        <v>617</v>
      </c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>
        <v>315</v>
      </c>
      <c r="M289" s="29" t="n">
        <v>24.1</v>
      </c>
      <c r="N289" s="30" t="n">
        <v>6.87</v>
      </c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>
        <v>28</v>
      </c>
      <c r="AL289" s="109" t="n">
        <v>42.3229</v>
      </c>
      <c r="AM289" s="87" t="n">
        <v>2743610</v>
      </c>
      <c r="AN289" s="87">
        <f>TABL123[[#This Row],[ (RESV. STORGE) SER]]/10</f>
        <v/>
      </c>
      <c r="AO289" s="6" t="n">
        <v>1970</v>
      </c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>
        <v>93</v>
      </c>
      <c r="G290" s="28" t="n">
        <v>617</v>
      </c>
      <c r="H290" s="28" t="n"/>
      <c r="I290" s="28" t="n"/>
      <c r="J290" s="28" t="n"/>
      <c r="K290" s="28">
        <f>TABL123[[#This Row],[ (T/B) SAR]]+TABL123[[#This Row],[ (S/S) SAR]]</f>
        <v/>
      </c>
      <c r="L290" s="28" t="n">
        <v>310</v>
      </c>
      <c r="M290" s="29" t="n">
        <v>23.6</v>
      </c>
      <c r="N290" s="30" t="n">
        <v>6.91</v>
      </c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>
        <v>28</v>
      </c>
      <c r="AL290" s="109" t="n">
        <v>42.3156</v>
      </c>
      <c r="AM290" s="87" t="n">
        <v>2739880</v>
      </c>
      <c r="AN290" s="87">
        <f>TABL123[[#This Row],[ (RESV. STORGE) SER]]/10</f>
        <v/>
      </c>
      <c r="AO290" s="6" t="n">
        <v>1830</v>
      </c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>
        <v>32</v>
      </c>
      <c r="C291" s="28" t="n">
        <v>251</v>
      </c>
      <c r="D291" s="28" t="n">
        <v>35</v>
      </c>
      <c r="E291" s="28" t="n">
        <v>0</v>
      </c>
      <c r="F291" s="28" t="n">
        <v>93</v>
      </c>
      <c r="G291" s="28" t="n">
        <v>617</v>
      </c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>
        <v>310</v>
      </c>
      <c r="M291" s="29" t="n">
        <v>23.6</v>
      </c>
      <c r="N291" s="30" t="n">
        <v>6.81</v>
      </c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>
        <v>28</v>
      </c>
      <c r="AL291" s="109" t="n">
        <v>42.3233</v>
      </c>
      <c r="AM291" s="87" t="n">
        <v>2743630</v>
      </c>
      <c r="AN291" s="87">
        <f>TABL123[[#This Row],[ (RESV. STORGE) SER]]/10</f>
        <v/>
      </c>
      <c r="AO291" s="6" t="n">
        <v>1850</v>
      </c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>
        <v>35</v>
      </c>
      <c r="C292" s="28" t="n">
        <v>273</v>
      </c>
      <c r="D292" s="28" t="n">
        <v>35</v>
      </c>
      <c r="E292" s="28" t="n">
        <v>0</v>
      </c>
      <c r="F292" s="28" t="n">
        <v>93</v>
      </c>
      <c r="G292" s="28" t="n">
        <v>617</v>
      </c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>
        <v>297</v>
      </c>
      <c r="M292" s="29" t="n">
        <v>22.7</v>
      </c>
      <c r="N292" s="30" t="n">
        <v>6.73</v>
      </c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>
        <v>60</v>
      </c>
      <c r="AF292" s="68" t="n">
        <v>58.545</v>
      </c>
      <c r="AG292" s="68" t="n">
        <v>1324151</v>
      </c>
      <c r="AH292" s="6" t="n"/>
      <c r="AI292" s="78" t="n">
        <v>2443</v>
      </c>
      <c r="AJ292" s="78">
        <f>TABL123[[#This Row],[(A/B) AJD]]-TABL123[[#This Row],[BER_IN]]</f>
        <v/>
      </c>
      <c r="AK292" s="78" t="n">
        <v>29</v>
      </c>
      <c r="AL292" s="109" t="n">
        <v>42.3392</v>
      </c>
      <c r="AM292" s="87" t="n">
        <v>2752210</v>
      </c>
      <c r="AN292" s="87">
        <f>TABL123[[#This Row],[ (RESV. STORGE) SER]]/10</f>
        <v/>
      </c>
      <c r="AO292" s="6" t="n">
        <v>1820</v>
      </c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>
        <v>35</v>
      </c>
      <c r="C293" s="28" t="n">
        <v>285</v>
      </c>
      <c r="D293" s="28" t="n">
        <v>35</v>
      </c>
      <c r="E293" s="28" t="n">
        <v>0</v>
      </c>
      <c r="F293" s="28" t="n">
        <v>93</v>
      </c>
      <c r="G293" s="28" t="n">
        <v>617</v>
      </c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>
        <v>277</v>
      </c>
      <c r="M293" s="29" t="n">
        <v>20.8</v>
      </c>
      <c r="N293" s="30" t="n">
        <v>7.02</v>
      </c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>
        <v>60</v>
      </c>
      <c r="AF293" s="68" t="n">
        <v>58.572</v>
      </c>
      <c r="AG293" s="68" t="n">
        <v>1341873</v>
      </c>
      <c r="AH293" s="6" t="n"/>
      <c r="AI293" s="78" t="n">
        <v>2437</v>
      </c>
      <c r="AJ293" s="78">
        <f>TABL123[[#This Row],[(A/B) AJD]]-TABL123[[#This Row],[BER_IN]]</f>
        <v/>
      </c>
      <c r="AK293" s="78" t="n">
        <v>28</v>
      </c>
      <c r="AL293" s="109" t="n">
        <v>42.3353</v>
      </c>
      <c r="AM293" s="87" t="n">
        <v>2750060</v>
      </c>
      <c r="AN293" s="87">
        <f>TABL123[[#This Row],[ (RESV. STORGE) SER]]/10</f>
        <v/>
      </c>
      <c r="AO293" s="6" t="n">
        <v>1850</v>
      </c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>
        <v>35</v>
      </c>
      <c r="C294" s="28" t="n">
        <v>276</v>
      </c>
      <c r="D294" s="28" t="n">
        <v>35</v>
      </c>
      <c r="E294" s="28" t="n">
        <v>0</v>
      </c>
      <c r="F294" s="28" t="n">
        <v>93</v>
      </c>
      <c r="G294" s="28" t="n">
        <v>617</v>
      </c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>
        <v>280</v>
      </c>
      <c r="M294" s="29" t="n">
        <v>20.8</v>
      </c>
      <c r="N294" s="30" t="n">
        <v>7.24</v>
      </c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>
        <v>60</v>
      </c>
      <c r="AF294" s="68" t="n">
        <v>58.599</v>
      </c>
      <c r="AG294" s="68" t="n">
        <v>1359602</v>
      </c>
      <c r="AH294" s="6" t="n"/>
      <c r="AI294" s="78" t="n">
        <v>2431</v>
      </c>
      <c r="AJ294" s="78">
        <f>TABL123[[#This Row],[(A/B) AJD]]-TABL123[[#This Row],[BER_IN]]</f>
        <v/>
      </c>
      <c r="AK294" s="78" t="n">
        <v>28</v>
      </c>
      <c r="AL294" s="109" t="n">
        <v>42.3692</v>
      </c>
      <c r="AM294" s="87" t="n">
        <v>2768280</v>
      </c>
      <c r="AN294" s="87">
        <f>TABL123[[#This Row],[ (RESV. STORGE) SER]]/10</f>
        <v/>
      </c>
      <c r="AO294" s="6" t="n">
        <v>1880</v>
      </c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>
        <v>32</v>
      </c>
      <c r="C295" s="28" t="n">
        <v>260</v>
      </c>
      <c r="D295" s="28" t="n">
        <v>35</v>
      </c>
      <c r="E295" s="28" t="n">
        <v>0</v>
      </c>
      <c r="F295" s="28" t="n">
        <v>93</v>
      </c>
      <c r="G295" s="28" t="n">
        <v>617</v>
      </c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>
        <v>282</v>
      </c>
      <c r="M295" s="29" t="n">
        <v>20.8</v>
      </c>
      <c r="N295" s="30" t="n">
        <v>7.31</v>
      </c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>
        <v>60</v>
      </c>
      <c r="AF295" s="68" t="n">
        <v>58.643</v>
      </c>
      <c r="AG295" s="68" t="n">
        <v>1388507</v>
      </c>
      <c r="AH295" s="6" t="n"/>
      <c r="AI295" s="78" t="n">
        <v>2323</v>
      </c>
      <c r="AJ295" s="78">
        <f>TABL123[[#This Row],[(A/B) AJD]]-TABL123[[#This Row],[BER_IN]]</f>
        <v/>
      </c>
      <c r="AK295" s="78" t="n">
        <v>28</v>
      </c>
      <c r="AL295" s="109" t="n">
        <v>42.4071</v>
      </c>
      <c r="AM295" s="87" t="n">
        <v>2788670</v>
      </c>
      <c r="AN295" s="87">
        <f>TABL123[[#This Row],[ (RESV. STORGE) SER]]/10</f>
        <v/>
      </c>
      <c r="AO295" s="6" t="n">
        <v>1810</v>
      </c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>
        <v>35</v>
      </c>
      <c r="C296" s="28" t="n">
        <v>253</v>
      </c>
      <c r="D296" s="28" t="n">
        <v>35</v>
      </c>
      <c r="E296" s="28" t="n">
        <v>0</v>
      </c>
      <c r="F296" s="28" t="n">
        <v>93</v>
      </c>
      <c r="G296" s="28" t="n">
        <v>617</v>
      </c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>
        <v>282</v>
      </c>
      <c r="M296" s="29" t="n">
        <v>20.8</v>
      </c>
      <c r="N296" s="30" t="n">
        <v>7.32</v>
      </c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>
        <v>60</v>
      </c>
      <c r="AF296" s="68" t="n">
        <v>58.67</v>
      </c>
      <c r="AG296" s="68" t="n">
        <v>1406253</v>
      </c>
      <c r="AH296" s="6" t="n"/>
      <c r="AI296" s="78" t="n">
        <v>2414</v>
      </c>
      <c r="AJ296" s="78">
        <f>TABL123[[#This Row],[(A/B) AJD]]-TABL123[[#This Row],[BER_IN]]</f>
        <v/>
      </c>
      <c r="AK296" s="78" t="n">
        <v>28</v>
      </c>
      <c r="AL296" s="109" t="n">
        <v>42.4307</v>
      </c>
      <c r="AM296" s="87" t="n">
        <v>2801550</v>
      </c>
      <c r="AN296" s="87">
        <f>TABL123[[#This Row],[ (RESV. STORGE) SER]]/10</f>
        <v/>
      </c>
      <c r="AO296" s="6" t="n">
        <v>1820</v>
      </c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>
        <v>35</v>
      </c>
      <c r="C297" s="28" t="n">
        <v>278</v>
      </c>
      <c r="D297" s="28" t="n">
        <v>35</v>
      </c>
      <c r="E297" s="28" t="n">
        <v>0</v>
      </c>
      <c r="F297" s="28" t="n">
        <v>93</v>
      </c>
      <c r="G297" s="28" t="n">
        <v>617</v>
      </c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>
        <v>337</v>
      </c>
      <c r="M297" s="29" t="n">
        <v>24.7</v>
      </c>
      <c r="N297" s="30" t="n">
        <v>7.17</v>
      </c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>
        <v>60</v>
      </c>
      <c r="AF297" s="68" t="n">
        <v>58.697</v>
      </c>
      <c r="AG297" s="68" t="n">
        <v>1424004</v>
      </c>
      <c r="AH297" s="6" t="n"/>
      <c r="AI297" s="78" t="n">
        <v>2408</v>
      </c>
      <c r="AJ297" s="78">
        <f>TABL123[[#This Row],[(A/B) AJD]]-TABL123[[#This Row],[BER_IN]]</f>
        <v/>
      </c>
      <c r="AK297" s="78" t="n">
        <v>28</v>
      </c>
      <c r="AL297" s="109" t="n">
        <v>42.4307</v>
      </c>
      <c r="AM297" s="87" t="n">
        <v>2801550</v>
      </c>
      <c r="AN297" s="87">
        <f>TABL123[[#This Row],[ (RESV. STORGE) SER]]/10</f>
        <v/>
      </c>
      <c r="AO297" s="6" t="n">
        <v>1800</v>
      </c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>
        <v>35</v>
      </c>
      <c r="C298" s="28" t="n">
        <v>264</v>
      </c>
      <c r="D298" s="28" t="n">
        <v>35</v>
      </c>
      <c r="E298" s="28" t="n">
        <v>0</v>
      </c>
      <c r="F298" s="28" t="n">
        <v>93</v>
      </c>
      <c r="G298" s="28" t="n">
        <v>617</v>
      </c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>
        <v>356</v>
      </c>
      <c r="M298" s="29" t="n">
        <v>25.4</v>
      </c>
      <c r="N298" s="30" t="n">
        <v>6.89</v>
      </c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>
        <v>60</v>
      </c>
      <c r="AF298" s="68" t="n">
        <v>58.726</v>
      </c>
      <c r="AG298" s="68" t="n">
        <v>1443078</v>
      </c>
      <c r="AH298" s="6" t="n"/>
      <c r="AI298" s="78" t="n">
        <v>1916</v>
      </c>
      <c r="AJ298" s="78">
        <f>TABL123[[#This Row],[(A/B) AJD]]-TABL123[[#This Row],[BER_IN]]</f>
        <v/>
      </c>
      <c r="AK298" s="78" t="n">
        <v>29</v>
      </c>
      <c r="AL298" s="109" t="n">
        <v>42.4455</v>
      </c>
      <c r="AM298" s="87" t="n">
        <v>2809600</v>
      </c>
      <c r="AN298" s="87">
        <f>TABL123[[#This Row],[ (RESV. STORGE) SER]]/10</f>
        <v/>
      </c>
      <c r="AO298" s="6" t="n">
        <v>1850</v>
      </c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>
        <v>34</v>
      </c>
      <c r="C299" s="28" t="n">
        <v>259</v>
      </c>
      <c r="D299" s="28" t="n">
        <v>35</v>
      </c>
      <c r="E299" s="28" t="n">
        <v>0</v>
      </c>
      <c r="F299" s="28" t="n">
        <v>93</v>
      </c>
      <c r="G299" s="28" t="n">
        <v>617</v>
      </c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>
        <v>347</v>
      </c>
      <c r="M299" s="29" t="n">
        <v>25.4</v>
      </c>
      <c r="N299" s="30" t="n">
        <v>6.5</v>
      </c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>
        <v>60</v>
      </c>
      <c r="AF299" s="68" t="n">
        <v>58.768</v>
      </c>
      <c r="AG299" s="68" t="n">
        <v>1470715</v>
      </c>
      <c r="AH299" s="6" t="n"/>
      <c r="AI299" s="78" t="n">
        <v>1963</v>
      </c>
      <c r="AJ299" s="78">
        <f>TABL123[[#This Row],[(A/B) AJD]]-TABL123[[#This Row],[BER_IN]]</f>
        <v/>
      </c>
      <c r="AK299" s="78" t="n">
        <v>28</v>
      </c>
      <c r="AL299" s="109" t="n">
        <v>42.4583</v>
      </c>
      <c r="AM299" s="87" t="n">
        <v>2815510</v>
      </c>
      <c r="AN299" s="87">
        <f>TABL123[[#This Row],[ (RESV. STORGE) SER]]/10</f>
        <v/>
      </c>
      <c r="AO299" s="6" t="n">
        <v>1890</v>
      </c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>
        <v>35</v>
      </c>
      <c r="C300" s="28" t="n">
        <v>296</v>
      </c>
      <c r="D300" s="28" t="n">
        <v>35</v>
      </c>
      <c r="E300" s="28" t="n">
        <v>0</v>
      </c>
      <c r="F300" s="28" t="n">
        <v>93</v>
      </c>
      <c r="G300" s="28" t="n">
        <v>617</v>
      </c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>
        <v>310</v>
      </c>
      <c r="M300" s="29" t="n">
        <v>24.1</v>
      </c>
      <c r="N300" s="30" t="n">
        <v>6.41</v>
      </c>
      <c r="O300" s="14" t="n">
        <v>409</v>
      </c>
      <c r="P300" s="9">
        <f>TABL123[[#This Row],[ (S/S) SAR]]-TABL123[[#This Row],[(S/S) AJD]]</f>
        <v/>
      </c>
      <c r="Q300" s="14" t="n">
        <v>442</v>
      </c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>
        <v>516</v>
      </c>
      <c r="V300" s="14" t="n">
        <v>252</v>
      </c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>
        <v>92.574</v>
      </c>
      <c r="Z300" s="9" t="n">
        <v>540725</v>
      </c>
      <c r="AA300" s="3">
        <f>TABL123[[#This Row],[(RESV. STORGE) AJD]]/10</f>
        <v/>
      </c>
      <c r="AB300" s="45">
        <f>IF(TRIM(Z300)="",,(Z300-Z299)/1000)</f>
        <v/>
      </c>
      <c r="AC300" s="5" t="n">
        <v>1080</v>
      </c>
      <c r="AD300" s="83">
        <f>TABL123[[#This Row],[( S/S+T/B) AJD]]-(TABL123[[#This Row],[(A/B + A/S) AJD]]+TABL123[[#This Row],[(STORGE DIFF.) AJD]]+(TABL123[[#This Row],[AJD_Evaporation]])/1000)</f>
        <v/>
      </c>
      <c r="AE300" s="68" t="n">
        <v>60</v>
      </c>
      <c r="AF300" s="68" t="n">
        <v>58.818</v>
      </c>
      <c r="AG300" s="68" t="n">
        <v>1503635</v>
      </c>
      <c r="AH300" s="6" t="n"/>
      <c r="AI300" s="78" t="n">
        <v>2279</v>
      </c>
      <c r="AJ300" s="78" t="n"/>
      <c r="AK300" s="78" t="n">
        <v>28</v>
      </c>
      <c r="AL300" s="109" t="n">
        <v>42.493</v>
      </c>
      <c r="AM300" s="87" t="n">
        <v>2835300</v>
      </c>
      <c r="AN300" s="87">
        <f>TABL123[[#This Row],[ (RESV. STORGE) SER]]/10</f>
        <v/>
      </c>
      <c r="AO300" s="6" t="n">
        <v>1810</v>
      </c>
      <c r="AP300" s="32" t="n"/>
    </row>
    <row r="301" ht="18.75" customHeight="1">
      <c r="A301" s="2" t="n">
        <v>46322</v>
      </c>
      <c r="B301" s="28" t="n">
        <v>35</v>
      </c>
      <c r="C301" s="28" t="n">
        <v>267</v>
      </c>
      <c r="D301" s="28" t="n">
        <v>35</v>
      </c>
      <c r="E301" s="28" t="n">
        <v>0</v>
      </c>
      <c r="F301" s="28" t="n">
        <v>93</v>
      </c>
      <c r="G301" s="28" t="n">
        <v>617</v>
      </c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>
        <v>301</v>
      </c>
      <c r="M301" s="29" t="n">
        <v>23.5</v>
      </c>
      <c r="N301" s="30" t="n">
        <v>6.45</v>
      </c>
      <c r="O301" s="14" t="n">
        <v>399</v>
      </c>
      <c r="P301" s="9">
        <f>TABL123[[#This Row],[ (S/S) SAR]]-TABL123[[#This Row],[(S/S) AJD]]</f>
        <v/>
      </c>
      <c r="Q301" s="14" t="n">
        <v>429</v>
      </c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>
        <v>515</v>
      </c>
      <c r="V301" s="14" t="n">
        <v>229</v>
      </c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>
        <v>92.684</v>
      </c>
      <c r="Z301" s="9" t="n">
        <v>606367</v>
      </c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109" t="n"/>
      <c r="AM301" s="87" t="n"/>
      <c r="AN301" s="87">
        <f>TABL123[[#This Row],[ (RESV. STORGE) SER]]/10</f>
        <v/>
      </c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109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109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109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109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109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109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109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109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109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109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109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109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109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109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109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109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109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109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109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109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109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109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109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109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109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109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109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109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109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109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109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109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109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109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109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109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109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109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109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109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109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109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109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109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109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109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109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109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109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109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109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109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109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109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109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109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109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109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109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109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109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109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109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109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109" t="n"/>
      <c r="AM366" s="89" t="n"/>
      <c r="AN366" s="87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2026-10-27T08:25:49Z</dcterms:modified>
  <cp:lastModifiedBy>nasserab965@gmail.com</cp:lastModifiedBy>
</cp:coreProperties>
</file>