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  <xf numFmtId="165" fontId="15" fillId="9" borderId="5" applyAlignment="1" pivotButton="0" quotePrefix="0" xfId="1">
      <alignment horizontal="center" vertical="center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426" headerRowBorderDxfId="425" tableBorderDxfId="424">
  <autoFilter ref="A1:AP366"/>
  <tableColumns count="42">
    <tableColumn id="1" name=" اليوم" dataDxfId="423" totalsRowDxfId="422" dataCellStyle="Normal 2"/>
    <tableColumn id="19" name="آبار منتجة TAZ" dataDxfId="421" totalsRowDxfId="420" dataCellStyle="Normal 2"/>
    <tableColumn id="18" name="الانتاج 1000 (م3) TAZ" dataDxfId="419" totalsRowDxfId="418" dataCellStyle="Normal 2"/>
    <tableColumn id="17" name="آبار عاملة TAZ" dataDxfId="417" totalsRowDxfId="416" dataCellStyle="Normal 2"/>
    <tableColumn id="16" name="آبار احتياطية" dataDxfId="415" totalsRowDxfId="414" dataCellStyle="Normal 2"/>
    <tableColumn id="26" name="آبار منتجة SAR" dataDxfId="413" totalsRowDxfId="412" dataCellStyle="Normal 2"/>
    <tableColumn id="25" name="إنتاج آبار  SAR" dataDxfId="411" totalsRowDxfId="410" dataCellStyle="Normal 2"/>
    <tableColumn id="24" name="آبار احتياطية  SAR" dataDxfId="409" totalsRowDxfId="408" dataCellStyle="Normal 2"/>
    <tableColumn id="8" name=" (T/B) SAR" dataDxfId="407" totalsRowDxfId="406" dataCellStyle="Normal 2"/>
    <tableColumn id="22" name=" (S/S) SAR" dataDxfId="405" totalsRowDxfId="404" dataCellStyle="Normal 2"/>
    <tableColumn id="38" name="(S/S+TB)SAR" dataDxfId="403" totalsRowDxfId="402" dataCellStyle="Normal 2">
      <calculatedColumnFormula>TABL12[[#This Row],[ (T/B) SAR]]+TABL12[[#This Row],[ (S/S) SAR]]</calculatedColumnFormula>
    </tableColumn>
    <tableColumn id="21" name="TAZ/SAR" dataDxfId="401" totalsRowDxfId="400" dataCellStyle="Normal 2"/>
    <tableColumn id="20" name=" % ECV SAR" dataDxfId="399" totalsRowDxfId="398" dataCellStyle="Normal 2"/>
    <tableColumn id="6" name="ECV (bar) SAR" dataDxfId="397" totalsRowDxfId="396" dataCellStyle="Normal 2"/>
    <tableColumn id="3" name="(S/S) AJD" dataDxfId="395" totalsRowDxfId="394"/>
    <tableColumn id="36" name="S/S_CON." dataDxfId="393" totalsRowDxfId="392">
      <calculatedColumnFormula>TABL12[[#This Row],[ (S/S) SAR]]-TABL12[[#This Row],[(S/S) AJD]]</calculatedColumnFormula>
    </tableColumn>
    <tableColumn id="5" name="(T/B) AJD" dataDxfId="391" totalsRowDxfId="390"/>
    <tableColumn id="35" name="T/B-CON." dataDxfId="389" totalsRowDxfId="388">
      <calculatedColumnFormula>TABL12[[#This Row],[ (T/B) SAR]]-TABL12[[#This Row],[(T/B) AJD]]</calculatedColumnFormula>
    </tableColumn>
    <tableColumn id="37" name="(S/S-T/B)-CON." dataDxfId="387" totalsRowDxfId="386">
      <calculatedColumnFormula>TABL12[[#This Row],[S/S_CON.]]+TABL12[[#This Row],[T/B-CON.]]</calculatedColumnFormula>
    </tableColumn>
    <tableColumn id="13" name="( S/S+T/B) AJD" dataDxfId="385" totalsRowDxfId="384">
      <calculatedColumnFormula>O2+Q2</calculatedColumnFormula>
    </tableColumn>
    <tableColumn id="7" name="(A/B) AJD" dataDxfId="383" totalsRowDxfId="382"/>
    <tableColumn id="9" name="(A/S) AJD" dataDxfId="381" totalsRowDxfId="380"/>
    <tableColumn id="14" name="(A/B + A/S) AJD" dataDxfId="379" totalsRowDxfId="378">
      <calculatedColumnFormula>U2+V2</calculatedColumnFormula>
    </tableColumn>
    <tableColumn id="15" name="(IN-OUT) AJD" dataDxfId="377" totalsRowDxfId="376">
      <calculatedColumnFormula>T2-W2</calculatedColumnFormula>
    </tableColumn>
    <tableColumn id="10" name="(RES. LEVEL) AJD" dataDxfId="375" totalsRowDxfId="374"/>
    <tableColumn id="11" name="(RESV. STORGE) AJD" dataDxfId="373" totalsRowDxfId="372"/>
    <tableColumn id="40" name="AJD_STORG.* 10" dataDxfId="371" totalsRowDxfId="370">
      <calculatedColumnFormula>TABL12[[#This Row],[(RESV. STORGE) AJD]]/10</calculatedColumnFormula>
    </tableColumn>
    <tableColumn id="4" name="(STORGE DIFF.) AJD" dataDxfId="369" totalsRowDxfId="368"/>
    <tableColumn id="12" name="AJD_Evaporation" dataDxfId="367" totalsRowDxfId="366" dataCellStyle="Normal 2">
      <calculatedColumnFormula>(Z2-Z1)/1000</calculatedColumnFormula>
    </tableColumn>
    <tableColumn id="39" name="AJD_LOSES" dataDxfId="365" totalsRowDxfId="36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63" totalsRowDxfId="362"/>
    <tableColumn id="31" name="(RES. LEVEL) BER" dataDxfId="361" totalsRowDxfId="360"/>
    <tableColumn id="28" name=" (RESV. STORGE) BER" dataDxfId="359" totalsRowDxfId="358"/>
    <tableColumn id="41" name="BER_STORG. * 10" dataDxfId="357" totalsRowDxfId="356">
      <calculatedColumnFormula>TABL12[[#This Row],[ (RESV. STORGE) BER]]/10</calculatedColumnFormula>
    </tableColumn>
    <tableColumn id="29" name="BER_Evap." dataDxfId="355" totalsRowDxfId="354"/>
    <tableColumn id="34" name="A/B_CON." totalsRowFunction="custom" dataDxfId="353" totalsRowDxfId="352">
      <calculatedColumnFormula>TABL12[[#This Row],[(A/B) AJD]]-TABL12[[#This Row],[BER_IN]]</calculatedColumnFormula>
      <totalsRowFormula>SUBTOTAL(109,TABL12[] TABL12[A/B_CON.] )</totalsRowFormula>
    </tableColumn>
    <tableColumn id="32" name="SER_IN" dataDxfId="351" totalsRowDxfId="350"/>
    <tableColumn id="33" name="(RES. LEVEL) SER " dataDxfId="349" totalsRowDxfId="348"/>
    <tableColumn id="27" name=" (RESV. STORGE) SER" dataDxfId="347" totalsRowDxfId="346"/>
    <tableColumn id="42" name="SER_STORG.* 10" dataDxfId="345" totalsRowDxfId="344">
      <calculatedColumnFormula>TABL12[[#This Row],[ (RESV. STORGE) SER]]/10</calculatedColumnFormula>
    </tableColumn>
    <tableColumn id="2" name="SER_Evap." dataDxfId="343" totalsRowDxfId="342"/>
    <tableColumn id="23" name="A/S_CON." dataDxfId="341" totalsRowDxfId="34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431" headerRowBorderDxfId="430" tableBorderDxfId="429">
  <autoFilter ref="A1:AP366"/>
  <tableColumns count="42">
    <tableColumn id="1" name=" اليوم" dataDxfId="79" totalsRowDxfId="78" dataCellStyle="Normal 2"/>
    <tableColumn id="19" name="آبار منتجة TAZ" dataDxfId="77" totalsRowDxfId="76" dataCellStyle="Normal 2"/>
    <tableColumn id="18" name="الانتاج 1000 (م3) TAZ" dataDxfId="75" totalsRowDxfId="74" dataCellStyle="Normal 2"/>
    <tableColumn id="17" name="آبار عاملة TAZ" dataDxfId="73" totalsRowDxfId="72" dataCellStyle="Normal 2"/>
    <tableColumn id="16" name="آبار احتياطية" dataDxfId="71" totalsRowDxfId="70" dataCellStyle="Normal 2"/>
    <tableColumn id="26" name="آبار منتجة SAR" dataDxfId="69" totalsRowDxfId="68" dataCellStyle="Normal 2"/>
    <tableColumn id="25" name="إنتاج آبار  SAR" dataDxfId="67" totalsRowDxfId="66" dataCellStyle="Normal 2"/>
    <tableColumn id="24" name="آبار احتياطية  SAR" dataDxfId="65" totalsRowDxfId="64" dataCellStyle="Normal 2">
      <calculatedColumnFormula>103-F2</calculatedColumnFormula>
    </tableColumn>
    <tableColumn id="8" name=" (T/B) SAR" dataDxfId="63" totalsRowDxfId="62" dataCellStyle="Normal 2"/>
    <tableColumn id="22" name=" (S/S) SAR" dataDxfId="61" totalsRowDxfId="60" dataCellStyle="Normal 2"/>
    <tableColumn id="38" name="(S/S+TB)SAR" dataDxfId="59" totalsRowDxfId="58" dataCellStyle="Normal 2">
      <calculatedColumnFormula>TABL123[[#This Row],[ (T/B) SAR]]+TABL123[[#This Row],[ (S/S) SAR]]</calculatedColumnFormula>
    </tableColumn>
    <tableColumn id="21" name="TAZ/SAR" dataDxfId="57" totalsRowDxfId="56" dataCellStyle="Normal 2"/>
    <tableColumn id="20" name=" % ECV SAR" dataDxfId="55" totalsRowDxfId="54" dataCellStyle="Normal 2"/>
    <tableColumn id="6" name="ECV (bar) SAR" dataDxfId="53" totalsRowDxfId="52" dataCellStyle="Normal 2"/>
    <tableColumn id="3" name="(S/S) AJD" dataDxfId="51" totalsRowDxfId="50"/>
    <tableColumn id="36" name="S/S_CON." dataDxfId="49" totalsRowDxfId="48">
      <calculatedColumnFormula>TABL123[[#This Row],[ (S/S) SAR]]-TABL123[[#This Row],[(S/S) AJD]]</calculatedColumnFormula>
    </tableColumn>
    <tableColumn id="5" name="(T/B) AJD" dataDxfId="47" totalsRowDxfId="46"/>
    <tableColumn id="35" name="T/B-CON." dataDxfId="45" totalsRowDxfId="44">
      <calculatedColumnFormula>TABL123[[#This Row],[ (T/B) SAR]]-TABL123[[#This Row],[(T/B) AJD]]</calculatedColumnFormula>
    </tableColumn>
    <tableColumn id="37" name="(S/S-T/B)-CON." dataDxfId="43" totalsRowDxfId="42">
      <calculatedColumnFormula>TABL123[[#This Row],[T/B-CON.]]+TABL123[[#This Row],[S/S_CON.]]</calculatedColumnFormula>
    </tableColumn>
    <tableColumn id="13" name="( S/S+T/B) AJD" dataDxfId="41" totalsRowDxfId="40">
      <calculatedColumnFormula>TABL123[[#This Row],[(S/S) AJD]]+TABL123[[#This Row],[(T/B) AJD]]</calculatedColumnFormula>
    </tableColumn>
    <tableColumn id="7" name="(A/B) AJD" dataDxfId="39" totalsRowDxfId="38"/>
    <tableColumn id="9" name="(A/S) AJD" dataDxfId="37" totalsRowDxfId="36"/>
    <tableColumn id="14" name="(A/B + A/S) AJD" dataDxfId="35" totalsRowDxfId="34">
      <calculatedColumnFormula>TABL123[[#This Row],[(A/B) AJD]]+TABL123[[#This Row],[(A/S) AJD]]</calculatedColumnFormula>
    </tableColumn>
    <tableColumn id="15" name="(IN-OUT) AJD" dataDxfId="33" totalsRowDxfId="32">
      <calculatedColumnFormula>TABL123[[#This Row],[( S/S+T/B) AJD]]-TABL123[[#This Row],[(A/B + A/S) AJD]]</calculatedColumnFormula>
    </tableColumn>
    <tableColumn id="10" name="(RES. LEVEL) AJD" dataDxfId="31" totalsRowDxfId="30"/>
    <tableColumn id="11" name="(RESV. STORGE) AJD" dataDxfId="29" totalsRowDxfId="28"/>
    <tableColumn id="40" name="AJD_STORG.* 10" dataDxfId="27" totalsRowDxfId="26" dataCellStyle="Normal 2">
      <calculatedColumnFormula>TABL123[[#This Row],[(RESV. STORGE) AJD]]/10</calculatedColumnFormula>
    </tableColumn>
    <tableColumn id="4" name="(STORGE DIFF.) AJD" dataDxfId="25" totalsRowDxfId="24"/>
    <tableColumn id="12" name="AJD_Evaporation" dataDxfId="23" totalsRowDxfId="22" dataCellStyle="Normal 2"/>
    <tableColumn id="39" name="AJD_LOSES" dataDxfId="21" totalsRowDxfId="2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19" totalsRowDxfId="18"/>
    <tableColumn id="31" name="(RES. LEVEL) BER" dataDxfId="17" totalsRowDxfId="16"/>
    <tableColumn id="28" name=" (RESV. STORGE) BER" dataDxfId="15" totalsRowDxfId="14"/>
    <tableColumn id="29" name="BER_STORG. * 10" dataDxfId="13" totalsRowDxfId="12"/>
    <tableColumn id="34" name="BER_Evap." dataDxfId="11" totalsRowDxfId="10"/>
    <tableColumn id="32" name="A/B_CON." dataDxfId="9" totalsRowDxfId="8">
      <calculatedColumnFormula>TABL123[[#This Row],[(A/B) AJD]]-TABL123[[#This Row],[BER_IN]]</calculatedColumnFormula>
    </tableColumn>
    <tableColumn id="33" name="SER_IN" dataDxfId="7" totalsRowDxfId="6"/>
    <tableColumn id="27" name="(RES. LEVEL) SER " dataDxfId="5" totalsRowDxfId="4"/>
    <tableColumn id="2" name=" (RESV. STORGE) SER" dataDxfId="3" totalsRowDxfId="2" dataCellStyle="Normal 2"/>
    <tableColumn id="23" name="SER_STORG.* 10" dataDxfId="1" totalsRowDxfId="0" dataCellStyle="Normal 2">
      <calculatedColumnFormula>TABL123[[#This Row],[ (RESV. STORGE) SER]]/10</calculatedColumnFormula>
    </tableColumn>
    <tableColumn id="42" name="SER_Evap." dataDxfId="428"/>
    <tableColumn id="43" name="A/S_CON." dataDxfId="42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339" headerRowBorderDxfId="338" tableBorderDxfId="337">
  <autoFilter ref="A1:AP366"/>
  <tableColumns count="42">
    <tableColumn id="1" name=" اليوم" dataDxfId="336" totalsRowDxfId="335" dataCellStyle="Normal 2"/>
    <tableColumn id="19" name="آبار منتجة TAZ" dataDxfId="334" totalsRowDxfId="333" dataCellStyle="Normal 2"/>
    <tableColumn id="18" name="الانتاج 1000 (م3) TAZ" dataDxfId="332" totalsRowDxfId="331" dataCellStyle="Normal 2"/>
    <tableColumn id="17" name="آبار عاملة TAZ" dataDxfId="330" totalsRowDxfId="329" dataCellStyle="Normal 2"/>
    <tableColumn id="16" name="آبار احتياطية" dataDxfId="328" totalsRowDxfId="327" dataCellStyle="Normal 2"/>
    <tableColumn id="26" name="آبار منتجة SAR" dataDxfId="326" totalsRowDxfId="325" dataCellStyle="Normal 2"/>
    <tableColumn id="25" name="إنتاج آبار  SAR" dataDxfId="324" totalsRowDxfId="323" dataCellStyle="Normal 2"/>
    <tableColumn id="24" name="آبار احتياطية  SAR" dataDxfId="322" totalsRowDxfId="321" dataCellStyle="Normal 2">
      <calculatedColumnFormula>103-F2</calculatedColumnFormula>
    </tableColumn>
    <tableColumn id="8" name=" (T/B) SAR" dataDxfId="320" totalsRowDxfId="319" dataCellStyle="Normal 2"/>
    <tableColumn id="22" name=" (S/S) SAR" dataDxfId="318" totalsRowDxfId="317" dataCellStyle="Normal 2"/>
    <tableColumn id="38" name="(S/S+TB)SAR" dataDxfId="316" totalsRowDxfId="315" dataCellStyle="Normal 2">
      <calculatedColumnFormula>TABL1234[[#This Row],[ (T/B) SAR]]+TABL1234[[#This Row],[ (S/S) SAR]]</calculatedColumnFormula>
    </tableColumn>
    <tableColumn id="21" name="TAZ/SAR" dataDxfId="314" totalsRowDxfId="313" dataCellStyle="Normal 2"/>
    <tableColumn id="20" name=" % ECV SAR" dataDxfId="312" totalsRowDxfId="311" dataCellStyle="Normal 2"/>
    <tableColumn id="6" name="ECV (bar) SAR" dataDxfId="310" totalsRowDxfId="309" dataCellStyle="Normal 2"/>
    <tableColumn id="3" name="(S/S) AJD" dataDxfId="308" totalsRowDxfId="307"/>
    <tableColumn id="36" name="S/S_CON." dataDxfId="306" totalsRowDxfId="305">
      <calculatedColumnFormula>TABL1234[[#This Row],[ (S/S) SAR]]-TABL1234[[#This Row],[(S/S) AJD]]</calculatedColumnFormula>
    </tableColumn>
    <tableColumn id="5" name="(T/B) AJD" dataDxfId="304" totalsRowDxfId="303"/>
    <tableColumn id="35" name="T/B-CON." dataDxfId="302" totalsRowDxfId="301">
      <calculatedColumnFormula>TABL1234[[#This Row],[ (T/B) SAR]]-TABL1234[[#This Row],[(T/B) AJD]]</calculatedColumnFormula>
    </tableColumn>
    <tableColumn id="37" name="(S/S-T/B)-CON." dataDxfId="300" totalsRowDxfId="299">
      <calculatedColumnFormula>TABL1234[[#This Row],[T/B-CON.]]+TABL1234[[#This Row],[S/S_CON.]]</calculatedColumnFormula>
    </tableColumn>
    <tableColumn id="13" name="( S/S+T/B) AJD" dataDxfId="298" totalsRowDxfId="297">
      <calculatedColumnFormula>TABL1234[[#This Row],[(S/S) AJD]]+TABL1234[[#This Row],[(T/B) AJD]]</calculatedColumnFormula>
    </tableColumn>
    <tableColumn id="7" name="(A/B) AJD" dataDxfId="296" totalsRowDxfId="295"/>
    <tableColumn id="9" name="(A/S) AJD" dataDxfId="294" totalsRowDxfId="293"/>
    <tableColumn id="14" name="(A/B + A/S) AJD" dataDxfId="292" totalsRowDxfId="291">
      <calculatedColumnFormula>TABL1234[[#This Row],[(A/B) AJD]]+TABL1234[[#This Row],[(A/S) AJD]]</calculatedColumnFormula>
    </tableColumn>
    <tableColumn id="15" name="(IN-OUT) AJD" dataDxfId="290" totalsRowDxfId="289">
      <calculatedColumnFormula>TABL1234[[#This Row],[( S/S+T/B) AJD]]-TABL1234[[#This Row],[(A/B + A/S) AJD]]</calculatedColumnFormula>
    </tableColumn>
    <tableColumn id="10" name="(RES. LEVEL) AJD" dataDxfId="288" totalsRowDxfId="287"/>
    <tableColumn id="11" name="(RESV. STORGE) AJD" dataDxfId="286" totalsRowDxfId="285"/>
    <tableColumn id="40" name="AJD_STORG.* 10" dataDxfId="284" totalsRowDxfId="283" dataCellStyle="Normal 2">
      <calculatedColumnFormula>TABL1234[[#This Row],[(RESV. STORGE) AJD]]/10</calculatedColumnFormula>
    </tableColumn>
    <tableColumn id="4" name="(STORGE DIFF.) AJD" dataDxfId="282" totalsRowDxfId="281">
      <calculatedColumnFormula>(TABL123[[#This Row],[(RESV. STORGE) AJD]]-500797)/1000</calculatedColumnFormula>
    </tableColumn>
    <tableColumn id="12" name="AJD_Evaporation" dataDxfId="280" totalsRowDxfId="279" dataCellStyle="Normal 2"/>
    <tableColumn id="39" name="AJD_LOSES" dataDxfId="278" totalsRowDxfId="277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276" totalsRowDxfId="275"/>
    <tableColumn id="31" name="(RES. LEVEL) BER" dataDxfId="274" totalsRowDxfId="273"/>
    <tableColumn id="28" name=" (RESV. STORGE) BER" dataDxfId="272" totalsRowDxfId="271"/>
    <tableColumn id="29" name="BER_STORG. * 10" dataDxfId="270" totalsRowDxfId="269"/>
    <tableColumn id="34" name="BER_Evap." dataDxfId="268" totalsRowDxfId="267"/>
    <tableColumn id="32" name="A/B_CON." dataDxfId="266" totalsRowDxfId="265">
      <calculatedColumnFormula>TABL1234[[#This Row],[(A/B) AJD]]-TABL1234[[#This Row],[BER_IN]]</calculatedColumnFormula>
    </tableColumn>
    <tableColumn id="33" name="SER_IN" dataDxfId="264" totalsRowDxfId="263"/>
    <tableColumn id="27" name="(RES. LEVEL) SER " dataDxfId="262" totalsRowDxfId="261"/>
    <tableColumn id="2" name=" (RESV. STORGE) SER" dataDxfId="260" totalsRowDxfId="259" dataCellStyle="Normal 2"/>
    <tableColumn id="23" name="SER_STORG.* 10" dataDxfId="258" totalsRowDxfId="257" dataCellStyle="Normal 2">
      <calculatedColumnFormula>TABL1234[[#This Row],[ (RESV. STORGE) SER]]/10</calculatedColumnFormula>
    </tableColumn>
    <tableColumn id="41" name="SER_Evap." dataDxfId="256"/>
    <tableColumn id="42" name="A/S_CON." dataDxfId="255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254" headerRowBorderDxfId="253" tableBorderDxfId="252">
  <autoFilter ref="A1:AP367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/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TABL12345[[#This Row],[ (T/B) SAR]]+TABL12345[[#This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TABL12345[[#This Row],[ (S/S) SAR]]-TABL12345[[#This Row],[(S/S) AJD]]</calculatedColumnFormula>
    </tableColumn>
    <tableColumn id="5" name="(T/B) AJD" dataDxfId="219" totalsRowDxfId="218"/>
    <tableColumn id="35" name="T/B-CON." dataDxfId="217" totalsRowDxfId="216">
      <calculatedColumnFormula>TABL12345[[#This Row],[ (T/B) SAR]]-TABL12345[[#This Row],[(T/B) AJD]]</calculatedColumnFormula>
    </tableColumn>
    <tableColumn id="37" name="(S/S-T/B)-CON." dataDxfId="215" totalsRowDxfId="214">
      <calculatedColumnFormula>TABL12345[[#This Row],[S/S_CON.]]+TABL12345[[#This Row],[T/B-CON.]]</calculatedColumnFormula>
    </tableColumn>
    <tableColumn id="13" name="( S/S+T/B) AJD" dataDxfId="213" totalsRowDxfId="212">
      <calculatedColumnFormula>O2+Q2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U2+V2</calculatedColumnFormula>
    </tableColumn>
    <tableColumn id="15" name="(IN-OUT) AJD" dataDxfId="205" totalsRowDxfId="204">
      <calculatedColumnFormula>T2-W2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TABL12345[[#This Row],[(RESV. STORGE) AJD]]/10</calculatedColumnFormula>
    </tableColumn>
    <tableColumn id="4" name="(STORGE DIFF.) AJD" dataDxfId="197" totalsRowDxfId="196"/>
    <tableColumn id="12" name="AJD_Evaporation" dataDxfId="195" totalsRowDxfId="194" dataCellStyle="Normal 2"/>
    <tableColumn id="39" name="AJD_LOSES" dataDxfId="193" totalsRowDxfId="19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>
      <calculatedColumnFormula>TABL12345[[#This Row],[ (RESV. STORGE) BER]]/10</calculatedColumnFormula>
    </tableColumn>
    <tableColumn id="34" name="BER_Evap." dataDxfId="183" totalsRowDxfId="182"/>
    <tableColumn id="32" name="A/B_CON." dataDxfId="181" totalsRowDxfId="180">
      <calculatedColumnFormula>TABL12345[[#This Row],[(A/B) AJD]]-TABL12345[[#This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TABL12345[[#This Row],[ (RESV. STORGE) SER]]/10</calculatedColumnFormula>
    </tableColumn>
    <tableColumn id="41" name="SER_Evap." dataDxfId="171"/>
    <tableColumn id="42" name="A/S_CON." dataDxfId="17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169" headerRowBorderDxfId="168" tableBorderDxfId="167">
  <autoFilter ref="A1:AP366"/>
  <tableColumns count="42">
    <tableColumn id="1" name=" اليوم" dataDxfId="166" dataCellStyle="Normal 2"/>
    <tableColumn id="2" name="آبار منتجة TAZ" dataDxfId="165"/>
    <tableColumn id="3" name="الانتاج 1000 (م3) TAZ" dataDxfId="164"/>
    <tableColumn id="4" name="آبار عاملة TAZ" dataDxfId="163"/>
    <tableColumn id="5" name="آبار احتياطية" dataDxfId="162"/>
    <tableColumn id="6" name="آبار منتجة SAR" dataDxfId="161"/>
    <tableColumn id="7" name="إنتاج آبار  SAR" dataDxfId="160"/>
    <tableColumn id="8" name="آبار احتياطية  SAR" dataDxfId="159"/>
    <tableColumn id="9" name=" (T/B) SAR" dataDxfId="158"/>
    <tableColumn id="10" name=" (S/S) SAR" dataDxfId="157"/>
    <tableColumn id="11" name="(S/S+TB)SAR" dataDxfId="156" dataCellStyle="Normal 2">
      <calculatedColumnFormula>Table5[[#This Row],[ (T/B) SAR]]+Table5[[#This Row],[ (S/S) SAR]]</calculatedColumnFormula>
    </tableColumn>
    <tableColumn id="12" name="TAZ/SAR" dataDxfId="155"/>
    <tableColumn id="13" name=" % ECV SAR" dataDxfId="154"/>
    <tableColumn id="14" name="ECV (bar) SAR" dataDxfId="153"/>
    <tableColumn id="15" name="(S/S) AJD" dataDxfId="152"/>
    <tableColumn id="16" name="S/S_CON." dataDxfId="151">
      <calculatedColumnFormula>Table5[[#This Row],[ (S/S) SAR]]-Table5[[#This Row],[(S/S) AJD]]</calculatedColumnFormula>
    </tableColumn>
    <tableColumn id="17" name="(T/B) AJD" dataDxfId="150"/>
    <tableColumn id="18" name="T/B-CON." dataDxfId="149">
      <calculatedColumnFormula>Table5[[#This Row],[ (T/B) SAR]]-Table5[[#This Row],[(T/B) AJD]]</calculatedColumnFormula>
    </tableColumn>
    <tableColumn id="19" name="(S/S-T/B)-CON." dataDxfId="148">
      <calculatedColumnFormula>Table5[[#This Row],[S/S_CON.]]+Table5[[#This Row],[T/B-CON.]]</calculatedColumnFormula>
    </tableColumn>
    <tableColumn id="20" name="( S/S+T/B) AJD" dataDxfId="147">
      <calculatedColumnFormula>O2+Q2</calculatedColumnFormula>
    </tableColumn>
    <tableColumn id="21" name="(A/B) AJD" dataDxfId="146"/>
    <tableColumn id="22" name="(A/S) AJD" dataDxfId="145"/>
    <tableColumn id="23" name="(A/B + A/S) AJD" dataDxfId="144">
      <calculatedColumnFormula>U2+V2</calculatedColumnFormula>
    </tableColumn>
    <tableColumn id="24" name="(IN-OUT) AJD" dataDxfId="143">
      <calculatedColumnFormula>T2-W2</calculatedColumnFormula>
    </tableColumn>
    <tableColumn id="25" name="(RES. LEVEL) AJD" dataDxfId="142"/>
    <tableColumn id="26" name="(RESV. STORGE) AJD" dataDxfId="141"/>
    <tableColumn id="27" name="AJD_STORG.* 10" dataDxfId="140" dataCellStyle="Normal 2">
      <calculatedColumnFormula>Table5[[#This Row],[(RESV. STORGE) AJD]]/10</calculatedColumnFormula>
    </tableColumn>
    <tableColumn id="28" name="(STORGE DIFF.) AJD" dataDxfId="139" dataCellStyle="Normal 2">
      <calculatedColumnFormula>IF(TRIM(Z2)="",,(Z2-Z1)/1000)</calculatedColumnFormula>
    </tableColumn>
    <tableColumn id="29" name="AJD_Evaporation" dataDxfId="138"/>
    <tableColumn id="30" name="AJD_LOSES" dataDxfId="137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136"/>
    <tableColumn id="32" name="(RES. LEVEL) BER" dataDxfId="135"/>
    <tableColumn id="33" name=" (RESV. STORGE) BER" dataDxfId="134"/>
    <tableColumn id="34" name="BER_STORG. * 10" dataDxfId="133">
      <calculatedColumnFormula>Table5[[#This Row],[ (RESV. STORGE) BER]]/10</calculatedColumnFormula>
    </tableColumn>
    <tableColumn id="35" name="BER_Evap." dataDxfId="132"/>
    <tableColumn id="36" name="A/B_CON." dataDxfId="131">
      <calculatedColumnFormula>Table5[[#This Row],[(A/B) AJD]]-Table5[[#This Row],[BER_IN]]</calculatedColumnFormula>
    </tableColumn>
    <tableColumn id="37" name="SER_IN" dataDxfId="130"/>
    <tableColumn id="38" name="(RES. LEVEL) SER " dataDxfId="129"/>
    <tableColumn id="39" name=" (RESV. STORGE) SER" dataDxfId="128" dataCellStyle="Normal 2"/>
    <tableColumn id="40" name="SER_STORG.* 10" dataDxfId="127" dataCellStyle="Normal 2">
      <calculatedColumnFormula>Table5[[#This Row],[ (RESV. STORGE) SER]]/10</calculatedColumnFormula>
    </tableColumn>
    <tableColumn id="41" name="SER_Evap." dataDxfId="126"/>
    <tableColumn id="42" name="A/S_CON." dataDxfId="125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124" headerRowBorderDxfId="123" tableBorderDxfId="122">
  <autoFilter ref="A1:AP366"/>
  <tableColumns count="42">
    <tableColumn id="1" name=" اليوم" dataDxfId="121" dataCellStyle="Normal 2"/>
    <tableColumn id="2" name="آبار منتجة TAZ" dataDxfId="120"/>
    <tableColumn id="3" name="الانتاج 1000 (م3) TAZ" dataDxfId="119"/>
    <tableColumn id="4" name="آبار عاملة TAZ" dataDxfId="118"/>
    <tableColumn id="5" name="آبار احتياطية" dataDxfId="117"/>
    <tableColumn id="6" name="آبار منتجة SAR" dataDxfId="116"/>
    <tableColumn id="7" name="إنتاج آبار  SAR" dataDxfId="115"/>
    <tableColumn id="8" name="آبار احتياطية  SAR" dataDxfId="114"/>
    <tableColumn id="9" name=" (T/B) SAR" dataDxfId="113"/>
    <tableColumn id="10" name=" (S/S) SAR" dataDxfId="112"/>
    <tableColumn id="11" name="(S/S+TB)SAR" dataDxfId="111" dataCellStyle="Normal 2">
      <calculatedColumnFormula>Table6[[#This Row],[ (T/B) SAR]]+Table6[[#This Row],[ (S/S) SAR]]</calculatedColumnFormula>
    </tableColumn>
    <tableColumn id="12" name="TAZ/SAR" dataDxfId="110"/>
    <tableColumn id="13" name=" % ECV SAR" dataDxfId="109"/>
    <tableColumn id="14" name="ECV (bar) SAR" dataDxfId="108"/>
    <tableColumn id="15" name="(S/S) AJD" dataDxfId="107"/>
    <tableColumn id="16" name="S/S_CON." dataDxfId="106">
      <calculatedColumnFormula>Table6[[#This Row],[ (S/S) SAR]]-Table6[[#This Row],[(S/S) AJD]]</calculatedColumnFormula>
    </tableColumn>
    <tableColumn id="17" name="(T/B) AJD" dataDxfId="105"/>
    <tableColumn id="18" name="T/B-CON." dataDxfId="104">
      <calculatedColumnFormula>Table6[[#This Row],[ (T/B) SAR]]-Table6[[#This Row],[(T/B) AJD]]</calculatedColumnFormula>
    </tableColumn>
    <tableColumn id="19" name="(S/S-T/B)-CON." dataDxfId="103">
      <calculatedColumnFormula>Table6[[#This Row],[S/S_CON.]]+Table6[[#This Row],[T/B-CON.]]</calculatedColumnFormula>
    </tableColumn>
    <tableColumn id="20" name="( S/S+T/B) AJD" dataDxfId="102">
      <calculatedColumnFormula>O2+Q2</calculatedColumnFormula>
    </tableColumn>
    <tableColumn id="21" name="(A/B) AJD" dataDxfId="101"/>
    <tableColumn id="22" name="(A/S) AJD" dataDxfId="100"/>
    <tableColumn id="23" name="(A/B + A/S) AJD" dataDxfId="99">
      <calculatedColumnFormula>U2+V2</calculatedColumnFormula>
    </tableColumn>
    <tableColumn id="24" name="(IN-OUT) AJD" dataDxfId="98">
      <calculatedColumnFormula>T2-W2</calculatedColumnFormula>
    </tableColumn>
    <tableColumn id="25" name="(RES. LEVEL) AJD" dataDxfId="97"/>
    <tableColumn id="26" name="(RESV. STORGE) AJD" dataDxfId="96"/>
    <tableColumn id="27" name="AJD_STORG.* 10" dataDxfId="95" dataCellStyle="Normal 2">
      <calculatedColumnFormula>Table6[[#This Row],[(RESV. STORGE) AJD]]/10</calculatedColumnFormula>
    </tableColumn>
    <tableColumn id="28" name="(STORGE DIFF.) AJD" dataDxfId="94" dataCellStyle="Normal 2">
      <calculatedColumnFormula>IF(TRIM(Z2)="",,(Z2-Z1)/1000)</calculatedColumnFormula>
    </tableColumn>
    <tableColumn id="29" name="AJD_Evaporation" dataDxfId="93"/>
    <tableColumn id="30" name="AJD_LOSES" dataDxfId="92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91"/>
    <tableColumn id="32" name="(RES. LEVEL) BER" dataDxfId="90"/>
    <tableColumn id="33" name=" (RESV. STORGE) BER" dataDxfId="89"/>
    <tableColumn id="34" name="BER_STORG. * 10" dataDxfId="88">
      <calculatedColumnFormula>Table6[[#This Row],[ (RESV. STORGE) BER]]/10</calculatedColumnFormula>
    </tableColumn>
    <tableColumn id="35" name="BER_Evap." dataDxfId="87"/>
    <tableColumn id="36" name="A/B_CON." dataDxfId="86">
      <calculatedColumnFormula>Table6[[#This Row],[(A/B) AJD]]-TABL12345[[#This Row],[BER_IN]]</calculatedColumnFormula>
    </tableColumn>
    <tableColumn id="37" name="SER_IN" dataDxfId="85"/>
    <tableColumn id="38" name="(RES. LEVEL) SER " dataDxfId="84"/>
    <tableColumn id="39" name=" (RESV. STORGE) SER" dataDxfId="83" dataCellStyle="Normal 2"/>
    <tableColumn id="40" name="SER_STORG.* 10" dataDxfId="82" dataCellStyle="Normal 2">
      <calculatedColumnFormula>Table6[[#This Row],[ (RESV. STORGE) SER]]/10</calculatedColumnFormula>
    </tableColumn>
    <tableColumn id="41" name="SER_Evap." dataDxfId="81"/>
    <tableColumn id="42" name="A/S_CON." dataDxfId="80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G1" zoomScaleNormal="100" workbookViewId="0">
      <selection activeCell="AL3" sqref="AL3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109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109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109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109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109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109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109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109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109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109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109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109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109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109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109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109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109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109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109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109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109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109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109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109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109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109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109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109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109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109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109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109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109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109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109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109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109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109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109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109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109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109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109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109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109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109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109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109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109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109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109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109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109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109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109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109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109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109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109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109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109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109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109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109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109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109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109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109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109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109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109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109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109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109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109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109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109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109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109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109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109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109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109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109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109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109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109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109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109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109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109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109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109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109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109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109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109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109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109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109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109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109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109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109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109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109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109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109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109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109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109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109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109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109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109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109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109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109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109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109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109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109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109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109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109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109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109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109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109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109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109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109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109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109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109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109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109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109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109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109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109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109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109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109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109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109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109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109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109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109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109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109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109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109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109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109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109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109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109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109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109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109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109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109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109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109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109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109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109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109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109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109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109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109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109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109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109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109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109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109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109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109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109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109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109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109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109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109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109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109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109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109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109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109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109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109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109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109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109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109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109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109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109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109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109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109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109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109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109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109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109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109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109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109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109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109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109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109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109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109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109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109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109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109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109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109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109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109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109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109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109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109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109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109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109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109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109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109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109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109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109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109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109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109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109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109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109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109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109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109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109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109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109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109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109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109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109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109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109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109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109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109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109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109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109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109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109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109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109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109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109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109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109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109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109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109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109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109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109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109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109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109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109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109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109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109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109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>
        <v>28</v>
      </c>
      <c r="AL289" s="109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>
        <v>93</v>
      </c>
      <c r="G290" s="28" t="n">
        <v>617</v>
      </c>
      <c r="H290" s="28" t="n"/>
      <c r="I290" s="28" t="n"/>
      <c r="J290" s="28" t="n"/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>
        <v>28</v>
      </c>
      <c r="AL290" s="109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>
        <v>28</v>
      </c>
      <c r="AL291" s="109" t="n">
        <v>42.3233</v>
      </c>
      <c r="AM291" s="87" t="n">
        <v>2743630</v>
      </c>
      <c r="AN291" s="87">
        <f>TABL123[[#This Row],[ (RESV. STORGE) SER]]/10</f>
        <v/>
      </c>
      <c r="AO291" s="6" t="n">
        <v>1850</v>
      </c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>
        <v>35</v>
      </c>
      <c r="C292" s="28" t="n">
        <v>273</v>
      </c>
      <c r="D292" s="28" t="n">
        <v>35</v>
      </c>
      <c r="E292" s="28" t="n">
        <v>0</v>
      </c>
      <c r="F292" s="28" t="n">
        <v>93</v>
      </c>
      <c r="G292" s="28" t="n">
        <v>617</v>
      </c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>
        <v>297</v>
      </c>
      <c r="M292" s="29" t="n">
        <v>22.7</v>
      </c>
      <c r="N292" s="30" t="n">
        <v>6.73</v>
      </c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>
        <v>60</v>
      </c>
      <c r="AF292" s="68" t="n">
        <v>58.545</v>
      </c>
      <c r="AG292" s="68" t="n">
        <v>1324151</v>
      </c>
      <c r="AH292" s="6" t="n"/>
      <c r="AI292" s="78" t="n">
        <v>2443</v>
      </c>
      <c r="AJ292" s="78">
        <f>TABL123[[#This Row],[(A/B) AJD]]-TABL123[[#This Row],[BER_IN]]</f>
        <v/>
      </c>
      <c r="AK292" s="78" t="n">
        <v>29</v>
      </c>
      <c r="AL292" s="109" t="n">
        <v>42.3392</v>
      </c>
      <c r="AM292" s="87" t="n">
        <v>2752210</v>
      </c>
      <c r="AN292" s="87">
        <f>TABL123[[#This Row],[ (RESV. STORGE) SER]]/10</f>
        <v/>
      </c>
      <c r="AO292" s="6" t="n">
        <v>1820</v>
      </c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>
        <v>35</v>
      </c>
      <c r="C293" s="28" t="n">
        <v>285</v>
      </c>
      <c r="D293" s="28" t="n">
        <v>35</v>
      </c>
      <c r="E293" s="28" t="n">
        <v>0</v>
      </c>
      <c r="F293" s="28" t="n">
        <v>93</v>
      </c>
      <c r="G293" s="28" t="n">
        <v>617</v>
      </c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>
        <v>277</v>
      </c>
      <c r="M293" s="29" t="n">
        <v>20.8</v>
      </c>
      <c r="N293" s="30" t="n">
        <v>7.02</v>
      </c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>
        <v>60</v>
      </c>
      <c r="AF293" s="68" t="n">
        <v>58.572</v>
      </c>
      <c r="AG293" s="68" t="n">
        <v>1341873</v>
      </c>
      <c r="AH293" s="6" t="n"/>
      <c r="AI293" s="78" t="n">
        <v>2437</v>
      </c>
      <c r="AJ293" s="78">
        <f>TABL123[[#This Row],[(A/B) AJD]]-TABL123[[#This Row],[BER_IN]]</f>
        <v/>
      </c>
      <c r="AK293" s="78" t="n">
        <v>28</v>
      </c>
      <c r="AL293" s="109" t="n">
        <v>42.3353</v>
      </c>
      <c r="AM293" s="87" t="n">
        <v>2750060</v>
      </c>
      <c r="AN293" s="87">
        <f>TABL123[[#This Row],[ (RESV. STORGE) SER]]/10</f>
        <v/>
      </c>
      <c r="AO293" s="6" t="n">
        <v>1850</v>
      </c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>
        <v>35</v>
      </c>
      <c r="C294" s="28" t="n">
        <v>276</v>
      </c>
      <c r="D294" s="28" t="n">
        <v>35</v>
      </c>
      <c r="E294" s="28" t="n">
        <v>0</v>
      </c>
      <c r="F294" s="28" t="n">
        <v>93</v>
      </c>
      <c r="G294" s="28" t="n">
        <v>617</v>
      </c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>
        <v>280</v>
      </c>
      <c r="M294" s="29" t="n">
        <v>20.8</v>
      </c>
      <c r="N294" s="30" t="n">
        <v>7.24</v>
      </c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>
        <v>60</v>
      </c>
      <c r="AF294" s="68" t="n">
        <v>58.599</v>
      </c>
      <c r="AG294" s="68" t="n">
        <v>1359602</v>
      </c>
      <c r="AH294" s="6" t="n"/>
      <c r="AI294" s="78" t="n">
        <v>2431</v>
      </c>
      <c r="AJ294" s="78">
        <f>TABL123[[#This Row],[(A/B) AJD]]-TABL123[[#This Row],[BER_IN]]</f>
        <v/>
      </c>
      <c r="AK294" s="78" t="n">
        <v>28</v>
      </c>
      <c r="AL294" s="109" t="n">
        <v>42.3692</v>
      </c>
      <c r="AM294" s="87" t="n">
        <v>2768280</v>
      </c>
      <c r="AN294" s="87">
        <f>TABL123[[#This Row],[ (RESV. STORGE) SER]]/10</f>
        <v/>
      </c>
      <c r="AO294" s="6" t="n">
        <v>1880</v>
      </c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109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109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>
        <v>35</v>
      </c>
      <c r="C297" s="28" t="n">
        <v>278</v>
      </c>
      <c r="D297" s="28" t="n">
        <v>35</v>
      </c>
      <c r="E297" s="28" t="n">
        <v>0</v>
      </c>
      <c r="F297" s="28" t="n">
        <v>93</v>
      </c>
      <c r="G297" s="28" t="n">
        <v>617</v>
      </c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>
        <v>337</v>
      </c>
      <c r="M297" s="29" t="n">
        <v>24.7</v>
      </c>
      <c r="N297" s="30" t="n">
        <v>7.17</v>
      </c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109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>
        <v>35</v>
      </c>
      <c r="C298" s="28" t="n">
        <v>264</v>
      </c>
      <c r="D298" s="28" t="n">
        <v>35</v>
      </c>
      <c r="E298" s="28" t="n">
        <v>0</v>
      </c>
      <c r="F298" s="28" t="n">
        <v>93</v>
      </c>
      <c r="G298" s="28" t="n">
        <v>617</v>
      </c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>
        <v>356</v>
      </c>
      <c r="M298" s="29" t="n">
        <v>25.4</v>
      </c>
      <c r="N298" s="30" t="n">
        <v>6.89</v>
      </c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>
        <v>60</v>
      </c>
      <c r="AF298" s="68" t="n">
        <v>58.726</v>
      </c>
      <c r="AG298" s="68" t="n">
        <v>1443078</v>
      </c>
      <c r="AH298" s="6" t="n"/>
      <c r="AI298" s="78" t="n">
        <v>1916</v>
      </c>
      <c r="AJ298" s="78">
        <f>TABL123[[#This Row],[(A/B) AJD]]-TABL123[[#This Row],[BER_IN]]</f>
        <v/>
      </c>
      <c r="AK298" s="78" t="n">
        <v>29</v>
      </c>
      <c r="AL298" s="109" t="n">
        <v>42.4455</v>
      </c>
      <c r="AM298" s="87" t="n">
        <v>2809600</v>
      </c>
      <c r="AN298" s="87">
        <f>TABL123[[#This Row],[ (RESV. STORGE) SER]]/10</f>
        <v/>
      </c>
      <c r="AO298" s="6" t="n">
        <v>1850</v>
      </c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>
        <v>34</v>
      </c>
      <c r="C299" s="28" t="n">
        <v>259</v>
      </c>
      <c r="D299" s="28" t="n">
        <v>35</v>
      </c>
      <c r="E299" s="28" t="n">
        <v>0</v>
      </c>
      <c r="F299" s="28" t="n">
        <v>93</v>
      </c>
      <c r="G299" s="28" t="n">
        <v>617</v>
      </c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>
        <v>347</v>
      </c>
      <c r="M299" s="29" t="n">
        <v>25.4</v>
      </c>
      <c r="N299" s="30" t="n">
        <v>6.5</v>
      </c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>
        <v>60</v>
      </c>
      <c r="AF299" s="68" t="n">
        <v>58.768</v>
      </c>
      <c r="AG299" s="68" t="n">
        <v>1470715</v>
      </c>
      <c r="AH299" s="6" t="n"/>
      <c r="AI299" s="78" t="n">
        <v>1963</v>
      </c>
      <c r="AJ299" s="78">
        <f>TABL123[[#This Row],[(A/B) AJD]]-TABL123[[#This Row],[BER_IN]]</f>
        <v/>
      </c>
      <c r="AK299" s="78" t="n">
        <v>28</v>
      </c>
      <c r="AL299" s="109" t="n">
        <v>42.4583</v>
      </c>
      <c r="AM299" s="87" t="n">
        <v>2815510</v>
      </c>
      <c r="AN299" s="87">
        <f>TABL123[[#This Row],[ (RESV. STORGE) SER]]/10</f>
        <v/>
      </c>
      <c r="AO299" s="6" t="n">
        <v>1890</v>
      </c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>
        <v>35</v>
      </c>
      <c r="C300" s="28" t="n">
        <v>296</v>
      </c>
      <c r="D300" s="28" t="n">
        <v>35</v>
      </c>
      <c r="E300" s="28" t="n">
        <v>0</v>
      </c>
      <c r="F300" s="28" t="n">
        <v>93</v>
      </c>
      <c r="G300" s="28" t="n">
        <v>617</v>
      </c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>
        <v>310</v>
      </c>
      <c r="M300" s="29" t="n">
        <v>24.1</v>
      </c>
      <c r="N300" s="30" t="n">
        <v>6.41</v>
      </c>
      <c r="O300" s="14" t="n">
        <v>409</v>
      </c>
      <c r="P300" s="9">
        <f>TABL123[[#This Row],[ (S/S) SAR]]-TABL123[[#This Row],[(S/S) AJD]]</f>
        <v/>
      </c>
      <c r="Q300" s="14" t="n">
        <v>442</v>
      </c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>
        <v>516</v>
      </c>
      <c r="V300" s="14" t="n">
        <v>252</v>
      </c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>
        <v>92.574</v>
      </c>
      <c r="Z300" s="9" t="n">
        <v>540725</v>
      </c>
      <c r="AA300" s="3">
        <f>TABL123[[#This Row],[(RESV. STORGE) AJD]]/10</f>
        <v/>
      </c>
      <c r="AB300" s="45">
        <f>IF(TRIM(Z300)="",,(Z300-Z299)/1000)</f>
        <v/>
      </c>
      <c r="AC300" s="5" t="n">
        <v>1080</v>
      </c>
      <c r="AD300" s="83">
        <f>TABL123[[#This Row],[( S/S+T/B) AJD]]-(TABL123[[#This Row],[(A/B + A/S) AJD]]+TABL123[[#This Row],[(STORGE DIFF.) AJD]]+(TABL123[[#This Row],[AJD_Evaporation]])/1000)</f>
        <v/>
      </c>
      <c r="AE300" s="68" t="n">
        <v>60</v>
      </c>
      <c r="AF300" s="68" t="n">
        <v>58.818</v>
      </c>
      <c r="AG300" s="68" t="n">
        <v>1503635</v>
      </c>
      <c r="AH300" s="6" t="n"/>
      <c r="AI300" s="78" t="n">
        <v>2279</v>
      </c>
      <c r="AJ300" s="78" t="n"/>
      <c r="AK300" s="78" t="n">
        <v>28</v>
      </c>
      <c r="AL300" s="109" t="n">
        <v>42.493</v>
      </c>
      <c r="AM300" s="87" t="n">
        <v>2835300</v>
      </c>
      <c r="AN300" s="87" t="n"/>
      <c r="AO300" s="6" t="n">
        <v>1810</v>
      </c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109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109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109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109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109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109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109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109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109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109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109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109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109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109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109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109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109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109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109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109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109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109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109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109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109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109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109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109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109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109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109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109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109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109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109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109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109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109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109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109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109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109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109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109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109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109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109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109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109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109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109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109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109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109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109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109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109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109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109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109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109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109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109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109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109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109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2026-10-26T20:39:59Z</dcterms:modified>
  <cp:lastModifiedBy>nasserab965@gmail.com</cp:lastModifiedBy>
</cp:coreProperties>
</file>